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urns" sheetId="1" r:id="rId1"/>
    <sheet name="Execution tree" sheetId="2" r:id="rId2"/>
    <sheet name="Reference data" sheetId="3" r:id="rId3"/>
  </sheets>
  <calcPr calcId="124519" fullCalcOnLoad="1"/>
</workbook>
</file>

<file path=xl/sharedStrings.xml><?xml version="1.0" encoding="utf-8"?>
<sst xmlns="http://schemas.openxmlformats.org/spreadsheetml/2006/main" count="389" uniqueCount="161">
  <si>
    <t>Request</t>
  </si>
  <si>
    <t>Turn</t>
  </si>
  <si>
    <t>Sequence</t>
  </si>
  <si>
    <t>Tokens</t>
  </si>
  <si>
    <t>EUR / execution</t>
  </si>
  <si>
    <t>USD / execution</t>
  </si>
  <si>
    <t>Projected EUR</t>
  </si>
  <si>
    <t>Projected USD</t>
  </si>
  <si>
    <t>Content</t>
  </si>
  <si>
    <t>Model · effort</t>
  </si>
  <si>
    <t>Status</t>
  </si>
  <si>
    <t>Context total tokens</t>
  </si>
  <si>
    <t>Span ID</t>
  </si>
  <si>
    <t>Operation</t>
  </si>
  <si>
    <t>Depth</t>
  </si>
  <si>
    <t>Type</t>
  </si>
  <si>
    <t>Input context tokens</t>
  </si>
  <si>
    <t>Description</t>
  </si>
  <si>
    <t>Parent ID</t>
  </si>
  <si>
    <t>Input at standard rate tokens</t>
  </si>
  <si>
    <t>Input at standard rate EUR</t>
  </si>
  <si>
    <t>Input at standard rate USD</t>
  </si>
  <si>
    <t>Cache read tokens</t>
  </si>
  <si>
    <t>Cache read EUR</t>
  </si>
  <si>
    <t>Cache read USD</t>
  </si>
  <si>
    <t>Cache write tokens</t>
  </si>
  <si>
    <t>Cache write EUR</t>
  </si>
  <si>
    <t>Cache write USD</t>
  </si>
  <si>
    <t>Output (non-reasoning) tokens</t>
  </si>
  <si>
    <t>Output (non-reasoning) EUR</t>
  </si>
  <si>
    <t>Output (non-reasoning) USD</t>
  </si>
  <si>
    <t>Reasoning tokens</t>
  </si>
  <si>
    <t>Reasoning EUR</t>
  </si>
  <si>
    <t>Reasoning USD</t>
  </si>
  <si>
    <t>Total EUR</t>
  </si>
  <si>
    <t>Total USD</t>
  </si>
  <si>
    <t>Elapsed ms</t>
  </si>
  <si>
    <t>Accounting</t>
  </si>
  <si>
    <t>Parameter</t>
  </si>
  <si>
    <t>Value</t>
  </si>
  <si>
    <t>Unit</t>
  </si>
  <si>
    <t>Number of executions</t>
  </si>
  <si>
    <t>executions</t>
  </si>
  <si>
    <t>USD → EUR</t>
  </si>
  <si>
    <t>EUR per USD</t>
  </si>
  <si>
    <t>Cache duration</t>
  </si>
  <si>
    <t>5m</t>
  </si>
  <si>
    <t/>
  </si>
  <si>
    <t>Run ID</t>
  </si>
  <si>
    <t>01a0d143-3bb2-7940-aa9a-fce8e789c19e</t>
  </si>
  <si>
    <t>Recording</t>
  </si>
  <si>
    <t>Provider trace</t>
  </si>
  <si>
    <t>FX reference date</t>
  </si>
  <si>
    <t>2026-09-23</t>
  </si>
  <si>
    <t>FX fetched at</t>
  </si>
  <si>
    <t>2026-09-24T02:09:35.117183Z</t>
  </si>
  <si>
    <t>UTC</t>
  </si>
  <si>
    <t>FX source</t>
  </si>
  <si>
    <t>https://api.frankfurter.dev/v2/rate/usd/eur?providers=ecb</t>
  </si>
  <si>
    <t>Rounding</t>
  </si>
  <si>
    <t>Only projected costs: ROUND(cost × executions, 0)</t>
  </si>
  <si>
    <t>Tree totals</t>
  </si>
  <si>
    <t>Parent rows include descendants; do not sum all tree rows.</t>
  </si>
  <si>
    <t>Cache writes</t>
  </si>
  <si>
    <t>Simulated context movement is not a provider-billed write.</t>
  </si>
  <si>
    <t>Pricing scope</t>
  </si>
  <si>
    <t>Standard online token rates. Verify rates and model access before use. Cache writes with unspecified lifetime use the 5-minute rate unless an explicit cache_write rate is configured. No batch, regional, long-context, tool, or negotiated pricing adjustments are applied.</t>
  </si>
  <si>
    <t>Model</t>
  </si>
  <si>
    <t>Input USD / 1M tokens</t>
  </si>
  <si>
    <t>Cache read USD / 1M tokens</t>
  </si>
  <si>
    <t>Cache write USD / 1M tokens</t>
  </si>
  <si>
    <t>Output USD / 1M tokens</t>
  </si>
  <si>
    <t>Reasoning USD / 1M tokens</t>
  </si>
  <si>
    <t>Verified date</t>
  </si>
  <si>
    <t>Source</t>
  </si>
  <si>
    <t>Notes</t>
  </si>
  <si>
    <t>openai:gpt-5.5</t>
  </si>
  <si>
    <t>Unknown</t>
  </si>
  <si>
    <t>2026-09-18</t>
  </si>
  <si>
    <t>https://developers.openai.com/api/docs/models/gpt-5.5.md</t>
  </si>
  <si>
    <t>Cache write assumes 5m when unspecified</t>
  </si>
  <si>
    <t>openai:gpt-5.6-luna</t>
  </si>
  <si>
    <t>https://developers.openai.com/api/docs/models/gpt-5.6-luna.md</t>
  </si>
  <si>
    <t>openai:gpt-5.6-sol</t>
  </si>
  <si>
    <t>https://developers.openai.com/api/docs/models/gpt-5.6-sol.md</t>
  </si>
  <si>
    <t>anthropic:claude-sonnet-5</t>
  </si>
  <si>
    <t>https://platform.claude.com/docs/en/about-claude/pricing</t>
  </si>
  <si>
    <t>anthropic:claude-opus-4-8</t>
  </si>
  <si>
    <t>anthropic:claude-fable-5-1</t>
  </si>
  <si>
    <t>demo:scripted-chat</t>
  </si>
  <si>
    <t>Illustrative demo rates based on openai:gpt-5.6-luna; no provider billing</t>
  </si>
  <si>
    <t>Run total</t>
  </si>
  <si>
    <t>Turn 1</t>
  </si>
  <si>
    <t>R1</t>
  </si>
  <si>
    <t>LLM request</t>
  </si>
  <si>
    <t>gpt-5.6-luna</t>
  </si>
  <si>
    <t>01a0d143-3bbf-7260-86c0-80fcd5038b6f</t>
  </si>
  <si>
    <t>Conversation history · cache read</t>
  </si>
  <si>
    <t>Input at standard rate</t>
  </si>
  <si>
    <t xml:space="preserve">    Tool definitions</t>
  </si>
  <si>
    <t xml:space="preserve">    System prompt</t>
  </si>
  <si>
    <t>Call echo_tool with the user's text, then answer concisely using the returned echo. The tool repeats input; it provides no independent factual evidence.</t>
  </si>
  <si>
    <t xml:space="preserve">    User prompt</t>
  </si>
  <si>
    <t>Echo this text: ReAct</t>
  </si>
  <si>
    <t>Cache write</t>
  </si>
  <si>
    <t>Context · added / total</t>
  </si>
  <si>
    <t>LLM response</t>
  </si>
  <si>
    <t>Output</t>
  </si>
  <si>
    <t xml:space="preserve">    Output content</t>
  </si>
  <si>
    <t>[{"type": "function_call", "name": "echo_tool", "arguments": "{\"text\":\"ReAct\"}", "call_id": "call_kA1D7fN7irmL7RwLmk8I9Bpq", "id": "fc_0eb7081bb50e1523006ab48c18869887d2be54906e314498bf", "index": 0}]
{"name": "echo_tool", "args": {"text": "ReAct"}, "id": "call_kA1D7fN7irmL7RwLmk8I9Bpq", "type": "tool_call"}</t>
  </si>
  <si>
    <t>Call total</t>
  </si>
  <si>
    <t>ok</t>
  </si>
  <si>
    <t>Tool · echo_tool</t>
  </si>
  <si>
    <t>01a0d143-40d9-76c3-a8ac-560f6e865c97</t>
  </si>
  <si>
    <t xml:space="preserve">    Arguments</t>
  </si>
  <si>
    <t>{'text': 'ReAct'}</t>
  </si>
  <si>
    <t xml:space="preserve">    Result</t>
  </si>
  <si>
    <t>Your input was: ReAct</t>
  </si>
  <si>
    <t>R2</t>
  </si>
  <si>
    <t>01a0d143-40de-7e43-b592-8c445294b22c</t>
  </si>
  <si>
    <t xml:space="preserve">    Tool result</t>
  </si>
  <si>
    <t>[{"type": "text", "text": "ReAct", "phase": "final_answer", "index": 0, "id": "msg_0eb7081bb50e1523006ab48c19675087d29493951e24343daa"}]</t>
  </si>
  <si>
    <t>Turn 2</t>
  </si>
  <si>
    <t>R3</t>
  </si>
  <si>
    <t>01a0d143-4427-79f2-9714-0f513991f047</t>
  </si>
  <si>
    <t>Echo this text: Tool observations</t>
  </si>
  <si>
    <t>Reasoning</t>
  </si>
  <si>
    <t>[{"id": "rs_0eb7081bb50e1523006ab48c1a3fcc87d2b53434a0d7c1b0d3", "summary": [], "type": "reasoning", "content": [], "index": 0, "encrypted_content": "gAAAAABqtIwaGso6agc0GulrjhK0U9jq7JXxfGLA4j27UZKGBFmDLXceyKl5se4I4-pJK7CMDhupaHPDh8d-h4zr1PHqiWNZ-dBSx4VJQbYHvf2RyFvcPRP4KRx-k5GrkWvw5IZdWwtgbC10-wf8PPvIW55YKDQ0SOYsApzb7jhaBTHJ0bWXpDniFLuM8KrH_NNioWX0nb-qy-g8pmDEqi-6DUzZcrCRVAKKKv_TBnapaLOJQsCf0cZaRR6ufRCyFxm2fIWEyvLZYQtH5JU2B7-rVnLukGGkADbFBFELkOeQn8kByz8nYAdq0FyXj2Ys6E6ay75TVhesOS71gyFuXY2Dge2k3XMHTDHopBxaW7ahlfzKp8pWjXE-PPXyNtv8l43SWrqfIWV8sqQEwJu8vJs8-YK-8EaqWGTKoWe4AZ_UNewiAxIlO1mGBOx4dpa5Cg9MrPT2BkT9aQwhBkd6dg_v5XlBjaTsvGiADyiFMOSwnsdRYjbLBobFRSVnv1vSttpiFxGszIi-cIKIO5C7x4Bld2saFs5aiFnZkU_i2JYvRnh21OF9eIyGSG28rEOnZ3RxuNwJP-4PLisxAmOS9byaYAVt5owdN4fpJYd-BEhhCT2DWJGHW9P_tjZo78SFl7nxi-sFUqHSK24REwxbiAgD48t9Zcvi68SomEmqzhwAkSORHmeckNx9Klwb3wqlsUh59mzl8Cq_96ekQW6EeJox7cRTjJxwhSTuShj37zfjeICmwzMZ2Wgyj8VkcRqUp4hHRfOt5yB3G17DLXaeXTixyMeWuxp7StsJ1sHl_srA0MTVS52ZE-g_1aZogaiDl1oG9nNF8L_LPEa2l19O4aiUHD3Mz-eSTmfW7cR4ICu9GhoAopz8t63IyeOl095Nfdx36jTmojl59dGrpBCFa5zq3yPYr7p-5kXwTs7P7RITtSF4GqLbNXWCG7g7XkSrhp7Kl8BZF7-Y2qwsYoU6mU8b4lKUjlkfDrj8BvFX_W3fgoBDOXlb6NK9SUSYLx0lD2E6PkmmVKz3pFMqC4XDy2aQRBNIML-InftahiXRjOElavBF0iHeCc-qZmXKhmB2pd6V9d7dNz2RIQkKlMFAxyUBy_d6EWCEc9OFaL2bJw1bFIWZZ6ZDcMNQ4w7WUXvk9KT4cS8Zw71uvBJwnFu8gURoIQ7d7os0P3eyoPL-A9UFkWB2gUPy9yZy44cpAykXXFUImRr7JjpsxRwimzgPhx-ubM_1auctvQ=="}, {"type": "function_call", "name": "echo_tool", "arguments": "{\"text\":\"Tool observations\"}", "call_id": "call_LeB7y3SoyKUgNjggdMJ6Dx5A", "id": "fc_0eb7081bb50e1523006ab48c1a76f487d2a56298a4b976763f", "index": 1}]
{"name": "echo_tool", "args": {"text": "Tool observations"}, "id": "call_LeB7y3SoyKUgNjggdMJ6Dx5A", "type": "tool_call"}</t>
  </si>
  <si>
    <t>01a0d143-4822-7592-abb8-a192231f660c</t>
  </si>
  <si>
    <t>{'text': 'Tool observations'}</t>
  </si>
  <si>
    <t>Your input was: Tool observations</t>
  </si>
  <si>
    <t>R4</t>
  </si>
  <si>
    <t>01a0d143-4826-7d41-a4ee-678b4e800ed4</t>
  </si>
  <si>
    <t>[{"type": "text", "text": "Tool observations", "phase": "final_answer", "index": 0, "id": "msg_0eb7081bb50e1523006ab48c1b45f487d2bf90a9804b1e282e"}]</t>
  </si>
  <si>
    <t>reference_chat_agent</t>
  </si>
  <si>
    <t>workflow</t>
  </si>
  <si>
    <t>Execute the reference_chat_agent workflow operation and pass its result to the next graph step.</t>
  </si>
  <si>
    <t>Subtree total</t>
  </si>
  <si>
    <t xml:space="preserve">    PatchToolCallsMiddleware.before_agent</t>
  </si>
  <si>
    <t>Check message history and repair missing tool responses before the agent starts.</t>
  </si>
  <si>
    <t>01a0d143-3bb5-7aa1-9449-38d127073f39</t>
  </si>
  <si>
    <t>No model charge</t>
  </si>
  <si>
    <t xml:space="preserve">    model</t>
  </si>
  <si>
    <t>Prepare the current conversation, run model middleware, and invoke the chat model.</t>
  </si>
  <si>
    <t>01a0d143-3bb7-7be1-ad34-30d011c64278</t>
  </si>
  <si>
    <t xml:space="preserve">        ChatOpenAI</t>
  </si>
  <si>
    <t>model</t>
  </si>
  <si>
    <t>Generate the next assistant message or tool request from the current conversation.</t>
  </si>
  <si>
    <t>Own call</t>
  </si>
  <si>
    <t xml:space="preserve">    tools</t>
  </si>
  <si>
    <t>Execute tool calls requested by the preceding model response and return their observations.</t>
  </si>
  <si>
    <t>01a0d143-40d8-7902-9c77-d790dfc2bd1e</t>
  </si>
  <si>
    <t xml:space="preserve">        echo_tool</t>
  </si>
  <si>
    <t>tool</t>
  </si>
  <si>
    <t>Return the provided text prefixed with "Your input was: ".</t>
  </si>
  <si>
    <t>01a0d143-40db-7542-88cb-cff6fca5b6af</t>
  </si>
  <si>
    <t>01a0d143-4422-77d3-8086-047757b74f60</t>
  </si>
  <si>
    <t>01a0d143-4423-7c01-b795-eba8af788806</t>
  </si>
  <si>
    <t>01a0d143-4424-7793-aa4b-11ab024442cf</t>
  </si>
  <si>
    <t>01a0d143-4821-7d11-a275-fa61bc1573df</t>
  </si>
  <si>
    <t>01a0d143-4824-71a2-8856-10fda9df80b6</t>
  </si>
</sst>
</file>

<file path=xl/styles.xml><?xml version="1.0" encoding="utf-8"?>
<styleSheet xmlns="http://schemas.openxmlformats.org/spreadsheetml/2006/main">
  <numFmts count="2">
    <numFmt numFmtId="164" formatCode="0.###############;-0.###############;0"/>
    <numFmt numFmtId="165" formatCode="#,##0"/>
  </numFmts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b/>
      <sz val="10"/>
      <color rgb="FF173B7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73B70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1B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/>
    </xf>
    <xf numFmtId="164" fontId="1" fillId="0" borderId="0" xfId="0" applyNumberFormat="1" applyFont="1" applyAlignment="1">
      <alignment vertical="top"/>
    </xf>
    <xf numFmtId="0" fontId="2" fillId="2" borderId="0" xfId="0" applyFont="1" applyFill="1" applyAlignment="1">
      <alignment vertical="top" wrapText="1"/>
    </xf>
    <xf numFmtId="0" fontId="3" fillId="3" borderId="0" xfId="0" applyFont="1" applyFill="1" applyAlignment="1">
      <alignment vertical="top"/>
    </xf>
    <xf numFmtId="165" fontId="1" fillId="0" borderId="0" xfId="0" applyNumberFormat="1" applyFont="1" applyAlignment="1">
      <alignment vertical="top"/>
    </xf>
    <xf numFmtId="0" fontId="1" fillId="0" borderId="0" xfId="0" applyFont="1" applyAlignment="1">
      <alignment vertical="top" wrapText="1"/>
    </xf>
    <xf numFmtId="165" fontId="0" fillId="4" borderId="0" xfId="0" applyNumberFormat="1" applyFill="1"/>
  </cellXfs>
  <cellStyles count="1">
    <cellStyle name="Normal" xfId="0" builtinId="0"/>
  </cellStyles>
  <dxfs count="1">
    <dxf>
      <font>
        <color rgb="FF8B1010"/>
      </font>
      <fill>
        <patternFill>
          <bgColor rgb="FFFFD3D3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73B70"/>
  </sheetPr>
  <dimension ref="A1:M61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2" width="10.7109375" customWidth="1"/>
    <col min="3" max="3" width="38.7109375" customWidth="1"/>
    <col min="4" max="4" width="18.7109375" style="1" customWidth="1"/>
    <col min="5" max="6" width="22.7109375" style="2" customWidth="1"/>
    <col min="7" max="8" width="18.7109375" style="1" customWidth="1"/>
    <col min="9" max="9" width="100.7109375" customWidth="1"/>
    <col min="10" max="10" width="26.7109375" customWidth="1"/>
    <col min="11" max="12" width="18.7109375" style="1" customWidth="1"/>
    <col min="13" max="13" width="38.7109375" customWidth="1"/>
  </cols>
  <sheetData>
    <row r="1" spans="1:13" ht="4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s="4" customFormat="1" ht="24" customHeight="1">
      <c r="C2" s="4" t="s">
        <v>91</v>
      </c>
      <c r="E2" s="2">
        <f>IF(COUNT('Turns'!E17,'Turns'!E32,'Turns'!E46,'Turns'!E61)=4,SUM('Turns'!E17,'Turns'!E32,'Turns'!E46,'Turns'!E61),"Unknown")</f>
        <v>0.0002271061025</v>
      </c>
      <c r="F2" s="2">
        <f>IF(COUNT('Turns'!F17,'Turns'!F32,'Turns'!F46,'Turns'!F61)=4,SUM('Turns'!F17,'Turns'!F32,'Turns'!F46,'Turns'!F61),"Unknown")</f>
        <v>0.00025915</v>
      </c>
      <c r="G2" s="5">
        <f>IF(ISNUMBER(E2),ROUND(E2*'Reference data'!$B$2,0),"Unknown")</f>
        <v>23.0</v>
      </c>
      <c r="H2" s="5">
        <f>IF(ISNUMBER(F2),ROUND(F2*'Reference data'!$B$2,0),"Unknown")</f>
        <v>26.0</v>
      </c>
    </row>
    <row r="3" spans="1:13" s="4" customFormat="1" ht="24" customHeight="1">
      <c r="B3" s="4">
        <v>1</v>
      </c>
      <c r="C3" s="4" t="s">
        <v>92</v>
      </c>
      <c r="E3" s="2">
        <f>IF(COUNT('Turns'!E17,'Turns'!E32)=2,SUM('Turns'!E17,'Turns'!E32),"Unknown")</f>
        <v>9.9448198e-05</v>
      </c>
      <c r="F3" s="2">
        <f>IF(COUNT('Turns'!F17,'Turns'!F32)=2,SUM('Turns'!F17,'Turns'!F32),"Unknown")</f>
        <v>0.00011348</v>
      </c>
      <c r="G3" s="5">
        <f>IF(ISNUMBER(E3),ROUND(E3*'Reference data'!$B$2,0),"Unknown")</f>
        <v>10.0</v>
      </c>
      <c r="H3" s="5">
        <f>IF(ISNUMBER(F3),ROUND(F3*'Reference data'!$B$2,0),"Unknown")</f>
        <v>11.0</v>
      </c>
    </row>
    <row r="4" spans="1:13" s="4" customFormat="1" ht="24" customHeight="1">
      <c r="A4" s="4" t="s">
        <v>93</v>
      </c>
      <c r="B4" s="4">
        <v>1</v>
      </c>
      <c r="C4" s="4" t="s">
        <v>94</v>
      </c>
      <c r="D4" s="4">
        <v>2042</v>
      </c>
      <c r="J4" s="4" t="s">
        <v>95</v>
      </c>
      <c r="M4" s="4" t="s">
        <v>96</v>
      </c>
    </row>
    <row r="5" spans="1:13" ht="24" customHeight="1">
      <c r="A5" t="s">
        <v>93</v>
      </c>
      <c r="B5">
        <v>1</v>
      </c>
      <c r="C5" t="s">
        <v>97</v>
      </c>
      <c r="D5" s="5">
        <v>2039</v>
      </c>
      <c r="E5" s="2">
        <f>IF(AND(ISNUMBER(F5),ISNUMBER('Reference data'!$B$3)),F5*'Reference data'!$B$3,"Unknown")</f>
        <v>3.5737553e-05</v>
      </c>
      <c r="F5" s="2">
        <f>IF(D5=0,0,IF(ISNUMBER('Reference data'!C17),D5*'Reference data'!C17/1000000,"Unknown"))</f>
        <v>4.078e-05</v>
      </c>
      <c r="G5" s="5">
        <f>IF(ISNUMBER(E5),ROUND(E5*'Reference data'!$B$2,0),"Unknown")</f>
        <v>4.0</v>
      </c>
      <c r="H5" s="5">
        <f>IF(ISNUMBER(F5),ROUND(F5*'Reference data'!$B$2,0),"Unknown")</f>
        <v>4.0</v>
      </c>
    </row>
    <row r="6" spans="1:13" ht="24" customHeight="1">
      <c r="A6" t="s">
        <v>93</v>
      </c>
      <c r="B6">
        <v>1</v>
      </c>
      <c r="C6" t="s">
        <v>98</v>
      </c>
      <c r="D6" s="5">
        <v>3</v>
      </c>
      <c r="E6" s="2">
        <f>IF(AND(ISNUMBER(F6),ISNUMBER('Reference data'!$B$3)),F6*'Reference data'!$B$3,"Unknown")</f>
        <v>5.2581e-07</v>
      </c>
      <c r="F6" s="2">
        <f>IF(D6=0,0,IF(ISNUMBER('Reference data'!B17),D6*'Reference data'!B17/1000000,"Unknown"))</f>
        <v>6e-07</v>
      </c>
      <c r="G6" s="5">
        <f>IF(ISNUMBER(E6),ROUND(E6*'Reference data'!$B$2,0),"Unknown")</f>
        <v>0.0</v>
      </c>
      <c r="H6" s="5">
        <f>IF(ISNUMBER(F6),ROUND(F6*'Reference data'!$B$2,0),"Unknown")</f>
        <v>0.0</v>
      </c>
    </row>
    <row r="7" spans="1:13" ht="24" customHeight="1">
      <c r="A7" t="s">
        <v>93</v>
      </c>
      <c r="B7">
        <v>1</v>
      </c>
      <c r="C7" t="s">
        <v>99</v>
      </c>
    </row>
    <row r="8" spans="1:13" ht="34" customHeight="1">
      <c r="A8" t="s">
        <v>93</v>
      </c>
      <c r="B8">
        <v>1</v>
      </c>
      <c r="C8" t="s">
        <v>100</v>
      </c>
      <c r="I8" s="6" t="s">
        <v>101</v>
      </c>
    </row>
    <row r="9" spans="1:13" ht="24" customHeight="1">
      <c r="A9" t="s">
        <v>93</v>
      </c>
      <c r="B9">
        <v>1</v>
      </c>
      <c r="C9" t="s">
        <v>102</v>
      </c>
      <c r="I9" s="6" t="s">
        <v>103</v>
      </c>
    </row>
    <row r="10" spans="1:13" ht="24" customHeight="1">
      <c r="A10" t="s">
        <v>93</v>
      </c>
      <c r="B10">
        <v>1</v>
      </c>
      <c r="C10" t="s">
        <v>104</v>
      </c>
    </row>
    <row r="11" spans="1:13" ht="24" customHeight="1">
      <c r="A11" t="s">
        <v>93</v>
      </c>
      <c r="B11">
        <v>1</v>
      </c>
      <c r="C11" t="s">
        <v>105</v>
      </c>
    </row>
    <row r="12" spans="1:13" s="4" customFormat="1" ht="24" customHeight="1">
      <c r="A12" s="4" t="s">
        <v>93</v>
      </c>
      <c r="B12" s="4">
        <v>1</v>
      </c>
      <c r="C12" s="4" t="s">
        <v>106</v>
      </c>
      <c r="D12" s="4">
        <v>19</v>
      </c>
    </row>
    <row r="13" spans="1:13" ht="24" customHeight="1">
      <c r="A13" t="s">
        <v>93</v>
      </c>
      <c r="B13">
        <v>1</v>
      </c>
      <c r="C13" t="s">
        <v>107</v>
      </c>
      <c r="D13" s="5">
        <v>19</v>
      </c>
      <c r="E13" s="2">
        <f>IF(AND(ISNUMBER(F13),ISNUMBER('Reference data'!$B$3)),F13*'Reference data'!$B$3,"Unknown")</f>
        <v>1.998078e-05</v>
      </c>
      <c r="F13" s="2">
        <f>IF(D13=0,0,IF(ISNUMBER('Reference data'!E17),D13*'Reference data'!E17/1000000,"Unknown"))</f>
        <v>2.28e-05</v>
      </c>
      <c r="G13" s="5">
        <f>IF(ISNUMBER(E13),ROUND(E13*'Reference data'!$B$2,0),"Unknown")</f>
        <v>2.0</v>
      </c>
      <c r="H13" s="5">
        <f>IF(ISNUMBER(F13),ROUND(F13*'Reference data'!$B$2,0),"Unknown")</f>
        <v>2.0</v>
      </c>
    </row>
    <row r="14" spans="1:13" ht="73" customHeight="1">
      <c r="A14" t="s">
        <v>93</v>
      </c>
      <c r="B14">
        <v>1</v>
      </c>
      <c r="C14" t="s">
        <v>108</v>
      </c>
      <c r="I14" s="6" t="s">
        <v>109</v>
      </c>
    </row>
    <row r="15" spans="1:13" ht="24" customHeight="1">
      <c r="A15" t="s">
        <v>93</v>
      </c>
      <c r="B15">
        <v>1</v>
      </c>
      <c r="C15" t="s">
        <v>104</v>
      </c>
    </row>
    <row r="16" spans="1:13" ht="24" customHeight="1">
      <c r="A16" t="s">
        <v>93</v>
      </c>
      <c r="B16">
        <v>1</v>
      </c>
      <c r="C16" t="s">
        <v>105</v>
      </c>
    </row>
    <row r="17" spans="1:13" s="4" customFormat="1" ht="24" customHeight="1">
      <c r="A17" s="4" t="s">
        <v>93</v>
      </c>
      <c r="B17" s="4">
        <v>1</v>
      </c>
      <c r="C17" s="4" t="s">
        <v>110</v>
      </c>
      <c r="E17" s="2">
        <f>IF(COUNT('Turns'!E5,'Turns'!E6,'Turns'!E13)=3,SUM('Turns'!E5,'Turns'!E6,'Turns'!E13),"Unknown")</f>
        <v>5.6244143e-05</v>
      </c>
      <c r="F17" s="2">
        <f>IF(COUNT('Turns'!F5,'Turns'!F6,'Turns'!F13)=3,SUM('Turns'!F5,'Turns'!F6,'Turns'!F13),"Unknown")</f>
        <v>6.418e-05</v>
      </c>
      <c r="G17" s="5">
        <f>IF(ISNUMBER(E17),ROUND(E17*'Reference data'!$B$2,0),"Unknown")</f>
        <v>6.0</v>
      </c>
      <c r="H17" s="5">
        <f>IF(ISNUMBER(F17),ROUND(F17*'Reference data'!$B$2,0),"Unknown")</f>
        <v>6.0</v>
      </c>
      <c r="K17" s="4" t="s">
        <v>111</v>
      </c>
    </row>
    <row r="18" spans="1:13" s="4" customFormat="1" ht="24" customHeight="1">
      <c r="B18" s="4">
        <v>1</v>
      </c>
      <c r="C18" s="4" t="s">
        <v>112</v>
      </c>
      <c r="K18" s="4" t="s">
        <v>111</v>
      </c>
      <c r="M18" s="4" t="s">
        <v>113</v>
      </c>
    </row>
    <row r="19" spans="1:13" ht="24" customHeight="1">
      <c r="B19">
        <v>1</v>
      </c>
      <c r="C19" t="s">
        <v>114</v>
      </c>
      <c r="I19" s="6" t="s">
        <v>115</v>
      </c>
    </row>
    <row r="20" spans="1:13" ht="24" customHeight="1">
      <c r="B20">
        <v>1</v>
      </c>
      <c r="C20" t="s">
        <v>116</v>
      </c>
      <c r="I20" s="6" t="s">
        <v>117</v>
      </c>
    </row>
    <row r="21" spans="1:13" s="4" customFormat="1" ht="24" customHeight="1">
      <c r="A21" s="4" t="s">
        <v>118</v>
      </c>
      <c r="B21" s="4">
        <v>1</v>
      </c>
      <c r="C21" s="4" t="s">
        <v>94</v>
      </c>
      <c r="D21" s="4">
        <v>2078</v>
      </c>
      <c r="J21" s="4" t="s">
        <v>95</v>
      </c>
      <c r="M21" s="4" t="s">
        <v>119</v>
      </c>
    </row>
    <row r="22" spans="1:13" ht="24" customHeight="1">
      <c r="A22" t="s">
        <v>118</v>
      </c>
      <c r="B22">
        <v>1</v>
      </c>
      <c r="C22" t="s">
        <v>97</v>
      </c>
      <c r="D22" s="5">
        <v>2075</v>
      </c>
      <c r="E22" s="2">
        <f>IF(AND(ISNUMBER(F22),ISNUMBER('Reference data'!$B$3)),F22*'Reference data'!$B$3,"Unknown")</f>
        <v>3.6368525e-05</v>
      </c>
      <c r="F22" s="2">
        <f>IF(D22=0,0,IF(ISNUMBER('Reference data'!C17),D22*'Reference data'!C17/1000000,"Unknown"))</f>
        <v>4.15e-05</v>
      </c>
      <c r="G22" s="5">
        <f>IF(ISNUMBER(E22),ROUND(E22*'Reference data'!$B$2,0),"Unknown")</f>
        <v>4.0</v>
      </c>
      <c r="H22" s="5">
        <f>IF(ISNUMBER(F22),ROUND(F22*'Reference data'!$B$2,0),"Unknown")</f>
        <v>4.0</v>
      </c>
    </row>
    <row r="23" spans="1:13" ht="24" customHeight="1">
      <c r="A23" t="s">
        <v>118</v>
      </c>
      <c r="B23">
        <v>1</v>
      </c>
      <c r="C23" t="s">
        <v>98</v>
      </c>
      <c r="D23" s="5">
        <v>3</v>
      </c>
      <c r="E23" s="2">
        <f>IF(AND(ISNUMBER(F23),ISNUMBER('Reference data'!$B$3)),F23*'Reference data'!$B$3,"Unknown")</f>
        <v>5.2581e-07</v>
      </c>
      <c r="F23" s="2">
        <f>IF(D23=0,0,IF(ISNUMBER('Reference data'!B17),D23*'Reference data'!B17/1000000,"Unknown"))</f>
        <v>6e-07</v>
      </c>
      <c r="G23" s="5">
        <f>IF(ISNUMBER(E23),ROUND(E23*'Reference data'!$B$2,0),"Unknown")</f>
        <v>0.0</v>
      </c>
      <c r="H23" s="5">
        <f>IF(ISNUMBER(F23),ROUND(F23*'Reference data'!$B$2,0),"Unknown")</f>
        <v>0.0</v>
      </c>
    </row>
    <row r="24" spans="1:13" ht="24" customHeight="1">
      <c r="A24" t="s">
        <v>118</v>
      </c>
      <c r="B24">
        <v>1</v>
      </c>
      <c r="C24" t="s">
        <v>120</v>
      </c>
      <c r="I24" s="6" t="s">
        <v>117</v>
      </c>
    </row>
    <row r="25" spans="1:13" ht="24" customHeight="1">
      <c r="A25" t="s">
        <v>118</v>
      </c>
      <c r="B25">
        <v>1</v>
      </c>
      <c r="C25" t="s">
        <v>104</v>
      </c>
    </row>
    <row r="26" spans="1:13" ht="24" customHeight="1">
      <c r="A26" t="s">
        <v>118</v>
      </c>
      <c r="B26">
        <v>1</v>
      </c>
      <c r="C26" t="s">
        <v>105</v>
      </c>
    </row>
    <row r="27" spans="1:13" s="4" customFormat="1" ht="24" customHeight="1">
      <c r="A27" s="4" t="s">
        <v>118</v>
      </c>
      <c r="B27" s="4">
        <v>1</v>
      </c>
      <c r="C27" s="4" t="s">
        <v>106</v>
      </c>
      <c r="D27" s="4">
        <v>6</v>
      </c>
    </row>
    <row r="28" spans="1:13" ht="24" customHeight="1">
      <c r="A28" t="s">
        <v>118</v>
      </c>
      <c r="B28">
        <v>1</v>
      </c>
      <c r="C28" t="s">
        <v>107</v>
      </c>
      <c r="D28" s="5">
        <v>6</v>
      </c>
      <c r="E28" s="2">
        <f>IF(AND(ISNUMBER(F28),ISNUMBER('Reference data'!$B$3)),F28*'Reference data'!$B$3,"Unknown")</f>
        <v>6.30972e-06</v>
      </c>
      <c r="F28" s="2">
        <f>IF(D28=0,0,IF(ISNUMBER('Reference data'!E17),D28*'Reference data'!E17/1000000,"Unknown"))</f>
        <v>7.2e-06</v>
      </c>
      <c r="G28" s="5">
        <f>IF(ISNUMBER(E28),ROUND(E28*'Reference data'!$B$2,0),"Unknown")</f>
        <v>1.0</v>
      </c>
      <c r="H28" s="5">
        <f>IF(ISNUMBER(F28),ROUND(F28*'Reference data'!$B$2,0),"Unknown")</f>
        <v>1.0</v>
      </c>
    </row>
    <row r="29" spans="1:13" ht="34" customHeight="1">
      <c r="A29" t="s">
        <v>118</v>
      </c>
      <c r="B29">
        <v>1</v>
      </c>
      <c r="C29" t="s">
        <v>108</v>
      </c>
      <c r="I29" s="6" t="s">
        <v>121</v>
      </c>
    </row>
    <row r="30" spans="1:13" ht="24" customHeight="1">
      <c r="A30" t="s">
        <v>118</v>
      </c>
      <c r="B30">
        <v>1</v>
      </c>
      <c r="C30" t="s">
        <v>104</v>
      </c>
    </row>
    <row r="31" spans="1:13" ht="24" customHeight="1">
      <c r="A31" t="s">
        <v>118</v>
      </c>
      <c r="B31">
        <v>1</v>
      </c>
      <c r="C31" t="s">
        <v>105</v>
      </c>
    </row>
    <row r="32" spans="1:13" s="4" customFormat="1" ht="24" customHeight="1">
      <c r="A32" s="4" t="s">
        <v>118</v>
      </c>
      <c r="B32" s="4">
        <v>1</v>
      </c>
      <c r="C32" s="4" t="s">
        <v>110</v>
      </c>
      <c r="E32" s="2">
        <f>IF(COUNT('Turns'!E22,'Turns'!E23,'Turns'!E28)=3,SUM('Turns'!E22,'Turns'!E23,'Turns'!E28),"Unknown")</f>
        <v>4.3204055e-05</v>
      </c>
      <c r="F32" s="2">
        <f>IF(COUNT('Turns'!F22,'Turns'!F23,'Turns'!F28)=3,SUM('Turns'!F22,'Turns'!F23,'Turns'!F28),"Unknown")</f>
        <v>4.93e-05</v>
      </c>
      <c r="G32" s="5">
        <f>IF(ISNUMBER(E32),ROUND(E32*'Reference data'!$B$2,0),"Unknown")</f>
        <v>4.0</v>
      </c>
      <c r="H32" s="5">
        <f>IF(ISNUMBER(F32),ROUND(F32*'Reference data'!$B$2,0),"Unknown")</f>
        <v>5.0</v>
      </c>
      <c r="K32" s="4" t="s">
        <v>111</v>
      </c>
    </row>
    <row r="33" spans="1:13" s="4" customFormat="1" ht="24" customHeight="1">
      <c r="B33" s="4">
        <v>2</v>
      </c>
      <c r="C33" s="4" t="s">
        <v>122</v>
      </c>
      <c r="E33" s="2">
        <f>IF(COUNT('Turns'!E46,'Turns'!E61)=2,SUM('Turns'!E46,'Turns'!E61),"Unknown")</f>
        <v>0.0001276579045</v>
      </c>
      <c r="F33" s="2">
        <f>IF(COUNT('Turns'!F46,'Turns'!F61)=2,SUM('Turns'!F46,'Turns'!F61),"Unknown")</f>
        <v>0.00014567</v>
      </c>
      <c r="G33" s="5">
        <f>IF(ISNUMBER(E33),ROUND(E33*'Reference data'!$B$2,0),"Unknown")</f>
        <v>13.0</v>
      </c>
      <c r="H33" s="5">
        <f>IF(ISNUMBER(F33),ROUND(F33*'Reference data'!$B$2,0),"Unknown")</f>
        <v>15.0</v>
      </c>
    </row>
    <row r="34" spans="1:13" s="4" customFormat="1" ht="24" customHeight="1">
      <c r="A34" s="4" t="s">
        <v>123</v>
      </c>
      <c r="B34" s="4">
        <v>2</v>
      </c>
      <c r="C34" s="4" t="s">
        <v>94</v>
      </c>
      <c r="D34" s="4">
        <v>2096</v>
      </c>
      <c r="J34" s="4" t="s">
        <v>95</v>
      </c>
      <c r="M34" s="4" t="s">
        <v>124</v>
      </c>
    </row>
    <row r="35" spans="1:13" ht="24" customHeight="1">
      <c r="A35" t="s">
        <v>123</v>
      </c>
      <c r="B35">
        <v>2</v>
      </c>
      <c r="C35" t="s">
        <v>97</v>
      </c>
      <c r="D35" s="5">
        <v>2093</v>
      </c>
      <c r="E35" s="2">
        <f>IF(AND(ISNUMBER(F35),ISNUMBER('Reference data'!$B$3)),F35*'Reference data'!$B$3,"Unknown")</f>
        <v>3.6684011e-05</v>
      </c>
      <c r="F35" s="2">
        <f>IF(D35=0,0,IF(ISNUMBER('Reference data'!C17),D35*'Reference data'!C17/1000000,"Unknown"))</f>
        <v>4.186e-05</v>
      </c>
      <c r="G35" s="5">
        <f>IF(ISNUMBER(E35),ROUND(E35*'Reference data'!$B$2,0),"Unknown")</f>
        <v>4.0</v>
      </c>
      <c r="H35" s="5">
        <f>IF(ISNUMBER(F35),ROUND(F35*'Reference data'!$B$2,0),"Unknown")</f>
        <v>4.0</v>
      </c>
    </row>
    <row r="36" spans="1:13" ht="24" customHeight="1">
      <c r="A36" t="s">
        <v>123</v>
      </c>
      <c r="B36">
        <v>2</v>
      </c>
      <c r="C36" t="s">
        <v>98</v>
      </c>
      <c r="D36" s="5">
        <v>3</v>
      </c>
      <c r="E36" s="2">
        <f>IF(AND(ISNUMBER(F36),ISNUMBER('Reference data'!$B$3)),F36*'Reference data'!$B$3,"Unknown")</f>
        <v>5.2581e-07</v>
      </c>
      <c r="F36" s="2">
        <f>IF(D36=0,0,IF(ISNUMBER('Reference data'!B17),D36*'Reference data'!B17/1000000,"Unknown"))</f>
        <v>6e-07</v>
      </c>
      <c r="G36" s="5">
        <f>IF(ISNUMBER(E36),ROUND(E36*'Reference data'!$B$2,0),"Unknown")</f>
        <v>0.0</v>
      </c>
      <c r="H36" s="5">
        <f>IF(ISNUMBER(F36),ROUND(F36*'Reference data'!$B$2,0),"Unknown")</f>
        <v>0.0</v>
      </c>
    </row>
    <row r="37" spans="1:13" ht="24" customHeight="1">
      <c r="A37" t="s">
        <v>123</v>
      </c>
      <c r="B37">
        <v>2</v>
      </c>
      <c r="C37" t="s">
        <v>102</v>
      </c>
      <c r="I37" s="6" t="s">
        <v>125</v>
      </c>
    </row>
    <row r="38" spans="1:13" ht="24" customHeight="1">
      <c r="A38" t="s">
        <v>123</v>
      </c>
      <c r="B38">
        <v>2</v>
      </c>
      <c r="C38" t="s">
        <v>104</v>
      </c>
    </row>
    <row r="39" spans="1:13" ht="24" customHeight="1">
      <c r="A39" t="s">
        <v>123</v>
      </c>
      <c r="B39">
        <v>2</v>
      </c>
      <c r="C39" t="s">
        <v>105</v>
      </c>
    </row>
    <row r="40" spans="1:13" s="4" customFormat="1" ht="24" customHeight="1">
      <c r="A40" s="4" t="s">
        <v>123</v>
      </c>
      <c r="B40" s="4">
        <v>2</v>
      </c>
      <c r="C40" s="4" t="s">
        <v>106</v>
      </c>
      <c r="D40" s="4">
        <v>34</v>
      </c>
    </row>
    <row r="41" spans="1:13" ht="24" customHeight="1">
      <c r="A41" t="s">
        <v>123</v>
      </c>
      <c r="B41">
        <v>2</v>
      </c>
      <c r="C41" t="s">
        <v>126</v>
      </c>
      <c r="D41" s="5">
        <v>13</v>
      </c>
      <c r="E41" s="2">
        <f>IF(AND(ISNUMBER(F41),ISNUMBER('Reference data'!$B$3)),F41*'Reference data'!$B$3,"Unknown")</f>
        <v>1.367106e-05</v>
      </c>
      <c r="F41" s="2">
        <f>IF(D41=0,0,IF(ISNUMBER('Reference data'!F17),D41*'Reference data'!F17/1000000,"Unknown"))</f>
        <v>1.56e-05</v>
      </c>
      <c r="G41" s="5">
        <f>IF(ISNUMBER(E41),ROUND(E41*'Reference data'!$B$2,0),"Unknown")</f>
        <v>1.0</v>
      </c>
      <c r="H41" s="5">
        <f>IF(ISNUMBER(F41),ROUND(F41*'Reference data'!$B$2,0),"Unknown")</f>
        <v>2.0</v>
      </c>
    </row>
    <row r="42" spans="1:13" ht="24" customHeight="1">
      <c r="A42" t="s">
        <v>123</v>
      </c>
      <c r="B42">
        <v>2</v>
      </c>
      <c r="C42" t="s">
        <v>107</v>
      </c>
      <c r="D42" s="5">
        <v>21</v>
      </c>
      <c r="E42" s="2">
        <f>IF(AND(ISNUMBER(F42),ISNUMBER('Reference data'!$B$3)),F42*'Reference data'!$B$3,"Unknown")</f>
        <v>2.208402e-05</v>
      </c>
      <c r="F42" s="2">
        <f>IF(D42=0,0,IF(ISNUMBER('Reference data'!E17),D42*'Reference data'!E17/1000000,"Unknown"))</f>
        <v>2.52e-05</v>
      </c>
      <c r="G42" s="5">
        <f>IF(ISNUMBER(E42),ROUND(E42*'Reference data'!$B$2,0),"Unknown")</f>
        <v>2.0</v>
      </c>
      <c r="H42" s="5">
        <f>IF(ISNUMBER(F42),ROUND(F42*'Reference data'!$B$2,0),"Unknown")</f>
        <v>3.0</v>
      </c>
    </row>
    <row r="43" spans="1:13" ht="281" customHeight="1">
      <c r="A43" t="s">
        <v>123</v>
      </c>
      <c r="B43">
        <v>2</v>
      </c>
      <c r="C43" t="s">
        <v>108</v>
      </c>
      <c r="I43" s="6" t="s">
        <v>127</v>
      </c>
    </row>
    <row r="44" spans="1:13" ht="24" customHeight="1">
      <c r="A44" t="s">
        <v>123</v>
      </c>
      <c r="B44">
        <v>2</v>
      </c>
      <c r="C44" t="s">
        <v>104</v>
      </c>
    </row>
    <row r="45" spans="1:13" ht="24" customHeight="1">
      <c r="A45" t="s">
        <v>123</v>
      </c>
      <c r="B45">
        <v>2</v>
      </c>
      <c r="C45" t="s">
        <v>105</v>
      </c>
    </row>
    <row r="46" spans="1:13" s="4" customFormat="1" ht="24" customHeight="1">
      <c r="A46" s="4" t="s">
        <v>123</v>
      </c>
      <c r="B46" s="4">
        <v>2</v>
      </c>
      <c r="C46" s="4" t="s">
        <v>110</v>
      </c>
      <c r="E46" s="2">
        <f>IF(COUNT('Turns'!E35,'Turns'!E36,'Turns'!E41,'Turns'!E42)=4,SUM('Turns'!E35,'Turns'!E36,'Turns'!E41,'Turns'!E42),"Unknown")</f>
        <v>7.2964901e-05</v>
      </c>
      <c r="F46" s="2">
        <f>IF(COUNT('Turns'!F35,'Turns'!F36,'Turns'!F41,'Turns'!F42)=4,SUM('Turns'!F35,'Turns'!F36,'Turns'!F41,'Turns'!F42),"Unknown")</f>
        <v>8.326e-05</v>
      </c>
      <c r="G46" s="5">
        <f>IF(ISNUMBER(E46),ROUND(E46*'Reference data'!$B$2,0),"Unknown")</f>
        <v>7.0</v>
      </c>
      <c r="H46" s="5">
        <f>IF(ISNUMBER(F46),ROUND(F46*'Reference data'!$B$2,0),"Unknown")</f>
        <v>8.0</v>
      </c>
      <c r="K46" s="4" t="s">
        <v>111</v>
      </c>
    </row>
    <row r="47" spans="1:13" s="4" customFormat="1" ht="24" customHeight="1">
      <c r="B47" s="4">
        <v>2</v>
      </c>
      <c r="C47" s="4" t="s">
        <v>112</v>
      </c>
      <c r="K47" s="4" t="s">
        <v>111</v>
      </c>
      <c r="M47" s="4" t="s">
        <v>128</v>
      </c>
    </row>
    <row r="48" spans="1:13" ht="24" customHeight="1">
      <c r="B48">
        <v>2</v>
      </c>
      <c r="C48" t="s">
        <v>114</v>
      </c>
      <c r="I48" s="6" t="s">
        <v>129</v>
      </c>
    </row>
    <row r="49" spans="1:13" ht="24" customHeight="1">
      <c r="B49">
        <v>2</v>
      </c>
      <c r="C49" t="s">
        <v>116</v>
      </c>
      <c r="I49" s="6" t="s">
        <v>130</v>
      </c>
    </row>
    <row r="50" spans="1:13" s="4" customFormat="1" ht="24" customHeight="1">
      <c r="A50" s="4" t="s">
        <v>131</v>
      </c>
      <c r="B50" s="4">
        <v>2</v>
      </c>
      <c r="C50" s="4" t="s">
        <v>94</v>
      </c>
      <c r="D50" s="4">
        <v>2147</v>
      </c>
      <c r="J50" s="4" t="s">
        <v>95</v>
      </c>
      <c r="M50" s="4" t="s">
        <v>132</v>
      </c>
    </row>
    <row r="51" spans="1:13" ht="24" customHeight="1">
      <c r="A51" t="s">
        <v>131</v>
      </c>
      <c r="B51">
        <v>2</v>
      </c>
      <c r="C51" t="s">
        <v>97</v>
      </c>
      <c r="D51" s="5">
        <v>2093</v>
      </c>
      <c r="E51" s="2">
        <f>IF(AND(ISNUMBER(F51),ISNUMBER('Reference data'!$B$3)),F51*'Reference data'!$B$3,"Unknown")</f>
        <v>3.6684011e-05</v>
      </c>
      <c r="F51" s="2">
        <f>IF(D51=0,0,IF(ISNUMBER('Reference data'!C17),D51*'Reference data'!C17/1000000,"Unknown"))</f>
        <v>4.186e-05</v>
      </c>
      <c r="G51" s="5">
        <f>IF(ISNUMBER(E51),ROUND(E51*'Reference data'!$B$2,0),"Unknown")</f>
        <v>4.0</v>
      </c>
      <c r="H51" s="5">
        <f>IF(ISNUMBER(F51),ROUND(F51*'Reference data'!$B$2,0),"Unknown")</f>
        <v>4.0</v>
      </c>
    </row>
    <row r="52" spans="1:13" ht="24" customHeight="1">
      <c r="A52" t="s">
        <v>131</v>
      </c>
      <c r="B52">
        <v>2</v>
      </c>
      <c r="C52" t="s">
        <v>98</v>
      </c>
      <c r="D52" s="5">
        <v>3</v>
      </c>
      <c r="E52" s="2">
        <f>IF(AND(ISNUMBER(F52),ISNUMBER('Reference data'!$B$3)),F52*'Reference data'!$B$3,"Unknown")</f>
        <v>5.2581e-07</v>
      </c>
      <c r="F52" s="2">
        <f>IF(D52=0,0,IF(ISNUMBER('Reference data'!B17),D52*'Reference data'!B17/1000000,"Unknown"))</f>
        <v>6e-07</v>
      </c>
      <c r="G52" s="5">
        <f>IF(ISNUMBER(E52),ROUND(E52*'Reference data'!$B$2,0),"Unknown")</f>
        <v>0.0</v>
      </c>
      <c r="H52" s="5">
        <f>IF(ISNUMBER(F52),ROUND(F52*'Reference data'!$B$2,0),"Unknown")</f>
        <v>0.0</v>
      </c>
    </row>
    <row r="53" spans="1:13" ht="24" customHeight="1">
      <c r="A53" t="s">
        <v>131</v>
      </c>
      <c r="B53">
        <v>2</v>
      </c>
      <c r="C53" t="s">
        <v>120</v>
      </c>
      <c r="I53" s="6" t="s">
        <v>130</v>
      </c>
    </row>
    <row r="54" spans="1:13" ht="24" customHeight="1">
      <c r="A54" t="s">
        <v>131</v>
      </c>
      <c r="B54">
        <v>2</v>
      </c>
      <c r="C54" t="s">
        <v>104</v>
      </c>
      <c r="D54" s="5">
        <v>51</v>
      </c>
      <c r="E54" s="2">
        <f>IF(AND(ISNUMBER(F54),ISNUMBER('Reference data'!$B$3)),F54*'Reference data'!$B$3,"Unknown")</f>
        <v>1.11734625e-05</v>
      </c>
      <c r="F54" s="2">
        <f>IF(D54=0,0,IF(ISNUMBER('Reference data'!D17),D54*'Reference data'!D17/1000000,"Unknown"))</f>
        <v>1.275e-05</v>
      </c>
      <c r="G54" s="5">
        <f>IF(ISNUMBER(E54),ROUND(E54*'Reference data'!$B$2,0),"Unknown")</f>
        <v>1.0</v>
      </c>
      <c r="H54" s="5">
        <f>IF(ISNUMBER(F54),ROUND(F54*'Reference data'!$B$2,0),"Unknown")</f>
        <v>1.0</v>
      </c>
    </row>
    <row r="55" spans="1:13" ht="24" customHeight="1">
      <c r="A55" t="s">
        <v>131</v>
      </c>
      <c r="B55">
        <v>2</v>
      </c>
      <c r="C55" t="s">
        <v>105</v>
      </c>
    </row>
    <row r="56" spans="1:13" s="4" customFormat="1" ht="24" customHeight="1">
      <c r="A56" s="4" t="s">
        <v>131</v>
      </c>
      <c r="B56" s="4">
        <v>2</v>
      </c>
      <c r="C56" s="4" t="s">
        <v>106</v>
      </c>
      <c r="D56" s="4">
        <v>6</v>
      </c>
    </row>
    <row r="57" spans="1:13" ht="24" customHeight="1">
      <c r="A57" t="s">
        <v>131</v>
      </c>
      <c r="B57">
        <v>2</v>
      </c>
      <c r="C57" t="s">
        <v>107</v>
      </c>
      <c r="D57" s="5">
        <v>6</v>
      </c>
      <c r="E57" s="2">
        <f>IF(AND(ISNUMBER(F57),ISNUMBER('Reference data'!$B$3)),F57*'Reference data'!$B$3,"Unknown")</f>
        <v>6.30972e-06</v>
      </c>
      <c r="F57" s="2">
        <f>IF(D57=0,0,IF(ISNUMBER('Reference data'!E17),D57*'Reference data'!E17/1000000,"Unknown"))</f>
        <v>7.2e-06</v>
      </c>
      <c r="G57" s="5">
        <f>IF(ISNUMBER(E57),ROUND(E57*'Reference data'!$B$2,0),"Unknown")</f>
        <v>1.0</v>
      </c>
      <c r="H57" s="5">
        <f>IF(ISNUMBER(F57),ROUND(F57*'Reference data'!$B$2,0),"Unknown")</f>
        <v>1.0</v>
      </c>
    </row>
    <row r="58" spans="1:13" ht="34" customHeight="1">
      <c r="A58" t="s">
        <v>131</v>
      </c>
      <c r="B58">
        <v>2</v>
      </c>
      <c r="C58" t="s">
        <v>108</v>
      </c>
      <c r="I58" s="6" t="s">
        <v>133</v>
      </c>
    </row>
    <row r="59" spans="1:13" ht="24" customHeight="1">
      <c r="A59" t="s">
        <v>131</v>
      </c>
      <c r="B59">
        <v>2</v>
      </c>
      <c r="C59" t="s">
        <v>104</v>
      </c>
    </row>
    <row r="60" spans="1:13" ht="24" customHeight="1">
      <c r="A60" t="s">
        <v>131</v>
      </c>
      <c r="B60">
        <v>2</v>
      </c>
      <c r="C60" t="s">
        <v>105</v>
      </c>
    </row>
    <row r="61" spans="1:13" s="4" customFormat="1" ht="24" customHeight="1">
      <c r="A61" s="4" t="s">
        <v>131</v>
      </c>
      <c r="B61" s="4">
        <v>2</v>
      </c>
      <c r="C61" s="4" t="s">
        <v>110</v>
      </c>
      <c r="E61" s="2">
        <f>IF(COUNT('Turns'!E51,'Turns'!E52,'Turns'!E54,'Turns'!E57)=4,SUM('Turns'!E51,'Turns'!E52,'Turns'!E54,'Turns'!E57),"Unknown")</f>
        <v>5.46930035e-05</v>
      </c>
      <c r="F61" s="2">
        <f>IF(COUNT('Turns'!F51,'Turns'!F52,'Turns'!F54,'Turns'!F57)=4,SUM('Turns'!F51,'Turns'!F52,'Turns'!F54,'Turns'!F57),"Unknown")</f>
        <v>6.241e-05</v>
      </c>
      <c r="G61" s="5">
        <f>IF(ISNUMBER(E61),ROUND(E61*'Reference data'!$B$2,0),"Unknown")</f>
        <v>5.0</v>
      </c>
      <c r="H61" s="5">
        <f>IF(ISNUMBER(F61),ROUND(F61*'Reference data'!$B$2,0),"Unknown")</f>
        <v>6.0</v>
      </c>
      <c r="K61" s="4" t="s">
        <v>111</v>
      </c>
    </row>
  </sheetData>
  <conditionalFormatting sqref="A2:AE61">
    <cfRule type="expression" dxfId="0" priority="1">
      <formula>$K2="error"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73B70"/>
  </sheetPr>
  <dimension ref="A1:AE17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48.7109375" customWidth="1"/>
    <col min="2" max="6" width="18.7109375" style="1" customWidth="1"/>
    <col min="7" max="7" width="62.7109375" customWidth="1"/>
    <col min="8" max="9" width="38.7109375" customWidth="1"/>
    <col min="10" max="31" width="18.7109375" style="1" customWidth="1"/>
  </cols>
  <sheetData>
    <row r="1" spans="1:31" ht="44" customHeight="1">
      <c r="A1" s="3" t="s">
        <v>13</v>
      </c>
      <c r="B1" s="3" t="s">
        <v>14</v>
      </c>
      <c r="C1" s="3" t="s">
        <v>15</v>
      </c>
      <c r="D1" s="3" t="s">
        <v>9</v>
      </c>
      <c r="E1" s="3" t="s">
        <v>10</v>
      </c>
      <c r="F1" s="3" t="s">
        <v>16</v>
      </c>
      <c r="G1" s="3" t="s">
        <v>17</v>
      </c>
      <c r="H1" s="3" t="s">
        <v>12</v>
      </c>
      <c r="I1" s="3" t="s">
        <v>18</v>
      </c>
      <c r="J1" s="3" t="s">
        <v>19</v>
      </c>
      <c r="K1" s="3" t="s">
        <v>20</v>
      </c>
      <c r="L1" s="3" t="s">
        <v>21</v>
      </c>
      <c r="M1" s="3" t="s">
        <v>22</v>
      </c>
      <c r="N1" s="3" t="s">
        <v>23</v>
      </c>
      <c r="O1" s="3" t="s">
        <v>24</v>
      </c>
      <c r="P1" s="3" t="s">
        <v>25</v>
      </c>
      <c r="Q1" s="3" t="s">
        <v>26</v>
      </c>
      <c r="R1" s="3" t="s">
        <v>27</v>
      </c>
      <c r="S1" s="3" t="s">
        <v>28</v>
      </c>
      <c r="T1" s="3" t="s">
        <v>29</v>
      </c>
      <c r="U1" s="3" t="s">
        <v>30</v>
      </c>
      <c r="V1" s="3" t="s">
        <v>31</v>
      </c>
      <c r="W1" s="3" t="s">
        <v>32</v>
      </c>
      <c r="X1" s="3" t="s">
        <v>33</v>
      </c>
      <c r="Y1" s="3" t="s">
        <v>34</v>
      </c>
      <c r="Z1" s="3" t="s">
        <v>35</v>
      </c>
      <c r="AA1" s="3" t="s">
        <v>6</v>
      </c>
      <c r="AB1" s="3" t="s">
        <v>7</v>
      </c>
      <c r="AC1" s="3" t="s">
        <v>0</v>
      </c>
      <c r="AD1" s="3" t="s">
        <v>36</v>
      </c>
      <c r="AE1" s="3" t="s">
        <v>37</v>
      </c>
    </row>
    <row r="2" spans="1:31" ht="54" customHeight="1">
      <c r="A2" s="6" t="s">
        <v>134</v>
      </c>
      <c r="B2" s="1">
        <v>0</v>
      </c>
      <c r="C2" s="1" t="s">
        <v>135</v>
      </c>
      <c r="D2" s="1" t="s">
        <v>47</v>
      </c>
      <c r="E2" s="1" t="s">
        <v>111</v>
      </c>
      <c r="G2" s="6" t="s">
        <v>136</v>
      </c>
      <c r="H2" t="s">
        <v>49</v>
      </c>
      <c r="J2" s="2">
        <f>IF(COUNT('Turns'!D6,'Turns'!D23)=2,SUM('Turns'!D6,'Turns'!D23),"Unknown")</f>
        <v>6.0</v>
      </c>
      <c r="K2" s="2">
        <f>IF(COUNT('Turns'!E6,'Turns'!E23)=2,SUM('Turns'!E6,'Turns'!E23),"Unknown")</f>
        <v>1.05162e-06</v>
      </c>
      <c r="L2" s="2">
        <f>IF(COUNT('Turns'!F6,'Turns'!F23)=2,SUM('Turns'!F6,'Turns'!F23),"Unknown")</f>
        <v>1.2e-06</v>
      </c>
      <c r="M2" s="2">
        <f>IF(COUNT('Turns'!D5,'Turns'!D22)=2,SUM('Turns'!D5,'Turns'!D22),"Unknown")</f>
        <v>4114.0</v>
      </c>
      <c r="N2" s="2">
        <f>IF(COUNT('Turns'!E5,'Turns'!E22)=2,SUM('Turns'!E5,'Turns'!E22),"Unknown")</f>
        <v>7.2106078e-05</v>
      </c>
      <c r="O2" s="2">
        <f>IF(COUNT('Turns'!F5,'Turns'!F22)=2,SUM('Turns'!F5,'Turns'!F22),"Unknown")</f>
        <v>8.228e-05</v>
      </c>
      <c r="P2" s="2">
        <v>0</v>
      </c>
      <c r="Q2" s="2">
        <v>0</v>
      </c>
      <c r="R2" s="2">
        <v>0</v>
      </c>
      <c r="S2" s="2">
        <f>IF(COUNT('Turns'!D13,'Turns'!D28)=2,SUM('Turns'!D13,'Turns'!D28),"Unknown")</f>
        <v>25.0</v>
      </c>
      <c r="T2" s="2">
        <f>IF(COUNT('Turns'!E13,'Turns'!E28)=2,SUM('Turns'!E13,'Turns'!E28),"Unknown")</f>
        <v>2.62905e-05</v>
      </c>
      <c r="U2" s="2">
        <f>IF(COUNT('Turns'!F13,'Turns'!F28)=2,SUM('Turns'!F13,'Turns'!F28),"Unknown")</f>
        <v>3e-05</v>
      </c>
      <c r="V2" s="2">
        <v>0</v>
      </c>
      <c r="W2" s="2">
        <v>0</v>
      </c>
      <c r="X2" s="2">
        <v>0</v>
      </c>
      <c r="Y2" s="2">
        <f>IF(COUNT('Turns'!E17,'Turns'!E32)=2,SUM('Turns'!E17,'Turns'!E32),"Unknown")</f>
        <v>9.9448198e-05</v>
      </c>
      <c r="Z2" s="2">
        <f>IF(COUNT('Turns'!F17,'Turns'!F32)=2,SUM('Turns'!F17,'Turns'!F32),"Unknown")</f>
        <v>0.00011348</v>
      </c>
      <c r="AA2" s="5">
        <f>IF(ISNUMBER(Y2),ROUND(Y2*'Reference data'!$B$2,0),"Unknown")</f>
        <v>10.0</v>
      </c>
      <c r="AB2" s="5">
        <f>IF(ISNUMBER(Z2),ROUND(Z2*'Reference data'!$B$2,0),"Unknown")</f>
        <v>11.0</v>
      </c>
      <c r="AD2" s="1">
        <v>2137.39</v>
      </c>
      <c r="AE2" s="1" t="s">
        <v>137</v>
      </c>
    </row>
    <row r="3" spans="1:31" ht="54" customHeight="1">
      <c r="A3" s="6" t="s">
        <v>138</v>
      </c>
      <c r="B3" s="1">
        <v>1</v>
      </c>
      <c r="C3" s="1" t="s">
        <v>135</v>
      </c>
      <c r="D3" s="1" t="s">
        <v>47</v>
      </c>
      <c r="E3" s="1" t="s">
        <v>111</v>
      </c>
      <c r="G3" s="6" t="s">
        <v>139</v>
      </c>
      <c r="H3" t="s">
        <v>140</v>
      </c>
      <c r="I3" t="s">
        <v>49</v>
      </c>
      <c r="AD3" s="1">
        <v>0.497</v>
      </c>
      <c r="AE3" s="1" t="s">
        <v>141</v>
      </c>
    </row>
    <row r="4" spans="1:31" ht="54" customHeight="1">
      <c r="A4" s="6" t="s">
        <v>142</v>
      </c>
      <c r="B4" s="1">
        <v>1</v>
      </c>
      <c r="C4" s="1" t="s">
        <v>135</v>
      </c>
      <c r="D4" s="1" t="s">
        <v>47</v>
      </c>
      <c r="E4" s="1" t="s">
        <v>111</v>
      </c>
      <c r="G4" s="6" t="s">
        <v>143</v>
      </c>
      <c r="H4" t="s">
        <v>144</v>
      </c>
      <c r="I4" t="s">
        <v>49</v>
      </c>
      <c r="J4" s="2">
        <f>IF(COUNT('Turns'!D6)=1,SUM('Turns'!D6),"Unknown")</f>
        <v>3.0</v>
      </c>
      <c r="K4" s="2">
        <f>IF(COUNT('Turns'!E6)=1,SUM('Turns'!E6),"Unknown")</f>
        <v>5.2581e-07</v>
      </c>
      <c r="L4" s="2">
        <f>IF(COUNT('Turns'!F6)=1,SUM('Turns'!F6),"Unknown")</f>
        <v>6e-07</v>
      </c>
      <c r="M4" s="2">
        <f>IF(COUNT('Turns'!D5)=1,SUM('Turns'!D5),"Unknown")</f>
        <v>2039.0</v>
      </c>
      <c r="N4" s="2">
        <f>IF(COUNT('Turns'!E5)=1,SUM('Turns'!E5),"Unknown")</f>
        <v>3.5737553e-05</v>
      </c>
      <c r="O4" s="2">
        <f>IF(COUNT('Turns'!F5)=1,SUM('Turns'!F5),"Unknown")</f>
        <v>4.078e-05</v>
      </c>
      <c r="P4" s="2">
        <v>0</v>
      </c>
      <c r="Q4" s="2">
        <v>0</v>
      </c>
      <c r="R4" s="2">
        <v>0</v>
      </c>
      <c r="S4" s="2">
        <f>IF(COUNT('Turns'!D13)=1,SUM('Turns'!D13),"Unknown")</f>
        <v>19.0</v>
      </c>
      <c r="T4" s="2">
        <f>IF(COUNT('Turns'!E13)=1,SUM('Turns'!E13),"Unknown")</f>
        <v>1.998078e-05</v>
      </c>
      <c r="U4" s="2">
        <f>IF(COUNT('Turns'!F13)=1,SUM('Turns'!F13),"Unknown")</f>
        <v>2.28e-05</v>
      </c>
      <c r="V4" s="2">
        <v>0</v>
      </c>
      <c r="W4" s="2">
        <v>0</v>
      </c>
      <c r="X4" s="2">
        <v>0</v>
      </c>
      <c r="Y4" s="2">
        <f>IF(COUNT('Turns'!E17)=1,SUM('Turns'!E17),"Unknown")</f>
        <v>5.6244143e-05</v>
      </c>
      <c r="Z4" s="2">
        <f>IF(COUNT('Turns'!F17)=1,SUM('Turns'!F17),"Unknown")</f>
        <v>6.418e-05</v>
      </c>
      <c r="AA4" s="5">
        <f>IF(ISNUMBER(Y4),ROUND(Y4*'Reference data'!$B$2,0),"Unknown")</f>
        <v>6.0</v>
      </c>
      <c r="AB4" s="5">
        <f>IF(ISNUMBER(Z4),ROUND(Z4*'Reference data'!$B$2,0),"Unknown")</f>
        <v>6.0</v>
      </c>
      <c r="AD4" s="1">
        <v>1312.13</v>
      </c>
      <c r="AE4" s="1" t="s">
        <v>137</v>
      </c>
    </row>
    <row r="5" spans="1:31" ht="54" customHeight="1">
      <c r="A5" s="6" t="s">
        <v>145</v>
      </c>
      <c r="B5" s="1">
        <v>2</v>
      </c>
      <c r="C5" s="1" t="s">
        <v>146</v>
      </c>
      <c r="D5" s="1" t="s">
        <v>95</v>
      </c>
      <c r="E5" s="1" t="s">
        <v>111</v>
      </c>
      <c r="F5" s="1">
        <v>2042</v>
      </c>
      <c r="G5" s="6" t="s">
        <v>147</v>
      </c>
      <c r="H5" t="s">
        <v>96</v>
      </c>
      <c r="I5" t="s">
        <v>144</v>
      </c>
      <c r="J5" s="2">
        <f>IF(COUNT('Turns'!D6)=1,SUM('Turns'!D6),"Unknown")</f>
        <v>3.0</v>
      </c>
      <c r="K5" s="2">
        <f>IF(COUNT('Turns'!E6)=1,SUM('Turns'!E6),"Unknown")</f>
        <v>5.2581e-07</v>
      </c>
      <c r="L5" s="2">
        <f>IF(COUNT('Turns'!F6)=1,SUM('Turns'!F6),"Unknown")</f>
        <v>6e-07</v>
      </c>
      <c r="M5" s="2">
        <f>IF(COUNT('Turns'!D5)=1,SUM('Turns'!D5),"Unknown")</f>
        <v>2039.0</v>
      </c>
      <c r="N5" s="2">
        <f>IF(COUNT('Turns'!E5)=1,SUM('Turns'!E5),"Unknown")</f>
        <v>3.5737553e-05</v>
      </c>
      <c r="O5" s="2">
        <f>IF(COUNT('Turns'!F5)=1,SUM('Turns'!F5),"Unknown")</f>
        <v>4.078e-05</v>
      </c>
      <c r="P5" s="2">
        <v>0</v>
      </c>
      <c r="Q5" s="2">
        <v>0</v>
      </c>
      <c r="R5" s="2">
        <v>0</v>
      </c>
      <c r="S5" s="2">
        <f>IF(COUNT('Turns'!D13)=1,SUM('Turns'!D13),"Unknown")</f>
        <v>19.0</v>
      </c>
      <c r="T5" s="2">
        <f>IF(COUNT('Turns'!E13)=1,SUM('Turns'!E13),"Unknown")</f>
        <v>1.998078e-05</v>
      </c>
      <c r="U5" s="2">
        <f>IF(COUNT('Turns'!F13)=1,SUM('Turns'!F13),"Unknown")</f>
        <v>2.28e-05</v>
      </c>
      <c r="V5" s="2">
        <v>0</v>
      </c>
      <c r="W5" s="2">
        <v>0</v>
      </c>
      <c r="X5" s="2">
        <v>0</v>
      </c>
      <c r="Y5" s="2">
        <f>IF(COUNT('Turns'!E17)=1,SUM('Turns'!E17),"Unknown")</f>
        <v>5.6244143e-05</v>
      </c>
      <c r="Z5" s="2">
        <f>IF(COUNT('Turns'!F17)=1,SUM('Turns'!F17),"Unknown")</f>
        <v>6.418e-05</v>
      </c>
      <c r="AA5" s="5">
        <f>IF(ISNUMBER(Y5),ROUND(Y5*'Reference data'!$B$2,0),"Unknown")</f>
        <v>6.0</v>
      </c>
      <c r="AB5" s="5">
        <f>IF(ISNUMBER(Z5),ROUND(Z5*'Reference data'!$B$2,0),"Unknown")</f>
        <v>6.0</v>
      </c>
      <c r="AC5" s="1" t="s">
        <v>93</v>
      </c>
      <c r="AD5" s="1">
        <v>1301.829</v>
      </c>
      <c r="AE5" s="1" t="s">
        <v>148</v>
      </c>
    </row>
    <row r="6" spans="1:31" ht="54" customHeight="1">
      <c r="A6" s="6" t="s">
        <v>149</v>
      </c>
      <c r="B6" s="1">
        <v>1</v>
      </c>
      <c r="C6" s="1" t="s">
        <v>135</v>
      </c>
      <c r="D6" s="1" t="s">
        <v>47</v>
      </c>
      <c r="E6" s="1" t="s">
        <v>111</v>
      </c>
      <c r="G6" s="6" t="s">
        <v>150</v>
      </c>
      <c r="H6" t="s">
        <v>151</v>
      </c>
      <c r="I6" t="s">
        <v>49</v>
      </c>
      <c r="AD6" s="1">
        <v>2.268</v>
      </c>
      <c r="AE6" s="1" t="s">
        <v>141</v>
      </c>
    </row>
    <row r="7" spans="1:31" ht="54" customHeight="1">
      <c r="A7" s="6" t="s">
        <v>152</v>
      </c>
      <c r="B7" s="1">
        <v>2</v>
      </c>
      <c r="C7" s="1" t="s">
        <v>153</v>
      </c>
      <c r="D7" s="1" t="s">
        <v>47</v>
      </c>
      <c r="E7" s="1" t="s">
        <v>111</v>
      </c>
      <c r="G7" s="6" t="s">
        <v>154</v>
      </c>
      <c r="H7" t="s">
        <v>113</v>
      </c>
      <c r="I7" t="s">
        <v>151</v>
      </c>
      <c r="AD7" s="1">
        <v>0.59</v>
      </c>
      <c r="AE7" s="1" t="s">
        <v>141</v>
      </c>
    </row>
    <row r="8" spans="1:31" ht="54" customHeight="1">
      <c r="A8" s="6" t="s">
        <v>142</v>
      </c>
      <c r="B8" s="1">
        <v>1</v>
      </c>
      <c r="C8" s="1" t="s">
        <v>135</v>
      </c>
      <c r="D8" s="1" t="s">
        <v>47</v>
      </c>
      <c r="E8" s="1" t="s">
        <v>111</v>
      </c>
      <c r="G8" s="6" t="s">
        <v>143</v>
      </c>
      <c r="H8" t="s">
        <v>155</v>
      </c>
      <c r="I8" t="s">
        <v>49</v>
      </c>
      <c r="J8" s="2">
        <f>IF(COUNT('Turns'!D23)=1,SUM('Turns'!D23),"Unknown")</f>
        <v>3.0</v>
      </c>
      <c r="K8" s="2">
        <f>IF(COUNT('Turns'!E23)=1,SUM('Turns'!E23),"Unknown")</f>
        <v>5.2581e-07</v>
      </c>
      <c r="L8" s="2">
        <f>IF(COUNT('Turns'!F23)=1,SUM('Turns'!F23),"Unknown")</f>
        <v>6e-07</v>
      </c>
      <c r="M8" s="2">
        <f>IF(COUNT('Turns'!D22)=1,SUM('Turns'!D22),"Unknown")</f>
        <v>2075.0</v>
      </c>
      <c r="N8" s="2">
        <f>IF(COUNT('Turns'!E22)=1,SUM('Turns'!E22),"Unknown")</f>
        <v>3.6368525e-05</v>
      </c>
      <c r="O8" s="2">
        <f>IF(COUNT('Turns'!F22)=1,SUM('Turns'!F22),"Unknown")</f>
        <v>4.15e-05</v>
      </c>
      <c r="P8" s="2">
        <v>0</v>
      </c>
      <c r="Q8" s="2">
        <v>0</v>
      </c>
      <c r="R8" s="2">
        <v>0</v>
      </c>
      <c r="S8" s="2">
        <f>IF(COUNT('Turns'!D28)=1,SUM('Turns'!D28),"Unknown")</f>
        <v>6.0</v>
      </c>
      <c r="T8" s="2">
        <f>IF(COUNT('Turns'!E28)=1,SUM('Turns'!E28),"Unknown")</f>
        <v>6.30972e-06</v>
      </c>
      <c r="U8" s="2">
        <f>IF(COUNT('Turns'!F28)=1,SUM('Turns'!F28),"Unknown")</f>
        <v>7.2e-06</v>
      </c>
      <c r="V8" s="2">
        <v>0</v>
      </c>
      <c r="W8" s="2">
        <v>0</v>
      </c>
      <c r="X8" s="2">
        <v>0</v>
      </c>
      <c r="Y8" s="2">
        <f>IF(COUNT('Turns'!E32)=1,SUM('Turns'!E32),"Unknown")</f>
        <v>4.3204055e-05</v>
      </c>
      <c r="Z8" s="2">
        <f>IF(COUNT('Turns'!F32)=1,SUM('Turns'!F32),"Unknown")</f>
        <v>4.93e-05</v>
      </c>
      <c r="AA8" s="5">
        <f>IF(ISNUMBER(Y8),ROUND(Y8*'Reference data'!$B$2,0),"Unknown")</f>
        <v>4.0</v>
      </c>
      <c r="AB8" s="5">
        <f>IF(ISNUMBER(Z8),ROUND(Z8*'Reference data'!$B$2,0),"Unknown")</f>
        <v>5.0</v>
      </c>
      <c r="AD8" s="1">
        <v>817.1180000000001</v>
      </c>
      <c r="AE8" s="1" t="s">
        <v>137</v>
      </c>
    </row>
    <row r="9" spans="1:31" ht="54" customHeight="1">
      <c r="A9" s="6" t="s">
        <v>145</v>
      </c>
      <c r="B9" s="1">
        <v>2</v>
      </c>
      <c r="C9" s="1" t="s">
        <v>146</v>
      </c>
      <c r="D9" s="1" t="s">
        <v>95</v>
      </c>
      <c r="E9" s="1" t="s">
        <v>111</v>
      </c>
      <c r="F9" s="1">
        <v>2078</v>
      </c>
      <c r="G9" s="6" t="s">
        <v>147</v>
      </c>
      <c r="H9" t="s">
        <v>119</v>
      </c>
      <c r="I9" t="s">
        <v>155</v>
      </c>
      <c r="J9" s="2">
        <f>IF(COUNT('Turns'!D23)=1,SUM('Turns'!D23),"Unknown")</f>
        <v>3.0</v>
      </c>
      <c r="K9" s="2">
        <f>IF(COUNT('Turns'!E23)=1,SUM('Turns'!E23),"Unknown")</f>
        <v>5.2581e-07</v>
      </c>
      <c r="L9" s="2">
        <f>IF(COUNT('Turns'!F23)=1,SUM('Turns'!F23),"Unknown")</f>
        <v>6e-07</v>
      </c>
      <c r="M9" s="2">
        <f>IF(COUNT('Turns'!D22)=1,SUM('Turns'!D22),"Unknown")</f>
        <v>2075.0</v>
      </c>
      <c r="N9" s="2">
        <f>IF(COUNT('Turns'!E22)=1,SUM('Turns'!E22),"Unknown")</f>
        <v>3.6368525e-05</v>
      </c>
      <c r="O9" s="2">
        <f>IF(COUNT('Turns'!F22)=1,SUM('Turns'!F22),"Unknown")</f>
        <v>4.15e-05</v>
      </c>
      <c r="P9" s="2">
        <v>0</v>
      </c>
      <c r="Q9" s="2">
        <v>0</v>
      </c>
      <c r="R9" s="2">
        <v>0</v>
      </c>
      <c r="S9" s="2">
        <f>IF(COUNT('Turns'!D28)=1,SUM('Turns'!D28),"Unknown")</f>
        <v>6.0</v>
      </c>
      <c r="T9" s="2">
        <f>IF(COUNT('Turns'!E28)=1,SUM('Turns'!E28),"Unknown")</f>
        <v>6.30972e-06</v>
      </c>
      <c r="U9" s="2">
        <f>IF(COUNT('Turns'!F28)=1,SUM('Turns'!F28),"Unknown")</f>
        <v>7.2e-06</v>
      </c>
      <c r="V9" s="2">
        <v>0</v>
      </c>
      <c r="W9" s="2">
        <v>0</v>
      </c>
      <c r="X9" s="2">
        <v>0</v>
      </c>
      <c r="Y9" s="2">
        <f>IF(COUNT('Turns'!E32)=1,SUM('Turns'!E32),"Unknown")</f>
        <v>4.3204055e-05</v>
      </c>
      <c r="Z9" s="2">
        <f>IF(COUNT('Turns'!F32)=1,SUM('Turns'!F32),"Unknown")</f>
        <v>4.93e-05</v>
      </c>
      <c r="AA9" s="5">
        <f>IF(ISNUMBER(Y9),ROUND(Y9*'Reference data'!$B$2,0),"Unknown")</f>
        <v>4.0</v>
      </c>
      <c r="AB9" s="5">
        <f>IF(ISNUMBER(Z9),ROUND(Z9*'Reference data'!$B$2,0),"Unknown")</f>
        <v>5.0</v>
      </c>
      <c r="AC9" s="1" t="s">
        <v>118</v>
      </c>
      <c r="AD9" s="1">
        <v>812.37</v>
      </c>
      <c r="AE9" s="1" t="s">
        <v>148</v>
      </c>
    </row>
    <row r="10" spans="1:31" ht="54" customHeight="1">
      <c r="A10" s="6" t="s">
        <v>134</v>
      </c>
      <c r="B10" s="1">
        <v>0</v>
      </c>
      <c r="C10" s="1" t="s">
        <v>135</v>
      </c>
      <c r="D10" s="1" t="s">
        <v>47</v>
      </c>
      <c r="E10" s="1" t="s">
        <v>111</v>
      </c>
      <c r="G10" s="6" t="s">
        <v>136</v>
      </c>
      <c r="H10" t="s">
        <v>156</v>
      </c>
      <c r="J10" s="2">
        <f>IF(COUNT('Turns'!D36,'Turns'!D52)=2,SUM('Turns'!D36,'Turns'!D52),"Unknown")</f>
        <v>6.0</v>
      </c>
      <c r="K10" s="2">
        <f>IF(COUNT('Turns'!E36,'Turns'!E52)=2,SUM('Turns'!E36,'Turns'!E52),"Unknown")</f>
        <v>1.05162e-06</v>
      </c>
      <c r="L10" s="2">
        <f>IF(COUNT('Turns'!F36,'Turns'!F52)=2,SUM('Turns'!F36,'Turns'!F52),"Unknown")</f>
        <v>1.2e-06</v>
      </c>
      <c r="M10" s="2">
        <f>IF(COUNT('Turns'!D35,'Turns'!D51)=2,SUM('Turns'!D35,'Turns'!D51),"Unknown")</f>
        <v>4186.0</v>
      </c>
      <c r="N10" s="2">
        <f>IF(COUNT('Turns'!E35,'Turns'!E51)=2,SUM('Turns'!E35,'Turns'!E51),"Unknown")</f>
        <v>7.3368022e-05</v>
      </c>
      <c r="O10" s="2">
        <f>IF(COUNT('Turns'!F35,'Turns'!F51)=2,SUM('Turns'!F35,'Turns'!F51),"Unknown")</f>
        <v>8.372e-05</v>
      </c>
      <c r="P10" s="2">
        <f>IF(COUNT('Turns'!D54)=1,SUM('Turns'!D54),"Unknown")</f>
        <v>51.0</v>
      </c>
      <c r="Q10" s="2">
        <f>IF(COUNT('Turns'!E54)=1,SUM('Turns'!E54),"Unknown")</f>
        <v>1.11734625e-05</v>
      </c>
      <c r="R10" s="2">
        <f>IF(COUNT('Turns'!F54)=1,SUM('Turns'!F54),"Unknown")</f>
        <v>1.275e-05</v>
      </c>
      <c r="S10" s="2">
        <f>IF(COUNT('Turns'!D42,'Turns'!D57)=2,SUM('Turns'!D42,'Turns'!D57),"Unknown")</f>
        <v>27.0</v>
      </c>
      <c r="T10" s="2">
        <f>IF(COUNT('Turns'!E42,'Turns'!E57)=2,SUM('Turns'!E42,'Turns'!E57),"Unknown")</f>
        <v>2.839374e-05</v>
      </c>
      <c r="U10" s="2">
        <f>IF(COUNT('Turns'!F42,'Turns'!F57)=2,SUM('Turns'!F42,'Turns'!F57),"Unknown")</f>
        <v>3.24e-05</v>
      </c>
      <c r="V10" s="2">
        <f>IF(COUNT('Turns'!D41)=1,SUM('Turns'!D41),"Unknown")</f>
        <v>13.0</v>
      </c>
      <c r="W10" s="2">
        <f>IF(COUNT('Turns'!E41)=1,SUM('Turns'!E41),"Unknown")</f>
        <v>1.367106e-05</v>
      </c>
      <c r="X10" s="2">
        <f>IF(COUNT('Turns'!F41)=1,SUM('Turns'!F41),"Unknown")</f>
        <v>1.56e-05</v>
      </c>
      <c r="Y10" s="2">
        <f>IF(COUNT('Turns'!E46,'Turns'!E61)=2,SUM('Turns'!E46,'Turns'!E61),"Unknown")</f>
        <v>0.0001276579045</v>
      </c>
      <c r="Z10" s="2">
        <f>IF(COUNT('Turns'!F46,'Turns'!F61)=2,SUM('Turns'!F46,'Turns'!F61),"Unknown")</f>
        <v>0.00014567</v>
      </c>
      <c r="AA10" s="5">
        <f>IF(ISNUMBER(Y10),ROUND(Y10*'Reference data'!$B$2,0),"Unknown")</f>
        <v>13.0</v>
      </c>
      <c r="AB10" s="5">
        <f>IF(ISNUMBER(Z10),ROUND(Z10*'Reference data'!$B$2,0),"Unknown")</f>
        <v>15.0</v>
      </c>
      <c r="AD10" s="1">
        <v>1824.015</v>
      </c>
      <c r="AE10" s="1" t="s">
        <v>137</v>
      </c>
    </row>
    <row r="11" spans="1:31" ht="54" customHeight="1">
      <c r="A11" s="6" t="s">
        <v>138</v>
      </c>
      <c r="B11" s="1">
        <v>1</v>
      </c>
      <c r="C11" s="1" t="s">
        <v>135</v>
      </c>
      <c r="D11" s="1" t="s">
        <v>47</v>
      </c>
      <c r="E11" s="1" t="s">
        <v>111</v>
      </c>
      <c r="G11" s="6" t="s">
        <v>139</v>
      </c>
      <c r="H11" t="s">
        <v>157</v>
      </c>
      <c r="I11" t="s">
        <v>156</v>
      </c>
      <c r="AD11" s="1">
        <v>0.348</v>
      </c>
      <c r="AE11" s="1" t="s">
        <v>141</v>
      </c>
    </row>
    <row r="12" spans="1:31" ht="54" customHeight="1">
      <c r="A12" s="6" t="s">
        <v>142</v>
      </c>
      <c r="B12" s="1">
        <v>1</v>
      </c>
      <c r="C12" s="1" t="s">
        <v>135</v>
      </c>
      <c r="D12" s="1" t="s">
        <v>47</v>
      </c>
      <c r="E12" s="1" t="s">
        <v>111</v>
      </c>
      <c r="G12" s="6" t="s">
        <v>143</v>
      </c>
      <c r="H12" t="s">
        <v>158</v>
      </c>
      <c r="I12" t="s">
        <v>156</v>
      </c>
      <c r="J12" s="2">
        <f>IF(COUNT('Turns'!D36)=1,SUM('Turns'!D36),"Unknown")</f>
        <v>3.0</v>
      </c>
      <c r="K12" s="2">
        <f>IF(COUNT('Turns'!E36)=1,SUM('Turns'!E36),"Unknown")</f>
        <v>5.2581e-07</v>
      </c>
      <c r="L12" s="2">
        <f>IF(COUNT('Turns'!F36)=1,SUM('Turns'!F36),"Unknown")</f>
        <v>6e-07</v>
      </c>
      <c r="M12" s="2">
        <f>IF(COUNT('Turns'!D35)=1,SUM('Turns'!D35),"Unknown")</f>
        <v>2093.0</v>
      </c>
      <c r="N12" s="2">
        <f>IF(COUNT('Turns'!E35)=1,SUM('Turns'!E35),"Unknown")</f>
        <v>3.6684011e-05</v>
      </c>
      <c r="O12" s="2">
        <f>IF(COUNT('Turns'!F35)=1,SUM('Turns'!F35),"Unknown")</f>
        <v>4.186e-05</v>
      </c>
      <c r="P12" s="2">
        <v>0</v>
      </c>
      <c r="Q12" s="2">
        <v>0</v>
      </c>
      <c r="R12" s="2">
        <v>0</v>
      </c>
      <c r="S12" s="2">
        <f>IF(COUNT('Turns'!D42)=1,SUM('Turns'!D42),"Unknown")</f>
        <v>21.0</v>
      </c>
      <c r="T12" s="2">
        <f>IF(COUNT('Turns'!E42)=1,SUM('Turns'!E42),"Unknown")</f>
        <v>2.208402e-05</v>
      </c>
      <c r="U12" s="2">
        <f>IF(COUNT('Turns'!F42)=1,SUM('Turns'!F42),"Unknown")</f>
        <v>2.52e-05</v>
      </c>
      <c r="V12" s="2">
        <f>IF(COUNT('Turns'!D41)=1,SUM('Turns'!D41),"Unknown")</f>
        <v>13.0</v>
      </c>
      <c r="W12" s="2">
        <f>IF(COUNT('Turns'!E41)=1,SUM('Turns'!E41),"Unknown")</f>
        <v>1.367106e-05</v>
      </c>
      <c r="X12" s="2">
        <f>IF(COUNT('Turns'!F41)=1,SUM('Turns'!F41),"Unknown")</f>
        <v>1.56e-05</v>
      </c>
      <c r="Y12" s="2">
        <f>IF(COUNT('Turns'!E46)=1,SUM('Turns'!E46),"Unknown")</f>
        <v>7.2964901e-05</v>
      </c>
      <c r="Z12" s="2">
        <f>IF(COUNT('Turns'!F46)=1,SUM('Turns'!F46),"Unknown")</f>
        <v>8.326e-05</v>
      </c>
      <c r="AA12" s="5">
        <f>IF(ISNUMBER(Y12),ROUND(Y12*'Reference data'!$B$2,0),"Unknown")</f>
        <v>7.0</v>
      </c>
      <c r="AB12" s="5">
        <f>IF(ISNUMBER(Z12),ROUND(Z12*'Reference data'!$B$2,0),"Unknown")</f>
        <v>8.0</v>
      </c>
      <c r="AD12" s="1">
        <v>1020.357</v>
      </c>
      <c r="AE12" s="1" t="s">
        <v>137</v>
      </c>
    </row>
    <row r="13" spans="1:31" ht="54" customHeight="1">
      <c r="A13" s="6" t="s">
        <v>145</v>
      </c>
      <c r="B13" s="1">
        <v>2</v>
      </c>
      <c r="C13" s="1" t="s">
        <v>146</v>
      </c>
      <c r="D13" s="1" t="s">
        <v>95</v>
      </c>
      <c r="E13" s="1" t="s">
        <v>111</v>
      </c>
      <c r="F13" s="1">
        <v>2096</v>
      </c>
      <c r="G13" s="6" t="s">
        <v>147</v>
      </c>
      <c r="H13" t="s">
        <v>124</v>
      </c>
      <c r="I13" t="s">
        <v>158</v>
      </c>
      <c r="J13" s="2">
        <f>IF(COUNT('Turns'!D36)=1,SUM('Turns'!D36),"Unknown")</f>
        <v>3.0</v>
      </c>
      <c r="K13" s="2">
        <f>IF(COUNT('Turns'!E36)=1,SUM('Turns'!E36),"Unknown")</f>
        <v>5.2581e-07</v>
      </c>
      <c r="L13" s="2">
        <f>IF(COUNT('Turns'!F36)=1,SUM('Turns'!F36),"Unknown")</f>
        <v>6e-07</v>
      </c>
      <c r="M13" s="2">
        <f>IF(COUNT('Turns'!D35)=1,SUM('Turns'!D35),"Unknown")</f>
        <v>2093.0</v>
      </c>
      <c r="N13" s="2">
        <f>IF(COUNT('Turns'!E35)=1,SUM('Turns'!E35),"Unknown")</f>
        <v>3.6684011e-05</v>
      </c>
      <c r="O13" s="2">
        <f>IF(COUNT('Turns'!F35)=1,SUM('Turns'!F35),"Unknown")</f>
        <v>4.186e-05</v>
      </c>
      <c r="P13" s="2">
        <v>0</v>
      </c>
      <c r="Q13" s="2">
        <v>0</v>
      </c>
      <c r="R13" s="2">
        <v>0</v>
      </c>
      <c r="S13" s="2">
        <f>IF(COUNT('Turns'!D42)=1,SUM('Turns'!D42),"Unknown")</f>
        <v>21.0</v>
      </c>
      <c r="T13" s="2">
        <f>IF(COUNT('Turns'!E42)=1,SUM('Turns'!E42),"Unknown")</f>
        <v>2.208402e-05</v>
      </c>
      <c r="U13" s="2">
        <f>IF(COUNT('Turns'!F42)=1,SUM('Turns'!F42),"Unknown")</f>
        <v>2.52e-05</v>
      </c>
      <c r="V13" s="2">
        <f>IF(COUNT('Turns'!D41)=1,SUM('Turns'!D41),"Unknown")</f>
        <v>13.0</v>
      </c>
      <c r="W13" s="2">
        <f>IF(COUNT('Turns'!E41)=1,SUM('Turns'!E41),"Unknown")</f>
        <v>1.367106e-05</v>
      </c>
      <c r="X13" s="2">
        <f>IF(COUNT('Turns'!F41)=1,SUM('Turns'!F41),"Unknown")</f>
        <v>1.56e-05</v>
      </c>
      <c r="Y13" s="2">
        <f>IF(COUNT('Turns'!E46)=1,SUM('Turns'!E46),"Unknown")</f>
        <v>7.2964901e-05</v>
      </c>
      <c r="Z13" s="2">
        <f>IF(COUNT('Turns'!F46)=1,SUM('Turns'!F46),"Unknown")</f>
        <v>8.326e-05</v>
      </c>
      <c r="AA13" s="5">
        <f>IF(ISNUMBER(Y13),ROUND(Y13*'Reference data'!$B$2,0),"Unknown")</f>
        <v>7.0</v>
      </c>
      <c r="AB13" s="5">
        <f>IF(ISNUMBER(Z13),ROUND(Z13*'Reference data'!$B$2,0),"Unknown")</f>
        <v>8.0</v>
      </c>
      <c r="AC13" s="1" t="s">
        <v>123</v>
      </c>
      <c r="AD13" s="1">
        <v>1015.561</v>
      </c>
      <c r="AE13" s="1" t="s">
        <v>148</v>
      </c>
    </row>
    <row r="14" spans="1:31" ht="54" customHeight="1">
      <c r="A14" s="6" t="s">
        <v>149</v>
      </c>
      <c r="B14" s="1">
        <v>1</v>
      </c>
      <c r="C14" s="1" t="s">
        <v>135</v>
      </c>
      <c r="D14" s="1" t="s">
        <v>47</v>
      </c>
      <c r="E14" s="1" t="s">
        <v>111</v>
      </c>
      <c r="G14" s="6" t="s">
        <v>150</v>
      </c>
      <c r="H14" t="s">
        <v>159</v>
      </c>
      <c r="I14" t="s">
        <v>156</v>
      </c>
      <c r="AD14" s="1">
        <v>1.73</v>
      </c>
      <c r="AE14" s="1" t="s">
        <v>141</v>
      </c>
    </row>
    <row r="15" spans="1:31" ht="54" customHeight="1">
      <c r="A15" s="6" t="s">
        <v>152</v>
      </c>
      <c r="B15" s="1">
        <v>2</v>
      </c>
      <c r="C15" s="1" t="s">
        <v>153</v>
      </c>
      <c r="D15" s="1" t="s">
        <v>47</v>
      </c>
      <c r="E15" s="1" t="s">
        <v>111</v>
      </c>
      <c r="G15" s="6" t="s">
        <v>154</v>
      </c>
      <c r="H15" t="s">
        <v>128</v>
      </c>
      <c r="I15" t="s">
        <v>159</v>
      </c>
      <c r="AD15" s="1">
        <v>0.486</v>
      </c>
      <c r="AE15" s="1" t="s">
        <v>141</v>
      </c>
    </row>
    <row r="16" spans="1:31" ht="54" customHeight="1">
      <c r="A16" s="6" t="s">
        <v>142</v>
      </c>
      <c r="B16" s="1">
        <v>1</v>
      </c>
      <c r="C16" s="1" t="s">
        <v>135</v>
      </c>
      <c r="D16" s="1" t="s">
        <v>47</v>
      </c>
      <c r="E16" s="1" t="s">
        <v>111</v>
      </c>
      <c r="G16" s="6" t="s">
        <v>143</v>
      </c>
      <c r="H16" t="s">
        <v>160</v>
      </c>
      <c r="I16" t="s">
        <v>156</v>
      </c>
      <c r="J16" s="2">
        <f>IF(COUNT('Turns'!D52)=1,SUM('Turns'!D52),"Unknown")</f>
        <v>3.0</v>
      </c>
      <c r="K16" s="2">
        <f>IF(COUNT('Turns'!E52)=1,SUM('Turns'!E52),"Unknown")</f>
        <v>5.2581e-07</v>
      </c>
      <c r="L16" s="2">
        <f>IF(COUNT('Turns'!F52)=1,SUM('Turns'!F52),"Unknown")</f>
        <v>6e-07</v>
      </c>
      <c r="M16" s="2">
        <f>IF(COUNT('Turns'!D51)=1,SUM('Turns'!D51),"Unknown")</f>
        <v>2093.0</v>
      </c>
      <c r="N16" s="2">
        <f>IF(COUNT('Turns'!E51)=1,SUM('Turns'!E51),"Unknown")</f>
        <v>3.6684011e-05</v>
      </c>
      <c r="O16" s="2">
        <f>IF(COUNT('Turns'!F51)=1,SUM('Turns'!F51),"Unknown")</f>
        <v>4.186e-05</v>
      </c>
      <c r="P16" s="2">
        <f>IF(COUNT('Turns'!D54)=1,SUM('Turns'!D54),"Unknown")</f>
        <v>51.0</v>
      </c>
      <c r="Q16" s="2">
        <f>IF(COUNT('Turns'!E54)=1,SUM('Turns'!E54),"Unknown")</f>
        <v>1.11734625e-05</v>
      </c>
      <c r="R16" s="2">
        <f>IF(COUNT('Turns'!F54)=1,SUM('Turns'!F54),"Unknown")</f>
        <v>1.275e-05</v>
      </c>
      <c r="S16" s="2">
        <f>IF(COUNT('Turns'!D57)=1,SUM('Turns'!D57),"Unknown")</f>
        <v>6.0</v>
      </c>
      <c r="T16" s="2">
        <f>IF(COUNT('Turns'!E57)=1,SUM('Turns'!E57),"Unknown")</f>
        <v>6.30972e-06</v>
      </c>
      <c r="U16" s="2">
        <f>IF(COUNT('Turns'!F57)=1,SUM('Turns'!F57),"Unknown")</f>
        <v>7.2e-06</v>
      </c>
      <c r="V16" s="2">
        <v>0</v>
      </c>
      <c r="W16" s="2">
        <v>0</v>
      </c>
      <c r="X16" s="2">
        <v>0</v>
      </c>
      <c r="Y16" s="2">
        <f>IF(COUNT('Turns'!E61)=1,SUM('Turns'!E61),"Unknown")</f>
        <v>5.46930035e-05</v>
      </c>
      <c r="Z16" s="2">
        <f>IF(COUNT('Turns'!F61)=1,SUM('Turns'!F61),"Unknown")</f>
        <v>6.241e-05</v>
      </c>
      <c r="AA16" s="5">
        <f>IF(ISNUMBER(Y16),ROUND(Y16*'Reference data'!$B$2,0),"Unknown")</f>
        <v>5.0</v>
      </c>
      <c r="AB16" s="5">
        <f>IF(ISNUMBER(Z16),ROUND(Z16*'Reference data'!$B$2,0),"Unknown")</f>
        <v>6.0</v>
      </c>
      <c r="AD16" s="1">
        <v>796.723</v>
      </c>
      <c r="AE16" s="1" t="s">
        <v>137</v>
      </c>
    </row>
    <row r="17" spans="1:31" ht="54" customHeight="1">
      <c r="A17" s="6" t="s">
        <v>145</v>
      </c>
      <c r="B17" s="1">
        <v>2</v>
      </c>
      <c r="C17" s="1" t="s">
        <v>146</v>
      </c>
      <c r="D17" s="1" t="s">
        <v>95</v>
      </c>
      <c r="E17" s="1" t="s">
        <v>111</v>
      </c>
      <c r="F17" s="1">
        <v>2147</v>
      </c>
      <c r="G17" s="6" t="s">
        <v>147</v>
      </c>
      <c r="H17" t="s">
        <v>132</v>
      </c>
      <c r="I17" t="s">
        <v>160</v>
      </c>
      <c r="J17" s="2">
        <f>IF(COUNT('Turns'!D52)=1,SUM('Turns'!D52),"Unknown")</f>
        <v>3.0</v>
      </c>
      <c r="K17" s="2">
        <f>IF(COUNT('Turns'!E52)=1,SUM('Turns'!E52),"Unknown")</f>
        <v>5.2581e-07</v>
      </c>
      <c r="L17" s="2">
        <f>IF(COUNT('Turns'!F52)=1,SUM('Turns'!F52),"Unknown")</f>
        <v>6e-07</v>
      </c>
      <c r="M17" s="2">
        <f>IF(COUNT('Turns'!D51)=1,SUM('Turns'!D51),"Unknown")</f>
        <v>2093.0</v>
      </c>
      <c r="N17" s="2">
        <f>IF(COUNT('Turns'!E51)=1,SUM('Turns'!E51),"Unknown")</f>
        <v>3.6684011e-05</v>
      </c>
      <c r="O17" s="2">
        <f>IF(COUNT('Turns'!F51)=1,SUM('Turns'!F51),"Unknown")</f>
        <v>4.186e-05</v>
      </c>
      <c r="P17" s="2">
        <f>IF(COUNT('Turns'!D54)=1,SUM('Turns'!D54),"Unknown")</f>
        <v>51.0</v>
      </c>
      <c r="Q17" s="2">
        <f>IF(COUNT('Turns'!E54)=1,SUM('Turns'!E54),"Unknown")</f>
        <v>1.11734625e-05</v>
      </c>
      <c r="R17" s="2">
        <f>IF(COUNT('Turns'!F54)=1,SUM('Turns'!F54),"Unknown")</f>
        <v>1.275e-05</v>
      </c>
      <c r="S17" s="2">
        <f>IF(COUNT('Turns'!D57)=1,SUM('Turns'!D57),"Unknown")</f>
        <v>6.0</v>
      </c>
      <c r="T17" s="2">
        <f>IF(COUNT('Turns'!E57)=1,SUM('Turns'!E57),"Unknown")</f>
        <v>6.30972e-06</v>
      </c>
      <c r="U17" s="2">
        <f>IF(COUNT('Turns'!F57)=1,SUM('Turns'!F57),"Unknown")</f>
        <v>7.2e-06</v>
      </c>
      <c r="V17" s="2">
        <v>0</v>
      </c>
      <c r="W17" s="2">
        <v>0</v>
      </c>
      <c r="X17" s="2">
        <v>0</v>
      </c>
      <c r="Y17" s="2">
        <f>IF(COUNT('Turns'!E61)=1,SUM('Turns'!E61),"Unknown")</f>
        <v>5.46930035e-05</v>
      </c>
      <c r="Z17" s="2">
        <f>IF(COUNT('Turns'!F61)=1,SUM('Turns'!F61),"Unknown")</f>
        <v>6.241e-05</v>
      </c>
      <c r="AA17" s="5">
        <f>IF(ISNUMBER(Y17),ROUND(Y17*'Reference data'!$B$2,0),"Unknown")</f>
        <v>5.0</v>
      </c>
      <c r="AB17" s="5">
        <f>IF(ISNUMBER(Z17),ROUND(Z17*'Reference data'!$B$2,0),"Unknown")</f>
        <v>6.0</v>
      </c>
      <c r="AC17" s="1" t="s">
        <v>131</v>
      </c>
      <c r="AD17" s="1">
        <v>791.888</v>
      </c>
      <c r="AE17" s="1" t="s">
        <v>148</v>
      </c>
    </row>
  </sheetData>
  <conditionalFormatting sqref="A2:AE17">
    <cfRule type="expression" dxfId="0" priority="1">
      <formula>$E2="error"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73B70"/>
  </sheetPr>
  <dimension ref="A1:I22"/>
  <sheetViews>
    <sheetView showGridLines="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24" customHeight="1"/>
  <cols>
    <col min="1" max="1" width="34.7109375" customWidth="1"/>
    <col min="2" max="2" width="52.7109375" customWidth="1"/>
    <col min="3" max="7" width="26.7109375" customWidth="1"/>
    <col min="8" max="8" width="65.7109375" customWidth="1"/>
    <col min="9" max="9" width="26.7109375" customWidth="1"/>
  </cols>
  <sheetData>
    <row r="1" spans="1:9" ht="44" customHeight="1">
      <c r="A1" s="3" t="s">
        <v>38</v>
      </c>
      <c r="B1" s="3" t="s">
        <v>39</v>
      </c>
      <c r="C1" s="3" t="s">
        <v>40</v>
      </c>
    </row>
    <row r="2" spans="1:9" ht="24" customHeight="1">
      <c r="A2" s="6" t="s">
        <v>41</v>
      </c>
      <c r="B2" s="7">
        <v>100000</v>
      </c>
      <c r="C2" s="6" t="s">
        <v>42</v>
      </c>
    </row>
    <row r="3" spans="1:9" ht="24" customHeight="1">
      <c r="A3" s="6" t="s">
        <v>43</v>
      </c>
      <c r="B3" s="2">
        <v>0.87635</v>
      </c>
      <c r="C3" s="6" t="s">
        <v>44</v>
      </c>
    </row>
    <row r="4" spans="1:9" ht="24" customHeight="1">
      <c r="A4" s="6" t="s">
        <v>45</v>
      </c>
      <c r="B4" s="6" t="s">
        <v>46</v>
      </c>
      <c r="C4" s="6" t="s">
        <v>47</v>
      </c>
    </row>
    <row r="5" spans="1:9" ht="24" customHeight="1">
      <c r="A5" s="6" t="s">
        <v>48</v>
      </c>
      <c r="B5" s="6" t="s">
        <v>49</v>
      </c>
      <c r="C5" s="6" t="s">
        <v>47</v>
      </c>
    </row>
    <row r="6" spans="1:9" ht="24" customHeight="1">
      <c r="A6" s="6" t="s">
        <v>50</v>
      </c>
      <c r="B6" s="6" t="s">
        <v>51</v>
      </c>
      <c r="C6" s="6" t="s">
        <v>47</v>
      </c>
    </row>
    <row r="7" spans="1:9" ht="24" customHeight="1">
      <c r="A7" s="6" t="s">
        <v>52</v>
      </c>
      <c r="B7" s="6" t="s">
        <v>53</v>
      </c>
      <c r="C7" s="6" t="s">
        <v>47</v>
      </c>
    </row>
    <row r="8" spans="1:9" ht="24" customHeight="1">
      <c r="A8" s="6" t="s">
        <v>54</v>
      </c>
      <c r="B8" s="6" t="s">
        <v>55</v>
      </c>
      <c r="C8" s="6" t="s">
        <v>56</v>
      </c>
    </row>
    <row r="9" spans="1:9" ht="24" customHeight="1">
      <c r="A9" s="6" t="s">
        <v>57</v>
      </c>
      <c r="B9" s="6" t="s">
        <v>58</v>
      </c>
      <c r="C9" s="6" t="s">
        <v>47</v>
      </c>
    </row>
    <row r="10" spans="1:9" ht="24" customHeight="1">
      <c r="A10" s="6" t="s">
        <v>59</v>
      </c>
      <c r="B10" s="6" t="s">
        <v>60</v>
      </c>
      <c r="C10" s="6" t="s">
        <v>47</v>
      </c>
    </row>
    <row r="11" spans="1:9" ht="24" customHeight="1">
      <c r="A11" s="6" t="s">
        <v>61</v>
      </c>
      <c r="B11" s="6" t="s">
        <v>62</v>
      </c>
      <c r="C11" s="6" t="s">
        <v>47</v>
      </c>
    </row>
    <row r="12" spans="1:9" ht="24" customHeight="1">
      <c r="A12" s="6" t="s">
        <v>63</v>
      </c>
      <c r="B12" s="6" t="s">
        <v>64</v>
      </c>
      <c r="C12" s="6" t="s">
        <v>47</v>
      </c>
    </row>
    <row r="13" spans="1:9" ht="24" customHeight="1">
      <c r="A13" s="6" t="s">
        <v>65</v>
      </c>
      <c r="B13" s="6" t="s">
        <v>66</v>
      </c>
      <c r="C13" s="6" t="s">
        <v>47</v>
      </c>
    </row>
    <row r="15" spans="1:9" ht="24" customHeight="1">
      <c r="A15" s="4" t="s">
        <v>67</v>
      </c>
      <c r="B15" s="4" t="s">
        <v>68</v>
      </c>
      <c r="C15" s="4" t="s">
        <v>69</v>
      </c>
      <c r="D15" s="4" t="s">
        <v>70</v>
      </c>
      <c r="E15" s="4" t="s">
        <v>71</v>
      </c>
      <c r="F15" s="4" t="s">
        <v>72</v>
      </c>
      <c r="G15" s="4" t="s">
        <v>73</v>
      </c>
      <c r="H15" s="4" t="s">
        <v>74</v>
      </c>
      <c r="I15" s="4" t="s">
        <v>75</v>
      </c>
    </row>
    <row r="16" spans="1:9" ht="72" customHeight="1">
      <c r="A16" s="6" t="s">
        <v>76</v>
      </c>
      <c r="B16" s="2">
        <v>5</v>
      </c>
      <c r="C16" s="2">
        <v>0.5</v>
      </c>
      <c r="D16" s="2" t="s">
        <v>77</v>
      </c>
      <c r="E16" s="2">
        <v>30</v>
      </c>
      <c r="F16" s="2">
        <v>30</v>
      </c>
      <c r="G16" s="6" t="s">
        <v>78</v>
      </c>
      <c r="H16" s="6" t="s">
        <v>79</v>
      </c>
      <c r="I16" s="6" t="s">
        <v>80</v>
      </c>
    </row>
    <row r="17" spans="1:9" ht="72" customHeight="1">
      <c r="A17" s="6" t="s">
        <v>81</v>
      </c>
      <c r="B17" s="2">
        <v>0.2</v>
      </c>
      <c r="C17" s="2">
        <v>0.02</v>
      </c>
      <c r="D17" s="2">
        <v>0.250</v>
      </c>
      <c r="E17" s="2">
        <v>1.2</v>
      </c>
      <c r="F17" s="2">
        <v>1.2</v>
      </c>
      <c r="G17" s="6" t="s">
        <v>78</v>
      </c>
      <c r="H17" s="6" t="s">
        <v>82</v>
      </c>
      <c r="I17" s="6" t="s">
        <v>80</v>
      </c>
    </row>
    <row r="18" spans="1:9" ht="72" customHeight="1">
      <c r="A18" s="6" t="s">
        <v>83</v>
      </c>
      <c r="B18" s="2">
        <v>4</v>
      </c>
      <c r="C18" s="2">
        <v>0.4</v>
      </c>
      <c r="D18" s="2">
        <v>5.00</v>
      </c>
      <c r="E18" s="2">
        <v>20</v>
      </c>
      <c r="F18" s="2">
        <v>20</v>
      </c>
      <c r="G18" s="6" t="s">
        <v>78</v>
      </c>
      <c r="H18" s="6" t="s">
        <v>84</v>
      </c>
      <c r="I18" s="6" t="s">
        <v>80</v>
      </c>
    </row>
    <row r="19" spans="1:9" ht="72" customHeight="1">
      <c r="A19" s="6" t="s">
        <v>85</v>
      </c>
      <c r="B19" s="2">
        <v>2</v>
      </c>
      <c r="C19" s="2">
        <v>0.20</v>
      </c>
      <c r="D19" s="2">
        <v>2.50</v>
      </c>
      <c r="E19" s="2">
        <v>10</v>
      </c>
      <c r="F19" s="2">
        <v>10</v>
      </c>
      <c r="G19" s="6" t="s">
        <v>78</v>
      </c>
      <c r="H19" s="6" t="s">
        <v>86</v>
      </c>
      <c r="I19" s="6" t="s">
        <v>80</v>
      </c>
    </row>
    <row r="20" spans="1:9" ht="72" customHeight="1">
      <c r="A20" s="6" t="s">
        <v>87</v>
      </c>
      <c r="B20" s="2">
        <v>5</v>
      </c>
      <c r="C20" s="2">
        <v>0.50</v>
      </c>
      <c r="D20" s="2">
        <v>6.25</v>
      </c>
      <c r="E20" s="2">
        <v>25</v>
      </c>
      <c r="F20" s="2">
        <v>25</v>
      </c>
      <c r="G20" s="6" t="s">
        <v>78</v>
      </c>
      <c r="H20" s="6" t="s">
        <v>86</v>
      </c>
      <c r="I20" s="6" t="s">
        <v>80</v>
      </c>
    </row>
    <row r="21" spans="1:9" ht="72" customHeight="1">
      <c r="A21" s="6" t="s">
        <v>88</v>
      </c>
      <c r="B21" s="2">
        <v>10</v>
      </c>
      <c r="C21" s="2">
        <v>0.25</v>
      </c>
      <c r="D21" s="2">
        <v>12.50</v>
      </c>
      <c r="E21" s="2">
        <v>50</v>
      </c>
      <c r="F21" s="2">
        <v>50</v>
      </c>
      <c r="G21" s="6" t="s">
        <v>78</v>
      </c>
      <c r="H21" s="6" t="s">
        <v>86</v>
      </c>
      <c r="I21" s="6" t="s">
        <v>80</v>
      </c>
    </row>
    <row r="22" spans="1:9" ht="72" customHeight="1">
      <c r="A22" s="6" t="s">
        <v>89</v>
      </c>
      <c r="B22" s="2">
        <v>0.2</v>
      </c>
      <c r="C22" s="2">
        <v>0.02</v>
      </c>
      <c r="D22" s="2">
        <v>0.250</v>
      </c>
      <c r="E22" s="2">
        <v>1.2</v>
      </c>
      <c r="F22" s="2">
        <v>1.2</v>
      </c>
      <c r="G22" s="6" t="s">
        <v>78</v>
      </c>
      <c r="H22" s="6" t="s">
        <v>90</v>
      </c>
      <c r="I22" s="6" t="s">
        <v>80</v>
      </c>
    </row>
  </sheetData>
  <dataValidations count="1">
    <dataValidation type="whole" operator="greaterThanOrEqual" allowBlank="1" showInputMessage="1" showErrorMessage="1" sqref="B2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Turns</vt:lpstr>
      <vt:lpstr>Execution tree</vt:lpstr>
      <vt:lpstr>Reference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2026-09-24T02:34:04Z</dcterms:created>
  <dcterms:modified xsi:type="dcterms:W3CDTF">2026-09-24T02:34:04Z</dcterms:modified>
</cp:coreProperties>
</file>
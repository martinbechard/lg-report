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240243f88843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rns" sheetId="1" r:id="R9c3ef37127ec446e"/>
    <x:sheet xmlns:r="http://schemas.openxmlformats.org/officeDocument/2006/relationships" name="Execution tree" sheetId="2" r:id="R77a5d49cd07f4ff4"/>
    <x:sheet xmlns:r="http://schemas.openxmlformats.org/officeDocument/2006/relationships" name="Reference data" sheetId="3" r:id="Rec422122714544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###############;-0.###############;0"/>
    <x:numFmt numFmtId="202" formatCode="yyyy-mm-dd"/>
    <x:numFmt numFmtId="203" formatCode="yyyy-mm-dd hh:mm:ss"/>
    <x:numFmt numFmtId="204" formatCode="0.00"/>
  </x:numFmts>
  <x:fonts count="5">
    <x:font>
      <x:sz val="11"/>
      <x:name val="Carlito"/>
    </x:font>
    <x:font>
      <x:sz val="10"/>
      <x:color rgb="FF193E42"/>
      <x:name val="Arial"/>
    </x:font>
    <x:font>
      <x:b/>
      <x:sz val="10"/>
      <x:color rgb="FFFFFFFF"/>
      <x:name val="Arial"/>
    </x:font>
    <x:font>
      <x:b/>
      <x:sz val="10"/>
      <x:color rgb="FF173B70"/>
      <x:name val="Arial"/>
    </x:font>
    <x:font>
      <x:b/>
      <x:sz val="10"/>
      <x:color rgb="FF193E42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73B70"/>
      </x:patternFill>
    </x:fill>
    <x:fill>
      <x:patternFill patternType="solid">
        <x:fgColor rgb="FFFFF1B8"/>
      </x:patternFill>
    </x:fill>
    <x:fill>
      <x:patternFill patternType="solid">
        <x:fgColor rgb="FFDBE5F1"/>
      </x:patternFill>
    </x:fill>
    <x:fill>
      <x:patternFill patternType="solid">
        <x:fgColor rgb="FFF0F5FC"/>
      </x:patternFill>
    </x:fill>
    <x:fill>
      <x:patternFill patternType="solid">
        <x:fgColor rgb="FFF4F4F4"/>
      </x:patternFill>
    </x:fill>
    <x:fill>
      <x:patternFill patternType="solid">
        <x:fgColor rgb="FFE8EEF7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vertical="top"/>
    </x:xf>
    <x:xf numFmtId="200" fontId="3" fillId="3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1" fillId="6" borderId="0" xfId="0" applyNumberFormat="1" applyFont="1" applyFill="1" applyBorder="1" applyAlignment="1">
      <x:alignment vertical="top"/>
    </x:xf>
    <x:xf numFmtId="0" fontId="4" fillId="6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3" fillId="4" borderId="0" xfId="0" applyNumberFormat="1" applyFont="1" applyFill="1" applyBorder="1" applyAlignment="1">
      <x:alignment vertical="top"/>
    </x:xf>
    <x:xf numFmtId="201" fontId="3" fillId="5" borderId="0" xfId="0" applyNumberFormat="1" applyFont="1" applyFill="1" applyBorder="1" applyAlignment="1">
      <x:alignment vertical="top"/>
    </x:xf>
    <x:xf numFmtId="201" fontId="4" fillId="6" borderId="0" xfId="0" applyNumberFormat="1" applyFont="1" applyFill="1" applyBorder="1" applyAlignment="1">
      <x:alignment vertical="top"/>
    </x:xf>
    <x:xf numFmtId="200" fontId="3" fillId="4" borderId="0" xfId="0" applyNumberFormat="1" applyFont="1" applyFill="1" applyBorder="1" applyAlignment="1">
      <x:alignment vertical="top"/>
    </x:xf>
    <x:xf numFmtId="200" fontId="3" fillId="5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0" fontId="4" fillId="6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/>
    </x:xf>
    <x:xf numFmtId="0" fontId="1" fillId="8" borderId="0" xfId="0" applyNumberFormat="1" applyFont="1" applyFill="1" applyBorder="1" applyAlignment="1">
      <x:alignment vertical="top"/>
    </x:xf>
    <x:xf numFmtId="200" fontId="1" fillId="7" borderId="0" xfId="0" applyNumberFormat="1" applyFont="1" applyFill="1" applyBorder="1" applyAlignment="1">
      <x:alignment vertical="top"/>
    </x:xf>
    <x:xf numFmtId="200" fontId="1" fillId="8" borderId="0" xfId="0" applyNumberFormat="1" applyFont="1" applyFill="1" applyBorder="1" applyAlignment="1">
      <x:alignment vertical="top"/>
    </x:xf>
    <x:xf numFmtId="200" fontId="1" fillId="5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6036537d0c4391" /><Relationship Type="http://schemas.openxmlformats.org/officeDocument/2006/relationships/theme" Target="/xl/theme/theme1.xml" Id="R4d2fbab71a434ac4" /><Relationship Type="http://schemas.openxmlformats.org/officeDocument/2006/relationships/sharedStrings" Target="/xl/sharedStrings.xml" Id="R828e21e1dd5b4da2" /><Relationship Type="http://schemas.openxmlformats.org/officeDocument/2006/relationships/worksheet" Target="/xl/worksheets/sheet1.xml" Id="R9c3ef37127ec446e" /><Relationship Type="http://schemas.openxmlformats.org/officeDocument/2006/relationships/worksheet" Target="/xl/worksheets/sheet2.xml" Id="R77a5d49cd07f4ff4" /><Relationship Type="http://schemas.openxmlformats.org/officeDocument/2006/relationships/worksheet" Target="/xl/worksheets/sheet3.xml" Id="Rec422122714544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8" hidden="0" customWidth="1"/>
    <x:col min="4" max="4" width="14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00" hidden="0" customWidth="1"/>
    <x:col min="10" max="10" width="26" hidden="0" customWidth="1"/>
    <x:col min="11" max="11" width="18" hidden="0" customWidth="1"/>
    <x:col min="12" max="12" width="18" hidden="0" customWidth="1"/>
    <x:col min="13" max="13" width="38" hidden="0" customWidth="1"/>
  </x:cols>
  <x:sheetData>
    <x:row r="1" ht="44" customHeight="1">
      <x:c r="A1" s="7" t="str">
        <x:v>Request</x:v>
      </x:c>
      <x:c r="B1" s="7" t="str">
        <x:v>Turn</x:v>
      </x:c>
      <x:c r="C1" s="7" t="str">
        <x:v>Sequence</x:v>
      </x:c>
      <x:c r="D1" s="7" t="str">
        <x:v>Tokens</x:v>
      </x:c>
      <x:c r="E1" s="7" t="str">
        <x:v>EUR / execution</x:v>
      </x:c>
      <x:c r="F1" s="7" t="str">
        <x:v>USD / execution</x:v>
      </x:c>
      <x:c r="G1" s="7" t="str">
        <x:v>Projected EUR</x:v>
      </x:c>
      <x:c r="H1" s="7" t="str">
        <x:v>Projected USD</x:v>
      </x:c>
      <x:c r="I1" s="7" t="str">
        <x:v>Content</x:v>
      </x:c>
      <x:c r="J1" s="7" t="str">
        <x:v>Model · effort</x:v>
      </x:c>
      <x:c r="K1" s="7" t="str">
        <x:v>Status</x:v>
      </x:c>
      <x:c r="L1" s="7" t="str">
        <x:v>Context total tokens</x:v>
      </x:c>
      <x:c r="M1" s="7" t="str">
        <x:v>Span ID</x:v>
      </x:c>
    </x:row>
    <x:row r="2" ht="24" customHeight="1">
      <x:c r="A2" s="19"/>
      <x:c r="B2" s="19"/>
      <x:c r="C2" s="19" t="str">
        <x:v>Run total</x:v>
      </x:c>
      <x:c r="D2" s="31"/>
      <x:c r="E2" s="28" t="n">
        <x:f>IF(COUNT(E16,E31,E44,E59)=4,SUM(E16,E31,E44,E59),"Unknown")</x:f>
        <x:v>0.000716858352</x:v>
      </x:c>
      <x:c r="F2" s="28" t="n">
        <x:f>IF(COUNT(F16,F31,F44,F59)=4,SUM(F16,F31,F44,F59),"Unknown")</x:f>
        <x:v>0.0008215200000000001</x:v>
      </x:c>
      <x:c r="G2" s="31" t="n">
        <x:f>IF(ISNUMBER(E2),ROUND(E2*'Reference data'!$B$2,0),"Unknown")</x:f>
        <x:v>72</x:v>
      </x:c>
      <x:c r="H2" s="31" t="n">
        <x:f>IF(ISNUMBER(F2),ROUND(F2*'Reference data'!$B$2,0),"Unknown")</x:f>
        <x:v>82</x:v>
      </x:c>
      <x:c r="I2" s="25"/>
      <x:c r="J2" s="19"/>
      <x:c r="K2" s="19"/>
      <x:c r="L2" s="31"/>
      <x:c r="M2" s="19"/>
    </x:row>
    <x:row r="3" ht="24" customHeight="1">
      <x:c r="A3" s="19"/>
      <x:c r="B3" s="19" t="n">
        <x:v>1</x:v>
      </x:c>
      <x:c r="C3" s="19" t="str">
        <x:v>Turn 1</x:v>
      </x:c>
      <x:c r="D3" s="31"/>
      <x:c r="E3" s="28" t="n">
        <x:f>IF(COUNT(E16,E31)=2,SUM(E16,E31),"Unknown")</x:f>
        <x:v>0.000565811292</x:v>
      </x:c>
      <x:c r="F3" s="28" t="n">
        <x:f>IF(COUNT(F16,F31)=2,SUM(F16,F31),"Unknown")</x:f>
        <x:v>0.00064842</x:v>
      </x:c>
      <x:c r="G3" s="31" t="n">
        <x:f>IF(ISNUMBER(E3),ROUND(E3*'Reference data'!$B$2,0),"Unknown")</x:f>
        <x:v>57</x:v>
      </x:c>
      <x:c r="H3" s="31" t="n">
        <x:f>IF(ISNUMBER(F3),ROUND(F3*'Reference data'!$B$2,0),"Unknown")</x:f>
        <x:v>65</x:v>
      </x:c>
      <x:c r="I3" s="25"/>
      <x:c r="J3" s="19"/>
      <x:c r="K3" s="19"/>
      <x:c r="L3" s="31"/>
      <x:c r="M3" s="19"/>
    </x:row>
    <x:row r="4" ht="24" customHeight="1">
      <x:c r="A4" s="21" t="str">
        <x:v>R1</x:v>
      </x:c>
      <x:c r="B4" s="21" t="n">
        <x:v>1</x:v>
      </x:c>
      <x:c r="C4" s="21" t="str">
        <x:v>LLM request</x:v>
      </x:c>
      <x:c r="D4" s="32" t="n">
        <x:v>2054</x:v>
      </x:c>
      <x:c r="E4" s="29"/>
      <x:c r="F4" s="29"/>
      <x:c r="G4" s="32"/>
      <x:c r="H4" s="32"/>
      <x:c r="I4" s="26"/>
      <x:c r="J4" s="21" t="str">
        <x:v>gpt-5.6-luna</x:v>
      </x:c>
      <x:c r="K4" s="21"/>
      <x:c r="L4" s="32"/>
      <x:c r="M4" s="21" t="str">
        <x:v>01a0c40f-0fcb-7d32-94c1-3ee5b23aac72</x:v>
      </x:c>
    </x:row>
    <x:row r="5" ht="24" customHeight="1">
      <x:c r="A5" s="2" t="str">
        <x:v>R1</x:v>
      </x:c>
      <x:c r="B5" s="2" t="n">
        <x:v>1</x:v>
      </x:c>
      <x:c r="C5" s="22" t="str">
        <x:v>Fresh input</x:v>
      </x:c>
      <x:c r="D5" s="33" t="n">
        <x:v>3</x:v>
      </x:c>
      <x:c r="E5" s="11" t="n">
        <x:f>IF(AND(ISNUMBER(F5),ISNUMBER('Reference data'!$B$3)),F5*'Reference data'!$B$3,"Unknown")</x:f>
        <x:v>5.235600000000001e-7</x:v>
      </x:c>
      <x:c r="F5" s="11" t="n">
        <x:f>IF(D5=0,0,IF(ISNUMBER('Reference data'!B17),D5*'Reference data'!B17/1000000,"Unknown"))</x:f>
        <x:v>6.000000000000001e-7</x:v>
      </x:c>
      <x:c r="G5" s="33" t="n">
        <x:f>IF(ISNUMBER(E5),ROUND(E5*'Reference data'!$B$2,0),"Unknown")</x:f>
        <x:v>0</x:v>
      </x:c>
      <x:c r="H5" s="33" t="n">
        <x:f>IF(ISNUMBER(F5),ROUND(F5*'Reference data'!$B$2,0),"Unknown")</x:f>
        <x:v>0</x:v>
      </x:c>
      <x:c r="I5" s="14"/>
      <x:c r="J5" s="2"/>
      <x:c r="K5" s="2"/>
      <x:c r="L5" s="33"/>
      <x:c r="M5" s="2"/>
    </x:row>
    <x:row r="6" ht="24" customHeight="1">
      <x:c r="A6" s="2" t="str">
        <x:v>R1</x:v>
      </x:c>
      <x:c r="B6" s="2" t="n">
        <x:v>1</x:v>
      </x:c>
      <x:c r="C6" s="2" t="str">
        <x:v>    Tool definitions</x:v>
      </x:c>
      <x:c r="D6" s="33"/>
      <x:c r="E6" s="11"/>
      <x:c r="F6" s="11"/>
      <x:c r="G6" s="33"/>
      <x:c r="H6" s="33"/>
      <x:c r="I6" s="14"/>
      <x:c r="J6" s="2"/>
      <x:c r="K6" s="2"/>
      <x:c r="L6" s="33"/>
      <x:c r="M6" s="2"/>
    </x:row>
    <x:row r="7" ht="34" customHeight="1">
      <x:c r="A7" s="2" t="str">
        <x:v>R1</x:v>
      </x:c>
      <x:c r="B7" s="2" t="n">
        <x:v>1</x:v>
      </x:c>
      <x:c r="C7" s="2" t="str">
        <x:v>    System prompt</x:v>
      </x:c>
      <x:c r="D7" s="33"/>
      <x:c r="E7" s="11"/>
      <x:c r="F7" s="11"/>
      <x:c r="G7" s="33"/>
      <x:c r="H7" s="33"/>
      <x:c r="I7" s="14" t="str">
        <x:v>Use workflow_reference to obtain evidence for each question about agent workflows, then answer concisely using the observation.</x:v>
      </x:c>
      <x:c r="J7" s="2"/>
      <x:c r="K7" s="2"/>
      <x:c r="L7" s="33"/>
      <x:c r="M7" s="2"/>
    </x:row>
    <x:row r="8" ht="24" customHeight="1">
      <x:c r="A8" s="2" t="str">
        <x:v>R1</x:v>
      </x:c>
      <x:c r="B8" s="2" t="n">
        <x:v>1</x:v>
      </x:c>
      <x:c r="C8" s="2" t="str">
        <x:v>    User prompt</x:v>
      </x:c>
      <x:c r="D8" s="33"/>
      <x:c r="E8" s="11"/>
      <x:c r="F8" s="11"/>
      <x:c r="G8" s="33"/>
      <x:c r="H8" s="33"/>
      <x:c r="I8" s="14" t="str">
        <x:v>Explain the main steps in an agent workflow.</x:v>
      </x:c>
      <x:c r="J8" s="2"/>
      <x:c r="K8" s="2"/>
      <x:c r="L8" s="33"/>
      <x:c r="M8" s="2"/>
    </x:row>
    <x:row r="9" ht="24" customHeight="1">
      <x:c r="A9" s="2" t="str">
        <x:v>R1</x:v>
      </x:c>
      <x:c r="B9" s="2" t="n">
        <x:v>1</x:v>
      </x:c>
      <x:c r="C9" s="22" t="str">
        <x:v>Cache write</x:v>
      </x:c>
      <x:c r="D9" s="33" t="n">
        <x:v>2051</x:v>
      </x:c>
      <x:c r="E9" s="11" t="n">
        <x:f>IF(AND(ISNUMBER(F9),ISNUMBER('Reference data'!$B$3)),F9*'Reference data'!$B$3,"Unknown")</x:f>
        <x:v>0.00044742565</x:v>
      </x:c>
      <x:c r="F9" s="11" t="n">
        <x:f>IF(D9=0,0,IF(ISNUMBER('Reference data'!D17),D9*'Reference data'!D17/1000000,"Unknown"))</x:f>
        <x:v>0.00051275</x:v>
      </x:c>
      <x:c r="G9" s="33" t="n">
        <x:f>IF(ISNUMBER(E9),ROUND(E9*'Reference data'!$B$2,0),"Unknown")</x:f>
        <x:v>45</x:v>
      </x:c>
      <x:c r="H9" s="33" t="n">
        <x:f>IF(ISNUMBER(F9),ROUND(F9*'Reference data'!$B$2,0),"Unknown")</x:f>
        <x:v>51</x:v>
      </x:c>
      <x:c r="I9" s="14"/>
      <x:c r="J9" s="2"/>
      <x:c r="K9" s="2"/>
      <x:c r="L9" s="33"/>
      <x:c r="M9" s="2"/>
    </x:row>
    <x:row r="10" ht="24" customHeight="1">
      <x:c r="A10" s="2" t="str">
        <x:v>R1</x:v>
      </x:c>
      <x:c r="B10" s="2" t="n">
        <x:v>1</x:v>
      </x:c>
      <x:c r="C10" s="2" t="str">
        <x:v>Context · added / total</x:v>
      </x:c>
      <x:c r="D10" s="33"/>
      <x:c r="E10" s="11"/>
      <x:c r="F10" s="11"/>
      <x:c r="G10" s="33"/>
      <x:c r="H10" s="33"/>
      <x:c r="I10" s="14"/>
      <x:c r="J10" s="2"/>
      <x:c r="K10" s="2"/>
      <x:c r="L10" s="33"/>
      <x:c r="M10" s="2"/>
    </x:row>
    <x:row r="11" ht="24" customHeight="1">
      <x:c r="A11" s="21" t="str">
        <x:v>R1</x:v>
      </x:c>
      <x:c r="B11" s="21" t="n">
        <x:v>1</x:v>
      </x:c>
      <x:c r="C11" s="21" t="str">
        <x:v>LLM response</x:v>
      </x:c>
      <x:c r="D11" s="32" t="n">
        <x:v>23</x:v>
      </x:c>
      <x:c r="E11" s="29"/>
      <x:c r="F11" s="29"/>
      <x:c r="G11" s="32"/>
      <x:c r="H11" s="32"/>
      <x:c r="I11" s="26"/>
      <x:c r="J11" s="21"/>
      <x:c r="K11" s="21"/>
      <x:c r="L11" s="32"/>
      <x:c r="M11" s="21"/>
    </x:row>
    <x:row r="12" ht="24" customHeight="1">
      <x:c r="A12" s="2" t="str">
        <x:v>R1</x:v>
      </x:c>
      <x:c r="B12" s="2" t="n">
        <x:v>1</x:v>
      </x:c>
      <x:c r="C12" s="22" t="str">
        <x:v>Output</x:v>
      </x:c>
      <x:c r="D12" s="33" t="n">
        <x:v>23</x:v>
      </x:c>
      <x:c r="E12" s="11" t="n">
        <x:f>IF(AND(ISNUMBER(F12),ISNUMBER('Reference data'!$B$3)),F12*'Reference data'!$B$3,"Unknown")</x:f>
        <x:v>0.00002408376</x:v>
      </x:c>
      <x:c r="F12" s="11" t="n">
        <x:f>IF(D12=0,0,IF(ISNUMBER('Reference data'!E17),D12*'Reference data'!E17/1000000,"Unknown"))</x:f>
        <x:v>0.000027599999999999997</x:v>
      </x:c>
      <x:c r="G12" s="33" t="n">
        <x:f>IF(ISNUMBER(E12),ROUND(E12*'Reference data'!$B$2,0),"Unknown")</x:f>
        <x:v>2</x:v>
      </x:c>
      <x:c r="H12" s="33" t="n">
        <x:f>IF(ISNUMBER(F12),ROUND(F12*'Reference data'!$B$2,0),"Unknown")</x:f>
        <x:v>3</x:v>
      </x:c>
      <x:c r="I12" s="14"/>
      <x:c r="J12" s="2"/>
      <x:c r="K12" s="2"/>
      <x:c r="L12" s="33"/>
      <x:c r="M12" s="2"/>
    </x:row>
    <x:row r="13" ht="73" customHeight="1">
      <x:c r="A13" s="2" t="str">
        <x:v>R1</x:v>
      </x:c>
      <x:c r="B13" s="2" t="n">
        <x:v>1</x:v>
      </x:c>
      <x:c r="C13" s="2" t="str">
        <x:v>    Output content</x:v>
      </x:c>
      <x:c r="D13" s="33"/>
      <x:c r="E13" s="11"/>
      <x:c r="F13" s="11"/>
      <x:c r="G13" s="33"/>
      <x:c r="H13" s="33"/>
      <x:c r="I13" s="14" t="str">
        <x:v>[{"type":"function_call","name":"workflow_reference","arguments":"{\"topic\":\"main steps in an agent workflow\"}","call_id":"call_sICXVcaHtGSnZ9ROsQ4DWTYu","id":"fc_0a9efd79565af3c1006ab12ac5c44887d291aa5e0ab2cfc436","index":0}]
{"name":"workflow_reference","args":{"topic":"main steps in an agent workflow"},"id":"call_sICXVcaHtGSnZ9ROsQ4DWTYu","type":"tool_call"}</x:v>
      </x:c>
      <x:c r="J13" s="2"/>
      <x:c r="K13" s="2"/>
      <x:c r="L13" s="33"/>
      <x:c r="M13" s="2"/>
    </x:row>
    <x:row r="14" ht="24" customHeight="1">
      <x:c r="A14" s="2" t="str">
        <x:v>R1</x:v>
      </x:c>
      <x:c r="B14" s="2" t="n">
        <x:v>1</x:v>
      </x:c>
      <x:c r="C14" s="2" t="str">
        <x:v>Cache write</x:v>
      </x:c>
      <x:c r="D14" s="33"/>
      <x:c r="E14" s="11"/>
      <x:c r="F14" s="11"/>
      <x:c r="G14" s="33"/>
      <x:c r="H14" s="33"/>
      <x:c r="I14" s="14"/>
      <x:c r="J14" s="2"/>
      <x:c r="K14" s="2"/>
      <x:c r="L14" s="33"/>
      <x:c r="M14" s="2"/>
    </x:row>
    <x:row r="15" ht="24" customHeight="1">
      <x:c r="A15" s="2" t="str">
        <x:v>R1</x:v>
      </x:c>
      <x:c r="B15" s="2" t="n">
        <x:v>1</x:v>
      </x:c>
      <x:c r="C15" s="2" t="str">
        <x:v>Context · added / total</x:v>
      </x:c>
      <x:c r="D15" s="33"/>
      <x:c r="E15" s="11"/>
      <x:c r="F15" s="11"/>
      <x:c r="G15" s="33"/>
      <x:c r="H15" s="33"/>
      <x:c r="I15" s="14"/>
      <x:c r="J15" s="2"/>
      <x:c r="K15" s="2"/>
      <x:c r="L15" s="33"/>
      <x:c r="M15" s="2"/>
    </x:row>
    <x:row r="16" ht="24" customHeight="1">
      <x:c r="A16" s="21" t="str">
        <x:v>R1</x:v>
      </x:c>
      <x:c r="B16" s="21" t="n">
        <x:v>1</x:v>
      </x:c>
      <x:c r="C16" s="21" t="str">
        <x:v>Call total</x:v>
      </x:c>
      <x:c r="D16" s="32"/>
      <x:c r="E16" s="29" t="n">
        <x:f>IF(COUNT(E5,E9,E12)=3,SUM(E5,E9,E12),"Unknown")</x:f>
        <x:v>0.00047203296999999997</x:v>
      </x:c>
      <x:c r="F16" s="29" t="n">
        <x:f>IF(COUNT(F5,F9,F12)=3,SUM(F5,F9,F12),"Unknown")</x:f>
        <x:v>0.00054095</x:v>
      </x:c>
      <x:c r="G16" s="32" t="n">
        <x:f>IF(ISNUMBER(E16),ROUND(E16*'Reference data'!$B$2,0),"Unknown")</x:f>
        <x:v>47</x:v>
      </x:c>
      <x:c r="H16" s="32" t="n">
        <x:f>IF(ISNUMBER(F16),ROUND(F16*'Reference data'!$B$2,0),"Unknown")</x:f>
        <x:v>54</x:v>
      </x:c>
      <x:c r="I16" s="26"/>
      <x:c r="J16" s="21"/>
      <x:c r="K16" s="21" t="str">
        <x:v>ok</x:v>
      </x:c>
      <x:c r="L16" s="32"/>
      <x:c r="M16" s="21"/>
    </x:row>
    <x:row r="17" ht="24" customHeight="1">
      <x:c r="A17" s="24"/>
      <x:c r="B17" s="24" t="n">
        <x:v>1</x:v>
      </x:c>
      <x:c r="C17" s="24" t="str">
        <x:v>Tool · workflow_reference</x:v>
      </x:c>
      <x:c r="D17" s="34"/>
      <x:c r="E17" s="30"/>
      <x:c r="F17" s="30"/>
      <x:c r="G17" s="34"/>
      <x:c r="H17" s="34"/>
      <x:c r="I17" s="27"/>
      <x:c r="J17" s="24"/>
      <x:c r="K17" s="24" t="str">
        <x:v>ok</x:v>
      </x:c>
      <x:c r="L17" s="34"/>
      <x:c r="M17" s="24" t="str">
        <x:v>01a0c40f-1716-7aa2-b9c3-3283206643c6</x:v>
      </x:c>
    </x:row>
    <x:row r="18" ht="24" customHeight="1">
      <x:c r="A18" s="2"/>
      <x:c r="B18" s="2" t="n">
        <x:v>1</x:v>
      </x:c>
      <x:c r="C18" s="2" t="str">
        <x:v>    Arguments</x:v>
      </x:c>
      <x:c r="D18" s="33"/>
      <x:c r="E18" s="11"/>
      <x:c r="F18" s="11"/>
      <x:c r="G18" s="33"/>
      <x:c r="H18" s="33"/>
      <x:c r="I18" s="14" t="str">
        <x:v>{'topic': 'main steps in an agent workflow'}</x:v>
      </x:c>
      <x:c r="J18" s="2"/>
      <x:c r="K18" s="2"/>
      <x:c r="L18" s="33"/>
      <x:c r="M18" s="2"/>
    </x:row>
    <x:row r="19" ht="34" customHeight="1">
      <x:c r="A19" s="2"/>
      <x:c r="B19" s="2" t="n">
        <x:v>1</x:v>
      </x:c>
      <x:c r="C19" s="2" t="str">
        <x:v>    Result</x:v>
      </x:c>
      <x:c r="D19" s="33"/>
      <x:c r="E19" s="11"/>
      <x:c r="F19" s="11"/>
      <x:c r="G19" s="33"/>
      <x:c r="H19" s="33"/>
      <x:c r="I19" s="14" t="str">
        <x:v>main steps in an agent workflow: an agent selects a tool, observes its result, and uses it to answer.</x:v>
      </x:c>
      <x:c r="J19" s="2"/>
      <x:c r="K19" s="2"/>
      <x:c r="L19" s="33"/>
      <x:c r="M19" s="2"/>
    </x:row>
    <x:row r="20" ht="24" customHeight="1">
      <x:c r="A20" s="21" t="str">
        <x:v>R2</x:v>
      </x:c>
      <x:c r="B20" s="21" t="n">
        <x:v>1</x:v>
      </x:c>
      <x:c r="C20" s="21" t="str">
        <x:v>LLM request</x:v>
      </x:c>
      <x:c r="D20" s="32" t="n">
        <x:v>2111</x:v>
      </x:c>
      <x:c r="E20" s="29"/>
      <x:c r="F20" s="29"/>
      <x:c r="G20" s="32"/>
      <x:c r="H20" s="32"/>
      <x:c r="I20" s="26"/>
      <x:c r="J20" s="21" t="str">
        <x:v>gpt-5.6-luna</x:v>
      </x:c>
      <x:c r="K20" s="21"/>
      <x:c r="L20" s="32"/>
      <x:c r="M20" s="21" t="str">
        <x:v>01a0c40f-173a-7b51-a93a-4ea24391f9c7</x:v>
      </x:c>
    </x:row>
    <x:row r="21" ht="24" customHeight="1">
      <x:c r="A21" s="2" t="str">
        <x:v>R2</x:v>
      </x:c>
      <x:c r="B21" s="2" t="n">
        <x:v>1</x:v>
      </x:c>
      <x:c r="C21" s="22" t="str">
        <x:v>Conversation history · cache read</x:v>
      </x:c>
      <x:c r="D21" s="33" t="n">
        <x:v>2051</x:v>
      </x:c>
      <x:c r="E21" s="11" t="n">
        <x:f>IF(AND(ISNUMBER(F21),ISNUMBER('Reference data'!$B$3)),F21*'Reference data'!$B$3,"Unknown")</x:f>
        <x:v>0.000035794052000000006</x:v>
      </x:c>
      <x:c r="F21" s="11" t="n">
        <x:f>IF(D21=0,0,IF(ISNUMBER('Reference data'!C17),D21*'Reference data'!C17/1000000,"Unknown"))</x:f>
        <x:v>0.000041020000000000004</x:v>
      </x:c>
      <x:c r="G21" s="33" t="n">
        <x:f>IF(ISNUMBER(E21),ROUND(E21*'Reference data'!$B$2,0),"Unknown")</x:f>
        <x:v>4</x:v>
      </x:c>
      <x:c r="H21" s="33" t="n">
        <x:f>IF(ISNUMBER(F21),ROUND(F21*'Reference data'!$B$2,0),"Unknown")</x:f>
        <x:v>4</x:v>
      </x:c>
      <x:c r="I21" s="14"/>
      <x:c r="J21" s="2"/>
      <x:c r="K21" s="2"/>
      <x:c r="L21" s="33"/>
      <x:c r="M21" s="2"/>
    </x:row>
    <x:row r="22" ht="24" customHeight="1">
      <x:c r="A22" s="2" t="str">
        <x:v>R2</x:v>
      </x:c>
      <x:c r="B22" s="2" t="n">
        <x:v>1</x:v>
      </x:c>
      <x:c r="C22" s="22" t="str">
        <x:v>Fresh input</x:v>
      </x:c>
      <x:c r="D22" s="33" t="n">
        <x:v>3</x:v>
      </x:c>
      <x:c r="E22" s="11" t="n">
        <x:f>IF(AND(ISNUMBER(F22),ISNUMBER('Reference data'!$B$3)),F22*'Reference data'!$B$3,"Unknown")</x:f>
        <x:v>5.235600000000001e-7</x:v>
      </x:c>
      <x:c r="F22" s="11" t="n">
        <x:f>IF(D22=0,0,IF(ISNUMBER('Reference data'!B17),D22*'Reference data'!B17/1000000,"Unknown"))</x:f>
        <x:v>6.000000000000001e-7</x:v>
      </x:c>
      <x:c r="G22" s="33" t="n">
        <x:f>IF(ISNUMBER(E22),ROUND(E22*'Reference data'!$B$2,0),"Unknown")</x:f>
        <x:v>0</x:v>
      </x:c>
      <x:c r="H22" s="33" t="n">
        <x:f>IF(ISNUMBER(F22),ROUND(F22*'Reference data'!$B$2,0),"Unknown")</x:f>
        <x:v>0</x:v>
      </x:c>
      <x:c r="I22" s="14"/>
      <x:c r="J22" s="2"/>
      <x:c r="K22" s="2"/>
      <x:c r="L22" s="33"/>
      <x:c r="M22" s="2"/>
    </x:row>
    <x:row r="23" ht="34" customHeight="1">
      <x:c r="A23" s="2" t="str">
        <x:v>R2</x:v>
      </x:c>
      <x:c r="B23" s="2" t="n">
        <x:v>1</x:v>
      </x:c>
      <x:c r="C23" s="2" t="str">
        <x:v>    Tool result</x:v>
      </x:c>
      <x:c r="D23" s="33"/>
      <x:c r="E23" s="11"/>
      <x:c r="F23" s="11"/>
      <x:c r="G23" s="33"/>
      <x:c r="H23" s="33"/>
      <x:c r="I23" s="14" t="str">
        <x:v>main steps in an agent workflow: an agent selects a tool, observes its result, and uses it to answer.</x:v>
      </x:c>
      <x:c r="J23" s="2"/>
      <x:c r="K23" s="2"/>
      <x:c r="L23" s="33"/>
      <x:c r="M23" s="2"/>
    </x:row>
    <x:row r="24" ht="24" customHeight="1">
      <x:c r="A24" s="2" t="str">
        <x:v>R2</x:v>
      </x:c>
      <x:c r="B24" s="2" t="n">
        <x:v>1</x:v>
      </x:c>
      <x:c r="C24" s="22" t="str">
        <x:v>Cache write</x:v>
      </x:c>
      <x:c r="D24" s="33" t="n">
        <x:v>57</x:v>
      </x:c>
      <x:c r="E24" s="11" t="n">
        <x:f>IF(AND(ISNUMBER(F24),ISNUMBER('Reference data'!$B$3)),F24*'Reference data'!$B$3,"Unknown")</x:f>
        <x:v>0.000012434550000000001</x:v>
      </x:c>
      <x:c r="F24" s="11" t="n">
        <x:f>IF(D24=0,0,IF(ISNUMBER('Reference data'!D17),D24*'Reference data'!D17/1000000,"Unknown"))</x:f>
        <x:v>0.00001425</x:v>
      </x:c>
      <x:c r="G24" s="33" t="n">
        <x:f>IF(ISNUMBER(E24),ROUND(E24*'Reference data'!$B$2,0),"Unknown")</x:f>
        <x:v>1</x:v>
      </x:c>
      <x:c r="H24" s="33" t="n">
        <x:f>IF(ISNUMBER(F24),ROUND(F24*'Reference data'!$B$2,0),"Unknown")</x:f>
        <x:v>1</x:v>
      </x:c>
      <x:c r="I24" s="14"/>
      <x:c r="J24" s="2"/>
      <x:c r="K24" s="2"/>
      <x:c r="L24" s="33"/>
      <x:c r="M24" s="2"/>
    </x:row>
    <x:row r="25" ht="24" customHeight="1">
      <x:c r="A25" s="2" t="str">
        <x:v>R2</x:v>
      </x:c>
      <x:c r="B25" s="2" t="n">
        <x:v>1</x:v>
      </x:c>
      <x:c r="C25" s="2" t="str">
        <x:v>Context · added / total</x:v>
      </x:c>
      <x:c r="D25" s="33"/>
      <x:c r="E25" s="11"/>
      <x:c r="F25" s="11"/>
      <x:c r="G25" s="33"/>
      <x:c r="H25" s="33"/>
      <x:c r="I25" s="14"/>
      <x:c r="J25" s="2"/>
      <x:c r="K25" s="2"/>
      <x:c r="L25" s="33"/>
      <x:c r="M25" s="2"/>
    </x:row>
    <x:row r="26" ht="24" customHeight="1">
      <x:c r="A26" s="21" t="str">
        <x:v>R2</x:v>
      </x:c>
      <x:c r="B26" s="21" t="n">
        <x:v>1</x:v>
      </x:c>
      <x:c r="C26" s="21" t="str">
        <x:v>LLM response</x:v>
      </x:c>
      <x:c r="D26" s="32" t="n">
        <x:v>43</x:v>
      </x:c>
      <x:c r="E26" s="29"/>
      <x:c r="F26" s="29"/>
      <x:c r="G26" s="32"/>
      <x:c r="H26" s="32"/>
      <x:c r="I26" s="26"/>
      <x:c r="J26" s="21"/>
      <x:c r="K26" s="21"/>
      <x:c r="L26" s="32"/>
      <x:c r="M26" s="21"/>
    </x:row>
    <x:row r="27" ht="24" customHeight="1">
      <x:c r="A27" s="2" t="str">
        <x:v>R2</x:v>
      </x:c>
      <x:c r="B27" s="2" t="n">
        <x:v>1</x:v>
      </x:c>
      <x:c r="C27" s="22" t="str">
        <x:v>Output</x:v>
      </x:c>
      <x:c r="D27" s="33" t="n">
        <x:v>43</x:v>
      </x:c>
      <x:c r="E27" s="11" t="n">
        <x:f>IF(AND(ISNUMBER(F27),ISNUMBER('Reference data'!$B$3)),F27*'Reference data'!$B$3,"Unknown")</x:f>
        <x:v>0.00004502616</x:v>
      </x:c>
      <x:c r="F27" s="11" t="n">
        <x:f>IF(D27=0,0,IF(ISNUMBER('Reference data'!E17),D27*'Reference data'!E17/1000000,"Unknown"))</x:f>
        <x:v>0.0000516</x:v>
      </x:c>
      <x:c r="G27" s="33" t="n">
        <x:f>IF(ISNUMBER(E27),ROUND(E27*'Reference data'!$B$2,0),"Unknown")</x:f>
        <x:v>5</x:v>
      </x:c>
      <x:c r="H27" s="33" t="n">
        <x:f>IF(ISNUMBER(F27),ROUND(F27*'Reference data'!$B$2,0),"Unknown")</x:f>
        <x:v>5</x:v>
      </x:c>
      <x:c r="I27" s="14"/>
      <x:c r="J27" s="2"/>
      <x:c r="K27" s="2"/>
      <x:c r="L27" s="33"/>
      <x:c r="M27" s="2"/>
    </x:row>
    <x:row r="28" ht="60" customHeight="1">
      <x:c r="A28" s="2" t="str">
        <x:v>R2</x:v>
      </x:c>
      <x:c r="B28" s="2" t="n">
        <x:v>1</x:v>
      </x:c>
      <x:c r="C28" s="2" t="str">
        <x:v>    Output content</x:v>
      </x:c>
      <x:c r="D28" s="33"/>
      <x:c r="E28" s="11"/>
      <x:c r="F28" s="11"/>
      <x:c r="G28" s="33"/>
      <x:c r="H28" s="33"/>
      <x:c r="I28" s="14" t="str">
        <x:v>[{"type":"text","text":"The main steps are:\n\n1. **Select a tool** based on the task.\n2. **Observe the tool’s result**.\n3. **Use that result to formulate an answer**.","phase":"final_answer","index":0,"id":"msg_0a9efd79565af3c1006ab12ac71bd087d2b971b31223720a84"}]</x:v>
      </x:c>
      <x:c r="J28" s="2"/>
      <x:c r="K28" s="2"/>
      <x:c r="L28" s="33"/>
      <x:c r="M28" s="2"/>
    </x:row>
    <x:row r="29" ht="24" customHeight="1">
      <x:c r="A29" s="2" t="str">
        <x:v>R2</x:v>
      </x:c>
      <x:c r="B29" s="2" t="n">
        <x:v>1</x:v>
      </x:c>
      <x:c r="C29" s="2" t="str">
        <x:v>Cache write</x:v>
      </x:c>
      <x:c r="D29" s="33"/>
      <x:c r="E29" s="11"/>
      <x:c r="F29" s="11"/>
      <x:c r="G29" s="33"/>
      <x:c r="H29" s="33"/>
      <x:c r="I29" s="14"/>
      <x:c r="J29" s="2"/>
      <x:c r="K29" s="2"/>
      <x:c r="L29" s="33"/>
      <x:c r="M29" s="2"/>
    </x:row>
    <x:row r="30" ht="24" customHeight="1">
      <x:c r="A30" s="2" t="str">
        <x:v>R2</x:v>
      </x:c>
      <x:c r="B30" s="2" t="n">
        <x:v>1</x:v>
      </x:c>
      <x:c r="C30" s="2" t="str">
        <x:v>Context · added / total</x:v>
      </x:c>
      <x:c r="D30" s="33"/>
      <x:c r="E30" s="11"/>
      <x:c r="F30" s="11"/>
      <x:c r="G30" s="33"/>
      <x:c r="H30" s="33"/>
      <x:c r="I30" s="14"/>
      <x:c r="J30" s="2"/>
      <x:c r="K30" s="2"/>
      <x:c r="L30" s="33"/>
      <x:c r="M30" s="2"/>
    </x:row>
    <x:row r="31" ht="24" customHeight="1">
      <x:c r="A31" s="21" t="str">
        <x:v>R2</x:v>
      </x:c>
      <x:c r="B31" s="21" t="n">
        <x:v>1</x:v>
      </x:c>
      <x:c r="C31" s="21" t="str">
        <x:v>Call total</x:v>
      </x:c>
      <x:c r="D31" s="32"/>
      <x:c r="E31" s="29" t="n">
        <x:f>IF(COUNT(E21,E22,E24,E27)=4,SUM(E21,E22,E24,E27),"Unknown")</x:f>
        <x:v>0.00009377832200000001</x:v>
      </x:c>
      <x:c r="F31" s="29" t="n">
        <x:f>IF(COUNT(F21,F22,F24,F27)=4,SUM(F21,F22,F24,F27),"Unknown")</x:f>
        <x:v>0.00010747</x:v>
      </x:c>
      <x:c r="G31" s="32" t="n">
        <x:f>IF(ISNUMBER(E31),ROUND(E31*'Reference data'!$B$2,0),"Unknown")</x:f>
        <x:v>9</x:v>
      </x:c>
      <x:c r="H31" s="32" t="n">
        <x:f>IF(ISNUMBER(F31),ROUND(F31*'Reference data'!$B$2,0),"Unknown")</x:f>
        <x:v>11</x:v>
      </x:c>
      <x:c r="I31" s="26"/>
      <x:c r="J31" s="21"/>
      <x:c r="K31" s="21" t="str">
        <x:v>ok</x:v>
      </x:c>
      <x:c r="L31" s="32"/>
      <x:c r="M31" s="21"/>
    </x:row>
    <x:row r="32" ht="24" customHeight="1">
      <x:c r="A32" s="19"/>
      <x:c r="B32" s="19" t="n">
        <x:v>2</x:v>
      </x:c>
      <x:c r="C32" s="19" t="str">
        <x:v>Turn 2</x:v>
      </x:c>
      <x:c r="D32" s="31"/>
      <x:c r="E32" s="28" t="n">
        <x:f>IF(COUNT(E44,E59)=2,SUM(E44,E59),"Unknown")</x:f>
        <x:v>0.00015104706000000002</x:v>
      </x:c>
      <x:c r="F32" s="28" t="n">
        <x:f>IF(COUNT(F44,F59)=2,SUM(F44,F59),"Unknown")</x:f>
        <x:v>0.0001731</x:v>
      </x:c>
      <x:c r="G32" s="31" t="n">
        <x:f>IF(ISNUMBER(E32),ROUND(E32*'Reference data'!$B$2,0),"Unknown")</x:f>
        <x:v>15</x:v>
      </x:c>
      <x:c r="H32" s="31" t="n">
        <x:f>IF(ISNUMBER(F32),ROUND(F32*'Reference data'!$B$2,0),"Unknown")</x:f>
        <x:v>17</x:v>
      </x:c>
      <x:c r="I32" s="25"/>
      <x:c r="J32" s="19"/>
      <x:c r="K32" s="19"/>
      <x:c r="L32" s="31"/>
      <x:c r="M32" s="19"/>
    </x:row>
    <x:row r="33" ht="24" customHeight="1">
      <x:c r="A33" s="21" t="str">
        <x:v>R3</x:v>
      </x:c>
      <x:c r="B33" s="21" t="n">
        <x:v>2</x:v>
      </x:c>
      <x:c r="C33" s="21" t="str">
        <x:v>LLM request</x:v>
      </x:c>
      <x:c r="D33" s="32" t="n">
        <x:v>2170</x:v>
      </x:c>
      <x:c r="E33" s="29"/>
      <x:c r="F33" s="29"/>
      <x:c r="G33" s="32"/>
      <x:c r="H33" s="32"/>
      <x:c r="I33" s="26"/>
      <x:c r="J33" s="21" t="str">
        <x:v>gpt-5.6-luna</x:v>
      </x:c>
      <x:c r="K33" s="21"/>
      <x:c r="L33" s="32"/>
      <x:c r="M33" s="21" t="str">
        <x:v>01a0c40f-1c4b-7812-8de8-764a20748268</x:v>
      </x:c>
    </x:row>
    <x:row r="34" ht="24" customHeight="1">
      <x:c r="A34" s="2" t="str">
        <x:v>R3</x:v>
      </x:c>
      <x:c r="B34" s="2" t="n">
        <x:v>2</x:v>
      </x:c>
      <x:c r="C34" s="22" t="str">
        <x:v>Conversation history · cache read</x:v>
      </x:c>
      <x:c r="D34" s="33" t="n">
        <x:v>2108</x:v>
      </x:c>
      <x:c r="E34" s="11" t="n">
        <x:f>IF(AND(ISNUMBER(F34),ISNUMBER('Reference data'!$B$3)),F34*'Reference data'!$B$3,"Unknown")</x:f>
        <x:v>0.000036788816000000006</x:v>
      </x:c>
      <x:c r="F34" s="11" t="n">
        <x:f>IF(D34=0,0,IF(ISNUMBER('Reference data'!C17),D34*'Reference data'!C17/1000000,"Unknown"))</x:f>
        <x:v>0.00004216</x:v>
      </x:c>
      <x:c r="G34" s="33" t="n">
        <x:f>IF(ISNUMBER(E34),ROUND(E34*'Reference data'!$B$2,0),"Unknown")</x:f>
        <x:v>4</x:v>
      </x:c>
      <x:c r="H34" s="33" t="n">
        <x:f>IF(ISNUMBER(F34),ROUND(F34*'Reference data'!$B$2,0),"Unknown")</x:f>
        <x:v>4</x:v>
      </x:c>
      <x:c r="I34" s="14"/>
      <x:c r="J34" s="2"/>
      <x:c r="K34" s="2"/>
      <x:c r="L34" s="33"/>
      <x:c r="M34" s="2"/>
    </x:row>
    <x:row r="35" ht="24" customHeight="1">
      <x:c r="A35" s="2" t="str">
        <x:v>R3</x:v>
      </x:c>
      <x:c r="B35" s="2" t="n">
        <x:v>2</x:v>
      </x:c>
      <x:c r="C35" s="22" t="str">
        <x:v>Fresh input</x:v>
      </x:c>
      <x:c r="D35" s="33" t="n">
        <x:v>3</x:v>
      </x:c>
      <x:c r="E35" s="11" t="n">
        <x:f>IF(AND(ISNUMBER(F35),ISNUMBER('Reference data'!$B$3)),F35*'Reference data'!$B$3,"Unknown")</x:f>
        <x:v>5.235600000000001e-7</x:v>
      </x:c>
      <x:c r="F35" s="11" t="n">
        <x:f>IF(D35=0,0,IF(ISNUMBER('Reference data'!B17),D35*'Reference data'!B17/1000000,"Unknown"))</x:f>
        <x:v>6.000000000000001e-7</x:v>
      </x:c>
      <x:c r="G35" s="33" t="n">
        <x:f>IF(ISNUMBER(E35),ROUND(E35*'Reference data'!$B$2,0),"Unknown")</x:f>
        <x:v>0</x:v>
      </x:c>
      <x:c r="H35" s="33" t="n">
        <x:f>IF(ISNUMBER(F35),ROUND(F35*'Reference data'!$B$2,0),"Unknown")</x:f>
        <x:v>0</x:v>
      </x:c>
      <x:c r="I35" s="14"/>
      <x:c r="J35" s="2"/>
      <x:c r="K35" s="2"/>
      <x:c r="L35" s="33"/>
      <x:c r="M35" s="2"/>
    </x:row>
    <x:row r="36" ht="24" customHeight="1">
      <x:c r="A36" s="2" t="str">
        <x:v>R3</x:v>
      </x:c>
      <x:c r="B36" s="2" t="n">
        <x:v>2</x:v>
      </x:c>
      <x:c r="C36" s="2" t="str">
        <x:v>    User prompt</x:v>
      </x:c>
      <x:c r="D36" s="33"/>
      <x:c r="E36" s="11"/>
      <x:c r="F36" s="11"/>
      <x:c r="G36" s="33"/>
      <x:c r="H36" s="33"/>
      <x:c r="I36" s="14" t="str">
        <x:v>How does a tool observation help the agent answer?</x:v>
      </x:c>
      <x:c r="J36" s="2"/>
      <x:c r="K36" s="2"/>
      <x:c r="L36" s="33"/>
      <x:c r="M36" s="2"/>
    </x:row>
    <x:row r="37" ht="24" customHeight="1">
      <x:c r="A37" s="2" t="str">
        <x:v>R3</x:v>
      </x:c>
      <x:c r="B37" s="2" t="n">
        <x:v>2</x:v>
      </x:c>
      <x:c r="C37" s="22" t="str">
        <x:v>Cache write</x:v>
      </x:c>
      <x:c r="D37" s="33" t="n">
        <x:v>59</x:v>
      </x:c>
      <x:c r="E37" s="11" t="n">
        <x:f>IF(AND(ISNUMBER(F37),ISNUMBER('Reference data'!$B$3)),F37*'Reference data'!$B$3,"Unknown")</x:f>
        <x:v>0.00001287085</x:v>
      </x:c>
      <x:c r="F37" s="11" t="n">
        <x:f>IF(D37=0,0,IF(ISNUMBER('Reference data'!D17),D37*'Reference data'!D17/1000000,"Unknown"))</x:f>
        <x:v>0.00001475</x:v>
      </x:c>
      <x:c r="G37" s="33" t="n">
        <x:f>IF(ISNUMBER(E37),ROUND(E37*'Reference data'!$B$2,0),"Unknown")</x:f>
        <x:v>1</x:v>
      </x:c>
      <x:c r="H37" s="33" t="n">
        <x:f>IF(ISNUMBER(F37),ROUND(F37*'Reference data'!$B$2,0),"Unknown")</x:f>
        <x:v>1</x:v>
      </x:c>
      <x:c r="I37" s="14"/>
      <x:c r="J37" s="2"/>
      <x:c r="K37" s="2"/>
      <x:c r="L37" s="33"/>
      <x:c r="M37" s="2"/>
    </x:row>
    <x:row r="38" ht="24" customHeight="1">
      <x:c r="A38" s="2" t="str">
        <x:v>R3</x:v>
      </x:c>
      <x:c r="B38" s="2" t="n">
        <x:v>2</x:v>
      </x:c>
      <x:c r="C38" s="2" t="str">
        <x:v>Context · added / total</x:v>
      </x:c>
      <x:c r="D38" s="33"/>
      <x:c r="E38" s="11"/>
      <x:c r="F38" s="11"/>
      <x:c r="G38" s="33"/>
      <x:c r="H38" s="33"/>
      <x:c r="I38" s="14"/>
      <x:c r="J38" s="2"/>
      <x:c r="K38" s="2"/>
      <x:c r="L38" s="33"/>
      <x:c r="M38" s="2"/>
    </x:row>
    <x:row r="39" ht="24" customHeight="1">
      <x:c r="A39" s="21" t="str">
        <x:v>R3</x:v>
      </x:c>
      <x:c r="B39" s="21" t="n">
        <x:v>2</x:v>
      </x:c>
      <x:c r="C39" s="21" t="str">
        <x:v>LLM response</x:v>
      </x:c>
      <x:c r="D39" s="32" t="n">
        <x:v>25</x:v>
      </x:c>
      <x:c r="E39" s="29"/>
      <x:c r="F39" s="29"/>
      <x:c r="G39" s="32"/>
      <x:c r="H39" s="32"/>
      <x:c r="I39" s="26"/>
      <x:c r="J39" s="21"/>
      <x:c r="K39" s="21"/>
      <x:c r="L39" s="32"/>
      <x:c r="M39" s="21"/>
    </x:row>
    <x:row r="40" ht="24" customHeight="1">
      <x:c r="A40" s="2" t="str">
        <x:v>R3</x:v>
      </x:c>
      <x:c r="B40" s="2" t="n">
        <x:v>2</x:v>
      </x:c>
      <x:c r="C40" s="22" t="str">
        <x:v>Output</x:v>
      </x:c>
      <x:c r="D40" s="33" t="n">
        <x:v>25</x:v>
      </x:c>
      <x:c r="E40" s="11" t="n">
        <x:f>IF(AND(ISNUMBER(F40),ISNUMBER('Reference data'!$B$3)),F40*'Reference data'!$B$3,"Unknown")</x:f>
        <x:v>0.000026178000000000002</x:v>
      </x:c>
      <x:c r="F40" s="11" t="n">
        <x:f>IF(D40=0,0,IF(ISNUMBER('Reference data'!E17),D40*'Reference data'!E17/1000000,"Unknown"))</x:f>
        <x:v>0.00003</x:v>
      </x:c>
      <x:c r="G40" s="33" t="n">
        <x:f>IF(ISNUMBER(E40),ROUND(E40*'Reference data'!$B$2,0),"Unknown")</x:f>
        <x:v>3</x:v>
      </x:c>
      <x:c r="H40" s="33" t="n">
        <x:f>IF(ISNUMBER(F40),ROUND(F40*'Reference data'!$B$2,0),"Unknown")</x:f>
        <x:v>3</x:v>
      </x:c>
      <x:c r="I40" s="14"/>
      <x:c r="J40" s="2"/>
      <x:c r="K40" s="2"/>
      <x:c r="L40" s="33"/>
      <x:c r="M40" s="2"/>
    </x:row>
    <x:row r="41" ht="73" customHeight="1">
      <x:c r="A41" s="2" t="str">
        <x:v>R3</x:v>
      </x:c>
      <x:c r="B41" s="2" t="n">
        <x:v>2</x:v>
      </x:c>
      <x:c r="C41" s="2" t="str">
        <x:v>    Output content</x:v>
      </x:c>
      <x:c r="D41" s="33"/>
      <x:c r="E41" s="11"/>
      <x:c r="F41" s="11"/>
      <x:c r="G41" s="33"/>
      <x:c r="H41" s="33"/>
      <x:c r="I41" s="14" t="str">
        <x:v>[{"type":"function_call","name":"workflow_reference","arguments":"{\"topic\":\"how a tool observation helps the agent answer\"}","call_id":"call_pNhklgyZjfBv9KXygb6NlDBn","id":"fc_0a9efd79565af3c1006ab12ac8d4c887d28e997d246bf0ed9f","index":0}]
{"name":"workflow_reference","args":{"topic":"how a tool observation helps the agent answer"},"id":"call_pNhklgyZjfBv9KXygb6NlDBn","type":"tool_call"}</x:v>
      </x:c>
      <x:c r="J41" s="2"/>
      <x:c r="K41" s="2"/>
      <x:c r="L41" s="33"/>
      <x:c r="M41" s="2"/>
    </x:row>
    <x:row r="42" ht="24" customHeight="1">
      <x:c r="A42" s="2" t="str">
        <x:v>R3</x:v>
      </x:c>
      <x:c r="B42" s="2" t="n">
        <x:v>2</x:v>
      </x:c>
      <x:c r="C42" s="2" t="str">
        <x:v>Cache write</x:v>
      </x:c>
      <x:c r="D42" s="33"/>
      <x:c r="E42" s="11"/>
      <x:c r="F42" s="11"/>
      <x:c r="G42" s="33"/>
      <x:c r="H42" s="33"/>
      <x:c r="I42" s="14"/>
      <x:c r="J42" s="2"/>
      <x:c r="K42" s="2"/>
      <x:c r="L42" s="33"/>
      <x:c r="M42" s="2"/>
    </x:row>
    <x:row r="43" ht="24" customHeight="1">
      <x:c r="A43" s="2" t="str">
        <x:v>R3</x:v>
      </x:c>
      <x:c r="B43" s="2" t="n">
        <x:v>2</x:v>
      </x:c>
      <x:c r="C43" s="2" t="str">
        <x:v>Context · added / total</x:v>
      </x:c>
      <x:c r="D43" s="33"/>
      <x:c r="E43" s="11"/>
      <x:c r="F43" s="11"/>
      <x:c r="G43" s="33"/>
      <x:c r="H43" s="33"/>
      <x:c r="I43" s="14"/>
      <x:c r="J43" s="2"/>
      <x:c r="K43" s="2"/>
      <x:c r="L43" s="33"/>
      <x:c r="M43" s="2"/>
    </x:row>
    <x:row r="44" ht="24" customHeight="1">
      <x:c r="A44" s="21" t="str">
        <x:v>R3</x:v>
      </x:c>
      <x:c r="B44" s="21" t="n">
        <x:v>2</x:v>
      </x:c>
      <x:c r="C44" s="21" t="str">
        <x:v>Call total</x:v>
      </x:c>
      <x:c r="D44" s="32"/>
      <x:c r="E44" s="29" t="n">
        <x:f>IF(COUNT(E34,E35,E37,E40)=4,SUM(E34,E35,E37,E40),"Unknown")</x:f>
        <x:v>0.00007636122600000001</x:v>
      </x:c>
      <x:c r="F44" s="29" t="n">
        <x:f>IF(COUNT(F34,F35,F37,F40)=4,SUM(F34,F35,F37,F40),"Unknown")</x:f>
        <x:v>0.00008751000000000001</x:v>
      </x:c>
      <x:c r="G44" s="32" t="n">
        <x:f>IF(ISNUMBER(E44),ROUND(E44*'Reference data'!$B$2,0),"Unknown")</x:f>
        <x:v>8</x:v>
      </x:c>
      <x:c r="H44" s="32" t="n">
        <x:f>IF(ISNUMBER(F44),ROUND(F44*'Reference data'!$B$2,0),"Unknown")</x:f>
        <x:v>9</x:v>
      </x:c>
      <x:c r="I44" s="26"/>
      <x:c r="J44" s="21"/>
      <x:c r="K44" s="21" t="str">
        <x:v>ok</x:v>
      </x:c>
      <x:c r="L44" s="32"/>
      <x:c r="M44" s="21"/>
    </x:row>
    <x:row r="45" ht="24" customHeight="1">
      <x:c r="A45" s="24"/>
      <x:c r="B45" s="24" t="n">
        <x:v>2</x:v>
      </x:c>
      <x:c r="C45" s="24" t="str">
        <x:v>Tool · workflow_reference</x:v>
      </x:c>
      <x:c r="D45" s="34"/>
      <x:c r="E45" s="30"/>
      <x:c r="F45" s="30"/>
      <x:c r="G45" s="34"/>
      <x:c r="H45" s="34"/>
      <x:c r="I45" s="27"/>
      <x:c r="J45" s="24"/>
      <x:c r="K45" s="24" t="str">
        <x:v>ok</x:v>
      </x:c>
      <x:c r="L45" s="34"/>
      <x:c r="M45" s="24" t="str">
        <x:v>01a0c40f-21fe-7322-a27a-f6112a831907</x:v>
      </x:c>
    </x:row>
    <x:row r="46" ht="24" customHeight="1">
      <x:c r="A46" s="2"/>
      <x:c r="B46" s="2" t="n">
        <x:v>2</x:v>
      </x:c>
      <x:c r="C46" s="2" t="str">
        <x:v>    Arguments</x:v>
      </x:c>
      <x:c r="D46" s="33"/>
      <x:c r="E46" s="11"/>
      <x:c r="F46" s="11"/>
      <x:c r="G46" s="33"/>
      <x:c r="H46" s="33"/>
      <x:c r="I46" s="14" t="str">
        <x:v>{'topic': 'how a tool observation helps the agent answer'}</x:v>
      </x:c>
      <x:c r="J46" s="2"/>
      <x:c r="K46" s="2"/>
      <x:c r="L46" s="33"/>
      <x:c r="M46" s="2"/>
    </x:row>
    <x:row r="47" ht="34" customHeight="1">
      <x:c r="A47" s="2"/>
      <x:c r="B47" s="2" t="n">
        <x:v>2</x:v>
      </x:c>
      <x:c r="C47" s="2" t="str">
        <x:v>    Result</x:v>
      </x:c>
      <x:c r="D47" s="33"/>
      <x:c r="E47" s="11"/>
      <x:c r="F47" s="11"/>
      <x:c r="G47" s="33"/>
      <x:c r="H47" s="33"/>
      <x:c r="I47" s="14" t="str">
        <x:v>how a tool observation helps the agent answer: an agent selects a tool, observes its result, and uses it to answer.</x:v>
      </x:c>
      <x:c r="J47" s="2"/>
      <x:c r="K47" s="2"/>
      <x:c r="L47" s="33"/>
      <x:c r="M47" s="2"/>
    </x:row>
    <x:row r="48" ht="24" customHeight="1">
      <x:c r="A48" s="21" t="str">
        <x:v>R4</x:v>
      </x:c>
      <x:c r="B48" s="21" t="n">
        <x:v>2</x:v>
      </x:c>
      <x:c r="C48" s="21" t="str">
        <x:v>LLM request</x:v>
      </x:c>
      <x:c r="D48" s="32" t="n">
        <x:v>2231</x:v>
      </x:c>
      <x:c r="E48" s="29"/>
      <x:c r="F48" s="29"/>
      <x:c r="G48" s="32"/>
      <x:c r="H48" s="32"/>
      <x:c r="I48" s="26"/>
      <x:c r="J48" s="21" t="str">
        <x:v>gpt-5.6-luna</x:v>
      </x:c>
      <x:c r="K48" s="21"/>
      <x:c r="L48" s="32"/>
      <x:c r="M48" s="21" t="str">
        <x:v>01a0c40f-2201-7ec2-96aa-4d5b676e3855</x:v>
      </x:c>
    </x:row>
    <x:row r="49" ht="24" customHeight="1">
      <x:c r="A49" s="2" t="str">
        <x:v>R4</x:v>
      </x:c>
      <x:c r="B49" s="2" t="n">
        <x:v>2</x:v>
      </x:c>
      <x:c r="C49" s="22" t="str">
        <x:v>Conversation history · cache read</x:v>
      </x:c>
      <x:c r="D49" s="33" t="n">
        <x:v>2167</x:v>
      </x:c>
      <x:c r="E49" s="11" t="n">
        <x:f>IF(AND(ISNUMBER(F49),ISNUMBER('Reference data'!$B$3)),F49*'Reference data'!$B$3,"Unknown")</x:f>
        <x:v>0.000037818484</x:v>
      </x:c>
      <x:c r="F49" s="11" t="n">
        <x:f>IF(D49=0,0,IF(ISNUMBER('Reference data'!C17),D49*'Reference data'!C17/1000000,"Unknown"))</x:f>
        <x:v>0.00004334</x:v>
      </x:c>
      <x:c r="G49" s="33" t="n">
        <x:f>IF(ISNUMBER(E49),ROUND(E49*'Reference data'!$B$2,0),"Unknown")</x:f>
        <x:v>4</x:v>
      </x:c>
      <x:c r="H49" s="33" t="n">
        <x:f>IF(ISNUMBER(F49),ROUND(F49*'Reference data'!$B$2,0),"Unknown")</x:f>
        <x:v>4</x:v>
      </x:c>
      <x:c r="I49" s="14"/>
      <x:c r="J49" s="2"/>
      <x:c r="K49" s="2"/>
      <x:c r="L49" s="33"/>
      <x:c r="M49" s="2"/>
    </x:row>
    <x:row r="50" ht="24" customHeight="1">
      <x:c r="A50" s="2" t="str">
        <x:v>R4</x:v>
      </x:c>
      <x:c r="B50" s="2" t="n">
        <x:v>2</x:v>
      </x:c>
      <x:c r="C50" s="22" t="str">
        <x:v>Fresh input</x:v>
      </x:c>
      <x:c r="D50" s="33" t="n">
        <x:v>3</x:v>
      </x:c>
      <x:c r="E50" s="11" t="n">
        <x:f>IF(AND(ISNUMBER(F50),ISNUMBER('Reference data'!$B$3)),F50*'Reference data'!$B$3,"Unknown")</x:f>
        <x:v>5.235600000000001e-7</x:v>
      </x:c>
      <x:c r="F50" s="11" t="n">
        <x:f>IF(D50=0,0,IF(ISNUMBER('Reference data'!B17),D50*'Reference data'!B17/1000000,"Unknown"))</x:f>
        <x:v>6.000000000000001e-7</x:v>
      </x:c>
      <x:c r="G50" s="33" t="n">
        <x:f>IF(ISNUMBER(E50),ROUND(E50*'Reference data'!$B$2,0),"Unknown")</x:f>
        <x:v>0</x:v>
      </x:c>
      <x:c r="H50" s="33" t="n">
        <x:f>IF(ISNUMBER(F50),ROUND(F50*'Reference data'!$B$2,0),"Unknown")</x:f>
        <x:v>0</x:v>
      </x:c>
      <x:c r="I50" s="14"/>
      <x:c r="J50" s="2"/>
      <x:c r="K50" s="2"/>
      <x:c r="L50" s="33"/>
      <x:c r="M50" s="2"/>
    </x:row>
    <x:row r="51" ht="34" customHeight="1">
      <x:c r="A51" s="2" t="str">
        <x:v>R4</x:v>
      </x:c>
      <x:c r="B51" s="2" t="n">
        <x:v>2</x:v>
      </x:c>
      <x:c r="C51" s="2" t="str">
        <x:v>    Tool result</x:v>
      </x:c>
      <x:c r="D51" s="33"/>
      <x:c r="E51" s="11"/>
      <x:c r="F51" s="11"/>
      <x:c r="G51" s="33"/>
      <x:c r="H51" s="33"/>
      <x:c r="I51" s="14" t="str">
        <x:v>how a tool observation helps the agent answer: an agent selects a tool, observes its result, and uses it to answer.</x:v>
      </x:c>
      <x:c r="J51" s="2"/>
      <x:c r="K51" s="2"/>
      <x:c r="L51" s="33"/>
      <x:c r="M51" s="2"/>
    </x:row>
    <x:row r="52" ht="24" customHeight="1">
      <x:c r="A52" s="2" t="str">
        <x:v>R4</x:v>
      </x:c>
      <x:c r="B52" s="2" t="n">
        <x:v>2</x:v>
      </x:c>
      <x:c r="C52" s="22" t="str">
        <x:v>Cache write</x:v>
      </x:c>
      <x:c r="D52" s="33" t="n">
        <x:v>61</x:v>
      </x:c>
      <x:c r="E52" s="11" t="n">
        <x:f>IF(AND(ISNUMBER(F52),ISNUMBER('Reference data'!$B$3)),F52*'Reference data'!$B$3,"Unknown")</x:f>
        <x:v>0.00001330715</x:v>
      </x:c>
      <x:c r="F52" s="11" t="n">
        <x:f>IF(D52=0,0,IF(ISNUMBER('Reference data'!D17),D52*'Reference data'!D17/1000000,"Unknown"))</x:f>
        <x:v>0.00001525</x:v>
      </x:c>
      <x:c r="G52" s="33" t="n">
        <x:f>IF(ISNUMBER(E52),ROUND(E52*'Reference data'!$B$2,0),"Unknown")</x:f>
        <x:v>1</x:v>
      </x:c>
      <x:c r="H52" s="33" t="n">
        <x:f>IF(ISNUMBER(F52),ROUND(F52*'Reference data'!$B$2,0),"Unknown")</x:f>
        <x:v>2</x:v>
      </x:c>
      <x:c r="I52" s="14"/>
      <x:c r="J52" s="2"/>
      <x:c r="K52" s="2"/>
      <x:c r="L52" s="33"/>
      <x:c r="M52" s="2"/>
    </x:row>
    <x:row r="53" ht="24" customHeight="1">
      <x:c r="A53" s="2" t="str">
        <x:v>R4</x:v>
      </x:c>
      <x:c r="B53" s="2" t="n">
        <x:v>2</x:v>
      </x:c>
      <x:c r="C53" s="2" t="str">
        <x:v>Context · added / total</x:v>
      </x:c>
      <x:c r="D53" s="33"/>
      <x:c r="E53" s="11"/>
      <x:c r="F53" s="11"/>
      <x:c r="G53" s="33"/>
      <x:c r="H53" s="33"/>
      <x:c r="I53" s="14"/>
      <x:c r="J53" s="2"/>
      <x:c r="K53" s="2"/>
      <x:c r="L53" s="33"/>
      <x:c r="M53" s="2"/>
    </x:row>
    <x:row r="54" ht="24" customHeight="1">
      <x:c r="A54" s="21" t="str">
        <x:v>R4</x:v>
      </x:c>
      <x:c r="B54" s="21" t="n">
        <x:v>2</x:v>
      </x:c>
      <x:c r="C54" s="21" t="str">
        <x:v>LLM response</x:v>
      </x:c>
      <x:c r="D54" s="32" t="n">
        <x:v>22</x:v>
      </x:c>
      <x:c r="E54" s="29"/>
      <x:c r="F54" s="29"/>
      <x:c r="G54" s="32"/>
      <x:c r="H54" s="32"/>
      <x:c r="I54" s="26"/>
      <x:c r="J54" s="21"/>
      <x:c r="K54" s="21"/>
      <x:c r="L54" s="32"/>
      <x:c r="M54" s="21"/>
    </x:row>
    <x:row r="55" ht="24" customHeight="1">
      <x:c r="A55" s="2" t="str">
        <x:v>R4</x:v>
      </x:c>
      <x:c r="B55" s="2" t="n">
        <x:v>2</x:v>
      </x:c>
      <x:c r="C55" s="22" t="str">
        <x:v>Output</x:v>
      </x:c>
      <x:c r="D55" s="33" t="n">
        <x:v>22</x:v>
      </x:c>
      <x:c r="E55" s="11" t="n">
        <x:f>IF(AND(ISNUMBER(F55),ISNUMBER('Reference data'!$B$3)),F55*'Reference data'!$B$3,"Unknown")</x:f>
        <x:v>0.00002303664</x:v>
      </x:c>
      <x:c r="F55" s="11" t="n">
        <x:f>IF(D55=0,0,IF(ISNUMBER('Reference data'!E17),D55*'Reference data'!E17/1000000,"Unknown"))</x:f>
        <x:v>0.000026399999999999998</x:v>
      </x:c>
      <x:c r="G55" s="33" t="n">
        <x:f>IF(ISNUMBER(E55),ROUND(E55*'Reference data'!$B$2,0),"Unknown")</x:f>
        <x:v>2</x:v>
      </x:c>
      <x:c r="H55" s="33" t="n">
        <x:f>IF(ISNUMBER(F55),ROUND(F55*'Reference data'!$B$2,0),"Unknown")</x:f>
        <x:v>3</x:v>
      </x:c>
      <x:c r="I55" s="14"/>
      <x:c r="J55" s="2"/>
      <x:c r="K55" s="2"/>
      <x:c r="L55" s="33"/>
      <x:c r="M55" s="2"/>
    </x:row>
    <x:row r="56" ht="47" customHeight="1">
      <x:c r="A56" s="2" t="str">
        <x:v>R4</x:v>
      </x:c>
      <x:c r="B56" s="2" t="n">
        <x:v>2</x:v>
      </x:c>
      <x:c r="C56" s="2" t="str">
        <x:v>    Output content</x:v>
      </x:c>
      <x:c r="D56" s="33"/>
      <x:c r="E56" s="11"/>
      <x:c r="F56" s="11"/>
      <x:c r="G56" s="33"/>
      <x:c r="H56" s="33"/>
      <x:c r="I56" s="14" t="str">
        <x:v>[{"type":"text","text":"A tool observation gives the agent information or results that it can use to formulate its answer.","phase":"final_answer","index":0,"id":"msg_0a9efd79565af3c1006ab12ac9c7ac87d2ae02973d2ffbb59b"}]</x:v>
      </x:c>
      <x:c r="J56" s="2"/>
      <x:c r="K56" s="2"/>
      <x:c r="L56" s="33"/>
      <x:c r="M56" s="2"/>
    </x:row>
    <x:row r="57" ht="24" customHeight="1">
      <x:c r="A57" s="2" t="str">
        <x:v>R4</x:v>
      </x:c>
      <x:c r="B57" s="2" t="n">
        <x:v>2</x:v>
      </x:c>
      <x:c r="C57" s="2" t="str">
        <x:v>Cache write</x:v>
      </x:c>
      <x:c r="D57" s="33"/>
      <x:c r="E57" s="11"/>
      <x:c r="F57" s="11"/>
      <x:c r="G57" s="33"/>
      <x:c r="H57" s="33"/>
      <x:c r="I57" s="14"/>
      <x:c r="J57" s="2"/>
      <x:c r="K57" s="2"/>
      <x:c r="L57" s="33"/>
      <x:c r="M57" s="2"/>
    </x:row>
    <x:row r="58" ht="24" customHeight="1">
      <x:c r="A58" s="2" t="str">
        <x:v>R4</x:v>
      </x:c>
      <x:c r="B58" s="2" t="n">
        <x:v>2</x:v>
      </x:c>
      <x:c r="C58" s="2" t="str">
        <x:v>Context · added / total</x:v>
      </x:c>
      <x:c r="D58" s="33"/>
      <x:c r="E58" s="11"/>
      <x:c r="F58" s="11"/>
      <x:c r="G58" s="33"/>
      <x:c r="H58" s="33"/>
      <x:c r="I58" s="14"/>
      <x:c r="J58" s="2"/>
      <x:c r="K58" s="2"/>
      <x:c r="L58" s="33"/>
      <x:c r="M58" s="2"/>
    </x:row>
    <x:row r="59" ht="24" customHeight="1">
      <x:c r="A59" s="21" t="str">
        <x:v>R4</x:v>
      </x:c>
      <x:c r="B59" s="21" t="n">
        <x:v>2</x:v>
      </x:c>
      <x:c r="C59" s="21" t="str">
        <x:v>Call total</x:v>
      </x:c>
      <x:c r="D59" s="32"/>
      <x:c r="E59" s="29" t="n">
        <x:f>IF(COUNT(E49,E50,E52,E55)=4,SUM(E49,E50,E52,E55),"Unknown")</x:f>
        <x:v>0.00007468583400000001</x:v>
      </x:c>
      <x:c r="F59" s="29" t="n">
        <x:f>IF(COUNT(F49,F50,F52,F55)=4,SUM(F49,F50,F52,F55),"Unknown")</x:f>
        <x:v>0.00008559</x:v>
      </x:c>
      <x:c r="G59" s="32" t="n">
        <x:f>IF(ISNUMBER(E59),ROUND(E59*'Reference data'!$B$2,0),"Unknown")</x:f>
        <x:v>7</x:v>
      </x:c>
      <x:c r="H59" s="32" t="n">
        <x:f>IF(ISNUMBER(F59),ROUND(F59*'Reference data'!$B$2,0),"Unknown")</x:f>
        <x:v>9</x:v>
      </x:c>
      <x:c r="I59" s="26"/>
      <x:c r="J59" s="21"/>
      <x:c r="K59" s="21" t="str">
        <x:v>ok</x:v>
      </x:c>
      <x:c r="L59" s="32"/>
      <x:c r="M59" s="21"/>
    </x:row>
  </x:sheetData>
  <x:conditionalFormatting sqref="A2:M59">
    <x:cfRule type="expression" dxfId="2" priority="1">
      <x:formula>$K2="error"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12" hidden="0" customWidth="1"/>
    <x:col min="3" max="3" width="12" hidden="0" customWidth="1"/>
    <x:col min="4" max="4" width="26" hidden="0" customWidth="1"/>
    <x:col min="5" max="5" width="18" hidden="0" customWidth="1"/>
    <x:col min="6" max="6" width="18" hidden="0" customWidth="1"/>
    <x:col min="7" max="7" width="62" hidden="0" customWidth="1"/>
    <x:col min="8" max="8" width="38" hidden="0" customWidth="1"/>
    <x:col min="9" max="9" width="3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</x:cols>
  <x:sheetData>
    <x:row r="1" ht="44" customHeight="1">
      <x:c r="A1" s="7" t="str">
        <x:v>Operation</x:v>
      </x:c>
      <x:c r="B1" s="7" t="str">
        <x:v>Depth</x:v>
      </x:c>
      <x:c r="C1" s="7" t="str">
        <x:v>Type</x:v>
      </x:c>
      <x:c r="D1" s="7" t="str">
        <x:v>Model · effort</x:v>
      </x:c>
      <x:c r="E1" s="7" t="str">
        <x:v>Status</x:v>
      </x:c>
      <x:c r="F1" s="7" t="str">
        <x:v>Input context tokens</x:v>
      </x:c>
      <x:c r="G1" s="7" t="str">
        <x:v>Description</x:v>
      </x:c>
      <x:c r="H1" s="7" t="str">
        <x:v>Span ID</x:v>
      </x:c>
      <x:c r="I1" s="7" t="str">
        <x:v>Parent ID</x:v>
      </x:c>
      <x:c r="J1" s="7" t="str">
        <x:v>Fresh input tokens</x:v>
      </x:c>
      <x:c r="K1" s="7" t="str">
        <x:v>Fresh input EUR</x:v>
      </x:c>
      <x:c r="L1" s="7" t="str">
        <x:v>Fresh input USD</x:v>
      </x:c>
      <x:c r="M1" s="7" t="str">
        <x:v>Cache read tokens</x:v>
      </x:c>
      <x:c r="N1" s="7" t="str">
        <x:v>Cache read EUR</x:v>
      </x:c>
      <x:c r="O1" s="7" t="str">
        <x:v>Cache read USD</x:v>
      </x:c>
      <x:c r="P1" s="7" t="str">
        <x:v>Cache write tokens</x:v>
      </x:c>
      <x:c r="Q1" s="7" t="str">
        <x:v>Cache write EUR</x:v>
      </x:c>
      <x:c r="R1" s="7" t="str">
        <x:v>Cache write USD</x:v>
      </x:c>
      <x:c r="S1" s="7" t="str">
        <x:v>Output (non-reasoning) tokens</x:v>
      </x:c>
      <x:c r="T1" s="7" t="str">
        <x:v>Output (non-reasoning) EUR</x:v>
      </x:c>
      <x:c r="U1" s="7" t="str">
        <x:v>Output (non-reasoning) USD</x:v>
      </x:c>
      <x:c r="V1" s="7" t="str">
        <x:v>Reasoning tokens</x:v>
      </x:c>
      <x:c r="W1" s="7" t="str">
        <x:v>Reasoning EUR</x:v>
      </x:c>
      <x:c r="X1" s="7" t="str">
        <x:v>Reasoning USD</x:v>
      </x:c>
      <x:c r="Y1" s="7" t="str">
        <x:v>Total EUR</x:v>
      </x:c>
      <x:c r="Z1" s="7" t="str">
        <x:v>Total USD</x:v>
      </x:c>
      <x:c r="AA1" s="7" t="str">
        <x:v>Projected EUR</x:v>
      </x:c>
      <x:c r="AB1" s="7" t="str">
        <x:v>Projected USD</x:v>
      </x:c>
      <x:c r="AC1" s="7" t="str">
        <x:v>Request</x:v>
      </x:c>
      <x:c r="AD1" s="7" t="str">
        <x:v>Elapsed ms</x:v>
      </x:c>
      <x:c r="AE1" s="7" t="str">
        <x:v>Accounting</x:v>
      </x:c>
    </x:row>
    <x:row r="2" ht="54" customHeight="1">
      <x:c r="A2" s="40" t="str">
        <x:v>reference_chat_agent</x:v>
      </x:c>
      <x:c r="B2" s="35" t="n">
        <x:v>0</x:v>
      </x:c>
      <x:c r="C2" s="35" t="str">
        <x:v>workflow</x:v>
      </x:c>
      <x:c r="D2" s="35" t="str"/>
      <x:c r="E2" s="35" t="str">
        <x:v>ok</x:v>
      </x:c>
      <x:c r="F2" s="37"/>
      <x:c r="G2" s="40" t="str">
        <x:v>Execute the reference_chat_agent workflow operation and pass its result to the next graph step.</x:v>
      </x:c>
      <x:c r="H2" s="35" t="str">
        <x:v>01a0c40f-0fc0-7651-8efb-a0878955525f</x:v>
      </x:c>
      <x:c r="I2" s="35"/>
      <x:c r="J2" s="33" t="n">
        <x:f>IF(COUNT('Turns'!D5,'Turns'!D22)=2,SUM('Turns'!D5,'Turns'!D22),"Unknown")</x:f>
        <x:v>6</x:v>
      </x:c>
      <x:c r="K2" s="11" t="n">
        <x:f>IF(COUNT('Turns'!E5,'Turns'!E22)=2,SUM('Turns'!E5,'Turns'!E22),"Unknown")</x:f>
        <x:v>0.0000010471200000000002</x:v>
      </x:c>
      <x:c r="L2" s="11" t="n">
        <x:f>IF(COUNT('Turns'!F5,'Turns'!F22)=2,SUM('Turns'!F5,'Turns'!F22),"Unknown")</x:f>
        <x:v>0.0000012000000000000002</x:v>
      </x:c>
      <x:c r="M2" s="33" t="n">
        <x:f>IF(COUNT('Turns'!D21)=1,SUM('Turns'!D21),"Unknown")</x:f>
        <x:v>2051</x:v>
      </x:c>
      <x:c r="N2" s="11" t="n">
        <x:f>IF(COUNT('Turns'!E21)=1,SUM('Turns'!E21),"Unknown")</x:f>
        <x:v>0.000035794052000000006</x:v>
      </x:c>
      <x:c r="O2" s="11" t="n">
        <x:f>IF(COUNT('Turns'!F21)=1,SUM('Turns'!F21),"Unknown")</x:f>
        <x:v>0.000041020000000000004</x:v>
      </x:c>
      <x:c r="P2" s="33" t="n">
        <x:f>IF(COUNT('Turns'!D9,'Turns'!D24)=2,SUM('Turns'!D9,'Turns'!D24),"Unknown")</x:f>
        <x:v>2108</x:v>
      </x:c>
      <x:c r="Q2" s="11" t="n">
        <x:f>IF(COUNT('Turns'!E9,'Turns'!E24)=2,SUM('Turns'!E9,'Turns'!E24),"Unknown")</x:f>
        <x:v>0.0004598602</x:v>
      </x:c>
      <x:c r="R2" s="11" t="n">
        <x:f>IF(COUNT('Turns'!F9,'Turns'!F24)=2,SUM('Turns'!F9,'Turns'!F24),"Unknown")</x:f>
        <x:v>0.000527</x:v>
      </x:c>
      <x:c r="S2" s="33" t="n">
        <x:f>IF(COUNT('Turns'!D12,'Turns'!D27)=2,SUM('Turns'!D12,'Turns'!D27),"Unknown")</x:f>
        <x:v>66</x:v>
      </x:c>
      <x:c r="T2" s="11" t="n">
        <x:f>IF(COUNT('Turns'!E12,'Turns'!E27)=2,SUM('Turns'!E12,'Turns'!E27),"Unknown")</x:f>
        <x:v>0.00006910992</x:v>
      </x:c>
      <x:c r="U2" s="11" t="n">
        <x:f>IF(COUNT('Turns'!F12,'Turns'!F27)=2,SUM('Turns'!F12,'Turns'!F27),"Unknown")</x:f>
        <x:v>0.0000792</x:v>
      </x:c>
      <x:c r="V2" s="33" t="n">
        <x:v>0</x:v>
      </x:c>
      <x:c r="W2" s="11" t="n">
        <x:v>0</x:v>
      </x:c>
      <x:c r="X2" s="11" t="n">
        <x:v>0</x:v>
      </x:c>
      <x:c r="Y2" s="11" t="n">
        <x:f>IF(COUNT('Turns'!E16,'Turns'!E31)=2,SUM('Turns'!E16,'Turns'!E31),"Unknown")</x:f>
        <x:v>0.000565811292</x:v>
      </x:c>
      <x:c r="Z2" s="11" t="n">
        <x:f>IF(COUNT('Turns'!F16,'Turns'!F31)=2,SUM('Turns'!F16,'Turns'!F31),"Unknown")</x:f>
        <x:v>0.00064842</x:v>
      </x:c>
      <x:c r="AA2" s="33" t="n">
        <x:f>IF(ISNUMBER(Y2),ROUND(Y2*'Reference data'!$B$2,0),"Unknown")</x:f>
        <x:v>57</x:v>
      </x:c>
      <x:c r="AB2" s="33" t="n">
        <x:f>IF(ISNUMBER(Z2),ROUND(Z2*'Reference data'!$B$2,0),"Unknown")</x:f>
        <x:v>65</x:v>
      </x:c>
      <x:c r="AC2" s="2"/>
      <x:c r="AD2" s="43" t="n">
        <x:v>3181.031168</x:v>
      </x:c>
      <x:c r="AE2" s="2" t="str">
        <x:v>Subtree total</x:v>
      </x:c>
    </x:row>
    <x:row r="3" ht="54" customHeight="1">
      <x:c r="A3" s="41" t="str">
        <x:v>    PatchToolCallsMiddleware.before_agent</x:v>
      </x:c>
      <x:c r="B3" s="36" t="n">
        <x:v>1</x:v>
      </x:c>
      <x:c r="C3" s="36" t="str">
        <x:v>workflow</x:v>
      </x:c>
      <x:c r="D3" s="36" t="str"/>
      <x:c r="E3" s="36" t="str">
        <x:v>ok</x:v>
      </x:c>
      <x:c r="F3" s="38"/>
      <x:c r="G3" s="41" t="str">
        <x:v>Check message history and repair missing tool responses before the agent starts.</x:v>
      </x:c>
      <x:c r="H3" s="36" t="str">
        <x:v>01a0c40f-0fc4-7de1-a55e-b146017f862f</x:v>
      </x:c>
      <x:c r="I3" s="36" t="str">
        <x:v>01a0c40f-0fc0-7651-8efb-a0878955525f</x:v>
      </x:c>
      <x:c r="J3" s="33"/>
      <x:c r="K3" s="11"/>
      <x:c r="L3" s="11"/>
      <x:c r="M3" s="33"/>
      <x:c r="N3" s="11"/>
      <x:c r="O3" s="11"/>
      <x:c r="P3" s="33"/>
      <x:c r="Q3" s="11"/>
      <x:c r="R3" s="11"/>
      <x:c r="S3" s="33"/>
      <x:c r="T3" s="11"/>
      <x:c r="U3" s="11"/>
      <x:c r="V3" s="33"/>
      <x:c r="W3" s="11"/>
      <x:c r="X3" s="11"/>
      <x:c r="Y3" s="11"/>
      <x:c r="Z3" s="11"/>
      <x:c r="AA3" s="33"/>
      <x:c r="AB3" s="33"/>
      <x:c r="AC3" s="2"/>
      <x:c r="AD3" s="43" t="n">
        <x:v>0.596992</x:v>
      </x:c>
      <x:c r="AE3" s="2" t="str">
        <x:v>No model charge</x:v>
      </x:c>
    </x:row>
    <x:row r="4" ht="54" customHeight="1">
      <x:c r="A4" s="41" t="str">
        <x:v>    model</x:v>
      </x:c>
      <x:c r="B4" s="36" t="n">
        <x:v>1</x:v>
      </x:c>
      <x:c r="C4" s="36" t="str">
        <x:v>workflow</x:v>
      </x:c>
      <x:c r="D4" s="36" t="str"/>
      <x:c r="E4" s="36" t="str">
        <x:v>ok</x:v>
      </x:c>
      <x:c r="F4" s="38"/>
      <x:c r="G4" s="41" t="str">
        <x:v>Prepare the current conversation, run model middleware, and invoke the chat model.</x:v>
      </x:c>
      <x:c r="H4" s="36" t="str">
        <x:v>01a0c40f-0fc5-7491-85ed-90cf5599c320</x:v>
      </x:c>
      <x:c r="I4" s="36" t="str">
        <x:v>01a0c40f-0fc0-7651-8efb-a0878955525f</x:v>
      </x:c>
      <x:c r="J4" s="33" t="n">
        <x:f>IF(COUNT('Turns'!D5)=1,SUM('Turns'!D5),"Unknown")</x:f>
        <x:v>3</x:v>
      </x:c>
      <x:c r="K4" s="11" t="n">
        <x:f>IF(COUNT('Turns'!E5)=1,SUM('Turns'!E5),"Unknown")</x:f>
        <x:v>5.235600000000001e-7</x:v>
      </x:c>
      <x:c r="L4" s="11" t="n">
        <x:f>IF(COUNT('Turns'!F5)=1,SUM('Turns'!F5),"Unknown")</x:f>
        <x:v>6.000000000000001e-7</x:v>
      </x:c>
      <x:c r="M4" s="33" t="n">
        <x:v>0</x:v>
      </x:c>
      <x:c r="N4" s="11" t="n">
        <x:v>0</x:v>
      </x:c>
      <x:c r="O4" s="11" t="n">
        <x:v>0</x:v>
      </x:c>
      <x:c r="P4" s="33" t="n">
        <x:f>IF(COUNT('Turns'!D9)=1,SUM('Turns'!D9),"Unknown")</x:f>
        <x:v>2051</x:v>
      </x:c>
      <x:c r="Q4" s="11" t="n">
        <x:f>IF(COUNT('Turns'!E9)=1,SUM('Turns'!E9),"Unknown")</x:f>
        <x:v>0.00044742565</x:v>
      </x:c>
      <x:c r="R4" s="11" t="n">
        <x:f>IF(COUNT('Turns'!F9)=1,SUM('Turns'!F9),"Unknown")</x:f>
        <x:v>0.00051275</x:v>
      </x:c>
      <x:c r="S4" s="33" t="n">
        <x:f>IF(COUNT('Turns'!D12)=1,SUM('Turns'!D12),"Unknown")</x:f>
        <x:v>23</x:v>
      </x:c>
      <x:c r="T4" s="11" t="n">
        <x:f>IF(COUNT('Turns'!E12)=1,SUM('Turns'!E12),"Unknown")</x:f>
        <x:v>0.00002408376</x:v>
      </x:c>
      <x:c r="U4" s="11" t="n">
        <x:f>IF(COUNT('Turns'!F12)=1,SUM('Turns'!F12),"Unknown")</x:f>
        <x:v>0.000027599999999999997</x:v>
      </x:c>
      <x:c r="V4" s="33" t="n">
        <x:v>0</x:v>
      </x:c>
      <x:c r="W4" s="11" t="n">
        <x:v>0</x:v>
      </x:c>
      <x:c r="X4" s="11" t="n">
        <x:v>0</x:v>
      </x:c>
      <x:c r="Y4" s="11" t="n">
        <x:f>IF(COUNT('Turns'!E16)=1,SUM('Turns'!E16),"Unknown")</x:f>
        <x:v>0.00047203296999999997</x:v>
      </x:c>
      <x:c r="Z4" s="11" t="n">
        <x:f>IF(COUNT('Turns'!F16)=1,SUM('Turns'!F16),"Unknown")</x:f>
        <x:v>0.00054095</x:v>
      </x:c>
      <x:c r="AA4" s="33" t="n">
        <x:f>IF(ISNUMBER(Y4),ROUND(Y4*'Reference data'!$B$2,0),"Unknown")</x:f>
        <x:v>47</x:v>
      </x:c>
      <x:c r="AB4" s="33" t="n">
        <x:f>IF(ISNUMBER(Z4),ROUND(Z4*'Reference data'!$B$2,0),"Unknown")</x:f>
        <x:v>54</x:v>
      </x:c>
      <x:c r="AC4" s="2"/>
      <x:c r="AD4" s="43" t="n">
        <x:v>1866.564096</x:v>
      </x:c>
      <x:c r="AE4" s="2" t="str">
        <x:v>Subtree total</x:v>
      </x:c>
    </x:row>
    <x:row r="5" ht="54" customHeight="1">
      <x:c r="A5" s="42" t="str">
        <x:v>        ChatOpenAI</x:v>
      </x:c>
      <x:c r="B5" s="20" t="n">
        <x:v>2</x:v>
      </x:c>
      <x:c r="C5" s="20" t="str">
        <x:v>model</x:v>
      </x:c>
      <x:c r="D5" s="20" t="str">
        <x:v>gpt-5.6-luna</x:v>
      </x:c>
      <x:c r="E5" s="20" t="str">
        <x:v>ok</x:v>
      </x:c>
      <x:c r="F5" s="39" t="n">
        <x:v>2054</x:v>
      </x:c>
      <x:c r="G5" s="42" t="str">
        <x:v>Generate the next assistant message or tool request from the current conversation.</x:v>
      </x:c>
      <x:c r="H5" s="20" t="str">
        <x:v>01a0c40f-0fcb-7d32-94c1-3ee5b23aac72</x:v>
      </x:c>
      <x:c r="I5" s="20" t="str">
        <x:v>01a0c40f-0fc5-7491-85ed-90cf5599c320</x:v>
      </x:c>
      <x:c r="J5" s="33" t="n">
        <x:f>IF(COUNT('Turns'!D5)=1,SUM('Turns'!D5),"Unknown")</x:f>
        <x:v>3</x:v>
      </x:c>
      <x:c r="K5" s="11" t="n">
        <x:f>IF(COUNT('Turns'!E5)=1,SUM('Turns'!E5),"Unknown")</x:f>
        <x:v>5.235600000000001e-7</x:v>
      </x:c>
      <x:c r="L5" s="11" t="n">
        <x:f>IF(COUNT('Turns'!F5)=1,SUM('Turns'!F5),"Unknown")</x:f>
        <x:v>6.000000000000001e-7</x:v>
      </x:c>
      <x:c r="M5" s="33" t="n">
        <x:v>0</x:v>
      </x:c>
      <x:c r="N5" s="11" t="n">
        <x:v>0</x:v>
      </x:c>
      <x:c r="O5" s="11" t="n">
        <x:v>0</x:v>
      </x:c>
      <x:c r="P5" s="33" t="n">
        <x:f>IF(COUNT('Turns'!D9)=1,SUM('Turns'!D9),"Unknown")</x:f>
        <x:v>2051</x:v>
      </x:c>
      <x:c r="Q5" s="11" t="n">
        <x:f>IF(COUNT('Turns'!E9)=1,SUM('Turns'!E9),"Unknown")</x:f>
        <x:v>0.00044742565</x:v>
      </x:c>
      <x:c r="R5" s="11" t="n">
        <x:f>IF(COUNT('Turns'!F9)=1,SUM('Turns'!F9),"Unknown")</x:f>
        <x:v>0.00051275</x:v>
      </x:c>
      <x:c r="S5" s="33" t="n">
        <x:f>IF(COUNT('Turns'!D12)=1,SUM('Turns'!D12),"Unknown")</x:f>
        <x:v>23</x:v>
      </x:c>
      <x:c r="T5" s="11" t="n">
        <x:f>IF(COUNT('Turns'!E12)=1,SUM('Turns'!E12),"Unknown")</x:f>
        <x:v>0.00002408376</x:v>
      </x:c>
      <x:c r="U5" s="11" t="n">
        <x:f>IF(COUNT('Turns'!F12)=1,SUM('Turns'!F12),"Unknown")</x:f>
        <x:v>0.000027599999999999997</x:v>
      </x:c>
      <x:c r="V5" s="33" t="n">
        <x:v>0</x:v>
      </x:c>
      <x:c r="W5" s="11" t="n">
        <x:v>0</x:v>
      </x:c>
      <x:c r="X5" s="11" t="n">
        <x:v>0</x:v>
      </x:c>
      <x:c r="Y5" s="11" t="n">
        <x:f>IF(COUNT('Turns'!E16)=1,SUM('Turns'!E16),"Unknown")</x:f>
        <x:v>0.00047203296999999997</x:v>
      </x:c>
      <x:c r="Z5" s="11" t="n">
        <x:f>IF(COUNT('Turns'!F16)=1,SUM('Turns'!F16),"Unknown")</x:f>
        <x:v>0.00054095</x:v>
      </x:c>
      <x:c r="AA5" s="33" t="n">
        <x:f>IF(ISNUMBER(Y5),ROUND(Y5*'Reference data'!$B$2,0),"Unknown")</x:f>
        <x:v>47</x:v>
      </x:c>
      <x:c r="AB5" s="33" t="n">
        <x:f>IF(ISNUMBER(Z5),ROUND(Z5*'Reference data'!$B$2,0),"Unknown")</x:f>
        <x:v>54</x:v>
      </x:c>
      <x:c r="AC5" s="2" t="str">
        <x:v>R1</x:v>
      </x:c>
      <x:c r="AD5" s="43" t="n">
        <x:v>1854.974976</x:v>
      </x:c>
      <x:c r="AE5" s="2" t="str">
        <x:v>Own call</x:v>
      </x:c>
    </x:row>
    <x:row r="6" ht="54" customHeight="1">
      <x:c r="A6" s="41" t="str">
        <x:v>    tools</x:v>
      </x:c>
      <x:c r="B6" s="36" t="n">
        <x:v>1</x:v>
      </x:c>
      <x:c r="C6" s="36" t="str">
        <x:v>workflow</x:v>
      </x:c>
      <x:c r="D6" s="36" t="str"/>
      <x:c r="E6" s="36" t="str">
        <x:v>ok</x:v>
      </x:c>
      <x:c r="F6" s="38"/>
      <x:c r="G6" s="41" t="str">
        <x:v>Execute tool calls requested by the preceding model response and return their observations.</x:v>
      </x:c>
      <x:c r="H6" s="36" t="str">
        <x:v>01a0c40f-1713-74a0-87bd-0ccc2febf1b1</x:v>
      </x:c>
      <x:c r="I6" s="36" t="str">
        <x:v>01a0c40f-0fc0-7651-8efb-a0878955525f</x:v>
      </x:c>
      <x:c r="J6" s="33"/>
      <x:c r="K6" s="11"/>
      <x:c r="L6" s="11"/>
      <x:c r="M6" s="33"/>
      <x:c r="N6" s="11"/>
      <x:c r="O6" s="11"/>
      <x:c r="P6" s="33"/>
      <x:c r="Q6" s="11"/>
      <x:c r="R6" s="11"/>
      <x:c r="S6" s="33"/>
      <x:c r="T6" s="11"/>
      <x:c r="U6" s="11"/>
      <x:c r="V6" s="33"/>
      <x:c r="W6" s="11"/>
      <x:c r="X6" s="11"/>
      <x:c r="Y6" s="11"/>
      <x:c r="Z6" s="11"/>
      <x:c r="AA6" s="33"/>
      <x:c r="AB6" s="33"/>
      <x:c r="AC6" s="2"/>
      <x:c r="AD6" s="43" t="n">
        <x:v>24.524032</x:v>
      </x:c>
      <x:c r="AE6" s="2" t="str">
        <x:v>No model charge</x:v>
      </x:c>
    </x:row>
    <x:row r="7" ht="54" customHeight="1">
      <x:c r="A7" s="41" t="str">
        <x:v>        workflow_reference</x:v>
      </x:c>
      <x:c r="B7" s="36" t="n">
        <x:v>2</x:v>
      </x:c>
      <x:c r="C7" s="36" t="str">
        <x:v>tool</x:v>
      </x:c>
      <x:c r="D7" s="36" t="str"/>
      <x:c r="E7" s="36" t="str">
        <x:v>ok</x:v>
      </x:c>
      <x:c r="F7" s="38"/>
      <x:c r="G7" s="41" t="str">
        <x:v>Return a fixed explanation from a small local agent-workflow reference.</x:v>
      </x:c>
      <x:c r="H7" s="36" t="str">
        <x:v>01a0c40f-1716-7aa2-b9c3-3283206643c6</x:v>
      </x:c>
      <x:c r="I7" s="36" t="str">
        <x:v>01a0c40f-1713-74a0-87bd-0ccc2febf1b1</x:v>
      </x:c>
      <x:c r="J7" s="33"/>
      <x:c r="K7" s="11"/>
      <x:c r="L7" s="11"/>
      <x:c r="M7" s="33"/>
      <x:c r="N7" s="11"/>
      <x:c r="O7" s="11"/>
      <x:c r="P7" s="33"/>
      <x:c r="Q7" s="11"/>
      <x:c r="R7" s="11"/>
      <x:c r="S7" s="33"/>
      <x:c r="T7" s="11"/>
      <x:c r="U7" s="11"/>
      <x:c r="V7" s="33"/>
      <x:c r="W7" s="11"/>
      <x:c r="X7" s="11"/>
      <x:c r="Y7" s="11"/>
      <x:c r="Z7" s="11"/>
      <x:c r="AA7" s="33"/>
      <x:c r="AB7" s="33"/>
      <x:c r="AC7" s="2"/>
      <x:c r="AD7" s="43" t="n">
        <x:v>7.354112</x:v>
      </x:c>
      <x:c r="AE7" s="2" t="str">
        <x:v>No model charge</x:v>
      </x:c>
    </x:row>
    <x:row r="8" ht="54" customHeight="1">
      <x:c r="A8" s="41" t="str">
        <x:v>    model</x:v>
      </x:c>
      <x:c r="B8" s="36" t="n">
        <x:v>1</x:v>
      </x:c>
      <x:c r="C8" s="36" t="str">
        <x:v>workflow</x:v>
      </x:c>
      <x:c r="D8" s="36" t="str"/>
      <x:c r="E8" s="36" t="str">
        <x:v>ok</x:v>
      </x:c>
      <x:c r="F8" s="38"/>
      <x:c r="G8" s="41" t="str">
        <x:v>Prepare the current conversation, run model middleware, and invoke the chat model.</x:v>
      </x:c>
      <x:c r="H8" s="36" t="str">
        <x:v>01a0c40f-172e-7c80-a635-1c24c5f45dca</x:v>
      </x:c>
      <x:c r="I8" s="36" t="str">
        <x:v>01a0c40f-0fc0-7651-8efb-a0878955525f</x:v>
      </x:c>
      <x:c r="J8" s="33" t="n">
        <x:f>IF(COUNT('Turns'!D22)=1,SUM('Turns'!D22),"Unknown")</x:f>
        <x:v>3</x:v>
      </x:c>
      <x:c r="K8" s="11" t="n">
        <x:f>IF(COUNT('Turns'!E22)=1,SUM('Turns'!E22),"Unknown")</x:f>
        <x:v>5.235600000000001e-7</x:v>
      </x:c>
      <x:c r="L8" s="11" t="n">
        <x:f>IF(COUNT('Turns'!F22)=1,SUM('Turns'!F22),"Unknown")</x:f>
        <x:v>6.000000000000001e-7</x:v>
      </x:c>
      <x:c r="M8" s="33" t="n">
        <x:f>IF(COUNT('Turns'!D21)=1,SUM('Turns'!D21),"Unknown")</x:f>
        <x:v>2051</x:v>
      </x:c>
      <x:c r="N8" s="11" t="n">
        <x:f>IF(COUNT('Turns'!E21)=1,SUM('Turns'!E21),"Unknown")</x:f>
        <x:v>0.000035794052000000006</x:v>
      </x:c>
      <x:c r="O8" s="11" t="n">
        <x:f>IF(COUNT('Turns'!F21)=1,SUM('Turns'!F21),"Unknown")</x:f>
        <x:v>0.000041020000000000004</x:v>
      </x:c>
      <x:c r="P8" s="33" t="n">
        <x:f>IF(COUNT('Turns'!D24)=1,SUM('Turns'!D24),"Unknown")</x:f>
        <x:v>57</x:v>
      </x:c>
      <x:c r="Q8" s="11" t="n">
        <x:f>IF(COUNT('Turns'!E24)=1,SUM('Turns'!E24),"Unknown")</x:f>
        <x:v>0.000012434550000000001</x:v>
      </x:c>
      <x:c r="R8" s="11" t="n">
        <x:f>IF(COUNT('Turns'!F24)=1,SUM('Turns'!F24),"Unknown")</x:f>
        <x:v>0.00001425</x:v>
      </x:c>
      <x:c r="S8" s="33" t="n">
        <x:f>IF(COUNT('Turns'!D27)=1,SUM('Turns'!D27),"Unknown")</x:f>
        <x:v>43</x:v>
      </x:c>
      <x:c r="T8" s="11" t="n">
        <x:f>IF(COUNT('Turns'!E27)=1,SUM('Turns'!E27),"Unknown")</x:f>
        <x:v>0.00004502616</x:v>
      </x:c>
      <x:c r="U8" s="11" t="n">
        <x:f>IF(COUNT('Turns'!F27)=1,SUM('Turns'!F27),"Unknown")</x:f>
        <x:v>0.0000516</x:v>
      </x:c>
      <x:c r="V8" s="33" t="n">
        <x:v>0</x:v>
      </x:c>
      <x:c r="W8" s="11" t="n">
        <x:v>0</x:v>
      </x:c>
      <x:c r="X8" s="11" t="n">
        <x:v>0</x:v>
      </x:c>
      <x:c r="Y8" s="11" t="n">
        <x:f>IF(COUNT('Turns'!E31)=1,SUM('Turns'!E31),"Unknown")</x:f>
        <x:v>0.00009377832200000001</x:v>
      </x:c>
      <x:c r="Z8" s="11" t="n">
        <x:f>IF(COUNT('Turns'!F31)=1,SUM('Turns'!F31),"Unknown")</x:f>
        <x:v>0.00010747</x:v>
      </x:c>
      <x:c r="AA8" s="33" t="n">
        <x:f>IF(ISNUMBER(Y8),ROUND(Y8*'Reference data'!$B$2,0),"Unknown")</x:f>
        <x:v>9</x:v>
      </x:c>
      <x:c r="AB8" s="33" t="n">
        <x:f>IF(ISNUMBER(Z8),ROUND(Z8*'Reference data'!$B$2,0),"Unknown")</x:f>
        <x:v>11</x:v>
      </x:c>
      <x:c r="AC8" s="2"/>
      <x:c r="AD8" s="43" t="n">
        <x:v>1279.870208</x:v>
      </x:c>
      <x:c r="AE8" s="2" t="str">
        <x:v>Subtree total</x:v>
      </x:c>
    </x:row>
    <x:row r="9" ht="54" customHeight="1">
      <x:c r="A9" s="42" t="str">
        <x:v>        ChatOpenAI</x:v>
      </x:c>
      <x:c r="B9" s="20" t="n">
        <x:v>2</x:v>
      </x:c>
      <x:c r="C9" s="20" t="str">
        <x:v>model</x:v>
      </x:c>
      <x:c r="D9" s="20" t="str">
        <x:v>gpt-5.6-luna</x:v>
      </x:c>
      <x:c r="E9" s="20" t="str">
        <x:v>ok</x:v>
      </x:c>
      <x:c r="F9" s="39" t="n">
        <x:v>2111</x:v>
      </x:c>
      <x:c r="G9" s="42" t="str">
        <x:v>Generate the next assistant message or tool request from the current conversation.</x:v>
      </x:c>
      <x:c r="H9" s="20" t="str">
        <x:v>01a0c40f-173a-7b51-a93a-4ea24391f9c7</x:v>
      </x:c>
      <x:c r="I9" s="20" t="str">
        <x:v>01a0c40f-172e-7c80-a635-1c24c5f45dca</x:v>
      </x:c>
      <x:c r="J9" s="33" t="n">
        <x:f>IF(COUNT('Turns'!D22)=1,SUM('Turns'!D22),"Unknown")</x:f>
        <x:v>3</x:v>
      </x:c>
      <x:c r="K9" s="11" t="n">
        <x:f>IF(COUNT('Turns'!E22)=1,SUM('Turns'!E22),"Unknown")</x:f>
        <x:v>5.235600000000001e-7</x:v>
      </x:c>
      <x:c r="L9" s="11" t="n">
        <x:f>IF(COUNT('Turns'!F22)=1,SUM('Turns'!F22),"Unknown")</x:f>
        <x:v>6.000000000000001e-7</x:v>
      </x:c>
      <x:c r="M9" s="33" t="n">
        <x:f>IF(COUNT('Turns'!D21)=1,SUM('Turns'!D21),"Unknown")</x:f>
        <x:v>2051</x:v>
      </x:c>
      <x:c r="N9" s="11" t="n">
        <x:f>IF(COUNT('Turns'!E21)=1,SUM('Turns'!E21),"Unknown")</x:f>
        <x:v>0.000035794052000000006</x:v>
      </x:c>
      <x:c r="O9" s="11" t="n">
        <x:f>IF(COUNT('Turns'!F21)=1,SUM('Turns'!F21),"Unknown")</x:f>
        <x:v>0.000041020000000000004</x:v>
      </x:c>
      <x:c r="P9" s="33" t="n">
        <x:f>IF(COUNT('Turns'!D24)=1,SUM('Turns'!D24),"Unknown")</x:f>
        <x:v>57</x:v>
      </x:c>
      <x:c r="Q9" s="11" t="n">
        <x:f>IF(COUNT('Turns'!E24)=1,SUM('Turns'!E24),"Unknown")</x:f>
        <x:v>0.000012434550000000001</x:v>
      </x:c>
      <x:c r="R9" s="11" t="n">
        <x:f>IF(COUNT('Turns'!F24)=1,SUM('Turns'!F24),"Unknown")</x:f>
        <x:v>0.00001425</x:v>
      </x:c>
      <x:c r="S9" s="33" t="n">
        <x:f>IF(COUNT('Turns'!D27)=1,SUM('Turns'!D27),"Unknown")</x:f>
        <x:v>43</x:v>
      </x:c>
      <x:c r="T9" s="11" t="n">
        <x:f>IF(COUNT('Turns'!E27)=1,SUM('Turns'!E27),"Unknown")</x:f>
        <x:v>0.00004502616</x:v>
      </x:c>
      <x:c r="U9" s="11" t="n">
        <x:f>IF(COUNT('Turns'!F27)=1,SUM('Turns'!F27),"Unknown")</x:f>
        <x:v>0.0000516</x:v>
      </x:c>
      <x:c r="V9" s="33" t="n">
        <x:v>0</x:v>
      </x:c>
      <x:c r="W9" s="11" t="n">
        <x:v>0</x:v>
      </x:c>
      <x:c r="X9" s="11" t="n">
        <x:v>0</x:v>
      </x:c>
      <x:c r="Y9" s="11" t="n">
        <x:f>IF(COUNT('Turns'!E31)=1,SUM('Turns'!E31),"Unknown")</x:f>
        <x:v>0.00009377832200000001</x:v>
      </x:c>
      <x:c r="Z9" s="11" t="n">
        <x:f>IF(COUNT('Turns'!F31)=1,SUM('Turns'!F31),"Unknown")</x:f>
        <x:v>0.00010747</x:v>
      </x:c>
      <x:c r="AA9" s="33" t="n">
        <x:f>IF(ISNUMBER(Y9),ROUND(Y9*'Reference data'!$B$2,0),"Unknown")</x:f>
        <x:v>9</x:v>
      </x:c>
      <x:c r="AB9" s="33" t="n">
        <x:f>IF(ISNUMBER(Z9),ROUND(Z9*'Reference data'!$B$2,0),"Unknown")</x:f>
        <x:v>11</x:v>
      </x:c>
      <x:c r="AC9" s="2" t="str">
        <x:v>R2</x:v>
      </x:c>
      <x:c r="AD9" s="43" t="n">
        <x:v>1261.885952</x:v>
      </x:c>
      <x:c r="AE9" s="2" t="str">
        <x:v>Own call</x:v>
      </x:c>
    </x:row>
    <x:row r="10" ht="54" customHeight="1">
      <x:c r="A10" s="40" t="str">
        <x:v>reference_chat_agent</x:v>
      </x:c>
      <x:c r="B10" s="35" t="n">
        <x:v>0</x:v>
      </x:c>
      <x:c r="C10" s="35" t="str">
        <x:v>workflow</x:v>
      </x:c>
      <x:c r="D10" s="35" t="str"/>
      <x:c r="E10" s="35" t="str">
        <x:v>ok</x:v>
      </x:c>
      <x:c r="F10" s="37"/>
      <x:c r="G10" s="40" t="str">
        <x:v>Execute the reference_chat_agent workflow operation and pass its result to the next graph step.</x:v>
      </x:c>
      <x:c r="H10" s="35" t="str">
        <x:v>01a0c40f-1c45-7ca3-9bb9-bc1deef67dbe</x:v>
      </x:c>
      <x:c r="I10" s="35"/>
      <x:c r="J10" s="33" t="n">
        <x:f>IF(COUNT('Turns'!D35,'Turns'!D50)=2,SUM('Turns'!D35,'Turns'!D50),"Unknown")</x:f>
        <x:v>6</x:v>
      </x:c>
      <x:c r="K10" s="11" t="n">
        <x:f>IF(COUNT('Turns'!E35,'Turns'!E50)=2,SUM('Turns'!E35,'Turns'!E50),"Unknown")</x:f>
        <x:v>0.0000010471200000000002</x:v>
      </x:c>
      <x:c r="L10" s="11" t="n">
        <x:f>IF(COUNT('Turns'!F35,'Turns'!F50)=2,SUM('Turns'!F35,'Turns'!F50),"Unknown")</x:f>
        <x:v>0.0000012000000000000002</x:v>
      </x:c>
      <x:c r="M10" s="33" t="n">
        <x:f>IF(COUNT('Turns'!D34,'Turns'!D49)=2,SUM('Turns'!D34,'Turns'!D49),"Unknown")</x:f>
        <x:v>4275</x:v>
      </x:c>
      <x:c r="N10" s="11" t="n">
        <x:f>IF(COUNT('Turns'!E34,'Turns'!E49)=2,SUM('Turns'!E34,'Turns'!E49),"Unknown")</x:f>
        <x:v>0.0000746073</x:v>
      </x:c>
      <x:c r="O10" s="11" t="n">
        <x:f>IF(COUNT('Turns'!F34,'Turns'!F49)=2,SUM('Turns'!F34,'Turns'!F49),"Unknown")</x:f>
        <x:v>0.0000855</x:v>
      </x:c>
      <x:c r="P10" s="33" t="n">
        <x:f>IF(COUNT('Turns'!D37,'Turns'!D52)=2,SUM('Turns'!D37,'Turns'!D52),"Unknown")</x:f>
        <x:v>120</x:v>
      </x:c>
      <x:c r="Q10" s="11" t="n">
        <x:f>IF(COUNT('Turns'!E37,'Turns'!E52)=2,SUM('Turns'!E37,'Turns'!E52),"Unknown")</x:f>
        <x:v>0.000026178</x:v>
      </x:c>
      <x:c r="R10" s="11" t="n">
        <x:f>IF(COUNT('Turns'!F37,'Turns'!F52)=2,SUM('Turns'!F37,'Turns'!F52),"Unknown")</x:f>
        <x:v>0.000029999999999999997</x:v>
      </x:c>
      <x:c r="S10" s="33" t="n">
        <x:f>IF(COUNT('Turns'!D40,'Turns'!D55)=2,SUM('Turns'!D40,'Turns'!D55),"Unknown")</x:f>
        <x:v>47</x:v>
      </x:c>
      <x:c r="T10" s="11" t="n">
        <x:f>IF(COUNT('Turns'!E40,'Turns'!E55)=2,SUM('Turns'!E40,'Turns'!E55),"Unknown")</x:f>
        <x:v>0.00004921464</x:v>
      </x:c>
      <x:c r="U10" s="11" t="n">
        <x:f>IF(COUNT('Turns'!F40,'Turns'!F55)=2,SUM('Turns'!F40,'Turns'!F55),"Unknown")</x:f>
        <x:v>0.0000564</x:v>
      </x:c>
      <x:c r="V10" s="33" t="n">
        <x:v>0</x:v>
      </x:c>
      <x:c r="W10" s="11" t="n">
        <x:v>0</x:v>
      </x:c>
      <x:c r="X10" s="11" t="n">
        <x:v>0</x:v>
      </x:c>
      <x:c r="Y10" s="11" t="n">
        <x:f>IF(COUNT('Turns'!E44,'Turns'!E59)=2,SUM('Turns'!E44,'Turns'!E59),"Unknown")</x:f>
        <x:v>0.00015104706000000002</x:v>
      </x:c>
      <x:c r="Z10" s="11" t="n">
        <x:f>IF(COUNT('Turns'!F44,'Turns'!F59)=2,SUM('Turns'!F44,'Turns'!F59),"Unknown")</x:f>
        <x:v>0.0001731</x:v>
      </x:c>
      <x:c r="AA10" s="33" t="n">
        <x:f>IF(ISNUMBER(Y10),ROUND(Y10*'Reference data'!$B$2,0),"Unknown")</x:f>
        <x:v>15</x:v>
      </x:c>
      <x:c r="AB10" s="33" t="n">
        <x:f>IF(ISNUMBER(Z10),ROUND(Z10*'Reference data'!$B$2,0),"Unknown")</x:f>
        <x:v>17</x:v>
      </x:c>
      <x:c r="AC10" s="2"/>
      <x:c r="AD10" s="43" t="n">
        <x:v>2426.211072</x:v>
      </x:c>
      <x:c r="AE10" s="2" t="str">
        <x:v>Subtree total</x:v>
      </x:c>
    </x:row>
    <x:row r="11" ht="54" customHeight="1">
      <x:c r="A11" s="41" t="str">
        <x:v>    PatchToolCallsMiddleware.before_agent</x:v>
      </x:c>
      <x:c r="B11" s="36" t="n">
        <x:v>1</x:v>
      </x:c>
      <x:c r="C11" s="36" t="str">
        <x:v>workflow</x:v>
      </x:c>
      <x:c r="D11" s="36" t="str"/>
      <x:c r="E11" s="36" t="str">
        <x:v>ok</x:v>
      </x:c>
      <x:c r="F11" s="38"/>
      <x:c r="G11" s="41" t="str">
        <x:v>Check message history and repair missing tool responses before the agent starts.</x:v>
      </x:c>
      <x:c r="H11" s="36" t="str">
        <x:v>01a0c40f-1c46-7792-ae09-f1491ff0c7a6</x:v>
      </x:c>
      <x:c r="I11" s="36" t="str">
        <x:v>01a0c40f-1c45-7ca3-9bb9-bc1deef67dbe</x:v>
      </x:c>
      <x:c r="J11" s="33"/>
      <x:c r="K11" s="11"/>
      <x:c r="L11" s="11"/>
      <x:c r="M11" s="33"/>
      <x:c r="N11" s="11"/>
      <x:c r="O11" s="11"/>
      <x:c r="P11" s="33"/>
      <x:c r="Q11" s="11"/>
      <x:c r="R11" s="11"/>
      <x:c r="S11" s="33"/>
      <x:c r="T11" s="11"/>
      <x:c r="U11" s="11"/>
      <x:c r="V11" s="33"/>
      <x:c r="W11" s="11"/>
      <x:c r="X11" s="11"/>
      <x:c r="Y11" s="11"/>
      <x:c r="Z11" s="11"/>
      <x:c r="AA11" s="33"/>
      <x:c r="AB11" s="33"/>
      <x:c r="AC11" s="2"/>
      <x:c r="AD11" s="43" t="n">
        <x:v>0.358912</x:v>
      </x:c>
      <x:c r="AE11" s="2" t="str">
        <x:v>No model charge</x:v>
      </x:c>
    </x:row>
    <x:row r="12" ht="54" customHeight="1">
      <x:c r="A12" s="41" t="str">
        <x:v>    model</x:v>
      </x:c>
      <x:c r="B12" s="36" t="n">
        <x:v>1</x:v>
      </x:c>
      <x:c r="C12" s="36" t="str">
        <x:v>workflow</x:v>
      </x:c>
      <x:c r="D12" s="36" t="str"/>
      <x:c r="E12" s="36" t="str">
        <x:v>ok</x:v>
      </x:c>
      <x:c r="F12" s="38"/>
      <x:c r="G12" s="41" t="str">
        <x:v>Prepare the current conversation, run model middleware, and invoke the chat model.</x:v>
      </x:c>
      <x:c r="H12" s="36" t="str">
        <x:v>01a0c40f-1c47-79e1-ab5c-dde4f64367d8</x:v>
      </x:c>
      <x:c r="I12" s="36" t="str">
        <x:v>01a0c40f-1c45-7ca3-9bb9-bc1deef67dbe</x:v>
      </x:c>
      <x:c r="J12" s="33" t="n">
        <x:f>IF(COUNT('Turns'!D35)=1,SUM('Turns'!D35),"Unknown")</x:f>
        <x:v>3</x:v>
      </x:c>
      <x:c r="K12" s="11" t="n">
        <x:f>IF(COUNT('Turns'!E35)=1,SUM('Turns'!E35),"Unknown")</x:f>
        <x:v>5.235600000000001e-7</x:v>
      </x:c>
      <x:c r="L12" s="11" t="n">
        <x:f>IF(COUNT('Turns'!F35)=1,SUM('Turns'!F35),"Unknown")</x:f>
        <x:v>6.000000000000001e-7</x:v>
      </x:c>
      <x:c r="M12" s="33" t="n">
        <x:f>IF(COUNT('Turns'!D34)=1,SUM('Turns'!D34),"Unknown")</x:f>
        <x:v>2108</x:v>
      </x:c>
      <x:c r="N12" s="11" t="n">
        <x:f>IF(COUNT('Turns'!E34)=1,SUM('Turns'!E34),"Unknown")</x:f>
        <x:v>0.000036788816000000006</x:v>
      </x:c>
      <x:c r="O12" s="11" t="n">
        <x:f>IF(COUNT('Turns'!F34)=1,SUM('Turns'!F34),"Unknown")</x:f>
        <x:v>0.00004216</x:v>
      </x:c>
      <x:c r="P12" s="33" t="n">
        <x:f>IF(COUNT('Turns'!D37)=1,SUM('Turns'!D37),"Unknown")</x:f>
        <x:v>59</x:v>
      </x:c>
      <x:c r="Q12" s="11" t="n">
        <x:f>IF(COUNT('Turns'!E37)=1,SUM('Turns'!E37),"Unknown")</x:f>
        <x:v>0.00001287085</x:v>
      </x:c>
      <x:c r="R12" s="11" t="n">
        <x:f>IF(COUNT('Turns'!F37)=1,SUM('Turns'!F37),"Unknown")</x:f>
        <x:v>0.00001475</x:v>
      </x:c>
      <x:c r="S12" s="33" t="n">
        <x:f>IF(COUNT('Turns'!D40)=1,SUM('Turns'!D40),"Unknown")</x:f>
        <x:v>25</x:v>
      </x:c>
      <x:c r="T12" s="11" t="n">
        <x:f>IF(COUNT('Turns'!E40)=1,SUM('Turns'!E40),"Unknown")</x:f>
        <x:v>0.000026178000000000002</x:v>
      </x:c>
      <x:c r="U12" s="11" t="n">
        <x:f>IF(COUNT('Turns'!F40)=1,SUM('Turns'!F40),"Unknown")</x:f>
        <x:v>0.00003</x:v>
      </x:c>
      <x:c r="V12" s="33" t="n">
        <x:v>0</x:v>
      </x:c>
      <x:c r="W12" s="11" t="n">
        <x:v>0</x:v>
      </x:c>
      <x:c r="X12" s="11" t="n">
        <x:v>0</x:v>
      </x:c>
      <x:c r="Y12" s="11" t="n">
        <x:f>IF(COUNT('Turns'!E44)=1,SUM('Turns'!E44),"Unknown")</x:f>
        <x:v>0.00007636122600000001</x:v>
      </x:c>
      <x:c r="Z12" s="11" t="n">
        <x:f>IF(COUNT('Turns'!F44)=1,SUM('Turns'!F44),"Unknown")</x:f>
        <x:v>0.00008751000000000001</x:v>
      </x:c>
      <x:c r="AA12" s="33" t="n">
        <x:f>IF(ISNUMBER(Y12),ROUND(Y12*'Reference data'!$B$2,0),"Unknown")</x:f>
        <x:v>8</x:v>
      </x:c>
      <x:c r="AB12" s="33" t="n">
        <x:f>IF(ISNUMBER(Z12),ROUND(Z12*'Reference data'!$B$2,0),"Unknown")</x:f>
        <x:v>9</x:v>
      </x:c>
      <x:c r="AC12" s="2"/>
      <x:c r="AD12" s="43" t="n">
        <x:v>1460.76288</x:v>
      </x:c>
      <x:c r="AE12" s="2" t="str">
        <x:v>Subtree total</x:v>
      </x:c>
    </x:row>
    <x:row r="13" ht="54" customHeight="1">
      <x:c r="A13" s="42" t="str">
        <x:v>        ChatOpenAI</x:v>
      </x:c>
      <x:c r="B13" s="20" t="n">
        <x:v>2</x:v>
      </x:c>
      <x:c r="C13" s="20" t="str">
        <x:v>model</x:v>
      </x:c>
      <x:c r="D13" s="20" t="str">
        <x:v>gpt-5.6-luna</x:v>
      </x:c>
      <x:c r="E13" s="20" t="str">
        <x:v>ok</x:v>
      </x:c>
      <x:c r="F13" s="39" t="n">
        <x:v>2170</x:v>
      </x:c>
      <x:c r="G13" s="42" t="str">
        <x:v>Generate the next assistant message or tool request from the current conversation.</x:v>
      </x:c>
      <x:c r="H13" s="20" t="str">
        <x:v>01a0c40f-1c4b-7812-8de8-764a20748268</x:v>
      </x:c>
      <x:c r="I13" s="20" t="str">
        <x:v>01a0c40f-1c47-79e1-ab5c-dde4f64367d8</x:v>
      </x:c>
      <x:c r="J13" s="33" t="n">
        <x:f>IF(COUNT('Turns'!D35)=1,SUM('Turns'!D35),"Unknown")</x:f>
        <x:v>3</x:v>
      </x:c>
      <x:c r="K13" s="11" t="n">
        <x:f>IF(COUNT('Turns'!E35)=1,SUM('Turns'!E35),"Unknown")</x:f>
        <x:v>5.235600000000001e-7</x:v>
      </x:c>
      <x:c r="L13" s="11" t="n">
        <x:f>IF(COUNT('Turns'!F35)=1,SUM('Turns'!F35),"Unknown")</x:f>
        <x:v>6.000000000000001e-7</x:v>
      </x:c>
      <x:c r="M13" s="33" t="n">
        <x:f>IF(COUNT('Turns'!D34)=1,SUM('Turns'!D34),"Unknown")</x:f>
        <x:v>2108</x:v>
      </x:c>
      <x:c r="N13" s="11" t="n">
        <x:f>IF(COUNT('Turns'!E34)=1,SUM('Turns'!E34),"Unknown")</x:f>
        <x:v>0.000036788816000000006</x:v>
      </x:c>
      <x:c r="O13" s="11" t="n">
        <x:f>IF(COUNT('Turns'!F34)=1,SUM('Turns'!F34),"Unknown")</x:f>
        <x:v>0.00004216</x:v>
      </x:c>
      <x:c r="P13" s="33" t="n">
        <x:f>IF(COUNT('Turns'!D37)=1,SUM('Turns'!D37),"Unknown")</x:f>
        <x:v>59</x:v>
      </x:c>
      <x:c r="Q13" s="11" t="n">
        <x:f>IF(COUNT('Turns'!E37)=1,SUM('Turns'!E37),"Unknown")</x:f>
        <x:v>0.00001287085</x:v>
      </x:c>
      <x:c r="R13" s="11" t="n">
        <x:f>IF(COUNT('Turns'!F37)=1,SUM('Turns'!F37),"Unknown")</x:f>
        <x:v>0.00001475</x:v>
      </x:c>
      <x:c r="S13" s="33" t="n">
        <x:f>IF(COUNT('Turns'!D40)=1,SUM('Turns'!D40),"Unknown")</x:f>
        <x:v>25</x:v>
      </x:c>
      <x:c r="T13" s="11" t="n">
        <x:f>IF(COUNT('Turns'!E40)=1,SUM('Turns'!E40),"Unknown")</x:f>
        <x:v>0.000026178000000000002</x:v>
      </x:c>
      <x:c r="U13" s="11" t="n">
        <x:f>IF(COUNT('Turns'!F40)=1,SUM('Turns'!F40),"Unknown")</x:f>
        <x:v>0.00003</x:v>
      </x:c>
      <x:c r="V13" s="33" t="n">
        <x:v>0</x:v>
      </x:c>
      <x:c r="W13" s="11" t="n">
        <x:v>0</x:v>
      </x:c>
      <x:c r="X13" s="11" t="n">
        <x:v>0</x:v>
      </x:c>
      <x:c r="Y13" s="11" t="n">
        <x:f>IF(COUNT('Turns'!E44)=1,SUM('Turns'!E44),"Unknown")</x:f>
        <x:v>0.00007636122600000001</x:v>
      </x:c>
      <x:c r="Z13" s="11" t="n">
        <x:f>IF(COUNT('Turns'!F44)=1,SUM('Turns'!F44),"Unknown")</x:f>
        <x:v>0.00008751000000000001</x:v>
      </x:c>
      <x:c r="AA13" s="33" t="n">
        <x:f>IF(ISNUMBER(Y13),ROUND(Y13*'Reference data'!$B$2,0),"Unknown")</x:f>
        <x:v>8</x:v>
      </x:c>
      <x:c r="AB13" s="33" t="n">
        <x:f>IF(ISNUMBER(Z13),ROUND(Z13*'Reference data'!$B$2,0),"Unknown")</x:f>
        <x:v>9</x:v>
      </x:c>
      <x:c r="AC13" s="2" t="str">
        <x:v>R3</x:v>
      </x:c>
      <x:c r="AD13" s="43" t="n">
        <x:v>1456.49408</x:v>
      </x:c>
      <x:c r="AE13" s="2" t="str">
        <x:v>Own call</x:v>
      </x:c>
    </x:row>
    <x:row r="14" ht="54" customHeight="1">
      <x:c r="A14" s="41" t="str">
        <x:v>    tools</x:v>
      </x:c>
      <x:c r="B14" s="36" t="n">
        <x:v>1</x:v>
      </x:c>
      <x:c r="C14" s="36" t="str">
        <x:v>workflow</x:v>
      </x:c>
      <x:c r="D14" s="36" t="str"/>
      <x:c r="E14" s="36" t="str">
        <x:v>ok</x:v>
      </x:c>
      <x:c r="F14" s="38"/>
      <x:c r="G14" s="41" t="str">
        <x:v>Execute tool calls requested by the preceding model response and return their observations.</x:v>
      </x:c>
      <x:c r="H14" s="36" t="str">
        <x:v>01a0c40f-21fd-7121-9d20-2a6083e878dc</x:v>
      </x:c>
      <x:c r="I14" s="36" t="str">
        <x:v>01a0c40f-1c45-7ca3-9bb9-bc1deef67dbe</x:v>
      </x:c>
      <x:c r="J14" s="33"/>
      <x:c r="K14" s="11"/>
      <x:c r="L14" s="11"/>
      <x:c r="M14" s="33"/>
      <x:c r="N14" s="11"/>
      <x:c r="O14" s="11"/>
      <x:c r="P14" s="33"/>
      <x:c r="Q14" s="11"/>
      <x:c r="R14" s="11"/>
      <x:c r="S14" s="33"/>
      <x:c r="T14" s="11"/>
      <x:c r="U14" s="11"/>
      <x:c r="V14" s="33"/>
      <x:c r="W14" s="11"/>
      <x:c r="X14" s="11"/>
      <x:c r="Y14" s="11"/>
      <x:c r="Z14" s="11"/>
      <x:c r="AA14" s="33"/>
      <x:c r="AB14" s="33"/>
      <x:c r="AC14" s="2"/>
      <x:c r="AD14" s="43" t="n">
        <x:v>1.812992</x:v>
      </x:c>
      <x:c r="AE14" s="2" t="str">
        <x:v>No model charge</x:v>
      </x:c>
    </x:row>
    <x:row r="15" ht="54" customHeight="1">
      <x:c r="A15" s="41" t="str">
        <x:v>        workflow_reference</x:v>
      </x:c>
      <x:c r="B15" s="36" t="n">
        <x:v>2</x:v>
      </x:c>
      <x:c r="C15" s="36" t="str">
        <x:v>tool</x:v>
      </x:c>
      <x:c r="D15" s="36" t="str"/>
      <x:c r="E15" s="36" t="str">
        <x:v>ok</x:v>
      </x:c>
      <x:c r="F15" s="38"/>
      <x:c r="G15" s="41" t="str">
        <x:v>Return a fixed explanation from a small local agent-workflow reference.</x:v>
      </x:c>
      <x:c r="H15" s="36" t="str">
        <x:v>01a0c40f-21fe-7322-a27a-f6112a831907</x:v>
      </x:c>
      <x:c r="I15" s="36" t="str">
        <x:v>01a0c40f-21fd-7121-9d20-2a6083e878dc</x:v>
      </x:c>
      <x:c r="J15" s="33"/>
      <x:c r="K15" s="11"/>
      <x:c r="L15" s="11"/>
      <x:c r="M15" s="33"/>
      <x:c r="N15" s="11"/>
      <x:c r="O15" s="11"/>
      <x:c r="P15" s="33"/>
      <x:c r="Q15" s="11"/>
      <x:c r="R15" s="11"/>
      <x:c r="S15" s="33"/>
      <x:c r="T15" s="11"/>
      <x:c r="U15" s="11"/>
      <x:c r="V15" s="33"/>
      <x:c r="W15" s="11"/>
      <x:c r="X15" s="11"/>
      <x:c r="Y15" s="11"/>
      <x:c r="Z15" s="11"/>
      <x:c r="AA15" s="33"/>
      <x:c r="AB15" s="33"/>
      <x:c r="AC15" s="2"/>
      <x:c r="AD15" s="43" t="n">
        <x:v>0.572928</x:v>
      </x:c>
      <x:c r="AE15" s="2" t="str">
        <x:v>No model charge</x:v>
      </x:c>
    </x:row>
    <x:row r="16" ht="54" customHeight="1">
      <x:c r="A16" s="41" t="str">
        <x:v>    model</x:v>
      </x:c>
      <x:c r="B16" s="36" t="n">
        <x:v>1</x:v>
      </x:c>
      <x:c r="C16" s="36" t="str">
        <x:v>workflow</x:v>
      </x:c>
      <x:c r="D16" s="36" t="str"/>
      <x:c r="E16" s="36" t="str">
        <x:v>ok</x:v>
      </x:c>
      <x:c r="F16" s="38"/>
      <x:c r="G16" s="41" t="str">
        <x:v>Prepare the current conversation, run model middleware, and invoke the chat model.</x:v>
      </x:c>
      <x:c r="H16" s="36" t="str">
        <x:v>01a0c40f-21ff-70e0-8a08-53aa09c6ddcf</x:v>
      </x:c>
      <x:c r="I16" s="36" t="str">
        <x:v>01a0c40f-1c45-7ca3-9bb9-bc1deef67dbe</x:v>
      </x:c>
      <x:c r="J16" s="33" t="n">
        <x:f>IF(COUNT('Turns'!D50)=1,SUM('Turns'!D50),"Unknown")</x:f>
        <x:v>3</x:v>
      </x:c>
      <x:c r="K16" s="11" t="n">
        <x:f>IF(COUNT('Turns'!E50)=1,SUM('Turns'!E50),"Unknown")</x:f>
        <x:v>5.235600000000001e-7</x:v>
      </x:c>
      <x:c r="L16" s="11" t="n">
        <x:f>IF(COUNT('Turns'!F50)=1,SUM('Turns'!F50),"Unknown")</x:f>
        <x:v>6.000000000000001e-7</x:v>
      </x:c>
      <x:c r="M16" s="33" t="n">
        <x:f>IF(COUNT('Turns'!D49)=1,SUM('Turns'!D49),"Unknown")</x:f>
        <x:v>2167</x:v>
      </x:c>
      <x:c r="N16" s="11" t="n">
        <x:f>IF(COUNT('Turns'!E49)=1,SUM('Turns'!E49),"Unknown")</x:f>
        <x:v>0.000037818484</x:v>
      </x:c>
      <x:c r="O16" s="11" t="n">
        <x:f>IF(COUNT('Turns'!F49)=1,SUM('Turns'!F49),"Unknown")</x:f>
        <x:v>0.00004334</x:v>
      </x:c>
      <x:c r="P16" s="33" t="n">
        <x:f>IF(COUNT('Turns'!D52)=1,SUM('Turns'!D52),"Unknown")</x:f>
        <x:v>61</x:v>
      </x:c>
      <x:c r="Q16" s="11" t="n">
        <x:f>IF(COUNT('Turns'!E52)=1,SUM('Turns'!E52),"Unknown")</x:f>
        <x:v>0.00001330715</x:v>
      </x:c>
      <x:c r="R16" s="11" t="n">
        <x:f>IF(COUNT('Turns'!F52)=1,SUM('Turns'!F52),"Unknown")</x:f>
        <x:v>0.00001525</x:v>
      </x:c>
      <x:c r="S16" s="33" t="n">
        <x:f>IF(COUNT('Turns'!D55)=1,SUM('Turns'!D55),"Unknown")</x:f>
        <x:v>22</x:v>
      </x:c>
      <x:c r="T16" s="11" t="n">
        <x:f>IF(COUNT('Turns'!E55)=1,SUM('Turns'!E55),"Unknown")</x:f>
        <x:v>0.00002303664</x:v>
      </x:c>
      <x:c r="U16" s="11" t="n">
        <x:f>IF(COUNT('Turns'!F55)=1,SUM('Turns'!F55),"Unknown")</x:f>
        <x:v>0.000026399999999999998</x:v>
      </x:c>
      <x:c r="V16" s="33" t="n">
        <x:v>0</x:v>
      </x:c>
      <x:c r="W16" s="11" t="n">
        <x:v>0</x:v>
      </x:c>
      <x:c r="X16" s="11" t="n">
        <x:v>0</x:v>
      </x:c>
      <x:c r="Y16" s="11" t="n">
        <x:f>IF(COUNT('Turns'!E59)=1,SUM('Turns'!E59),"Unknown")</x:f>
        <x:v>0.00007468583400000001</x:v>
      </x:c>
      <x:c r="Z16" s="11" t="n">
        <x:f>IF(COUNT('Turns'!F59)=1,SUM('Turns'!F59),"Unknown")</x:f>
        <x:v>0.00008559</x:v>
      </x:c>
      <x:c r="AA16" s="33" t="n">
        <x:f>IF(ISNUMBER(Y16),ROUND(Y16*'Reference data'!$B$2,0),"Unknown")</x:f>
        <x:v>7</x:v>
      </x:c>
      <x:c r="AB16" s="33" t="n">
        <x:f>IF(ISNUMBER(Z16),ROUND(Z16*'Reference data'!$B$2,0),"Unknown")</x:f>
        <x:v>9</x:v>
      </x:c>
      <x:c r="AC16" s="2"/>
      <x:c r="AD16" s="43" t="n">
        <x:v>958.932224</x:v>
      </x:c>
      <x:c r="AE16" s="2" t="str">
        <x:v>Subtree total</x:v>
      </x:c>
    </x:row>
    <x:row r="17" ht="54" customHeight="1">
      <x:c r="A17" s="42" t="str">
        <x:v>        ChatOpenAI</x:v>
      </x:c>
      <x:c r="B17" s="20" t="n">
        <x:v>2</x:v>
      </x:c>
      <x:c r="C17" s="20" t="str">
        <x:v>model</x:v>
      </x:c>
      <x:c r="D17" s="20" t="str">
        <x:v>gpt-5.6-luna</x:v>
      </x:c>
      <x:c r="E17" s="20" t="str">
        <x:v>ok</x:v>
      </x:c>
      <x:c r="F17" s="39" t="n">
        <x:v>2231</x:v>
      </x:c>
      <x:c r="G17" s="42" t="str">
        <x:v>Generate the next assistant message or tool request from the current conversation.</x:v>
      </x:c>
      <x:c r="H17" s="20" t="str">
        <x:v>01a0c40f-2201-7ec2-96aa-4d5b676e3855</x:v>
      </x:c>
      <x:c r="I17" s="20" t="str">
        <x:v>01a0c40f-21ff-70e0-8a08-53aa09c6ddcf</x:v>
      </x:c>
      <x:c r="J17" s="33" t="n">
        <x:f>IF(COUNT('Turns'!D50)=1,SUM('Turns'!D50),"Unknown")</x:f>
        <x:v>3</x:v>
      </x:c>
      <x:c r="K17" s="11" t="n">
        <x:f>IF(COUNT('Turns'!E50)=1,SUM('Turns'!E50),"Unknown")</x:f>
        <x:v>5.235600000000001e-7</x:v>
      </x:c>
      <x:c r="L17" s="11" t="n">
        <x:f>IF(COUNT('Turns'!F50)=1,SUM('Turns'!F50),"Unknown")</x:f>
        <x:v>6.000000000000001e-7</x:v>
      </x:c>
      <x:c r="M17" s="33" t="n">
        <x:f>IF(COUNT('Turns'!D49)=1,SUM('Turns'!D49),"Unknown")</x:f>
        <x:v>2167</x:v>
      </x:c>
      <x:c r="N17" s="11" t="n">
        <x:f>IF(COUNT('Turns'!E49)=1,SUM('Turns'!E49),"Unknown")</x:f>
        <x:v>0.000037818484</x:v>
      </x:c>
      <x:c r="O17" s="11" t="n">
        <x:f>IF(COUNT('Turns'!F49)=1,SUM('Turns'!F49),"Unknown")</x:f>
        <x:v>0.00004334</x:v>
      </x:c>
      <x:c r="P17" s="33" t="n">
        <x:f>IF(COUNT('Turns'!D52)=1,SUM('Turns'!D52),"Unknown")</x:f>
        <x:v>61</x:v>
      </x:c>
      <x:c r="Q17" s="11" t="n">
        <x:f>IF(COUNT('Turns'!E52)=1,SUM('Turns'!E52),"Unknown")</x:f>
        <x:v>0.00001330715</x:v>
      </x:c>
      <x:c r="R17" s="11" t="n">
        <x:f>IF(COUNT('Turns'!F52)=1,SUM('Turns'!F52),"Unknown")</x:f>
        <x:v>0.00001525</x:v>
      </x:c>
      <x:c r="S17" s="33" t="n">
        <x:f>IF(COUNT('Turns'!D55)=1,SUM('Turns'!D55),"Unknown")</x:f>
        <x:v>22</x:v>
      </x:c>
      <x:c r="T17" s="11" t="n">
        <x:f>IF(COUNT('Turns'!E55)=1,SUM('Turns'!E55),"Unknown")</x:f>
        <x:v>0.00002303664</x:v>
      </x:c>
      <x:c r="U17" s="11" t="n">
        <x:f>IF(COUNT('Turns'!F55)=1,SUM('Turns'!F55),"Unknown")</x:f>
        <x:v>0.000026399999999999998</x:v>
      </x:c>
      <x:c r="V17" s="33" t="n">
        <x:v>0</x:v>
      </x:c>
      <x:c r="W17" s="11" t="n">
        <x:v>0</x:v>
      </x:c>
      <x:c r="X17" s="11" t="n">
        <x:v>0</x:v>
      </x:c>
      <x:c r="Y17" s="11" t="n">
        <x:f>IF(COUNT('Turns'!E59)=1,SUM('Turns'!E59),"Unknown")</x:f>
        <x:v>0.00007468583400000001</x:v>
      </x:c>
      <x:c r="Z17" s="11" t="n">
        <x:f>IF(COUNT('Turns'!F59)=1,SUM('Turns'!F59),"Unknown")</x:f>
        <x:v>0.00008559</x:v>
      </x:c>
      <x:c r="AA17" s="33" t="n">
        <x:f>IF(ISNUMBER(Y17),ROUND(Y17*'Reference data'!$B$2,0),"Unknown")</x:f>
        <x:v>7</x:v>
      </x:c>
      <x:c r="AB17" s="33" t="n">
        <x:f>IF(ISNUMBER(Z17),ROUND(Z17*'Reference data'!$B$2,0),"Unknown")</x:f>
        <x:v>9</x:v>
      </x:c>
      <x:c r="AC17" s="2" t="str">
        <x:v>R4</x:v>
      </x:c>
      <x:c r="AD17" s="43" t="n">
        <x:v>955.204096</x:v>
      </x:c>
      <x:c r="AE17" s="2" t="str">
        <x:v>Own call</x:v>
      </x:c>
    </x:row>
  </x:sheetData>
  <x:conditionalFormatting sqref="A2:AE17">
    <x:cfRule type="expression" dxfId="3" priority="1">
      <x:formula>$E2="error"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5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65" hidden="0" customWidth="1"/>
    <x:col min="9" max="9" width="40" hidden="0" customWidth="1"/>
  </x:cols>
  <x:sheetData>
    <x:row r="1" ht="44" customHeight="1">
      <x:c r="A1" s="7" t="str">
        <x:v>Parameter</x:v>
      </x:c>
      <x:c r="B1" s="7" t="str">
        <x:v>Value</x:v>
      </x:c>
      <x:c r="C1" s="7" t="str">
        <x:v>Unit</x:v>
      </x:c>
      <x:c r="D1" s="7" t="str"/>
      <x:c r="E1" s="7" t="str"/>
      <x:c r="F1" s="7" t="str"/>
      <x:c r="G1" s="7" t="str"/>
      <x:c r="H1" s="7" t="str"/>
      <x:c r="I1" s="7" t="str"/>
    </x:row>
    <x:row r="2" ht="24" customHeight="1">
      <x:c r="A2" s="2" t="str">
        <x:v>Number of executions</x:v>
      </x:c>
      <x:c r="B2" s="10" t="n">
        <x:v>100000</x:v>
      </x:c>
      <x:c r="C2" s="2" t="str">
        <x:v>executions</x:v>
      </x:c>
      <x:c r="D2" s="2"/>
      <x:c r="E2" s="2"/>
      <x:c r="F2" s="2"/>
      <x:c r="G2" s="2"/>
      <x:c r="H2" s="2"/>
      <x:c r="I2" s="2"/>
    </x:row>
    <x:row r="3" ht="24" customHeight="1">
      <x:c r="A3" s="2" t="str">
        <x:v>USD → EUR</x:v>
      </x:c>
      <x:c r="B3" s="11" t="n">
        <x:v>0.8726</x:v>
      </x:c>
      <x:c r="C3" s="2" t="str">
        <x:v>EUR per USD</x:v>
      </x:c>
      <x:c r="D3" s="2"/>
      <x:c r="E3" s="2"/>
      <x:c r="F3" s="2"/>
      <x:c r="G3" s="2"/>
      <x:c r="H3" s="2"/>
      <x:c r="I3" s="2"/>
    </x:row>
    <x:row r="4" ht="24" customHeight="1">
      <x:c r="A4" s="2" t="str">
        <x:v>Cache duration</x:v>
      </x:c>
      <x:c r="B4" s="2" t="str">
        <x:v>5m</x:v>
      </x:c>
      <x:c r="C4" s="2" t="str"/>
      <x:c r="D4" s="2"/>
      <x:c r="E4" s="2"/>
      <x:c r="F4" s="2"/>
      <x:c r="G4" s="2"/>
      <x:c r="H4" s="2"/>
      <x:c r="I4" s="2"/>
    </x:row>
    <x:row r="5" ht="28" customHeight="1">
      <x:c r="A5" s="2" t="str">
        <x:v>Run ID</x:v>
      </x:c>
      <x:c r="B5" s="14" t="str">
        <x:v>01a0c40f-0fc0-7651-8efb-a0878955525f</x:v>
      </x:c>
      <x:c r="C5" s="2" t="str"/>
      <x:c r="D5" s="2"/>
      <x:c r="E5" s="2"/>
      <x:c r="F5" s="2"/>
      <x:c r="G5" s="2"/>
      <x:c r="H5" s="2"/>
      <x:c r="I5" s="2"/>
    </x:row>
    <x:row r="6" ht="28" customHeight="1">
      <x:c r="A6" s="2" t="str">
        <x:v>Recording</x:v>
      </x:c>
      <x:c r="B6" s="14" t="str">
        <x:v>Provider trace</x:v>
      </x:c>
      <x:c r="C6" s="2" t="str"/>
      <x:c r="D6" s="2"/>
      <x:c r="E6" s="2"/>
      <x:c r="F6" s="2"/>
      <x:c r="G6" s="2"/>
      <x:c r="H6" s="2"/>
      <x:c r="I6" s="2"/>
    </x:row>
    <x:row r="7" ht="28" customHeight="1">
      <x:c r="A7" s="2" t="str">
        <x:v>FX reference date</x:v>
      </x:c>
      <x:c r="B7" s="15" t="n">
        <x:v>46283</x:v>
      </x:c>
      <x:c r="C7" s="2" t="str"/>
      <x:c r="D7" s="2"/>
      <x:c r="E7" s="2"/>
      <x:c r="F7" s="2"/>
      <x:c r="G7" s="2"/>
      <x:c r="H7" s="2"/>
      <x:c r="I7" s="2"/>
    </x:row>
    <x:row r="8" ht="28" customHeight="1">
      <x:c r="A8" s="2" t="str">
        <x:v>FX fetched at</x:v>
      </x:c>
      <x:c r="B8" s="16" t="n">
        <x:v>46286.542364583336</x:v>
      </x:c>
      <x:c r="C8" s="2" t="str">
        <x:v>UTC</x:v>
      </x:c>
      <x:c r="D8" s="2"/>
      <x:c r="E8" s="2"/>
      <x:c r="F8" s="2"/>
      <x:c r="G8" s="2"/>
      <x:c r="H8" s="2"/>
      <x:c r="I8" s="2"/>
    </x:row>
    <x:row r="9" ht="56" customHeight="1">
      <x:c r="A9" s="2" t="str">
        <x:v>FX source</x:v>
      </x:c>
      <x:c r="B9" s="14" t="str">
        <x:v>https://api.frankfurter.dev/v2/rate/usd/eur?providers=ecb</x:v>
      </x:c>
      <x:c r="C9" s="2" t="str"/>
      <x:c r="D9" s="2"/>
      <x:c r="E9" s="2"/>
      <x:c r="F9" s="2"/>
      <x:c r="G9" s="2"/>
      <x:c r="H9" s="2"/>
      <x:c r="I9" s="2"/>
    </x:row>
    <x:row r="10" ht="56" customHeight="1">
      <x:c r="A10" s="2" t="str">
        <x:v>Rounding</x:v>
      </x:c>
      <x:c r="B10" s="14" t="str">
        <x:v>Only projected costs: ROUND(cost × executions, 0)</x:v>
      </x:c>
      <x:c r="C10" s="2" t="str"/>
      <x:c r="D10" s="2"/>
      <x:c r="E10" s="2"/>
      <x:c r="F10" s="2"/>
      <x:c r="G10" s="2"/>
      <x:c r="H10" s="2"/>
      <x:c r="I10" s="2"/>
    </x:row>
    <x:row r="11" ht="56" customHeight="1">
      <x:c r="A11" s="2" t="str">
        <x:v>Tree totals</x:v>
      </x:c>
      <x:c r="B11" s="14" t="str">
        <x:v>Parent rows include descendants; do not sum all tree rows.</x:v>
      </x:c>
      <x:c r="C11" s="2" t="str"/>
      <x:c r="D11" s="2"/>
      <x:c r="E11" s="2"/>
      <x:c r="F11" s="2"/>
      <x:c r="G11" s="2"/>
      <x:c r="H11" s="2"/>
      <x:c r="I11" s="2"/>
    </x:row>
    <x:row r="12" ht="56" customHeight="1">
      <x:c r="A12" s="2" t="str">
        <x:v>Cache writes</x:v>
      </x:c>
      <x:c r="B12" s="14" t="str">
        <x:v>Simulation cache movements are shown separately from provider-billed writes.</x:v>
      </x:c>
      <x:c r="C12" s="2" t="str"/>
      <x:c r="D12" s="2"/>
      <x:c r="E12" s="2"/>
      <x:c r="F12" s="2"/>
      <x:c r="G12" s="2"/>
      <x:c r="H12" s="2"/>
      <x:c r="I12" s="2"/>
    </x:row>
    <x:row r="13" ht="56" customHeight="1">
      <x:c r="A13" s="2" t="str">
        <x:v>Pricing scope</x:v>
      </x:c>
      <x:c r="B13" s="14" t="str">
        <x:v>Standard online token rates. Verify rates and model access before use. Cache writes with unspecified lifetime use the 5-minute rate unless an explicit cache_write rate is configured. No batch, regional, long-context, tool, or negotiated pricing adjustments are applied.</x:v>
      </x:c>
      <x:c r="C13" s="2" t="str"/>
      <x:c r="D13" s="2"/>
      <x:c r="E13" s="2"/>
      <x:c r="F13" s="2"/>
      <x:c r="G13" s="2"/>
      <x:c r="H13" s="2"/>
      <x:c r="I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44" customHeight="1">
      <x:c r="A15" s="5" t="str">
        <x:v>Model</x:v>
      </x:c>
      <x:c r="B15" s="5" t="str">
        <x:v>Input USD / 1M tokens</x:v>
      </x:c>
      <x:c r="C15" s="5" t="str">
        <x:v>Cache read USD / 1M tokens</x:v>
      </x:c>
      <x:c r="D15" s="5" t="str">
        <x:v>Cache write USD / 1M tokens</x:v>
      </x:c>
      <x:c r="E15" s="5" t="str">
        <x:v>Output USD / 1M tokens</x:v>
      </x:c>
      <x:c r="F15" s="5" t="str">
        <x:v>Reasoning USD / 1M tokens</x:v>
      </x:c>
      <x:c r="G15" s="5" t="str">
        <x:v>Verified date</x:v>
      </x:c>
      <x:c r="H15" s="5" t="str">
        <x:v>Source</x:v>
      </x:c>
      <x:c r="I15" s="5" t="str">
        <x:v>Notes</x:v>
      </x:c>
    </x:row>
    <x:row r="16" ht="72" customHeight="1">
      <x:c r="A16" s="14" t="str">
        <x:v>openai:gpt-5.5</x:v>
      </x:c>
      <x:c r="B16" s="17" t="n">
        <x:v>5</x:v>
      </x:c>
      <x:c r="C16" s="17" t="n">
        <x:v>0.5</x:v>
      </x:c>
      <x:c r="D16" s="17"/>
      <x:c r="E16" s="17" t="n">
        <x:v>30</x:v>
      </x:c>
      <x:c r="F16" s="17" t="n">
        <x:v>30</x:v>
      </x:c>
      <x:c r="G16" s="15" t="n">
        <x:v>46283</x:v>
      </x:c>
      <x:c r="H16" s="14" t="str">
        <x:v>https://developers.openai.com/api/docs/models/gpt-5.5.md</x:v>
      </x:c>
      <x:c r="I16" s="14" t="str">
        <x:v>Cache write assumes 5m when unspecified</x:v>
      </x:c>
    </x:row>
    <x:row r="17" ht="72" customHeight="1">
      <x:c r="A17" s="14" t="str">
        <x:v>openai:gpt-5.6-luna</x:v>
      </x:c>
      <x:c r="B17" s="17" t="n">
        <x:v>0.2</x:v>
      </x:c>
      <x:c r="C17" s="17" t="n">
        <x:v>0.02</x:v>
      </x:c>
      <x:c r="D17" s="17" t="n">
        <x:v>0.25</x:v>
      </x:c>
      <x:c r="E17" s="17" t="n">
        <x:v>1.2</x:v>
      </x:c>
      <x:c r="F17" s="17" t="n">
        <x:v>1.2</x:v>
      </x:c>
      <x:c r="G17" s="15" t="n">
        <x:v>46283</x:v>
      </x:c>
      <x:c r="H17" s="14" t="str">
        <x:v>https://developers.openai.com/api/docs/models/gpt-5.6-luna.md</x:v>
      </x:c>
      <x:c r="I17" s="14" t="str">
        <x:v>Cache write assumes 5m when unspecified</x:v>
      </x:c>
    </x:row>
    <x:row r="18" ht="72" customHeight="1">
      <x:c r="A18" s="14" t="str">
        <x:v>openai:gpt-5.6-sol</x:v>
      </x:c>
      <x:c r="B18" s="17" t="n">
        <x:v>4</x:v>
      </x:c>
      <x:c r="C18" s="17" t="n">
        <x:v>0.4</x:v>
      </x:c>
      <x:c r="D18" s="17" t="n">
        <x:v>5</x:v>
      </x:c>
      <x:c r="E18" s="17" t="n">
        <x:v>20</x:v>
      </x:c>
      <x:c r="F18" s="17" t="n">
        <x:v>20</x:v>
      </x:c>
      <x:c r="G18" s="15" t="n">
        <x:v>46283</x:v>
      </x:c>
      <x:c r="H18" s="14" t="str">
        <x:v>https://developers.openai.com/api/docs/models/gpt-5.6-sol.md</x:v>
      </x:c>
      <x:c r="I18" s="14" t="str">
        <x:v>Cache write assumes 5m when unspecified</x:v>
      </x:c>
    </x:row>
    <x:row r="19" ht="72" customHeight="1">
      <x:c r="A19" s="14" t="str">
        <x:v>anthropic:claude-sonnet-5</x:v>
      </x:c>
      <x:c r="B19" s="17" t="n">
        <x:v>2</x:v>
      </x:c>
      <x:c r="C19" s="17" t="n">
        <x:v>0.2</x:v>
      </x:c>
      <x:c r="D19" s="17" t="n">
        <x:v>2.5</x:v>
      </x:c>
      <x:c r="E19" s="17" t="n">
        <x:v>10</x:v>
      </x:c>
      <x:c r="F19" s="17" t="n">
        <x:v>10</x:v>
      </x:c>
      <x:c r="G19" s="15" t="n">
        <x:v>46283</x:v>
      </x:c>
      <x:c r="H19" s="14" t="str">
        <x:v>https://platform.claude.com/docs/en/about-claude/pricing</x:v>
      </x:c>
      <x:c r="I19" s="14" t="str">
        <x:v>Cache write assumes 5m when unspecified</x:v>
      </x:c>
    </x:row>
    <x:row r="20" ht="72" customHeight="1">
      <x:c r="A20" s="14" t="str">
        <x:v>anthropic:claude-opus-4-8</x:v>
      </x:c>
      <x:c r="B20" s="17" t="n">
        <x:v>5</x:v>
      </x:c>
      <x:c r="C20" s="17" t="n">
        <x:v>0.5</x:v>
      </x:c>
      <x:c r="D20" s="17" t="n">
        <x:v>6.25</x:v>
      </x:c>
      <x:c r="E20" s="17" t="n">
        <x:v>25</x:v>
      </x:c>
      <x:c r="F20" s="17" t="n">
        <x:v>25</x:v>
      </x:c>
      <x:c r="G20" s="15" t="n">
        <x:v>46283</x:v>
      </x:c>
      <x:c r="H20" s="14" t="str">
        <x:v>https://platform.claude.com/docs/en/about-claude/pricing</x:v>
      </x:c>
      <x:c r="I20" s="14" t="str">
        <x:v>Cache write assumes 5m when unspecified</x:v>
      </x:c>
    </x:row>
    <x:row r="21" ht="72" customHeight="1">
      <x:c r="A21" s="14" t="str">
        <x:v>anthropic:claude-fable-5-1</x:v>
      </x:c>
      <x:c r="B21" s="17" t="n">
        <x:v>10</x:v>
      </x:c>
      <x:c r="C21" s="17" t="n">
        <x:v>0.25</x:v>
      </x:c>
      <x:c r="D21" s="17" t="n">
        <x:v>12.5</x:v>
      </x:c>
      <x:c r="E21" s="17" t="n">
        <x:v>50</x:v>
      </x:c>
      <x:c r="F21" s="17" t="n">
        <x:v>50</x:v>
      </x:c>
      <x:c r="G21" s="15" t="n">
        <x:v>46283</x:v>
      </x:c>
      <x:c r="H21" s="14" t="str">
        <x:v>https://platform.claude.com/docs/en/about-claude/pricing</x:v>
      </x:c>
      <x:c r="I21" s="14" t="str">
        <x:v>Cache write assumes 5m when unspecified</x:v>
      </x:c>
    </x:row>
    <x:row r="22" ht="72" customHeight="1">
      <x:c r="A22" s="14" t="str">
        <x:v>demo:scripted-chat</x:v>
      </x:c>
      <x:c r="B22" s="17" t="n">
        <x:v>0.2</x:v>
      </x:c>
      <x:c r="C22" s="17" t="n">
        <x:v>0.02</x:v>
      </x:c>
      <x:c r="D22" s="17" t="n">
        <x:v>0.25</x:v>
      </x:c>
      <x:c r="E22" s="17" t="n">
        <x:v>1.2</x:v>
      </x:c>
      <x:c r="F22" s="17" t="n">
        <x:v>1.2</x:v>
      </x:c>
      <x:c r="G22" s="15" t="n">
        <x:v>46283</x:v>
      </x:c>
      <x:c r="H22" s="14" t="str">
        <x:v>Illustrative demo rates based on openai:gpt-5.6-luna; no provider billing</x:v>
      </x:c>
      <x:c r="I22" s="14" t="str">
        <x:v>Cache write assumes 5m when unspecified</x:v>
      </x:c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</x:row>
  </x:sheetData>
  <x:conditionalFormatting sqref="G16:G22">
    <x:cfRule type="expression" dxfId="0" priority="1">
      <x:formula>G16&lt;TODAY()</x:formula>
    </x:cfRule>
  </x:conditionalFormatting>
  <x:conditionalFormatting sqref="B7:B7">
    <x:cfRule type="expression" dxfId="1" priority="2">
      <x:formula>B7&lt;TODAY()</x:formula>
    </x:cfRule>
  </x:conditionalFormatting>
  <x:dataValidations count="1">
    <x:dataValidation type="whole" operator="greaterThanOrEqual" sqref="B2">
      <x:formula1>0</x:formula1>
    </x:dataValidation>
  </x:dataValidations>
  <x:pageMargins left="0.7" right="0.7" top="0.75" bottom="0.75" header="0.3" footer="0.3"/>
</x:worksheet>
</file>
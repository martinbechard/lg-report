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urns" sheetId="1" r:id="rId1"/>
    <sheet name="Execution tree" sheetId="2" r:id="rId2"/>
    <sheet name="Reference data" sheetId="3" r:id="rId3"/>
  </sheets>
  <calcPr calcId="124519" fullCalcOnLoad="1"/>
</workbook>
</file>

<file path=xl/sharedStrings.xml><?xml version="1.0" encoding="utf-8"?>
<sst xmlns="http://schemas.openxmlformats.org/spreadsheetml/2006/main" count="385" uniqueCount="160">
  <si>
    <t>Request</t>
  </si>
  <si>
    <t>Turn</t>
  </si>
  <si>
    <t>Sequence</t>
  </si>
  <si>
    <t>Tokens</t>
  </si>
  <si>
    <t>EUR / execution</t>
  </si>
  <si>
    <t>USD / execution</t>
  </si>
  <si>
    <t>Projected EUR</t>
  </si>
  <si>
    <t>Projected USD</t>
  </si>
  <si>
    <t>Content</t>
  </si>
  <si>
    <t>Model · effort</t>
  </si>
  <si>
    <t>Status</t>
  </si>
  <si>
    <t>Context total tokens</t>
  </si>
  <si>
    <t>Span ID</t>
  </si>
  <si>
    <t>Operation</t>
  </si>
  <si>
    <t>Depth</t>
  </si>
  <si>
    <t>Type</t>
  </si>
  <si>
    <t>Input context tokens</t>
  </si>
  <si>
    <t>Description</t>
  </si>
  <si>
    <t>Parent ID</t>
  </si>
  <si>
    <t>Fresh input tokens</t>
  </si>
  <si>
    <t>Fresh input EUR</t>
  </si>
  <si>
    <t>Fresh input USD</t>
  </si>
  <si>
    <t>Cache read tokens</t>
  </si>
  <si>
    <t>Cache read EUR</t>
  </si>
  <si>
    <t>Cache read USD</t>
  </si>
  <si>
    <t>Cache write tokens</t>
  </si>
  <si>
    <t>Cache write EUR</t>
  </si>
  <si>
    <t>Cache write USD</t>
  </si>
  <si>
    <t>Output (non-reasoning) tokens</t>
  </si>
  <si>
    <t>Output (non-reasoning) EUR</t>
  </si>
  <si>
    <t>Output (non-reasoning) USD</t>
  </si>
  <si>
    <t>Reasoning tokens</t>
  </si>
  <si>
    <t>Reasoning EUR</t>
  </si>
  <si>
    <t>Reasoning USD</t>
  </si>
  <si>
    <t>Total EUR</t>
  </si>
  <si>
    <t>Total USD</t>
  </si>
  <si>
    <t>Elapsed ms</t>
  </si>
  <si>
    <t>Accounting</t>
  </si>
  <si>
    <t>Parameter</t>
  </si>
  <si>
    <t>Value</t>
  </si>
  <si>
    <t>Unit</t>
  </si>
  <si>
    <t>Number of executions</t>
  </si>
  <si>
    <t>executions</t>
  </si>
  <si>
    <t>USD → EUR</t>
  </si>
  <si>
    <t>EUR per USD</t>
  </si>
  <si>
    <t>Cache duration</t>
  </si>
  <si>
    <t>5m</t>
  </si>
  <si>
    <t/>
  </si>
  <si>
    <t>Run ID</t>
  </si>
  <si>
    <t>01a0cce3-7c59-7500-9bb3-9e974c30762a</t>
  </si>
  <si>
    <t>Recording</t>
  </si>
  <si>
    <t>Provider trace</t>
  </si>
  <si>
    <t>FX reference date</t>
  </si>
  <si>
    <t>2026-09-22</t>
  </si>
  <si>
    <t>FX fetched at</t>
  </si>
  <si>
    <t>2026-09-23T06:06:28.037095Z</t>
  </si>
  <si>
    <t>UTC</t>
  </si>
  <si>
    <t>FX source</t>
  </si>
  <si>
    <t>https://api.frankfurter.dev/v2/rate/usd/eur?providers=ecb</t>
  </si>
  <si>
    <t>Rounding</t>
  </si>
  <si>
    <t>Only projected costs: ROUND(cost × executions, 0)</t>
  </si>
  <si>
    <t>Tree totals</t>
  </si>
  <si>
    <t>Parent rows include descendants; do not sum all tree rows.</t>
  </si>
  <si>
    <t>Cache writes</t>
  </si>
  <si>
    <t>Simulated context movement is not a provider-billed write.</t>
  </si>
  <si>
    <t>Pricing scope</t>
  </si>
  <si>
    <t>Standard online token rates. Verify rates and model access before use. Cache writes with unspecified lifetime use the 5-minute rate unless an explicit cache_write rate is configured. No batch, regional, long-context, tool, or negotiated pricing adjustments are applied.</t>
  </si>
  <si>
    <t>Model</t>
  </si>
  <si>
    <t>Input USD / 1M tokens</t>
  </si>
  <si>
    <t>Cache read USD / 1M tokens</t>
  </si>
  <si>
    <t>Cache write USD / 1M tokens</t>
  </si>
  <si>
    <t>Output USD / 1M tokens</t>
  </si>
  <si>
    <t>Reasoning USD / 1M tokens</t>
  </si>
  <si>
    <t>Verified date</t>
  </si>
  <si>
    <t>Source</t>
  </si>
  <si>
    <t>Notes</t>
  </si>
  <si>
    <t>openai:gpt-5.5</t>
  </si>
  <si>
    <t>Unknown</t>
  </si>
  <si>
    <t>2026-09-18</t>
  </si>
  <si>
    <t>https://developers.openai.com/api/docs/models/gpt-5.5.md</t>
  </si>
  <si>
    <t>Cache write assumes 5m when unspecified</t>
  </si>
  <si>
    <t>openai:gpt-5.6-luna</t>
  </si>
  <si>
    <t>https://developers.openai.com/api/docs/models/gpt-5.6-luna.md</t>
  </si>
  <si>
    <t>openai:gpt-5.6-sol</t>
  </si>
  <si>
    <t>https://developers.openai.com/api/docs/models/gpt-5.6-sol.md</t>
  </si>
  <si>
    <t>anthropic:claude-sonnet-5</t>
  </si>
  <si>
    <t>https://platform.claude.com/docs/en/about-claude/pricing</t>
  </si>
  <si>
    <t>anthropic:claude-opus-4-8</t>
  </si>
  <si>
    <t>anthropic:claude-fable-5-1</t>
  </si>
  <si>
    <t>demo:scripted-chat</t>
  </si>
  <si>
    <t>Illustrative demo rates based on openai:gpt-5.6-luna; no provider billing</t>
  </si>
  <si>
    <t>Run total</t>
  </si>
  <si>
    <t>Turn 1</t>
  </si>
  <si>
    <t>R1</t>
  </si>
  <si>
    <t>LLM request</t>
  </si>
  <si>
    <t>gpt-5.6-luna</t>
  </si>
  <si>
    <t>01a0cce3-7c62-7600-b525-c91ab3e30b57</t>
  </si>
  <si>
    <t>Fresh input</t>
  </si>
  <si>
    <t xml:space="preserve">    Tool definitions</t>
  </si>
  <si>
    <t xml:space="preserve">    System prompt</t>
  </si>
  <si>
    <t>Call echo_tool with the user's text, then answer concisely using the returned echo. The tool repeats input; it provides no independent factual evidence.</t>
  </si>
  <si>
    <t xml:space="preserve">    User prompt</t>
  </si>
  <si>
    <t>Echo this text: ReAct</t>
  </si>
  <si>
    <t>Cache write</t>
  </si>
  <si>
    <t>Context · added / total</t>
  </si>
  <si>
    <t>LLM response</t>
  </si>
  <si>
    <t>Output</t>
  </si>
  <si>
    <t xml:space="preserve">    Output content</t>
  </si>
  <si>
    <t>[{"type": "function_call", "name": "echo_tool", "arguments": "{\"text\":\"ReAct\"}", "call_id": "call_aqkxBJdFbfYxEHqTsjw3OgFh", "id": "fc_08d6966ad3cb0e2d006ab36d70b7f487d28768709fe626665a", "index": 0}]
{"name": "echo_tool", "args": {"text": "ReAct"}, "id": "call_aqkxBJdFbfYxEHqTsjw3OgFh", "type": "tool_call"}</t>
  </si>
  <si>
    <t>Call total</t>
  </si>
  <si>
    <t>ok</t>
  </si>
  <si>
    <t>Tool · echo_tool</t>
  </si>
  <si>
    <t>01a0cce3-814f-7662-9b6a-9b765682d148</t>
  </si>
  <si>
    <t xml:space="preserve">    Arguments</t>
  </si>
  <si>
    <t>{'text': 'ReAct'}</t>
  </si>
  <si>
    <t xml:space="preserve">    Result</t>
  </si>
  <si>
    <t>Your input was: ReAct</t>
  </si>
  <si>
    <t>R2</t>
  </si>
  <si>
    <t>01a0cce3-8153-7ff3-bd84-ba4dd62a9af7</t>
  </si>
  <si>
    <t>Conversation history · cache read</t>
  </si>
  <si>
    <t xml:space="preserve">    Tool result</t>
  </si>
  <si>
    <t>[{"type": "text", "text": "ReAct", "phase": "final_answer", "index": 0, "id": "msg_08d6966ad3cb0e2d006ab36d71e44487d293994b9490428e9d"}]</t>
  </si>
  <si>
    <t>Turn 2</t>
  </si>
  <si>
    <t>R3</t>
  </si>
  <si>
    <t>01a0cce3-8641-7331-a98e-1aa32356ee5c</t>
  </si>
  <si>
    <t>Echo this text: Tool observations</t>
  </si>
  <si>
    <t>[{"type": "function_call", "name": "echo_tool", "arguments": "{\"text\":\"Tool observations\"}", "call_id": "call_lUpZKgYZeq9OnvMQ1tkhu6Jj", "id": "fc_08d6966ad3cb0e2d006ab36d72f54087d28b9950f0c6f69249", "index": 0}]
{"name": "echo_tool", "args": {"text": "Tool observations"}, "id": "call_lUpZKgYZeq9OnvMQ1tkhu6Jj", "type": "tool_call"}</t>
  </si>
  <si>
    <t>01a0cce3-8a37-7ed2-8f87-da3bfa8b6e11</t>
  </si>
  <si>
    <t>{'text': 'Tool observations'}</t>
  </si>
  <si>
    <t>Your input was: Tool observations</t>
  </si>
  <si>
    <t>R4</t>
  </si>
  <si>
    <t>01a0cce3-8a3b-7210-9e13-45ba0f8cba7b</t>
  </si>
  <si>
    <t>[{"type": "text", "text": "Tool observations", "phase": "final_answer", "index": 0, "id": "msg_08d6966ad3cb0e2d006ab36d7406ec87d2ae7db333402af419"}]</t>
  </si>
  <si>
    <t>reference_chat_agent</t>
  </si>
  <si>
    <t>workflow</t>
  </si>
  <si>
    <t>Execute the reference_chat_agent workflow operation and pass its result to the next graph step.</t>
  </si>
  <si>
    <t>Subtree total</t>
  </si>
  <si>
    <t xml:space="preserve">    PatchToolCallsMiddleware.before_agent</t>
  </si>
  <si>
    <t>Check message history and repair missing tool responses before the agent starts.</t>
  </si>
  <si>
    <t>01a0cce3-7c5c-7951-9197-1c8eb94e74cd</t>
  </si>
  <si>
    <t>No model charge</t>
  </si>
  <si>
    <t xml:space="preserve">    model</t>
  </si>
  <si>
    <t>Prepare the current conversation, run model middleware, and invoke the chat model.</t>
  </si>
  <si>
    <t>01a0cce3-7c5d-7d42-82e3-ec536975feca</t>
  </si>
  <si>
    <t xml:space="preserve">        ChatOpenAI</t>
  </si>
  <si>
    <t>model</t>
  </si>
  <si>
    <t>Generate the next assistant message or tool request from the current conversation.</t>
  </si>
  <si>
    <t>Own call</t>
  </si>
  <si>
    <t xml:space="preserve">    tools</t>
  </si>
  <si>
    <t>Execute tool calls requested by the preceding model response and return their observations.</t>
  </si>
  <si>
    <t>01a0cce3-814e-7602-b73a-bd236698d2b2</t>
  </si>
  <si>
    <t xml:space="preserve">        echo_tool</t>
  </si>
  <si>
    <t>tool</t>
  </si>
  <si>
    <t>Return the provided text prefixed with "Your input was: ".</t>
  </si>
  <si>
    <t>01a0cce3-8151-7152-8f62-bae49ced4d10</t>
  </si>
  <si>
    <t>01a0cce3-863c-7092-9e70-ed4dbf898a6e</t>
  </si>
  <si>
    <t>01a0cce3-863d-7742-af5c-a2c2463f1722</t>
  </si>
  <si>
    <t>01a0cce3-863e-7bc2-910f-0dd0771f117e</t>
  </si>
  <si>
    <t>01a0cce3-8a36-7491-9150-044fd5daba7f</t>
  </si>
  <si>
    <t>01a0cce3-8a39-71f0-bfab-6793cbfd78be</t>
  </si>
</sst>
</file>

<file path=xl/styles.xml><?xml version="1.0" encoding="utf-8"?>
<styleSheet xmlns="http://schemas.openxmlformats.org/spreadsheetml/2006/main">
  <numFmts count="2">
    <numFmt numFmtId="164" formatCode="0.###############;-0.###############;0"/>
    <numFmt numFmtId="165" formatCode="#,##0"/>
  </numFmts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b/>
      <sz val="10"/>
      <color rgb="FF173B7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73B70"/>
        <bgColor indexed="64"/>
      </patternFill>
    </fill>
    <fill>
      <patternFill patternType="solid">
        <fgColor rgb="FFDBE5F1"/>
        <bgColor indexed="64"/>
      </patternFill>
    </fill>
    <fill>
      <patternFill patternType="solid">
        <fgColor rgb="FFFFF1B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vertical="top"/>
    </xf>
    <xf numFmtId="164" fontId="1" fillId="0" borderId="0" xfId="0" applyNumberFormat="1" applyFont="1" applyAlignment="1">
      <alignment vertical="top"/>
    </xf>
    <xf numFmtId="0" fontId="2" fillId="2" borderId="0" xfId="0" applyFont="1" applyFill="1" applyAlignment="1">
      <alignment vertical="top" wrapText="1"/>
    </xf>
    <xf numFmtId="0" fontId="3" fillId="3" borderId="0" xfId="0" applyFont="1" applyFill="1" applyAlignment="1">
      <alignment vertical="top"/>
    </xf>
    <xf numFmtId="165" fontId="1" fillId="0" borderId="0" xfId="0" applyNumberFormat="1" applyFont="1" applyAlignment="1">
      <alignment vertical="top"/>
    </xf>
    <xf numFmtId="0" fontId="1" fillId="0" borderId="0" xfId="0" applyFont="1" applyAlignment="1">
      <alignment vertical="top" wrapText="1"/>
    </xf>
    <xf numFmtId="165" fontId="0" fillId="4" borderId="0" xfId="0" applyNumberFormat="1" applyFill="1"/>
  </cellXfs>
  <cellStyles count="1">
    <cellStyle name="Normal" xfId="0" builtinId="0"/>
  </cellStyles>
  <dxfs count="1">
    <dxf>
      <font>
        <color rgb="FF8B1010"/>
      </font>
      <fill>
        <patternFill>
          <bgColor rgb="FFFFD3D3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173B70"/>
  </sheetPr>
  <dimension ref="A1:M59"/>
  <sheetViews>
    <sheetView showGridLines="0"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4" customHeight="1"/>
  <cols>
    <col min="1" max="2" width="10.7109375" customWidth="1"/>
    <col min="3" max="3" width="38.7109375" customWidth="1"/>
    <col min="4" max="4" width="18.7109375" style="1" customWidth="1"/>
    <col min="5" max="6" width="22.7109375" style="2" customWidth="1"/>
    <col min="7" max="8" width="18.7109375" style="1" customWidth="1"/>
    <col min="9" max="9" width="100.7109375" customWidth="1"/>
    <col min="10" max="10" width="26.7109375" customWidth="1"/>
    <col min="11" max="12" width="18.7109375" style="1" customWidth="1"/>
    <col min="13" max="13" width="38.7109375" customWidth="1"/>
  </cols>
  <sheetData>
    <row r="1" spans="1:13" ht="44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</row>
    <row r="2" spans="1:13" s="4" customFormat="1" ht="24" customHeight="1">
      <c r="C2" s="4" t="s">
        <v>91</v>
      </c>
      <c r="E2" s="2">
        <f>IF(COUNT('Turns'!E16,'Turns'!E31,'Turns'!E44,'Turns'!E59)=4,SUM('Turns'!E16,'Turns'!E31,'Turns'!E44,'Turns'!E59),"Unknown")</f>
        <v>0.0006270508323</v>
      </c>
      <c r="F2" s="2">
        <f>IF(COUNT('Turns'!F16,'Turns'!F31,'Turns'!F44,'Turns'!F59)=4,SUM('Turns'!F16,'Turns'!F31,'Turns'!F44,'Turns'!F59),"Unknown")</f>
        <v>0.00071879</v>
      </c>
      <c r="G2" s="5">
        <f>IF(ISNUMBER(E2),ROUND(E2*'Reference data'!$B$2,0),"Unknown")</f>
        <v>63.0</v>
      </c>
      <c r="H2" s="5">
        <f>IF(ISNUMBER(F2),ROUND(F2*'Reference data'!$B$2,0),"Unknown")</f>
        <v>72.0</v>
      </c>
    </row>
    <row r="3" spans="1:13" s="4" customFormat="1" ht="24" customHeight="1">
      <c r="B3" s="4">
        <v>1</v>
      </c>
      <c r="C3" s="4" t="s">
        <v>92</v>
      </c>
      <c r="E3" s="2">
        <f>IF(COUNT('Turns'!E16,'Turns'!E31)=2,SUM('Turns'!E16,'Turns'!E31),"Unknown")</f>
        <v>0.0005153351301</v>
      </c>
      <c r="F3" s="2">
        <f>IF(COUNT('Turns'!F16,'Turns'!F31)=2,SUM('Turns'!F16,'Turns'!F31),"Unknown")</f>
        <v>0.00059073</v>
      </c>
      <c r="G3" s="5">
        <f>IF(ISNUMBER(E3),ROUND(E3*'Reference data'!$B$2,0),"Unknown")</f>
        <v>52.0</v>
      </c>
      <c r="H3" s="5">
        <f>IF(ISNUMBER(F3),ROUND(F3*'Reference data'!$B$2,0),"Unknown")</f>
        <v>59.0</v>
      </c>
    </row>
    <row r="4" spans="1:13" s="4" customFormat="1" ht="24" customHeight="1">
      <c r="A4" s="4" t="s">
        <v>93</v>
      </c>
      <c r="B4" s="4">
        <v>1</v>
      </c>
      <c r="C4" s="4" t="s">
        <v>94</v>
      </c>
      <c r="D4" s="4">
        <v>2042</v>
      </c>
      <c r="J4" s="4" t="s">
        <v>95</v>
      </c>
      <c r="M4" s="4" t="s">
        <v>96</v>
      </c>
    </row>
    <row r="5" spans="1:13" ht="24" customHeight="1">
      <c r="A5" t="s">
        <v>93</v>
      </c>
      <c r="B5">
        <v>1</v>
      </c>
      <c r="C5" t="s">
        <v>97</v>
      </c>
      <c r="D5" s="5">
        <v>3</v>
      </c>
      <c r="E5" s="2">
        <f>IF(AND(ISNUMBER(F5),ISNUMBER('Reference data'!$B$3)),F5*'Reference data'!$B$3,"Unknown")</f>
        <v>5.23422e-07</v>
      </c>
      <c r="F5" s="2">
        <f>IF(D5=0,0,IF(ISNUMBER('Reference data'!B17),D5*'Reference data'!B17/1000000,"Unknown"))</f>
        <v>6e-07</v>
      </c>
      <c r="G5" s="5">
        <f>IF(ISNUMBER(E5),ROUND(E5*'Reference data'!$B$2,0),"Unknown")</f>
        <v>0.0</v>
      </c>
      <c r="H5" s="5">
        <f>IF(ISNUMBER(F5),ROUND(F5*'Reference data'!$B$2,0),"Unknown")</f>
        <v>0.0</v>
      </c>
    </row>
    <row r="6" spans="1:13" ht="24" customHeight="1">
      <c r="A6" t="s">
        <v>93</v>
      </c>
      <c r="B6">
        <v>1</v>
      </c>
      <c r="C6" t="s">
        <v>98</v>
      </c>
    </row>
    <row r="7" spans="1:13" ht="34" customHeight="1">
      <c r="A7" t="s">
        <v>93</v>
      </c>
      <c r="B7">
        <v>1</v>
      </c>
      <c r="C7" t="s">
        <v>99</v>
      </c>
      <c r="I7" s="6" t="s">
        <v>100</v>
      </c>
    </row>
    <row r="8" spans="1:13" ht="24" customHeight="1">
      <c r="A8" t="s">
        <v>93</v>
      </c>
      <c r="B8">
        <v>1</v>
      </c>
      <c r="C8" t="s">
        <v>101</v>
      </c>
      <c r="I8" s="6" t="s">
        <v>102</v>
      </c>
    </row>
    <row r="9" spans="1:13" ht="24" customHeight="1">
      <c r="A9" t="s">
        <v>93</v>
      </c>
      <c r="B9">
        <v>1</v>
      </c>
      <c r="C9" t="s">
        <v>103</v>
      </c>
      <c r="D9" s="5">
        <v>2039</v>
      </c>
      <c r="E9" s="2">
        <f>IF(AND(ISNUMBER(F9),ISNUMBER('Reference data'!$B$3)),F9*'Reference data'!$B$3,"Unknown")</f>
        <v>0.0004446906075</v>
      </c>
      <c r="F9" s="2">
        <f>IF(D9=0,0,IF(ISNUMBER('Reference data'!D17),D9*'Reference data'!D17/1000000,"Unknown"))</f>
        <v>0.00050975</v>
      </c>
      <c r="G9" s="5">
        <f>IF(ISNUMBER(E9),ROUND(E9*'Reference data'!$B$2,0),"Unknown")</f>
        <v>44.0</v>
      </c>
      <c r="H9" s="5">
        <f>IF(ISNUMBER(F9),ROUND(F9*'Reference data'!$B$2,0),"Unknown")</f>
        <v>51.0</v>
      </c>
    </row>
    <row r="10" spans="1:13" ht="24" customHeight="1">
      <c r="A10" t="s">
        <v>93</v>
      </c>
      <c r="B10">
        <v>1</v>
      </c>
      <c r="C10" t="s">
        <v>104</v>
      </c>
    </row>
    <row r="11" spans="1:13" s="4" customFormat="1" ht="24" customHeight="1">
      <c r="A11" s="4" t="s">
        <v>93</v>
      </c>
      <c r="B11" s="4">
        <v>1</v>
      </c>
      <c r="C11" s="4" t="s">
        <v>105</v>
      </c>
      <c r="D11" s="4">
        <v>19</v>
      </c>
    </row>
    <row r="12" spans="1:13" ht="24" customHeight="1">
      <c r="A12" t="s">
        <v>93</v>
      </c>
      <c r="B12">
        <v>1</v>
      </c>
      <c r="C12" t="s">
        <v>106</v>
      </c>
      <c r="D12" s="5">
        <v>19</v>
      </c>
      <c r="E12" s="2">
        <f>IF(AND(ISNUMBER(F12),ISNUMBER('Reference data'!$B$3)),F12*'Reference data'!$B$3,"Unknown")</f>
        <v>1.9890036e-05</v>
      </c>
      <c r="F12" s="2">
        <f>IF(D12=0,0,IF(ISNUMBER('Reference data'!E17),D12*'Reference data'!E17/1000000,"Unknown"))</f>
        <v>2.28e-05</v>
      </c>
      <c r="G12" s="5">
        <f>IF(ISNUMBER(E12),ROUND(E12*'Reference data'!$B$2,0),"Unknown")</f>
        <v>2.0</v>
      </c>
      <c r="H12" s="5">
        <f>IF(ISNUMBER(F12),ROUND(F12*'Reference data'!$B$2,0),"Unknown")</f>
        <v>2.0</v>
      </c>
    </row>
    <row r="13" spans="1:13" ht="73" customHeight="1">
      <c r="A13" t="s">
        <v>93</v>
      </c>
      <c r="B13">
        <v>1</v>
      </c>
      <c r="C13" t="s">
        <v>107</v>
      </c>
      <c r="I13" s="6" t="s">
        <v>108</v>
      </c>
    </row>
    <row r="14" spans="1:13" ht="24" customHeight="1">
      <c r="A14" t="s">
        <v>93</v>
      </c>
      <c r="B14">
        <v>1</v>
      </c>
      <c r="C14" t="s">
        <v>103</v>
      </c>
    </row>
    <row r="15" spans="1:13" ht="24" customHeight="1">
      <c r="A15" t="s">
        <v>93</v>
      </c>
      <c r="B15">
        <v>1</v>
      </c>
      <c r="C15" t="s">
        <v>104</v>
      </c>
    </row>
    <row r="16" spans="1:13" s="4" customFormat="1" ht="24" customHeight="1">
      <c r="A16" s="4" t="s">
        <v>93</v>
      </c>
      <c r="B16" s="4">
        <v>1</v>
      </c>
      <c r="C16" s="4" t="s">
        <v>109</v>
      </c>
      <c r="E16" s="2">
        <f>IF(COUNT('Turns'!E5,'Turns'!E9,'Turns'!E12)=3,SUM('Turns'!E5,'Turns'!E9,'Turns'!E12),"Unknown")</f>
        <v>0.0004651040655</v>
      </c>
      <c r="F16" s="2">
        <f>IF(COUNT('Turns'!F5,'Turns'!F9,'Turns'!F12)=3,SUM('Turns'!F5,'Turns'!F9,'Turns'!F12),"Unknown")</f>
        <v>0.00053315</v>
      </c>
      <c r="G16" s="5">
        <f>IF(ISNUMBER(E16),ROUND(E16*'Reference data'!$B$2,0),"Unknown")</f>
        <v>47.0</v>
      </c>
      <c r="H16" s="5">
        <f>IF(ISNUMBER(F16),ROUND(F16*'Reference data'!$B$2,0),"Unknown")</f>
        <v>53.0</v>
      </c>
      <c r="K16" s="4" t="s">
        <v>110</v>
      </c>
    </row>
    <row r="17" spans="1:13" s="4" customFormat="1" ht="24" customHeight="1">
      <c r="B17" s="4">
        <v>1</v>
      </c>
      <c r="C17" s="4" t="s">
        <v>111</v>
      </c>
      <c r="K17" s="4" t="s">
        <v>110</v>
      </c>
      <c r="M17" s="4" t="s">
        <v>112</v>
      </c>
    </row>
    <row r="18" spans="1:13" ht="24" customHeight="1">
      <c r="B18">
        <v>1</v>
      </c>
      <c r="C18" t="s">
        <v>113</v>
      </c>
      <c r="I18" s="6" t="s">
        <v>114</v>
      </c>
    </row>
    <row r="19" spans="1:13" ht="24" customHeight="1">
      <c r="B19">
        <v>1</v>
      </c>
      <c r="C19" t="s">
        <v>115</v>
      </c>
      <c r="I19" s="6" t="s">
        <v>116</v>
      </c>
    </row>
    <row r="20" spans="1:13" s="4" customFormat="1" ht="24" customHeight="1">
      <c r="A20" s="4" t="s">
        <v>117</v>
      </c>
      <c r="B20" s="4">
        <v>1</v>
      </c>
      <c r="C20" s="4" t="s">
        <v>94</v>
      </c>
      <c r="D20" s="4">
        <v>2078</v>
      </c>
      <c r="J20" s="4" t="s">
        <v>95</v>
      </c>
      <c r="M20" s="4" t="s">
        <v>118</v>
      </c>
    </row>
    <row r="21" spans="1:13" ht="24" customHeight="1">
      <c r="A21" t="s">
        <v>117</v>
      </c>
      <c r="B21">
        <v>1</v>
      </c>
      <c r="C21" t="s">
        <v>119</v>
      </c>
      <c r="D21" s="5">
        <v>2039</v>
      </c>
      <c r="E21" s="2">
        <f>IF(AND(ISNUMBER(F21),ISNUMBER('Reference data'!$B$3)),F21*'Reference data'!$B$3,"Unknown")</f>
        <v>3.55752486e-05</v>
      </c>
      <c r="F21" s="2">
        <f>IF(D21=0,0,IF(ISNUMBER('Reference data'!C17),D21*'Reference data'!C17/1000000,"Unknown"))</f>
        <v>4.078e-05</v>
      </c>
      <c r="G21" s="5">
        <f>IF(ISNUMBER(E21),ROUND(E21*'Reference data'!$B$2,0),"Unknown")</f>
        <v>4.0</v>
      </c>
      <c r="H21" s="5">
        <f>IF(ISNUMBER(F21),ROUND(F21*'Reference data'!$B$2,0),"Unknown")</f>
        <v>4.0</v>
      </c>
    </row>
    <row r="22" spans="1:13" ht="24" customHeight="1">
      <c r="A22" t="s">
        <v>117</v>
      </c>
      <c r="B22">
        <v>1</v>
      </c>
      <c r="C22" t="s">
        <v>97</v>
      </c>
      <c r="D22" s="5">
        <v>3</v>
      </c>
      <c r="E22" s="2">
        <f>IF(AND(ISNUMBER(F22),ISNUMBER('Reference data'!$B$3)),F22*'Reference data'!$B$3,"Unknown")</f>
        <v>5.23422e-07</v>
      </c>
      <c r="F22" s="2">
        <f>IF(D22=0,0,IF(ISNUMBER('Reference data'!B17),D22*'Reference data'!B17/1000000,"Unknown"))</f>
        <v>6e-07</v>
      </c>
      <c r="G22" s="5">
        <f>IF(ISNUMBER(E22),ROUND(E22*'Reference data'!$B$2,0),"Unknown")</f>
        <v>0.0</v>
      </c>
      <c r="H22" s="5">
        <f>IF(ISNUMBER(F22),ROUND(F22*'Reference data'!$B$2,0),"Unknown")</f>
        <v>0.0</v>
      </c>
    </row>
    <row r="23" spans="1:13" ht="24" customHeight="1">
      <c r="A23" t="s">
        <v>117</v>
      </c>
      <c r="B23">
        <v>1</v>
      </c>
      <c r="C23" t="s">
        <v>120</v>
      </c>
      <c r="I23" s="6" t="s">
        <v>116</v>
      </c>
    </row>
    <row r="24" spans="1:13" ht="24" customHeight="1">
      <c r="A24" t="s">
        <v>117</v>
      </c>
      <c r="B24">
        <v>1</v>
      </c>
      <c r="C24" t="s">
        <v>103</v>
      </c>
      <c r="D24" s="5">
        <v>36</v>
      </c>
      <c r="E24" s="2">
        <f>IF(AND(ISNUMBER(F24),ISNUMBER('Reference data'!$B$3)),F24*'Reference data'!$B$3,"Unknown")</f>
        <v>7.85133e-06</v>
      </c>
      <c r="F24" s="2">
        <f>IF(D24=0,0,IF(ISNUMBER('Reference data'!D17),D24*'Reference data'!D17/1000000,"Unknown"))</f>
        <v>9e-06</v>
      </c>
      <c r="G24" s="5">
        <f>IF(ISNUMBER(E24),ROUND(E24*'Reference data'!$B$2,0),"Unknown")</f>
        <v>1.0</v>
      </c>
      <c r="H24" s="5">
        <f>IF(ISNUMBER(F24),ROUND(F24*'Reference data'!$B$2,0),"Unknown")</f>
        <v>1.0</v>
      </c>
    </row>
    <row r="25" spans="1:13" ht="24" customHeight="1">
      <c r="A25" t="s">
        <v>117</v>
      </c>
      <c r="B25">
        <v>1</v>
      </c>
      <c r="C25" t="s">
        <v>104</v>
      </c>
    </row>
    <row r="26" spans="1:13" s="4" customFormat="1" ht="24" customHeight="1">
      <c r="A26" s="4" t="s">
        <v>117</v>
      </c>
      <c r="B26" s="4">
        <v>1</v>
      </c>
      <c r="C26" s="4" t="s">
        <v>105</v>
      </c>
      <c r="D26" s="4">
        <v>6</v>
      </c>
    </row>
    <row r="27" spans="1:13" ht="24" customHeight="1">
      <c r="A27" t="s">
        <v>117</v>
      </c>
      <c r="B27">
        <v>1</v>
      </c>
      <c r="C27" t="s">
        <v>106</v>
      </c>
      <c r="D27" s="5">
        <v>6</v>
      </c>
      <c r="E27" s="2">
        <f>IF(AND(ISNUMBER(F27),ISNUMBER('Reference data'!$B$3)),F27*'Reference data'!$B$3,"Unknown")</f>
        <v>6.281064e-06</v>
      </c>
      <c r="F27" s="2">
        <f>IF(D27=0,0,IF(ISNUMBER('Reference data'!E17),D27*'Reference data'!E17/1000000,"Unknown"))</f>
        <v>7.2e-06</v>
      </c>
      <c r="G27" s="5">
        <f>IF(ISNUMBER(E27),ROUND(E27*'Reference data'!$B$2,0),"Unknown")</f>
        <v>1.0</v>
      </c>
      <c r="H27" s="5">
        <f>IF(ISNUMBER(F27),ROUND(F27*'Reference data'!$B$2,0),"Unknown")</f>
        <v>1.0</v>
      </c>
    </row>
    <row r="28" spans="1:13" ht="34" customHeight="1">
      <c r="A28" t="s">
        <v>117</v>
      </c>
      <c r="B28">
        <v>1</v>
      </c>
      <c r="C28" t="s">
        <v>107</v>
      </c>
      <c r="I28" s="6" t="s">
        <v>121</v>
      </c>
    </row>
    <row r="29" spans="1:13" ht="24" customHeight="1">
      <c r="A29" t="s">
        <v>117</v>
      </c>
      <c r="B29">
        <v>1</v>
      </c>
      <c r="C29" t="s">
        <v>103</v>
      </c>
    </row>
    <row r="30" spans="1:13" ht="24" customHeight="1">
      <c r="A30" t="s">
        <v>117</v>
      </c>
      <c r="B30">
        <v>1</v>
      </c>
      <c r="C30" t="s">
        <v>104</v>
      </c>
    </row>
    <row r="31" spans="1:13" s="4" customFormat="1" ht="24" customHeight="1">
      <c r="A31" s="4" t="s">
        <v>117</v>
      </c>
      <c r="B31" s="4">
        <v>1</v>
      </c>
      <c r="C31" s="4" t="s">
        <v>109</v>
      </c>
      <c r="E31" s="2">
        <f>IF(COUNT('Turns'!E21,'Turns'!E22,'Turns'!E24,'Turns'!E27)=4,SUM('Turns'!E21,'Turns'!E22,'Turns'!E24,'Turns'!E27),"Unknown")</f>
        <v>5.02310646e-05</v>
      </c>
      <c r="F31" s="2">
        <f>IF(COUNT('Turns'!F21,'Turns'!F22,'Turns'!F24,'Turns'!F27)=4,SUM('Turns'!F21,'Turns'!F22,'Turns'!F24,'Turns'!F27),"Unknown")</f>
        <v>5.758e-05</v>
      </c>
      <c r="G31" s="5">
        <f>IF(ISNUMBER(E31),ROUND(E31*'Reference data'!$B$2,0),"Unknown")</f>
        <v>5.0</v>
      </c>
      <c r="H31" s="5">
        <f>IF(ISNUMBER(F31),ROUND(F31*'Reference data'!$B$2,0),"Unknown")</f>
        <v>6.0</v>
      </c>
      <c r="K31" s="4" t="s">
        <v>110</v>
      </c>
    </row>
    <row r="32" spans="1:13" s="4" customFormat="1" ht="24" customHeight="1">
      <c r="B32" s="4">
        <v>2</v>
      </c>
      <c r="C32" s="4" t="s">
        <v>122</v>
      </c>
      <c r="E32" s="2">
        <f>IF(COUNT('Turns'!E44,'Turns'!E59)=2,SUM('Turns'!E44,'Turns'!E59),"Unknown")</f>
        <v>0.0001117157022</v>
      </c>
      <c r="F32" s="2">
        <f>IF(COUNT('Turns'!F44,'Turns'!F59)=2,SUM('Turns'!F44,'Turns'!F59),"Unknown")</f>
        <v>0.00012806</v>
      </c>
      <c r="G32" s="5">
        <f>IF(ISNUMBER(E32),ROUND(E32*'Reference data'!$B$2,0),"Unknown")</f>
        <v>11.0</v>
      </c>
      <c r="H32" s="5">
        <f>IF(ISNUMBER(F32),ROUND(F32*'Reference data'!$B$2,0),"Unknown")</f>
        <v>13.0</v>
      </c>
    </row>
    <row r="33" spans="1:13" s="4" customFormat="1" ht="24" customHeight="1">
      <c r="A33" s="4" t="s">
        <v>123</v>
      </c>
      <c r="B33" s="4">
        <v>2</v>
      </c>
      <c r="C33" s="4" t="s">
        <v>94</v>
      </c>
      <c r="D33" s="4">
        <v>2096</v>
      </c>
      <c r="J33" s="4" t="s">
        <v>95</v>
      </c>
      <c r="M33" s="4" t="s">
        <v>124</v>
      </c>
    </row>
    <row r="34" spans="1:13" ht="24" customHeight="1">
      <c r="A34" t="s">
        <v>123</v>
      </c>
      <c r="B34">
        <v>2</v>
      </c>
      <c r="C34" t="s">
        <v>119</v>
      </c>
      <c r="D34" s="5">
        <v>2075</v>
      </c>
      <c r="E34" s="2">
        <f>IF(AND(ISNUMBER(F34),ISNUMBER('Reference data'!$B$3)),F34*'Reference data'!$B$3,"Unknown")</f>
        <v>3.6203355e-05</v>
      </c>
      <c r="F34" s="2">
        <f>IF(D34=0,0,IF(ISNUMBER('Reference data'!C17),D34*'Reference data'!C17/1000000,"Unknown"))</f>
        <v>4.15e-05</v>
      </c>
      <c r="G34" s="5">
        <f>IF(ISNUMBER(E34),ROUND(E34*'Reference data'!$B$2,0),"Unknown")</f>
        <v>4.0</v>
      </c>
      <c r="H34" s="5">
        <f>IF(ISNUMBER(F34),ROUND(F34*'Reference data'!$B$2,0),"Unknown")</f>
        <v>4.0</v>
      </c>
    </row>
    <row r="35" spans="1:13" ht="24" customHeight="1">
      <c r="A35" t="s">
        <v>123</v>
      </c>
      <c r="B35">
        <v>2</v>
      </c>
      <c r="C35" t="s">
        <v>97</v>
      </c>
      <c r="D35" s="5">
        <v>3</v>
      </c>
      <c r="E35" s="2">
        <f>IF(AND(ISNUMBER(F35),ISNUMBER('Reference data'!$B$3)),F35*'Reference data'!$B$3,"Unknown")</f>
        <v>5.23422e-07</v>
      </c>
      <c r="F35" s="2">
        <f>IF(D35=0,0,IF(ISNUMBER('Reference data'!B17),D35*'Reference data'!B17/1000000,"Unknown"))</f>
        <v>6e-07</v>
      </c>
      <c r="G35" s="5">
        <f>IF(ISNUMBER(E35),ROUND(E35*'Reference data'!$B$2,0),"Unknown")</f>
        <v>0.0</v>
      </c>
      <c r="H35" s="5">
        <f>IF(ISNUMBER(F35),ROUND(F35*'Reference data'!$B$2,0),"Unknown")</f>
        <v>0.0</v>
      </c>
    </row>
    <row r="36" spans="1:13" ht="24" customHeight="1">
      <c r="A36" t="s">
        <v>123</v>
      </c>
      <c r="B36">
        <v>2</v>
      </c>
      <c r="C36" t="s">
        <v>101</v>
      </c>
      <c r="I36" s="6" t="s">
        <v>125</v>
      </c>
    </row>
    <row r="37" spans="1:13" ht="24" customHeight="1">
      <c r="A37" t="s">
        <v>123</v>
      </c>
      <c r="B37">
        <v>2</v>
      </c>
      <c r="C37" t="s">
        <v>103</v>
      </c>
      <c r="D37" s="5">
        <v>18</v>
      </c>
      <c r="E37" s="2">
        <f>IF(AND(ISNUMBER(F37),ISNUMBER('Reference data'!$B$3)),F37*'Reference data'!$B$3,"Unknown")</f>
        <v>3.925665e-06</v>
      </c>
      <c r="F37" s="2">
        <f>IF(D37=0,0,IF(ISNUMBER('Reference data'!D17),D37*'Reference data'!D17/1000000,"Unknown"))</f>
        <v>4.5e-06</v>
      </c>
      <c r="G37" s="5">
        <f>IF(ISNUMBER(E37),ROUND(E37*'Reference data'!$B$2,0),"Unknown")</f>
        <v>0.0</v>
      </c>
      <c r="H37" s="5">
        <f>IF(ISNUMBER(F37),ROUND(F37*'Reference data'!$B$2,0),"Unknown")</f>
        <v>0.0</v>
      </c>
    </row>
    <row r="38" spans="1:13" ht="24" customHeight="1">
      <c r="A38" t="s">
        <v>123</v>
      </c>
      <c r="B38">
        <v>2</v>
      </c>
      <c r="C38" t="s">
        <v>104</v>
      </c>
    </row>
    <row r="39" spans="1:13" s="4" customFormat="1" ht="24" customHeight="1">
      <c r="A39" s="4" t="s">
        <v>123</v>
      </c>
      <c r="B39" s="4">
        <v>2</v>
      </c>
      <c r="C39" s="4" t="s">
        <v>105</v>
      </c>
      <c r="D39" s="4">
        <v>19</v>
      </c>
    </row>
    <row r="40" spans="1:13" ht="24" customHeight="1">
      <c r="A40" t="s">
        <v>123</v>
      </c>
      <c r="B40">
        <v>2</v>
      </c>
      <c r="C40" t="s">
        <v>106</v>
      </c>
      <c r="D40" s="5">
        <v>19</v>
      </c>
      <c r="E40" s="2">
        <f>IF(AND(ISNUMBER(F40),ISNUMBER('Reference data'!$B$3)),F40*'Reference data'!$B$3,"Unknown")</f>
        <v>1.9890036e-05</v>
      </c>
      <c r="F40" s="2">
        <f>IF(D40=0,0,IF(ISNUMBER('Reference data'!E17),D40*'Reference data'!E17/1000000,"Unknown"))</f>
        <v>2.28e-05</v>
      </c>
      <c r="G40" s="5">
        <f>IF(ISNUMBER(E40),ROUND(E40*'Reference data'!$B$2,0),"Unknown")</f>
        <v>2.0</v>
      </c>
      <c r="H40" s="5">
        <f>IF(ISNUMBER(F40),ROUND(F40*'Reference data'!$B$2,0),"Unknown")</f>
        <v>2.0</v>
      </c>
    </row>
    <row r="41" spans="1:13" ht="73" customHeight="1">
      <c r="A41" t="s">
        <v>123</v>
      </c>
      <c r="B41">
        <v>2</v>
      </c>
      <c r="C41" t="s">
        <v>107</v>
      </c>
      <c r="I41" s="6" t="s">
        <v>126</v>
      </c>
    </row>
    <row r="42" spans="1:13" ht="24" customHeight="1">
      <c r="A42" t="s">
        <v>123</v>
      </c>
      <c r="B42">
        <v>2</v>
      </c>
      <c r="C42" t="s">
        <v>103</v>
      </c>
    </row>
    <row r="43" spans="1:13" ht="24" customHeight="1">
      <c r="A43" t="s">
        <v>123</v>
      </c>
      <c r="B43">
        <v>2</v>
      </c>
      <c r="C43" t="s">
        <v>104</v>
      </c>
    </row>
    <row r="44" spans="1:13" s="4" customFormat="1" ht="24" customHeight="1">
      <c r="A44" s="4" t="s">
        <v>123</v>
      </c>
      <c r="B44" s="4">
        <v>2</v>
      </c>
      <c r="C44" s="4" t="s">
        <v>109</v>
      </c>
      <c r="E44" s="2">
        <f>IF(COUNT('Turns'!E34,'Turns'!E35,'Turns'!E37,'Turns'!E40)=4,SUM('Turns'!E34,'Turns'!E35,'Turns'!E37,'Turns'!E40),"Unknown")</f>
        <v>6.0542478e-05</v>
      </c>
      <c r="F44" s="2">
        <f>IF(COUNT('Turns'!F34,'Turns'!F35,'Turns'!F37,'Turns'!F40)=4,SUM('Turns'!F34,'Turns'!F35,'Turns'!F37,'Turns'!F40),"Unknown")</f>
        <v>6.94e-05</v>
      </c>
      <c r="G44" s="5">
        <f>IF(ISNUMBER(E44),ROUND(E44*'Reference data'!$B$2,0),"Unknown")</f>
        <v>6.0</v>
      </c>
      <c r="H44" s="5">
        <f>IF(ISNUMBER(F44),ROUND(F44*'Reference data'!$B$2,0),"Unknown")</f>
        <v>7.0</v>
      </c>
      <c r="K44" s="4" t="s">
        <v>110</v>
      </c>
    </row>
    <row r="45" spans="1:13" s="4" customFormat="1" ht="24" customHeight="1">
      <c r="B45" s="4">
        <v>2</v>
      </c>
      <c r="C45" s="4" t="s">
        <v>111</v>
      </c>
      <c r="K45" s="4" t="s">
        <v>110</v>
      </c>
      <c r="M45" s="4" t="s">
        <v>127</v>
      </c>
    </row>
    <row r="46" spans="1:13" ht="24" customHeight="1">
      <c r="B46">
        <v>2</v>
      </c>
      <c r="C46" t="s">
        <v>113</v>
      </c>
      <c r="I46" s="6" t="s">
        <v>128</v>
      </c>
    </row>
    <row r="47" spans="1:13" ht="24" customHeight="1">
      <c r="B47">
        <v>2</v>
      </c>
      <c r="C47" t="s">
        <v>115</v>
      </c>
      <c r="I47" s="6" t="s">
        <v>129</v>
      </c>
    </row>
    <row r="48" spans="1:13" s="4" customFormat="1" ht="24" customHeight="1">
      <c r="A48" s="4" t="s">
        <v>130</v>
      </c>
      <c r="B48" s="4">
        <v>2</v>
      </c>
      <c r="C48" s="4" t="s">
        <v>94</v>
      </c>
      <c r="D48" s="4">
        <v>2132</v>
      </c>
      <c r="J48" s="4" t="s">
        <v>95</v>
      </c>
      <c r="M48" s="4" t="s">
        <v>131</v>
      </c>
    </row>
    <row r="49" spans="1:11" ht="24" customHeight="1">
      <c r="A49" t="s">
        <v>130</v>
      </c>
      <c r="B49">
        <v>2</v>
      </c>
      <c r="C49" t="s">
        <v>119</v>
      </c>
      <c r="D49" s="5">
        <v>2093</v>
      </c>
      <c r="E49" s="2">
        <f>IF(AND(ISNUMBER(F49),ISNUMBER('Reference data'!$B$3)),F49*'Reference data'!$B$3,"Unknown")</f>
        <v>3.65174082e-05</v>
      </c>
      <c r="F49" s="2">
        <f>IF(D49=0,0,IF(ISNUMBER('Reference data'!C17),D49*'Reference data'!C17/1000000,"Unknown"))</f>
        <v>4.186e-05</v>
      </c>
      <c r="G49" s="5">
        <f>IF(ISNUMBER(E49),ROUND(E49*'Reference data'!$B$2,0),"Unknown")</f>
        <v>4.0</v>
      </c>
      <c r="H49" s="5">
        <f>IF(ISNUMBER(F49),ROUND(F49*'Reference data'!$B$2,0),"Unknown")</f>
        <v>4.0</v>
      </c>
    </row>
    <row r="50" spans="1:11" ht="24" customHeight="1">
      <c r="A50" t="s">
        <v>130</v>
      </c>
      <c r="B50">
        <v>2</v>
      </c>
      <c r="C50" t="s">
        <v>97</v>
      </c>
      <c r="D50" s="5">
        <v>3</v>
      </c>
      <c r="E50" s="2">
        <f>IF(AND(ISNUMBER(F50),ISNUMBER('Reference data'!$B$3)),F50*'Reference data'!$B$3,"Unknown")</f>
        <v>5.23422e-07</v>
      </c>
      <c r="F50" s="2">
        <f>IF(D50=0,0,IF(ISNUMBER('Reference data'!B17),D50*'Reference data'!B17/1000000,"Unknown"))</f>
        <v>6e-07</v>
      </c>
      <c r="G50" s="5">
        <f>IF(ISNUMBER(E50),ROUND(E50*'Reference data'!$B$2,0),"Unknown")</f>
        <v>0.0</v>
      </c>
      <c r="H50" s="5">
        <f>IF(ISNUMBER(F50),ROUND(F50*'Reference data'!$B$2,0),"Unknown")</f>
        <v>0.0</v>
      </c>
    </row>
    <row r="51" spans="1:11" ht="24" customHeight="1">
      <c r="A51" t="s">
        <v>130</v>
      </c>
      <c r="B51">
        <v>2</v>
      </c>
      <c r="C51" t="s">
        <v>120</v>
      </c>
      <c r="I51" s="6" t="s">
        <v>129</v>
      </c>
    </row>
    <row r="52" spans="1:11" ht="24" customHeight="1">
      <c r="A52" t="s">
        <v>130</v>
      </c>
      <c r="B52">
        <v>2</v>
      </c>
      <c r="C52" t="s">
        <v>103</v>
      </c>
      <c r="D52" s="5">
        <v>36</v>
      </c>
      <c r="E52" s="2">
        <f>IF(AND(ISNUMBER(F52),ISNUMBER('Reference data'!$B$3)),F52*'Reference data'!$B$3,"Unknown")</f>
        <v>7.85133e-06</v>
      </c>
      <c r="F52" s="2">
        <f>IF(D52=0,0,IF(ISNUMBER('Reference data'!D17),D52*'Reference data'!D17/1000000,"Unknown"))</f>
        <v>9e-06</v>
      </c>
      <c r="G52" s="5">
        <f>IF(ISNUMBER(E52),ROUND(E52*'Reference data'!$B$2,0),"Unknown")</f>
        <v>1.0</v>
      </c>
      <c r="H52" s="5">
        <f>IF(ISNUMBER(F52),ROUND(F52*'Reference data'!$B$2,0),"Unknown")</f>
        <v>1.0</v>
      </c>
    </row>
    <row r="53" spans="1:11" ht="24" customHeight="1">
      <c r="A53" t="s">
        <v>130</v>
      </c>
      <c r="B53">
        <v>2</v>
      </c>
      <c r="C53" t="s">
        <v>104</v>
      </c>
    </row>
    <row r="54" spans="1:11" s="4" customFormat="1" ht="24" customHeight="1">
      <c r="A54" s="4" t="s">
        <v>130</v>
      </c>
      <c r="B54" s="4">
        <v>2</v>
      </c>
      <c r="C54" s="4" t="s">
        <v>105</v>
      </c>
      <c r="D54" s="4">
        <v>6</v>
      </c>
    </row>
    <row r="55" spans="1:11" ht="24" customHeight="1">
      <c r="A55" t="s">
        <v>130</v>
      </c>
      <c r="B55">
        <v>2</v>
      </c>
      <c r="C55" t="s">
        <v>106</v>
      </c>
      <c r="D55" s="5">
        <v>6</v>
      </c>
      <c r="E55" s="2">
        <f>IF(AND(ISNUMBER(F55),ISNUMBER('Reference data'!$B$3)),F55*'Reference data'!$B$3,"Unknown")</f>
        <v>6.281064e-06</v>
      </c>
      <c r="F55" s="2">
        <f>IF(D55=0,0,IF(ISNUMBER('Reference data'!E17),D55*'Reference data'!E17/1000000,"Unknown"))</f>
        <v>7.2e-06</v>
      </c>
      <c r="G55" s="5">
        <f>IF(ISNUMBER(E55),ROUND(E55*'Reference data'!$B$2,0),"Unknown")</f>
        <v>1.0</v>
      </c>
      <c r="H55" s="5">
        <f>IF(ISNUMBER(F55),ROUND(F55*'Reference data'!$B$2,0),"Unknown")</f>
        <v>1.0</v>
      </c>
    </row>
    <row r="56" spans="1:11" ht="34" customHeight="1">
      <c r="A56" t="s">
        <v>130</v>
      </c>
      <c r="B56">
        <v>2</v>
      </c>
      <c r="C56" t="s">
        <v>107</v>
      </c>
      <c r="I56" s="6" t="s">
        <v>132</v>
      </c>
    </row>
    <row r="57" spans="1:11" ht="24" customHeight="1">
      <c r="A57" t="s">
        <v>130</v>
      </c>
      <c r="B57">
        <v>2</v>
      </c>
      <c r="C57" t="s">
        <v>103</v>
      </c>
    </row>
    <row r="58" spans="1:11" ht="24" customHeight="1">
      <c r="A58" t="s">
        <v>130</v>
      </c>
      <c r="B58">
        <v>2</v>
      </c>
      <c r="C58" t="s">
        <v>104</v>
      </c>
    </row>
    <row r="59" spans="1:11" s="4" customFormat="1" ht="24" customHeight="1">
      <c r="A59" s="4" t="s">
        <v>130</v>
      </c>
      <c r="B59" s="4">
        <v>2</v>
      </c>
      <c r="C59" s="4" t="s">
        <v>109</v>
      </c>
      <c r="E59" s="2">
        <f>IF(COUNT('Turns'!E49,'Turns'!E50,'Turns'!E52,'Turns'!E55)=4,SUM('Turns'!E49,'Turns'!E50,'Turns'!E52,'Turns'!E55),"Unknown")</f>
        <v>5.11732242e-05</v>
      </c>
      <c r="F59" s="2">
        <f>IF(COUNT('Turns'!F49,'Turns'!F50,'Turns'!F52,'Turns'!F55)=4,SUM('Turns'!F49,'Turns'!F50,'Turns'!F52,'Turns'!F55),"Unknown")</f>
        <v>5.866e-05</v>
      </c>
      <c r="G59" s="5">
        <f>IF(ISNUMBER(E59),ROUND(E59*'Reference data'!$B$2,0),"Unknown")</f>
        <v>5.0</v>
      </c>
      <c r="H59" s="5">
        <f>IF(ISNUMBER(F59),ROUND(F59*'Reference data'!$B$2,0),"Unknown")</f>
        <v>6.0</v>
      </c>
      <c r="K59" s="4" t="s">
        <v>110</v>
      </c>
    </row>
  </sheetData>
  <conditionalFormatting sqref="A2:AE59">
    <cfRule type="expression" dxfId="0" priority="1">
      <formula>$K2="error"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73B70"/>
  </sheetPr>
  <dimension ref="A1:AE17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4" customHeight="1"/>
  <cols>
    <col min="1" max="1" width="48.7109375" customWidth="1"/>
    <col min="2" max="6" width="18.7109375" style="1" customWidth="1"/>
    <col min="7" max="7" width="62.7109375" customWidth="1"/>
    <col min="8" max="9" width="38.7109375" customWidth="1"/>
    <col min="10" max="31" width="18.7109375" style="1" customWidth="1"/>
  </cols>
  <sheetData>
    <row r="1" spans="1:31" ht="44" customHeight="1">
      <c r="A1" s="3" t="s">
        <v>13</v>
      </c>
      <c r="B1" s="3" t="s">
        <v>14</v>
      </c>
      <c r="C1" s="3" t="s">
        <v>15</v>
      </c>
      <c r="D1" s="3" t="s">
        <v>9</v>
      </c>
      <c r="E1" s="3" t="s">
        <v>10</v>
      </c>
      <c r="F1" s="3" t="s">
        <v>16</v>
      </c>
      <c r="G1" s="3" t="s">
        <v>17</v>
      </c>
      <c r="H1" s="3" t="s">
        <v>12</v>
      </c>
      <c r="I1" s="3" t="s">
        <v>18</v>
      </c>
      <c r="J1" s="3" t="s">
        <v>19</v>
      </c>
      <c r="K1" s="3" t="s">
        <v>20</v>
      </c>
      <c r="L1" s="3" t="s">
        <v>21</v>
      </c>
      <c r="M1" s="3" t="s">
        <v>22</v>
      </c>
      <c r="N1" s="3" t="s">
        <v>23</v>
      </c>
      <c r="O1" s="3" t="s">
        <v>24</v>
      </c>
      <c r="P1" s="3" t="s">
        <v>25</v>
      </c>
      <c r="Q1" s="3" t="s">
        <v>26</v>
      </c>
      <c r="R1" s="3" t="s">
        <v>27</v>
      </c>
      <c r="S1" s="3" t="s">
        <v>28</v>
      </c>
      <c r="T1" s="3" t="s">
        <v>29</v>
      </c>
      <c r="U1" s="3" t="s">
        <v>30</v>
      </c>
      <c r="V1" s="3" t="s">
        <v>31</v>
      </c>
      <c r="W1" s="3" t="s">
        <v>32</v>
      </c>
      <c r="X1" s="3" t="s">
        <v>33</v>
      </c>
      <c r="Y1" s="3" t="s">
        <v>34</v>
      </c>
      <c r="Z1" s="3" t="s">
        <v>35</v>
      </c>
      <c r="AA1" s="3" t="s">
        <v>6</v>
      </c>
      <c r="AB1" s="3" t="s">
        <v>7</v>
      </c>
      <c r="AC1" s="3" t="s">
        <v>0</v>
      </c>
      <c r="AD1" s="3" t="s">
        <v>36</v>
      </c>
      <c r="AE1" s="3" t="s">
        <v>37</v>
      </c>
    </row>
    <row r="2" spans="1:31" ht="54" customHeight="1">
      <c r="A2" s="6" t="s">
        <v>133</v>
      </c>
      <c r="B2" s="1">
        <v>0</v>
      </c>
      <c r="C2" s="1" t="s">
        <v>134</v>
      </c>
      <c r="D2" s="1" t="s">
        <v>47</v>
      </c>
      <c r="E2" s="1" t="s">
        <v>110</v>
      </c>
      <c r="G2" s="6" t="s">
        <v>135</v>
      </c>
      <c r="H2" t="s">
        <v>49</v>
      </c>
      <c r="J2" s="2">
        <f>IF(COUNT('Turns'!D5,'Turns'!D22)=2,SUM('Turns'!D5,'Turns'!D22),"Unknown")</f>
        <v>6.0</v>
      </c>
      <c r="K2" s="2">
        <f>IF(COUNT('Turns'!E5,'Turns'!E22)=2,SUM('Turns'!E5,'Turns'!E22),"Unknown")</f>
        <v>1.046844e-06</v>
      </c>
      <c r="L2" s="2">
        <f>IF(COUNT('Turns'!F5,'Turns'!F22)=2,SUM('Turns'!F5,'Turns'!F22),"Unknown")</f>
        <v>1.2e-06</v>
      </c>
      <c r="M2" s="2">
        <f>IF(COUNT('Turns'!D21)=1,SUM('Turns'!D21),"Unknown")</f>
        <v>2039.0</v>
      </c>
      <c r="N2" s="2">
        <f>IF(COUNT('Turns'!E21)=1,SUM('Turns'!E21),"Unknown")</f>
        <v>3.55752486e-05</v>
      </c>
      <c r="O2" s="2">
        <f>IF(COUNT('Turns'!F21)=1,SUM('Turns'!F21),"Unknown")</f>
        <v>4.078e-05</v>
      </c>
      <c r="P2" s="2">
        <f>IF(COUNT('Turns'!D9,'Turns'!D24)=2,SUM('Turns'!D9,'Turns'!D24),"Unknown")</f>
        <v>2075.0</v>
      </c>
      <c r="Q2" s="2">
        <f>IF(COUNT('Turns'!E9,'Turns'!E24)=2,SUM('Turns'!E9,'Turns'!E24),"Unknown")</f>
        <v>0.0004525419375</v>
      </c>
      <c r="R2" s="2">
        <f>IF(COUNT('Turns'!F9,'Turns'!F24)=2,SUM('Turns'!F9,'Turns'!F24),"Unknown")</f>
        <v>0.00051875</v>
      </c>
      <c r="S2" s="2">
        <f>IF(COUNT('Turns'!D12,'Turns'!D27)=2,SUM('Turns'!D12,'Turns'!D27),"Unknown")</f>
        <v>25.0</v>
      </c>
      <c r="T2" s="2">
        <f>IF(COUNT('Turns'!E12,'Turns'!E27)=2,SUM('Turns'!E12,'Turns'!E27),"Unknown")</f>
        <v>2.61711e-05</v>
      </c>
      <c r="U2" s="2">
        <f>IF(COUNT('Turns'!F12,'Turns'!F27)=2,SUM('Turns'!F12,'Turns'!F27),"Unknown")</f>
        <v>3e-05</v>
      </c>
      <c r="V2" s="2">
        <v>0</v>
      </c>
      <c r="W2" s="2">
        <v>0</v>
      </c>
      <c r="X2" s="2">
        <v>0</v>
      </c>
      <c r="Y2" s="2">
        <f>IF(COUNT('Turns'!E16,'Turns'!E31)=2,SUM('Turns'!E16,'Turns'!E31),"Unknown")</f>
        <v>0.0005153351301</v>
      </c>
      <c r="Z2" s="2">
        <f>IF(COUNT('Turns'!F16,'Turns'!F31)=2,SUM('Turns'!F16,'Turns'!F31),"Unknown")</f>
        <v>0.00059073</v>
      </c>
      <c r="AA2" s="5">
        <f>IF(ISNUMBER(Y2),ROUND(Y2*'Reference data'!$B$2,0),"Unknown")</f>
        <v>52.0</v>
      </c>
      <c r="AB2" s="5">
        <f>IF(ISNUMBER(Z2),ROUND(Z2*'Reference data'!$B$2,0),"Unknown")</f>
        <v>59.0</v>
      </c>
      <c r="AD2" s="1">
        <v>2500.339</v>
      </c>
      <c r="AE2" s="1" t="s">
        <v>136</v>
      </c>
    </row>
    <row r="3" spans="1:31" ht="54" customHeight="1">
      <c r="A3" s="6" t="s">
        <v>137</v>
      </c>
      <c r="B3" s="1">
        <v>1</v>
      </c>
      <c r="C3" s="1" t="s">
        <v>134</v>
      </c>
      <c r="D3" s="1" t="s">
        <v>47</v>
      </c>
      <c r="E3" s="1" t="s">
        <v>110</v>
      </c>
      <c r="G3" s="6" t="s">
        <v>138</v>
      </c>
      <c r="H3" t="s">
        <v>139</v>
      </c>
      <c r="I3" t="s">
        <v>49</v>
      </c>
      <c r="AD3" s="1">
        <v>0.381</v>
      </c>
      <c r="AE3" s="1" t="s">
        <v>140</v>
      </c>
    </row>
    <row r="4" spans="1:31" ht="54" customHeight="1">
      <c r="A4" s="6" t="s">
        <v>141</v>
      </c>
      <c r="B4" s="1">
        <v>1</v>
      </c>
      <c r="C4" s="1" t="s">
        <v>134</v>
      </c>
      <c r="D4" s="1" t="s">
        <v>47</v>
      </c>
      <c r="E4" s="1" t="s">
        <v>110</v>
      </c>
      <c r="G4" s="6" t="s">
        <v>142</v>
      </c>
      <c r="H4" t="s">
        <v>143</v>
      </c>
      <c r="I4" t="s">
        <v>49</v>
      </c>
      <c r="J4" s="2">
        <f>IF(COUNT('Turns'!D5)=1,SUM('Turns'!D5),"Unknown")</f>
        <v>3.0</v>
      </c>
      <c r="K4" s="2">
        <f>IF(COUNT('Turns'!E5)=1,SUM('Turns'!E5),"Unknown")</f>
        <v>5.23422e-07</v>
      </c>
      <c r="L4" s="2">
        <f>IF(COUNT('Turns'!F5)=1,SUM('Turns'!F5),"Unknown")</f>
        <v>6e-07</v>
      </c>
      <c r="M4" s="2">
        <v>0</v>
      </c>
      <c r="N4" s="2">
        <v>0</v>
      </c>
      <c r="O4" s="2">
        <v>0</v>
      </c>
      <c r="P4" s="2">
        <f>IF(COUNT('Turns'!D9)=1,SUM('Turns'!D9),"Unknown")</f>
        <v>2039.0</v>
      </c>
      <c r="Q4" s="2">
        <f>IF(COUNT('Turns'!E9)=1,SUM('Turns'!E9),"Unknown")</f>
        <v>0.0004446906075</v>
      </c>
      <c r="R4" s="2">
        <f>IF(COUNT('Turns'!F9)=1,SUM('Turns'!F9),"Unknown")</f>
        <v>0.00050975</v>
      </c>
      <c r="S4" s="2">
        <f>IF(COUNT('Turns'!D12)=1,SUM('Turns'!D12),"Unknown")</f>
        <v>19.0</v>
      </c>
      <c r="T4" s="2">
        <f>IF(COUNT('Turns'!E12)=1,SUM('Turns'!E12),"Unknown")</f>
        <v>1.9890036e-05</v>
      </c>
      <c r="U4" s="2">
        <f>IF(COUNT('Turns'!F12)=1,SUM('Turns'!F12),"Unknown")</f>
        <v>2.28e-05</v>
      </c>
      <c r="V4" s="2">
        <v>0</v>
      </c>
      <c r="W4" s="2">
        <v>0</v>
      </c>
      <c r="X4" s="2">
        <v>0</v>
      </c>
      <c r="Y4" s="2">
        <f>IF(COUNT('Turns'!E16)=1,SUM('Turns'!E16),"Unknown")</f>
        <v>0.0004651040655</v>
      </c>
      <c r="Z4" s="2">
        <f>IF(COUNT('Turns'!F16)=1,SUM('Turns'!F16),"Unknown")</f>
        <v>0.00053315</v>
      </c>
      <c r="AA4" s="5">
        <f>IF(ISNUMBER(Y4),ROUND(Y4*'Reference data'!$B$2,0),"Unknown")</f>
        <v>47.0</v>
      </c>
      <c r="AB4" s="5">
        <f>IF(ISNUMBER(Z4),ROUND(Z4*'Reference data'!$B$2,0),"Unknown")</f>
        <v>53.0</v>
      </c>
      <c r="AD4" s="1">
        <v>1264.32</v>
      </c>
      <c r="AE4" s="1" t="s">
        <v>136</v>
      </c>
    </row>
    <row r="5" spans="1:31" ht="54" customHeight="1">
      <c r="A5" s="6" t="s">
        <v>144</v>
      </c>
      <c r="B5" s="1">
        <v>2</v>
      </c>
      <c r="C5" s="1" t="s">
        <v>145</v>
      </c>
      <c r="D5" s="1" t="s">
        <v>95</v>
      </c>
      <c r="E5" s="1" t="s">
        <v>110</v>
      </c>
      <c r="F5" s="1">
        <v>2042</v>
      </c>
      <c r="G5" s="6" t="s">
        <v>146</v>
      </c>
      <c r="H5" t="s">
        <v>96</v>
      </c>
      <c r="I5" t="s">
        <v>143</v>
      </c>
      <c r="J5" s="2">
        <f>IF(COUNT('Turns'!D5)=1,SUM('Turns'!D5),"Unknown")</f>
        <v>3.0</v>
      </c>
      <c r="K5" s="2">
        <f>IF(COUNT('Turns'!E5)=1,SUM('Turns'!E5),"Unknown")</f>
        <v>5.23422e-07</v>
      </c>
      <c r="L5" s="2">
        <f>IF(COUNT('Turns'!F5)=1,SUM('Turns'!F5),"Unknown")</f>
        <v>6e-07</v>
      </c>
      <c r="M5" s="2">
        <v>0</v>
      </c>
      <c r="N5" s="2">
        <v>0</v>
      </c>
      <c r="O5" s="2">
        <v>0</v>
      </c>
      <c r="P5" s="2">
        <f>IF(COUNT('Turns'!D9)=1,SUM('Turns'!D9),"Unknown")</f>
        <v>2039.0</v>
      </c>
      <c r="Q5" s="2">
        <f>IF(COUNT('Turns'!E9)=1,SUM('Turns'!E9),"Unknown")</f>
        <v>0.0004446906075</v>
      </c>
      <c r="R5" s="2">
        <f>IF(COUNT('Turns'!F9)=1,SUM('Turns'!F9),"Unknown")</f>
        <v>0.00050975</v>
      </c>
      <c r="S5" s="2">
        <f>IF(COUNT('Turns'!D12)=1,SUM('Turns'!D12),"Unknown")</f>
        <v>19.0</v>
      </c>
      <c r="T5" s="2">
        <f>IF(COUNT('Turns'!E12)=1,SUM('Turns'!E12),"Unknown")</f>
        <v>1.9890036e-05</v>
      </c>
      <c r="U5" s="2">
        <f>IF(COUNT('Turns'!F12)=1,SUM('Turns'!F12),"Unknown")</f>
        <v>2.28e-05</v>
      </c>
      <c r="V5" s="2">
        <v>0</v>
      </c>
      <c r="W5" s="2">
        <v>0</v>
      </c>
      <c r="X5" s="2">
        <v>0</v>
      </c>
      <c r="Y5" s="2">
        <f>IF(COUNT('Turns'!E16)=1,SUM('Turns'!E16),"Unknown")</f>
        <v>0.0004651040655</v>
      </c>
      <c r="Z5" s="2">
        <f>IF(COUNT('Turns'!F16)=1,SUM('Turns'!F16),"Unknown")</f>
        <v>0.00053315</v>
      </c>
      <c r="AA5" s="5">
        <f>IF(ISNUMBER(Y5),ROUND(Y5*'Reference data'!$B$2,0),"Unknown")</f>
        <v>47.0</v>
      </c>
      <c r="AB5" s="5">
        <f>IF(ISNUMBER(Z5),ROUND(Z5*'Reference data'!$B$2,0),"Unknown")</f>
        <v>53.0</v>
      </c>
      <c r="AC5" s="1" t="s">
        <v>93</v>
      </c>
      <c r="AD5" s="1">
        <v>1257.694</v>
      </c>
      <c r="AE5" s="1" t="s">
        <v>147</v>
      </c>
    </row>
    <row r="6" spans="1:31" ht="54" customHeight="1">
      <c r="A6" s="6" t="s">
        <v>148</v>
      </c>
      <c r="B6" s="1">
        <v>1</v>
      </c>
      <c r="C6" s="1" t="s">
        <v>134</v>
      </c>
      <c r="D6" s="1" t="s">
        <v>47</v>
      </c>
      <c r="E6" s="1" t="s">
        <v>110</v>
      </c>
      <c r="G6" s="6" t="s">
        <v>149</v>
      </c>
      <c r="H6" t="s">
        <v>150</v>
      </c>
      <c r="I6" t="s">
        <v>49</v>
      </c>
      <c r="AD6" s="1">
        <v>1.954</v>
      </c>
      <c r="AE6" s="1" t="s">
        <v>140</v>
      </c>
    </row>
    <row r="7" spans="1:31" ht="54" customHeight="1">
      <c r="A7" s="6" t="s">
        <v>151</v>
      </c>
      <c r="B7" s="1">
        <v>2</v>
      </c>
      <c r="C7" s="1" t="s">
        <v>152</v>
      </c>
      <c r="D7" s="1" t="s">
        <v>47</v>
      </c>
      <c r="E7" s="1" t="s">
        <v>110</v>
      </c>
      <c r="G7" s="6" t="s">
        <v>153</v>
      </c>
      <c r="H7" t="s">
        <v>112</v>
      </c>
      <c r="I7" t="s">
        <v>150</v>
      </c>
      <c r="AD7" s="1">
        <v>0.504</v>
      </c>
      <c r="AE7" s="1" t="s">
        <v>140</v>
      </c>
    </row>
    <row r="8" spans="1:31" ht="54" customHeight="1">
      <c r="A8" s="6" t="s">
        <v>141</v>
      </c>
      <c r="B8" s="1">
        <v>1</v>
      </c>
      <c r="C8" s="1" t="s">
        <v>134</v>
      </c>
      <c r="D8" s="1" t="s">
        <v>47</v>
      </c>
      <c r="E8" s="1" t="s">
        <v>110</v>
      </c>
      <c r="G8" s="6" t="s">
        <v>142</v>
      </c>
      <c r="H8" t="s">
        <v>154</v>
      </c>
      <c r="I8" t="s">
        <v>49</v>
      </c>
      <c r="J8" s="2">
        <f>IF(COUNT('Turns'!D22)=1,SUM('Turns'!D22),"Unknown")</f>
        <v>3.0</v>
      </c>
      <c r="K8" s="2">
        <f>IF(COUNT('Turns'!E22)=1,SUM('Turns'!E22),"Unknown")</f>
        <v>5.23422e-07</v>
      </c>
      <c r="L8" s="2">
        <f>IF(COUNT('Turns'!F22)=1,SUM('Turns'!F22),"Unknown")</f>
        <v>6e-07</v>
      </c>
      <c r="M8" s="2">
        <f>IF(COUNT('Turns'!D21)=1,SUM('Turns'!D21),"Unknown")</f>
        <v>2039.0</v>
      </c>
      <c r="N8" s="2">
        <f>IF(COUNT('Turns'!E21)=1,SUM('Turns'!E21),"Unknown")</f>
        <v>3.55752486e-05</v>
      </c>
      <c r="O8" s="2">
        <f>IF(COUNT('Turns'!F21)=1,SUM('Turns'!F21),"Unknown")</f>
        <v>4.078e-05</v>
      </c>
      <c r="P8" s="2">
        <f>IF(COUNT('Turns'!D24)=1,SUM('Turns'!D24),"Unknown")</f>
        <v>36.0</v>
      </c>
      <c r="Q8" s="2">
        <f>IF(COUNT('Turns'!E24)=1,SUM('Turns'!E24),"Unknown")</f>
        <v>7.85133e-06</v>
      </c>
      <c r="R8" s="2">
        <f>IF(COUNT('Turns'!F24)=1,SUM('Turns'!F24),"Unknown")</f>
        <v>9e-06</v>
      </c>
      <c r="S8" s="2">
        <f>IF(COUNT('Turns'!D27)=1,SUM('Turns'!D27),"Unknown")</f>
        <v>6.0</v>
      </c>
      <c r="T8" s="2">
        <f>IF(COUNT('Turns'!E27)=1,SUM('Turns'!E27),"Unknown")</f>
        <v>6.281064e-06</v>
      </c>
      <c r="U8" s="2">
        <f>IF(COUNT('Turns'!F27)=1,SUM('Turns'!F27),"Unknown")</f>
        <v>7.2e-06</v>
      </c>
      <c r="V8" s="2">
        <v>0</v>
      </c>
      <c r="W8" s="2">
        <v>0</v>
      </c>
      <c r="X8" s="2">
        <v>0</v>
      </c>
      <c r="Y8" s="2">
        <f>IF(COUNT('Turns'!E31)=1,SUM('Turns'!E31),"Unknown")</f>
        <v>5.02310646e-05</v>
      </c>
      <c r="Z8" s="2">
        <f>IF(COUNT('Turns'!F31)=1,SUM('Turns'!F31),"Unknown")</f>
        <v>5.758e-05</v>
      </c>
      <c r="AA8" s="5">
        <f>IF(ISNUMBER(Y8),ROUND(Y8*'Reference data'!$B$2,0),"Unknown")</f>
        <v>5.0</v>
      </c>
      <c r="AB8" s="5">
        <f>IF(ISNUMBER(Z8),ROUND(Z8*'Reference data'!$B$2,0),"Unknown")</f>
        <v>6.0</v>
      </c>
      <c r="AD8" s="1">
        <v>1229.084</v>
      </c>
      <c r="AE8" s="1" t="s">
        <v>136</v>
      </c>
    </row>
    <row r="9" spans="1:31" ht="54" customHeight="1">
      <c r="A9" s="6" t="s">
        <v>144</v>
      </c>
      <c r="B9" s="1">
        <v>2</v>
      </c>
      <c r="C9" s="1" t="s">
        <v>145</v>
      </c>
      <c r="D9" s="1" t="s">
        <v>95</v>
      </c>
      <c r="E9" s="1" t="s">
        <v>110</v>
      </c>
      <c r="F9" s="1">
        <v>2078</v>
      </c>
      <c r="G9" s="6" t="s">
        <v>146</v>
      </c>
      <c r="H9" t="s">
        <v>118</v>
      </c>
      <c r="I9" t="s">
        <v>154</v>
      </c>
      <c r="J9" s="2">
        <f>IF(COUNT('Turns'!D22)=1,SUM('Turns'!D22),"Unknown")</f>
        <v>3.0</v>
      </c>
      <c r="K9" s="2">
        <f>IF(COUNT('Turns'!E22)=1,SUM('Turns'!E22),"Unknown")</f>
        <v>5.23422e-07</v>
      </c>
      <c r="L9" s="2">
        <f>IF(COUNT('Turns'!F22)=1,SUM('Turns'!F22),"Unknown")</f>
        <v>6e-07</v>
      </c>
      <c r="M9" s="2">
        <f>IF(COUNT('Turns'!D21)=1,SUM('Turns'!D21),"Unknown")</f>
        <v>2039.0</v>
      </c>
      <c r="N9" s="2">
        <f>IF(COUNT('Turns'!E21)=1,SUM('Turns'!E21),"Unknown")</f>
        <v>3.55752486e-05</v>
      </c>
      <c r="O9" s="2">
        <f>IF(COUNT('Turns'!F21)=1,SUM('Turns'!F21),"Unknown")</f>
        <v>4.078e-05</v>
      </c>
      <c r="P9" s="2">
        <f>IF(COUNT('Turns'!D24)=1,SUM('Turns'!D24),"Unknown")</f>
        <v>36.0</v>
      </c>
      <c r="Q9" s="2">
        <f>IF(COUNT('Turns'!E24)=1,SUM('Turns'!E24),"Unknown")</f>
        <v>7.85133e-06</v>
      </c>
      <c r="R9" s="2">
        <f>IF(COUNT('Turns'!F24)=1,SUM('Turns'!F24),"Unknown")</f>
        <v>9e-06</v>
      </c>
      <c r="S9" s="2">
        <f>IF(COUNT('Turns'!D27)=1,SUM('Turns'!D27),"Unknown")</f>
        <v>6.0</v>
      </c>
      <c r="T9" s="2">
        <f>IF(COUNT('Turns'!E27)=1,SUM('Turns'!E27),"Unknown")</f>
        <v>6.281064e-06</v>
      </c>
      <c r="U9" s="2">
        <f>IF(COUNT('Turns'!F27)=1,SUM('Turns'!F27),"Unknown")</f>
        <v>7.2e-06</v>
      </c>
      <c r="V9" s="2">
        <v>0</v>
      </c>
      <c r="W9" s="2">
        <v>0</v>
      </c>
      <c r="X9" s="2">
        <v>0</v>
      </c>
      <c r="Y9" s="2">
        <f>IF(COUNT('Turns'!E31)=1,SUM('Turns'!E31),"Unknown")</f>
        <v>5.02310646e-05</v>
      </c>
      <c r="Z9" s="2">
        <f>IF(COUNT('Turns'!F31)=1,SUM('Turns'!F31),"Unknown")</f>
        <v>5.758e-05</v>
      </c>
      <c r="AA9" s="5">
        <f>IF(ISNUMBER(Y9),ROUND(Y9*'Reference data'!$B$2,0),"Unknown")</f>
        <v>5.0</v>
      </c>
      <c r="AB9" s="5">
        <f>IF(ISNUMBER(Z9),ROUND(Z9*'Reference data'!$B$2,0),"Unknown")</f>
        <v>6.0</v>
      </c>
      <c r="AC9" s="1" t="s">
        <v>117</v>
      </c>
      <c r="AD9" s="1">
        <v>1225.263</v>
      </c>
      <c r="AE9" s="1" t="s">
        <v>147</v>
      </c>
    </row>
    <row r="10" spans="1:31" ht="54" customHeight="1">
      <c r="A10" s="6" t="s">
        <v>133</v>
      </c>
      <c r="B10" s="1">
        <v>0</v>
      </c>
      <c r="C10" s="1" t="s">
        <v>134</v>
      </c>
      <c r="D10" s="1" t="s">
        <v>47</v>
      </c>
      <c r="E10" s="1" t="s">
        <v>110</v>
      </c>
      <c r="G10" s="6" t="s">
        <v>135</v>
      </c>
      <c r="H10" t="s">
        <v>155</v>
      </c>
      <c r="J10" s="2">
        <f>IF(COUNT('Turns'!D35,'Turns'!D50)=2,SUM('Turns'!D35,'Turns'!D50),"Unknown")</f>
        <v>6.0</v>
      </c>
      <c r="K10" s="2">
        <f>IF(COUNT('Turns'!E35,'Turns'!E50)=2,SUM('Turns'!E35,'Turns'!E50),"Unknown")</f>
        <v>1.046844e-06</v>
      </c>
      <c r="L10" s="2">
        <f>IF(COUNT('Turns'!F35,'Turns'!F50)=2,SUM('Turns'!F35,'Turns'!F50),"Unknown")</f>
        <v>1.2e-06</v>
      </c>
      <c r="M10" s="2">
        <f>IF(COUNT('Turns'!D34,'Turns'!D49)=2,SUM('Turns'!D34,'Turns'!D49),"Unknown")</f>
        <v>4168.0</v>
      </c>
      <c r="N10" s="2">
        <f>IF(COUNT('Turns'!E34,'Turns'!E49)=2,SUM('Turns'!E34,'Turns'!E49),"Unknown")</f>
        <v>7.27207632e-05</v>
      </c>
      <c r="O10" s="2">
        <f>IF(COUNT('Turns'!F34,'Turns'!F49)=2,SUM('Turns'!F34,'Turns'!F49),"Unknown")</f>
        <v>8.336e-05</v>
      </c>
      <c r="P10" s="2">
        <f>IF(COUNT('Turns'!D37,'Turns'!D52)=2,SUM('Turns'!D37,'Turns'!D52),"Unknown")</f>
        <v>54.0</v>
      </c>
      <c r="Q10" s="2">
        <f>IF(COUNT('Turns'!E37,'Turns'!E52)=2,SUM('Turns'!E37,'Turns'!E52),"Unknown")</f>
        <v>1.1776995e-05</v>
      </c>
      <c r="R10" s="2">
        <f>IF(COUNT('Turns'!F37,'Turns'!F52)=2,SUM('Turns'!F37,'Turns'!F52),"Unknown")</f>
        <v>1.35e-05</v>
      </c>
      <c r="S10" s="2">
        <f>IF(COUNT('Turns'!D40,'Turns'!D55)=2,SUM('Turns'!D40,'Turns'!D55),"Unknown")</f>
        <v>25.0</v>
      </c>
      <c r="T10" s="2">
        <f>IF(COUNT('Turns'!E40,'Turns'!E55)=2,SUM('Turns'!E40,'Turns'!E55),"Unknown")</f>
        <v>2.61711e-05</v>
      </c>
      <c r="U10" s="2">
        <f>IF(COUNT('Turns'!F40,'Turns'!F55)=2,SUM('Turns'!F40,'Turns'!F55),"Unknown")</f>
        <v>3e-05</v>
      </c>
      <c r="V10" s="2">
        <v>0</v>
      </c>
      <c r="W10" s="2">
        <v>0</v>
      </c>
      <c r="X10" s="2">
        <v>0</v>
      </c>
      <c r="Y10" s="2">
        <f>IF(COUNT('Turns'!E44,'Turns'!E59)=2,SUM('Turns'!E44,'Turns'!E59),"Unknown")</f>
        <v>0.0001117157022</v>
      </c>
      <c r="Z10" s="2">
        <f>IF(COUNT('Turns'!F44,'Turns'!F59)=2,SUM('Turns'!F44,'Turns'!F59),"Unknown")</f>
        <v>0.00012806</v>
      </c>
      <c r="AA10" s="5">
        <f>IF(ISNUMBER(Y10),ROUND(Y10*'Reference data'!$B$2,0),"Unknown")</f>
        <v>11.0</v>
      </c>
      <c r="AB10" s="5">
        <f>IF(ISNUMBER(Z10),ROUND(Z10*'Reference data'!$B$2,0),"Unknown")</f>
        <v>13.0</v>
      </c>
      <c r="AD10" s="1">
        <v>2136.051</v>
      </c>
      <c r="AE10" s="1" t="s">
        <v>136</v>
      </c>
    </row>
    <row r="11" spans="1:31" ht="54" customHeight="1">
      <c r="A11" s="6" t="s">
        <v>137</v>
      </c>
      <c r="B11" s="1">
        <v>1</v>
      </c>
      <c r="C11" s="1" t="s">
        <v>134</v>
      </c>
      <c r="D11" s="1" t="s">
        <v>47</v>
      </c>
      <c r="E11" s="1" t="s">
        <v>110</v>
      </c>
      <c r="G11" s="6" t="s">
        <v>138</v>
      </c>
      <c r="H11" t="s">
        <v>156</v>
      </c>
      <c r="I11" t="s">
        <v>155</v>
      </c>
      <c r="AD11" s="1">
        <v>0.399</v>
      </c>
      <c r="AE11" s="1" t="s">
        <v>140</v>
      </c>
    </row>
    <row r="12" spans="1:31" ht="54" customHeight="1">
      <c r="A12" s="6" t="s">
        <v>141</v>
      </c>
      <c r="B12" s="1">
        <v>1</v>
      </c>
      <c r="C12" s="1" t="s">
        <v>134</v>
      </c>
      <c r="D12" s="1" t="s">
        <v>47</v>
      </c>
      <c r="E12" s="1" t="s">
        <v>110</v>
      </c>
      <c r="G12" s="6" t="s">
        <v>142</v>
      </c>
      <c r="H12" t="s">
        <v>157</v>
      </c>
      <c r="I12" t="s">
        <v>155</v>
      </c>
      <c r="J12" s="2">
        <f>IF(COUNT('Turns'!D35)=1,SUM('Turns'!D35),"Unknown")</f>
        <v>3.0</v>
      </c>
      <c r="K12" s="2">
        <f>IF(COUNT('Turns'!E35)=1,SUM('Turns'!E35),"Unknown")</f>
        <v>5.23422e-07</v>
      </c>
      <c r="L12" s="2">
        <f>IF(COUNT('Turns'!F35)=1,SUM('Turns'!F35),"Unknown")</f>
        <v>6e-07</v>
      </c>
      <c r="M12" s="2">
        <f>IF(COUNT('Turns'!D34)=1,SUM('Turns'!D34),"Unknown")</f>
        <v>2075.0</v>
      </c>
      <c r="N12" s="2">
        <f>IF(COUNT('Turns'!E34)=1,SUM('Turns'!E34),"Unknown")</f>
        <v>3.6203355e-05</v>
      </c>
      <c r="O12" s="2">
        <f>IF(COUNT('Turns'!F34)=1,SUM('Turns'!F34),"Unknown")</f>
        <v>4.15e-05</v>
      </c>
      <c r="P12" s="2">
        <f>IF(COUNT('Turns'!D37)=1,SUM('Turns'!D37),"Unknown")</f>
        <v>18.0</v>
      </c>
      <c r="Q12" s="2">
        <f>IF(COUNT('Turns'!E37)=1,SUM('Turns'!E37),"Unknown")</f>
        <v>3.925665e-06</v>
      </c>
      <c r="R12" s="2">
        <f>IF(COUNT('Turns'!F37)=1,SUM('Turns'!F37),"Unknown")</f>
        <v>4.5e-06</v>
      </c>
      <c r="S12" s="2">
        <f>IF(COUNT('Turns'!D40)=1,SUM('Turns'!D40),"Unknown")</f>
        <v>19.0</v>
      </c>
      <c r="T12" s="2">
        <f>IF(COUNT('Turns'!E40)=1,SUM('Turns'!E40),"Unknown")</f>
        <v>1.9890036e-05</v>
      </c>
      <c r="U12" s="2">
        <f>IF(COUNT('Turns'!F40)=1,SUM('Turns'!F40),"Unknown")</f>
        <v>2.28e-05</v>
      </c>
      <c r="V12" s="2">
        <v>0</v>
      </c>
      <c r="W12" s="2">
        <v>0</v>
      </c>
      <c r="X12" s="2">
        <v>0</v>
      </c>
      <c r="Y12" s="2">
        <f>IF(COUNT('Turns'!E44)=1,SUM('Turns'!E44),"Unknown")</f>
        <v>6.0542478e-05</v>
      </c>
      <c r="Z12" s="2">
        <f>IF(COUNT('Turns'!F44)=1,SUM('Turns'!F44),"Unknown")</f>
        <v>6.94e-05</v>
      </c>
      <c r="AA12" s="5">
        <f>IF(ISNUMBER(Y12),ROUND(Y12*'Reference data'!$B$2,0),"Unknown")</f>
        <v>6.0</v>
      </c>
      <c r="AB12" s="5">
        <f>IF(ISNUMBER(Z12),ROUND(Z12*'Reference data'!$B$2,0),"Unknown")</f>
        <v>7.0</v>
      </c>
      <c r="AD12" s="1">
        <v>1015.11</v>
      </c>
      <c r="AE12" s="1" t="s">
        <v>136</v>
      </c>
    </row>
    <row r="13" spans="1:31" ht="54" customHeight="1">
      <c r="A13" s="6" t="s">
        <v>144</v>
      </c>
      <c r="B13" s="1">
        <v>2</v>
      </c>
      <c r="C13" s="1" t="s">
        <v>145</v>
      </c>
      <c r="D13" s="1" t="s">
        <v>95</v>
      </c>
      <c r="E13" s="1" t="s">
        <v>110</v>
      </c>
      <c r="F13" s="1">
        <v>2096</v>
      </c>
      <c r="G13" s="6" t="s">
        <v>146</v>
      </c>
      <c r="H13" t="s">
        <v>124</v>
      </c>
      <c r="I13" t="s">
        <v>157</v>
      </c>
      <c r="J13" s="2">
        <f>IF(COUNT('Turns'!D35)=1,SUM('Turns'!D35),"Unknown")</f>
        <v>3.0</v>
      </c>
      <c r="K13" s="2">
        <f>IF(COUNT('Turns'!E35)=1,SUM('Turns'!E35),"Unknown")</f>
        <v>5.23422e-07</v>
      </c>
      <c r="L13" s="2">
        <f>IF(COUNT('Turns'!F35)=1,SUM('Turns'!F35),"Unknown")</f>
        <v>6e-07</v>
      </c>
      <c r="M13" s="2">
        <f>IF(COUNT('Turns'!D34)=1,SUM('Turns'!D34),"Unknown")</f>
        <v>2075.0</v>
      </c>
      <c r="N13" s="2">
        <f>IF(COUNT('Turns'!E34)=1,SUM('Turns'!E34),"Unknown")</f>
        <v>3.6203355e-05</v>
      </c>
      <c r="O13" s="2">
        <f>IF(COUNT('Turns'!F34)=1,SUM('Turns'!F34),"Unknown")</f>
        <v>4.15e-05</v>
      </c>
      <c r="P13" s="2">
        <f>IF(COUNT('Turns'!D37)=1,SUM('Turns'!D37),"Unknown")</f>
        <v>18.0</v>
      </c>
      <c r="Q13" s="2">
        <f>IF(COUNT('Turns'!E37)=1,SUM('Turns'!E37),"Unknown")</f>
        <v>3.925665e-06</v>
      </c>
      <c r="R13" s="2">
        <f>IF(COUNT('Turns'!F37)=1,SUM('Turns'!F37),"Unknown")</f>
        <v>4.5e-06</v>
      </c>
      <c r="S13" s="2">
        <f>IF(COUNT('Turns'!D40)=1,SUM('Turns'!D40),"Unknown")</f>
        <v>19.0</v>
      </c>
      <c r="T13" s="2">
        <f>IF(COUNT('Turns'!E40)=1,SUM('Turns'!E40),"Unknown")</f>
        <v>1.9890036e-05</v>
      </c>
      <c r="U13" s="2">
        <f>IF(COUNT('Turns'!F40)=1,SUM('Turns'!F40),"Unknown")</f>
        <v>2.28e-05</v>
      </c>
      <c r="V13" s="2">
        <v>0</v>
      </c>
      <c r="W13" s="2">
        <v>0</v>
      </c>
      <c r="X13" s="2">
        <v>0</v>
      </c>
      <c r="Y13" s="2">
        <f>IF(COUNT('Turns'!E44)=1,SUM('Turns'!E44),"Unknown")</f>
        <v>6.0542478e-05</v>
      </c>
      <c r="Z13" s="2">
        <f>IF(COUNT('Turns'!F44)=1,SUM('Turns'!F44),"Unknown")</f>
        <v>6.94e-05</v>
      </c>
      <c r="AA13" s="5">
        <f>IF(ISNUMBER(Y13),ROUND(Y13*'Reference data'!$B$2,0),"Unknown")</f>
        <v>6.0</v>
      </c>
      <c r="AB13" s="5">
        <f>IF(ISNUMBER(Z13),ROUND(Z13*'Reference data'!$B$2,0),"Unknown")</f>
        <v>7.0</v>
      </c>
      <c r="AC13" s="1" t="s">
        <v>123</v>
      </c>
      <c r="AD13" s="1">
        <v>1010.229</v>
      </c>
      <c r="AE13" s="1" t="s">
        <v>147</v>
      </c>
    </row>
    <row r="14" spans="1:31" ht="54" customHeight="1">
      <c r="A14" s="6" t="s">
        <v>148</v>
      </c>
      <c r="B14" s="1">
        <v>1</v>
      </c>
      <c r="C14" s="1" t="s">
        <v>134</v>
      </c>
      <c r="D14" s="1" t="s">
        <v>47</v>
      </c>
      <c r="E14" s="1" t="s">
        <v>110</v>
      </c>
      <c r="G14" s="6" t="s">
        <v>149</v>
      </c>
      <c r="H14" t="s">
        <v>158</v>
      </c>
      <c r="I14" t="s">
        <v>155</v>
      </c>
      <c r="AD14" s="1">
        <v>1.659</v>
      </c>
      <c r="AE14" s="1" t="s">
        <v>140</v>
      </c>
    </row>
    <row r="15" spans="1:31" ht="54" customHeight="1">
      <c r="A15" s="6" t="s">
        <v>151</v>
      </c>
      <c r="B15" s="1">
        <v>2</v>
      </c>
      <c r="C15" s="1" t="s">
        <v>152</v>
      </c>
      <c r="D15" s="1" t="s">
        <v>47</v>
      </c>
      <c r="E15" s="1" t="s">
        <v>110</v>
      </c>
      <c r="G15" s="6" t="s">
        <v>153</v>
      </c>
      <c r="H15" t="s">
        <v>127</v>
      </c>
      <c r="I15" t="s">
        <v>158</v>
      </c>
      <c r="AD15" s="1">
        <v>0.466</v>
      </c>
      <c r="AE15" s="1" t="s">
        <v>140</v>
      </c>
    </row>
    <row r="16" spans="1:31" ht="54" customHeight="1">
      <c r="A16" s="6" t="s">
        <v>141</v>
      </c>
      <c r="B16" s="1">
        <v>1</v>
      </c>
      <c r="C16" s="1" t="s">
        <v>134</v>
      </c>
      <c r="D16" s="1" t="s">
        <v>47</v>
      </c>
      <c r="E16" s="1" t="s">
        <v>110</v>
      </c>
      <c r="G16" s="6" t="s">
        <v>142</v>
      </c>
      <c r="H16" t="s">
        <v>159</v>
      </c>
      <c r="I16" t="s">
        <v>155</v>
      </c>
      <c r="J16" s="2">
        <f>IF(COUNT('Turns'!D50)=1,SUM('Turns'!D50),"Unknown")</f>
        <v>3.0</v>
      </c>
      <c r="K16" s="2">
        <f>IF(COUNT('Turns'!E50)=1,SUM('Turns'!E50),"Unknown")</f>
        <v>5.23422e-07</v>
      </c>
      <c r="L16" s="2">
        <f>IF(COUNT('Turns'!F50)=1,SUM('Turns'!F50),"Unknown")</f>
        <v>6e-07</v>
      </c>
      <c r="M16" s="2">
        <f>IF(COUNT('Turns'!D49)=1,SUM('Turns'!D49),"Unknown")</f>
        <v>2093.0</v>
      </c>
      <c r="N16" s="2">
        <f>IF(COUNT('Turns'!E49)=1,SUM('Turns'!E49),"Unknown")</f>
        <v>3.65174082e-05</v>
      </c>
      <c r="O16" s="2">
        <f>IF(COUNT('Turns'!F49)=1,SUM('Turns'!F49),"Unknown")</f>
        <v>4.186e-05</v>
      </c>
      <c r="P16" s="2">
        <f>IF(COUNT('Turns'!D52)=1,SUM('Turns'!D52),"Unknown")</f>
        <v>36.0</v>
      </c>
      <c r="Q16" s="2">
        <f>IF(COUNT('Turns'!E52)=1,SUM('Turns'!E52),"Unknown")</f>
        <v>7.85133e-06</v>
      </c>
      <c r="R16" s="2">
        <f>IF(COUNT('Turns'!F52)=1,SUM('Turns'!F52),"Unknown")</f>
        <v>9e-06</v>
      </c>
      <c r="S16" s="2">
        <f>IF(COUNT('Turns'!D55)=1,SUM('Turns'!D55),"Unknown")</f>
        <v>6.0</v>
      </c>
      <c r="T16" s="2">
        <f>IF(COUNT('Turns'!E55)=1,SUM('Turns'!E55),"Unknown")</f>
        <v>6.281064e-06</v>
      </c>
      <c r="U16" s="2">
        <f>IF(COUNT('Turns'!F55)=1,SUM('Turns'!F55),"Unknown")</f>
        <v>7.2e-06</v>
      </c>
      <c r="V16" s="2">
        <v>0</v>
      </c>
      <c r="W16" s="2">
        <v>0</v>
      </c>
      <c r="X16" s="2">
        <v>0</v>
      </c>
      <c r="Y16" s="2">
        <f>IF(COUNT('Turns'!E59)=1,SUM('Turns'!E59),"Unknown")</f>
        <v>5.11732242e-05</v>
      </c>
      <c r="Z16" s="2">
        <f>IF(COUNT('Turns'!F59)=1,SUM('Turns'!F59),"Unknown")</f>
        <v>5.866e-05</v>
      </c>
      <c r="AA16" s="5">
        <f>IF(ISNUMBER(Y16),ROUND(Y16*'Reference data'!$B$2,0),"Unknown")</f>
        <v>5.0</v>
      </c>
      <c r="AB16" s="5">
        <f>IF(ISNUMBER(Z16),ROUND(Z16*'Reference data'!$B$2,0),"Unknown")</f>
        <v>6.0</v>
      </c>
      <c r="AD16" s="1">
        <v>1114.33</v>
      </c>
      <c r="AE16" s="1" t="s">
        <v>136</v>
      </c>
    </row>
    <row r="17" spans="1:31" ht="54" customHeight="1">
      <c r="A17" s="6" t="s">
        <v>144</v>
      </c>
      <c r="B17" s="1">
        <v>2</v>
      </c>
      <c r="C17" s="1" t="s">
        <v>145</v>
      </c>
      <c r="D17" s="1" t="s">
        <v>95</v>
      </c>
      <c r="E17" s="1" t="s">
        <v>110</v>
      </c>
      <c r="F17" s="1">
        <v>2132</v>
      </c>
      <c r="G17" s="6" t="s">
        <v>146</v>
      </c>
      <c r="H17" t="s">
        <v>131</v>
      </c>
      <c r="I17" t="s">
        <v>159</v>
      </c>
      <c r="J17" s="2">
        <f>IF(COUNT('Turns'!D50)=1,SUM('Turns'!D50),"Unknown")</f>
        <v>3.0</v>
      </c>
      <c r="K17" s="2">
        <f>IF(COUNT('Turns'!E50)=1,SUM('Turns'!E50),"Unknown")</f>
        <v>5.23422e-07</v>
      </c>
      <c r="L17" s="2">
        <f>IF(COUNT('Turns'!F50)=1,SUM('Turns'!F50),"Unknown")</f>
        <v>6e-07</v>
      </c>
      <c r="M17" s="2">
        <f>IF(COUNT('Turns'!D49)=1,SUM('Turns'!D49),"Unknown")</f>
        <v>2093.0</v>
      </c>
      <c r="N17" s="2">
        <f>IF(COUNT('Turns'!E49)=1,SUM('Turns'!E49),"Unknown")</f>
        <v>3.65174082e-05</v>
      </c>
      <c r="O17" s="2">
        <f>IF(COUNT('Turns'!F49)=1,SUM('Turns'!F49),"Unknown")</f>
        <v>4.186e-05</v>
      </c>
      <c r="P17" s="2">
        <f>IF(COUNT('Turns'!D52)=1,SUM('Turns'!D52),"Unknown")</f>
        <v>36.0</v>
      </c>
      <c r="Q17" s="2">
        <f>IF(COUNT('Turns'!E52)=1,SUM('Turns'!E52),"Unknown")</f>
        <v>7.85133e-06</v>
      </c>
      <c r="R17" s="2">
        <f>IF(COUNT('Turns'!F52)=1,SUM('Turns'!F52),"Unknown")</f>
        <v>9e-06</v>
      </c>
      <c r="S17" s="2">
        <f>IF(COUNT('Turns'!D55)=1,SUM('Turns'!D55),"Unknown")</f>
        <v>6.0</v>
      </c>
      <c r="T17" s="2">
        <f>IF(COUNT('Turns'!E55)=1,SUM('Turns'!E55),"Unknown")</f>
        <v>6.281064e-06</v>
      </c>
      <c r="U17" s="2">
        <f>IF(COUNT('Turns'!F55)=1,SUM('Turns'!F55),"Unknown")</f>
        <v>7.2e-06</v>
      </c>
      <c r="V17" s="2">
        <v>0</v>
      </c>
      <c r="W17" s="2">
        <v>0</v>
      </c>
      <c r="X17" s="2">
        <v>0</v>
      </c>
      <c r="Y17" s="2">
        <f>IF(COUNT('Turns'!E59)=1,SUM('Turns'!E59),"Unknown")</f>
        <v>5.11732242e-05</v>
      </c>
      <c r="Z17" s="2">
        <f>IF(COUNT('Turns'!F59)=1,SUM('Turns'!F59),"Unknown")</f>
        <v>5.866e-05</v>
      </c>
      <c r="AA17" s="5">
        <f>IF(ISNUMBER(Y17),ROUND(Y17*'Reference data'!$B$2,0),"Unknown")</f>
        <v>5.0</v>
      </c>
      <c r="AB17" s="5">
        <f>IF(ISNUMBER(Z17),ROUND(Z17*'Reference data'!$B$2,0),"Unknown")</f>
        <v>6.0</v>
      </c>
      <c r="AC17" s="1" t="s">
        <v>130</v>
      </c>
      <c r="AD17" s="1">
        <v>1110.728</v>
      </c>
      <c r="AE17" s="1" t="s">
        <v>147</v>
      </c>
    </row>
  </sheetData>
  <conditionalFormatting sqref="A2:AE17">
    <cfRule type="expression" dxfId="0" priority="1">
      <formula>$E2="error"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173B70"/>
  </sheetPr>
  <dimension ref="A1:I22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4" customHeight="1"/>
  <cols>
    <col min="1" max="1" width="34.7109375" customWidth="1"/>
    <col min="2" max="2" width="52.7109375" customWidth="1"/>
    <col min="3" max="7" width="26.7109375" customWidth="1"/>
    <col min="8" max="8" width="65.7109375" customWidth="1"/>
    <col min="9" max="9" width="26.7109375" customWidth="1"/>
  </cols>
  <sheetData>
    <row r="1" spans="1:9" ht="44" customHeight="1">
      <c r="A1" s="3" t="s">
        <v>38</v>
      </c>
      <c r="B1" s="3" t="s">
        <v>39</v>
      </c>
      <c r="C1" s="3" t="s">
        <v>40</v>
      </c>
    </row>
    <row r="2" spans="1:9" ht="24" customHeight="1">
      <c r="A2" s="6" t="s">
        <v>41</v>
      </c>
      <c r="B2" s="7">
        <v>100000</v>
      </c>
      <c r="C2" s="6" t="s">
        <v>42</v>
      </c>
    </row>
    <row r="3" spans="1:9" ht="24" customHeight="1">
      <c r="A3" s="6" t="s">
        <v>43</v>
      </c>
      <c r="B3" s="2">
        <v>0.87237</v>
      </c>
      <c r="C3" s="6" t="s">
        <v>44</v>
      </c>
    </row>
    <row r="4" spans="1:9" ht="24" customHeight="1">
      <c r="A4" s="6" t="s">
        <v>45</v>
      </c>
      <c r="B4" s="6" t="s">
        <v>46</v>
      </c>
      <c r="C4" s="6" t="s">
        <v>47</v>
      </c>
    </row>
    <row r="5" spans="1:9" ht="24" customHeight="1">
      <c r="A5" s="6" t="s">
        <v>48</v>
      </c>
      <c r="B5" s="6" t="s">
        <v>49</v>
      </c>
      <c r="C5" s="6" t="s">
        <v>47</v>
      </c>
    </row>
    <row r="6" spans="1:9" ht="24" customHeight="1">
      <c r="A6" s="6" t="s">
        <v>50</v>
      </c>
      <c r="B6" s="6" t="s">
        <v>51</v>
      </c>
      <c r="C6" s="6" t="s">
        <v>47</v>
      </c>
    </row>
    <row r="7" spans="1:9" ht="24" customHeight="1">
      <c r="A7" s="6" t="s">
        <v>52</v>
      </c>
      <c r="B7" s="6" t="s">
        <v>53</v>
      </c>
      <c r="C7" s="6" t="s">
        <v>47</v>
      </c>
    </row>
    <row r="8" spans="1:9" ht="24" customHeight="1">
      <c r="A8" s="6" t="s">
        <v>54</v>
      </c>
      <c r="B8" s="6" t="s">
        <v>55</v>
      </c>
      <c r="C8" s="6" t="s">
        <v>56</v>
      </c>
    </row>
    <row r="9" spans="1:9" ht="24" customHeight="1">
      <c r="A9" s="6" t="s">
        <v>57</v>
      </c>
      <c r="B9" s="6" t="s">
        <v>58</v>
      </c>
      <c r="C9" s="6" t="s">
        <v>47</v>
      </c>
    </row>
    <row r="10" spans="1:9" ht="24" customHeight="1">
      <c r="A10" s="6" t="s">
        <v>59</v>
      </c>
      <c r="B10" s="6" t="s">
        <v>60</v>
      </c>
      <c r="C10" s="6" t="s">
        <v>47</v>
      </c>
    </row>
    <row r="11" spans="1:9" ht="24" customHeight="1">
      <c r="A11" s="6" t="s">
        <v>61</v>
      </c>
      <c r="B11" s="6" t="s">
        <v>62</v>
      </c>
      <c r="C11" s="6" t="s">
        <v>47</v>
      </c>
    </row>
    <row r="12" spans="1:9" ht="24" customHeight="1">
      <c r="A12" s="6" t="s">
        <v>63</v>
      </c>
      <c r="B12" s="6" t="s">
        <v>64</v>
      </c>
      <c r="C12" s="6" t="s">
        <v>47</v>
      </c>
    </row>
    <row r="13" spans="1:9" ht="24" customHeight="1">
      <c r="A13" s="6" t="s">
        <v>65</v>
      </c>
      <c r="B13" s="6" t="s">
        <v>66</v>
      </c>
      <c r="C13" s="6" t="s">
        <v>47</v>
      </c>
    </row>
    <row r="15" spans="1:9" ht="24" customHeight="1">
      <c r="A15" s="4" t="s">
        <v>67</v>
      </c>
      <c r="B15" s="4" t="s">
        <v>68</v>
      </c>
      <c r="C15" s="4" t="s">
        <v>69</v>
      </c>
      <c r="D15" s="4" t="s">
        <v>70</v>
      </c>
      <c r="E15" s="4" t="s">
        <v>71</v>
      </c>
      <c r="F15" s="4" t="s">
        <v>72</v>
      </c>
      <c r="G15" s="4" t="s">
        <v>73</v>
      </c>
      <c r="H15" s="4" t="s">
        <v>74</v>
      </c>
      <c r="I15" s="4" t="s">
        <v>75</v>
      </c>
    </row>
    <row r="16" spans="1:9" ht="72" customHeight="1">
      <c r="A16" s="6" t="s">
        <v>76</v>
      </c>
      <c r="B16" s="2">
        <v>5</v>
      </c>
      <c r="C16" s="2">
        <v>0.5</v>
      </c>
      <c r="D16" s="2" t="s">
        <v>77</v>
      </c>
      <c r="E16" s="2">
        <v>30</v>
      </c>
      <c r="F16" s="2">
        <v>30</v>
      </c>
      <c r="G16" s="6" t="s">
        <v>78</v>
      </c>
      <c r="H16" s="6" t="s">
        <v>79</v>
      </c>
      <c r="I16" s="6" t="s">
        <v>80</v>
      </c>
    </row>
    <row r="17" spans="1:9" ht="72" customHeight="1">
      <c r="A17" s="6" t="s">
        <v>81</v>
      </c>
      <c r="B17" s="2">
        <v>0.2</v>
      </c>
      <c r="C17" s="2">
        <v>0.02</v>
      </c>
      <c r="D17" s="2">
        <v>0.250</v>
      </c>
      <c r="E17" s="2">
        <v>1.2</v>
      </c>
      <c r="F17" s="2">
        <v>1.2</v>
      </c>
      <c r="G17" s="6" t="s">
        <v>78</v>
      </c>
      <c r="H17" s="6" t="s">
        <v>82</v>
      </c>
      <c r="I17" s="6" t="s">
        <v>80</v>
      </c>
    </row>
    <row r="18" spans="1:9" ht="72" customHeight="1">
      <c r="A18" s="6" t="s">
        <v>83</v>
      </c>
      <c r="B18" s="2">
        <v>4</v>
      </c>
      <c r="C18" s="2">
        <v>0.4</v>
      </c>
      <c r="D18" s="2">
        <v>5.00</v>
      </c>
      <c r="E18" s="2">
        <v>20</v>
      </c>
      <c r="F18" s="2">
        <v>20</v>
      </c>
      <c r="G18" s="6" t="s">
        <v>78</v>
      </c>
      <c r="H18" s="6" t="s">
        <v>84</v>
      </c>
      <c r="I18" s="6" t="s">
        <v>80</v>
      </c>
    </row>
    <row r="19" spans="1:9" ht="72" customHeight="1">
      <c r="A19" s="6" t="s">
        <v>85</v>
      </c>
      <c r="B19" s="2">
        <v>2</v>
      </c>
      <c r="C19" s="2">
        <v>0.20</v>
      </c>
      <c r="D19" s="2">
        <v>2.50</v>
      </c>
      <c r="E19" s="2">
        <v>10</v>
      </c>
      <c r="F19" s="2">
        <v>10</v>
      </c>
      <c r="G19" s="6" t="s">
        <v>78</v>
      </c>
      <c r="H19" s="6" t="s">
        <v>86</v>
      </c>
      <c r="I19" s="6" t="s">
        <v>80</v>
      </c>
    </row>
    <row r="20" spans="1:9" ht="72" customHeight="1">
      <c r="A20" s="6" t="s">
        <v>87</v>
      </c>
      <c r="B20" s="2">
        <v>5</v>
      </c>
      <c r="C20" s="2">
        <v>0.50</v>
      </c>
      <c r="D20" s="2">
        <v>6.25</v>
      </c>
      <c r="E20" s="2">
        <v>25</v>
      </c>
      <c r="F20" s="2">
        <v>25</v>
      </c>
      <c r="G20" s="6" t="s">
        <v>78</v>
      </c>
      <c r="H20" s="6" t="s">
        <v>86</v>
      </c>
      <c r="I20" s="6" t="s">
        <v>80</v>
      </c>
    </row>
    <row r="21" spans="1:9" ht="72" customHeight="1">
      <c r="A21" s="6" t="s">
        <v>88</v>
      </c>
      <c r="B21" s="2">
        <v>10</v>
      </c>
      <c r="C21" s="2">
        <v>0.25</v>
      </c>
      <c r="D21" s="2">
        <v>12.50</v>
      </c>
      <c r="E21" s="2">
        <v>50</v>
      </c>
      <c r="F21" s="2">
        <v>50</v>
      </c>
      <c r="G21" s="6" t="s">
        <v>78</v>
      </c>
      <c r="H21" s="6" t="s">
        <v>86</v>
      </c>
      <c r="I21" s="6" t="s">
        <v>80</v>
      </c>
    </row>
    <row r="22" spans="1:9" ht="72" customHeight="1">
      <c r="A22" s="6" t="s">
        <v>89</v>
      </c>
      <c r="B22" s="2">
        <v>0.2</v>
      </c>
      <c r="C22" s="2">
        <v>0.02</v>
      </c>
      <c r="D22" s="2">
        <v>0.250</v>
      </c>
      <c r="E22" s="2">
        <v>1.2</v>
      </c>
      <c r="F22" s="2">
        <v>1.2</v>
      </c>
      <c r="G22" s="6" t="s">
        <v>78</v>
      </c>
      <c r="H22" s="6" t="s">
        <v>90</v>
      </c>
      <c r="I22" s="6" t="s">
        <v>80</v>
      </c>
    </row>
  </sheetData>
  <dataValidations count="1">
    <dataValidation type="whole" operator="greaterThanOrEqual" allowBlank="1" showInputMessage="1" showErrorMessage="1" sqref="B2">
      <formula1>0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Turns</vt:lpstr>
      <vt:lpstr>Execution tree</vt:lpstr>
      <vt:lpstr>Reference 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2026-09-23T06:11:01Z</dcterms:created>
  <dcterms:modified xsi:type="dcterms:W3CDTF">2026-09-23T06:11:01Z</dcterms:modified>
</cp:coreProperties>
</file>
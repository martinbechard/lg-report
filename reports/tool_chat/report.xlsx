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<sst xmlns="http://schemas.openxmlformats.org/spreadsheetml/2006/main" count="473" uniqueCount="187">
  <si>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</si>
  <si>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</si>
  <si>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</si>
  <si>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</si>
  <si>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</si>
  <si>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</si>
  <si>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</si>
  <si>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</si>
  <si>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</si>
  <si>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</si>
  <si>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</si>
  <si>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</si>
  <si>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</si>
  <si>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</si>
  <si>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</si>
  <si>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</si>
  <si>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</si>
  <si>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</si>
  <si>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</si>
  <si>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Input at standard rate tokens</t>
  </si>
  <si>
    <t>Input at standard rate EUR</t>
  </si>
  <si>
    <t>Input at standard rate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</si>
  <si>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</si>
  <si>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</si>
  <si>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</si>
  <si>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</si>
  <si>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</si>
  <si>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</si>
  <si>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</si>
  <si>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</si>
  <si>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</si>
  <si>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</si>
  <si>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</si>
  <si>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</si>
  <si>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</si>
  <si>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</si>
  <si>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</si>
  <si>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</si>
  <si>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</si>
  <si>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</si>
  <si>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</si>
  <si>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</si>
  <si>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</si>
  <si>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</si>
  <si>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</si>
  <si>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</si>
  <si>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</si>
  <si>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</si>
  <si>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</si>
  <si>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01a1143f-6441-7a22-a31c-1a1915e9a0ff</t>
  </si>
  <si>
    <t>Recording</t>
  </si>
  <si>
    <t>Offline simulation</t>
  </si>
  <si>
    <t>FX reference date</t>
  </si>
  <si>
    <t>2026-09-24</t>
  </si>
  <si>
    <t>FX fetched at</t>
  </si>
  <si>
    <t>2026-09-24T22:21:31.719587Z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</si>
  <si>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</si>
  <si>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</si>
  <si>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</si>
  <si>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</si>
  <si>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</si>
  <si>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</si>
  <si>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</si>
  <si>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</si>
  <si>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</si>
  <si>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</si>
  <si>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Published online token rates verified 2026-10-05. Copilot uses GitHub rates, including saved long-context tiers, before plan allowances; these are usage estimates, not subscription invoices. Cache writes with unspecified lifetime use the 5-minute rate unless an explicit cache_write rate is configured. Direct OpenAI and Anthropic entries use standard rates; no batch, regional, tool, negotiated, or unrecorded context-tier adjustments are applied. Model availability and context capacity require separate verification.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</si>
  <si>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</si>
  <si>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</si>
  <si>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</si>
  <si>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</si>
  <si>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</si>
  <si>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</si>
  <si>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</si>
  <si>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</si>
  <si>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</si>
  <si>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</si>
  <si>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</si>
  <si>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2026-10-05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</si>
  <si>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</si>
  <si>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</si>
  <si>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</si>
  <si>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</si>
  <si>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</si>
  <si>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</si>
  <si>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</si>
  <si>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</si>
  <si>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</si>
  <si>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</si>
  <si>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</si>
  <si>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</si>
  <si>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anthropic:claude-haiku-4-5</t>
  </si>
  <si>
    <t>anthropic:claude-haiku-4-5-20251001</t>
  </si>
  <si>
    <t>anthropic:claude-opus-5-5</t>
  </si>
  <si>
    <t>anthropic:claude-sonnet-4-6</t>
  </si>
  <si>
    <t>anthropic:claude-sonnet-5-5</t>
  </si>
  <si>
    <t>copilot:claude-haiku-4.5</t>
  </si>
  <si>
    <t>https://docs.github.com/en/copilot/reference/copilot-billing/models-and-pricing</t>
  </si>
  <si>
    <t>copilot:claude-opus-5.5</t>
  </si>
  <si>
    <t>copilot:claude-sonnet-4.6</t>
  </si>
  <si>
    <t>copilot:claude-sonnet-5.5</t>
  </si>
  <si>
    <t>copilot:gemini-3.8-flash</t>
  </si>
  <si>
    <t>copilot:gpt-5.3-codex</t>
  </si>
  <si>
    <t>copilot:gpt-5.4</t>
  </si>
  <si>
    <t>copilot:gpt-6-astra</t>
  </si>
  <si>
    <t>copilot:gpt-6-luna</t>
  </si>
  <si>
    <t>copilot:gpt-6-sol</t>
  </si>
  <si>
    <t>copilot:gpt-6.1-sol</t>
  </si>
  <si>
    <t>openai:gpt-6-astra</t>
  </si>
  <si>
    <t>https://developers.openai.com/api/docs/models/gpt-6-astra.md</t>
  </si>
  <si>
    <t>openai:gpt-6-luna</t>
  </si>
  <si>
    <t>https://developers.openai.com/api/docs/models/gpt-6-luna.md</t>
  </si>
  <si>
    <t>openai:gpt-6-sol</t>
  </si>
  <si>
    <t>https://developers.openai.com/api/docs/models/gpt-6-sol.md</t>
  </si>
  <si>
    <t>openai:gpt-6.1-sol</t>
  </si>
  <si>
    <t>https://developers.openai.com/api/docs/models/gpt-6.1-sol.md</t>
  </si>
  <si>
    <t>copilot:gpt-5.4 [long context]</t>
  </si>
  <si>
    <t>Above 272,000 input tokens</t>
  </si>
  <si>
    <t>copilot:gpt-6-astra [long context]</t>
  </si>
  <si>
    <t>copilot:gpt-6-luna [long context]</t>
  </si>
  <si>
    <t>copilot:gpt-6-sol [long context]</t>
  </si>
  <si>
    <t>copilot:gpt-6.1-sol [long context]</t>
  </si>
  <si>
    <t>Run total</t>
  </si>
  <si>
    <t>Turn 1</t>
  </si>
  <si>
    <t>R1</t>
  </si>
  <si>
    <t>LLM request</t>
  </si>
  <si>
    <t>scripted-chat</t>
  </si>
  <si>
    <t>01a1143f-6444-7680-bc85-0a90355e7da8</t>
  </si>
  <si>
    <t>Input at standard rate</t>
  </si>
  <si>
    <t xml:space="preserve">    Tool definitions</t>
  </si>
  <si>
    <t xml:space="preserve">    System prompt</t>
  </si>
  <si>
    <t>Call echo_tool with the user's text, then answer concisely using the returned echo. The tool repeats input; it provides no independent factual evidence.</t>
  </si>
  <si>
    <t xml:space="preserve">    User prompt</t>
  </si>
  <si>
    <t>Echo this text: ReAct</t>
  </si>
  <si>
    <t>Cache write</t>
  </si>
  <si>
    <t>Context · added / total</t>
  </si>
  <si>
    <t>LLM response</t>
  </si>
  <si>
    <t>Output</t>
  </si>
  <si>
    <t xml:space="preserve">    Output content</t>
  </si>
  <si>
    <t>{"name": "echo_tool", "args": {"text": "ReAct"}, "id": "reference-1", "type": "tool_call"}</t>
  </si>
  <si>
    <t>Call total</t>
  </si>
  <si>
    <t>ok</t>
  </si>
  <si>
    <t>Tool · echo_tool</t>
  </si>
  <si>
    <t>01a1143f-64c5-7f82-947a-0ca5a458daaa</t>
  </si>
  <si>
    <t xml:space="preserve">    Arguments</t>
  </si>
  <si>
    <t>{'text': 'ReAct'}</t>
  </si>
  <si>
    <t xml:space="preserve">    Result</t>
  </si>
  <si>
    <t>Your input was: ReAct</t>
  </si>
  <si>
    <t>R2</t>
  </si>
  <si>
    <t>01a1143f-64c7-7432-b7e2-cd7cb402eabb</t>
  </si>
  <si>
    <t>Conversation history · cache read</t>
  </si>
  <si>
    <t xml:space="preserve">    Tool result</t>
  </si>
  <si>
    <t>The tool returned "Your input was: ReAct". This shows the model requesting a tool and then reading its result.</t>
  </si>
  <si>
    <t>Turn 2</t>
  </si>
  <si>
    <t>R3</t>
  </si>
  <si>
    <t>01a1143f-64da-79b2-bb70-8cfdd71325cd</t>
  </si>
  <si>
    <t>Echo this text: Tool observations</t>
  </si>
  <si>
    <t>I will echo the text through the local tool.
{"name": "echo_tool", "args": {"text": "Tool observations"}, "id": "reference-2", "type": "tool_call"}</t>
  </si>
  <si>
    <t>01a1143f-64de-70a2-beb0-52f17b493c75</t>
  </si>
  <si>
    <t>{'text': 'Tool observations'}</t>
  </si>
  <si>
    <t>Your input was: Tool observations</t>
  </si>
  <si>
    <t>R4</t>
  </si>
  <si>
    <t>01a1143f-64e0-74e3-a5b3-78238b132705</t>
  </si>
  <si>
    <t>The tool returned "Your input was: Tool observations". The next model request includes that result. This echo repeats supplied text and adds no independent evidence.</t>
  </si>
  <si>
    <t>reference_chat_agent</t>
  </si>
  <si>
    <t>workflow</t>
  </si>
  <si>
    <t>Execute the reference_chat_agent workflow operation and pass its result to the next graph step.</t>
  </si>
  <si>
    <t>Subtree total</t>
  </si>
  <si>
    <t xml:space="preserve">    model</t>
  </si>
  <si>
    <t>Prepare the current conversation, run model middleware, and invoke the chat model.</t>
  </si>
  <si>
    <t>01a1143f-6443-7f50-b6a4-980bd9cd6c47</t>
  </si>
  <si>
    <t xml:space="preserve">        SimulatedModel</t>
  </si>
  <si>
    <t>model</t>
  </si>
  <si>
    <t>Watch an agent echo your input through a tool.</t>
  </si>
  <si>
    <t>Own call</t>
  </si>
  <si>
    <t xml:space="preserve">    tools</t>
  </si>
  <si>
    <t>Execute tool calls requested by the preceding model response and return their observations.</t>
  </si>
  <si>
    <t>01a1143f-64c5-7f82-947a-0c90945e3935</t>
  </si>
  <si>
    <t>No model charge</t>
  </si>
  <si>
    <t xml:space="preserve">        echo_tool</t>
  </si>
  <si>
    <t>tool</t>
  </si>
  <si>
    <t>Return the provided text prefixed with "Your input was: ".</t>
  </si>
  <si>
    <t>01a1143f-64c7-7432-b7e2-cd69558c2618</t>
  </si>
  <si>
    <t>01a1143f-64d9-71c0-9d6a-90e1dab89467</t>
  </si>
  <si>
    <t>01a1143f-64da-79b2-bb70-8ce531e628e5</t>
  </si>
  <si>
    <t>01a1143f-64dd-7ff3-8cc9-d0daa1018b93</t>
  </si>
  <si>
    <t>01a1143f-64df-7832-b9ec-d82145a6dff0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</si>
</sst>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59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122</v>
      </c>
      <c r="E2" s="2">
        <f>IF(COUNT('Turns'!E16,'Turns'!E31,'Turns'!E44,'Turns'!E59)=4,SUM('Turns'!E16,'Turns'!E31,'Turns'!E44,'Turns'!E59),"Unknown")</f>
        <v>0.0002935516432</v>
      </c>
      <c r="F2" s="2">
        <f>IF(COUNT('Turns'!F16,'Turns'!F31,'Turns'!F44,'Turns'!F59)=4,SUM('Turns'!F16,'Turns'!F31,'Turns'!F44,'Turns'!F59),"Unknown")</f>
        <v>0.00033368</v>
      </c>
      <c r="G2" s="5">
        <f>IF(ISNUMBER(E2),ROUND(E2*'Reference data'!$B$2,0),"Unknown")</f>
        <v>29.0</v>
      </c>
      <c r="H2" s="5">
        <f>IF(ISNUMBER(F2),ROUND(F2*'Reference data'!$B$2,0),"Unknown")</f>
        <v>33.0</v>
      </c>
    </row>
    <row r="3" spans="1:13" s="4" customFormat="1" ht="24" customHeight="1">
      <c r="B3" s="4">
        <v>1</v>
      </c>
      <c r="C3" s="4" t="s">
        <v>123</v>
      </c>
      <c r="E3" s="2">
        <f>IF(COUNT('Turns'!E16,'Turns'!E31)=2,SUM('Turns'!E16,'Turns'!E31),"Unknown")</f>
        <v>0.0001457905128</v>
      </c>
      <c r="F3" s="2">
        <f>IF(COUNT('Turns'!F16,'Turns'!F31)=2,SUM('Turns'!F16,'Turns'!F31),"Unknown")</f>
        <v>0.00016572</v>
      </c>
      <c r="G3" s="5">
        <f>IF(ISNUMBER(E3),ROUND(E3*'Reference data'!$B$2,0),"Unknown")</f>
        <v>15.0</v>
      </c>
      <c r="H3" s="5">
        <f>IF(ISNUMBER(F3),ROUND(F3*'Reference data'!$B$2,0),"Unknown")</f>
        <v>17.0</v>
      </c>
    </row>
    <row r="4" spans="1:13" s="4" customFormat="1" ht="24" customHeight="1">
      <c r="A4" s="4" t="s">
        <v>124</v>
      </c>
      <c r="B4" s="4">
        <v>1</v>
      </c>
      <c r="C4" s="4" t="s">
        <v>125</v>
      </c>
      <c r="D4" s="4">
        <v>162</v>
      </c>
      <c r="J4" s="4" t="s">
        <v>126</v>
      </c>
      <c r="M4" s="4" t="s">
        <v>127</v>
      </c>
    </row>
    <row r="5" spans="1:13" ht="24" customHeight="1">
      <c r="A5" t="s">
        <v>124</v>
      </c>
      <c r="B5">
        <v>1</v>
      </c>
      <c r="C5" t="s">
        <v>128</v>
      </c>
      <c r="D5" s="5">
        <v>162</v>
      </c>
      <c r="E5" s="2">
        <f>IF(AND(ISNUMBER(F5),ISNUMBER('Reference data'!$B$3)),F5*'Reference data'!$B$3,"Unknown")</f>
        <v>2.8503576e-05</v>
      </c>
      <c r="F5" s="2">
        <f>IF(D5=0,0,IF(ISNUMBER('Reference data'!B22),D5*'Reference data'!B22/1000000,"Unknown"))</f>
        <v>3.24e-05</v>
      </c>
      <c r="G5" s="5">
        <f>IF(ISNUMBER(E5),ROUND(E5*'Reference data'!$B$2,0),"Unknown")</f>
        <v>3.0</v>
      </c>
      <c r="H5" s="5">
        <f>IF(ISNUMBER(F5),ROUND(F5*'Reference data'!$B$2,0),"Unknown")</f>
        <v>3.0</v>
      </c>
    </row>
    <row r="6" spans="1:13" ht="24" customHeight="1">
      <c r="A6" t="s">
        <v>124</v>
      </c>
      <c r="B6">
        <v>1</v>
      </c>
      <c r="C6" t="s">
        <v>129</v>
      </c>
      <c r="D6" s="1">
        <v>79</v>
      </c>
    </row>
    <row r="7" spans="1:13" ht="34" customHeight="1">
      <c r="A7" t="s">
        <v>124</v>
      </c>
      <c r="B7">
        <v>1</v>
      </c>
      <c r="C7" t="s">
        <v>130</v>
      </c>
      <c r="D7" s="1">
        <v>53</v>
      </c>
      <c r="I7" s="6" t="s">
        <v>131</v>
      </c>
    </row>
    <row r="8" spans="1:13" ht="24" customHeight="1">
      <c r="A8" t="s">
        <v>124</v>
      </c>
      <c r="B8">
        <v>1</v>
      </c>
      <c r="C8" t="s">
        <v>132</v>
      </c>
      <c r="D8" s="1">
        <v>30</v>
      </c>
      <c r="I8" s="6" t="s">
        <v>133</v>
      </c>
    </row>
    <row r="9" spans="1:13" ht="24" customHeight="1">
      <c r="A9" t="s">
        <v>124</v>
      </c>
      <c r="B9">
        <v>1</v>
      </c>
      <c r="C9" t="s">
        <v>134</v>
      </c>
      <c r="D9" s="1">
        <v>162</v>
      </c>
    </row>
    <row r="10" spans="1:13" ht="24" customHeight="1">
      <c r="A10" t="s">
        <v>124</v>
      </c>
      <c r="B10">
        <v>1</v>
      </c>
      <c r="C10" t="s">
        <v>135</v>
      </c>
      <c r="D10" s="1">
        <v>162</v>
      </c>
      <c r="L10" s="1">
        <v>162</v>
      </c>
    </row>
    <row r="11" spans="1:13" s="4" customFormat="1" ht="24" customHeight="1">
      <c r="A11" s="4" t="s">
        <v>124</v>
      </c>
      <c r="B11" s="4">
        <v>1</v>
      </c>
      <c r="C11" s="4" t="s">
        <v>136</v>
      </c>
      <c r="D11" s="4">
        <v>54</v>
      </c>
    </row>
    <row r="12" spans="1:13" ht="24" customHeight="1">
      <c r="A12" t="s">
        <v>124</v>
      </c>
      <c r="B12">
        <v>1</v>
      </c>
      <c r="C12" t="s">
        <v>137</v>
      </c>
      <c r="D12" s="5">
        <v>54</v>
      </c>
      <c r="E12" s="2">
        <f>IF(AND(ISNUMBER(F12),ISNUMBER('Reference data'!$B$3)),F12*'Reference data'!$B$3,"Unknown")</f>
        <v>5.7007152e-05</v>
      </c>
      <c r="F12" s="2">
        <f>IF(D12=0,0,IF(ISNUMBER('Reference data'!E22),D12*'Reference data'!E22/1000000,"Unknown"))</f>
        <v>6.48e-05</v>
      </c>
      <c r="G12" s="5">
        <f>IF(ISNUMBER(E12),ROUND(E12*'Reference data'!$B$2,0),"Unknown")</f>
        <v>6.0</v>
      </c>
      <c r="H12" s="5">
        <f>IF(ISNUMBER(F12),ROUND(F12*'Reference data'!$B$2,0),"Unknown")</f>
        <v>6.0</v>
      </c>
    </row>
    <row r="13" spans="1:13" ht="34" customHeight="1">
      <c r="A13" t="s">
        <v>124</v>
      </c>
      <c r="B13">
        <v>1</v>
      </c>
      <c r="C13" t="s">
        <v>138</v>
      </c>
      <c r="I13" s="6" t="s">
        <v>139</v>
      </c>
    </row>
    <row r="14" spans="1:13" ht="24" customHeight="1">
      <c r="A14" t="s">
        <v>124</v>
      </c>
      <c r="B14">
        <v>1</v>
      </c>
      <c r="C14" t="s">
        <v>134</v>
      </c>
      <c r="D14" s="1">
        <v>54</v>
      </c>
    </row>
    <row r="15" spans="1:13" ht="24" customHeight="1">
      <c r="A15" t="s">
        <v>124</v>
      </c>
      <c r="B15">
        <v>1</v>
      </c>
      <c r="C15" t="s">
        <v>135</v>
      </c>
      <c r="D15" s="1">
        <v>54</v>
      </c>
      <c r="L15" s="1">
        <v>216</v>
      </c>
    </row>
    <row r="16" spans="1:13" s="4" customFormat="1" ht="24" customHeight="1">
      <c r="A16" s="4" t="s">
        <v>124</v>
      </c>
      <c r="B16" s="4">
        <v>1</v>
      </c>
      <c r="C16" s="4" t="s">
        <v>140</v>
      </c>
      <c r="E16" s="2">
        <f>IF(COUNT('Turns'!E5,'Turns'!E12)=2,SUM('Turns'!E5,'Turns'!E12),"Unknown")</f>
        <v>8.5510728e-05</v>
      </c>
      <c r="F16" s="2">
        <f>IF(COUNT('Turns'!F5,'Turns'!F12)=2,SUM('Turns'!F5,'Turns'!F12),"Unknown")</f>
        <v>9.72e-05</v>
      </c>
      <c r="G16" s="5">
        <f>IF(ISNUMBER(E16),ROUND(E16*'Reference data'!$B$2,0),"Unknown")</f>
        <v>9.0</v>
      </c>
      <c r="H16" s="5">
        <f>IF(ISNUMBER(F16),ROUND(F16*'Reference data'!$B$2,0),"Unknown")</f>
        <v>10.0</v>
      </c>
      <c r="K16" s="4" t="s">
        <v>141</v>
      </c>
    </row>
    <row r="17" spans="1:13" s="4" customFormat="1" ht="24" customHeight="1">
      <c r="B17" s="4">
        <v>1</v>
      </c>
      <c r="C17" s="4" t="s">
        <v>142</v>
      </c>
      <c r="K17" s="4" t="s">
        <v>141</v>
      </c>
      <c r="M17" s="4" t="s">
        <v>143</v>
      </c>
    </row>
    <row r="18" spans="1:13" ht="24" customHeight="1">
      <c r="B18">
        <v>1</v>
      </c>
      <c r="C18" t="s">
        <v>144</v>
      </c>
      <c r="I18" s="6" t="s">
        <v>145</v>
      </c>
    </row>
    <row r="19" spans="1:13" ht="24" customHeight="1">
      <c r="B19">
        <v>1</v>
      </c>
      <c r="C19" t="s">
        <v>146</v>
      </c>
      <c r="I19" s="6" t="s">
        <v>147</v>
      </c>
    </row>
    <row r="20" spans="1:13" s="4" customFormat="1" ht="24" customHeight="1">
      <c r="A20" s="4" t="s">
        <v>148</v>
      </c>
      <c r="B20" s="4">
        <v>1</v>
      </c>
      <c r="C20" s="4" t="s">
        <v>125</v>
      </c>
      <c r="D20" s="4">
        <v>249</v>
      </c>
      <c r="J20" s="4" t="s">
        <v>126</v>
      </c>
      <c r="M20" s="4" t="s">
        <v>149</v>
      </c>
    </row>
    <row r="21" spans="1:13" ht="24" customHeight="1">
      <c r="A21" t="s">
        <v>148</v>
      </c>
      <c r="B21">
        <v>1</v>
      </c>
      <c r="C21" t="s">
        <v>150</v>
      </c>
      <c r="D21" s="5">
        <v>216</v>
      </c>
      <c r="E21" s="2">
        <f>IF(AND(ISNUMBER(F21),ISNUMBER('Reference data'!$B$3)),F21*'Reference data'!$B$3,"Unknown")</f>
        <v>3.8004768e-06</v>
      </c>
      <c r="F21" s="2">
        <f>IF(D21=0,0,IF(ISNUMBER('Reference data'!C22),D21*'Reference data'!C22/1000000,"Unknown"))</f>
        <v>4.32e-06</v>
      </c>
      <c r="G21" s="5">
        <f>IF(ISNUMBER(E21),ROUND(E21*'Reference data'!$B$2,0),"Unknown")</f>
        <v>0.0</v>
      </c>
      <c r="H21" s="5">
        <f>IF(ISNUMBER(F21),ROUND(F21*'Reference data'!$B$2,0),"Unknown")</f>
        <v>0.0</v>
      </c>
    </row>
    <row r="22" spans="1:13" ht="24" customHeight="1">
      <c r="A22" t="s">
        <v>148</v>
      </c>
      <c r="B22">
        <v>1</v>
      </c>
      <c r="C22" t="s">
        <v>128</v>
      </c>
      <c r="D22" s="5">
        <v>33</v>
      </c>
      <c r="E22" s="2">
        <f>IF(AND(ISNUMBER(F22),ISNUMBER('Reference data'!$B$3)),F22*'Reference data'!$B$3,"Unknown")</f>
        <v>5.806284e-06</v>
      </c>
      <c r="F22" s="2">
        <f>IF(D22=0,0,IF(ISNUMBER('Reference data'!B22),D22*'Reference data'!B22/1000000,"Unknown"))</f>
        <v>6.6e-06</v>
      </c>
      <c r="G22" s="5">
        <f>IF(ISNUMBER(E22),ROUND(E22*'Reference data'!$B$2,0),"Unknown")</f>
        <v>1.0</v>
      </c>
      <c r="H22" s="5">
        <f>IF(ISNUMBER(F22),ROUND(F22*'Reference data'!$B$2,0),"Unknown")</f>
        <v>1.0</v>
      </c>
    </row>
    <row r="23" spans="1:13" ht="24" customHeight="1">
      <c r="A23" t="s">
        <v>148</v>
      </c>
      <c r="B23">
        <v>1</v>
      </c>
      <c r="C23" t="s">
        <v>151</v>
      </c>
      <c r="D23" s="1">
        <v>33</v>
      </c>
      <c r="I23" s="6" t="s">
        <v>147</v>
      </c>
    </row>
    <row r="24" spans="1:13" ht="24" customHeight="1">
      <c r="A24" t="s">
        <v>148</v>
      </c>
      <c r="B24">
        <v>1</v>
      </c>
      <c r="C24" t="s">
        <v>134</v>
      </c>
      <c r="D24" s="1">
        <v>33</v>
      </c>
    </row>
    <row r="25" spans="1:13" ht="24" customHeight="1">
      <c r="A25" t="s">
        <v>148</v>
      </c>
      <c r="B25">
        <v>1</v>
      </c>
      <c r="C25" t="s">
        <v>135</v>
      </c>
      <c r="D25" s="1">
        <v>33</v>
      </c>
      <c r="L25" s="1">
        <v>249</v>
      </c>
    </row>
    <row r="26" spans="1:13" s="4" customFormat="1" ht="24" customHeight="1">
      <c r="A26" s="4" t="s">
        <v>148</v>
      </c>
      <c r="B26" s="4">
        <v>1</v>
      </c>
      <c r="C26" s="4" t="s">
        <v>136</v>
      </c>
      <c r="D26" s="4">
        <v>48</v>
      </c>
    </row>
    <row r="27" spans="1:13" ht="24" customHeight="1">
      <c r="A27" t="s">
        <v>148</v>
      </c>
      <c r="B27">
        <v>1</v>
      </c>
      <c r="C27" t="s">
        <v>137</v>
      </c>
      <c r="D27" s="5">
        <v>48</v>
      </c>
      <c r="E27" s="2">
        <f>IF(AND(ISNUMBER(F27),ISNUMBER('Reference data'!$B$3)),F27*'Reference data'!$B$3,"Unknown")</f>
        <v>5.0673024e-05</v>
      </c>
      <c r="F27" s="2">
        <f>IF(D27=0,0,IF(ISNUMBER('Reference data'!E22),D27*'Reference data'!E22/1000000,"Unknown"))</f>
        <v>5.76e-05</v>
      </c>
      <c r="G27" s="5">
        <f>IF(ISNUMBER(E27),ROUND(E27*'Reference data'!$B$2,0),"Unknown")</f>
        <v>5.0</v>
      </c>
      <c r="H27" s="5">
        <f>IF(ISNUMBER(F27),ROUND(F27*'Reference data'!$B$2,0),"Unknown")</f>
        <v>6.0</v>
      </c>
    </row>
    <row r="28" spans="1:13" ht="34" customHeight="1">
      <c r="A28" t="s">
        <v>148</v>
      </c>
      <c r="B28">
        <v>1</v>
      </c>
      <c r="C28" t="s">
        <v>138</v>
      </c>
      <c r="I28" s="6" t="s">
        <v>152</v>
      </c>
    </row>
    <row r="29" spans="1:13" ht="24" customHeight="1">
      <c r="A29" t="s">
        <v>148</v>
      </c>
      <c r="B29">
        <v>1</v>
      </c>
      <c r="C29" t="s">
        <v>134</v>
      </c>
      <c r="D29" s="1">
        <v>48</v>
      </c>
    </row>
    <row r="30" spans="1:13" ht="24" customHeight="1">
      <c r="A30" t="s">
        <v>148</v>
      </c>
      <c r="B30">
        <v>1</v>
      </c>
      <c r="C30" t="s">
        <v>135</v>
      </c>
      <c r="D30" s="1">
        <v>48</v>
      </c>
      <c r="L30" s="1">
        <v>297</v>
      </c>
    </row>
    <row r="31" spans="1:13" s="4" customFormat="1" ht="24" customHeight="1">
      <c r="A31" s="4" t="s">
        <v>148</v>
      </c>
      <c r="B31" s="4">
        <v>1</v>
      </c>
      <c r="C31" s="4" t="s">
        <v>140</v>
      </c>
      <c r="E31" s="2">
        <f>IF(COUNT('Turns'!E21,'Turns'!E22,'Turns'!E27)=3,SUM('Turns'!E21,'Turns'!E22,'Turns'!E27),"Unknown")</f>
        <v>6.02797848e-05</v>
      </c>
      <c r="F31" s="2">
        <f>IF(COUNT('Turns'!F21,'Turns'!F22,'Turns'!F27)=3,SUM('Turns'!F21,'Turns'!F22,'Turns'!F27),"Unknown")</f>
        <v>6.852e-05</v>
      </c>
      <c r="G31" s="5">
        <f>IF(ISNUMBER(E31),ROUND(E31*'Reference data'!$B$2,0),"Unknown")</f>
        <v>6.0</v>
      </c>
      <c r="H31" s="5">
        <f>IF(ISNUMBER(F31),ROUND(F31*'Reference data'!$B$2,0),"Unknown")</f>
        <v>7.0</v>
      </c>
      <c r="K31" s="4" t="s">
        <v>141</v>
      </c>
    </row>
    <row r="32" spans="1:13" s="4" customFormat="1" ht="24" customHeight="1">
      <c r="B32" s="4">
        <v>2</v>
      </c>
      <c r="C32" s="4" t="s">
        <v>153</v>
      </c>
      <c r="E32" s="2">
        <f>IF(COUNT('Turns'!E44,'Turns'!E59)=2,SUM('Turns'!E44,'Turns'!E59),"Unknown")</f>
        <v>0.0001477611304</v>
      </c>
      <c r="F32" s="2">
        <f>IF(COUNT('Turns'!F44,'Turns'!F59)=2,SUM('Turns'!F44,'Turns'!F59),"Unknown")</f>
        <v>0.00016796</v>
      </c>
      <c r="G32" s="5">
        <f>IF(ISNUMBER(E32),ROUND(E32*'Reference data'!$B$2,0),"Unknown")</f>
        <v>15.0</v>
      </c>
      <c r="H32" s="5">
        <f>IF(ISNUMBER(F32),ROUND(F32*'Reference data'!$B$2,0),"Unknown")</f>
        <v>17.0</v>
      </c>
    </row>
    <row r="33" spans="1:13" s="4" customFormat="1" ht="24" customHeight="1">
      <c r="A33" s="4" t="s">
        <v>154</v>
      </c>
      <c r="B33" s="4">
        <v>2</v>
      </c>
      <c r="C33" s="4" t="s">
        <v>125</v>
      </c>
      <c r="D33" s="4">
        <v>327</v>
      </c>
      <c r="J33" s="4" t="s">
        <v>126</v>
      </c>
      <c r="M33" s="4" t="s">
        <v>155</v>
      </c>
    </row>
    <row r="34" spans="1:13" ht="24" customHeight="1">
      <c r="A34" t="s">
        <v>154</v>
      </c>
      <c r="B34">
        <v>2</v>
      </c>
      <c r="C34" t="s">
        <v>150</v>
      </c>
      <c r="D34" s="5">
        <v>297</v>
      </c>
      <c r="E34" s="2">
        <f>IF(AND(ISNUMBER(F34),ISNUMBER('Reference data'!$B$3)),F34*'Reference data'!$B$3,"Unknown")</f>
        <v>5.2256556e-06</v>
      </c>
      <c r="F34" s="2">
        <f>IF(D34=0,0,IF(ISNUMBER('Reference data'!C22),D34*'Reference data'!C22/1000000,"Unknown"))</f>
        <v>5.94e-06</v>
      </c>
      <c r="G34" s="5">
        <f>IF(ISNUMBER(E34),ROUND(E34*'Reference data'!$B$2,0),"Unknown")</f>
        <v>1.0</v>
      </c>
      <c r="H34" s="5">
        <f>IF(ISNUMBER(F34),ROUND(F34*'Reference data'!$B$2,0),"Unknown")</f>
        <v>1.0</v>
      </c>
    </row>
    <row r="35" spans="1:13" ht="24" customHeight="1">
      <c r="A35" t="s">
        <v>154</v>
      </c>
      <c r="B35">
        <v>2</v>
      </c>
      <c r="C35" t="s">
        <v>128</v>
      </c>
      <c r="D35" s="5">
        <v>30</v>
      </c>
      <c r="E35" s="2">
        <f>IF(AND(ISNUMBER(F35),ISNUMBER('Reference data'!$B$3)),F35*'Reference data'!$B$3,"Unknown")</f>
        <v>5.27844e-06</v>
      </c>
      <c r="F35" s="2">
        <f>IF(D35=0,0,IF(ISNUMBER('Reference data'!B22),D35*'Reference data'!B22/1000000,"Unknown"))</f>
        <v>6e-06</v>
      </c>
      <c r="G35" s="5">
        <f>IF(ISNUMBER(E35),ROUND(E35*'Reference data'!$B$2,0),"Unknown")</f>
        <v>1.0</v>
      </c>
      <c r="H35" s="5">
        <f>IF(ISNUMBER(F35),ROUND(F35*'Reference data'!$B$2,0),"Unknown")</f>
        <v>1.0</v>
      </c>
    </row>
    <row r="36" spans="1:13" ht="24" customHeight="1">
      <c r="A36" t="s">
        <v>154</v>
      </c>
      <c r="B36">
        <v>2</v>
      </c>
      <c r="C36" t="s">
        <v>132</v>
      </c>
      <c r="D36" s="1">
        <v>30</v>
      </c>
      <c r="I36" s="6" t="s">
        <v>156</v>
      </c>
    </row>
    <row r="37" spans="1:13" ht="24" customHeight="1">
      <c r="A37" t="s">
        <v>154</v>
      </c>
      <c r="B37">
        <v>2</v>
      </c>
      <c r="C37" t="s">
        <v>134</v>
      </c>
      <c r="D37" s="1">
        <v>30</v>
      </c>
    </row>
    <row r="38" spans="1:13" ht="24" customHeight="1">
      <c r="A38" t="s">
        <v>154</v>
      </c>
      <c r="B38">
        <v>2</v>
      </c>
      <c r="C38" t="s">
        <v>135</v>
      </c>
      <c r="D38" s="1">
        <v>30</v>
      </c>
      <c r="L38" s="1">
        <v>327</v>
      </c>
    </row>
    <row r="39" spans="1:13" s="4" customFormat="1" ht="24" customHeight="1">
      <c r="A39" s="4" t="s">
        <v>154</v>
      </c>
      <c r="B39" s="4">
        <v>2</v>
      </c>
      <c r="C39" s="4" t="s">
        <v>136</v>
      </c>
      <c r="D39" s="4">
        <v>64</v>
      </c>
    </row>
    <row r="40" spans="1:13" ht="24" customHeight="1">
      <c r="A40" t="s">
        <v>154</v>
      </c>
      <c r="B40">
        <v>2</v>
      </c>
      <c r="C40" t="s">
        <v>137</v>
      </c>
      <c r="D40" s="5">
        <v>64</v>
      </c>
      <c r="E40" s="2">
        <f>IF(AND(ISNUMBER(F40),ISNUMBER('Reference data'!$B$3)),F40*'Reference data'!$B$3,"Unknown")</f>
        <v>6.7564032e-05</v>
      </c>
      <c r="F40" s="2">
        <f>IF(D40=0,0,IF(ISNUMBER('Reference data'!E22),D40*'Reference data'!E22/1000000,"Unknown"))</f>
        <v>7.68e-05</v>
      </c>
      <c r="G40" s="5">
        <f>IF(ISNUMBER(E40),ROUND(E40*'Reference data'!$B$2,0),"Unknown")</f>
        <v>7.0</v>
      </c>
      <c r="H40" s="5">
        <f>IF(ISNUMBER(F40),ROUND(F40*'Reference data'!$B$2,0),"Unknown")</f>
        <v>8.0</v>
      </c>
    </row>
    <row r="41" spans="1:13" ht="47" customHeight="1">
      <c r="A41" t="s">
        <v>154</v>
      </c>
      <c r="B41">
        <v>2</v>
      </c>
      <c r="C41" t="s">
        <v>138</v>
      </c>
      <c r="I41" s="6" t="s">
        <v>157</v>
      </c>
    </row>
    <row r="42" spans="1:13" ht="24" customHeight="1">
      <c r="A42" t="s">
        <v>154</v>
      </c>
      <c r="B42">
        <v>2</v>
      </c>
      <c r="C42" t="s">
        <v>134</v>
      </c>
      <c r="D42" s="1">
        <v>64</v>
      </c>
    </row>
    <row r="43" spans="1:13" ht="24" customHeight="1">
      <c r="A43" t="s">
        <v>154</v>
      </c>
      <c r="B43">
        <v>2</v>
      </c>
      <c r="C43" t="s">
        <v>135</v>
      </c>
      <c r="D43" s="1">
        <v>64</v>
      </c>
      <c r="L43" s="1">
        <v>391</v>
      </c>
    </row>
    <row r="44" spans="1:13" s="4" customFormat="1" ht="24" customHeight="1">
      <c r="A44" s="4" t="s">
        <v>154</v>
      </c>
      <c r="B44" s="4">
        <v>2</v>
      </c>
      <c r="C44" s="4" t="s">
        <v>140</v>
      </c>
      <c r="E44" s="2">
        <f>IF(COUNT('Turns'!E34,'Turns'!E35,'Turns'!E40)=3,SUM('Turns'!E34,'Turns'!E35,'Turns'!E40),"Unknown")</f>
        <v>7.80681276e-05</v>
      </c>
      <c r="F44" s="2">
        <f>IF(COUNT('Turns'!F34,'Turns'!F35,'Turns'!F40)=3,SUM('Turns'!F34,'Turns'!F35,'Turns'!F40),"Unknown")</f>
        <v>8.874e-05</v>
      </c>
      <c r="G44" s="5">
        <f>IF(ISNUMBER(E44),ROUND(E44*'Reference data'!$B$2,0),"Unknown")</f>
        <v>8.0</v>
      </c>
      <c r="H44" s="5">
        <f>IF(ISNUMBER(F44),ROUND(F44*'Reference data'!$B$2,0),"Unknown")</f>
        <v>9.0</v>
      </c>
      <c r="K44" s="4" t="s">
        <v>141</v>
      </c>
    </row>
    <row r="45" spans="1:13" s="4" customFormat="1" ht="24" customHeight="1">
      <c r="B45" s="4">
        <v>2</v>
      </c>
      <c r="C45" s="4" t="s">
        <v>142</v>
      </c>
      <c r="K45" s="4" t="s">
        <v>141</v>
      </c>
      <c r="M45" s="4" t="s">
        <v>158</v>
      </c>
    </row>
    <row r="46" spans="1:13" ht="24" customHeight="1">
      <c r="B46">
        <v>2</v>
      </c>
      <c r="C46" t="s">
        <v>144</v>
      </c>
      <c r="I46" s="6" t="s">
        <v>159</v>
      </c>
    </row>
    <row r="47" spans="1:13" ht="24" customHeight="1">
      <c r="B47">
        <v>2</v>
      </c>
      <c r="C47" t="s">
        <v>146</v>
      </c>
      <c r="I47" s="6" t="s">
        <v>160</v>
      </c>
    </row>
    <row r="48" spans="1:13" s="4" customFormat="1" ht="24" customHeight="1">
      <c r="A48" s="4" t="s">
        <v>161</v>
      </c>
      <c r="B48" s="4">
        <v>2</v>
      </c>
      <c r="C48" s="4" t="s">
        <v>125</v>
      </c>
      <c r="D48" s="4">
        <v>424</v>
      </c>
      <c r="J48" s="4" t="s">
        <v>126</v>
      </c>
      <c r="M48" s="4" t="s">
        <v>162</v>
      </c>
    </row>
    <row r="49" spans="1:12" ht="24" customHeight="1">
      <c r="A49" t="s">
        <v>161</v>
      </c>
      <c r="B49">
        <v>2</v>
      </c>
      <c r="C49" t="s">
        <v>150</v>
      </c>
      <c r="D49" s="5">
        <v>391</v>
      </c>
      <c r="E49" s="2">
        <f>IF(AND(ISNUMBER(F49),ISNUMBER('Reference data'!$B$3)),F49*'Reference data'!$B$3,"Unknown")</f>
        <v>6.8795668e-06</v>
      </c>
      <c r="F49" s="2">
        <f>IF(D49=0,0,IF(ISNUMBER('Reference data'!C22),D49*'Reference data'!C22/1000000,"Unknown"))</f>
        <v>7.82e-06</v>
      </c>
      <c r="G49" s="5">
        <f>IF(ISNUMBER(E49),ROUND(E49*'Reference data'!$B$2,0),"Unknown")</f>
        <v>1.0</v>
      </c>
      <c r="H49" s="5">
        <f>IF(ISNUMBER(F49),ROUND(F49*'Reference data'!$B$2,0),"Unknown")</f>
        <v>1.0</v>
      </c>
    </row>
    <row r="50" spans="1:12" ht="24" customHeight="1">
      <c r="A50" t="s">
        <v>161</v>
      </c>
      <c r="B50">
        <v>2</v>
      </c>
      <c r="C50" t="s">
        <v>128</v>
      </c>
      <c r="D50" s="5">
        <v>33</v>
      </c>
      <c r="E50" s="2">
        <f>IF(AND(ISNUMBER(F50),ISNUMBER('Reference data'!$B$3)),F50*'Reference data'!$B$3,"Unknown")</f>
        <v>5.806284e-06</v>
      </c>
      <c r="F50" s="2">
        <f>IF(D50=0,0,IF(ISNUMBER('Reference data'!B22),D50*'Reference data'!B22/1000000,"Unknown"))</f>
        <v>6.6e-06</v>
      </c>
      <c r="G50" s="5">
        <f>IF(ISNUMBER(E50),ROUND(E50*'Reference data'!$B$2,0),"Unknown")</f>
        <v>1.0</v>
      </c>
      <c r="H50" s="5">
        <f>IF(ISNUMBER(F50),ROUND(F50*'Reference data'!$B$2,0),"Unknown")</f>
        <v>1.0</v>
      </c>
    </row>
    <row r="51" spans="1:12" ht="24" customHeight="1">
      <c r="A51" t="s">
        <v>161</v>
      </c>
      <c r="B51">
        <v>2</v>
      </c>
      <c r="C51" t="s">
        <v>151</v>
      </c>
      <c r="D51" s="1">
        <v>33</v>
      </c>
      <c r="I51" s="6" t="s">
        <v>160</v>
      </c>
    </row>
    <row r="52" spans="1:12" ht="24" customHeight="1">
      <c r="A52" t="s">
        <v>161</v>
      </c>
      <c r="B52">
        <v>2</v>
      </c>
      <c r="C52" t="s">
        <v>134</v>
      </c>
      <c r="D52" s="1">
        <v>33</v>
      </c>
    </row>
    <row r="53" spans="1:12" ht="24" customHeight="1">
      <c r="A53" t="s">
        <v>161</v>
      </c>
      <c r="B53">
        <v>2</v>
      </c>
      <c r="C53" t="s">
        <v>135</v>
      </c>
      <c r="D53" s="1">
        <v>33</v>
      </c>
      <c r="L53" s="1">
        <v>424</v>
      </c>
    </row>
    <row r="54" spans="1:12" s="4" customFormat="1" ht="24" customHeight="1">
      <c r="A54" s="4" t="s">
        <v>161</v>
      </c>
      <c r="B54" s="4">
        <v>2</v>
      </c>
      <c r="C54" s="4" t="s">
        <v>136</v>
      </c>
      <c r="D54" s="4">
        <v>54</v>
      </c>
    </row>
    <row r="55" spans="1:12" ht="24" customHeight="1">
      <c r="A55" t="s">
        <v>161</v>
      </c>
      <c r="B55">
        <v>2</v>
      </c>
      <c r="C55" t="s">
        <v>137</v>
      </c>
      <c r="D55" s="5">
        <v>54</v>
      </c>
      <c r="E55" s="2">
        <f>IF(AND(ISNUMBER(F55),ISNUMBER('Reference data'!$B$3)),F55*'Reference data'!$B$3,"Unknown")</f>
        <v>5.7007152e-05</v>
      </c>
      <c r="F55" s="2">
        <f>IF(D55=0,0,IF(ISNUMBER('Reference data'!E22),D55*'Reference data'!E22/1000000,"Unknown"))</f>
        <v>6.48e-05</v>
      </c>
      <c r="G55" s="5">
        <f>IF(ISNUMBER(E55),ROUND(E55*'Reference data'!$B$2,0),"Unknown")</f>
        <v>6.0</v>
      </c>
      <c r="H55" s="5">
        <f>IF(ISNUMBER(F55),ROUND(F55*'Reference data'!$B$2,0),"Unknown")</f>
        <v>6.0</v>
      </c>
    </row>
    <row r="56" spans="1:12" ht="34" customHeight="1">
      <c r="A56" t="s">
        <v>161</v>
      </c>
      <c r="B56">
        <v>2</v>
      </c>
      <c r="C56" t="s">
        <v>138</v>
      </c>
      <c r="I56" s="6" t="s">
        <v>163</v>
      </c>
    </row>
    <row r="57" spans="1:12" ht="24" customHeight="1">
      <c r="A57" t="s">
        <v>161</v>
      </c>
      <c r="B57">
        <v>2</v>
      </c>
      <c r="C57" t="s">
        <v>134</v>
      </c>
      <c r="D57" s="1">
        <v>54</v>
      </c>
    </row>
    <row r="58" spans="1:12" ht="24" customHeight="1">
      <c r="A58" t="s">
        <v>161</v>
      </c>
      <c r="B58">
        <v>2</v>
      </c>
      <c r="C58" t="s">
        <v>135</v>
      </c>
      <c r="D58" s="1">
        <v>54</v>
      </c>
      <c r="L58" s="1">
        <v>478</v>
      </c>
    </row>
    <row r="59" spans="1:12" s="4" customFormat="1" ht="24" customHeight="1">
      <c r="A59" s="4" t="s">
        <v>161</v>
      </c>
      <c r="B59" s="4">
        <v>2</v>
      </c>
      <c r="C59" s="4" t="s">
        <v>140</v>
      </c>
      <c r="E59" s="2">
        <f>IF(COUNT('Turns'!E49,'Turns'!E50,'Turns'!E55)=3,SUM('Turns'!E49,'Turns'!E50,'Turns'!E55),"Unknown")</f>
        <v>6.96930028e-05</v>
      </c>
      <c r="F59" s="2">
        <f>IF(COUNT('Turns'!F49,'Turns'!F50,'Turns'!F55)=3,SUM('Turns'!F49,'Turns'!F50,'Turns'!F55),"Unknown")</f>
        <v>7.922e-05</v>
      </c>
      <c r="G59" s="5">
        <f>IF(ISNUMBER(E59),ROUND(E59*'Reference data'!$B$2,0),"Unknown")</f>
        <v>7.0</v>
      </c>
      <c r="H59" s="5">
        <f>IF(ISNUMBER(F59),ROUND(F59*'Reference data'!$B$2,0),"Unknown")</f>
        <v>8.0</v>
      </c>
      <c r="K59" s="4" t="s">
        <v>141</v>
      </c>
    </row>
  </sheetData>
  <conditionalFormatting sqref="A2:AE59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15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164</v>
      </c>
      <c r="B2" s="1">
        <v>0</v>
      </c>
      <c r="C2" s="1" t="s">
        <v>165</v>
      </c>
      <c r="D2" s="1" t="s">
        <v>47</v>
      </c>
      <c r="E2" s="1" t="s">
        <v>141</v>
      </c>
      <c r="G2" s="6" t="s">
        <v>166</v>
      </c>
      <c r="H2" t="s">
        <v>49</v>
      </c>
      <c r="J2" s="2">
        <f>IF(COUNT('Turns'!D5,'Turns'!D22)=2,SUM('Turns'!D5,'Turns'!D22),"Unknown")</f>
        <v>195.0</v>
      </c>
      <c r="K2" s="2">
        <f>IF(COUNT('Turns'!E5,'Turns'!E22)=2,SUM('Turns'!E5,'Turns'!E22),"Unknown")</f>
        <v>3.430986e-05</v>
      </c>
      <c r="L2" s="2">
        <f>IF(COUNT('Turns'!F5,'Turns'!F22)=2,SUM('Turns'!F5,'Turns'!F22),"Unknown")</f>
        <v>3.9e-05</v>
      </c>
      <c r="M2" s="2">
        <f>IF(COUNT('Turns'!D21)=1,SUM('Turns'!D21),"Unknown")</f>
        <v>216.0</v>
      </c>
      <c r="N2" s="2">
        <f>IF(COUNT('Turns'!E21)=1,SUM('Turns'!E21),"Unknown")</f>
        <v>3.8004768e-06</v>
      </c>
      <c r="O2" s="2">
        <f>IF(COUNT('Turns'!F21)=1,SUM('Turns'!F21),"Unknown")</f>
        <v>4.32e-06</v>
      </c>
      <c r="P2" s="2">
        <v>0</v>
      </c>
      <c r="Q2" s="2">
        <v>0</v>
      </c>
      <c r="R2" s="2">
        <v>0</v>
      </c>
      <c r="S2" s="2">
        <f>IF(COUNT('Turns'!D12,'Turns'!D27)=2,SUM('Turns'!D12,'Turns'!D27),"Unknown")</f>
        <v>102.0</v>
      </c>
      <c r="T2" s="2">
        <f>IF(COUNT('Turns'!E12,'Turns'!E27)=2,SUM('Turns'!E12,'Turns'!E27),"Unknown")</f>
        <v>0.000107680176</v>
      </c>
      <c r="U2" s="2">
        <f>IF(COUNT('Turns'!F12,'Turns'!F27)=2,SUM('Turns'!F12,'Turns'!F27),"Unknown")</f>
        <v>0.0001224</v>
      </c>
      <c r="V2" s="2">
        <v>0</v>
      </c>
      <c r="W2" s="2">
        <v>0</v>
      </c>
      <c r="X2" s="2">
        <v>0</v>
      </c>
      <c r="Y2" s="2">
        <f>IF(COUNT('Turns'!E16,'Turns'!E31)=2,SUM('Turns'!E16,'Turns'!E31),"Unknown")</f>
        <v>0.0001457905128</v>
      </c>
      <c r="Z2" s="2">
        <f>IF(COUNT('Turns'!F16,'Turns'!F31)=2,SUM('Turns'!F16,'Turns'!F31),"Unknown")</f>
        <v>0.00016572</v>
      </c>
      <c r="AA2" s="5">
        <f>IF(ISNUMBER(Y2),ROUND(Y2*'Reference data'!$B$2,0),"Unknown")</f>
        <v>15.0</v>
      </c>
      <c r="AB2" s="5">
        <f>IF(ISNUMBER(Z2),ROUND(Z2*'Reference data'!$B$2,0),"Unknown")</f>
        <v>17.0</v>
      </c>
      <c r="AD2" s="1">
        <v>136.06</v>
      </c>
      <c r="AE2" s="1" t="s">
        <v>167</v>
      </c>
    </row>
    <row r="3" spans="1:31" ht="54" customHeight="1">
      <c r="A3" s="6" t="s">
        <v>168</v>
      </c>
      <c r="B3" s="1">
        <v>1</v>
      </c>
      <c r="C3" s="1" t="s">
        <v>165</v>
      </c>
      <c r="D3" s="1" t="s">
        <v>47</v>
      </c>
      <c r="E3" s="1" t="s">
        <v>141</v>
      </c>
      <c r="G3" s="6" t="s">
        <v>169</v>
      </c>
      <c r="H3" t="s">
        <v>170</v>
      </c>
      <c r="I3" t="s">
        <v>49</v>
      </c>
      <c r="J3" s="2">
        <f>IF(COUNT('Turns'!D5)=1,SUM('Turns'!D5),"Unknown")</f>
        <v>162.0</v>
      </c>
      <c r="K3" s="2">
        <f>IF(COUNT('Turns'!E5)=1,SUM('Turns'!E5),"Unknown")</f>
        <v>2.8503576e-05</v>
      </c>
      <c r="L3" s="2">
        <f>IF(COUNT('Turns'!F5)=1,SUM('Turns'!F5),"Unknown")</f>
        <v>3.24e-05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IF(COUNT('Turns'!D12)=1,SUM('Turns'!D12),"Unknown")</f>
        <v>54.0</v>
      </c>
      <c r="T3" s="2">
        <f>IF(COUNT('Turns'!E12)=1,SUM('Turns'!E12),"Unknown")</f>
        <v>5.7007152e-05</v>
      </c>
      <c r="U3" s="2">
        <f>IF(COUNT('Turns'!F12)=1,SUM('Turns'!F12),"Unknown")</f>
        <v>6.48e-05</v>
      </c>
      <c r="V3" s="2">
        <v>0</v>
      </c>
      <c r="W3" s="2">
        <v>0</v>
      </c>
      <c r="X3" s="2">
        <v>0</v>
      </c>
      <c r="Y3" s="2">
        <f>IF(COUNT('Turns'!E16)=1,SUM('Turns'!E16),"Unknown")</f>
        <v>8.5510728e-05</v>
      </c>
      <c r="Z3" s="2">
        <f>IF(COUNT('Turns'!F16)=1,SUM('Turns'!F16),"Unknown")</f>
        <v>9.72e-05</v>
      </c>
      <c r="AA3" s="5">
        <f>IF(ISNUMBER(Y3),ROUND(Y3*'Reference data'!$B$2,0),"Unknown")</f>
        <v>9.0</v>
      </c>
      <c r="AB3" s="5">
        <f>IF(ISNUMBER(Z3),ROUND(Z3*'Reference data'!$B$2,0),"Unknown")</f>
        <v>10.0</v>
      </c>
      <c r="AD3" s="1">
        <v>128.865</v>
      </c>
      <c r="AE3" s="1" t="s">
        <v>167</v>
      </c>
    </row>
    <row r="4" spans="1:31" ht="54" customHeight="1">
      <c r="A4" s="6" t="s">
        <v>171</v>
      </c>
      <c r="B4" s="1">
        <v>2</v>
      </c>
      <c r="C4" s="1" t="s">
        <v>172</v>
      </c>
      <c r="D4" s="1" t="s">
        <v>126</v>
      </c>
      <c r="E4" s="1" t="s">
        <v>141</v>
      </c>
      <c r="F4" s="1">
        <v>162</v>
      </c>
      <c r="G4" s="6" t="s">
        <v>173</v>
      </c>
      <c r="H4" t="s">
        <v>127</v>
      </c>
      <c r="I4" t="s">
        <v>170</v>
      </c>
      <c r="J4" s="2">
        <f>IF(COUNT('Turns'!D5)=1,SUM('Turns'!D5),"Unknown")</f>
        <v>162.0</v>
      </c>
      <c r="K4" s="2">
        <f>IF(COUNT('Turns'!E5)=1,SUM('Turns'!E5),"Unknown")</f>
        <v>2.8503576e-05</v>
      </c>
      <c r="L4" s="2">
        <f>IF(COUNT('Turns'!F5)=1,SUM('Turns'!F5),"Unknown")</f>
        <v>3.24e-05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>IF(COUNT('Turns'!D12)=1,SUM('Turns'!D12),"Unknown")</f>
        <v>54.0</v>
      </c>
      <c r="T4" s="2">
        <f>IF(COUNT('Turns'!E12)=1,SUM('Turns'!E12),"Unknown")</f>
        <v>5.7007152e-05</v>
      </c>
      <c r="U4" s="2">
        <f>IF(COUNT('Turns'!F12)=1,SUM('Turns'!F12),"Unknown")</f>
        <v>6.48e-05</v>
      </c>
      <c r="V4" s="2">
        <v>0</v>
      </c>
      <c r="W4" s="2">
        <v>0</v>
      </c>
      <c r="X4" s="2">
        <v>0</v>
      </c>
      <c r="Y4" s="2">
        <f>IF(COUNT('Turns'!E16)=1,SUM('Turns'!E16),"Unknown")</f>
        <v>8.5510728e-05</v>
      </c>
      <c r="Z4" s="2">
        <f>IF(COUNT('Turns'!F16)=1,SUM('Turns'!F16),"Unknown")</f>
        <v>9.72e-05</v>
      </c>
      <c r="AA4" s="5">
        <f>IF(ISNUMBER(Y4),ROUND(Y4*'Reference data'!$B$2,0),"Unknown")</f>
        <v>9.0</v>
      </c>
      <c r="AB4" s="5">
        <f>IF(ISNUMBER(Z4),ROUND(Z4*'Reference data'!$B$2,0),"Unknown")</f>
        <v>10.0</v>
      </c>
      <c r="AC4" s="1" t="s">
        <v>124</v>
      </c>
      <c r="AD4" s="1">
        <v>127.304</v>
      </c>
      <c r="AE4" s="1" t="s">
        <v>174</v>
      </c>
    </row>
    <row r="5" spans="1:31" ht="54" customHeight="1">
      <c r="A5" s="6" t="s">
        <v>175</v>
      </c>
      <c r="B5" s="1">
        <v>1</v>
      </c>
      <c r="C5" s="1" t="s">
        <v>165</v>
      </c>
      <c r="D5" s="1" t="s">
        <v>47</v>
      </c>
      <c r="E5" s="1" t="s">
        <v>141</v>
      </c>
      <c r="G5" s="6" t="s">
        <v>176</v>
      </c>
      <c r="H5" t="s">
        <v>177</v>
      </c>
      <c r="I5" t="s">
        <v>49</v>
      </c>
      <c r="AD5" s="1">
        <v>1.396</v>
      </c>
      <c r="AE5" s="1" t="s">
        <v>178</v>
      </c>
    </row>
    <row r="6" spans="1:31" ht="54" customHeight="1">
      <c r="A6" s="6" t="s">
        <v>179</v>
      </c>
      <c r="B6" s="1">
        <v>2</v>
      </c>
      <c r="C6" s="1" t="s">
        <v>180</v>
      </c>
      <c r="D6" s="1" t="s">
        <v>47</v>
      </c>
      <c r="E6" s="1" t="s">
        <v>141</v>
      </c>
      <c r="G6" s="6" t="s">
        <v>181</v>
      </c>
      <c r="H6" t="s">
        <v>143</v>
      </c>
      <c r="I6" t="s">
        <v>177</v>
      </c>
      <c r="AD6" s="1">
        <v>0.434</v>
      </c>
      <c r="AE6" s="1" t="s">
        <v>178</v>
      </c>
    </row>
    <row r="7" spans="1:31" ht="54" customHeight="1">
      <c r="A7" s="6" t="s">
        <v>168</v>
      </c>
      <c r="B7" s="1">
        <v>1</v>
      </c>
      <c r="C7" s="1" t="s">
        <v>165</v>
      </c>
      <c r="D7" s="1" t="s">
        <v>47</v>
      </c>
      <c r="E7" s="1" t="s">
        <v>141</v>
      </c>
      <c r="G7" s="6" t="s">
        <v>169</v>
      </c>
      <c r="H7" t="s">
        <v>182</v>
      </c>
      <c r="I7" t="s">
        <v>49</v>
      </c>
      <c r="J7" s="2">
        <f>IF(COUNT('Turns'!D22)=1,SUM('Turns'!D22),"Unknown")</f>
        <v>33.0</v>
      </c>
      <c r="K7" s="2">
        <f>IF(COUNT('Turns'!E22)=1,SUM('Turns'!E22),"Unknown")</f>
        <v>5.806284e-06</v>
      </c>
      <c r="L7" s="2">
        <f>IF(COUNT('Turns'!F22)=1,SUM('Turns'!F22),"Unknown")</f>
        <v>6.6e-06</v>
      </c>
      <c r="M7" s="2">
        <f>IF(COUNT('Turns'!D21)=1,SUM('Turns'!D21),"Unknown")</f>
        <v>216.0</v>
      </c>
      <c r="N7" s="2">
        <f>IF(COUNT('Turns'!E21)=1,SUM('Turns'!E21),"Unknown")</f>
        <v>3.8004768e-06</v>
      </c>
      <c r="O7" s="2">
        <f>IF(COUNT('Turns'!F21)=1,SUM('Turns'!F21),"Unknown")</f>
        <v>4.32e-06</v>
      </c>
      <c r="P7" s="2">
        <v>0</v>
      </c>
      <c r="Q7" s="2">
        <v>0</v>
      </c>
      <c r="R7" s="2">
        <v>0</v>
      </c>
      <c r="S7" s="2">
        <f>IF(COUNT('Turns'!D27)=1,SUM('Turns'!D27),"Unknown")</f>
        <v>48.0</v>
      </c>
      <c r="T7" s="2">
        <f>IF(COUNT('Turns'!E27)=1,SUM('Turns'!E27),"Unknown")</f>
        <v>5.0673024e-05</v>
      </c>
      <c r="U7" s="2">
        <f>IF(COUNT('Turns'!F27)=1,SUM('Turns'!F27),"Unknown")</f>
        <v>5.76e-05</v>
      </c>
      <c r="V7" s="2">
        <v>0</v>
      </c>
      <c r="W7" s="2">
        <v>0</v>
      </c>
      <c r="X7" s="2">
        <v>0</v>
      </c>
      <c r="Y7" s="2">
        <f>IF(COUNT('Turns'!E31)=1,SUM('Turns'!E31),"Unknown")</f>
        <v>6.02797848e-05</v>
      </c>
      <c r="Z7" s="2">
        <f>IF(COUNT('Turns'!F31)=1,SUM('Turns'!F31),"Unknown")</f>
        <v>6.852e-05</v>
      </c>
      <c r="AA7" s="5">
        <f>IF(ISNUMBER(Y7),ROUND(Y7*'Reference data'!$B$2,0),"Unknown")</f>
        <v>6.0</v>
      </c>
      <c r="AB7" s="5">
        <f>IF(ISNUMBER(Z7),ROUND(Z7*'Reference data'!$B$2,0),"Unknown")</f>
        <v>7.0</v>
      </c>
      <c r="AD7" s="1">
        <v>2.809</v>
      </c>
      <c r="AE7" s="1" t="s">
        <v>167</v>
      </c>
    </row>
    <row r="8" spans="1:31" ht="54" customHeight="1">
      <c r="A8" s="6" t="s">
        <v>171</v>
      </c>
      <c r="B8" s="1">
        <v>2</v>
      </c>
      <c r="C8" s="1" t="s">
        <v>172</v>
      </c>
      <c r="D8" s="1" t="s">
        <v>126</v>
      </c>
      <c r="E8" s="1" t="s">
        <v>141</v>
      </c>
      <c r="F8" s="1">
        <v>249</v>
      </c>
      <c r="G8" s="6" t="s">
        <v>173</v>
      </c>
      <c r="H8" t="s">
        <v>149</v>
      </c>
      <c r="I8" t="s">
        <v>182</v>
      </c>
      <c r="J8" s="2">
        <f>IF(COUNT('Turns'!D22)=1,SUM('Turns'!D22),"Unknown")</f>
        <v>33.0</v>
      </c>
      <c r="K8" s="2">
        <f>IF(COUNT('Turns'!E22)=1,SUM('Turns'!E22),"Unknown")</f>
        <v>5.806284e-06</v>
      </c>
      <c r="L8" s="2">
        <f>IF(COUNT('Turns'!F22)=1,SUM('Turns'!F22),"Unknown")</f>
        <v>6.6e-06</v>
      </c>
      <c r="M8" s="2">
        <f>IF(COUNT('Turns'!D21)=1,SUM('Turns'!D21),"Unknown")</f>
        <v>216.0</v>
      </c>
      <c r="N8" s="2">
        <f>IF(COUNT('Turns'!E21)=1,SUM('Turns'!E21),"Unknown")</f>
        <v>3.8004768e-06</v>
      </c>
      <c r="O8" s="2">
        <f>IF(COUNT('Turns'!F21)=1,SUM('Turns'!F21),"Unknown")</f>
        <v>4.32e-06</v>
      </c>
      <c r="P8" s="2">
        <v>0</v>
      </c>
      <c r="Q8" s="2">
        <v>0</v>
      </c>
      <c r="R8" s="2">
        <v>0</v>
      </c>
      <c r="S8" s="2">
        <f>IF(COUNT('Turns'!D27)=1,SUM('Turns'!D27),"Unknown")</f>
        <v>48.0</v>
      </c>
      <c r="T8" s="2">
        <f>IF(COUNT('Turns'!E27)=1,SUM('Turns'!E27),"Unknown")</f>
        <v>5.0673024e-05</v>
      </c>
      <c r="U8" s="2">
        <f>IF(COUNT('Turns'!F27)=1,SUM('Turns'!F27),"Unknown")</f>
        <v>5.76e-05</v>
      </c>
      <c r="V8" s="2">
        <v>0</v>
      </c>
      <c r="W8" s="2">
        <v>0</v>
      </c>
      <c r="X8" s="2">
        <v>0</v>
      </c>
      <c r="Y8" s="2">
        <f>IF(COUNT('Turns'!E31)=1,SUM('Turns'!E31),"Unknown")</f>
        <v>6.02797848e-05</v>
      </c>
      <c r="Z8" s="2">
        <f>IF(COUNT('Turns'!F31)=1,SUM('Turns'!F31),"Unknown")</f>
        <v>6.852e-05</v>
      </c>
      <c r="AA8" s="5">
        <f>IF(ISNUMBER(Y8),ROUND(Y8*'Reference data'!$B$2,0),"Unknown")</f>
        <v>6.0</v>
      </c>
      <c r="AB8" s="5">
        <f>IF(ISNUMBER(Z8),ROUND(Z8*'Reference data'!$B$2,0),"Unknown")</f>
        <v>7.0</v>
      </c>
      <c r="AC8" s="1" t="s">
        <v>148</v>
      </c>
      <c r="AD8" s="1">
        <v>1.317</v>
      </c>
      <c r="AE8" s="1" t="s">
        <v>174</v>
      </c>
    </row>
    <row r="9" spans="1:31" ht="54" customHeight="1">
      <c r="A9" s="6" t="s">
        <v>164</v>
      </c>
      <c r="B9" s="1">
        <v>0</v>
      </c>
      <c r="C9" s="1" t="s">
        <v>165</v>
      </c>
      <c r="D9" s="1" t="s">
        <v>47</v>
      </c>
      <c r="E9" s="1" t="s">
        <v>141</v>
      </c>
      <c r="G9" s="6" t="s">
        <v>166</v>
      </c>
      <c r="H9" t="s">
        <v>183</v>
      </c>
      <c r="J9" s="2">
        <f>IF(COUNT('Turns'!D35,'Turns'!D50)=2,SUM('Turns'!D35,'Turns'!D50),"Unknown")</f>
        <v>63.0</v>
      </c>
      <c r="K9" s="2">
        <f>IF(COUNT('Turns'!E35,'Turns'!E50)=2,SUM('Turns'!E35,'Turns'!E50),"Unknown")</f>
        <v>1.1084724e-05</v>
      </c>
      <c r="L9" s="2">
        <f>IF(COUNT('Turns'!F35,'Turns'!F50)=2,SUM('Turns'!F35,'Turns'!F50),"Unknown")</f>
        <v>1.26e-05</v>
      </c>
      <c r="M9" s="2">
        <f>IF(COUNT('Turns'!D34,'Turns'!D49)=2,SUM('Turns'!D34,'Turns'!D49),"Unknown")</f>
        <v>688.0</v>
      </c>
      <c r="N9" s="2">
        <f>IF(COUNT('Turns'!E34,'Turns'!E49)=2,SUM('Turns'!E34,'Turns'!E49),"Unknown")</f>
        <v>1.21052224e-05</v>
      </c>
      <c r="O9" s="2">
        <f>IF(COUNT('Turns'!F34,'Turns'!F49)=2,SUM('Turns'!F34,'Turns'!F49),"Unknown")</f>
        <v>1.376e-05</v>
      </c>
      <c r="P9" s="2">
        <v>0</v>
      </c>
      <c r="Q9" s="2">
        <v>0</v>
      </c>
      <c r="R9" s="2">
        <v>0</v>
      </c>
      <c r="S9" s="2">
        <f>IF(COUNT('Turns'!D40,'Turns'!D55)=2,SUM('Turns'!D40,'Turns'!D55),"Unknown")</f>
        <v>118.0</v>
      </c>
      <c r="T9" s="2">
        <f>IF(COUNT('Turns'!E40,'Turns'!E55)=2,SUM('Turns'!E40,'Turns'!E55),"Unknown")</f>
        <v>0.000124571184</v>
      </c>
      <c r="U9" s="2">
        <f>IF(COUNT('Turns'!F40,'Turns'!F55)=2,SUM('Turns'!F40,'Turns'!F55),"Unknown")</f>
        <v>0.0001416</v>
      </c>
      <c r="V9" s="2">
        <v>0</v>
      </c>
      <c r="W9" s="2">
        <v>0</v>
      </c>
      <c r="X9" s="2">
        <v>0</v>
      </c>
      <c r="Y9" s="2">
        <f>IF(COUNT('Turns'!E44,'Turns'!E59)=2,SUM('Turns'!E44,'Turns'!E59),"Unknown")</f>
        <v>0.0001477611304</v>
      </c>
      <c r="Z9" s="2">
        <f>IF(COUNT('Turns'!F44,'Turns'!F59)=2,SUM('Turns'!F44,'Turns'!F59),"Unknown")</f>
        <v>0.00016796</v>
      </c>
      <c r="AA9" s="5">
        <f>IF(ISNUMBER(Y9),ROUND(Y9*'Reference data'!$B$2,0),"Unknown")</f>
        <v>15.0</v>
      </c>
      <c r="AB9" s="5">
        <f>IF(ISNUMBER(Z9),ROUND(Z9*'Reference data'!$B$2,0),"Unknown")</f>
        <v>17.0</v>
      </c>
      <c r="AD9" s="1">
        <v>8.731999999999999</v>
      </c>
      <c r="AE9" s="1" t="s">
        <v>167</v>
      </c>
    </row>
    <row r="10" spans="1:31" ht="54" customHeight="1">
      <c r="A10" s="6" t="s">
        <v>168</v>
      </c>
      <c r="B10" s="1">
        <v>1</v>
      </c>
      <c r="C10" s="1" t="s">
        <v>165</v>
      </c>
      <c r="D10" s="1" t="s">
        <v>47</v>
      </c>
      <c r="E10" s="1" t="s">
        <v>141</v>
      </c>
      <c r="G10" s="6" t="s">
        <v>169</v>
      </c>
      <c r="H10" t="s">
        <v>184</v>
      </c>
      <c r="I10" t="s">
        <v>183</v>
      </c>
      <c r="J10" s="2">
        <f>IF(COUNT('Turns'!D35)=1,SUM('Turns'!D35),"Unknown")</f>
        <v>30.0</v>
      </c>
      <c r="K10" s="2">
        <f>IF(COUNT('Turns'!E35)=1,SUM('Turns'!E35),"Unknown")</f>
        <v>5.27844e-06</v>
      </c>
      <c r="L10" s="2">
        <f>IF(COUNT('Turns'!F35)=1,SUM('Turns'!F35),"Unknown")</f>
        <v>6e-06</v>
      </c>
      <c r="M10" s="2">
        <f>IF(COUNT('Turns'!D34)=1,SUM('Turns'!D34),"Unknown")</f>
        <v>297.0</v>
      </c>
      <c r="N10" s="2">
        <f>IF(COUNT('Turns'!E34)=1,SUM('Turns'!E34),"Unknown")</f>
        <v>5.2256556e-06</v>
      </c>
      <c r="O10" s="2">
        <f>IF(COUNT('Turns'!F34)=1,SUM('Turns'!F34),"Unknown")</f>
        <v>5.94e-06</v>
      </c>
      <c r="P10" s="2">
        <v>0</v>
      </c>
      <c r="Q10" s="2">
        <v>0</v>
      </c>
      <c r="R10" s="2">
        <v>0</v>
      </c>
      <c r="S10" s="2">
        <f>IF(COUNT('Turns'!D40)=1,SUM('Turns'!D40),"Unknown")</f>
        <v>64.0</v>
      </c>
      <c r="T10" s="2">
        <f>IF(COUNT('Turns'!E40)=1,SUM('Turns'!E40),"Unknown")</f>
        <v>6.7564032e-05</v>
      </c>
      <c r="U10" s="2">
        <f>IF(COUNT('Turns'!F40)=1,SUM('Turns'!F40),"Unknown")</f>
        <v>7.68e-05</v>
      </c>
      <c r="V10" s="2">
        <v>0</v>
      </c>
      <c r="W10" s="2">
        <v>0</v>
      </c>
      <c r="X10" s="2">
        <v>0</v>
      </c>
      <c r="Y10" s="2">
        <f>IF(COUNT('Turns'!E44)=1,SUM('Turns'!E44),"Unknown")</f>
        <v>7.80681276e-05</v>
      </c>
      <c r="Z10" s="2">
        <f>IF(COUNT('Turns'!F44)=1,SUM('Turns'!F44),"Unknown")</f>
        <v>8.874e-05</v>
      </c>
      <c r="AA10" s="5">
        <f>IF(ISNUMBER(Y10),ROUND(Y10*'Reference data'!$B$2,0),"Unknown")</f>
        <v>8.0</v>
      </c>
      <c r="AB10" s="5">
        <f>IF(ISNUMBER(Z10),ROUND(Z10*'Reference data'!$B$2,0),"Unknown")</f>
        <v>9.0</v>
      </c>
      <c r="AD10" s="1">
        <v>2.803</v>
      </c>
      <c r="AE10" s="1" t="s">
        <v>167</v>
      </c>
    </row>
    <row r="11" spans="1:31" ht="54" customHeight="1">
      <c r="A11" s="6" t="s">
        <v>171</v>
      </c>
      <c r="B11" s="1">
        <v>2</v>
      </c>
      <c r="C11" s="1" t="s">
        <v>172</v>
      </c>
      <c r="D11" s="1" t="s">
        <v>126</v>
      </c>
      <c r="E11" s="1" t="s">
        <v>141</v>
      </c>
      <c r="F11" s="1">
        <v>327</v>
      </c>
      <c r="G11" s="6" t="s">
        <v>173</v>
      </c>
      <c r="H11" t="s">
        <v>155</v>
      </c>
      <c r="I11" t="s">
        <v>184</v>
      </c>
      <c r="J11" s="2">
        <f>IF(COUNT('Turns'!D35)=1,SUM('Turns'!D35),"Unknown")</f>
        <v>30.0</v>
      </c>
      <c r="K11" s="2">
        <f>IF(COUNT('Turns'!E35)=1,SUM('Turns'!E35),"Unknown")</f>
        <v>5.27844e-06</v>
      </c>
      <c r="L11" s="2">
        <f>IF(COUNT('Turns'!F35)=1,SUM('Turns'!F35),"Unknown")</f>
        <v>6e-06</v>
      </c>
      <c r="M11" s="2">
        <f>IF(COUNT('Turns'!D34)=1,SUM('Turns'!D34),"Unknown")</f>
        <v>297.0</v>
      </c>
      <c r="N11" s="2">
        <f>IF(COUNT('Turns'!E34)=1,SUM('Turns'!E34),"Unknown")</f>
        <v>5.2256556e-06</v>
      </c>
      <c r="O11" s="2">
        <f>IF(COUNT('Turns'!F34)=1,SUM('Turns'!F34),"Unknown")</f>
        <v>5.94e-06</v>
      </c>
      <c r="P11" s="2">
        <v>0</v>
      </c>
      <c r="Q11" s="2">
        <v>0</v>
      </c>
      <c r="R11" s="2">
        <v>0</v>
      </c>
      <c r="S11" s="2">
        <f>IF(COUNT('Turns'!D40)=1,SUM('Turns'!D40),"Unknown")</f>
        <v>64.0</v>
      </c>
      <c r="T11" s="2">
        <f>IF(COUNT('Turns'!E40)=1,SUM('Turns'!E40),"Unknown")</f>
        <v>6.7564032e-05</v>
      </c>
      <c r="U11" s="2">
        <f>IF(COUNT('Turns'!F40)=1,SUM('Turns'!F40),"Unknown")</f>
        <v>7.68e-05</v>
      </c>
      <c r="V11" s="2">
        <v>0</v>
      </c>
      <c r="W11" s="2">
        <v>0</v>
      </c>
      <c r="X11" s="2">
        <v>0</v>
      </c>
      <c r="Y11" s="2">
        <f>IF(COUNT('Turns'!E44)=1,SUM('Turns'!E44),"Unknown")</f>
        <v>7.80681276e-05</v>
      </c>
      <c r="Z11" s="2">
        <f>IF(COUNT('Turns'!F44)=1,SUM('Turns'!F44),"Unknown")</f>
        <v>8.874e-05</v>
      </c>
      <c r="AA11" s="5">
        <f>IF(ISNUMBER(Y11),ROUND(Y11*'Reference data'!$B$2,0),"Unknown")</f>
        <v>8.0</v>
      </c>
      <c r="AB11" s="5">
        <f>IF(ISNUMBER(Z11),ROUND(Z11*'Reference data'!$B$2,0),"Unknown")</f>
        <v>9.0</v>
      </c>
      <c r="AC11" s="1" t="s">
        <v>154</v>
      </c>
      <c r="AD11" s="1">
        <v>1.916</v>
      </c>
      <c r="AE11" s="1" t="s">
        <v>174</v>
      </c>
    </row>
    <row r="12" spans="1:31" ht="54" customHeight="1">
      <c r="A12" s="6" t="s">
        <v>175</v>
      </c>
      <c r="B12" s="1">
        <v>1</v>
      </c>
      <c r="C12" s="1" t="s">
        <v>165</v>
      </c>
      <c r="D12" s="1" t="s">
        <v>47</v>
      </c>
      <c r="E12" s="1" t="s">
        <v>141</v>
      </c>
      <c r="G12" s="6" t="s">
        <v>176</v>
      </c>
      <c r="H12" t="s">
        <v>185</v>
      </c>
      <c r="I12" t="s">
        <v>183</v>
      </c>
      <c r="AD12" s="1">
        <v>1.366</v>
      </c>
      <c r="AE12" s="1" t="s">
        <v>178</v>
      </c>
    </row>
    <row r="13" spans="1:31" ht="54" customHeight="1">
      <c r="A13" s="6" t="s">
        <v>179</v>
      </c>
      <c r="B13" s="1">
        <v>2</v>
      </c>
      <c r="C13" s="1" t="s">
        <v>180</v>
      </c>
      <c r="D13" s="1" t="s">
        <v>47</v>
      </c>
      <c r="E13" s="1" t="s">
        <v>141</v>
      </c>
      <c r="G13" s="6" t="s">
        <v>181</v>
      </c>
      <c r="H13" t="s">
        <v>158</v>
      </c>
      <c r="I13" t="s">
        <v>185</v>
      </c>
      <c r="AD13" s="1">
        <v>0.419</v>
      </c>
      <c r="AE13" s="1" t="s">
        <v>178</v>
      </c>
    </row>
    <row r="14" spans="1:31" ht="54" customHeight="1">
      <c r="A14" s="6" t="s">
        <v>168</v>
      </c>
      <c r="B14" s="1">
        <v>1</v>
      </c>
      <c r="C14" s="1" t="s">
        <v>165</v>
      </c>
      <c r="D14" s="1" t="s">
        <v>47</v>
      </c>
      <c r="E14" s="1" t="s">
        <v>141</v>
      </c>
      <c r="G14" s="6" t="s">
        <v>169</v>
      </c>
      <c r="H14" t="s">
        <v>186</v>
      </c>
      <c r="I14" t="s">
        <v>183</v>
      </c>
      <c r="J14" s="2">
        <f>IF(COUNT('Turns'!D50)=1,SUM('Turns'!D50),"Unknown")</f>
        <v>33.0</v>
      </c>
      <c r="K14" s="2">
        <f>IF(COUNT('Turns'!E50)=1,SUM('Turns'!E50),"Unknown")</f>
        <v>5.806284e-06</v>
      </c>
      <c r="L14" s="2">
        <f>IF(COUNT('Turns'!F50)=1,SUM('Turns'!F50),"Unknown")</f>
        <v>6.6e-06</v>
      </c>
      <c r="M14" s="2">
        <f>IF(COUNT('Turns'!D49)=1,SUM('Turns'!D49),"Unknown")</f>
        <v>391.0</v>
      </c>
      <c r="N14" s="2">
        <f>IF(COUNT('Turns'!E49)=1,SUM('Turns'!E49),"Unknown")</f>
        <v>6.8795668e-06</v>
      </c>
      <c r="O14" s="2">
        <f>IF(COUNT('Turns'!F49)=1,SUM('Turns'!F49),"Unknown")</f>
        <v>7.82e-06</v>
      </c>
      <c r="P14" s="2">
        <v>0</v>
      </c>
      <c r="Q14" s="2">
        <v>0</v>
      </c>
      <c r="R14" s="2">
        <v>0</v>
      </c>
      <c r="S14" s="2">
        <f>IF(COUNT('Turns'!D55)=1,SUM('Turns'!D55),"Unknown")</f>
        <v>54.0</v>
      </c>
      <c r="T14" s="2">
        <f>IF(COUNT('Turns'!E55)=1,SUM('Turns'!E55),"Unknown")</f>
        <v>5.7007152e-05</v>
      </c>
      <c r="U14" s="2">
        <f>IF(COUNT('Turns'!F55)=1,SUM('Turns'!F55),"Unknown")</f>
        <v>6.48e-05</v>
      </c>
      <c r="V14" s="2">
        <v>0</v>
      </c>
      <c r="W14" s="2">
        <v>0</v>
      </c>
      <c r="X14" s="2">
        <v>0</v>
      </c>
      <c r="Y14" s="2">
        <f>IF(COUNT('Turns'!E59)=1,SUM('Turns'!E59),"Unknown")</f>
        <v>6.96930028e-05</v>
      </c>
      <c r="Z14" s="2">
        <f>IF(COUNT('Turns'!F59)=1,SUM('Turns'!F59),"Unknown")</f>
        <v>7.922e-05</v>
      </c>
      <c r="AA14" s="5">
        <f>IF(ISNUMBER(Y14),ROUND(Y14*'Reference data'!$B$2,0),"Unknown")</f>
        <v>7.0</v>
      </c>
      <c r="AB14" s="5">
        <f>IF(ISNUMBER(Z14),ROUND(Z14*'Reference data'!$B$2,0),"Unknown")</f>
        <v>8.0</v>
      </c>
      <c r="AD14" s="1">
        <v>2.023</v>
      </c>
      <c r="AE14" s="1" t="s">
        <v>167</v>
      </c>
    </row>
    <row r="15" spans="1:31" ht="54" customHeight="1">
      <c r="A15" s="6" t="s">
        <v>171</v>
      </c>
      <c r="B15" s="1">
        <v>2</v>
      </c>
      <c r="C15" s="1" t="s">
        <v>172</v>
      </c>
      <c r="D15" s="1" t="s">
        <v>126</v>
      </c>
      <c r="E15" s="1" t="s">
        <v>141</v>
      </c>
      <c r="F15" s="1">
        <v>424</v>
      </c>
      <c r="G15" s="6" t="s">
        <v>173</v>
      </c>
      <c r="H15" t="s">
        <v>162</v>
      </c>
      <c r="I15" t="s">
        <v>186</v>
      </c>
      <c r="J15" s="2">
        <f>IF(COUNT('Turns'!D50)=1,SUM('Turns'!D50),"Unknown")</f>
        <v>33.0</v>
      </c>
      <c r="K15" s="2">
        <f>IF(COUNT('Turns'!E50)=1,SUM('Turns'!E50),"Unknown")</f>
        <v>5.806284e-06</v>
      </c>
      <c r="L15" s="2">
        <f>IF(COUNT('Turns'!F50)=1,SUM('Turns'!F50),"Unknown")</f>
        <v>6.6e-06</v>
      </c>
      <c r="M15" s="2">
        <f>IF(COUNT('Turns'!D49)=1,SUM('Turns'!D49),"Unknown")</f>
        <v>391.0</v>
      </c>
      <c r="N15" s="2">
        <f>IF(COUNT('Turns'!E49)=1,SUM('Turns'!E49),"Unknown")</f>
        <v>6.8795668e-06</v>
      </c>
      <c r="O15" s="2">
        <f>IF(COUNT('Turns'!F49)=1,SUM('Turns'!F49),"Unknown")</f>
        <v>7.82e-06</v>
      </c>
      <c r="P15" s="2">
        <v>0</v>
      </c>
      <c r="Q15" s="2">
        <v>0</v>
      </c>
      <c r="R15" s="2">
        <v>0</v>
      </c>
      <c r="S15" s="2">
        <f>IF(COUNT('Turns'!D55)=1,SUM('Turns'!D55),"Unknown")</f>
        <v>54.0</v>
      </c>
      <c r="T15" s="2">
        <f>IF(COUNT('Turns'!E55)=1,SUM('Turns'!E55),"Unknown")</f>
        <v>5.7007152e-05</v>
      </c>
      <c r="U15" s="2">
        <f>IF(COUNT('Turns'!F55)=1,SUM('Turns'!F55),"Unknown")</f>
        <v>6.48e-05</v>
      </c>
      <c r="V15" s="2">
        <v>0</v>
      </c>
      <c r="W15" s="2">
        <v>0</v>
      </c>
      <c r="X15" s="2">
        <v>0</v>
      </c>
      <c r="Y15" s="2">
        <f>IF(COUNT('Turns'!E59)=1,SUM('Turns'!E59),"Unknown")</f>
        <v>6.96930028e-05</v>
      </c>
      <c r="Z15" s="2">
        <f>IF(COUNT('Turns'!F59)=1,SUM('Turns'!F59),"Unknown")</f>
        <v>7.922e-05</v>
      </c>
      <c r="AA15" s="5">
        <f>IF(ISNUMBER(Y15),ROUND(Y15*'Reference data'!$B$2,0),"Unknown")</f>
        <v>7.0</v>
      </c>
      <c r="AB15" s="5">
        <f>IF(ISNUMBER(Z15),ROUND(Z15*'Reference data'!$B$2,0),"Unknown")</f>
        <v>8.0</v>
      </c>
      <c r="AC15" s="1" t="s">
        <v>161</v>
      </c>
      <c r="AD15" s="1">
        <v>1.265</v>
      </c>
      <c r="AE15" s="1" t="s">
        <v>174</v>
      </c>
    </row>
  </sheetData>
  <conditionalFormatting sqref="A2:AE15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4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0.87974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  <row r="23" spans="1:9" ht="72" customHeight="1">
      <c r="A23" s="6" t="s">
        <v>91</v>
      </c>
      <c r="B23" s="2">
        <v>1</v>
      </c>
      <c r="C23" s="2">
        <v>0.10</v>
      </c>
      <c r="D23" s="2">
        <v>1.25</v>
      </c>
      <c r="E23" s="2">
        <v>5</v>
      </c>
      <c r="F23" s="2">
        <v>5</v>
      </c>
      <c r="G23" s="6" t="s">
        <v>78</v>
      </c>
      <c r="H23" s="6" t="s">
        <v>86</v>
      </c>
      <c r="I23" s="6" t="s">
        <v>80</v>
      </c>
    </row>
    <row r="24" spans="1:9" ht="72" customHeight="1">
      <c r="A24" s="6" t="s">
        <v>92</v>
      </c>
      <c r="B24" s="2">
        <v>1</v>
      </c>
      <c r="C24" s="2">
        <v>0.10</v>
      </c>
      <c r="D24" s="2">
        <v>1.25</v>
      </c>
      <c r="E24" s="2">
        <v>5</v>
      </c>
      <c r="F24" s="2">
        <v>5</v>
      </c>
      <c r="G24" s="6" t="s">
        <v>78</v>
      </c>
      <c r="H24" s="6" t="s">
        <v>86</v>
      </c>
      <c r="I24" s="6" t="s">
        <v>80</v>
      </c>
    </row>
    <row r="25" spans="1:9" ht="72" customHeight="1">
      <c r="A25" s="6" t="s">
        <v>93</v>
      </c>
      <c r="B25" s="2">
        <v>4</v>
      </c>
      <c r="C25" s="2">
        <v>0.20</v>
      </c>
      <c r="D25" s="2">
        <v>5</v>
      </c>
      <c r="E25" s="2">
        <v>20</v>
      </c>
      <c r="F25" s="2">
        <v>20</v>
      </c>
      <c r="G25" s="6" t="s">
        <v>78</v>
      </c>
      <c r="H25" s="6" t="s">
        <v>86</v>
      </c>
      <c r="I25" s="6" t="s">
        <v>80</v>
      </c>
    </row>
    <row r="26" spans="1:9" ht="72" customHeight="1">
      <c r="A26" s="6" t="s">
        <v>94</v>
      </c>
      <c r="B26" s="2">
        <v>3</v>
      </c>
      <c r="C26" s="2">
        <v>0.30</v>
      </c>
      <c r="D26" s="2">
        <v>3.75</v>
      </c>
      <c r="E26" s="2">
        <v>15</v>
      </c>
      <c r="F26" s="2">
        <v>15</v>
      </c>
      <c r="G26" s="6" t="s">
        <v>78</v>
      </c>
      <c r="H26" s="6" t="s">
        <v>86</v>
      </c>
      <c r="I26" s="6" t="s">
        <v>80</v>
      </c>
    </row>
    <row r="27" spans="1:9" ht="72" customHeight="1">
      <c r="A27" s="6" t="s">
        <v>95</v>
      </c>
      <c r="B27" s="2">
        <v>2</v>
      </c>
      <c r="C27" s="2">
        <v>0.20</v>
      </c>
      <c r="D27" s="2">
        <v>2.50</v>
      </c>
      <c r="E27" s="2">
        <v>10</v>
      </c>
      <c r="F27" s="2">
        <v>10</v>
      </c>
      <c r="G27" s="6" t="s">
        <v>78</v>
      </c>
      <c r="H27" s="6" t="s">
        <v>86</v>
      </c>
      <c r="I27" s="6" t="s">
        <v>80</v>
      </c>
    </row>
    <row r="28" spans="1:9" ht="72" customHeight="1">
      <c r="A28" s="6" t="s">
        <v>96</v>
      </c>
      <c r="B28" s="2">
        <v>1.00</v>
      </c>
      <c r="C28" s="2">
        <v>0.10</v>
      </c>
      <c r="D28" s="2">
        <v>1.25</v>
      </c>
      <c r="E28" s="2">
        <v>5.00</v>
      </c>
      <c r="F28" s="2">
        <v>5.00</v>
      </c>
      <c r="G28" s="6" t="s">
        <v>78</v>
      </c>
      <c r="H28" s="6" t="s">
        <v>97</v>
      </c>
      <c r="I28" s="6" t="s">
        <v>80</v>
      </c>
    </row>
    <row r="29" spans="1:9" ht="72" customHeight="1">
      <c r="A29" s="6" t="s">
        <v>98</v>
      </c>
      <c r="B29" s="2">
        <v>4.00</v>
      </c>
      <c r="C29" s="2">
        <v>0.20</v>
      </c>
      <c r="D29" s="2">
        <v>5.00</v>
      </c>
      <c r="E29" s="2">
        <v>20.00</v>
      </c>
      <c r="F29" s="2">
        <v>20.00</v>
      </c>
      <c r="G29" s="6" t="s">
        <v>78</v>
      </c>
      <c r="H29" s="6" t="s">
        <v>97</v>
      </c>
      <c r="I29" s="6" t="s">
        <v>80</v>
      </c>
    </row>
    <row r="30" spans="1:9" ht="72" customHeight="1">
      <c r="A30" s="6" t="s">
        <v>99</v>
      </c>
      <c r="B30" s="2">
        <v>3.00</v>
      </c>
      <c r="C30" s="2">
        <v>0.30</v>
      </c>
      <c r="D30" s="2">
        <v>3.75</v>
      </c>
      <c r="E30" s="2">
        <v>15.00</v>
      </c>
      <c r="F30" s="2">
        <v>15.00</v>
      </c>
      <c r="G30" s="6" t="s">
        <v>78</v>
      </c>
      <c r="H30" s="6" t="s">
        <v>97</v>
      </c>
      <c r="I30" s="6" t="s">
        <v>80</v>
      </c>
    </row>
    <row r="31" spans="1:9" ht="72" customHeight="1">
      <c r="A31" s="6" t="s">
        <v>100</v>
      </c>
      <c r="B31" s="2">
        <v>2.00</v>
      </c>
      <c r="C31" s="2">
        <v>0.20</v>
      </c>
      <c r="D31" s="2">
        <v>2.50</v>
      </c>
      <c r="E31" s="2">
        <v>10.00</v>
      </c>
      <c r="F31" s="2">
        <v>10.00</v>
      </c>
      <c r="G31" s="6" t="s">
        <v>78</v>
      </c>
      <c r="H31" s="6" t="s">
        <v>97</v>
      </c>
      <c r="I31" s="6" t="s">
        <v>80</v>
      </c>
    </row>
    <row r="32" spans="1:9" ht="72" customHeight="1">
      <c r="A32" s="6" t="s">
        <v>101</v>
      </c>
      <c r="B32" s="2">
        <v>0.75</v>
      </c>
      <c r="C32" s="2">
        <v>0.075</v>
      </c>
      <c r="D32" s="2" t="s">
        <v>77</v>
      </c>
      <c r="E32" s="2">
        <v>3.75</v>
      </c>
      <c r="F32" s="2">
        <v>3.75</v>
      </c>
      <c r="G32" s="6" t="s">
        <v>78</v>
      </c>
      <c r="H32" s="6" t="s">
        <v>97</v>
      </c>
      <c r="I32" s="6" t="s">
        <v>80</v>
      </c>
    </row>
    <row r="33" spans="1:9" ht="72" customHeight="1">
      <c r="A33" s="6" t="s">
        <v>102</v>
      </c>
      <c r="B33" s="2">
        <v>1.75</v>
      </c>
      <c r="C33" s="2">
        <v>0.175</v>
      </c>
      <c r="D33" s="2" t="s">
        <v>77</v>
      </c>
      <c r="E33" s="2">
        <v>14.00</v>
      </c>
      <c r="F33" s="2">
        <v>14.00</v>
      </c>
      <c r="G33" s="6" t="s">
        <v>78</v>
      </c>
      <c r="H33" s="6" t="s">
        <v>97</v>
      </c>
      <c r="I33" s="6" t="s">
        <v>80</v>
      </c>
    </row>
    <row r="34" spans="1:9" ht="72" customHeight="1">
      <c r="A34" s="6" t="s">
        <v>103</v>
      </c>
      <c r="B34" s="2">
        <v>2.50</v>
      </c>
      <c r="C34" s="2">
        <v>0.25</v>
      </c>
      <c r="D34" s="2" t="s">
        <v>77</v>
      </c>
      <c r="E34" s="2">
        <v>15.00</v>
      </c>
      <c r="F34" s="2">
        <v>15.00</v>
      </c>
      <c r="G34" s="6" t="s">
        <v>78</v>
      </c>
      <c r="H34" s="6" t="s">
        <v>97</v>
      </c>
      <c r="I34" s="6" t="s">
        <v>80</v>
      </c>
    </row>
    <row r="35" spans="1:9" ht="72" customHeight="1">
      <c r="A35" s="6" t="s">
        <v>104</v>
      </c>
      <c r="B35" s="2">
        <v>10.00</v>
      </c>
      <c r="C35" s="2">
        <v>1.00</v>
      </c>
      <c r="D35" s="2">
        <v>12.50</v>
      </c>
      <c r="E35" s="2">
        <v>50.00</v>
      </c>
      <c r="F35" s="2">
        <v>50.00</v>
      </c>
      <c r="G35" s="6" t="s">
        <v>78</v>
      </c>
      <c r="H35" s="6" t="s">
        <v>97</v>
      </c>
      <c r="I35" s="6" t="s">
        <v>80</v>
      </c>
    </row>
    <row r="36" spans="1:9" ht="72" customHeight="1">
      <c r="A36" s="6" t="s">
        <v>105</v>
      </c>
      <c r="B36" s="2">
        <v>0.10</v>
      </c>
      <c r="C36" s="2">
        <v>0.01</v>
      </c>
      <c r="D36" s="2">
        <v>0.125</v>
      </c>
      <c r="E36" s="2">
        <v>0.50</v>
      </c>
      <c r="F36" s="2">
        <v>0.50</v>
      </c>
      <c r="G36" s="6" t="s">
        <v>78</v>
      </c>
      <c r="H36" s="6" t="s">
        <v>97</v>
      </c>
      <c r="I36" s="6" t="s">
        <v>80</v>
      </c>
    </row>
    <row r="37" spans="1:9" ht="72" customHeight="1">
      <c r="A37" s="6" t="s">
        <v>106</v>
      </c>
      <c r="B37" s="2">
        <v>2.00</v>
      </c>
      <c r="C37" s="2">
        <v>0.20</v>
      </c>
      <c r="D37" s="2">
        <v>2.50</v>
      </c>
      <c r="E37" s="2">
        <v>10.00</v>
      </c>
      <c r="F37" s="2">
        <v>10.00</v>
      </c>
      <c r="G37" s="6" t="s">
        <v>78</v>
      </c>
      <c r="H37" s="6" t="s">
        <v>97</v>
      </c>
      <c r="I37" s="6" t="s">
        <v>80</v>
      </c>
    </row>
    <row r="38" spans="1:9" ht="72" customHeight="1">
      <c r="A38" s="6" t="s">
        <v>107</v>
      </c>
      <c r="B38" s="2">
        <v>2.00</v>
      </c>
      <c r="C38" s="2">
        <v>0.10</v>
      </c>
      <c r="D38" s="2">
        <v>2.50</v>
      </c>
      <c r="E38" s="2">
        <v>10.00</v>
      </c>
      <c r="F38" s="2">
        <v>10.00</v>
      </c>
      <c r="G38" s="6" t="s">
        <v>78</v>
      </c>
      <c r="H38" s="6" t="s">
        <v>97</v>
      </c>
      <c r="I38" s="6" t="s">
        <v>80</v>
      </c>
    </row>
    <row r="39" spans="1:9" ht="72" customHeight="1">
      <c r="A39" s="6" t="s">
        <v>108</v>
      </c>
      <c r="B39" s="2">
        <v>10</v>
      </c>
      <c r="C39" s="2">
        <v>1</v>
      </c>
      <c r="D39" s="2">
        <v>12.50</v>
      </c>
      <c r="E39" s="2">
        <v>50</v>
      </c>
      <c r="F39" s="2">
        <v>50</v>
      </c>
      <c r="G39" s="6" t="s">
        <v>78</v>
      </c>
      <c r="H39" s="6" t="s">
        <v>109</v>
      </c>
      <c r="I39" s="6" t="s">
        <v>80</v>
      </c>
    </row>
    <row r="40" spans="1:9" ht="72" customHeight="1">
      <c r="A40" s="6" t="s">
        <v>110</v>
      </c>
      <c r="B40" s="2">
        <v>0.1</v>
      </c>
      <c r="C40" s="2">
        <v>0.01</v>
      </c>
      <c r="D40" s="2">
        <v>0.125</v>
      </c>
      <c r="E40" s="2">
        <v>0.5</v>
      </c>
      <c r="F40" s="2">
        <v>0.5</v>
      </c>
      <c r="G40" s="6" t="s">
        <v>78</v>
      </c>
      <c r="H40" s="6" t="s">
        <v>111</v>
      </c>
      <c r="I40" s="6" t="s">
        <v>80</v>
      </c>
    </row>
    <row r="41" spans="1:9" ht="72" customHeight="1">
      <c r="A41" s="6" t="s">
        <v>112</v>
      </c>
      <c r="B41" s="2">
        <v>2</v>
      </c>
      <c r="C41" s="2">
        <v>0.2</v>
      </c>
      <c r="D41" s="2">
        <v>2.50</v>
      </c>
      <c r="E41" s="2">
        <v>10</v>
      </c>
      <c r="F41" s="2">
        <v>10</v>
      </c>
      <c r="G41" s="6" t="s">
        <v>78</v>
      </c>
      <c r="H41" s="6" t="s">
        <v>113</v>
      </c>
      <c r="I41" s="6" t="s">
        <v>80</v>
      </c>
    </row>
    <row r="42" spans="1:9" ht="72" customHeight="1">
      <c r="A42" s="6" t="s">
        <v>114</v>
      </c>
      <c r="B42" s="2">
        <v>2</v>
      </c>
      <c r="C42" s="2">
        <v>0.1</v>
      </c>
      <c r="D42" s="2">
        <v>2.50</v>
      </c>
      <c r="E42" s="2">
        <v>10</v>
      </c>
      <c r="F42" s="2">
        <v>10</v>
      </c>
      <c r="G42" s="6" t="s">
        <v>78</v>
      </c>
      <c r="H42" s="6" t="s">
        <v>115</v>
      </c>
      <c r="I42" s="6" t="s">
        <v>80</v>
      </c>
    </row>
    <row r="43" spans="1:9" ht="72" customHeight="1">
      <c r="A43" s="6" t="s">
        <v>116</v>
      </c>
      <c r="B43" s="2">
        <v>5.00</v>
      </c>
      <c r="C43" s="2">
        <v>0.50</v>
      </c>
      <c r="D43" s="2" t="s">
        <v>77</v>
      </c>
      <c r="E43" s="2">
        <v>22.50</v>
      </c>
      <c r="F43" s="2">
        <v>22.50</v>
      </c>
      <c r="G43" s="6" t="s">
        <v>78</v>
      </c>
      <c r="H43" s="6" t="s">
        <v>97</v>
      </c>
      <c r="I43" s="6" t="s">
        <v>117</v>
      </c>
    </row>
    <row r="44" spans="1:9" ht="72" customHeight="1">
      <c r="A44" s="6" t="s">
        <v>118</v>
      </c>
      <c r="B44" s="2">
        <v>20.00</v>
      </c>
      <c r="C44" s="2">
        <v>2.00</v>
      </c>
      <c r="D44" s="2">
        <v>25.00</v>
      </c>
      <c r="E44" s="2">
        <v>75.00</v>
      </c>
      <c r="F44" s="2">
        <v>75.00</v>
      </c>
      <c r="G44" s="6" t="s">
        <v>78</v>
      </c>
      <c r="H44" s="6" t="s">
        <v>97</v>
      </c>
      <c r="I44" s="6" t="s">
        <v>117</v>
      </c>
    </row>
    <row r="45" spans="1:9" ht="72" customHeight="1">
      <c r="A45" s="6" t="s">
        <v>119</v>
      </c>
      <c r="B45" s="2">
        <v>0.20</v>
      </c>
      <c r="C45" s="2">
        <v>0.02</v>
      </c>
      <c r="D45" s="2">
        <v>0.25</v>
      </c>
      <c r="E45" s="2">
        <v>0.75</v>
      </c>
      <c r="F45" s="2">
        <v>0.75</v>
      </c>
      <c r="G45" s="6" t="s">
        <v>78</v>
      </c>
      <c r="H45" s="6" t="s">
        <v>97</v>
      </c>
      <c r="I45" s="6" t="s">
        <v>117</v>
      </c>
    </row>
    <row r="46" spans="1:9" ht="72" customHeight="1">
      <c r="A46" s="6" t="s">
        <v>120</v>
      </c>
      <c r="B46" s="2">
        <v>4.00</v>
      </c>
      <c r="C46" s="2">
        <v>0.40</v>
      </c>
      <c r="D46" s="2">
        <v>5.00</v>
      </c>
      <c r="E46" s="2">
        <v>15.00</v>
      </c>
      <c r="F46" s="2">
        <v>15.00</v>
      </c>
      <c r="G46" s="6" t="s">
        <v>78</v>
      </c>
      <c r="H46" s="6" t="s">
        <v>97</v>
      </c>
      <c r="I46" s="6" t="s">
        <v>117</v>
      </c>
    </row>
    <row r="47" spans="1:9" ht="72" customHeight="1">
      <c r="A47" s="6" t="s">
        <v>121</v>
      </c>
      <c r="B47" s="2">
        <v>4.00</v>
      </c>
      <c r="C47" s="2">
        <v>0.20</v>
      </c>
      <c r="D47" s="2">
        <v>5.00</v>
      </c>
      <c r="E47" s="2">
        <v>15.00</v>
      </c>
      <c r="F47" s="2">
        <v>15.00</v>
      </c>
      <c r="G47" s="6" t="s">
        <v>78</v>
      </c>
      <c r="H47" s="6" t="s">
        <v>97</v>
      </c>
      <c r="I47" s="6" t="s">
        <v>117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2026-10-07T02:44:22Z</dcterms:created>
  <dcterms:modified xsi:type="dcterms:W3CDTF">2026-10-07T02:44:22Z</dcterms:modified>
</cp:coreProperties>
</file>
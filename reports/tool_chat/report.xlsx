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<sst xmlns="http://schemas.openxmlformats.org/spreadsheetml/2006/main" count="387" uniqueCount="161">
  <si>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</si>
  <si>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</si>
  <si>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</si>
  <si>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</si>
  <si>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</si>
  <si>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</si>
  <si>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</si>
  <si>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</si>
  <si>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</si>
  <si>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</si>
  <si>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</si>
  <si>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</si>
  <si>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</si>
  <si>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</si>
  <si>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</si>
  <si>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</si>
  <si>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</si>
  <si>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</si>
  <si>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</si>
  <si>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Fresh input tokens</t>
  </si>
  <si>
    <t>Fresh input EUR</t>
  </si>
  <si>
    <t>Fresh input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</si>
  <si>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</si>
  <si>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</si>
  <si>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</si>
  <si>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</si>
  <si>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</si>
  <si>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</si>
  <si>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</si>
  <si>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</si>
  <si>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</si>
  <si>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</si>
  <si>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</si>
  <si>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</si>
  <si>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</si>
  <si>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</si>
  <si>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</si>
  <si>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</si>
  <si>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</si>
  <si>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</si>
  <si>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</si>
  <si>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</si>
  <si>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</si>
  <si>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</si>
  <si>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</si>
  <si>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</si>
  <si>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</si>
  <si>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</si>
  <si>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</si>
  <si>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01a0cc5a-133d-7d70-a7a8-c7574189a3b7</t>
  </si>
  <si>
    <t>Recording</t>
  </si>
  <si>
    <t>Provider trace</t>
  </si>
  <si>
    <t>FX reference date</t>
  </si>
  <si>
    <t>2026-09-22</t>
  </si>
  <si>
    <t>FX fetched at</t>
  </si>
  <si>
    <t>2026-09-23T03:35:56.284466Z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</si>
  <si>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</si>
  <si>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</si>
  <si>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</si>
  <si>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</si>
  <si>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</si>
  <si>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</si>
  <si>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</si>
  <si>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</si>
  <si>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</si>
  <si>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</si>
  <si>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</si>
  <si>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</si>
  <si>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</si>
  <si>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</si>
  <si>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</si>
  <si>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</si>
  <si>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</si>
  <si>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</si>
  <si>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</si>
  <si>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</si>
  <si>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</si>
  <si>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</si>
  <si>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</si>
  <si>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</si>
  <si>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</si>
  <si>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</si>
  <si>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</si>
  <si>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</si>
  <si>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</si>
  <si>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</si>
  <si>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</si>
  <si>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</si>
  <si>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</si>
  <si>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</si>
  <si>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</si>
  <si>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</si>
  <si>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</si>
  <si>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</si>
  <si>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</si>
  <si>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</si>
  <si>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01a0cc5a-1346-7611-99e8-b4878ab9ac1b</t>
  </si>
  <si>
    <t>Fresh input</t>
  </si>
  <si>
    <t xml:space="preserve">    Tool definitions</t>
  </si>
  <si>
    <t xml:space="preserve">    System prompt</t>
  </si>
  <si>
    <t>Call echo_tool with the user's text, then answer concisely using the returned echo. The tool repeats input; it provides no independent factual evidence.</t>
  </si>
  <si>
    <t xml:space="preserve">    User prompt</t>
  </si>
  <si>
    <t>Echo this text: ReAct</t>
  </si>
  <si>
    <t>Cache write</t>
  </si>
  <si>
    <t>Context · added / total</t>
  </si>
  <si>
    <t>LLM response</t>
  </si>
  <si>
    <t>Output</t>
  </si>
  <si>
    <t xml:space="preserve">    Output content</t>
  </si>
  <si>
    <t>[{"type": "function_call", "name": "echo_tool", "arguments": "{\"text\":\"ReAct\"}", "call_id": "call_N3tIiLfCsL87adnZuJLU4z1t", "id": "fc_05e0c4a49feda864006ab34a4330b887d285a8810bf7fb41b0", "index": 0}]
{"name": "echo_tool", "args": {"text": "ReAct"}, "id": "call_N3tIiLfCsL87adnZuJLU4z1t", "type": "tool_call"}</t>
  </si>
  <si>
    <t>Call total</t>
  </si>
  <si>
    <t>ok</t>
  </si>
  <si>
    <t>Tool · echo_tool</t>
  </si>
  <si>
    <t>01a0cc5a-178b-7961-af54-0594e2d118f3</t>
  </si>
  <si>
    <t xml:space="preserve">    Arguments</t>
  </si>
  <si>
    <t>{'text': 'ReAct'}</t>
  </si>
  <si>
    <t xml:space="preserve">    Result</t>
  </si>
  <si>
    <t>Your input was: ReAct</t>
  </si>
  <si>
    <t>R2</t>
  </si>
  <si>
    <t>01a0cc5a-1793-7632-878e-7d9f6b57f0d0</t>
  </si>
  <si>
    <t>Conversation history · cache read</t>
  </si>
  <si>
    <t xml:space="preserve">    Tool result</t>
  </si>
  <si>
    <t>[{"type": "text", "text": "Your input was: ReAct", "phase": "final_answer", "index": 0, "id": "msg_05e0c4a49feda864006ab34a44c25487d2986301b1ec0f3385"}]</t>
  </si>
  <si>
    <t>Turn 2</t>
  </si>
  <si>
    <t>R3</t>
  </si>
  <si>
    <t>01a0cc5a-1dc7-7672-aca2-7611626ff48f</t>
  </si>
  <si>
    <t>Echo this text: Tool observations</t>
  </si>
  <si>
    <t>Reasoning</t>
  </si>
  <si>
    <t>[{"id": "rs_05e0c4a49feda864006ab34a46cc4487d28e566ce19612d6d1", "summary": [], "type": "reasoning", "content": [], "index": 0, "encrypted_content": "gAAAAABqs0pGzD0rG6YkanBRpjuU_8pNDlVfJ6tyxsRvdtMzNZD5WuwkY9-qPg8JQ8XlTOpONBOPbN9t2VRAvaYc1Jd4YSg3Dxzfh4EfIZn3dAYjPAtZftNA_wH9RDGqYkGttCDqCWLkwzE4viYRXi12qTEDeAN7QhWOPpwJ1_55vEvaLV9L2-gGzqPAe2YXvXcv0wuQvXDtVRKSiB-FGaClpSGaJCu9SAW9UVBckgm-KFd8bd1qTWiVeSuglomDv8OdAAaOs9jdzbQRUAFe_x7MK5AEj4zqGZl5_sWR2pK5hRP8NCrWeGwB7Saj6cS0pK0_RWAkXQRh8HL7uDbbkVHBItnAu_XwydIB_xmq2zQTpYtabN9vsxzwObq5i-t5lHRcoVAqpFx8Eb-bXsLGk6qquU-J10xMpQGK2Sip8PrcNiAYdRVbhDjZtfrqTcMG7gykF4p-pEqkn8dFcs2ieEeBvTbGTg2UXLL0rkG3L5QnOsi9RoQJ967zBs26tcAdLjPr-WusYaTTTQgsMKpHl1o_j_EDAeVCnKYef2I_6bfzgZGnhbXOsAgfiEjbEljF-BIZBO-Mcr6oulZk7JtJhQDrytgP4DnvsOTz5jYDVpP2o2TG9V5NYVjafdyIhyjjwiW4J1c1IW3-2QJ1hBKw0ReWLpe8XrAYZKR2W8iQBUSW3NSjs09yclB7xiq9DtMN3kWCkfrOfOPUQY3Sq8cd4kPhNth9KhzLApDdJLgTaMjcJdECuvzenp3-2PlkiPrgHxuOAU3m5vYQMaViVPoZAJIeMnRCi_ch7bShfunOhH2wwzhiyplT8Se8U5dFv1DvVOFi0fl38HoAI2F8Kt0MhIoJAov14ZpPLsDh59Gsn14-AJTrupzcD0T1UGtNvg4B8STfqDCGroqqT-rl_O_w44ci1gYIBmaGHGBA52KNsgOlqD4zQfDu_UIIvsi0YGwp1ja4P8ix8OxajhYRqHnnkFiugJCwMRCnQw5Gw4xZPOAdclL08w_LFEc4QLEKBMC057kjA51FVA8CtG1hs7LGigaVhO3hTI90iyzM3eXx42qGFIJajK9mAuLLUsGksW6sWGE136ixZvsZRQNpEWjKvbMFGOH36b173GzKLwaoq8X1l4RxHjsdcOtm0LYv4a1XCjZhExfFV9jnO6PC8Nug25jA0VRioUnJKrh7y_7Pfh7NSGotm5mhAsDemsaJ3c8R2AlN7CIlj4_C8K2eJmDsO0nh6Uh32L2U_OsuMvCGCqqVB8U2pKKZTX4="}, {"type": "function_call", "name": "echo_tool", "arguments": "{\"text\":\"Tool observations\"}", "call_id": "call_BywrswZzTXovyCJataXXnhR7", "id": "fc_05e0c4a49feda864006ab34a46ff4087d284f0b93cee93fdb3", "index": 1}]
{"name": "echo_tool", "args": {"text": "Tool observations"}, "id": "call_BywrswZzTXovyCJataXXnhR7", "type": "tool_call"}</t>
  </si>
  <si>
    <t>01a0cc5a-26c1-7043-a54b-b0aa692fcf0a</t>
  </si>
  <si>
    <t>{'text': 'Tool observations'}</t>
  </si>
  <si>
    <t>Your input was: Tool observations</t>
  </si>
  <si>
    <t>R4</t>
  </si>
  <si>
    <t>01a0cc5a-26c8-7502-af8b-20ad6dcc4b4d</t>
  </si>
  <si>
    <t>[{"type": "text", "text": "Your input was: Tool observations", "phase": "final_answer", "index": 0, "id": "msg_05e0c4a49feda864006ab34a48031c87d29082d6c79b726828"}]</t>
  </si>
  <si>
    <t>reference_chat_agent</t>
  </si>
  <si>
    <t>workflow</t>
  </si>
  <si>
    <t>Execute the reference_chat_agent workflow operation and pass its result to the next graph step.</t>
  </si>
  <si>
    <t>Subtree total</t>
  </si>
  <si>
    <t xml:space="preserve">    PatchToolCallsMiddleware.before_agent</t>
  </si>
  <si>
    <t>Check message history and repair missing tool responses before the agent starts.</t>
  </si>
  <si>
    <t>01a0cc5a-133f-7620-8444-cb47a6814fbd</t>
  </si>
  <si>
    <t>No model charge</t>
  </si>
  <si>
    <t xml:space="preserve">    model</t>
  </si>
  <si>
    <t>Prepare the current conversation, run model middleware, and invoke the chat model.</t>
  </si>
  <si>
    <t>01a0cc5a-1340-7e12-b717-479275fbf018</t>
  </si>
  <si>
    <t xml:space="preserve">        ChatOpenAI</t>
  </si>
  <si>
    <t>model</t>
  </si>
  <si>
    <t>Generate the next assistant message or tool request from the current conversation.</t>
  </si>
  <si>
    <t>Own call</t>
  </si>
  <si>
    <t xml:space="preserve">    tools</t>
  </si>
  <si>
    <t>Execute tool calls requested by the preceding model response and return their observations.</t>
  </si>
  <si>
    <t>01a0cc5a-178a-7050-bf38-ac8e9677d71b</t>
  </si>
  <si>
    <t xml:space="preserve">        echo_tool</t>
  </si>
  <si>
    <t>tool</t>
  </si>
  <si>
    <t>Return the provided text prefixed with "Your input was: ".</t>
  </si>
  <si>
    <t>01a0cc5a-178f-7fb2-a6a0-23a30ba82704</t>
  </si>
  <si>
    <t>01a0cc5a-1dc3-7021-abb1-561851a31374</t>
  </si>
  <si>
    <t>01a0cc5a-1dc4-7801-ab29-de1c3584e9f8</t>
  </si>
  <si>
    <t>01a0cc5a-1dc5-75a3-9e07-905a3aee5d09</t>
  </si>
  <si>
    <t>01a0cc5a-26bf-7382-aa90-c362d505c483</t>
  </si>
  <si>
    <t>01a0cc5a-26c4-7843-8214-e6d90a5cf77e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</si>
</sst>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60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IF(COUNT('Turns'!E16,'Turns'!E31,'Turns'!E45,'Turns'!E60)=4,SUM('Turns'!E16,'Turns'!E31,'Turns'!E45,'Turns'!E60),"Unknown")</f>
        <v>0.0006591366009</v>
      </c>
      <c r="F2" s="2">
        <f>IF(COUNT('Turns'!F16,'Turns'!F31,'Turns'!F45,'Turns'!F60)=4,SUM('Turns'!F16,'Turns'!F31,'Turns'!F45,'Turns'!F60),"Unknown")</f>
        <v>0.00075557</v>
      </c>
      <c r="G2" s="5">
        <f>IF(ISNUMBER(E2),ROUND(E2*'Reference data'!$B$2,0),"Unknown")</f>
        <v>66.0</v>
      </c>
      <c r="H2" s="5">
        <f>IF(ISNUMBER(F2),ROUND(F2*'Reference data'!$B$2,0),"Unknown")</f>
        <v>76.0</v>
      </c>
    </row>
    <row r="3" spans="1:13" s="4" customFormat="1" ht="24" customHeight="1">
      <c r="B3" s="4">
        <v>1</v>
      </c>
      <c r="C3" s="4" t="s">
        <v>92</v>
      </c>
      <c r="E3" s="2">
        <f>IF(COUNT('Turns'!E16,'Turns'!E31)=2,SUM('Turns'!E16,'Turns'!E31),"Unknown")</f>
        <v>0.0005195225061</v>
      </c>
      <c r="F3" s="2">
        <f>IF(COUNT('Turns'!F16,'Turns'!F31)=2,SUM('Turns'!F16,'Turns'!F31),"Unknown")</f>
        <v>0.00059553</v>
      </c>
      <c r="G3" s="5">
        <f>IF(ISNUMBER(E3),ROUND(E3*'Reference data'!$B$2,0),"Unknown")</f>
        <v>52.0</v>
      </c>
      <c r="H3" s="5">
        <f>IF(ISNUMBER(F3),ROUND(F3*'Reference data'!$B$2,0),"Unknown")</f>
        <v>60.0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2042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3</v>
      </c>
      <c r="E5" s="2">
        <f>IF(AND(ISNUMBER(F5),ISNUMBER('Reference data'!$B$3)),F5*'Reference data'!$B$3,"Unknown")</f>
        <v>5.23422e-07</v>
      </c>
      <c r="F5" s="2">
        <f>IF(D5=0,0,IF(ISNUMBER('Reference data'!B17),D5*'Reference data'!B17/1000000,"Unknown"))</f>
        <v>6e-07</v>
      </c>
      <c r="G5" s="5">
        <f>IF(ISNUMBER(E5),ROUND(E5*'Reference data'!$B$2,0),"Unknown")</f>
        <v>0.0</v>
      </c>
      <c r="H5" s="5">
        <f>IF(ISNUMBER(F5),ROUND(F5*'Reference data'!$B$2,0),"Unknown")</f>
        <v>0.0</v>
      </c>
    </row>
    <row r="6" spans="1:13" ht="24" customHeight="1">
      <c r="A6" t="s">
        <v>93</v>
      </c>
      <c r="B6">
        <v>1</v>
      </c>
      <c r="C6" t="s">
        <v>98</v>
      </c>
    </row>
    <row r="7" spans="1:13" ht="34" customHeight="1">
      <c r="A7" t="s">
        <v>93</v>
      </c>
      <c r="B7">
        <v>1</v>
      </c>
      <c r="C7" t="s">
        <v>99</v>
      </c>
      <c r="I7" s="6" t="s">
        <v>100</v>
      </c>
    </row>
    <row r="8" spans="1:13" ht="24" customHeight="1">
      <c r="A8" t="s">
        <v>93</v>
      </c>
      <c r="B8">
        <v>1</v>
      </c>
      <c r="C8" t="s">
        <v>101</v>
      </c>
      <c r="I8" s="6" t="s">
        <v>102</v>
      </c>
    </row>
    <row r="9" spans="1:13" ht="24" customHeight="1">
      <c r="A9" t="s">
        <v>93</v>
      </c>
      <c r="B9">
        <v>1</v>
      </c>
      <c r="C9" t="s">
        <v>103</v>
      </c>
      <c r="D9" s="5">
        <v>2039</v>
      </c>
      <c r="E9" s="2">
        <f>IF(AND(ISNUMBER(F9),ISNUMBER('Reference data'!$B$3)),F9*'Reference data'!$B$3,"Unknown")</f>
        <v>0.0004446906075</v>
      </c>
      <c r="F9" s="2">
        <f>IF(D9=0,0,IF(ISNUMBER('Reference data'!D17),D9*'Reference data'!D17/1000000,"Unknown"))</f>
        <v>0.00050975</v>
      </c>
      <c r="G9" s="5">
        <f>IF(ISNUMBER(E9),ROUND(E9*'Reference data'!$B$2,0),"Unknown")</f>
        <v>44.0</v>
      </c>
      <c r="H9" s="5">
        <f>IF(ISNUMBER(F9),ROUND(F9*'Reference data'!$B$2,0),"Unknown")</f>
        <v>51.0</v>
      </c>
    </row>
    <row r="10" spans="1:13" ht="24" customHeight="1">
      <c r="A10" t="s">
        <v>93</v>
      </c>
      <c r="B10">
        <v>1</v>
      </c>
      <c r="C10" t="s">
        <v>104</v>
      </c>
    </row>
    <row r="11" spans="1:13" s="4" customFormat="1" ht="24" customHeight="1">
      <c r="A11" s="4" t="s">
        <v>93</v>
      </c>
      <c r="B11" s="4">
        <v>1</v>
      </c>
      <c r="C11" s="4" t="s">
        <v>105</v>
      </c>
      <c r="D11" s="4">
        <v>19</v>
      </c>
    </row>
    <row r="12" spans="1:13" ht="24" customHeight="1">
      <c r="A12" t="s">
        <v>93</v>
      </c>
      <c r="B12">
        <v>1</v>
      </c>
      <c r="C12" t="s">
        <v>106</v>
      </c>
      <c r="D12" s="5">
        <v>19</v>
      </c>
      <c r="E12" s="2">
        <f>IF(AND(ISNUMBER(F12),ISNUMBER('Reference data'!$B$3)),F12*'Reference data'!$B$3,"Unknown")</f>
        <v>1.9890036e-05</v>
      </c>
      <c r="F12" s="2">
        <f>IF(D12=0,0,IF(ISNUMBER('Reference data'!E17),D12*'Reference data'!E17/1000000,"Unknown"))</f>
        <v>2.28e-05</v>
      </c>
      <c r="G12" s="5">
        <f>IF(ISNUMBER(E12),ROUND(E12*'Reference data'!$B$2,0),"Unknown")</f>
        <v>2.0</v>
      </c>
      <c r="H12" s="5">
        <f>IF(ISNUMBER(F12),ROUND(F12*'Reference data'!$B$2,0),"Unknown")</f>
        <v>2.0</v>
      </c>
    </row>
    <row r="13" spans="1:13" ht="73" customHeight="1">
      <c r="A13" t="s">
        <v>93</v>
      </c>
      <c r="B13">
        <v>1</v>
      </c>
      <c r="C13" t="s">
        <v>107</v>
      </c>
      <c r="I13" s="6" t="s">
        <v>108</v>
      </c>
    </row>
    <row r="14" spans="1:13" ht="24" customHeight="1">
      <c r="A14" t="s">
        <v>93</v>
      </c>
      <c r="B14">
        <v>1</v>
      </c>
      <c r="C14" t="s">
        <v>103</v>
      </c>
    </row>
    <row r="15" spans="1:13" ht="24" customHeight="1">
      <c r="A15" t="s">
        <v>93</v>
      </c>
      <c r="B15">
        <v>1</v>
      </c>
      <c r="C15" t="s">
        <v>104</v>
      </c>
    </row>
    <row r="16" spans="1:13" s="4" customFormat="1" ht="24" customHeight="1">
      <c r="A16" s="4" t="s">
        <v>93</v>
      </c>
      <c r="B16" s="4">
        <v>1</v>
      </c>
      <c r="C16" s="4" t="s">
        <v>109</v>
      </c>
      <c r="E16" s="2">
        <f>IF(COUNT('Turns'!E5,'Turns'!E9,'Turns'!E12)=3,SUM('Turns'!E5,'Turns'!E9,'Turns'!E12),"Unknown")</f>
        <v>0.0004651040655</v>
      </c>
      <c r="F16" s="2">
        <f>IF(COUNT('Turns'!F5,'Turns'!F9,'Turns'!F12)=3,SUM('Turns'!F5,'Turns'!F9,'Turns'!F12),"Unknown")</f>
        <v>0.00053315</v>
      </c>
      <c r="G16" s="5">
        <f>IF(ISNUMBER(E16),ROUND(E16*'Reference data'!$B$2,0),"Unknown")</f>
        <v>47.0</v>
      </c>
      <c r="H16" s="5">
        <f>IF(ISNUMBER(F16),ROUND(F16*'Reference data'!$B$2,0),"Unknown")</f>
        <v>53.0</v>
      </c>
      <c r="K16" s="4" t="s">
        <v>110</v>
      </c>
    </row>
    <row r="17" spans="1:13" s="4" customFormat="1" ht="24" customHeight="1">
      <c r="B17" s="4">
        <v>1</v>
      </c>
      <c r="C17" s="4" t="s">
        <v>111</v>
      </c>
      <c r="K17" s="4" t="s">
        <v>110</v>
      </c>
      <c r="M17" s="4" t="s">
        <v>112</v>
      </c>
    </row>
    <row r="18" spans="1:13" ht="24" customHeight="1">
      <c r="B18">
        <v>1</v>
      </c>
      <c r="C18" t="s">
        <v>113</v>
      </c>
      <c r="I18" s="6" t="s">
        <v>114</v>
      </c>
    </row>
    <row r="19" spans="1:13" ht="24" customHeight="1">
      <c r="B19">
        <v>1</v>
      </c>
      <c r="C19" t="s">
        <v>115</v>
      </c>
      <c r="I19" s="6" t="s">
        <v>116</v>
      </c>
    </row>
    <row r="20" spans="1:13" s="4" customFormat="1" ht="24" customHeight="1">
      <c r="A20" s="4" t="s">
        <v>117</v>
      </c>
      <c r="B20" s="4">
        <v>1</v>
      </c>
      <c r="C20" s="4" t="s">
        <v>94</v>
      </c>
      <c r="D20" s="4">
        <v>2078</v>
      </c>
      <c r="J20" s="4" t="s">
        <v>95</v>
      </c>
      <c r="M20" s="4" t="s">
        <v>118</v>
      </c>
    </row>
    <row r="21" spans="1:13" ht="24" customHeight="1">
      <c r="A21" t="s">
        <v>117</v>
      </c>
      <c r="B21">
        <v>1</v>
      </c>
      <c r="C21" t="s">
        <v>119</v>
      </c>
      <c r="D21" s="5">
        <v>2039</v>
      </c>
      <c r="E21" s="2">
        <f>IF(AND(ISNUMBER(F21),ISNUMBER('Reference data'!$B$3)),F21*'Reference data'!$B$3,"Unknown")</f>
        <v>3.55752486e-05</v>
      </c>
      <c r="F21" s="2">
        <f>IF(D21=0,0,IF(ISNUMBER('Reference data'!C17),D21*'Reference data'!C17/1000000,"Unknown"))</f>
        <v>4.078e-05</v>
      </c>
      <c r="G21" s="5">
        <f>IF(ISNUMBER(E21),ROUND(E21*'Reference data'!$B$2,0),"Unknown")</f>
        <v>4.0</v>
      </c>
      <c r="H21" s="5">
        <f>IF(ISNUMBER(F21),ROUND(F21*'Reference data'!$B$2,0),"Unknown")</f>
        <v>4.0</v>
      </c>
    </row>
    <row r="22" spans="1:13" ht="24" customHeight="1">
      <c r="A22" t="s">
        <v>117</v>
      </c>
      <c r="B22">
        <v>1</v>
      </c>
      <c r="C22" t="s">
        <v>97</v>
      </c>
      <c r="D22" s="5">
        <v>3</v>
      </c>
      <c r="E22" s="2">
        <f>IF(AND(ISNUMBER(F22),ISNUMBER('Reference data'!$B$3)),F22*'Reference data'!$B$3,"Unknown")</f>
        <v>5.23422e-07</v>
      </c>
      <c r="F22" s="2">
        <f>IF(D22=0,0,IF(ISNUMBER('Reference data'!B17),D22*'Reference data'!B17/1000000,"Unknown"))</f>
        <v>6e-07</v>
      </c>
      <c r="G22" s="5">
        <f>IF(ISNUMBER(E22),ROUND(E22*'Reference data'!$B$2,0),"Unknown")</f>
        <v>0.0</v>
      </c>
      <c r="H22" s="5">
        <f>IF(ISNUMBER(F22),ROUND(F22*'Reference data'!$B$2,0),"Unknown")</f>
        <v>0.0</v>
      </c>
    </row>
    <row r="23" spans="1:13" ht="24" customHeight="1">
      <c r="A23" t="s">
        <v>117</v>
      </c>
      <c r="B23">
        <v>1</v>
      </c>
      <c r="C23" t="s">
        <v>120</v>
      </c>
      <c r="I23" s="6" t="s">
        <v>116</v>
      </c>
    </row>
    <row r="24" spans="1:13" ht="24" customHeight="1">
      <c r="A24" t="s">
        <v>117</v>
      </c>
      <c r="B24">
        <v>1</v>
      </c>
      <c r="C24" t="s">
        <v>103</v>
      </c>
      <c r="D24" s="5">
        <v>36</v>
      </c>
      <c r="E24" s="2">
        <f>IF(AND(ISNUMBER(F24),ISNUMBER('Reference data'!$B$3)),F24*'Reference data'!$B$3,"Unknown")</f>
        <v>7.85133e-06</v>
      </c>
      <c r="F24" s="2">
        <f>IF(D24=0,0,IF(ISNUMBER('Reference data'!D17),D24*'Reference data'!D17/1000000,"Unknown"))</f>
        <v>9e-06</v>
      </c>
      <c r="G24" s="5">
        <f>IF(ISNUMBER(E24),ROUND(E24*'Reference data'!$B$2,0),"Unknown")</f>
        <v>1.0</v>
      </c>
      <c r="H24" s="5">
        <f>IF(ISNUMBER(F24),ROUND(F24*'Reference data'!$B$2,0),"Unknown")</f>
        <v>1.0</v>
      </c>
    </row>
    <row r="25" spans="1:13" ht="24" customHeight="1">
      <c r="A25" t="s">
        <v>117</v>
      </c>
      <c r="B25">
        <v>1</v>
      </c>
      <c r="C25" t="s">
        <v>104</v>
      </c>
    </row>
    <row r="26" spans="1:13" s="4" customFormat="1" ht="24" customHeight="1">
      <c r="A26" s="4" t="s">
        <v>117</v>
      </c>
      <c r="B26" s="4">
        <v>1</v>
      </c>
      <c r="C26" s="4" t="s">
        <v>105</v>
      </c>
      <c r="D26" s="4">
        <v>10</v>
      </c>
    </row>
    <row r="27" spans="1:13" ht="24" customHeight="1">
      <c r="A27" t="s">
        <v>117</v>
      </c>
      <c r="B27">
        <v>1</v>
      </c>
      <c r="C27" t="s">
        <v>106</v>
      </c>
      <c r="D27" s="5">
        <v>10</v>
      </c>
      <c r="E27" s="2">
        <f>IF(AND(ISNUMBER(F27),ISNUMBER('Reference data'!$B$3)),F27*'Reference data'!$B$3,"Unknown")</f>
        <v>1.046844e-05</v>
      </c>
      <c r="F27" s="2">
        <f>IF(D27=0,0,IF(ISNUMBER('Reference data'!E17),D27*'Reference data'!E17/1000000,"Unknown"))</f>
        <v>1.2e-05</v>
      </c>
      <c r="G27" s="5">
        <f>IF(ISNUMBER(E27),ROUND(E27*'Reference data'!$B$2,0),"Unknown")</f>
        <v>1.0</v>
      </c>
      <c r="H27" s="5">
        <f>IF(ISNUMBER(F27),ROUND(F27*'Reference data'!$B$2,0),"Unknown")</f>
        <v>1.0</v>
      </c>
    </row>
    <row r="28" spans="1:13" ht="34" customHeight="1">
      <c r="A28" t="s">
        <v>117</v>
      </c>
      <c r="B28">
        <v>1</v>
      </c>
      <c r="C28" t="s">
        <v>107</v>
      </c>
      <c r="I28" s="6" t="s">
        <v>121</v>
      </c>
    </row>
    <row r="29" spans="1:13" ht="24" customHeight="1">
      <c r="A29" t="s">
        <v>117</v>
      </c>
      <c r="B29">
        <v>1</v>
      </c>
      <c r="C29" t="s">
        <v>103</v>
      </c>
    </row>
    <row r="30" spans="1:13" ht="24" customHeight="1">
      <c r="A30" t="s">
        <v>117</v>
      </c>
      <c r="B30">
        <v>1</v>
      </c>
      <c r="C30" t="s">
        <v>104</v>
      </c>
    </row>
    <row r="31" spans="1:13" s="4" customFormat="1" ht="24" customHeight="1">
      <c r="A31" s="4" t="s">
        <v>117</v>
      </c>
      <c r="B31" s="4">
        <v>1</v>
      </c>
      <c r="C31" s="4" t="s">
        <v>109</v>
      </c>
      <c r="E31" s="2">
        <f>IF(COUNT('Turns'!E21,'Turns'!E22,'Turns'!E24,'Turns'!E27)=4,SUM('Turns'!E21,'Turns'!E22,'Turns'!E24,'Turns'!E27),"Unknown")</f>
        <v>5.44184406e-05</v>
      </c>
      <c r="F31" s="2">
        <f>IF(COUNT('Turns'!F21,'Turns'!F22,'Turns'!F24,'Turns'!F27)=4,SUM('Turns'!F21,'Turns'!F22,'Turns'!F24,'Turns'!F27),"Unknown")</f>
        <v>6.238e-05</v>
      </c>
      <c r="G31" s="5">
        <f>IF(ISNUMBER(E31),ROUND(E31*'Reference data'!$B$2,0),"Unknown")</f>
        <v>5.0</v>
      </c>
      <c r="H31" s="5">
        <f>IF(ISNUMBER(F31),ROUND(F31*'Reference data'!$B$2,0),"Unknown")</f>
        <v>6.0</v>
      </c>
      <c r="K31" s="4" t="s">
        <v>110</v>
      </c>
    </row>
    <row r="32" spans="1:13" s="4" customFormat="1" ht="24" customHeight="1">
      <c r="B32" s="4">
        <v>2</v>
      </c>
      <c r="C32" s="4" t="s">
        <v>122</v>
      </c>
      <c r="E32" s="2">
        <f>IF(COUNT('Turns'!E45,'Turns'!E60)=2,SUM('Turns'!E45,'Turns'!E60),"Unknown")</f>
        <v>0.0001396140948</v>
      </c>
      <c r="F32" s="2">
        <f>IF(COUNT('Turns'!F45,'Turns'!F60)=2,SUM('Turns'!F45,'Turns'!F60),"Unknown")</f>
        <v>0.00016004</v>
      </c>
      <c r="G32" s="5">
        <f>IF(ISNUMBER(E32),ROUND(E32*'Reference data'!$B$2,0),"Unknown")</f>
        <v>14.0</v>
      </c>
      <c r="H32" s="5">
        <f>IF(ISNUMBER(F32),ROUND(F32*'Reference data'!$B$2,0),"Unknown")</f>
        <v>16.0</v>
      </c>
    </row>
    <row r="33" spans="1:13" s="4" customFormat="1" ht="24" customHeight="1">
      <c r="A33" s="4" t="s">
        <v>123</v>
      </c>
      <c r="B33" s="4">
        <v>2</v>
      </c>
      <c r="C33" s="4" t="s">
        <v>94</v>
      </c>
      <c r="D33" s="4">
        <v>2100</v>
      </c>
      <c r="J33" s="4" t="s">
        <v>95</v>
      </c>
      <c r="M33" s="4" t="s">
        <v>124</v>
      </c>
    </row>
    <row r="34" spans="1:13" ht="24" customHeight="1">
      <c r="A34" t="s">
        <v>123</v>
      </c>
      <c r="B34">
        <v>2</v>
      </c>
      <c r="C34" t="s">
        <v>119</v>
      </c>
      <c r="D34" s="5">
        <v>2075</v>
      </c>
      <c r="E34" s="2">
        <f>IF(AND(ISNUMBER(F34),ISNUMBER('Reference data'!$B$3)),F34*'Reference data'!$B$3,"Unknown")</f>
        <v>3.6203355e-05</v>
      </c>
      <c r="F34" s="2">
        <f>IF(D34=0,0,IF(ISNUMBER('Reference data'!C17),D34*'Reference data'!C17/1000000,"Unknown"))</f>
        <v>4.15e-05</v>
      </c>
      <c r="G34" s="5">
        <f>IF(ISNUMBER(E34),ROUND(E34*'Reference data'!$B$2,0),"Unknown")</f>
        <v>4.0</v>
      </c>
      <c r="H34" s="5">
        <f>IF(ISNUMBER(F34),ROUND(F34*'Reference data'!$B$2,0),"Unknown")</f>
        <v>4.0</v>
      </c>
    </row>
    <row r="35" spans="1:13" ht="24" customHeight="1">
      <c r="A35" t="s">
        <v>123</v>
      </c>
      <c r="B35">
        <v>2</v>
      </c>
      <c r="C35" t="s">
        <v>97</v>
      </c>
      <c r="D35" s="5">
        <v>3</v>
      </c>
      <c r="E35" s="2">
        <f>IF(AND(ISNUMBER(F35),ISNUMBER('Reference data'!$B$3)),F35*'Reference data'!$B$3,"Unknown")</f>
        <v>5.23422e-07</v>
      </c>
      <c r="F35" s="2">
        <f>IF(D35=0,0,IF(ISNUMBER('Reference data'!B17),D35*'Reference data'!B17/1000000,"Unknown"))</f>
        <v>6e-07</v>
      </c>
      <c r="G35" s="5">
        <f>IF(ISNUMBER(E35),ROUND(E35*'Reference data'!$B$2,0),"Unknown")</f>
        <v>0.0</v>
      </c>
      <c r="H35" s="5">
        <f>IF(ISNUMBER(F35),ROUND(F35*'Reference data'!$B$2,0),"Unknown")</f>
        <v>0.0</v>
      </c>
    </row>
    <row r="36" spans="1:13" ht="24" customHeight="1">
      <c r="A36" t="s">
        <v>123</v>
      </c>
      <c r="B36">
        <v>2</v>
      </c>
      <c r="C36" t="s">
        <v>101</v>
      </c>
      <c r="I36" s="6" t="s">
        <v>125</v>
      </c>
    </row>
    <row r="37" spans="1:13" ht="24" customHeight="1">
      <c r="A37" t="s">
        <v>123</v>
      </c>
      <c r="B37">
        <v>2</v>
      </c>
      <c r="C37" t="s">
        <v>103</v>
      </c>
      <c r="D37" s="5">
        <v>22</v>
      </c>
      <c r="E37" s="2">
        <f>IF(AND(ISNUMBER(F37),ISNUMBER('Reference data'!$B$3)),F37*'Reference data'!$B$3,"Unknown")</f>
        <v>4.798035e-06</v>
      </c>
      <c r="F37" s="2">
        <f>IF(D37=0,0,IF(ISNUMBER('Reference data'!D17),D37*'Reference data'!D17/1000000,"Unknown"))</f>
        <v>5.5e-06</v>
      </c>
      <c r="G37" s="5">
        <f>IF(ISNUMBER(E37),ROUND(E37*'Reference data'!$B$2,0),"Unknown")</f>
        <v>0.0</v>
      </c>
      <c r="H37" s="5">
        <f>IF(ISNUMBER(F37),ROUND(F37*'Reference data'!$B$2,0),"Unknown")</f>
        <v>1.0</v>
      </c>
    </row>
    <row r="38" spans="1:13" ht="24" customHeight="1">
      <c r="A38" t="s">
        <v>123</v>
      </c>
      <c r="B38">
        <v>2</v>
      </c>
      <c r="C38" t="s">
        <v>104</v>
      </c>
    </row>
    <row r="39" spans="1:13" s="4" customFormat="1" ht="24" customHeight="1">
      <c r="A39" s="4" t="s">
        <v>123</v>
      </c>
      <c r="B39" s="4">
        <v>2</v>
      </c>
      <c r="C39" s="4" t="s">
        <v>105</v>
      </c>
      <c r="D39" s="4">
        <v>37</v>
      </c>
    </row>
    <row r="40" spans="1:13" ht="24" customHeight="1">
      <c r="A40" t="s">
        <v>123</v>
      </c>
      <c r="B40">
        <v>2</v>
      </c>
      <c r="C40" t="s">
        <v>126</v>
      </c>
      <c r="D40" s="5">
        <v>16</v>
      </c>
      <c r="E40" s="2">
        <f>IF(AND(ISNUMBER(F40),ISNUMBER('Reference data'!$B$3)),F40*'Reference data'!$B$3,"Unknown")</f>
        <v>1.6749504e-05</v>
      </c>
      <c r="F40" s="2">
        <f>IF(D40=0,0,IF(ISNUMBER('Reference data'!F17),D40*'Reference data'!F17/1000000,"Unknown"))</f>
        <v>1.92e-05</v>
      </c>
      <c r="G40" s="5">
        <f>IF(ISNUMBER(E40),ROUND(E40*'Reference data'!$B$2,0),"Unknown")</f>
        <v>2.0</v>
      </c>
      <c r="H40" s="5">
        <f>IF(ISNUMBER(F40),ROUND(F40*'Reference data'!$B$2,0),"Unknown")</f>
        <v>2.0</v>
      </c>
    </row>
    <row r="41" spans="1:13" ht="24" customHeight="1">
      <c r="A41" t="s">
        <v>123</v>
      </c>
      <c r="B41">
        <v>2</v>
      </c>
      <c r="C41" t="s">
        <v>106</v>
      </c>
      <c r="D41" s="5">
        <v>21</v>
      </c>
      <c r="E41" s="2">
        <f>IF(AND(ISNUMBER(F41),ISNUMBER('Reference data'!$B$3)),F41*'Reference data'!$B$3,"Unknown")</f>
        <v>2.1983724e-05</v>
      </c>
      <c r="F41" s="2">
        <f>IF(D41=0,0,IF(ISNUMBER('Reference data'!E17),D41*'Reference data'!E17/1000000,"Unknown"))</f>
        <v>2.52e-05</v>
      </c>
      <c r="G41" s="5">
        <f>IF(ISNUMBER(E41),ROUND(E41*'Reference data'!$B$2,0),"Unknown")</f>
        <v>2.0</v>
      </c>
      <c r="H41" s="5">
        <f>IF(ISNUMBER(F41),ROUND(F41*'Reference data'!$B$2,0),"Unknown")</f>
        <v>3.0</v>
      </c>
    </row>
    <row r="42" spans="1:13" ht="281" customHeight="1">
      <c r="A42" t="s">
        <v>123</v>
      </c>
      <c r="B42">
        <v>2</v>
      </c>
      <c r="C42" t="s">
        <v>107</v>
      </c>
      <c r="I42" s="6" t="s">
        <v>127</v>
      </c>
    </row>
    <row r="43" spans="1:13" ht="24" customHeight="1">
      <c r="A43" t="s">
        <v>123</v>
      </c>
      <c r="B43">
        <v>2</v>
      </c>
      <c r="C43" t="s">
        <v>103</v>
      </c>
    </row>
    <row r="44" spans="1:13" ht="24" customHeight="1">
      <c r="A44" t="s">
        <v>123</v>
      </c>
      <c r="B44">
        <v>2</v>
      </c>
      <c r="C44" t="s">
        <v>104</v>
      </c>
    </row>
    <row r="45" spans="1:13" s="4" customFormat="1" ht="24" customHeight="1">
      <c r="A45" s="4" t="s">
        <v>123</v>
      </c>
      <c r="B45" s="4">
        <v>2</v>
      </c>
      <c r="C45" s="4" t="s">
        <v>109</v>
      </c>
      <c r="E45" s="2">
        <f>IF(COUNT('Turns'!E34,'Turns'!E35,'Turns'!E37,'Turns'!E40,'Turns'!E41)=5,SUM('Turns'!E34,'Turns'!E35,'Turns'!E37,'Turns'!E40,'Turns'!E41),"Unknown")</f>
        <v>8.025804e-05</v>
      </c>
      <c r="F45" s="2">
        <f>IF(COUNT('Turns'!F34,'Turns'!F35,'Turns'!F37,'Turns'!F40,'Turns'!F41)=5,SUM('Turns'!F34,'Turns'!F35,'Turns'!F37,'Turns'!F40,'Turns'!F41),"Unknown")</f>
        <v>9.2e-05</v>
      </c>
      <c r="G45" s="5">
        <f>IF(ISNUMBER(E45),ROUND(E45*'Reference data'!$B$2,0),"Unknown")</f>
        <v>8.0</v>
      </c>
      <c r="H45" s="5">
        <f>IF(ISNUMBER(F45),ROUND(F45*'Reference data'!$B$2,0),"Unknown")</f>
        <v>9.0</v>
      </c>
      <c r="K45" s="4" t="s">
        <v>110</v>
      </c>
    </row>
    <row r="46" spans="1:13" s="4" customFormat="1" ht="24" customHeight="1">
      <c r="B46" s="4">
        <v>2</v>
      </c>
      <c r="C46" s="4" t="s">
        <v>111</v>
      </c>
      <c r="K46" s="4" t="s">
        <v>110</v>
      </c>
      <c r="M46" s="4" t="s">
        <v>128</v>
      </c>
    </row>
    <row r="47" spans="1:13" ht="24" customHeight="1">
      <c r="B47">
        <v>2</v>
      </c>
      <c r="C47" t="s">
        <v>113</v>
      </c>
      <c r="I47" s="6" t="s">
        <v>129</v>
      </c>
    </row>
    <row r="48" spans="1:13" ht="24" customHeight="1">
      <c r="B48">
        <v>2</v>
      </c>
      <c r="C48" t="s">
        <v>115</v>
      </c>
      <c r="I48" s="6" t="s">
        <v>130</v>
      </c>
    </row>
    <row r="49" spans="1:13" s="4" customFormat="1" ht="24" customHeight="1">
      <c r="A49" s="4" t="s">
        <v>131</v>
      </c>
      <c r="B49" s="4">
        <v>2</v>
      </c>
      <c r="C49" s="4" t="s">
        <v>94</v>
      </c>
      <c r="D49" s="4">
        <v>2154</v>
      </c>
      <c r="J49" s="4" t="s">
        <v>95</v>
      </c>
      <c r="M49" s="4" t="s">
        <v>132</v>
      </c>
    </row>
    <row r="50" spans="1:13" ht="24" customHeight="1">
      <c r="A50" t="s">
        <v>131</v>
      </c>
      <c r="B50">
        <v>2</v>
      </c>
      <c r="C50" t="s">
        <v>119</v>
      </c>
      <c r="D50" s="5">
        <v>2097</v>
      </c>
      <c r="E50" s="2">
        <f>IF(AND(ISNUMBER(F50),ISNUMBER('Reference data'!$B$3)),F50*'Reference data'!$B$3,"Unknown")</f>
        <v>3.65871978e-05</v>
      </c>
      <c r="F50" s="2">
        <f>IF(D50=0,0,IF(ISNUMBER('Reference data'!C17),D50*'Reference data'!C17/1000000,"Unknown"))</f>
        <v>4.194e-05</v>
      </c>
      <c r="G50" s="5">
        <f>IF(ISNUMBER(E50),ROUND(E50*'Reference data'!$B$2,0),"Unknown")</f>
        <v>4.0</v>
      </c>
      <c r="H50" s="5">
        <f>IF(ISNUMBER(F50),ROUND(F50*'Reference data'!$B$2,0),"Unknown")</f>
        <v>4.0</v>
      </c>
    </row>
    <row r="51" spans="1:13" ht="24" customHeight="1">
      <c r="A51" t="s">
        <v>131</v>
      </c>
      <c r="B51">
        <v>2</v>
      </c>
      <c r="C51" t="s">
        <v>97</v>
      </c>
      <c r="D51" s="5">
        <v>3</v>
      </c>
      <c r="E51" s="2">
        <f>IF(AND(ISNUMBER(F51),ISNUMBER('Reference data'!$B$3)),F51*'Reference data'!$B$3,"Unknown")</f>
        <v>5.23422e-07</v>
      </c>
      <c r="F51" s="2">
        <f>IF(D51=0,0,IF(ISNUMBER('Reference data'!B17),D51*'Reference data'!B17/1000000,"Unknown"))</f>
        <v>6e-07</v>
      </c>
      <c r="G51" s="5">
        <f>IF(ISNUMBER(E51),ROUND(E51*'Reference data'!$B$2,0),"Unknown")</f>
        <v>0.0</v>
      </c>
      <c r="H51" s="5">
        <f>IF(ISNUMBER(F51),ROUND(F51*'Reference data'!$B$2,0),"Unknown")</f>
        <v>0.0</v>
      </c>
    </row>
    <row r="52" spans="1:13" ht="24" customHeight="1">
      <c r="A52" t="s">
        <v>131</v>
      </c>
      <c r="B52">
        <v>2</v>
      </c>
      <c r="C52" t="s">
        <v>120</v>
      </c>
      <c r="I52" s="6" t="s">
        <v>130</v>
      </c>
    </row>
    <row r="53" spans="1:13" ht="24" customHeight="1">
      <c r="A53" t="s">
        <v>131</v>
      </c>
      <c r="B53">
        <v>2</v>
      </c>
      <c r="C53" t="s">
        <v>103</v>
      </c>
      <c r="D53" s="5">
        <v>54</v>
      </c>
      <c r="E53" s="2">
        <f>IF(AND(ISNUMBER(F53),ISNUMBER('Reference data'!$B$3)),F53*'Reference data'!$B$3,"Unknown")</f>
        <v>1.1776995e-05</v>
      </c>
      <c r="F53" s="2">
        <f>IF(D53=0,0,IF(ISNUMBER('Reference data'!D17),D53*'Reference data'!D17/1000000,"Unknown"))</f>
        <v>1.35e-05</v>
      </c>
      <c r="G53" s="5">
        <f>IF(ISNUMBER(E53),ROUND(E53*'Reference data'!$B$2,0),"Unknown")</f>
        <v>1.0</v>
      </c>
      <c r="H53" s="5">
        <f>IF(ISNUMBER(F53),ROUND(F53*'Reference data'!$B$2,0),"Unknown")</f>
        <v>1.0</v>
      </c>
    </row>
    <row r="54" spans="1:13" ht="24" customHeight="1">
      <c r="A54" t="s">
        <v>131</v>
      </c>
      <c r="B54">
        <v>2</v>
      </c>
      <c r="C54" t="s">
        <v>104</v>
      </c>
    </row>
    <row r="55" spans="1:13" s="4" customFormat="1" ht="24" customHeight="1">
      <c r="A55" s="4" t="s">
        <v>131</v>
      </c>
      <c r="B55" s="4">
        <v>2</v>
      </c>
      <c r="C55" s="4" t="s">
        <v>105</v>
      </c>
      <c r="D55" s="4">
        <v>10</v>
      </c>
    </row>
    <row r="56" spans="1:13" ht="24" customHeight="1">
      <c r="A56" t="s">
        <v>131</v>
      </c>
      <c r="B56">
        <v>2</v>
      </c>
      <c r="C56" t="s">
        <v>106</v>
      </c>
      <c r="D56" s="5">
        <v>10</v>
      </c>
      <c r="E56" s="2">
        <f>IF(AND(ISNUMBER(F56),ISNUMBER('Reference data'!$B$3)),F56*'Reference data'!$B$3,"Unknown")</f>
        <v>1.046844e-05</v>
      </c>
      <c r="F56" s="2">
        <f>IF(D56=0,0,IF(ISNUMBER('Reference data'!E17),D56*'Reference data'!E17/1000000,"Unknown"))</f>
        <v>1.2e-05</v>
      </c>
      <c r="G56" s="5">
        <f>IF(ISNUMBER(E56),ROUND(E56*'Reference data'!$B$2,0),"Unknown")</f>
        <v>1.0</v>
      </c>
      <c r="H56" s="5">
        <f>IF(ISNUMBER(F56),ROUND(F56*'Reference data'!$B$2,0),"Unknown")</f>
        <v>1.0</v>
      </c>
    </row>
    <row r="57" spans="1:13" ht="34" customHeight="1">
      <c r="A57" t="s">
        <v>131</v>
      </c>
      <c r="B57">
        <v>2</v>
      </c>
      <c r="C57" t="s">
        <v>107</v>
      </c>
      <c r="I57" s="6" t="s">
        <v>133</v>
      </c>
    </row>
    <row r="58" spans="1:13" ht="24" customHeight="1">
      <c r="A58" t="s">
        <v>131</v>
      </c>
      <c r="B58">
        <v>2</v>
      </c>
      <c r="C58" t="s">
        <v>103</v>
      </c>
    </row>
    <row r="59" spans="1:13" ht="24" customHeight="1">
      <c r="A59" t="s">
        <v>131</v>
      </c>
      <c r="B59">
        <v>2</v>
      </c>
      <c r="C59" t="s">
        <v>104</v>
      </c>
    </row>
    <row r="60" spans="1:13" s="4" customFormat="1" ht="24" customHeight="1">
      <c r="A60" s="4" t="s">
        <v>131</v>
      </c>
      <c r="B60" s="4">
        <v>2</v>
      </c>
      <c r="C60" s="4" t="s">
        <v>109</v>
      </c>
      <c r="E60" s="2">
        <f>IF(COUNT('Turns'!E50,'Turns'!E51,'Turns'!E53,'Turns'!E56)=4,SUM('Turns'!E50,'Turns'!E51,'Turns'!E53,'Turns'!E56),"Unknown")</f>
        <v>5.93560548e-05</v>
      </c>
      <c r="F60" s="2">
        <f>IF(COUNT('Turns'!F50,'Turns'!F51,'Turns'!F53,'Turns'!F56)=4,SUM('Turns'!F50,'Turns'!F51,'Turns'!F53,'Turns'!F56),"Unknown")</f>
        <v>6.804e-05</v>
      </c>
      <c r="G60" s="5">
        <f>IF(ISNUMBER(E60),ROUND(E60*'Reference data'!$B$2,0),"Unknown")</f>
        <v>6.0</v>
      </c>
      <c r="H60" s="5">
        <f>IF(ISNUMBER(F60),ROUND(F60*'Reference data'!$B$2,0),"Unknown")</f>
        <v>7.0</v>
      </c>
      <c r="K60" s="4" t="s">
        <v>110</v>
      </c>
    </row>
  </sheetData>
  <conditionalFormatting sqref="A2:AE60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17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134</v>
      </c>
      <c r="B2" s="1">
        <v>0</v>
      </c>
      <c r="C2" s="1" t="s">
        <v>135</v>
      </c>
      <c r="D2" s="1" t="s">
        <v>47</v>
      </c>
      <c r="E2" s="1" t="s">
        <v>110</v>
      </c>
      <c r="G2" s="6" t="s">
        <v>136</v>
      </c>
      <c r="H2" t="s">
        <v>49</v>
      </c>
      <c r="J2" s="2">
        <f>IF(COUNT('Turns'!D5,'Turns'!D22)=2,SUM('Turns'!D5,'Turns'!D22),"Unknown")</f>
        <v>6.0</v>
      </c>
      <c r="K2" s="2">
        <f>IF(COUNT('Turns'!E5,'Turns'!E22)=2,SUM('Turns'!E5,'Turns'!E22),"Unknown")</f>
        <v>1.046844e-06</v>
      </c>
      <c r="L2" s="2">
        <f>IF(COUNT('Turns'!F5,'Turns'!F22)=2,SUM('Turns'!F5,'Turns'!F22),"Unknown")</f>
        <v>1.2e-06</v>
      </c>
      <c r="M2" s="2">
        <f>IF(COUNT('Turns'!D21)=1,SUM('Turns'!D21),"Unknown")</f>
        <v>2039.0</v>
      </c>
      <c r="N2" s="2">
        <f>IF(COUNT('Turns'!E21)=1,SUM('Turns'!E21),"Unknown")</f>
        <v>3.55752486e-05</v>
      </c>
      <c r="O2" s="2">
        <f>IF(COUNT('Turns'!F21)=1,SUM('Turns'!F21),"Unknown")</f>
        <v>4.078e-05</v>
      </c>
      <c r="P2" s="2">
        <f>IF(COUNT('Turns'!D9,'Turns'!D24)=2,SUM('Turns'!D9,'Turns'!D24),"Unknown")</f>
        <v>2075.0</v>
      </c>
      <c r="Q2" s="2">
        <f>IF(COUNT('Turns'!E9,'Turns'!E24)=2,SUM('Turns'!E9,'Turns'!E24),"Unknown")</f>
        <v>0.0004525419375</v>
      </c>
      <c r="R2" s="2">
        <f>IF(COUNT('Turns'!F9,'Turns'!F24)=2,SUM('Turns'!F9,'Turns'!F24),"Unknown")</f>
        <v>0.00051875</v>
      </c>
      <c r="S2" s="2">
        <f>IF(COUNT('Turns'!D12,'Turns'!D27)=2,SUM('Turns'!D12,'Turns'!D27),"Unknown")</f>
        <v>29.0</v>
      </c>
      <c r="T2" s="2">
        <f>IF(COUNT('Turns'!E12,'Turns'!E27)=2,SUM('Turns'!E12,'Turns'!E27),"Unknown")</f>
        <v>3.0358476e-05</v>
      </c>
      <c r="U2" s="2">
        <f>IF(COUNT('Turns'!F12,'Turns'!F27)=2,SUM('Turns'!F12,'Turns'!F27),"Unknown")</f>
        <v>3.48e-05</v>
      </c>
      <c r="V2" s="2">
        <v>0</v>
      </c>
      <c r="W2" s="2">
        <v>0</v>
      </c>
      <c r="X2" s="2">
        <v>0</v>
      </c>
      <c r="Y2" s="2">
        <f>IF(COUNT('Turns'!E16,'Turns'!E31)=2,SUM('Turns'!E16,'Turns'!E31),"Unknown")</f>
        <v>0.0005195225061</v>
      </c>
      <c r="Z2" s="2">
        <f>IF(COUNT('Turns'!F16,'Turns'!F31)=2,SUM('Turns'!F16,'Turns'!F31),"Unknown")</f>
        <v>0.00059553</v>
      </c>
      <c r="AA2" s="5">
        <f>IF(ISNUMBER(Y2),ROUND(Y2*'Reference data'!$B$2,0),"Unknown")</f>
        <v>52.0</v>
      </c>
      <c r="AB2" s="5">
        <f>IF(ISNUMBER(Z2),ROUND(Z2*'Reference data'!$B$2,0),"Unknown")</f>
        <v>60.0</v>
      </c>
      <c r="AD2" s="1">
        <v>2674.768</v>
      </c>
      <c r="AE2" s="1" t="s">
        <v>137</v>
      </c>
    </row>
    <row r="3" spans="1:31" ht="54" customHeight="1">
      <c r="A3" s="6" t="s">
        <v>138</v>
      </c>
      <c r="B3" s="1">
        <v>1</v>
      </c>
      <c r="C3" s="1" t="s">
        <v>135</v>
      </c>
      <c r="D3" s="1" t="s">
        <v>47</v>
      </c>
      <c r="E3" s="1" t="s">
        <v>110</v>
      </c>
      <c r="G3" s="6" t="s">
        <v>139</v>
      </c>
      <c r="H3" t="s">
        <v>140</v>
      </c>
      <c r="I3" t="s">
        <v>49</v>
      </c>
      <c r="AD3" s="1">
        <v>0.409</v>
      </c>
      <c r="AE3" s="1" t="s">
        <v>141</v>
      </c>
    </row>
    <row r="4" spans="1:31" ht="54" customHeight="1">
      <c r="A4" s="6" t="s">
        <v>142</v>
      </c>
      <c r="B4" s="1">
        <v>1</v>
      </c>
      <c r="C4" s="1" t="s">
        <v>135</v>
      </c>
      <c r="D4" s="1" t="s">
        <v>47</v>
      </c>
      <c r="E4" s="1" t="s">
        <v>110</v>
      </c>
      <c r="G4" s="6" t="s">
        <v>143</v>
      </c>
      <c r="H4" t="s">
        <v>144</v>
      </c>
      <c r="I4" t="s">
        <v>49</v>
      </c>
      <c r="J4" s="2">
        <f>IF(COUNT('Turns'!D5)=1,SUM('Turns'!D5),"Unknown")</f>
        <v>3.0</v>
      </c>
      <c r="K4" s="2">
        <f>IF(COUNT('Turns'!E5)=1,SUM('Turns'!E5),"Unknown")</f>
        <v>5.23422e-07</v>
      </c>
      <c r="L4" s="2">
        <f>IF(COUNT('Turns'!F5)=1,SUM('Turns'!F5),"Unknown")</f>
        <v>6e-07</v>
      </c>
      <c r="M4" s="2">
        <v>0</v>
      </c>
      <c r="N4" s="2">
        <v>0</v>
      </c>
      <c r="O4" s="2">
        <v>0</v>
      </c>
      <c r="P4" s="2">
        <f>IF(COUNT('Turns'!D9)=1,SUM('Turns'!D9),"Unknown")</f>
        <v>2039.0</v>
      </c>
      <c r="Q4" s="2">
        <f>IF(COUNT('Turns'!E9)=1,SUM('Turns'!E9),"Unknown")</f>
        <v>0.0004446906075</v>
      </c>
      <c r="R4" s="2">
        <f>IF(COUNT('Turns'!F9)=1,SUM('Turns'!F9),"Unknown")</f>
        <v>0.00050975</v>
      </c>
      <c r="S4" s="2">
        <f>IF(COUNT('Turns'!D12)=1,SUM('Turns'!D12),"Unknown")</f>
        <v>19.0</v>
      </c>
      <c r="T4" s="2">
        <f>IF(COUNT('Turns'!E12)=1,SUM('Turns'!E12),"Unknown")</f>
        <v>1.9890036e-05</v>
      </c>
      <c r="U4" s="2">
        <f>IF(COUNT('Turns'!F12)=1,SUM('Turns'!F12),"Unknown")</f>
        <v>2.28e-05</v>
      </c>
      <c r="V4" s="2">
        <v>0</v>
      </c>
      <c r="W4" s="2">
        <v>0</v>
      </c>
      <c r="X4" s="2">
        <v>0</v>
      </c>
      <c r="Y4" s="2">
        <f>IF(COUNT('Turns'!E16)=1,SUM('Turns'!E16),"Unknown")</f>
        <v>0.0004651040655</v>
      </c>
      <c r="Z4" s="2">
        <f>IF(COUNT('Turns'!F16)=1,SUM('Turns'!F16),"Unknown")</f>
        <v>0.00053315</v>
      </c>
      <c r="AA4" s="5">
        <f>IF(ISNUMBER(Y4),ROUND(Y4*'Reference data'!$B$2,0),"Unknown")</f>
        <v>47.0</v>
      </c>
      <c r="AB4" s="5">
        <f>IF(ISNUMBER(Z4),ROUND(Z4*'Reference data'!$B$2,0),"Unknown")</f>
        <v>53.0</v>
      </c>
      <c r="AD4" s="1">
        <v>1096.278</v>
      </c>
      <c r="AE4" s="1" t="s">
        <v>137</v>
      </c>
    </row>
    <row r="5" spans="1:31" ht="54" customHeight="1">
      <c r="A5" s="6" t="s">
        <v>145</v>
      </c>
      <c r="B5" s="1">
        <v>2</v>
      </c>
      <c r="C5" s="1" t="s">
        <v>146</v>
      </c>
      <c r="D5" s="1" t="s">
        <v>95</v>
      </c>
      <c r="E5" s="1" t="s">
        <v>110</v>
      </c>
      <c r="F5" s="1">
        <v>2042</v>
      </c>
      <c r="G5" s="6" t="s">
        <v>147</v>
      </c>
      <c r="H5" t="s">
        <v>96</v>
      </c>
      <c r="I5" t="s">
        <v>144</v>
      </c>
      <c r="J5" s="2">
        <f>IF(COUNT('Turns'!D5)=1,SUM('Turns'!D5),"Unknown")</f>
        <v>3.0</v>
      </c>
      <c r="K5" s="2">
        <f>IF(COUNT('Turns'!E5)=1,SUM('Turns'!E5),"Unknown")</f>
        <v>5.23422e-07</v>
      </c>
      <c r="L5" s="2">
        <f>IF(COUNT('Turns'!F5)=1,SUM('Turns'!F5),"Unknown")</f>
        <v>6e-07</v>
      </c>
      <c r="M5" s="2">
        <v>0</v>
      </c>
      <c r="N5" s="2">
        <v>0</v>
      </c>
      <c r="O5" s="2">
        <v>0</v>
      </c>
      <c r="P5" s="2">
        <f>IF(COUNT('Turns'!D9)=1,SUM('Turns'!D9),"Unknown")</f>
        <v>2039.0</v>
      </c>
      <c r="Q5" s="2">
        <f>IF(COUNT('Turns'!E9)=1,SUM('Turns'!E9),"Unknown")</f>
        <v>0.0004446906075</v>
      </c>
      <c r="R5" s="2">
        <f>IF(COUNT('Turns'!F9)=1,SUM('Turns'!F9),"Unknown")</f>
        <v>0.00050975</v>
      </c>
      <c r="S5" s="2">
        <f>IF(COUNT('Turns'!D12)=1,SUM('Turns'!D12),"Unknown")</f>
        <v>19.0</v>
      </c>
      <c r="T5" s="2">
        <f>IF(COUNT('Turns'!E12)=1,SUM('Turns'!E12),"Unknown")</f>
        <v>1.9890036e-05</v>
      </c>
      <c r="U5" s="2">
        <f>IF(COUNT('Turns'!F12)=1,SUM('Turns'!F12),"Unknown")</f>
        <v>2.28e-05</v>
      </c>
      <c r="V5" s="2">
        <v>0</v>
      </c>
      <c r="W5" s="2">
        <v>0</v>
      </c>
      <c r="X5" s="2">
        <v>0</v>
      </c>
      <c r="Y5" s="2">
        <f>IF(COUNT('Turns'!E16)=1,SUM('Turns'!E16),"Unknown")</f>
        <v>0.0004651040655</v>
      </c>
      <c r="Z5" s="2">
        <f>IF(COUNT('Turns'!F16)=1,SUM('Turns'!F16),"Unknown")</f>
        <v>0.00053315</v>
      </c>
      <c r="AA5" s="5">
        <f>IF(ISNUMBER(Y5),ROUND(Y5*'Reference data'!$B$2,0),"Unknown")</f>
        <v>47.0</v>
      </c>
      <c r="AB5" s="5">
        <f>IF(ISNUMBER(Z5),ROUND(Z5*'Reference data'!$B$2,0),"Unknown")</f>
        <v>53.0</v>
      </c>
      <c r="AC5" s="1" t="s">
        <v>93</v>
      </c>
      <c r="AD5" s="1">
        <v>1088.935</v>
      </c>
      <c r="AE5" s="1" t="s">
        <v>148</v>
      </c>
    </row>
    <row r="6" spans="1:31" ht="54" customHeight="1">
      <c r="A6" s="6" t="s">
        <v>149</v>
      </c>
      <c r="B6" s="1">
        <v>1</v>
      </c>
      <c r="C6" s="1" t="s">
        <v>135</v>
      </c>
      <c r="D6" s="1" t="s">
        <v>47</v>
      </c>
      <c r="E6" s="1" t="s">
        <v>110</v>
      </c>
      <c r="G6" s="6" t="s">
        <v>150</v>
      </c>
      <c r="H6" t="s">
        <v>151</v>
      </c>
      <c r="I6" t="s">
        <v>49</v>
      </c>
      <c r="AD6" s="1">
        <v>4.222</v>
      </c>
      <c r="AE6" s="1" t="s">
        <v>141</v>
      </c>
    </row>
    <row r="7" spans="1:31" ht="54" customHeight="1">
      <c r="A7" s="6" t="s">
        <v>152</v>
      </c>
      <c r="B7" s="1">
        <v>2</v>
      </c>
      <c r="C7" s="1" t="s">
        <v>153</v>
      </c>
      <c r="D7" s="1" t="s">
        <v>47</v>
      </c>
      <c r="E7" s="1" t="s">
        <v>110</v>
      </c>
      <c r="G7" s="6" t="s">
        <v>154</v>
      </c>
      <c r="H7" t="s">
        <v>112</v>
      </c>
      <c r="I7" t="s">
        <v>151</v>
      </c>
      <c r="AD7" s="1">
        <v>0.654</v>
      </c>
      <c r="AE7" s="1" t="s">
        <v>141</v>
      </c>
    </row>
    <row r="8" spans="1:31" ht="54" customHeight="1">
      <c r="A8" s="6" t="s">
        <v>142</v>
      </c>
      <c r="B8" s="1">
        <v>1</v>
      </c>
      <c r="C8" s="1" t="s">
        <v>135</v>
      </c>
      <c r="D8" s="1" t="s">
        <v>47</v>
      </c>
      <c r="E8" s="1" t="s">
        <v>110</v>
      </c>
      <c r="G8" s="6" t="s">
        <v>143</v>
      </c>
      <c r="H8" t="s">
        <v>155</v>
      </c>
      <c r="I8" t="s">
        <v>49</v>
      </c>
      <c r="J8" s="2">
        <f>IF(COUNT('Turns'!D22)=1,SUM('Turns'!D22),"Unknown")</f>
        <v>3.0</v>
      </c>
      <c r="K8" s="2">
        <f>IF(COUNT('Turns'!E22)=1,SUM('Turns'!E22),"Unknown")</f>
        <v>5.23422e-07</v>
      </c>
      <c r="L8" s="2">
        <f>IF(COUNT('Turns'!F22)=1,SUM('Turns'!F22),"Unknown")</f>
        <v>6e-07</v>
      </c>
      <c r="M8" s="2">
        <f>IF(COUNT('Turns'!D21)=1,SUM('Turns'!D21),"Unknown")</f>
        <v>2039.0</v>
      </c>
      <c r="N8" s="2">
        <f>IF(COUNT('Turns'!E21)=1,SUM('Turns'!E21),"Unknown")</f>
        <v>3.55752486e-05</v>
      </c>
      <c r="O8" s="2">
        <f>IF(COUNT('Turns'!F21)=1,SUM('Turns'!F21),"Unknown")</f>
        <v>4.078e-05</v>
      </c>
      <c r="P8" s="2">
        <f>IF(COUNT('Turns'!D24)=1,SUM('Turns'!D24),"Unknown")</f>
        <v>36.0</v>
      </c>
      <c r="Q8" s="2">
        <f>IF(COUNT('Turns'!E24)=1,SUM('Turns'!E24),"Unknown")</f>
        <v>7.85133e-06</v>
      </c>
      <c r="R8" s="2">
        <f>IF(COUNT('Turns'!F24)=1,SUM('Turns'!F24),"Unknown")</f>
        <v>9e-06</v>
      </c>
      <c r="S8" s="2">
        <f>IF(COUNT('Turns'!D27)=1,SUM('Turns'!D27),"Unknown")</f>
        <v>10.0</v>
      </c>
      <c r="T8" s="2">
        <f>IF(COUNT('Turns'!E27)=1,SUM('Turns'!E27),"Unknown")</f>
        <v>1.046844e-05</v>
      </c>
      <c r="U8" s="2">
        <f>IF(COUNT('Turns'!F27)=1,SUM('Turns'!F27),"Unknown")</f>
        <v>1.2e-05</v>
      </c>
      <c r="V8" s="2">
        <v>0</v>
      </c>
      <c r="W8" s="2">
        <v>0</v>
      </c>
      <c r="X8" s="2">
        <v>0</v>
      </c>
      <c r="Y8" s="2">
        <f>IF(COUNT('Turns'!E31)=1,SUM('Turns'!E31),"Unknown")</f>
        <v>5.44184406e-05</v>
      </c>
      <c r="Z8" s="2">
        <f>IF(COUNT('Turns'!F31)=1,SUM('Turns'!F31),"Unknown")</f>
        <v>6.238e-05</v>
      </c>
      <c r="AA8" s="5">
        <f>IF(ISNUMBER(Y8),ROUND(Y8*'Reference data'!$B$2,0),"Unknown")</f>
        <v>5.0</v>
      </c>
      <c r="AB8" s="5">
        <f>IF(ISNUMBER(Z8),ROUND(Z8*'Reference data'!$B$2,0),"Unknown")</f>
        <v>6.0</v>
      </c>
      <c r="AD8" s="1">
        <v>1568.847</v>
      </c>
      <c r="AE8" s="1" t="s">
        <v>137</v>
      </c>
    </row>
    <row r="9" spans="1:31" ht="54" customHeight="1">
      <c r="A9" s="6" t="s">
        <v>145</v>
      </c>
      <c r="B9" s="1">
        <v>2</v>
      </c>
      <c r="C9" s="1" t="s">
        <v>146</v>
      </c>
      <c r="D9" s="1" t="s">
        <v>95</v>
      </c>
      <c r="E9" s="1" t="s">
        <v>110</v>
      </c>
      <c r="F9" s="1">
        <v>2078</v>
      </c>
      <c r="G9" s="6" t="s">
        <v>147</v>
      </c>
      <c r="H9" t="s">
        <v>118</v>
      </c>
      <c r="I9" t="s">
        <v>155</v>
      </c>
      <c r="J9" s="2">
        <f>IF(COUNT('Turns'!D22)=1,SUM('Turns'!D22),"Unknown")</f>
        <v>3.0</v>
      </c>
      <c r="K9" s="2">
        <f>IF(COUNT('Turns'!E22)=1,SUM('Turns'!E22),"Unknown")</f>
        <v>5.23422e-07</v>
      </c>
      <c r="L9" s="2">
        <f>IF(COUNT('Turns'!F22)=1,SUM('Turns'!F22),"Unknown")</f>
        <v>6e-07</v>
      </c>
      <c r="M9" s="2">
        <f>IF(COUNT('Turns'!D21)=1,SUM('Turns'!D21),"Unknown")</f>
        <v>2039.0</v>
      </c>
      <c r="N9" s="2">
        <f>IF(COUNT('Turns'!E21)=1,SUM('Turns'!E21),"Unknown")</f>
        <v>3.55752486e-05</v>
      </c>
      <c r="O9" s="2">
        <f>IF(COUNT('Turns'!F21)=1,SUM('Turns'!F21),"Unknown")</f>
        <v>4.078e-05</v>
      </c>
      <c r="P9" s="2">
        <f>IF(COUNT('Turns'!D24)=1,SUM('Turns'!D24),"Unknown")</f>
        <v>36.0</v>
      </c>
      <c r="Q9" s="2">
        <f>IF(COUNT('Turns'!E24)=1,SUM('Turns'!E24),"Unknown")</f>
        <v>7.85133e-06</v>
      </c>
      <c r="R9" s="2">
        <f>IF(COUNT('Turns'!F24)=1,SUM('Turns'!F24),"Unknown")</f>
        <v>9e-06</v>
      </c>
      <c r="S9" s="2">
        <f>IF(COUNT('Turns'!D27)=1,SUM('Turns'!D27),"Unknown")</f>
        <v>10.0</v>
      </c>
      <c r="T9" s="2">
        <f>IF(COUNT('Turns'!E27)=1,SUM('Turns'!E27),"Unknown")</f>
        <v>1.046844e-05</v>
      </c>
      <c r="U9" s="2">
        <f>IF(COUNT('Turns'!F27)=1,SUM('Turns'!F27),"Unknown")</f>
        <v>1.2e-05</v>
      </c>
      <c r="V9" s="2">
        <v>0</v>
      </c>
      <c r="W9" s="2">
        <v>0</v>
      </c>
      <c r="X9" s="2">
        <v>0</v>
      </c>
      <c r="Y9" s="2">
        <f>IF(COUNT('Turns'!E31)=1,SUM('Turns'!E31),"Unknown")</f>
        <v>5.44184406e-05</v>
      </c>
      <c r="Z9" s="2">
        <f>IF(COUNT('Turns'!F31)=1,SUM('Turns'!F31),"Unknown")</f>
        <v>6.238e-05</v>
      </c>
      <c r="AA9" s="5">
        <f>IF(ISNUMBER(Y9),ROUND(Y9*'Reference data'!$B$2,0),"Unknown")</f>
        <v>5.0</v>
      </c>
      <c r="AB9" s="5">
        <f>IF(ISNUMBER(Z9),ROUND(Z9*'Reference data'!$B$2,0),"Unknown")</f>
        <v>6.0</v>
      </c>
      <c r="AC9" s="1" t="s">
        <v>117</v>
      </c>
      <c r="AD9" s="1">
        <v>1563.935</v>
      </c>
      <c r="AE9" s="1" t="s">
        <v>148</v>
      </c>
    </row>
    <row r="10" spans="1:31" ht="54" customHeight="1">
      <c r="A10" s="6" t="s">
        <v>134</v>
      </c>
      <c r="B10" s="1">
        <v>0</v>
      </c>
      <c r="C10" s="1" t="s">
        <v>135</v>
      </c>
      <c r="D10" s="1" t="s">
        <v>47</v>
      </c>
      <c r="E10" s="1" t="s">
        <v>110</v>
      </c>
      <c r="G10" s="6" t="s">
        <v>136</v>
      </c>
      <c r="H10" t="s">
        <v>156</v>
      </c>
      <c r="J10" s="2">
        <f>IF(COUNT('Turns'!D35,'Turns'!D51)=2,SUM('Turns'!D35,'Turns'!D51),"Unknown")</f>
        <v>6.0</v>
      </c>
      <c r="K10" s="2">
        <f>IF(COUNT('Turns'!E35,'Turns'!E51)=2,SUM('Turns'!E35,'Turns'!E51),"Unknown")</f>
        <v>1.046844e-06</v>
      </c>
      <c r="L10" s="2">
        <f>IF(COUNT('Turns'!F35,'Turns'!F51)=2,SUM('Turns'!F35,'Turns'!F51),"Unknown")</f>
        <v>1.2e-06</v>
      </c>
      <c r="M10" s="2">
        <f>IF(COUNT('Turns'!D34,'Turns'!D50)=2,SUM('Turns'!D34,'Turns'!D50),"Unknown")</f>
        <v>4172.0</v>
      </c>
      <c r="N10" s="2">
        <f>IF(COUNT('Turns'!E34,'Turns'!E50)=2,SUM('Turns'!E34,'Turns'!E50),"Unknown")</f>
        <v>7.27905528e-05</v>
      </c>
      <c r="O10" s="2">
        <f>IF(COUNT('Turns'!F34,'Turns'!F50)=2,SUM('Turns'!F34,'Turns'!F50),"Unknown")</f>
        <v>8.344e-05</v>
      </c>
      <c r="P10" s="2">
        <f>IF(COUNT('Turns'!D37,'Turns'!D53)=2,SUM('Turns'!D37,'Turns'!D53),"Unknown")</f>
        <v>76.0</v>
      </c>
      <c r="Q10" s="2">
        <f>IF(COUNT('Turns'!E37,'Turns'!E53)=2,SUM('Turns'!E37,'Turns'!E53),"Unknown")</f>
        <v>1.657503e-05</v>
      </c>
      <c r="R10" s="2">
        <f>IF(COUNT('Turns'!F37,'Turns'!F53)=2,SUM('Turns'!F37,'Turns'!F53),"Unknown")</f>
        <v>1.9e-05</v>
      </c>
      <c r="S10" s="2">
        <f>IF(COUNT('Turns'!D41,'Turns'!D56)=2,SUM('Turns'!D41,'Turns'!D56),"Unknown")</f>
        <v>31.0</v>
      </c>
      <c r="T10" s="2">
        <f>IF(COUNT('Turns'!E41,'Turns'!E56)=2,SUM('Turns'!E41,'Turns'!E56),"Unknown")</f>
        <v>3.2452164e-05</v>
      </c>
      <c r="U10" s="2">
        <f>IF(COUNT('Turns'!F41,'Turns'!F56)=2,SUM('Turns'!F41,'Turns'!F56),"Unknown")</f>
        <v>3.72e-05</v>
      </c>
      <c r="V10" s="2">
        <f>IF(COUNT('Turns'!D40)=1,SUM('Turns'!D40),"Unknown")</f>
        <v>16.0</v>
      </c>
      <c r="W10" s="2">
        <f>IF(COUNT('Turns'!E40)=1,SUM('Turns'!E40),"Unknown")</f>
        <v>1.6749504e-05</v>
      </c>
      <c r="X10" s="2">
        <f>IF(COUNT('Turns'!F40)=1,SUM('Turns'!F40),"Unknown")</f>
        <v>1.92e-05</v>
      </c>
      <c r="Y10" s="2">
        <f>IF(COUNT('Turns'!E45,'Turns'!E60)=2,SUM('Turns'!E45,'Turns'!E60),"Unknown")</f>
        <v>0.0001396140948</v>
      </c>
      <c r="Z10" s="2">
        <f>IF(COUNT('Turns'!F45,'Turns'!F60)=2,SUM('Turns'!F45,'Turns'!F60),"Unknown")</f>
        <v>0.00016004</v>
      </c>
      <c r="AA10" s="5">
        <f>IF(ISNUMBER(Y10),ROUND(Y10*'Reference data'!$B$2,0),"Unknown")</f>
        <v>14.0</v>
      </c>
      <c r="AB10" s="5">
        <f>IF(ISNUMBER(Z10),ROUND(Z10*'Reference data'!$B$2,0),"Unknown")</f>
        <v>16.0</v>
      </c>
      <c r="AD10" s="1">
        <v>3152.6</v>
      </c>
      <c r="AE10" s="1" t="s">
        <v>137</v>
      </c>
    </row>
    <row r="11" spans="1:31" ht="54" customHeight="1">
      <c r="A11" s="6" t="s">
        <v>138</v>
      </c>
      <c r="B11" s="1">
        <v>1</v>
      </c>
      <c r="C11" s="1" t="s">
        <v>135</v>
      </c>
      <c r="D11" s="1" t="s">
        <v>47</v>
      </c>
      <c r="E11" s="1" t="s">
        <v>110</v>
      </c>
      <c r="G11" s="6" t="s">
        <v>139</v>
      </c>
      <c r="H11" t="s">
        <v>157</v>
      </c>
      <c r="I11" t="s">
        <v>156</v>
      </c>
      <c r="AD11" s="1">
        <v>0.278</v>
      </c>
      <c r="AE11" s="1" t="s">
        <v>141</v>
      </c>
    </row>
    <row r="12" spans="1:31" ht="54" customHeight="1">
      <c r="A12" s="6" t="s">
        <v>142</v>
      </c>
      <c r="B12" s="1">
        <v>1</v>
      </c>
      <c r="C12" s="1" t="s">
        <v>135</v>
      </c>
      <c r="D12" s="1" t="s">
        <v>47</v>
      </c>
      <c r="E12" s="1" t="s">
        <v>110</v>
      </c>
      <c r="G12" s="6" t="s">
        <v>143</v>
      </c>
      <c r="H12" t="s">
        <v>158</v>
      </c>
      <c r="I12" t="s">
        <v>156</v>
      </c>
      <c r="J12" s="2">
        <f>IF(COUNT('Turns'!D35)=1,SUM('Turns'!D35),"Unknown")</f>
        <v>3.0</v>
      </c>
      <c r="K12" s="2">
        <f>IF(COUNT('Turns'!E35)=1,SUM('Turns'!E35),"Unknown")</f>
        <v>5.23422e-07</v>
      </c>
      <c r="L12" s="2">
        <f>IF(COUNT('Turns'!F35)=1,SUM('Turns'!F35),"Unknown")</f>
        <v>6e-07</v>
      </c>
      <c r="M12" s="2">
        <f>IF(COUNT('Turns'!D34)=1,SUM('Turns'!D34),"Unknown")</f>
        <v>2075.0</v>
      </c>
      <c r="N12" s="2">
        <f>IF(COUNT('Turns'!E34)=1,SUM('Turns'!E34),"Unknown")</f>
        <v>3.6203355e-05</v>
      </c>
      <c r="O12" s="2">
        <f>IF(COUNT('Turns'!F34)=1,SUM('Turns'!F34),"Unknown")</f>
        <v>4.15e-05</v>
      </c>
      <c r="P12" s="2">
        <f>IF(COUNT('Turns'!D37)=1,SUM('Turns'!D37),"Unknown")</f>
        <v>22.0</v>
      </c>
      <c r="Q12" s="2">
        <f>IF(COUNT('Turns'!E37)=1,SUM('Turns'!E37),"Unknown")</f>
        <v>4.798035e-06</v>
      </c>
      <c r="R12" s="2">
        <f>IF(COUNT('Turns'!F37)=1,SUM('Turns'!F37),"Unknown")</f>
        <v>5.5e-06</v>
      </c>
      <c r="S12" s="2">
        <f>IF(COUNT('Turns'!D41)=1,SUM('Turns'!D41),"Unknown")</f>
        <v>21.0</v>
      </c>
      <c r="T12" s="2">
        <f>IF(COUNT('Turns'!E41)=1,SUM('Turns'!E41),"Unknown")</f>
        <v>2.1983724e-05</v>
      </c>
      <c r="U12" s="2">
        <f>IF(COUNT('Turns'!F41)=1,SUM('Turns'!F41),"Unknown")</f>
        <v>2.52e-05</v>
      </c>
      <c r="V12" s="2">
        <f>IF(COUNT('Turns'!D40)=1,SUM('Turns'!D40),"Unknown")</f>
        <v>16.0</v>
      </c>
      <c r="W12" s="2">
        <f>IF(COUNT('Turns'!E40)=1,SUM('Turns'!E40),"Unknown")</f>
        <v>1.6749504e-05</v>
      </c>
      <c r="X12" s="2">
        <f>IF(COUNT('Turns'!F40)=1,SUM('Turns'!F40),"Unknown")</f>
        <v>1.92e-05</v>
      </c>
      <c r="Y12" s="2">
        <f>IF(COUNT('Turns'!E45)=1,SUM('Turns'!E45),"Unknown")</f>
        <v>8.025804e-05</v>
      </c>
      <c r="Z12" s="2">
        <f>IF(COUNT('Turns'!F45)=1,SUM('Turns'!F45),"Unknown")</f>
        <v>9.2e-05</v>
      </c>
      <c r="AA12" s="5">
        <f>IF(ISNUMBER(Y12),ROUND(Y12*'Reference data'!$B$2,0),"Unknown")</f>
        <v>8.0</v>
      </c>
      <c r="AB12" s="5">
        <f>IF(ISNUMBER(Z12),ROUND(Z12*'Reference data'!$B$2,0),"Unknown")</f>
        <v>9.0</v>
      </c>
      <c r="AD12" s="1">
        <v>2295.766</v>
      </c>
      <c r="AE12" s="1" t="s">
        <v>137</v>
      </c>
    </row>
    <row r="13" spans="1:31" ht="54" customHeight="1">
      <c r="A13" s="6" t="s">
        <v>145</v>
      </c>
      <c r="B13" s="1">
        <v>2</v>
      </c>
      <c r="C13" s="1" t="s">
        <v>146</v>
      </c>
      <c r="D13" s="1" t="s">
        <v>95</v>
      </c>
      <c r="E13" s="1" t="s">
        <v>110</v>
      </c>
      <c r="F13" s="1">
        <v>2100</v>
      </c>
      <c r="G13" s="6" t="s">
        <v>147</v>
      </c>
      <c r="H13" t="s">
        <v>124</v>
      </c>
      <c r="I13" t="s">
        <v>158</v>
      </c>
      <c r="J13" s="2">
        <f>IF(COUNT('Turns'!D35)=1,SUM('Turns'!D35),"Unknown")</f>
        <v>3.0</v>
      </c>
      <c r="K13" s="2">
        <f>IF(COUNT('Turns'!E35)=1,SUM('Turns'!E35),"Unknown")</f>
        <v>5.23422e-07</v>
      </c>
      <c r="L13" s="2">
        <f>IF(COUNT('Turns'!F35)=1,SUM('Turns'!F35),"Unknown")</f>
        <v>6e-07</v>
      </c>
      <c r="M13" s="2">
        <f>IF(COUNT('Turns'!D34)=1,SUM('Turns'!D34),"Unknown")</f>
        <v>2075.0</v>
      </c>
      <c r="N13" s="2">
        <f>IF(COUNT('Turns'!E34)=1,SUM('Turns'!E34),"Unknown")</f>
        <v>3.6203355e-05</v>
      </c>
      <c r="O13" s="2">
        <f>IF(COUNT('Turns'!F34)=1,SUM('Turns'!F34),"Unknown")</f>
        <v>4.15e-05</v>
      </c>
      <c r="P13" s="2">
        <f>IF(COUNT('Turns'!D37)=1,SUM('Turns'!D37),"Unknown")</f>
        <v>22.0</v>
      </c>
      <c r="Q13" s="2">
        <f>IF(COUNT('Turns'!E37)=1,SUM('Turns'!E37),"Unknown")</f>
        <v>4.798035e-06</v>
      </c>
      <c r="R13" s="2">
        <f>IF(COUNT('Turns'!F37)=1,SUM('Turns'!F37),"Unknown")</f>
        <v>5.5e-06</v>
      </c>
      <c r="S13" s="2">
        <f>IF(COUNT('Turns'!D41)=1,SUM('Turns'!D41),"Unknown")</f>
        <v>21.0</v>
      </c>
      <c r="T13" s="2">
        <f>IF(COUNT('Turns'!E41)=1,SUM('Turns'!E41),"Unknown")</f>
        <v>2.1983724e-05</v>
      </c>
      <c r="U13" s="2">
        <f>IF(COUNT('Turns'!F41)=1,SUM('Turns'!F41),"Unknown")</f>
        <v>2.52e-05</v>
      </c>
      <c r="V13" s="2">
        <f>IF(COUNT('Turns'!D40)=1,SUM('Turns'!D40),"Unknown")</f>
        <v>16.0</v>
      </c>
      <c r="W13" s="2">
        <f>IF(COUNT('Turns'!E40)=1,SUM('Turns'!E40),"Unknown")</f>
        <v>1.6749504e-05</v>
      </c>
      <c r="X13" s="2">
        <f>IF(COUNT('Turns'!F40)=1,SUM('Turns'!F40),"Unknown")</f>
        <v>1.92e-05</v>
      </c>
      <c r="Y13" s="2">
        <f>IF(COUNT('Turns'!E45)=1,SUM('Turns'!E45),"Unknown")</f>
        <v>8.025804e-05</v>
      </c>
      <c r="Z13" s="2">
        <f>IF(COUNT('Turns'!F45)=1,SUM('Turns'!F45),"Unknown")</f>
        <v>9.2e-05</v>
      </c>
      <c r="AA13" s="5">
        <f>IF(ISNUMBER(Y13),ROUND(Y13*'Reference data'!$B$2,0),"Unknown")</f>
        <v>8.0</v>
      </c>
      <c r="AB13" s="5">
        <f>IF(ISNUMBER(Z13),ROUND(Z13*'Reference data'!$B$2,0),"Unknown")</f>
        <v>9.0</v>
      </c>
      <c r="AC13" s="1" t="s">
        <v>123</v>
      </c>
      <c r="AD13" s="1">
        <v>2290.214</v>
      </c>
      <c r="AE13" s="1" t="s">
        <v>148</v>
      </c>
    </row>
    <row r="14" spans="1:31" ht="54" customHeight="1">
      <c r="A14" s="6" t="s">
        <v>149</v>
      </c>
      <c r="B14" s="1">
        <v>1</v>
      </c>
      <c r="C14" s="1" t="s">
        <v>135</v>
      </c>
      <c r="D14" s="1" t="s">
        <v>47</v>
      </c>
      <c r="E14" s="1" t="s">
        <v>110</v>
      </c>
      <c r="G14" s="6" t="s">
        <v>150</v>
      </c>
      <c r="H14" t="s">
        <v>159</v>
      </c>
      <c r="I14" t="s">
        <v>156</v>
      </c>
      <c r="AD14" s="1">
        <v>3.686</v>
      </c>
      <c r="AE14" s="1" t="s">
        <v>141</v>
      </c>
    </row>
    <row r="15" spans="1:31" ht="54" customHeight="1">
      <c r="A15" s="6" t="s">
        <v>152</v>
      </c>
      <c r="B15" s="1">
        <v>2</v>
      </c>
      <c r="C15" s="1" t="s">
        <v>153</v>
      </c>
      <c r="D15" s="1" t="s">
        <v>47</v>
      </c>
      <c r="E15" s="1" t="s">
        <v>110</v>
      </c>
      <c r="G15" s="6" t="s">
        <v>154</v>
      </c>
      <c r="H15" t="s">
        <v>128</v>
      </c>
      <c r="I15" t="s">
        <v>159</v>
      </c>
      <c r="AD15" s="1">
        <v>1.13</v>
      </c>
      <c r="AE15" s="1" t="s">
        <v>141</v>
      </c>
    </row>
    <row r="16" spans="1:31" ht="54" customHeight="1">
      <c r="A16" s="6" t="s">
        <v>142</v>
      </c>
      <c r="B16" s="1">
        <v>1</v>
      </c>
      <c r="C16" s="1" t="s">
        <v>135</v>
      </c>
      <c r="D16" s="1" t="s">
        <v>47</v>
      </c>
      <c r="E16" s="1" t="s">
        <v>110</v>
      </c>
      <c r="G16" s="6" t="s">
        <v>143</v>
      </c>
      <c r="H16" t="s">
        <v>160</v>
      </c>
      <c r="I16" t="s">
        <v>156</v>
      </c>
      <c r="J16" s="2">
        <f>IF(COUNT('Turns'!D51)=1,SUM('Turns'!D51),"Unknown")</f>
        <v>3.0</v>
      </c>
      <c r="K16" s="2">
        <f>IF(COUNT('Turns'!E51)=1,SUM('Turns'!E51),"Unknown")</f>
        <v>5.23422e-07</v>
      </c>
      <c r="L16" s="2">
        <f>IF(COUNT('Turns'!F51)=1,SUM('Turns'!F51),"Unknown")</f>
        <v>6e-07</v>
      </c>
      <c r="M16" s="2">
        <f>IF(COUNT('Turns'!D50)=1,SUM('Turns'!D50),"Unknown")</f>
        <v>2097.0</v>
      </c>
      <c r="N16" s="2">
        <f>IF(COUNT('Turns'!E50)=1,SUM('Turns'!E50),"Unknown")</f>
        <v>3.65871978e-05</v>
      </c>
      <c r="O16" s="2">
        <f>IF(COUNT('Turns'!F50)=1,SUM('Turns'!F50),"Unknown")</f>
        <v>4.194e-05</v>
      </c>
      <c r="P16" s="2">
        <f>IF(COUNT('Turns'!D53)=1,SUM('Turns'!D53),"Unknown")</f>
        <v>54.0</v>
      </c>
      <c r="Q16" s="2">
        <f>IF(COUNT('Turns'!E53)=1,SUM('Turns'!E53),"Unknown")</f>
        <v>1.1776995e-05</v>
      </c>
      <c r="R16" s="2">
        <f>IF(COUNT('Turns'!F53)=1,SUM('Turns'!F53),"Unknown")</f>
        <v>1.35e-05</v>
      </c>
      <c r="S16" s="2">
        <f>IF(COUNT('Turns'!D56)=1,SUM('Turns'!D56),"Unknown")</f>
        <v>10.0</v>
      </c>
      <c r="T16" s="2">
        <f>IF(COUNT('Turns'!E56)=1,SUM('Turns'!E56),"Unknown")</f>
        <v>1.046844e-05</v>
      </c>
      <c r="U16" s="2">
        <f>IF(COUNT('Turns'!F56)=1,SUM('Turns'!F56),"Unknown")</f>
        <v>1.2e-05</v>
      </c>
      <c r="V16" s="2">
        <v>0</v>
      </c>
      <c r="W16" s="2">
        <v>0</v>
      </c>
      <c r="X16" s="2">
        <v>0</v>
      </c>
      <c r="Y16" s="2">
        <f>IF(COUNT('Turns'!E60)=1,SUM('Turns'!E60),"Unknown")</f>
        <v>5.93560548e-05</v>
      </c>
      <c r="Z16" s="2">
        <f>IF(COUNT('Turns'!F60)=1,SUM('Turns'!F60),"Unknown")</f>
        <v>6.804e-05</v>
      </c>
      <c r="AA16" s="5">
        <f>IF(ISNUMBER(Y16),ROUND(Y16*'Reference data'!$B$2,0),"Unknown")</f>
        <v>6.0</v>
      </c>
      <c r="AB16" s="5">
        <f>IF(ISNUMBER(Z16),ROUND(Z16*'Reference data'!$B$2,0),"Unknown")</f>
        <v>7.0</v>
      </c>
      <c r="AD16" s="1">
        <v>845.699</v>
      </c>
      <c r="AE16" s="1" t="s">
        <v>137</v>
      </c>
    </row>
    <row r="17" spans="1:31" ht="54" customHeight="1">
      <c r="A17" s="6" t="s">
        <v>145</v>
      </c>
      <c r="B17" s="1">
        <v>2</v>
      </c>
      <c r="C17" s="1" t="s">
        <v>146</v>
      </c>
      <c r="D17" s="1" t="s">
        <v>95</v>
      </c>
      <c r="E17" s="1" t="s">
        <v>110</v>
      </c>
      <c r="F17" s="1">
        <v>2154</v>
      </c>
      <c r="G17" s="6" t="s">
        <v>147</v>
      </c>
      <c r="H17" t="s">
        <v>132</v>
      </c>
      <c r="I17" t="s">
        <v>160</v>
      </c>
      <c r="J17" s="2">
        <f>IF(COUNT('Turns'!D51)=1,SUM('Turns'!D51),"Unknown")</f>
        <v>3.0</v>
      </c>
      <c r="K17" s="2">
        <f>IF(COUNT('Turns'!E51)=1,SUM('Turns'!E51),"Unknown")</f>
        <v>5.23422e-07</v>
      </c>
      <c r="L17" s="2">
        <f>IF(COUNT('Turns'!F51)=1,SUM('Turns'!F51),"Unknown")</f>
        <v>6e-07</v>
      </c>
      <c r="M17" s="2">
        <f>IF(COUNT('Turns'!D50)=1,SUM('Turns'!D50),"Unknown")</f>
        <v>2097.0</v>
      </c>
      <c r="N17" s="2">
        <f>IF(COUNT('Turns'!E50)=1,SUM('Turns'!E50),"Unknown")</f>
        <v>3.65871978e-05</v>
      </c>
      <c r="O17" s="2">
        <f>IF(COUNT('Turns'!F50)=1,SUM('Turns'!F50),"Unknown")</f>
        <v>4.194e-05</v>
      </c>
      <c r="P17" s="2">
        <f>IF(COUNT('Turns'!D53)=1,SUM('Turns'!D53),"Unknown")</f>
        <v>54.0</v>
      </c>
      <c r="Q17" s="2">
        <f>IF(COUNT('Turns'!E53)=1,SUM('Turns'!E53),"Unknown")</f>
        <v>1.1776995e-05</v>
      </c>
      <c r="R17" s="2">
        <f>IF(COUNT('Turns'!F53)=1,SUM('Turns'!F53),"Unknown")</f>
        <v>1.35e-05</v>
      </c>
      <c r="S17" s="2">
        <f>IF(COUNT('Turns'!D56)=1,SUM('Turns'!D56),"Unknown")</f>
        <v>10.0</v>
      </c>
      <c r="T17" s="2">
        <f>IF(COUNT('Turns'!E56)=1,SUM('Turns'!E56),"Unknown")</f>
        <v>1.046844e-05</v>
      </c>
      <c r="U17" s="2">
        <f>IF(COUNT('Turns'!F56)=1,SUM('Turns'!F56),"Unknown")</f>
        <v>1.2e-05</v>
      </c>
      <c r="V17" s="2">
        <v>0</v>
      </c>
      <c r="W17" s="2">
        <v>0</v>
      </c>
      <c r="X17" s="2">
        <v>0</v>
      </c>
      <c r="Y17" s="2">
        <f>IF(COUNT('Turns'!E60)=1,SUM('Turns'!E60),"Unknown")</f>
        <v>5.93560548e-05</v>
      </c>
      <c r="Z17" s="2">
        <f>IF(COUNT('Turns'!F60)=1,SUM('Turns'!F60),"Unknown")</f>
        <v>6.804e-05</v>
      </c>
      <c r="AA17" s="5">
        <f>IF(ISNUMBER(Y17),ROUND(Y17*'Reference data'!$B$2,0),"Unknown")</f>
        <v>6.0</v>
      </c>
      <c r="AB17" s="5">
        <f>IF(ISNUMBER(Z17),ROUND(Z17*'Reference data'!$B$2,0),"Unknown")</f>
        <v>7.0</v>
      </c>
      <c r="AC17" s="1" t="s">
        <v>131</v>
      </c>
      <c r="AD17" s="1">
        <v>839.609</v>
      </c>
      <c r="AE17" s="1" t="s">
        <v>148</v>
      </c>
    </row>
  </sheetData>
  <conditionalFormatting sqref="A2:AE17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0.87237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2026-09-23T03:40:57Z</dcterms:created>
  <dcterms:modified xsi:type="dcterms:W3CDTF">2026-09-23T03:40:57Z</dcterms:modified>
</cp:coreProperties>
</file>
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829392a85e4a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urns" sheetId="1" r:id="R56053d3005584c37"/>
    <x:sheet xmlns:r="http://schemas.openxmlformats.org/officeDocument/2006/relationships" name="Execution tree" sheetId="2" r:id="Rc8f89de9376246b9"/>
    <x:sheet xmlns:r="http://schemas.openxmlformats.org/officeDocument/2006/relationships" name="Reference data" sheetId="3" r:id="R31f7795e543547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###############;-0.###############;0"/>
    <x:numFmt numFmtId="202" formatCode="yyyy-mm-dd"/>
    <x:numFmt numFmtId="203" formatCode="yyyy-mm-dd hh:mm:ss"/>
    <x:numFmt numFmtId="204" formatCode="0.00"/>
  </x:numFmts>
  <x:fonts count="5">
    <x:font>
      <x:sz val="11"/>
      <x:name val="Carlito"/>
    </x:font>
    <x:font>
      <x:sz val="10"/>
      <x:color rgb="FF193E42"/>
      <x:name val="Arial"/>
    </x:font>
    <x:font>
      <x:b/>
      <x:sz val="10"/>
      <x:color rgb="FFFFFFFF"/>
      <x:name val="Arial"/>
    </x:font>
    <x:font>
      <x:b/>
      <x:sz val="10"/>
      <x:color rgb="FF173B70"/>
      <x:name val="Arial"/>
    </x:font>
    <x:font>
      <x:b/>
      <x:sz val="10"/>
      <x:color rgb="FF193E42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173B70"/>
      </x:patternFill>
    </x:fill>
    <x:fill>
      <x:patternFill patternType="solid">
        <x:fgColor rgb="FFFFF1B8"/>
      </x:patternFill>
    </x:fill>
    <x:fill>
      <x:patternFill patternType="solid">
        <x:fgColor rgb="FFDBE5F1"/>
      </x:patternFill>
    </x:fill>
    <x:fill>
      <x:patternFill patternType="solid">
        <x:fgColor rgb="FFF0F5FC"/>
      </x:patternFill>
    </x:fill>
    <x:fill>
      <x:patternFill patternType="solid">
        <x:fgColor rgb="FFE8EEF7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vertical="top"/>
    </x:xf>
    <x:xf numFmtId="200" fontId="3" fillId="3" borderId="0" xfId="0" applyNumberFormat="1" applyFont="1" applyFill="1" applyBorder="1" applyAlignment="1">
      <x:alignment vertical="top"/>
    </x:xf>
    <x:xf numFmtId="201" fontId="1" fillId="0" borderId="0" xfId="0" applyNumberFormat="1" applyFont="1" applyFill="1" applyBorder="1" applyAlignment="1">
      <x:alignment vertical="top"/>
    </x:xf>
    <x:xf numFmtId="202" fontId="1" fillId="0" borderId="0" xfId="0" applyNumberFormat="1" applyFont="1" applyFill="1" applyBorder="1" applyAlignment="1">
      <x:alignment vertical="top"/>
    </x:xf>
    <x:xf numFmtId="203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1" fillId="5" borderId="0" xfId="0" applyNumberFormat="1" applyFont="1" applyFill="1" applyBorder="1" applyAlignment="1">
      <x:alignment vertical="top"/>
    </x:xf>
    <x:xf numFmtId="0" fontId="3" fillId="5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 wrapText="1"/>
    </x:xf>
    <x:xf numFmtId="0" fontId="3" fillId="5" borderId="0" xfId="0" applyNumberFormat="1" applyFont="1" applyFill="1" applyBorder="1" applyAlignment="1">
      <x:alignment vertical="top" wrapText="1"/>
    </x:xf>
    <x:xf numFmtId="201" fontId="3" fillId="4" borderId="0" xfId="0" applyNumberFormat="1" applyFont="1" applyFill="1" applyBorder="1" applyAlignment="1">
      <x:alignment vertical="top"/>
    </x:xf>
    <x:xf numFmtId="201" fontId="3" fillId="5" borderId="0" xfId="0" applyNumberFormat="1" applyFont="1" applyFill="1" applyBorder="1" applyAlignment="1">
      <x:alignment vertical="top"/>
    </x:xf>
    <x:xf numFmtId="200" fontId="3" fillId="4" borderId="0" xfId="0" applyNumberFormat="1" applyFont="1" applyFill="1" applyBorder="1" applyAlignment="1">
      <x:alignment vertical="top"/>
    </x:xf>
    <x:xf numFmtId="200" fontId="3" fillId="5" borderId="0" xfId="0" applyNumberFormat="1" applyFont="1" applyFill="1" applyBorder="1" applyAlignment="1">
      <x:alignment vertical="top"/>
    </x:xf>
    <x:xf numFmtId="200" fontId="1" fillId="0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vertical="top"/>
    </x:xf>
    <x:xf numFmtId="0" fontId="1" fillId="7" borderId="0" xfId="0" applyNumberFormat="1" applyFont="1" applyFill="1" applyBorder="1" applyAlignment="1">
      <x:alignment vertical="top"/>
    </x:xf>
    <x:xf numFmtId="200" fontId="1" fillId="6" borderId="0" xfId="0" applyNumberFormat="1" applyFont="1" applyFill="1" applyBorder="1" applyAlignment="1">
      <x:alignment vertical="top"/>
    </x:xf>
    <x:xf numFmtId="200" fontId="1" fillId="7" borderId="0" xfId="0" applyNumberFormat="1" applyFont="1" applyFill="1" applyBorder="1" applyAlignment="1">
      <x:alignment vertical="top"/>
    </x:xf>
    <x:xf numFmtId="200" fontId="1" fillId="5" borderId="0" xfId="0" applyNumberFormat="1" applyFont="1" applyFill="1" applyBorder="1" applyAlignment="1">
      <x:alignment vertical="top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  <x:dxf>
      <x:font>
        <x:color rgb="FF8B1010"/>
      </x:font>
      <x:fill>
        <x:patternFill patternType="solid">
          <x:bgColor rgb="FFFFD3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b9840ed1ac47b1" /><Relationship Type="http://schemas.openxmlformats.org/officeDocument/2006/relationships/theme" Target="/xl/theme/theme1.xml" Id="R9d851e5697824343" /><Relationship Type="http://schemas.openxmlformats.org/officeDocument/2006/relationships/sharedStrings" Target="/xl/sharedStrings.xml" Id="Ra8d14bf891c24f64" /><Relationship Type="http://schemas.openxmlformats.org/officeDocument/2006/relationships/worksheet" Target="/xl/worksheets/sheet1.xml" Id="R56053d3005584c37" /><Relationship Type="http://schemas.openxmlformats.org/officeDocument/2006/relationships/worksheet" Target="/xl/worksheets/sheet2.xml" Id="Rc8f89de9376246b9" /><Relationship Type="http://schemas.openxmlformats.org/officeDocument/2006/relationships/worksheet" Target="/xl/worksheets/sheet3.xml" Id="R31f7795e543547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8" hidden="0" customWidth="1"/>
    <x:col min="4" max="4" width="14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00" hidden="0" customWidth="1"/>
    <x:col min="10" max="10" width="26" hidden="0" customWidth="1"/>
    <x:col min="11" max="11" width="18" hidden="0" customWidth="1"/>
    <x:col min="12" max="12" width="18" hidden="0" customWidth="1"/>
    <x:col min="13" max="13" width="38" hidden="0" customWidth="1"/>
  </x:cols>
  <x:sheetData>
    <x:row r="1" ht="44" customHeight="1">
      <x:c r="A1" s="7" t="str">
        <x:v>Request</x:v>
      </x:c>
      <x:c r="B1" s="7" t="str">
        <x:v>Turn</x:v>
      </x:c>
      <x:c r="C1" s="7" t="str">
        <x:v>Sequence</x:v>
      </x:c>
      <x:c r="D1" s="7" t="str">
        <x:v>Tokens</x:v>
      </x:c>
      <x:c r="E1" s="7" t="str">
        <x:v>EUR / execution</x:v>
      </x:c>
      <x:c r="F1" s="7" t="str">
        <x:v>USD / execution</x:v>
      </x:c>
      <x:c r="G1" s="7" t="str">
        <x:v>Projected EUR</x:v>
      </x:c>
      <x:c r="H1" s="7" t="str">
        <x:v>Projected USD</x:v>
      </x:c>
      <x:c r="I1" s="7" t="str">
        <x:v>Content</x:v>
      </x:c>
      <x:c r="J1" s="7" t="str">
        <x:v>Model · effort</x:v>
      </x:c>
      <x:c r="K1" s="7" t="str">
        <x:v>Status</x:v>
      </x:c>
      <x:c r="L1" s="7" t="str">
        <x:v>Context total tokens</x:v>
      </x:c>
      <x:c r="M1" s="7" t="str">
        <x:v>Span ID</x:v>
      </x:c>
    </x:row>
    <x:row r="2" ht="24" customHeight="1">
      <x:c r="A2" s="19"/>
      <x:c r="B2" s="19"/>
      <x:c r="C2" s="19" t="str">
        <x:v>Run total</x:v>
      </x:c>
      <x:c r="D2" s="27"/>
      <x:c r="E2" s="25" t="n">
        <x:f>IF(COUNT(E16,E29)=2,SUM(E16,E29),"Unknown")</x:f>
        <x:v>0.000806561632</x:v>
      </x:c>
      <x:c r="F2" s="25" t="n">
        <x:f>IF(COUNT(F16,F29)=2,SUM(F16,F29),"Unknown")</x:f>
        <x:v>0.00092432</x:v>
      </x:c>
      <x:c r="G2" s="27" t="n">
        <x:f>IF(ISNUMBER(E2),ROUND(E2*'Reference data'!$B$2,0),"Unknown")</x:f>
        <x:v>81</x:v>
      </x:c>
      <x:c r="H2" s="27" t="n">
        <x:f>IF(ISNUMBER(F2),ROUND(F2*'Reference data'!$B$2,0),"Unknown")</x:f>
        <x:v>92</x:v>
      </x:c>
      <x:c r="I2" s="23"/>
      <x:c r="J2" s="19"/>
      <x:c r="K2" s="19"/>
      <x:c r="L2" s="27"/>
      <x:c r="M2" s="19"/>
    </x:row>
    <x:row r="3" ht="24" customHeight="1">
      <x:c r="A3" s="19"/>
      <x:c r="B3" s="19" t="n">
        <x:v>1</x:v>
      </x:c>
      <x:c r="C3" s="19" t="str">
        <x:v>Turn 1</x:v>
      </x:c>
      <x:c r="D3" s="27"/>
      <x:c r="E3" s="25" t="n">
        <x:f>IF(COUNT(E16)=1,SUM(E16),"Unknown")</x:f>
        <x:v>0.0006160556</x:v>
      </x:c>
      <x:c r="F3" s="25" t="n">
        <x:f>IF(COUNT(F16)=1,SUM(F16),"Unknown")</x:f>
        <x:v>0.000706</x:v>
      </x:c>
      <x:c r="G3" s="27" t="n">
        <x:f>IF(ISNUMBER(E3),ROUND(E3*'Reference data'!$B$2,0),"Unknown")</x:f>
        <x:v>62</x:v>
      </x:c>
      <x:c r="H3" s="27" t="n">
        <x:f>IF(ISNUMBER(F3),ROUND(F3*'Reference data'!$B$2,0),"Unknown")</x:f>
        <x:v>71</x:v>
      </x:c>
      <x:c r="I3" s="23"/>
      <x:c r="J3" s="19"/>
      <x:c r="K3" s="19"/>
      <x:c r="L3" s="27"/>
      <x:c r="M3" s="19"/>
    </x:row>
    <x:row r="4" ht="24" customHeight="1">
      <x:c r="A4" s="21" t="str">
        <x:v>R1</x:v>
      </x:c>
      <x:c r="B4" s="21" t="n">
        <x:v>1</x:v>
      </x:c>
      <x:c r="C4" s="21" t="str">
        <x:v>LLM request</x:v>
      </x:c>
      <x:c r="D4" s="28" t="n">
        <x:v>1999</x:v>
      </x:c>
      <x:c r="E4" s="26"/>
      <x:c r="F4" s="26"/>
      <x:c r="G4" s="28"/>
      <x:c r="H4" s="28"/>
      <x:c r="I4" s="24"/>
      <x:c r="J4" s="21" t="str">
        <x:v>gpt-5.6-luna</x:v>
      </x:c>
      <x:c r="K4" s="21"/>
      <x:c r="L4" s="28"/>
      <x:c r="M4" s="21" t="str">
        <x:v>01a0c40e-de1c-7723-9710-800dbf8a0e7e</x:v>
      </x:c>
    </x:row>
    <x:row r="5" ht="24" customHeight="1">
      <x:c r="A5" s="2" t="str">
        <x:v>R1</x:v>
      </x:c>
      <x:c r="B5" s="2" t="n">
        <x:v>1</x:v>
      </x:c>
      <x:c r="C5" s="22" t="str">
        <x:v>Fresh input</x:v>
      </x:c>
      <x:c r="D5" s="29" t="n">
        <x:v>3</x:v>
      </x:c>
      <x:c r="E5" s="11" t="n">
        <x:f>IF(AND(ISNUMBER(F5),ISNUMBER('Reference data'!$B$3)),F5*'Reference data'!$B$3,"Unknown")</x:f>
        <x:v>5.235600000000001e-7</x:v>
      </x:c>
      <x:c r="F5" s="11" t="n">
        <x:f>IF(D5=0,0,IF(ISNUMBER('Reference data'!B17),D5*'Reference data'!B17/1000000,"Unknown"))</x:f>
        <x:v>6.000000000000001e-7</x:v>
      </x:c>
      <x:c r="G5" s="29" t="n">
        <x:f>IF(ISNUMBER(E5),ROUND(E5*'Reference data'!$B$2,0),"Unknown")</x:f>
        <x:v>0</x:v>
      </x:c>
      <x:c r="H5" s="29" t="n">
        <x:f>IF(ISNUMBER(F5),ROUND(F5*'Reference data'!$B$2,0),"Unknown")</x:f>
        <x:v>0</x:v>
      </x:c>
      <x:c r="I5" s="14"/>
      <x:c r="J5" s="2"/>
      <x:c r="K5" s="2"/>
      <x:c r="L5" s="29"/>
      <x:c r="M5" s="2"/>
    </x:row>
    <x:row r="6" ht="24" customHeight="1">
      <x:c r="A6" s="2" t="str">
        <x:v>R1</x:v>
      </x:c>
      <x:c r="B6" s="2" t="n">
        <x:v>1</x:v>
      </x:c>
      <x:c r="C6" s="2" t="str">
        <x:v>    Tool definitions</x:v>
      </x:c>
      <x:c r="D6" s="29"/>
      <x:c r="E6" s="11"/>
      <x:c r="F6" s="11"/>
      <x:c r="G6" s="29"/>
      <x:c r="H6" s="29"/>
      <x:c r="I6" s="14"/>
      <x:c r="J6" s="2"/>
      <x:c r="K6" s="2"/>
      <x:c r="L6" s="29"/>
      <x:c r="M6" s="2"/>
    </x:row>
    <x:row r="7" ht="34" customHeight="1">
      <x:c r="A7" s="2" t="str">
        <x:v>R1</x:v>
      </x:c>
      <x:c r="B7" s="2" t="n">
        <x:v>1</x:v>
      </x:c>
      <x:c r="C7" s="2" t="str">
        <x:v>    System prompt</x:v>
      </x:c>
      <x:c r="D7" s="29"/>
      <x:c r="E7" s="11"/>
      <x:c r="F7" s="11"/>
      <x:c r="G7" s="29"/>
      <x:c r="H7" s="29"/>
      <x:c r="I7" s="14" t="str">
        <x:v>Answer the user's chat question directly and concisely. Do not use tools for this simple chat exercise.</x:v>
      </x:c>
      <x:c r="J7" s="2"/>
      <x:c r="K7" s="2"/>
      <x:c r="L7" s="29"/>
      <x:c r="M7" s="2"/>
    </x:row>
    <x:row r="8" ht="24" customHeight="1">
      <x:c r="A8" s="2" t="str">
        <x:v>R1</x:v>
      </x:c>
      <x:c r="B8" s="2" t="n">
        <x:v>1</x:v>
      </x:c>
      <x:c r="C8" s="2" t="str">
        <x:v>    User prompt</x:v>
      </x:c>
      <x:c r="D8" s="29"/>
      <x:c r="E8" s="11"/>
      <x:c r="F8" s="11"/>
      <x:c r="G8" s="29"/>
      <x:c r="H8" s="29"/>
      <x:c r="I8" s="14" t="str">
        <x:v>Explain the main steps in an agent workflow.</x:v>
      </x:c>
      <x:c r="J8" s="2"/>
      <x:c r="K8" s="2"/>
      <x:c r="L8" s="29"/>
      <x:c r="M8" s="2"/>
    </x:row>
    <x:row r="9" ht="24" customHeight="1">
      <x:c r="A9" s="2" t="str">
        <x:v>R1</x:v>
      </x:c>
      <x:c r="B9" s="2" t="n">
        <x:v>1</x:v>
      </x:c>
      <x:c r="C9" s="22" t="str">
        <x:v>Cache write</x:v>
      </x:c>
      <x:c r="D9" s="29" t="n">
        <x:v>1996</x:v>
      </x:c>
      <x:c r="E9" s="11" t="n">
        <x:f>IF(AND(ISNUMBER(F9),ISNUMBER('Reference data'!$B$3)),F9*'Reference data'!$B$3,"Unknown")</x:f>
        <x:v>0.00043542740000000003</x:v>
      </x:c>
      <x:c r="F9" s="11" t="n">
        <x:f>IF(D9=0,0,IF(ISNUMBER('Reference data'!D17),D9*'Reference data'!D17/1000000,"Unknown"))</x:f>
        <x:v>0.000499</x:v>
      </x:c>
      <x:c r="G9" s="29" t="n">
        <x:f>IF(ISNUMBER(E9),ROUND(E9*'Reference data'!$B$2,0),"Unknown")</x:f>
        <x:v>44</x:v>
      </x:c>
      <x:c r="H9" s="29" t="n">
        <x:f>IF(ISNUMBER(F9),ROUND(F9*'Reference data'!$B$2,0),"Unknown")</x:f>
        <x:v>50</x:v>
      </x:c>
      <x:c r="I9" s="14"/>
      <x:c r="J9" s="2"/>
      <x:c r="K9" s="2"/>
      <x:c r="L9" s="29"/>
      <x:c r="M9" s="2"/>
    </x:row>
    <x:row r="10" ht="24" customHeight="1">
      <x:c r="A10" s="2" t="str">
        <x:v>R1</x:v>
      </x:c>
      <x:c r="B10" s="2" t="n">
        <x:v>1</x:v>
      </x:c>
      <x:c r="C10" s="2" t="str">
        <x:v>Context · added / total</x:v>
      </x:c>
      <x:c r="D10" s="29"/>
      <x:c r="E10" s="11"/>
      <x:c r="F10" s="11"/>
      <x:c r="G10" s="29"/>
      <x:c r="H10" s="29"/>
      <x:c r="I10" s="14"/>
      <x:c r="J10" s="2"/>
      <x:c r="K10" s="2"/>
      <x:c r="L10" s="29"/>
      <x:c r="M10" s="2"/>
    </x:row>
    <x:row r="11" ht="24" customHeight="1">
      <x:c r="A11" s="21" t="str">
        <x:v>R1</x:v>
      </x:c>
      <x:c r="B11" s="21" t="n">
        <x:v>1</x:v>
      </x:c>
      <x:c r="C11" s="21" t="str">
        <x:v>LLM response</x:v>
      </x:c>
      <x:c r="D11" s="28" t="n">
        <x:v>172</x:v>
      </x:c>
      <x:c r="E11" s="26"/>
      <x:c r="F11" s="26"/>
      <x:c r="G11" s="28"/>
      <x:c r="H11" s="28"/>
      <x:c r="I11" s="24"/>
      <x:c r="J11" s="21"/>
      <x:c r="K11" s="21"/>
      <x:c r="L11" s="28"/>
      <x:c r="M11" s="21"/>
    </x:row>
    <x:row r="12" ht="24" customHeight="1">
      <x:c r="A12" s="2" t="str">
        <x:v>R1</x:v>
      </x:c>
      <x:c r="B12" s="2" t="n">
        <x:v>1</x:v>
      </x:c>
      <x:c r="C12" s="22" t="str">
        <x:v>Output</x:v>
      </x:c>
      <x:c r="D12" s="29" t="n">
        <x:v>172</x:v>
      </x:c>
      <x:c r="E12" s="11" t="n">
        <x:f>IF(AND(ISNUMBER(F12),ISNUMBER('Reference data'!$B$3)),F12*'Reference data'!$B$3,"Unknown")</x:f>
        <x:v>0.00018010464</x:v>
      </x:c>
      <x:c r="F12" s="11" t="n">
        <x:f>IF(D12=0,0,IF(ISNUMBER('Reference data'!E17),D12*'Reference data'!E17/1000000,"Unknown"))</x:f>
        <x:v>0.0002064</x:v>
      </x:c>
      <x:c r="G12" s="29" t="n">
        <x:f>IF(ISNUMBER(E12),ROUND(E12*'Reference data'!$B$2,0),"Unknown")</x:f>
        <x:v>18</x:v>
      </x:c>
      <x:c r="H12" s="29" t="n">
        <x:f>IF(ISNUMBER(F12),ROUND(F12*'Reference data'!$B$2,0),"Unknown")</x:f>
        <x:v>21</x:v>
      </x:c>
      <x:c r="I12" s="14"/>
      <x:c r="J12" s="2"/>
      <x:c r="K12" s="2"/>
      <x:c r="L12" s="29"/>
      <x:c r="M12" s="2"/>
    </x:row>
    <x:row r="13" ht="151" customHeight="1">
      <x:c r="A13" s="2" t="str">
        <x:v>R1</x:v>
      </x:c>
      <x:c r="B13" s="2" t="n">
        <x:v>1</x:v>
      </x:c>
      <x:c r="C13" s="2" t="str">
        <x:v>    Output content</x:v>
      </x:c>
      <x:c r="D13" s="29"/>
      <x:c r="E13" s="11"/>
      <x:c r="F13" s="11"/>
      <x:c r="G13" s="29"/>
      <x:c r="H13" s="29"/>
      <x:c r="I13" s="14" t="str">
        <x:v>[{"type":"text","text":"The main steps in an agent workflow are:\n\n1. **Perceive** – Gather information from the user, environment, tools, or data sources.\n2. **Interpret** – Understand the goal, context, and constraints.\n3. **Plan** – Break the task into steps and decide which actions or tools are needed.\n4. **Act** – Execute those actions, such as calling APIs, searching data, or modifying files.\n5. **Observe results** – Check what happened and collect feedback from each action.\n6. **Reason and adjust** – Evaluate the results, revise the plan if necessary, and handle errors.\n7. **Complete and respond** – Produce the final outcome or answer, often after validating it.\n\nThis process may repeat in a loop until the goal is achieved or the agent determines that it cannot proceed.","phase":"final_answer","index":0,"id":"msg_0c93db884d4098e4006ab12ab9253087d283bf85f3a63572b5"}]</x:v>
      </x:c>
      <x:c r="J13" s="2"/>
      <x:c r="K13" s="2"/>
      <x:c r="L13" s="29"/>
      <x:c r="M13" s="2"/>
    </x:row>
    <x:row r="14" ht="24" customHeight="1">
      <x:c r="A14" s="2" t="str">
        <x:v>R1</x:v>
      </x:c>
      <x:c r="B14" s="2" t="n">
        <x:v>1</x:v>
      </x:c>
      <x:c r="C14" s="2" t="str">
        <x:v>Cache write</x:v>
      </x:c>
      <x:c r="D14" s="29"/>
      <x:c r="E14" s="11"/>
      <x:c r="F14" s="11"/>
      <x:c r="G14" s="29"/>
      <x:c r="H14" s="29"/>
      <x:c r="I14" s="14"/>
      <x:c r="J14" s="2"/>
      <x:c r="K14" s="2"/>
      <x:c r="L14" s="29"/>
      <x:c r="M14" s="2"/>
    </x:row>
    <x:row r="15" ht="24" customHeight="1">
      <x:c r="A15" s="2" t="str">
        <x:v>R1</x:v>
      </x:c>
      <x:c r="B15" s="2" t="n">
        <x:v>1</x:v>
      </x:c>
      <x:c r="C15" s="2" t="str">
        <x:v>Context · added / total</x:v>
      </x:c>
      <x:c r="D15" s="29"/>
      <x:c r="E15" s="11"/>
      <x:c r="F15" s="11"/>
      <x:c r="G15" s="29"/>
      <x:c r="H15" s="29"/>
      <x:c r="I15" s="14"/>
      <x:c r="J15" s="2"/>
      <x:c r="K15" s="2"/>
      <x:c r="L15" s="29"/>
      <x:c r="M15" s="2"/>
    </x:row>
    <x:row r="16" ht="24" customHeight="1">
      <x:c r="A16" s="21" t="str">
        <x:v>R1</x:v>
      </x:c>
      <x:c r="B16" s="21" t="n">
        <x:v>1</x:v>
      </x:c>
      <x:c r="C16" s="21" t="str">
        <x:v>Call total</x:v>
      </x:c>
      <x:c r="D16" s="28"/>
      <x:c r="E16" s="26" t="n">
        <x:f>IF(COUNT(E5,E9,E12)=3,SUM(E5,E9,E12),"Unknown")</x:f>
        <x:v>0.0006160556</x:v>
      </x:c>
      <x:c r="F16" s="26" t="n">
        <x:f>IF(COUNT(F5,F9,F12)=3,SUM(F5,F9,F12),"Unknown")</x:f>
        <x:v>0.000706</x:v>
      </x:c>
      <x:c r="G16" s="28" t="n">
        <x:f>IF(ISNUMBER(E16),ROUND(E16*'Reference data'!$B$2,0),"Unknown")</x:f>
        <x:v>62</x:v>
      </x:c>
      <x:c r="H16" s="28" t="n">
        <x:f>IF(ISNUMBER(F16),ROUND(F16*'Reference data'!$B$2,0),"Unknown")</x:f>
        <x:v>71</x:v>
      </x:c>
      <x:c r="I16" s="24"/>
      <x:c r="J16" s="21"/>
      <x:c r="K16" s="21" t="str">
        <x:v>ok</x:v>
      </x:c>
      <x:c r="L16" s="28"/>
      <x:c r="M16" s="21"/>
    </x:row>
    <x:row r="17" ht="24" customHeight="1">
      <x:c r="A17" s="19"/>
      <x:c r="B17" s="19" t="n">
        <x:v>2</x:v>
      </x:c>
      <x:c r="C17" s="19" t="str">
        <x:v>Turn 2</x:v>
      </x:c>
      <x:c r="D17" s="27"/>
      <x:c r="E17" s="25" t="n">
        <x:f>IF(COUNT(E29)=1,SUM(E29),"Unknown")</x:f>
        <x:v>0.000190506032</x:v>
      </x:c>
      <x:c r="F17" s="25" t="n">
        <x:f>IF(COUNT(F29)=1,SUM(F29),"Unknown")</x:f>
        <x:v>0.00021831999999999998</x:v>
      </x:c>
      <x:c r="G17" s="27" t="n">
        <x:f>IF(ISNUMBER(E17),ROUND(E17*'Reference data'!$B$2,0),"Unknown")</x:f>
        <x:v>19</x:v>
      </x:c>
      <x:c r="H17" s="27" t="n">
        <x:f>IF(ISNUMBER(F17),ROUND(F17*'Reference data'!$B$2,0),"Unknown")</x:f>
        <x:v>22</x:v>
      </x:c>
      <x:c r="I17" s="23"/>
      <x:c r="J17" s="19"/>
      <x:c r="K17" s="19"/>
      <x:c r="L17" s="27"/>
      <x:c r="M17" s="19"/>
    </x:row>
    <x:row r="18" ht="24" customHeight="1">
      <x:c r="A18" s="21" t="str">
        <x:v>R2</x:v>
      </x:c>
      <x:c r="B18" s="21" t="n">
        <x:v>2</x:v>
      </x:c>
      <x:c r="C18" s="21" t="str">
        <x:v>LLM request</x:v>
      </x:c>
      <x:c r="D18" s="28" t="n">
        <x:v>2187</x:v>
      </x:c>
      <x:c r="E18" s="26"/>
      <x:c r="F18" s="26"/>
      <x:c r="G18" s="28"/>
      <x:c r="H18" s="28"/>
      <x:c r="I18" s="24"/>
      <x:c r="J18" s="21" t="str">
        <x:v>gpt-5.6-luna</x:v>
      </x:c>
      <x:c r="K18" s="21"/>
      <x:c r="L18" s="28"/>
      <x:c r="M18" s="21" t="str">
        <x:v>01a0c40e-ece7-7c53-a9da-c281f861b48f</x:v>
      </x:c>
    </x:row>
    <x:row r="19" ht="24" customHeight="1">
      <x:c r="A19" s="2" t="str">
        <x:v>R2</x:v>
      </x:c>
      <x:c r="B19" s="2" t="n">
        <x:v>2</x:v>
      </x:c>
      <x:c r="C19" s="22" t="str">
        <x:v>Conversation history · cache read</x:v>
      </x:c>
      <x:c r="D19" s="29" t="n">
        <x:v>1996</x:v>
      </x:c>
      <x:c r="E19" s="11" t="n">
        <x:f>IF(AND(ISNUMBER(F19),ISNUMBER('Reference data'!$B$3)),F19*'Reference data'!$B$3,"Unknown")</x:f>
        <x:v>0.000034834192000000004</x:v>
      </x:c>
      <x:c r="F19" s="11" t="n">
        <x:f>IF(D19=0,0,IF(ISNUMBER('Reference data'!C17),D19*'Reference data'!C17/1000000,"Unknown"))</x:f>
        <x:v>0.000039920000000000004</x:v>
      </x:c>
      <x:c r="G19" s="29" t="n">
        <x:f>IF(ISNUMBER(E19),ROUND(E19*'Reference data'!$B$2,0),"Unknown")</x:f>
        <x:v>3</x:v>
      </x:c>
      <x:c r="H19" s="29" t="n">
        <x:f>IF(ISNUMBER(F19),ROUND(F19*'Reference data'!$B$2,0),"Unknown")</x:f>
        <x:v>4</x:v>
      </x:c>
      <x:c r="I19" s="14"/>
      <x:c r="J19" s="2"/>
      <x:c r="K19" s="2"/>
      <x:c r="L19" s="29"/>
      <x:c r="M19" s="2"/>
    </x:row>
    <x:row r="20" ht="24" customHeight="1">
      <x:c r="A20" s="2" t="str">
        <x:v>R2</x:v>
      </x:c>
      <x:c r="B20" s="2" t="n">
        <x:v>2</x:v>
      </x:c>
      <x:c r="C20" s="22" t="str">
        <x:v>Fresh input</x:v>
      </x:c>
      <x:c r="D20" s="29" t="n">
        <x:v>3</x:v>
      </x:c>
      <x:c r="E20" s="11" t="n">
        <x:f>IF(AND(ISNUMBER(F20),ISNUMBER('Reference data'!$B$3)),F20*'Reference data'!$B$3,"Unknown")</x:f>
        <x:v>5.235600000000001e-7</x:v>
      </x:c>
      <x:c r="F20" s="11" t="n">
        <x:f>IF(D20=0,0,IF(ISNUMBER('Reference data'!B17),D20*'Reference data'!B17/1000000,"Unknown"))</x:f>
        <x:v>6.000000000000001e-7</x:v>
      </x:c>
      <x:c r="G20" s="29" t="n">
        <x:f>IF(ISNUMBER(E20),ROUND(E20*'Reference data'!$B$2,0),"Unknown")</x:f>
        <x:v>0</x:v>
      </x:c>
      <x:c r="H20" s="29" t="n">
        <x:f>IF(ISNUMBER(F20),ROUND(F20*'Reference data'!$B$2,0),"Unknown")</x:f>
        <x:v>0</x:v>
      </x:c>
      <x:c r="I20" s="14"/>
      <x:c r="J20" s="2"/>
      <x:c r="K20" s="2"/>
      <x:c r="L20" s="29"/>
      <x:c r="M20" s="2"/>
    </x:row>
    <x:row r="21" ht="24" customHeight="1">
      <x:c r="A21" s="2" t="str">
        <x:v>R2</x:v>
      </x:c>
      <x:c r="B21" s="2" t="n">
        <x:v>2</x:v>
      </x:c>
      <x:c r="C21" s="2" t="str">
        <x:v>    User prompt</x:v>
      </x:c>
      <x:c r="D21" s="29"/>
      <x:c r="E21" s="11"/>
      <x:c r="F21" s="11"/>
      <x:c r="G21" s="29"/>
      <x:c r="H21" s="29"/>
      <x:c r="I21" s="14" t="str">
        <x:v>How does a tool observation help the agent answer?</x:v>
      </x:c>
      <x:c r="J21" s="2"/>
      <x:c r="K21" s="2"/>
      <x:c r="L21" s="29"/>
      <x:c r="M21" s="2"/>
    </x:row>
    <x:row r="22" ht="24" customHeight="1">
      <x:c r="A22" s="2" t="str">
        <x:v>R2</x:v>
      </x:c>
      <x:c r="B22" s="2" t="n">
        <x:v>2</x:v>
      </x:c>
      <x:c r="C22" s="22" t="str">
        <x:v>Cache write</x:v>
      </x:c>
      <x:c r="D22" s="29" t="n">
        <x:v>188</x:v>
      </x:c>
      <x:c r="E22" s="11" t="n">
        <x:f>IF(AND(ISNUMBER(F22),ISNUMBER('Reference data'!$B$3)),F22*'Reference data'!$B$3,"Unknown")</x:f>
        <x:v>0.0000410122</x:v>
      </x:c>
      <x:c r="F22" s="11" t="n">
        <x:f>IF(D22=0,0,IF(ISNUMBER('Reference data'!D17),D22*'Reference data'!D17/1000000,"Unknown"))</x:f>
        <x:v>0.000047</x:v>
      </x:c>
      <x:c r="G22" s="29" t="n">
        <x:f>IF(ISNUMBER(E22),ROUND(E22*'Reference data'!$B$2,0),"Unknown")</x:f>
        <x:v>4</x:v>
      </x:c>
      <x:c r="H22" s="29" t="n">
        <x:f>IF(ISNUMBER(F22),ROUND(F22*'Reference data'!$B$2,0),"Unknown")</x:f>
        <x:v>5</x:v>
      </x:c>
      <x:c r="I22" s="14"/>
      <x:c r="J22" s="2"/>
      <x:c r="K22" s="2"/>
      <x:c r="L22" s="29"/>
      <x:c r="M22" s="2"/>
    </x:row>
    <x:row r="23" ht="24" customHeight="1">
      <x:c r="A23" s="2" t="str">
        <x:v>R2</x:v>
      </x:c>
      <x:c r="B23" s="2" t="n">
        <x:v>2</x:v>
      </x:c>
      <x:c r="C23" s="2" t="str">
        <x:v>Context · added / total</x:v>
      </x:c>
      <x:c r="D23" s="29"/>
      <x:c r="E23" s="11"/>
      <x:c r="F23" s="11"/>
      <x:c r="G23" s="29"/>
      <x:c r="H23" s="29"/>
      <x:c r="I23" s="14"/>
      <x:c r="J23" s="2"/>
      <x:c r="K23" s="2"/>
      <x:c r="L23" s="29"/>
      <x:c r="M23" s="2"/>
    </x:row>
    <x:row r="24" ht="24" customHeight="1">
      <x:c r="A24" s="21" t="str">
        <x:v>R2</x:v>
      </x:c>
      <x:c r="B24" s="21" t="n">
        <x:v>2</x:v>
      </x:c>
      <x:c r="C24" s="21" t="str">
        <x:v>LLM response</x:v>
      </x:c>
      <x:c r="D24" s="28" t="n">
        <x:v>109</x:v>
      </x:c>
      <x:c r="E24" s="26"/>
      <x:c r="F24" s="26"/>
      <x:c r="G24" s="28"/>
      <x:c r="H24" s="28"/>
      <x:c r="I24" s="24"/>
      <x:c r="J24" s="21"/>
      <x:c r="K24" s="21"/>
      <x:c r="L24" s="28"/>
      <x:c r="M24" s="21"/>
    </x:row>
    <x:row r="25" ht="24" customHeight="1">
      <x:c r="A25" s="2" t="str">
        <x:v>R2</x:v>
      </x:c>
      <x:c r="B25" s="2" t="n">
        <x:v>2</x:v>
      </x:c>
      <x:c r="C25" s="22" t="str">
        <x:v>Output</x:v>
      </x:c>
      <x:c r="D25" s="29" t="n">
        <x:v>109</x:v>
      </x:c>
      <x:c r="E25" s="11" t="n">
        <x:f>IF(AND(ISNUMBER(F25),ISNUMBER('Reference data'!$B$3)),F25*'Reference data'!$B$3,"Unknown")</x:f>
        <x:v>0.00011413607999999998</x:v>
      </x:c>
      <x:c r="F25" s="11" t="n">
        <x:f>IF(D25=0,0,IF(ISNUMBER('Reference data'!E17),D25*'Reference data'!E17/1000000,"Unknown"))</x:f>
        <x:v>0.00013079999999999998</x:v>
      </x:c>
      <x:c r="G25" s="29" t="n">
        <x:f>IF(ISNUMBER(E25),ROUND(E25*'Reference data'!$B$2,0),"Unknown")</x:f>
        <x:v>11</x:v>
      </x:c>
      <x:c r="H25" s="29" t="n">
        <x:f>IF(ISNUMBER(F25),ROUND(F25*'Reference data'!$B$2,0),"Unknown")</x:f>
        <x:v>13</x:v>
      </x:c>
      <x:c r="I25" s="14"/>
      <x:c r="J25" s="2"/>
      <x:c r="K25" s="2"/>
      <x:c r="L25" s="29"/>
      <x:c r="M25" s="2"/>
    </x:row>
    <x:row r="26" ht="112" customHeight="1">
      <x:c r="A26" s="2" t="str">
        <x:v>R2</x:v>
      </x:c>
      <x:c r="B26" s="2" t="n">
        <x:v>2</x:v>
      </x:c>
      <x:c r="C26" s="2" t="str">
        <x:v>    Output content</x:v>
      </x:c>
      <x:c r="D26" s="29"/>
      <x:c r="E26" s="11"/>
      <x:c r="F26" s="11"/>
      <x:c r="G26" s="29"/>
      <x:c r="H26" s="29"/>
      <x:c r="I26" s="14" t="str">
        <x:v>[{"type":"text","text":"A tool observation gives the agent new information from an action it performed—for example, search results, an API response, or a file’s contents. The agent uses that information to:\n\n- Verify whether its action succeeded\n- Update its understanding of the situation\n- Detect errors or missing information\n- Decide what action to take next\n- Support a more accurate final answer\n\nIn short, the observation closes the loop between **acting** and **reasoning**, allowing the agent to adapt rather than rely only on its initial assumptions.","phase":"final_answer","index":0,"id":"msg_0c93db884d4098e4006ab12abcb5d487d2afbd8c4dee36a98e"}]</x:v>
      </x:c>
      <x:c r="J26" s="2"/>
      <x:c r="K26" s="2"/>
      <x:c r="L26" s="29"/>
      <x:c r="M26" s="2"/>
    </x:row>
    <x:row r="27" ht="24" customHeight="1">
      <x:c r="A27" s="2" t="str">
        <x:v>R2</x:v>
      </x:c>
      <x:c r="B27" s="2" t="n">
        <x:v>2</x:v>
      </x:c>
      <x:c r="C27" s="2" t="str">
        <x:v>Cache write</x:v>
      </x:c>
      <x:c r="D27" s="29"/>
      <x:c r="E27" s="11"/>
      <x:c r="F27" s="11"/>
      <x:c r="G27" s="29"/>
      <x:c r="H27" s="29"/>
      <x:c r="I27" s="14"/>
      <x:c r="J27" s="2"/>
      <x:c r="K27" s="2"/>
      <x:c r="L27" s="29"/>
      <x:c r="M27" s="2"/>
    </x:row>
    <x:row r="28" ht="24" customHeight="1">
      <x:c r="A28" s="2" t="str">
        <x:v>R2</x:v>
      </x:c>
      <x:c r="B28" s="2" t="n">
        <x:v>2</x:v>
      </x:c>
      <x:c r="C28" s="2" t="str">
        <x:v>Context · added / total</x:v>
      </x:c>
      <x:c r="D28" s="29"/>
      <x:c r="E28" s="11"/>
      <x:c r="F28" s="11"/>
      <x:c r="G28" s="29"/>
      <x:c r="H28" s="29"/>
      <x:c r="I28" s="14"/>
      <x:c r="J28" s="2"/>
      <x:c r="K28" s="2"/>
      <x:c r="L28" s="29"/>
      <x:c r="M28" s="2"/>
    </x:row>
    <x:row r="29" ht="24" customHeight="1">
      <x:c r="A29" s="21" t="str">
        <x:v>R2</x:v>
      </x:c>
      <x:c r="B29" s="21" t="n">
        <x:v>2</x:v>
      </x:c>
      <x:c r="C29" s="21" t="str">
        <x:v>Call total</x:v>
      </x:c>
      <x:c r="D29" s="28"/>
      <x:c r="E29" s="26" t="n">
        <x:f>IF(COUNT(E19,E20,E22,E25)=4,SUM(E19,E20,E22,E25),"Unknown")</x:f>
        <x:v>0.000190506032</x:v>
      </x:c>
      <x:c r="F29" s="26" t="n">
        <x:f>IF(COUNT(F19,F20,F22,F25)=4,SUM(F19,F20,F22,F25),"Unknown")</x:f>
        <x:v>0.00021831999999999998</x:v>
      </x:c>
      <x:c r="G29" s="28" t="n">
        <x:f>IF(ISNUMBER(E29),ROUND(E29*'Reference data'!$B$2,0),"Unknown")</x:f>
        <x:v>19</x:v>
      </x:c>
      <x:c r="H29" s="28" t="n">
        <x:f>IF(ISNUMBER(F29),ROUND(F29*'Reference data'!$B$2,0),"Unknown")</x:f>
        <x:v>22</x:v>
      </x:c>
      <x:c r="I29" s="24"/>
      <x:c r="J29" s="21"/>
      <x:c r="K29" s="21" t="str">
        <x:v>ok</x:v>
      </x:c>
      <x:c r="L29" s="28"/>
      <x:c r="M29" s="21"/>
    </x:row>
  </x:sheetData>
  <x:conditionalFormatting sqref="A2:M29">
    <x:cfRule type="expression" dxfId="2" priority="1">
      <x:formula>$K2="error"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8" hidden="0" customWidth="1"/>
    <x:col min="2" max="2" width="12" hidden="0" customWidth="1"/>
    <x:col min="3" max="3" width="12" hidden="0" customWidth="1"/>
    <x:col min="4" max="4" width="26" hidden="0" customWidth="1"/>
    <x:col min="5" max="5" width="18" hidden="0" customWidth="1"/>
    <x:col min="6" max="6" width="18" hidden="0" customWidth="1"/>
    <x:col min="7" max="7" width="62" hidden="0" customWidth="1"/>
    <x:col min="8" max="8" width="38" hidden="0" customWidth="1"/>
    <x:col min="9" max="9" width="3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</x:cols>
  <x:sheetData>
    <x:row r="1" ht="44" customHeight="1">
      <x:c r="A1" s="7" t="str">
        <x:v>Operation</x:v>
      </x:c>
      <x:c r="B1" s="7" t="str">
        <x:v>Depth</x:v>
      </x:c>
      <x:c r="C1" s="7" t="str">
        <x:v>Type</x:v>
      </x:c>
      <x:c r="D1" s="7" t="str">
        <x:v>Model · effort</x:v>
      </x:c>
      <x:c r="E1" s="7" t="str">
        <x:v>Status</x:v>
      </x:c>
      <x:c r="F1" s="7" t="str">
        <x:v>Input context tokens</x:v>
      </x:c>
      <x:c r="G1" s="7" t="str">
        <x:v>Description</x:v>
      </x:c>
      <x:c r="H1" s="7" t="str">
        <x:v>Span ID</x:v>
      </x:c>
      <x:c r="I1" s="7" t="str">
        <x:v>Parent ID</x:v>
      </x:c>
      <x:c r="J1" s="7" t="str">
        <x:v>Fresh input tokens</x:v>
      </x:c>
      <x:c r="K1" s="7" t="str">
        <x:v>Fresh input EUR</x:v>
      </x:c>
      <x:c r="L1" s="7" t="str">
        <x:v>Fresh input USD</x:v>
      </x:c>
      <x:c r="M1" s="7" t="str">
        <x:v>Cache read tokens</x:v>
      </x:c>
      <x:c r="N1" s="7" t="str">
        <x:v>Cache read EUR</x:v>
      </x:c>
      <x:c r="O1" s="7" t="str">
        <x:v>Cache read USD</x:v>
      </x:c>
      <x:c r="P1" s="7" t="str">
        <x:v>Cache write tokens</x:v>
      </x:c>
      <x:c r="Q1" s="7" t="str">
        <x:v>Cache write EUR</x:v>
      </x:c>
      <x:c r="R1" s="7" t="str">
        <x:v>Cache write USD</x:v>
      </x:c>
      <x:c r="S1" s="7" t="str">
        <x:v>Output (non-reasoning) tokens</x:v>
      </x:c>
      <x:c r="T1" s="7" t="str">
        <x:v>Output (non-reasoning) EUR</x:v>
      </x:c>
      <x:c r="U1" s="7" t="str">
        <x:v>Output (non-reasoning) USD</x:v>
      </x:c>
      <x:c r="V1" s="7" t="str">
        <x:v>Reasoning tokens</x:v>
      </x:c>
      <x:c r="W1" s="7" t="str">
        <x:v>Reasoning EUR</x:v>
      </x:c>
      <x:c r="X1" s="7" t="str">
        <x:v>Reasoning USD</x:v>
      </x:c>
      <x:c r="Y1" s="7" t="str">
        <x:v>Total EUR</x:v>
      </x:c>
      <x:c r="Z1" s="7" t="str">
        <x:v>Total USD</x:v>
      </x:c>
      <x:c r="AA1" s="7" t="str">
        <x:v>Projected EUR</x:v>
      </x:c>
      <x:c r="AB1" s="7" t="str">
        <x:v>Projected USD</x:v>
      </x:c>
      <x:c r="AC1" s="7" t="str">
        <x:v>Request</x:v>
      </x:c>
      <x:c r="AD1" s="7" t="str">
        <x:v>Elapsed ms</x:v>
      </x:c>
      <x:c r="AE1" s="7" t="str">
        <x:v>Accounting</x:v>
      </x:c>
    </x:row>
    <x:row r="2" ht="54" customHeight="1">
      <x:c r="A2" s="35" t="str">
        <x:v>chat_agent</x:v>
      </x:c>
      <x:c r="B2" s="30" t="n">
        <x:v>0</x:v>
      </x:c>
      <x:c r="C2" s="30" t="str">
        <x:v>workflow</x:v>
      </x:c>
      <x:c r="D2" s="30" t="str"/>
      <x:c r="E2" s="30" t="str">
        <x:v>ok</x:v>
      </x:c>
      <x:c r="F2" s="32"/>
      <x:c r="G2" s="35" t="str">
        <x:v>Coordinate a direct chat response: prepare messages and invoke the model.</x:v>
      </x:c>
      <x:c r="H2" s="30" t="str">
        <x:v>01a0c40e-de14-7f90-9d6f-6ccd2c6e3bbf</x:v>
      </x:c>
      <x:c r="I2" s="30"/>
      <x:c r="J2" s="29" t="n">
        <x:f>IF(COUNT('Turns'!D5)=1,SUM('Turns'!D5),"Unknown")</x:f>
        <x:v>3</x:v>
      </x:c>
      <x:c r="K2" s="11" t="n">
        <x:f>IF(COUNT('Turns'!E5)=1,SUM('Turns'!E5),"Unknown")</x:f>
        <x:v>5.235600000000001e-7</x:v>
      </x:c>
      <x:c r="L2" s="11" t="n">
        <x:f>IF(COUNT('Turns'!F5)=1,SUM('Turns'!F5),"Unknown")</x:f>
        <x:v>6.000000000000001e-7</x:v>
      </x:c>
      <x:c r="M2" s="29" t="n">
        <x:v>0</x:v>
      </x:c>
      <x:c r="N2" s="11" t="n">
        <x:v>0</x:v>
      </x:c>
      <x:c r="O2" s="11" t="n">
        <x:v>0</x:v>
      </x:c>
      <x:c r="P2" s="29" t="n">
        <x:f>IF(COUNT('Turns'!D9)=1,SUM('Turns'!D9),"Unknown")</x:f>
        <x:v>1996</x:v>
      </x:c>
      <x:c r="Q2" s="11" t="n">
        <x:f>IF(COUNT('Turns'!E9)=1,SUM('Turns'!E9),"Unknown")</x:f>
        <x:v>0.00043542740000000003</x:v>
      </x:c>
      <x:c r="R2" s="11" t="n">
        <x:f>IF(COUNT('Turns'!F9)=1,SUM('Turns'!F9),"Unknown")</x:f>
        <x:v>0.000499</x:v>
      </x:c>
      <x:c r="S2" s="29" t="n">
        <x:f>IF(COUNT('Turns'!D12)=1,SUM('Turns'!D12),"Unknown")</x:f>
        <x:v>172</x:v>
      </x:c>
      <x:c r="T2" s="11" t="n">
        <x:f>IF(COUNT('Turns'!E12)=1,SUM('Turns'!E12),"Unknown")</x:f>
        <x:v>0.00018010464</x:v>
      </x:c>
      <x:c r="U2" s="11" t="n">
        <x:f>IF(COUNT('Turns'!F12)=1,SUM('Turns'!F12),"Unknown")</x:f>
        <x:v>0.0002064</x:v>
      </x:c>
      <x:c r="V2" s="29" t="n">
        <x:v>0</x:v>
      </x:c>
      <x:c r="W2" s="11" t="n">
        <x:v>0</x:v>
      </x:c>
      <x:c r="X2" s="11" t="n">
        <x:v>0</x:v>
      </x:c>
      <x:c r="Y2" s="11" t="n">
        <x:f>IF(COUNT('Turns'!E16)=1,SUM('Turns'!E16),"Unknown")</x:f>
        <x:v>0.0006160556</x:v>
      </x:c>
      <x:c r="Z2" s="11" t="n">
        <x:f>IF(COUNT('Turns'!F16)=1,SUM('Turns'!F16),"Unknown")</x:f>
        <x:v>0.000706</x:v>
      </x:c>
      <x:c r="AA2" s="29" t="n">
        <x:f>IF(ISNUMBER(Y2),ROUND(Y2*'Reference data'!$B$2,0),"Unknown")</x:f>
        <x:v>62</x:v>
      </x:c>
      <x:c r="AB2" s="29" t="n">
        <x:f>IF(ISNUMBER(Z2),ROUND(Z2*'Reference data'!$B$2,0),"Unknown")</x:f>
        <x:v>71</x:v>
      </x:c>
      <x:c r="AC2" s="2"/>
      <x:c r="AD2" s="38" t="n">
        <x:v>3771.57504</x:v>
      </x:c>
      <x:c r="AE2" s="2" t="str">
        <x:v>Subtree total</x:v>
      </x:c>
    </x:row>
    <x:row r="3" ht="54" customHeight="1">
      <x:c r="A3" s="36" t="str">
        <x:v>    PatchToolCallsMiddleware.before_agent</x:v>
      </x:c>
      <x:c r="B3" s="31" t="n">
        <x:v>1</x:v>
      </x:c>
      <x:c r="C3" s="31" t="str">
        <x:v>workflow</x:v>
      </x:c>
      <x:c r="D3" s="31" t="str"/>
      <x:c r="E3" s="31" t="str">
        <x:v>ok</x:v>
      </x:c>
      <x:c r="F3" s="33"/>
      <x:c r="G3" s="36" t="str">
        <x:v>Check message history and repair missing tool responses before the agent starts.</x:v>
      </x:c>
      <x:c r="H3" s="31" t="str">
        <x:v>01a0c40e-de16-73a0-b982-a57562da843f</x:v>
      </x:c>
      <x:c r="I3" s="31" t="str">
        <x:v>01a0c40e-de14-7f90-9d6f-6ccd2c6e3bbf</x:v>
      </x:c>
      <x:c r="J3" s="29"/>
      <x:c r="K3" s="11"/>
      <x:c r="L3" s="11"/>
      <x:c r="M3" s="29"/>
      <x:c r="N3" s="11"/>
      <x:c r="O3" s="11"/>
      <x:c r="P3" s="29"/>
      <x:c r="Q3" s="11"/>
      <x:c r="R3" s="11"/>
      <x:c r="S3" s="29"/>
      <x:c r="T3" s="11"/>
      <x:c r="U3" s="11"/>
      <x:c r="V3" s="29"/>
      <x:c r="W3" s="11"/>
      <x:c r="X3" s="11"/>
      <x:c r="Y3" s="11"/>
      <x:c r="Z3" s="11"/>
      <x:c r="AA3" s="29"/>
      <x:c r="AB3" s="29"/>
      <x:c r="AC3" s="2"/>
      <x:c r="AD3" s="38" t="n">
        <x:v>0.342016</x:v>
      </x:c>
      <x:c r="AE3" s="2" t="str">
        <x:v>No model charge</x:v>
      </x:c>
    </x:row>
    <x:row r="4" ht="54" customHeight="1">
      <x:c r="A4" s="36" t="str">
        <x:v>    model</x:v>
      </x:c>
      <x:c r="B4" s="31" t="n">
        <x:v>1</x:v>
      </x:c>
      <x:c r="C4" s="31" t="str">
        <x:v>workflow</x:v>
      </x:c>
      <x:c r="D4" s="31" t="str"/>
      <x:c r="E4" s="31" t="str">
        <x:v>ok</x:v>
      </x:c>
      <x:c r="F4" s="33"/>
      <x:c r="G4" s="36" t="str">
        <x:v>Prepare the current conversation, run model middleware, and invoke the chat model.</x:v>
      </x:c>
      <x:c r="H4" s="31" t="str">
        <x:v>01a0c40e-de17-7b12-86b0-96367426d30e</x:v>
      </x:c>
      <x:c r="I4" s="31" t="str">
        <x:v>01a0c40e-de14-7f90-9d6f-6ccd2c6e3bbf</x:v>
      </x:c>
      <x:c r="J4" s="29" t="n">
        <x:f>IF(COUNT('Turns'!D5)=1,SUM('Turns'!D5),"Unknown")</x:f>
        <x:v>3</x:v>
      </x:c>
      <x:c r="K4" s="11" t="n">
        <x:f>IF(COUNT('Turns'!E5)=1,SUM('Turns'!E5),"Unknown")</x:f>
        <x:v>5.235600000000001e-7</x:v>
      </x:c>
      <x:c r="L4" s="11" t="n">
        <x:f>IF(COUNT('Turns'!F5)=1,SUM('Turns'!F5),"Unknown")</x:f>
        <x:v>6.000000000000001e-7</x:v>
      </x:c>
      <x:c r="M4" s="29" t="n">
        <x:v>0</x:v>
      </x:c>
      <x:c r="N4" s="11" t="n">
        <x:v>0</x:v>
      </x:c>
      <x:c r="O4" s="11" t="n">
        <x:v>0</x:v>
      </x:c>
      <x:c r="P4" s="29" t="n">
        <x:f>IF(COUNT('Turns'!D9)=1,SUM('Turns'!D9),"Unknown")</x:f>
        <x:v>1996</x:v>
      </x:c>
      <x:c r="Q4" s="11" t="n">
        <x:f>IF(COUNT('Turns'!E9)=1,SUM('Turns'!E9),"Unknown")</x:f>
        <x:v>0.00043542740000000003</x:v>
      </x:c>
      <x:c r="R4" s="11" t="n">
        <x:f>IF(COUNT('Turns'!F9)=1,SUM('Turns'!F9),"Unknown")</x:f>
        <x:v>0.000499</x:v>
      </x:c>
      <x:c r="S4" s="29" t="n">
        <x:f>IF(COUNT('Turns'!D12)=1,SUM('Turns'!D12),"Unknown")</x:f>
        <x:v>172</x:v>
      </x:c>
      <x:c r="T4" s="11" t="n">
        <x:f>IF(COUNT('Turns'!E12)=1,SUM('Turns'!E12),"Unknown")</x:f>
        <x:v>0.00018010464</x:v>
      </x:c>
      <x:c r="U4" s="11" t="n">
        <x:f>IF(COUNT('Turns'!F12)=1,SUM('Turns'!F12),"Unknown")</x:f>
        <x:v>0.0002064</x:v>
      </x:c>
      <x:c r="V4" s="29" t="n">
        <x:v>0</x:v>
      </x:c>
      <x:c r="W4" s="11" t="n">
        <x:v>0</x:v>
      </x:c>
      <x:c r="X4" s="11" t="n">
        <x:v>0</x:v>
      </x:c>
      <x:c r="Y4" s="11" t="n">
        <x:f>IF(COUNT('Turns'!E16)=1,SUM('Turns'!E16),"Unknown")</x:f>
        <x:v>0.0006160556</x:v>
      </x:c>
      <x:c r="Z4" s="11" t="n">
        <x:f>IF(COUNT('Turns'!F16)=1,SUM('Turns'!F16),"Unknown")</x:f>
        <x:v>0.000706</x:v>
      </x:c>
      <x:c r="AA4" s="29" t="n">
        <x:f>IF(ISNUMBER(Y4),ROUND(Y4*'Reference data'!$B$2,0),"Unknown")</x:f>
        <x:v>62</x:v>
      </x:c>
      <x:c r="AB4" s="29" t="n">
        <x:f>IF(ISNUMBER(Z4),ROUND(Z4*'Reference data'!$B$2,0),"Unknown")</x:f>
        <x:v>71</x:v>
      </x:c>
      <x:c r="AC4" s="2"/>
      <x:c r="AD4" s="38" t="n">
        <x:v>3768.301056</x:v>
      </x:c>
      <x:c r="AE4" s="2" t="str">
        <x:v>Subtree total</x:v>
      </x:c>
    </x:row>
    <x:row r="5" ht="54" customHeight="1">
      <x:c r="A5" s="37" t="str">
        <x:v>        ChatOpenAI</x:v>
      </x:c>
      <x:c r="B5" s="20" t="n">
        <x:v>2</x:v>
      </x:c>
      <x:c r="C5" s="20" t="str">
        <x:v>model</x:v>
      </x:c>
      <x:c r="D5" s="20" t="str">
        <x:v>gpt-5.6-luna</x:v>
      </x:c>
      <x:c r="E5" s="20" t="str">
        <x:v>ok</x:v>
      </x:c>
      <x:c r="F5" s="34" t="n">
        <x:v>1999</x:v>
      </x:c>
      <x:c r="G5" s="37" t="str">
        <x:v>Generate the next assistant message or tool request from the current conversation.</x:v>
      </x:c>
      <x:c r="H5" s="20" t="str">
        <x:v>01a0c40e-de1c-7723-9710-800dbf8a0e7e</x:v>
      </x:c>
      <x:c r="I5" s="20" t="str">
        <x:v>01a0c40e-de17-7b12-86b0-96367426d30e</x:v>
      </x:c>
      <x:c r="J5" s="29" t="n">
        <x:f>IF(COUNT('Turns'!D5)=1,SUM('Turns'!D5),"Unknown")</x:f>
        <x:v>3</x:v>
      </x:c>
      <x:c r="K5" s="11" t="n">
        <x:f>IF(COUNT('Turns'!E5)=1,SUM('Turns'!E5),"Unknown")</x:f>
        <x:v>5.235600000000001e-7</x:v>
      </x:c>
      <x:c r="L5" s="11" t="n">
        <x:f>IF(COUNT('Turns'!F5)=1,SUM('Turns'!F5),"Unknown")</x:f>
        <x:v>6.000000000000001e-7</x:v>
      </x:c>
      <x:c r="M5" s="29" t="n">
        <x:v>0</x:v>
      </x:c>
      <x:c r="N5" s="11" t="n">
        <x:v>0</x:v>
      </x:c>
      <x:c r="O5" s="11" t="n">
        <x:v>0</x:v>
      </x:c>
      <x:c r="P5" s="29" t="n">
        <x:f>IF(COUNT('Turns'!D9)=1,SUM('Turns'!D9),"Unknown")</x:f>
        <x:v>1996</x:v>
      </x:c>
      <x:c r="Q5" s="11" t="n">
        <x:f>IF(COUNT('Turns'!E9)=1,SUM('Turns'!E9),"Unknown")</x:f>
        <x:v>0.00043542740000000003</x:v>
      </x:c>
      <x:c r="R5" s="11" t="n">
        <x:f>IF(COUNT('Turns'!F9)=1,SUM('Turns'!F9),"Unknown")</x:f>
        <x:v>0.000499</x:v>
      </x:c>
      <x:c r="S5" s="29" t="n">
        <x:f>IF(COUNT('Turns'!D12)=1,SUM('Turns'!D12),"Unknown")</x:f>
        <x:v>172</x:v>
      </x:c>
      <x:c r="T5" s="11" t="n">
        <x:f>IF(COUNT('Turns'!E12)=1,SUM('Turns'!E12),"Unknown")</x:f>
        <x:v>0.00018010464</x:v>
      </x:c>
      <x:c r="U5" s="11" t="n">
        <x:f>IF(COUNT('Turns'!F12)=1,SUM('Turns'!F12),"Unknown")</x:f>
        <x:v>0.0002064</x:v>
      </x:c>
      <x:c r="V5" s="29" t="n">
        <x:v>0</x:v>
      </x:c>
      <x:c r="W5" s="11" t="n">
        <x:v>0</x:v>
      </x:c>
      <x:c r="X5" s="11" t="n">
        <x:v>0</x:v>
      </x:c>
      <x:c r="Y5" s="11" t="n">
        <x:f>IF(COUNT('Turns'!E16)=1,SUM('Turns'!E16),"Unknown")</x:f>
        <x:v>0.0006160556</x:v>
      </x:c>
      <x:c r="Z5" s="11" t="n">
        <x:f>IF(COUNT('Turns'!F16)=1,SUM('Turns'!F16),"Unknown")</x:f>
        <x:v>0.000706</x:v>
      </x:c>
      <x:c r="AA5" s="29" t="n">
        <x:f>IF(ISNUMBER(Y5),ROUND(Y5*'Reference data'!$B$2,0),"Unknown")</x:f>
        <x:v>62</x:v>
      </x:c>
      <x:c r="AB5" s="29" t="n">
        <x:f>IF(ISNUMBER(Z5),ROUND(Z5*'Reference data'!$B$2,0),"Unknown")</x:f>
        <x:v>71</x:v>
      </x:c>
      <x:c r="AC5" s="2" t="str">
        <x:v>R1</x:v>
      </x:c>
      <x:c r="AD5" s="38" t="n">
        <x:v>3762.098944</x:v>
      </x:c>
      <x:c r="AE5" s="2" t="str">
        <x:v>Own call</x:v>
      </x:c>
    </x:row>
    <x:row r="6" ht="54" customHeight="1">
      <x:c r="A6" s="35" t="str">
        <x:v>chat_agent</x:v>
      </x:c>
      <x:c r="B6" s="30" t="n">
        <x:v>0</x:v>
      </x:c>
      <x:c r="C6" s="30" t="str">
        <x:v>workflow</x:v>
      </x:c>
      <x:c r="D6" s="30" t="str"/>
      <x:c r="E6" s="30" t="str">
        <x:v>ok</x:v>
      </x:c>
      <x:c r="F6" s="32"/>
      <x:c r="G6" s="35" t="str">
        <x:v>Coordinate a direct chat response: prepare messages and invoke the model.</x:v>
      </x:c>
      <x:c r="H6" s="30" t="str">
        <x:v>01a0c40e-ece3-72f0-8833-2a494c9ff0b7</x:v>
      </x:c>
      <x:c r="I6" s="30"/>
      <x:c r="J6" s="29" t="n">
        <x:f>IF(COUNT('Turns'!D20)=1,SUM('Turns'!D20),"Unknown")</x:f>
        <x:v>3</x:v>
      </x:c>
      <x:c r="K6" s="11" t="n">
        <x:f>IF(COUNT('Turns'!E20)=1,SUM('Turns'!E20),"Unknown")</x:f>
        <x:v>5.235600000000001e-7</x:v>
      </x:c>
      <x:c r="L6" s="11" t="n">
        <x:f>IF(COUNT('Turns'!F20)=1,SUM('Turns'!F20),"Unknown")</x:f>
        <x:v>6.000000000000001e-7</x:v>
      </x:c>
      <x:c r="M6" s="29" t="n">
        <x:f>IF(COUNT('Turns'!D19)=1,SUM('Turns'!D19),"Unknown")</x:f>
        <x:v>1996</x:v>
      </x:c>
      <x:c r="N6" s="11" t="n">
        <x:f>IF(COUNT('Turns'!E19)=1,SUM('Turns'!E19),"Unknown")</x:f>
        <x:v>0.000034834192000000004</x:v>
      </x:c>
      <x:c r="O6" s="11" t="n">
        <x:f>IF(COUNT('Turns'!F19)=1,SUM('Turns'!F19),"Unknown")</x:f>
        <x:v>0.000039920000000000004</x:v>
      </x:c>
      <x:c r="P6" s="29" t="n">
        <x:f>IF(COUNT('Turns'!D22)=1,SUM('Turns'!D22),"Unknown")</x:f>
        <x:v>188</x:v>
      </x:c>
      <x:c r="Q6" s="11" t="n">
        <x:f>IF(COUNT('Turns'!E22)=1,SUM('Turns'!E22),"Unknown")</x:f>
        <x:v>0.0000410122</x:v>
      </x:c>
      <x:c r="R6" s="11" t="n">
        <x:f>IF(COUNT('Turns'!F22)=1,SUM('Turns'!F22),"Unknown")</x:f>
        <x:v>0.000047</x:v>
      </x:c>
      <x:c r="S6" s="29" t="n">
        <x:f>IF(COUNT('Turns'!D25)=1,SUM('Turns'!D25),"Unknown")</x:f>
        <x:v>109</x:v>
      </x:c>
      <x:c r="T6" s="11" t="n">
        <x:f>IF(COUNT('Turns'!E25)=1,SUM('Turns'!E25),"Unknown")</x:f>
        <x:v>0.00011413607999999998</x:v>
      </x:c>
      <x:c r="U6" s="11" t="n">
        <x:f>IF(COUNT('Turns'!F25)=1,SUM('Turns'!F25),"Unknown")</x:f>
        <x:v>0.00013079999999999998</x:v>
      </x:c>
      <x:c r="V6" s="29" t="n">
        <x:v>0</x:v>
      </x:c>
      <x:c r="W6" s="11" t="n">
        <x:v>0</x:v>
      </x:c>
      <x:c r="X6" s="11" t="n">
        <x:v>0</x:v>
      </x:c>
      <x:c r="Y6" s="11" t="n">
        <x:f>IF(COUNT('Turns'!E29)=1,SUM('Turns'!E29),"Unknown")</x:f>
        <x:v>0.000190506032</x:v>
      </x:c>
      <x:c r="Z6" s="11" t="n">
        <x:f>IF(COUNT('Turns'!F29)=1,SUM('Turns'!F29),"Unknown")</x:f>
        <x:v>0.00021831999999999998</x:v>
      </x:c>
      <x:c r="AA6" s="29" t="n">
        <x:f>IF(ISNUMBER(Y6),ROUND(Y6*'Reference data'!$B$2,0),"Unknown")</x:f>
        <x:v>19</x:v>
      </x:c>
      <x:c r="AB6" s="29" t="n">
        <x:f>IF(ISNUMBER(Z6),ROUND(Z6*'Reference data'!$B$2,0),"Unknown")</x:f>
        <x:v>22</x:v>
      </x:c>
      <x:c r="AC6" s="2"/>
      <x:c r="AD6" s="38" t="n">
        <x:v>2419.298048</x:v>
      </x:c>
      <x:c r="AE6" s="2" t="str">
        <x:v>Subtree total</x:v>
      </x:c>
    </x:row>
    <x:row r="7" ht="54" customHeight="1">
      <x:c r="A7" s="36" t="str">
        <x:v>    PatchToolCallsMiddleware.before_agent</x:v>
      </x:c>
      <x:c r="B7" s="31" t="n">
        <x:v>1</x:v>
      </x:c>
      <x:c r="C7" s="31" t="str">
        <x:v>workflow</x:v>
      </x:c>
      <x:c r="D7" s="31" t="str"/>
      <x:c r="E7" s="31" t="str">
        <x:v>ok</x:v>
      </x:c>
      <x:c r="F7" s="33"/>
      <x:c r="G7" s="36" t="str">
        <x:v>Check message history and repair missing tool responses before the agent starts.</x:v>
      </x:c>
      <x:c r="H7" s="31" t="str">
        <x:v>01a0c40e-ece4-7f03-9c19-91b750a531c4</x:v>
      </x:c>
      <x:c r="I7" s="31" t="str">
        <x:v>01a0c40e-ece3-72f0-8833-2a494c9ff0b7</x:v>
      </x:c>
      <x:c r="J7" s="29"/>
      <x:c r="K7" s="11"/>
      <x:c r="L7" s="11"/>
      <x:c r="M7" s="29"/>
      <x:c r="N7" s="11"/>
      <x:c r="O7" s="11"/>
      <x:c r="P7" s="29"/>
      <x:c r="Q7" s="11"/>
      <x:c r="R7" s="11"/>
      <x:c r="S7" s="29"/>
      <x:c r="T7" s="11"/>
      <x:c r="U7" s="11"/>
      <x:c r="V7" s="29"/>
      <x:c r="W7" s="11"/>
      <x:c r="X7" s="11"/>
      <x:c r="Y7" s="11"/>
      <x:c r="Z7" s="11"/>
      <x:c r="AA7" s="29"/>
      <x:c r="AB7" s="29"/>
      <x:c r="AC7" s="2"/>
      <x:c r="AD7" s="38" t="n">
        <x:v>0.275968</x:v>
      </x:c>
      <x:c r="AE7" s="2" t="str">
        <x:v>No model charge</x:v>
      </x:c>
    </x:row>
    <x:row r="8" ht="54" customHeight="1">
      <x:c r="A8" s="36" t="str">
        <x:v>    model</x:v>
      </x:c>
      <x:c r="B8" s="31" t="n">
        <x:v>1</x:v>
      </x:c>
      <x:c r="C8" s="31" t="str">
        <x:v>workflow</x:v>
      </x:c>
      <x:c r="D8" s="31" t="str"/>
      <x:c r="E8" s="31" t="str">
        <x:v>ok</x:v>
      </x:c>
      <x:c r="F8" s="33"/>
      <x:c r="G8" s="36" t="str">
        <x:v>Prepare the current conversation, run model middleware, and invoke the chat model.</x:v>
      </x:c>
      <x:c r="H8" s="31" t="str">
        <x:v>01a0c40e-ece5-7bb1-ba2d-956388616a7b</x:v>
      </x:c>
      <x:c r="I8" s="31" t="str">
        <x:v>01a0c40e-ece3-72f0-8833-2a494c9ff0b7</x:v>
      </x:c>
      <x:c r="J8" s="29" t="n">
        <x:f>IF(COUNT('Turns'!D20)=1,SUM('Turns'!D20),"Unknown")</x:f>
        <x:v>3</x:v>
      </x:c>
      <x:c r="K8" s="11" t="n">
        <x:f>IF(COUNT('Turns'!E20)=1,SUM('Turns'!E20),"Unknown")</x:f>
        <x:v>5.235600000000001e-7</x:v>
      </x:c>
      <x:c r="L8" s="11" t="n">
        <x:f>IF(COUNT('Turns'!F20)=1,SUM('Turns'!F20),"Unknown")</x:f>
        <x:v>6.000000000000001e-7</x:v>
      </x:c>
      <x:c r="M8" s="29" t="n">
        <x:f>IF(COUNT('Turns'!D19)=1,SUM('Turns'!D19),"Unknown")</x:f>
        <x:v>1996</x:v>
      </x:c>
      <x:c r="N8" s="11" t="n">
        <x:f>IF(COUNT('Turns'!E19)=1,SUM('Turns'!E19),"Unknown")</x:f>
        <x:v>0.000034834192000000004</x:v>
      </x:c>
      <x:c r="O8" s="11" t="n">
        <x:f>IF(COUNT('Turns'!F19)=1,SUM('Turns'!F19),"Unknown")</x:f>
        <x:v>0.000039920000000000004</x:v>
      </x:c>
      <x:c r="P8" s="29" t="n">
        <x:f>IF(COUNT('Turns'!D22)=1,SUM('Turns'!D22),"Unknown")</x:f>
        <x:v>188</x:v>
      </x:c>
      <x:c r="Q8" s="11" t="n">
        <x:f>IF(COUNT('Turns'!E22)=1,SUM('Turns'!E22),"Unknown")</x:f>
        <x:v>0.0000410122</x:v>
      </x:c>
      <x:c r="R8" s="11" t="n">
        <x:f>IF(COUNT('Turns'!F22)=1,SUM('Turns'!F22),"Unknown")</x:f>
        <x:v>0.000047</x:v>
      </x:c>
      <x:c r="S8" s="29" t="n">
        <x:f>IF(COUNT('Turns'!D25)=1,SUM('Turns'!D25),"Unknown")</x:f>
        <x:v>109</x:v>
      </x:c>
      <x:c r="T8" s="11" t="n">
        <x:f>IF(COUNT('Turns'!E25)=1,SUM('Turns'!E25),"Unknown")</x:f>
        <x:v>0.00011413607999999998</x:v>
      </x:c>
      <x:c r="U8" s="11" t="n">
        <x:f>IF(COUNT('Turns'!F25)=1,SUM('Turns'!F25),"Unknown")</x:f>
        <x:v>0.00013079999999999998</x:v>
      </x:c>
      <x:c r="V8" s="29" t="n">
        <x:v>0</x:v>
      </x:c>
      <x:c r="W8" s="11" t="n">
        <x:v>0</x:v>
      </x:c>
      <x:c r="X8" s="11" t="n">
        <x:v>0</x:v>
      </x:c>
      <x:c r="Y8" s="11" t="n">
        <x:f>IF(COUNT('Turns'!E29)=1,SUM('Turns'!E29),"Unknown")</x:f>
        <x:v>0.000190506032</x:v>
      </x:c>
      <x:c r="Z8" s="11" t="n">
        <x:f>IF(COUNT('Turns'!F29)=1,SUM('Turns'!F29),"Unknown")</x:f>
        <x:v>0.00021831999999999998</x:v>
      </x:c>
      <x:c r="AA8" s="29" t="n">
        <x:f>IF(ISNUMBER(Y8),ROUND(Y8*'Reference data'!$B$2,0),"Unknown")</x:f>
        <x:v>19</x:v>
      </x:c>
      <x:c r="AB8" s="29" t="n">
        <x:f>IF(ISNUMBER(Z8),ROUND(Z8*'Reference data'!$B$2,0),"Unknown")</x:f>
        <x:v>22</x:v>
      </x:c>
      <x:c r="AC8" s="2"/>
      <x:c r="AD8" s="38" t="n">
        <x:v>2416.775168</x:v>
      </x:c>
      <x:c r="AE8" s="2" t="str">
        <x:v>Subtree total</x:v>
      </x:c>
    </x:row>
    <x:row r="9" ht="54" customHeight="1">
      <x:c r="A9" s="37" t="str">
        <x:v>        ChatOpenAI</x:v>
      </x:c>
      <x:c r="B9" s="20" t="n">
        <x:v>2</x:v>
      </x:c>
      <x:c r="C9" s="20" t="str">
        <x:v>model</x:v>
      </x:c>
      <x:c r="D9" s="20" t="str">
        <x:v>gpt-5.6-luna</x:v>
      </x:c>
      <x:c r="E9" s="20" t="str">
        <x:v>ok</x:v>
      </x:c>
      <x:c r="F9" s="34" t="n">
        <x:v>2187</x:v>
      </x:c>
      <x:c r="G9" s="37" t="str">
        <x:v>Generate the next assistant message or tool request from the current conversation.</x:v>
      </x:c>
      <x:c r="H9" s="20" t="str">
        <x:v>01a0c40e-ece7-7c53-a9da-c281f861b48f</x:v>
      </x:c>
      <x:c r="I9" s="20" t="str">
        <x:v>01a0c40e-ece5-7bb1-ba2d-956388616a7b</x:v>
      </x:c>
      <x:c r="J9" s="29" t="n">
        <x:f>IF(COUNT('Turns'!D20)=1,SUM('Turns'!D20),"Unknown")</x:f>
        <x:v>3</x:v>
      </x:c>
      <x:c r="K9" s="11" t="n">
        <x:f>IF(COUNT('Turns'!E20)=1,SUM('Turns'!E20),"Unknown")</x:f>
        <x:v>5.235600000000001e-7</x:v>
      </x:c>
      <x:c r="L9" s="11" t="n">
        <x:f>IF(COUNT('Turns'!F20)=1,SUM('Turns'!F20),"Unknown")</x:f>
        <x:v>6.000000000000001e-7</x:v>
      </x:c>
      <x:c r="M9" s="29" t="n">
        <x:f>IF(COUNT('Turns'!D19)=1,SUM('Turns'!D19),"Unknown")</x:f>
        <x:v>1996</x:v>
      </x:c>
      <x:c r="N9" s="11" t="n">
        <x:f>IF(COUNT('Turns'!E19)=1,SUM('Turns'!E19),"Unknown")</x:f>
        <x:v>0.000034834192000000004</x:v>
      </x:c>
      <x:c r="O9" s="11" t="n">
        <x:f>IF(COUNT('Turns'!F19)=1,SUM('Turns'!F19),"Unknown")</x:f>
        <x:v>0.000039920000000000004</x:v>
      </x:c>
      <x:c r="P9" s="29" t="n">
        <x:f>IF(COUNT('Turns'!D22)=1,SUM('Turns'!D22),"Unknown")</x:f>
        <x:v>188</x:v>
      </x:c>
      <x:c r="Q9" s="11" t="n">
        <x:f>IF(COUNT('Turns'!E22)=1,SUM('Turns'!E22),"Unknown")</x:f>
        <x:v>0.0000410122</x:v>
      </x:c>
      <x:c r="R9" s="11" t="n">
        <x:f>IF(COUNT('Turns'!F22)=1,SUM('Turns'!F22),"Unknown")</x:f>
        <x:v>0.000047</x:v>
      </x:c>
      <x:c r="S9" s="29" t="n">
        <x:f>IF(COUNT('Turns'!D25)=1,SUM('Turns'!D25),"Unknown")</x:f>
        <x:v>109</x:v>
      </x:c>
      <x:c r="T9" s="11" t="n">
        <x:f>IF(COUNT('Turns'!E25)=1,SUM('Turns'!E25),"Unknown")</x:f>
        <x:v>0.00011413607999999998</x:v>
      </x:c>
      <x:c r="U9" s="11" t="n">
        <x:f>IF(COUNT('Turns'!F25)=1,SUM('Turns'!F25),"Unknown")</x:f>
        <x:v>0.00013079999999999998</x:v>
      </x:c>
      <x:c r="V9" s="29" t="n">
        <x:v>0</x:v>
      </x:c>
      <x:c r="W9" s="11" t="n">
        <x:v>0</x:v>
      </x:c>
      <x:c r="X9" s="11" t="n">
        <x:v>0</x:v>
      </x:c>
      <x:c r="Y9" s="11" t="n">
        <x:f>IF(COUNT('Turns'!E29)=1,SUM('Turns'!E29),"Unknown")</x:f>
        <x:v>0.000190506032</x:v>
      </x:c>
      <x:c r="Z9" s="11" t="n">
        <x:f>IF(COUNT('Turns'!F29)=1,SUM('Turns'!F29),"Unknown")</x:f>
        <x:v>0.00021831999999999998</x:v>
      </x:c>
      <x:c r="AA9" s="29" t="n">
        <x:f>IF(ISNUMBER(Y9),ROUND(Y9*'Reference data'!$B$2,0),"Unknown")</x:f>
        <x:v>19</x:v>
      </x:c>
      <x:c r="AB9" s="29" t="n">
        <x:f>IF(ISNUMBER(Z9),ROUND(Z9*'Reference data'!$B$2,0),"Unknown")</x:f>
        <x:v>22</x:v>
      </x:c>
      <x:c r="AC9" s="2" t="str">
        <x:v>R2</x:v>
      </x:c>
      <x:c r="AD9" s="38" t="n">
        <x:v>2413.494016</x:v>
      </x:c>
      <x:c r="AE9" s="2" t="str">
        <x:v>Own call</x:v>
      </x:c>
    </x:row>
  </x:sheetData>
  <x:conditionalFormatting sqref="A2:AE9">
    <x:cfRule type="expression" dxfId="3" priority="1">
      <x:formula>$E2="error"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B70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5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65" hidden="0" customWidth="1"/>
    <x:col min="9" max="9" width="40" hidden="0" customWidth="1"/>
  </x:cols>
  <x:sheetData>
    <x:row r="1" ht="44" customHeight="1">
      <x:c r="A1" s="7" t="str">
        <x:v>Parameter</x:v>
      </x:c>
      <x:c r="B1" s="7" t="str">
        <x:v>Value</x:v>
      </x:c>
      <x:c r="C1" s="7" t="str">
        <x:v>Unit</x:v>
      </x:c>
      <x:c r="D1" s="7" t="str"/>
      <x:c r="E1" s="7" t="str"/>
      <x:c r="F1" s="7" t="str"/>
      <x:c r="G1" s="7" t="str"/>
      <x:c r="H1" s="7" t="str"/>
      <x:c r="I1" s="7" t="str"/>
    </x:row>
    <x:row r="2" ht="24" customHeight="1">
      <x:c r="A2" s="2" t="str">
        <x:v>Number of executions</x:v>
      </x:c>
      <x:c r="B2" s="10" t="n">
        <x:v>100000</x:v>
      </x:c>
      <x:c r="C2" s="2" t="str">
        <x:v>executions</x:v>
      </x:c>
      <x:c r="D2" s="2"/>
      <x:c r="E2" s="2"/>
      <x:c r="F2" s="2"/>
      <x:c r="G2" s="2"/>
      <x:c r="H2" s="2"/>
      <x:c r="I2" s="2"/>
    </x:row>
    <x:row r="3" ht="24" customHeight="1">
      <x:c r="A3" s="2" t="str">
        <x:v>USD → EUR</x:v>
      </x:c>
      <x:c r="B3" s="11" t="n">
        <x:v>0.8726</x:v>
      </x:c>
      <x:c r="C3" s="2" t="str">
        <x:v>EUR per USD</x:v>
      </x:c>
      <x:c r="D3" s="2"/>
      <x:c r="E3" s="2"/>
      <x:c r="F3" s="2"/>
      <x:c r="G3" s="2"/>
      <x:c r="H3" s="2"/>
      <x:c r="I3" s="2"/>
    </x:row>
    <x:row r="4" ht="24" customHeight="1">
      <x:c r="A4" s="2" t="str">
        <x:v>Cache duration</x:v>
      </x:c>
      <x:c r="B4" s="2" t="str">
        <x:v>5m</x:v>
      </x:c>
      <x:c r="C4" s="2" t="str"/>
      <x:c r="D4" s="2"/>
      <x:c r="E4" s="2"/>
      <x:c r="F4" s="2"/>
      <x:c r="G4" s="2"/>
      <x:c r="H4" s="2"/>
      <x:c r="I4" s="2"/>
    </x:row>
    <x:row r="5" ht="28" customHeight="1">
      <x:c r="A5" s="2" t="str">
        <x:v>Run ID</x:v>
      </x:c>
      <x:c r="B5" s="14" t="str">
        <x:v>01a0c40e-de14-7f90-9d6f-6ccd2c6e3bbf</x:v>
      </x:c>
      <x:c r="C5" s="2" t="str"/>
      <x:c r="D5" s="2"/>
      <x:c r="E5" s="2"/>
      <x:c r="F5" s="2"/>
      <x:c r="G5" s="2"/>
      <x:c r="H5" s="2"/>
      <x:c r="I5" s="2"/>
    </x:row>
    <x:row r="6" ht="28" customHeight="1">
      <x:c r="A6" s="2" t="str">
        <x:v>Recording</x:v>
      </x:c>
      <x:c r="B6" s="14" t="str">
        <x:v>Provider trace</x:v>
      </x:c>
      <x:c r="C6" s="2" t="str"/>
      <x:c r="D6" s="2"/>
      <x:c r="E6" s="2"/>
      <x:c r="F6" s="2"/>
      <x:c r="G6" s="2"/>
      <x:c r="H6" s="2"/>
      <x:c r="I6" s="2"/>
    </x:row>
    <x:row r="7" ht="28" customHeight="1">
      <x:c r="A7" s="2" t="str">
        <x:v>FX reference date</x:v>
      </x:c>
      <x:c r="B7" s="15" t="n">
        <x:v>46283</x:v>
      </x:c>
      <x:c r="C7" s="2" t="str"/>
      <x:c r="D7" s="2"/>
      <x:c r="E7" s="2"/>
      <x:c r="F7" s="2"/>
      <x:c r="G7" s="2"/>
      <x:c r="H7" s="2"/>
      <x:c r="I7" s="2"/>
    </x:row>
    <x:row r="8" ht="28" customHeight="1">
      <x:c r="A8" s="2" t="str">
        <x:v>FX fetched at</x:v>
      </x:c>
      <x:c r="B8" s="16" t="n">
        <x:v>46286.5422918287</x:v>
      </x:c>
      <x:c r="C8" s="2" t="str">
        <x:v>UTC</x:v>
      </x:c>
      <x:c r="D8" s="2"/>
      <x:c r="E8" s="2"/>
      <x:c r="F8" s="2"/>
      <x:c r="G8" s="2"/>
      <x:c r="H8" s="2"/>
      <x:c r="I8" s="2"/>
    </x:row>
    <x:row r="9" ht="56" customHeight="1">
      <x:c r="A9" s="2" t="str">
        <x:v>FX source</x:v>
      </x:c>
      <x:c r="B9" s="14" t="str">
        <x:v>https://api.frankfurter.dev/v2/rate/usd/eur?providers=ecb</x:v>
      </x:c>
      <x:c r="C9" s="2" t="str"/>
      <x:c r="D9" s="2"/>
      <x:c r="E9" s="2"/>
      <x:c r="F9" s="2"/>
      <x:c r="G9" s="2"/>
      <x:c r="H9" s="2"/>
      <x:c r="I9" s="2"/>
    </x:row>
    <x:row r="10" ht="56" customHeight="1">
      <x:c r="A10" s="2" t="str">
        <x:v>Rounding</x:v>
      </x:c>
      <x:c r="B10" s="14" t="str">
        <x:v>Only projected costs: ROUND(cost × executions, 0)</x:v>
      </x:c>
      <x:c r="C10" s="2" t="str"/>
      <x:c r="D10" s="2"/>
      <x:c r="E10" s="2"/>
      <x:c r="F10" s="2"/>
      <x:c r="G10" s="2"/>
      <x:c r="H10" s="2"/>
      <x:c r="I10" s="2"/>
    </x:row>
    <x:row r="11" ht="56" customHeight="1">
      <x:c r="A11" s="2" t="str">
        <x:v>Tree totals</x:v>
      </x:c>
      <x:c r="B11" s="14" t="str">
        <x:v>Parent rows include descendants; do not sum all tree rows.</x:v>
      </x:c>
      <x:c r="C11" s="2" t="str"/>
      <x:c r="D11" s="2"/>
      <x:c r="E11" s="2"/>
      <x:c r="F11" s="2"/>
      <x:c r="G11" s="2"/>
      <x:c r="H11" s="2"/>
      <x:c r="I11" s="2"/>
    </x:row>
    <x:row r="12" ht="56" customHeight="1">
      <x:c r="A12" s="2" t="str">
        <x:v>Cache writes</x:v>
      </x:c>
      <x:c r="B12" s="14" t="str">
        <x:v>Simulation cache movements are shown separately from provider-billed writes.</x:v>
      </x:c>
      <x:c r="C12" s="2" t="str"/>
      <x:c r="D12" s="2"/>
      <x:c r="E12" s="2"/>
      <x:c r="F12" s="2"/>
      <x:c r="G12" s="2"/>
      <x:c r="H12" s="2"/>
      <x:c r="I12" s="2"/>
    </x:row>
    <x:row r="13" ht="56" customHeight="1">
      <x:c r="A13" s="2" t="str">
        <x:v>Pricing scope</x:v>
      </x:c>
      <x:c r="B13" s="14" t="str">
        <x:v>Standard online token rates. Verify rates and model access before use. Cache writes with unspecified lifetime use the 5-minute rate unless an explicit cache_write rate is configured. No batch, regional, long-context, tool, or negotiated pricing adjustments are applied.</x:v>
      </x:c>
      <x:c r="C13" s="2" t="str"/>
      <x:c r="D13" s="2"/>
      <x:c r="E13" s="2"/>
      <x:c r="F13" s="2"/>
      <x:c r="G13" s="2"/>
      <x:c r="H13" s="2"/>
      <x:c r="I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44" customHeight="1">
      <x:c r="A15" s="5" t="str">
        <x:v>Model</x:v>
      </x:c>
      <x:c r="B15" s="5" t="str">
        <x:v>Input USD / 1M tokens</x:v>
      </x:c>
      <x:c r="C15" s="5" t="str">
        <x:v>Cache read USD / 1M tokens</x:v>
      </x:c>
      <x:c r="D15" s="5" t="str">
        <x:v>Cache write USD / 1M tokens</x:v>
      </x:c>
      <x:c r="E15" s="5" t="str">
        <x:v>Output USD / 1M tokens</x:v>
      </x:c>
      <x:c r="F15" s="5" t="str">
        <x:v>Reasoning USD / 1M tokens</x:v>
      </x:c>
      <x:c r="G15" s="5" t="str">
        <x:v>Verified date</x:v>
      </x:c>
      <x:c r="H15" s="5" t="str">
        <x:v>Source</x:v>
      </x:c>
      <x:c r="I15" s="5" t="str">
        <x:v>Notes</x:v>
      </x:c>
    </x:row>
    <x:row r="16" ht="72" customHeight="1">
      <x:c r="A16" s="14" t="str">
        <x:v>openai:gpt-5.5</x:v>
      </x:c>
      <x:c r="B16" s="17" t="n">
        <x:v>5</x:v>
      </x:c>
      <x:c r="C16" s="17" t="n">
        <x:v>0.5</x:v>
      </x:c>
      <x:c r="D16" s="17"/>
      <x:c r="E16" s="17" t="n">
        <x:v>30</x:v>
      </x:c>
      <x:c r="F16" s="17" t="n">
        <x:v>30</x:v>
      </x:c>
      <x:c r="G16" s="15" t="n">
        <x:v>46283</x:v>
      </x:c>
      <x:c r="H16" s="14" t="str">
        <x:v>https://developers.openai.com/api/docs/models/gpt-5.5.md</x:v>
      </x:c>
      <x:c r="I16" s="14" t="str">
        <x:v>Cache write assumes 5m when unspecified</x:v>
      </x:c>
    </x:row>
    <x:row r="17" ht="72" customHeight="1">
      <x:c r="A17" s="14" t="str">
        <x:v>openai:gpt-5.6-luna</x:v>
      </x:c>
      <x:c r="B17" s="17" t="n">
        <x:v>0.2</x:v>
      </x:c>
      <x:c r="C17" s="17" t="n">
        <x:v>0.02</x:v>
      </x:c>
      <x:c r="D17" s="17" t="n">
        <x:v>0.25</x:v>
      </x:c>
      <x:c r="E17" s="17" t="n">
        <x:v>1.2</x:v>
      </x:c>
      <x:c r="F17" s="17" t="n">
        <x:v>1.2</x:v>
      </x:c>
      <x:c r="G17" s="15" t="n">
        <x:v>46283</x:v>
      </x:c>
      <x:c r="H17" s="14" t="str">
        <x:v>https://developers.openai.com/api/docs/models/gpt-5.6-luna.md</x:v>
      </x:c>
      <x:c r="I17" s="14" t="str">
        <x:v>Cache write assumes 5m when unspecified</x:v>
      </x:c>
    </x:row>
    <x:row r="18" ht="72" customHeight="1">
      <x:c r="A18" s="14" t="str">
        <x:v>openai:gpt-5.6-sol</x:v>
      </x:c>
      <x:c r="B18" s="17" t="n">
        <x:v>4</x:v>
      </x:c>
      <x:c r="C18" s="17" t="n">
        <x:v>0.4</x:v>
      </x:c>
      <x:c r="D18" s="17" t="n">
        <x:v>5</x:v>
      </x:c>
      <x:c r="E18" s="17" t="n">
        <x:v>20</x:v>
      </x:c>
      <x:c r="F18" s="17" t="n">
        <x:v>20</x:v>
      </x:c>
      <x:c r="G18" s="15" t="n">
        <x:v>46283</x:v>
      </x:c>
      <x:c r="H18" s="14" t="str">
        <x:v>https://developers.openai.com/api/docs/models/gpt-5.6-sol.md</x:v>
      </x:c>
      <x:c r="I18" s="14" t="str">
        <x:v>Cache write assumes 5m when unspecified</x:v>
      </x:c>
    </x:row>
    <x:row r="19" ht="72" customHeight="1">
      <x:c r="A19" s="14" t="str">
        <x:v>anthropic:claude-sonnet-5</x:v>
      </x:c>
      <x:c r="B19" s="17" t="n">
        <x:v>2</x:v>
      </x:c>
      <x:c r="C19" s="17" t="n">
        <x:v>0.2</x:v>
      </x:c>
      <x:c r="D19" s="17" t="n">
        <x:v>2.5</x:v>
      </x:c>
      <x:c r="E19" s="17" t="n">
        <x:v>10</x:v>
      </x:c>
      <x:c r="F19" s="17" t="n">
        <x:v>10</x:v>
      </x:c>
      <x:c r="G19" s="15" t="n">
        <x:v>46283</x:v>
      </x:c>
      <x:c r="H19" s="14" t="str">
        <x:v>https://platform.claude.com/docs/en/about-claude/pricing</x:v>
      </x:c>
      <x:c r="I19" s="14" t="str">
        <x:v>Cache write assumes 5m when unspecified</x:v>
      </x:c>
    </x:row>
    <x:row r="20" ht="72" customHeight="1">
      <x:c r="A20" s="14" t="str">
        <x:v>anthropic:claude-opus-4-8</x:v>
      </x:c>
      <x:c r="B20" s="17" t="n">
        <x:v>5</x:v>
      </x:c>
      <x:c r="C20" s="17" t="n">
        <x:v>0.5</x:v>
      </x:c>
      <x:c r="D20" s="17" t="n">
        <x:v>6.25</x:v>
      </x:c>
      <x:c r="E20" s="17" t="n">
        <x:v>25</x:v>
      </x:c>
      <x:c r="F20" s="17" t="n">
        <x:v>25</x:v>
      </x:c>
      <x:c r="G20" s="15" t="n">
        <x:v>46283</x:v>
      </x:c>
      <x:c r="H20" s="14" t="str">
        <x:v>https://platform.claude.com/docs/en/about-claude/pricing</x:v>
      </x:c>
      <x:c r="I20" s="14" t="str">
        <x:v>Cache write assumes 5m when unspecified</x:v>
      </x:c>
    </x:row>
    <x:row r="21" ht="72" customHeight="1">
      <x:c r="A21" s="14" t="str">
        <x:v>anthropic:claude-fable-5-1</x:v>
      </x:c>
      <x:c r="B21" s="17" t="n">
        <x:v>10</x:v>
      </x:c>
      <x:c r="C21" s="17" t="n">
        <x:v>0.25</x:v>
      </x:c>
      <x:c r="D21" s="17" t="n">
        <x:v>12.5</x:v>
      </x:c>
      <x:c r="E21" s="17" t="n">
        <x:v>50</x:v>
      </x:c>
      <x:c r="F21" s="17" t="n">
        <x:v>50</x:v>
      </x:c>
      <x:c r="G21" s="15" t="n">
        <x:v>46283</x:v>
      </x:c>
      <x:c r="H21" s="14" t="str">
        <x:v>https://platform.claude.com/docs/en/about-claude/pricing</x:v>
      </x:c>
      <x:c r="I21" s="14" t="str">
        <x:v>Cache write assumes 5m when unspecified</x:v>
      </x:c>
    </x:row>
    <x:row r="22" ht="72" customHeight="1">
      <x:c r="A22" s="14" t="str">
        <x:v>demo:scripted-chat</x:v>
      </x:c>
      <x:c r="B22" s="17" t="n">
        <x:v>0.2</x:v>
      </x:c>
      <x:c r="C22" s="17" t="n">
        <x:v>0.02</x:v>
      </x:c>
      <x:c r="D22" s="17" t="n">
        <x:v>0.25</x:v>
      </x:c>
      <x:c r="E22" s="17" t="n">
        <x:v>1.2</x:v>
      </x:c>
      <x:c r="F22" s="17" t="n">
        <x:v>1.2</x:v>
      </x:c>
      <x:c r="G22" s="15" t="n">
        <x:v>46283</x:v>
      </x:c>
      <x:c r="H22" s="14" t="str">
        <x:v>Illustrative demo rates based on openai:gpt-5.6-luna; no provider billing</x:v>
      </x:c>
      <x:c r="I22" s="14" t="str">
        <x:v>Cache write assumes 5m when unspecified</x:v>
      </x:c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</x:row>
  </x:sheetData>
  <x:conditionalFormatting sqref="G16:G22">
    <x:cfRule type="expression" dxfId="0" priority="1">
      <x:formula>G16&lt;TODAY()</x:formula>
    </x:cfRule>
  </x:conditionalFormatting>
  <x:conditionalFormatting sqref="B7:B7">
    <x:cfRule type="expression" dxfId="1" priority="2">
      <x:formula>B7&lt;TODAY()</x:formula>
    </x:cfRule>
  </x:conditionalFormatting>
  <x:dataValidations count="1">
    <x:dataValidation type="whole" operator="greaterThanOrEqual" sqref="B2">
      <x:formula1>0</x:formula1>
    </x:dataValidation>
  </x:dataValidations>
  <x:pageMargins left="0.7" right="0.7" top="0.75" bottom="0.75" header="0.3" footer="0.3"/>
</x:worksheet>
</file>
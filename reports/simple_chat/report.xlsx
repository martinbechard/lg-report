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<sst xmlns="http://schemas.openxmlformats.org/spreadsheetml/2006/main" count="247" uniqueCount="135">
  <si>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</si>
  <si>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</si>
  <si>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</si>
  <si>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</si>
  <si>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</si>
  <si>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</si>
  <si>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</si>
  <si>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</si>
  <si>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</si>
  <si>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</si>
  <si>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</si>
  <si>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</si>
  <si>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</si>
  <si>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</si>
  <si>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</si>
  <si>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</si>
  <si>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</si>
  <si>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</si>
  <si>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</si>
  <si>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</si>
  <si>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</si>
  <si>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</si>
  <si>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</si>
  <si>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</si>
  <si>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</si>
  <si>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</si>
  <si>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</si>
  <si>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</si>
  <si>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</si>
  <si>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</si>
  <si>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</si>
  <si>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</si>
  <si>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</si>
  <si>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</si>
  <si>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</si>
  <si>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</si>
  <si>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</si>
  <si>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</si>
  <si>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</si>
  <si>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</si>
  <si>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</si>
  <si>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</si>
  <si>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</si>
  <si>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</si>
  <si>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</si>
  <si>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</si>
  <si>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</si>
  <si>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</si>
  <si>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</si>
  <si>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01a0cce2-e691-7360-ab54-a889a6b62534</t>
  </si>
  <si>
    <t>Recording</t>
  </si>
  <si>
    <t>Provider trace</t>
  </si>
  <si>
    <t>FX reference date</t>
  </si>
  <si>
    <t>2026-09-22</t>
  </si>
  <si>
    <t>FX fetched at</t>
  </si>
  <si>
    <t>2026-09-23T06:06:28.037095Z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</si>
  <si>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</si>
  <si>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</si>
  <si>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</si>
  <si>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</si>
  <si>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</si>
  <si>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</si>
  <si>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</si>
  <si>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</si>
  <si>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</si>
  <si>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</si>
  <si>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</si>
  <si>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</si>
  <si>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</si>
  <si>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</si>
  <si>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</si>
  <si>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</si>
  <si>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</si>
  <si>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</si>
  <si>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</si>
  <si>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</si>
  <si>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</si>
  <si>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</si>
  <si>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</si>
  <si>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</si>
  <si>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</si>
  <si>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</si>
  <si>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</si>
  <si>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</si>
  <si>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</si>
  <si>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</si>
  <si>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</si>
  <si>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</si>
  <si>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</si>
  <si>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</si>
  <si>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</si>
  <si>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</si>
  <si>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</si>
  <si>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</si>
  <si>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</si>
  <si>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</si>
  <si>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01a0cce2-e699-7e13-9d23-1fa59a64855c</t>
  </si>
  <si>
    <t>Fresh input</t>
  </si>
  <si>
    <t xml:space="preserve">    Tool definitions</t>
  </si>
  <si>
    <t xml:space="preserve">    System prompt</t>
  </si>
  <si>
    <t>Answer the user's chat question directly and concisely. Do not use tools for this simple chat exercise.</t>
  </si>
  <si>
    <t xml:space="preserve">    User prompt</t>
  </si>
  <si>
    <t>Explain the main steps in an agent workflow.</t>
  </si>
  <si>
    <t>Cache write</t>
  </si>
  <si>
    <t>Context · added / total</t>
  </si>
  <si>
    <t>LLM response</t>
  </si>
  <si>
    <t>Output</t>
  </si>
  <si>
    <t xml:space="preserve">    Output content</t>
  </si>
  <si>
    <t>[{"type": "text", "text": "The main steps in an agent workflow are:\n\n1. **Receive the goal** \u2013 Understand the user\u2019s request and desired outcome.\n2. **Interpret and plan** \u2013 Break the goal into smaller tasks and decide what actions are needed.\n3. **Gather information** \u2013 Retrieve relevant context, data, or resources.\n4. **Take action** \u2013 Use tools, APIs, or other systems to carry out the plan.\n5. **Evaluate results** \u2013 Check whether the actions produced the intended outcome.\n6. **Iterate if needed** \u2013 Adjust the plan and repeat steps until the goal is met.\n7. **Respond or complete the task** \u2013 Present the result clearly and indicate any limitations or next steps.", "phase": "final_answer", "index": 0, "id": "msg_0ac7bce63840fe35006ab36d4a2cb087d285981a86f3a12e00"}]</t>
  </si>
  <si>
    <t>Call total</t>
  </si>
  <si>
    <t>ok</t>
  </si>
  <si>
    <t>Turn 2</t>
  </si>
  <si>
    <t>R2</t>
  </si>
  <si>
    <t>01a0cce2-f1c2-7e51-835b-fe4fceb0f975</t>
  </si>
  <si>
    <t>Conversation history · cache read</t>
  </si>
  <si>
    <t>How does a tool observation help the agent answer?</t>
  </si>
  <si>
    <t>[{"type": "text", "text": "A tool observation is the information returned after an agent uses a tool\u2014for example, search results, an API response, or a file\u2019s contents. It helps the agent by:\n\n- **Providing new facts or context** it did not previously have.\n- **Showing whether an action succeeded or failed.**\n- **Guiding the next step** in the workflow.\n- **Allowing verification** of assumptions and results.\n- **Supporting a more accurate final answer** based on evidence rather than guesses.\n\nFor example, if an agent searches a database, the observation contains the matching records. The agent can then analyze those records and use them to answer the user.", "phase": "final_answer", "index": 0, "id": "msg_0ac7bce63840fe35006ab36d4d202087d2a4b1af5eb04857b1"}]</t>
  </si>
  <si>
    <t>chat_agent</t>
  </si>
  <si>
    <t>workflow</t>
  </si>
  <si>
    <t>Coordinate a direct chat response: prepare messages and invoke the model.</t>
  </si>
  <si>
    <t>Subtree total</t>
  </si>
  <si>
    <t xml:space="preserve">    PatchToolCallsMiddleware.before_agent</t>
  </si>
  <si>
    <t>Check message history and repair missing tool responses before the agent starts.</t>
  </si>
  <si>
    <t>01a0cce2-e693-70a1-bf94-2c68abda00ea</t>
  </si>
  <si>
    <t>No model charge</t>
  </si>
  <si>
    <t xml:space="preserve">    model</t>
  </si>
  <si>
    <t>Prepare the current conversation, run model middleware, and invoke the chat model.</t>
  </si>
  <si>
    <t>01a0cce2-e694-7372-889e-50646b63562f</t>
  </si>
  <si>
    <t xml:space="preserve">        ChatOpenAI</t>
  </si>
  <si>
    <t>model</t>
  </si>
  <si>
    <t>Generate the next assistant message or tool request from the current conversation.</t>
  </si>
  <si>
    <t>Own call</t>
  </si>
  <si>
    <t>01a0cce2-f1bc-70e2-8fa0-9b36ea500a90</t>
  </si>
  <si>
    <t>01a0cce2-f1be-77a0-b74f-6f82664bcedd</t>
  </si>
  <si>
    <t>01a0cce2-f1bf-7931-9c6f-f1657d76dff1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</si>
</sst>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2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IF(COUNT('Turns'!E16,'Turns'!E29)=2,SUM('Turns'!E16,'Turns'!E29),"Unknown")</f>
        <v>0.0008019435699</v>
      </c>
      <c r="F2" s="2">
        <f>IF(COUNT('Turns'!F16,'Turns'!F29)=2,SUM('Turns'!F16,'Turns'!F29),"Unknown")</f>
        <v>0.00091927</v>
      </c>
      <c r="G2" s="5">
        <f>IF(ISNUMBER(E2),ROUND(E2*'Reference data'!$B$2,0),"Unknown")</f>
        <v>80.0</v>
      </c>
      <c r="H2" s="5">
        <f>IF(ISNUMBER(F2),ROUND(F2*'Reference data'!$B$2,0),"Unknown")</f>
        <v>92.0</v>
      </c>
    </row>
    <row r="3" spans="1:13" s="4" customFormat="1" ht="24" customHeight="1">
      <c r="B3" s="4">
        <v>1</v>
      </c>
      <c r="C3" s="4" t="s">
        <v>92</v>
      </c>
      <c r="E3" s="2">
        <f>IF(COUNT('Turns'!E16)=1,SUM('Turns'!E16),"Unknown")</f>
        <v>0.00058972212</v>
      </c>
      <c r="F3" s="2">
        <f>IF(COUNT('Turns'!F16)=1,SUM('Turns'!F16),"Unknown")</f>
        <v>0.000676</v>
      </c>
      <c r="G3" s="5">
        <f>IF(ISNUMBER(E3),ROUND(E3*'Reference data'!$B$2,0),"Unknown")</f>
        <v>59.0</v>
      </c>
      <c r="H3" s="5">
        <f>IF(ISNUMBER(F3),ROUND(F3*'Reference data'!$B$2,0),"Unknown")</f>
        <v>68.0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1999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1996</v>
      </c>
      <c r="E9" s="2">
        <f>IF(AND(ISNUMBER(F9),ISNUMBER('Reference data'!$B$3)),F9*'Reference data'!$B$3,"Unknown")</f>
        <v>0.00043531263</v>
      </c>
      <c r="F9" s="2">
        <f>IF(D9=0,0,IF(ISNUMBER('Reference data'!D17),D9*'Reference data'!D17/1000000,"Unknown"))</f>
        <v>0.000499</v>
      </c>
      <c r="G9" s="5">
        <f>IF(ISNUMBER(E9),ROUND(E9*'Reference data'!$B$2,0),"Unknown")</f>
        <v>44.0</v>
      </c>
      <c r="H9" s="5">
        <f>IF(ISNUMBER(F9),ROUND(F9*'Reference data'!$B$2,0),"Unknown")</f>
        <v>50.0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147</v>
      </c>
    </row>
    <row r="12" spans="1:13" ht="24" customHeight="1">
      <c r="A12" t="s">
        <v>93</v>
      </c>
      <c r="B12">
        <v>1</v>
      </c>
      <c r="C12" t="s">
        <v>106</v>
      </c>
      <c r="D12" s="5">
        <v>147</v>
      </c>
      <c r="E12" s="2">
        <f>IF(AND(ISNUMBER(F12),ISNUMBER('Reference data'!$B$3)),F12*'Reference data'!$B$3,"Unknown")</f>
        <v>0.000153886068</v>
      </c>
      <c r="F12" s="2">
        <f>IF(D12=0,0,IF(ISNUMBER('Reference data'!E17),D12*'Reference data'!E17/1000000,"Unknown"))</f>
        <v>0.0001764</v>
      </c>
      <c r="G12" s="5">
        <f>IF(ISNUMBER(E12),ROUND(E12*'Reference data'!$B$2,0),"Unknown")</f>
        <v>15.0</v>
      </c>
      <c r="H12" s="5">
        <f>IF(ISNUMBER(F12),ROUND(F12*'Reference data'!$B$2,0),"Unknown")</f>
        <v>18.0</v>
      </c>
    </row>
    <row r="13" spans="1:13" ht="138" customHeight="1">
      <c r="A13" t="s">
        <v>93</v>
      </c>
      <c r="B13">
        <v>1</v>
      </c>
      <c r="C13" t="s">
        <v>107</v>
      </c>
      <c r="I13" s="6" t="s">
        <v>108</v>
      </c>
    </row>
    <row r="14" spans="1:13" ht="24" customHeight="1">
      <c r="A14" t="s">
        <v>93</v>
      </c>
      <c r="B14">
        <v>1</v>
      </c>
      <c r="C14" t="s">
        <v>103</v>
      </c>
    </row>
    <row r="15" spans="1:13" ht="24" customHeight="1">
      <c r="A15" t="s">
        <v>93</v>
      </c>
      <c r="B15">
        <v>1</v>
      </c>
      <c r="C15" t="s">
        <v>104</v>
      </c>
    </row>
    <row r="16" spans="1:13" s="4" customFormat="1" ht="24" customHeight="1">
      <c r="A16" s="4" t="s">
        <v>93</v>
      </c>
      <c r="B16" s="4">
        <v>1</v>
      </c>
      <c r="C16" s="4" t="s">
        <v>109</v>
      </c>
      <c r="E16" s="2">
        <f>IF(COUNT('Turns'!E5,'Turns'!E9,'Turns'!E12)=3,SUM('Turns'!E5,'Turns'!E9,'Turns'!E12),"Unknown")</f>
        <v>0.00058972212</v>
      </c>
      <c r="F16" s="2">
        <f>IF(COUNT('Turns'!F5,'Turns'!F9,'Turns'!F12)=3,SUM('Turns'!F5,'Turns'!F9,'Turns'!F12),"Unknown")</f>
        <v>0.000676</v>
      </c>
      <c r="G16" s="5">
        <f>IF(ISNUMBER(E16),ROUND(E16*'Reference data'!$B$2,0),"Unknown")</f>
        <v>59.0</v>
      </c>
      <c r="H16" s="5">
        <f>IF(ISNUMBER(F16),ROUND(F16*'Reference data'!$B$2,0),"Unknown")</f>
        <v>68.0</v>
      </c>
      <c r="K16" s="4" t="s">
        <v>110</v>
      </c>
    </row>
    <row r="17" spans="1:13" s="4" customFormat="1" ht="24" customHeight="1">
      <c r="B17" s="4">
        <v>2</v>
      </c>
      <c r="C17" s="4" t="s">
        <v>111</v>
      </c>
      <c r="E17" s="2">
        <f>IF(COUNT('Turns'!E29)=1,SUM('Turns'!E29),"Unknown")</f>
        <v>0.0002122214499</v>
      </c>
      <c r="F17" s="2">
        <f>IF(COUNT('Turns'!F29)=1,SUM('Turns'!F29),"Unknown")</f>
        <v>0.00024327</v>
      </c>
      <c r="G17" s="5">
        <f>IF(ISNUMBER(E17),ROUND(E17*'Reference data'!$B$2,0),"Unknown")</f>
        <v>21.0</v>
      </c>
      <c r="H17" s="5">
        <f>IF(ISNUMBER(F17),ROUND(F17*'Reference data'!$B$2,0),"Unknown")</f>
        <v>24.0</v>
      </c>
    </row>
    <row r="18" spans="1:13" s="4" customFormat="1" ht="24" customHeight="1">
      <c r="A18" s="4" t="s">
        <v>112</v>
      </c>
      <c r="B18" s="4">
        <v>2</v>
      </c>
      <c r="C18" s="4" t="s">
        <v>94</v>
      </c>
      <c r="D18" s="4">
        <v>2162</v>
      </c>
      <c r="J18" s="4" t="s">
        <v>95</v>
      </c>
      <c r="M18" s="4" t="s">
        <v>113</v>
      </c>
    </row>
    <row r="19" spans="1:13" ht="24" customHeight="1">
      <c r="A19" t="s">
        <v>112</v>
      </c>
      <c r="B19">
        <v>2</v>
      </c>
      <c r="C19" t="s">
        <v>114</v>
      </c>
      <c r="D19" s="5">
        <v>1996</v>
      </c>
      <c r="E19" s="2">
        <f>IF(AND(ISNUMBER(F19),ISNUMBER('Reference data'!$B$3)),F19*'Reference data'!$B$3,"Unknown")</f>
        <v>3.48250104e-05</v>
      </c>
      <c r="F19" s="2">
        <f>IF(D19=0,0,IF(ISNUMBER('Reference data'!C17),D19*'Reference data'!C17/1000000,"Unknown"))</f>
        <v>3.992e-05</v>
      </c>
      <c r="G19" s="5">
        <f>IF(ISNUMBER(E19),ROUND(E19*'Reference data'!$B$2,0),"Unknown")</f>
        <v>3.0</v>
      </c>
      <c r="H19" s="5">
        <f>IF(ISNUMBER(F19),ROUND(F19*'Reference data'!$B$2,0),"Unknown")</f>
        <v>4.0</v>
      </c>
    </row>
    <row r="20" spans="1:13" ht="24" customHeight="1">
      <c r="A20" t="s">
        <v>112</v>
      </c>
      <c r="B20">
        <v>2</v>
      </c>
      <c r="C20" t="s">
        <v>97</v>
      </c>
      <c r="D20" s="5">
        <v>3</v>
      </c>
      <c r="E20" s="2">
        <f>IF(AND(ISNUMBER(F20),ISNUMBER('Reference data'!$B$3)),F20*'Reference data'!$B$3,"Unknown")</f>
        <v>5.23422e-07</v>
      </c>
      <c r="F20" s="2">
        <f>IF(D20=0,0,IF(ISNUMBER('Reference data'!B17),D20*'Reference data'!B17/1000000,"Unknown"))</f>
        <v>6e-07</v>
      </c>
      <c r="G20" s="5">
        <f>IF(ISNUMBER(E20),ROUND(E20*'Reference data'!$B$2,0),"Unknown")</f>
        <v>0.0</v>
      </c>
      <c r="H20" s="5">
        <f>IF(ISNUMBER(F20),ROUND(F20*'Reference data'!$B$2,0),"Unknown")</f>
        <v>0.0</v>
      </c>
    </row>
    <row r="21" spans="1:13" ht="24" customHeight="1">
      <c r="A21" t="s">
        <v>112</v>
      </c>
      <c r="B21">
        <v>2</v>
      </c>
      <c r="C21" t="s">
        <v>101</v>
      </c>
      <c r="I21" s="6" t="s">
        <v>115</v>
      </c>
    </row>
    <row r="22" spans="1:13" ht="24" customHeight="1">
      <c r="A22" t="s">
        <v>112</v>
      </c>
      <c r="B22">
        <v>2</v>
      </c>
      <c r="C22" t="s">
        <v>103</v>
      </c>
      <c r="D22" s="5">
        <v>163</v>
      </c>
      <c r="E22" s="2">
        <f>IF(AND(ISNUMBER(F22),ISNUMBER('Reference data'!$B$3)),F22*'Reference data'!$B$3,"Unknown")</f>
        <v>3.55490775e-05</v>
      </c>
      <c r="F22" s="2">
        <f>IF(D22=0,0,IF(ISNUMBER('Reference data'!D17),D22*'Reference data'!D17/1000000,"Unknown"))</f>
        <v>4.075e-05</v>
      </c>
      <c r="G22" s="5">
        <f>IF(ISNUMBER(E22),ROUND(E22*'Reference data'!$B$2,0),"Unknown")</f>
        <v>4.0</v>
      </c>
      <c r="H22" s="5">
        <f>IF(ISNUMBER(F22),ROUND(F22*'Reference data'!$B$2,0),"Unknown")</f>
        <v>4.0</v>
      </c>
    </row>
    <row r="23" spans="1:13" ht="24" customHeight="1">
      <c r="A23" t="s">
        <v>112</v>
      </c>
      <c r="B23">
        <v>2</v>
      </c>
      <c r="C23" t="s">
        <v>104</v>
      </c>
    </row>
    <row r="24" spans="1:13" s="4" customFormat="1" ht="24" customHeight="1">
      <c r="A24" s="4" t="s">
        <v>112</v>
      </c>
      <c r="B24" s="4">
        <v>2</v>
      </c>
      <c r="C24" s="4" t="s">
        <v>105</v>
      </c>
      <c r="D24" s="4">
        <v>135</v>
      </c>
    </row>
    <row r="25" spans="1:13" ht="24" customHeight="1">
      <c r="A25" t="s">
        <v>112</v>
      </c>
      <c r="B25">
        <v>2</v>
      </c>
      <c r="C25" t="s">
        <v>106</v>
      </c>
      <c r="D25" s="5">
        <v>135</v>
      </c>
      <c r="E25" s="2">
        <f>IF(AND(ISNUMBER(F25),ISNUMBER('Reference data'!$B$3)),F25*'Reference data'!$B$3,"Unknown")</f>
        <v>0.00014132394</v>
      </c>
      <c r="F25" s="2">
        <f>IF(D25=0,0,IF(ISNUMBER('Reference data'!E17),D25*'Reference data'!E17/1000000,"Unknown"))</f>
        <v>0.000162</v>
      </c>
      <c r="G25" s="5">
        <f>IF(ISNUMBER(E25),ROUND(E25*'Reference data'!$B$2,0),"Unknown")</f>
        <v>14.0</v>
      </c>
      <c r="H25" s="5">
        <f>IF(ISNUMBER(F25),ROUND(F25*'Reference data'!$B$2,0),"Unknown")</f>
        <v>16.0</v>
      </c>
    </row>
    <row r="26" spans="1:13" ht="125" customHeight="1">
      <c r="A26" t="s">
        <v>112</v>
      </c>
      <c r="B26">
        <v>2</v>
      </c>
      <c r="C26" t="s">
        <v>107</v>
      </c>
      <c r="I26" s="6" t="s">
        <v>116</v>
      </c>
    </row>
    <row r="27" spans="1:13" ht="24" customHeight="1">
      <c r="A27" t="s">
        <v>112</v>
      </c>
      <c r="B27">
        <v>2</v>
      </c>
      <c r="C27" t="s">
        <v>103</v>
      </c>
    </row>
    <row r="28" spans="1:13" ht="24" customHeight="1">
      <c r="A28" t="s">
        <v>112</v>
      </c>
      <c r="B28">
        <v>2</v>
      </c>
      <c r="C28" t="s">
        <v>104</v>
      </c>
    </row>
    <row r="29" spans="1:13" s="4" customFormat="1" ht="24" customHeight="1">
      <c r="A29" s="4" t="s">
        <v>112</v>
      </c>
      <c r="B29" s="4">
        <v>2</v>
      </c>
      <c r="C29" s="4" t="s">
        <v>109</v>
      </c>
      <c r="E29" s="2">
        <f>IF(COUNT('Turns'!E19,'Turns'!E20,'Turns'!E22,'Turns'!E25)=4,SUM('Turns'!E19,'Turns'!E20,'Turns'!E22,'Turns'!E25),"Unknown")</f>
        <v>0.0002122214499</v>
      </c>
      <c r="F29" s="2">
        <f>IF(COUNT('Turns'!F19,'Turns'!F20,'Turns'!F22,'Turns'!F25)=4,SUM('Turns'!F19,'Turns'!F20,'Turns'!F22,'Turns'!F25),"Unknown")</f>
        <v>0.00024327</v>
      </c>
      <c r="G29" s="5">
        <f>IF(ISNUMBER(E29),ROUND(E29*'Reference data'!$B$2,0),"Unknown")</f>
        <v>21.0</v>
      </c>
      <c r="H29" s="5">
        <f>IF(ISNUMBER(F29),ROUND(F29*'Reference data'!$B$2,0),"Unknown")</f>
        <v>24.0</v>
      </c>
      <c r="K29" s="4" t="s">
        <v>110</v>
      </c>
    </row>
  </sheetData>
  <conditionalFormatting sqref="A2:AE29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117</v>
      </c>
      <c r="B2" s="1">
        <v>0</v>
      </c>
      <c r="C2" s="1" t="s">
        <v>118</v>
      </c>
      <c r="D2" s="1" t="s">
        <v>47</v>
      </c>
      <c r="E2" s="1" t="s">
        <v>110</v>
      </c>
      <c r="G2" s="6" t="s">
        <v>119</v>
      </c>
      <c r="H2" t="s">
        <v>49</v>
      </c>
      <c r="J2" s="2">
        <f>IF(COUNT('Turns'!D5)=1,SUM('Turns'!D5),"Unknown")</f>
        <v>3.0</v>
      </c>
      <c r="K2" s="2">
        <f>IF(COUNT('Turns'!E5)=1,SUM('Turns'!E5),"Unknown")</f>
        <v>5.23422e-07</v>
      </c>
      <c r="L2" s="2">
        <f>IF(COUNT('Turns'!F5)=1,SUM('Turns'!F5),"Unknown")</f>
        <v>6e-07</v>
      </c>
      <c r="M2" s="2">
        <v>0</v>
      </c>
      <c r="N2" s="2">
        <v>0</v>
      </c>
      <c r="O2" s="2">
        <v>0</v>
      </c>
      <c r="P2" s="2">
        <f>IF(COUNT('Turns'!D9)=1,SUM('Turns'!D9),"Unknown")</f>
        <v>1996.0</v>
      </c>
      <c r="Q2" s="2">
        <f>IF(COUNT('Turns'!E9)=1,SUM('Turns'!E9),"Unknown")</f>
        <v>0.00043531263</v>
      </c>
      <c r="R2" s="2">
        <f>IF(COUNT('Turns'!F9)=1,SUM('Turns'!F9),"Unknown")</f>
        <v>0.000499</v>
      </c>
      <c r="S2" s="2">
        <f>IF(COUNT('Turns'!D12)=1,SUM('Turns'!D12),"Unknown")</f>
        <v>147.0</v>
      </c>
      <c r="T2" s="2">
        <f>IF(COUNT('Turns'!E12)=1,SUM('Turns'!E12),"Unknown")</f>
        <v>0.000153886068</v>
      </c>
      <c r="U2" s="2">
        <f>IF(COUNT('Turns'!F12)=1,SUM('Turns'!F12),"Unknown")</f>
        <v>0.0001764</v>
      </c>
      <c r="V2" s="2">
        <v>0</v>
      </c>
      <c r="W2" s="2">
        <v>0</v>
      </c>
      <c r="X2" s="2">
        <v>0</v>
      </c>
      <c r="Y2" s="2">
        <f>IF(COUNT('Turns'!E16)=1,SUM('Turns'!E16),"Unknown")</f>
        <v>0.00058972212</v>
      </c>
      <c r="Z2" s="2">
        <f>IF(COUNT('Turns'!F16)=1,SUM('Turns'!F16),"Unknown")</f>
        <v>0.000676</v>
      </c>
      <c r="AA2" s="5">
        <f>IF(ISNUMBER(Y2),ROUND(Y2*'Reference data'!$B$2,0),"Unknown")</f>
        <v>59.0</v>
      </c>
      <c r="AB2" s="5">
        <f>IF(ISNUMBER(Z2),ROUND(Z2*'Reference data'!$B$2,0),"Unknown")</f>
        <v>68.0</v>
      </c>
      <c r="AD2" s="1">
        <v>2840.085</v>
      </c>
      <c r="AE2" s="1" t="s">
        <v>120</v>
      </c>
    </row>
    <row r="3" spans="1:31" ht="54" customHeight="1">
      <c r="A3" s="6" t="s">
        <v>121</v>
      </c>
      <c r="B3" s="1">
        <v>1</v>
      </c>
      <c r="C3" s="1" t="s">
        <v>118</v>
      </c>
      <c r="D3" s="1" t="s">
        <v>47</v>
      </c>
      <c r="E3" s="1" t="s">
        <v>110</v>
      </c>
      <c r="G3" s="6" t="s">
        <v>122</v>
      </c>
      <c r="H3" t="s">
        <v>123</v>
      </c>
      <c r="I3" t="s">
        <v>49</v>
      </c>
      <c r="AD3" s="1">
        <v>0.377</v>
      </c>
      <c r="AE3" s="1" t="s">
        <v>124</v>
      </c>
    </row>
    <row r="4" spans="1:31" ht="54" customHeight="1">
      <c r="A4" s="6" t="s">
        <v>125</v>
      </c>
      <c r="B4" s="1">
        <v>1</v>
      </c>
      <c r="C4" s="1" t="s">
        <v>118</v>
      </c>
      <c r="D4" s="1" t="s">
        <v>47</v>
      </c>
      <c r="E4" s="1" t="s">
        <v>110</v>
      </c>
      <c r="G4" s="6" t="s">
        <v>126</v>
      </c>
      <c r="H4" t="s">
        <v>127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1996.0</v>
      </c>
      <c r="Q4" s="2">
        <f>IF(COUNT('Turns'!E9)=1,SUM('Turns'!E9),"Unknown")</f>
        <v>0.00043531263</v>
      </c>
      <c r="R4" s="2">
        <f>IF(COUNT('Turns'!F9)=1,SUM('Turns'!F9),"Unknown")</f>
        <v>0.000499</v>
      </c>
      <c r="S4" s="2">
        <f>IF(COUNT('Turns'!D12)=1,SUM('Turns'!D12),"Unknown")</f>
        <v>147.0</v>
      </c>
      <c r="T4" s="2">
        <f>IF(COUNT('Turns'!E12)=1,SUM('Turns'!E12),"Unknown")</f>
        <v>0.000153886068</v>
      </c>
      <c r="U4" s="2">
        <f>IF(COUNT('Turns'!F12)=1,SUM('Turns'!F12),"Unknown")</f>
        <v>0.0001764</v>
      </c>
      <c r="V4" s="2">
        <v>0</v>
      </c>
      <c r="W4" s="2">
        <v>0</v>
      </c>
      <c r="X4" s="2">
        <v>0</v>
      </c>
      <c r="Y4" s="2">
        <f>IF(COUNT('Turns'!E16)=1,SUM('Turns'!E16),"Unknown")</f>
        <v>0.00058972212</v>
      </c>
      <c r="Z4" s="2">
        <f>IF(COUNT('Turns'!F16)=1,SUM('Turns'!F16),"Unknown")</f>
        <v>0.000676</v>
      </c>
      <c r="AA4" s="5">
        <f>IF(ISNUMBER(Y4),ROUND(Y4*'Reference data'!$B$2,0),"Unknown")</f>
        <v>59.0</v>
      </c>
      <c r="AB4" s="5">
        <f>IF(ISNUMBER(Z4),ROUND(Z4*'Reference data'!$B$2,0),"Unknown")</f>
        <v>68.0</v>
      </c>
      <c r="AD4" s="1">
        <v>2836.939</v>
      </c>
      <c r="AE4" s="1" t="s">
        <v>120</v>
      </c>
    </row>
    <row r="5" spans="1:31" ht="54" customHeight="1">
      <c r="A5" s="6" t="s">
        <v>128</v>
      </c>
      <c r="B5" s="1">
        <v>2</v>
      </c>
      <c r="C5" s="1" t="s">
        <v>129</v>
      </c>
      <c r="D5" s="1" t="s">
        <v>95</v>
      </c>
      <c r="E5" s="1" t="s">
        <v>110</v>
      </c>
      <c r="F5" s="1">
        <v>1999</v>
      </c>
      <c r="G5" s="6" t="s">
        <v>130</v>
      </c>
      <c r="H5" t="s">
        <v>96</v>
      </c>
      <c r="I5" t="s">
        <v>127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1996.0</v>
      </c>
      <c r="Q5" s="2">
        <f>IF(COUNT('Turns'!E9)=1,SUM('Turns'!E9),"Unknown")</f>
        <v>0.00043531263</v>
      </c>
      <c r="R5" s="2">
        <f>IF(COUNT('Turns'!F9)=1,SUM('Turns'!F9),"Unknown")</f>
        <v>0.000499</v>
      </c>
      <c r="S5" s="2">
        <f>IF(COUNT('Turns'!D12)=1,SUM('Turns'!D12),"Unknown")</f>
        <v>147.0</v>
      </c>
      <c r="T5" s="2">
        <f>IF(COUNT('Turns'!E12)=1,SUM('Turns'!E12),"Unknown")</f>
        <v>0.000153886068</v>
      </c>
      <c r="U5" s="2">
        <f>IF(COUNT('Turns'!F12)=1,SUM('Turns'!F12),"Unknown")</f>
        <v>0.0001764</v>
      </c>
      <c r="V5" s="2">
        <v>0</v>
      </c>
      <c r="W5" s="2">
        <v>0</v>
      </c>
      <c r="X5" s="2">
        <v>0</v>
      </c>
      <c r="Y5" s="2">
        <f>IF(COUNT('Turns'!E16)=1,SUM('Turns'!E16),"Unknown")</f>
        <v>0.00058972212</v>
      </c>
      <c r="Z5" s="2">
        <f>IF(COUNT('Turns'!F16)=1,SUM('Turns'!F16),"Unknown")</f>
        <v>0.000676</v>
      </c>
      <c r="AA5" s="5">
        <f>IF(ISNUMBER(Y5),ROUND(Y5*'Reference data'!$B$2,0),"Unknown")</f>
        <v>59.0</v>
      </c>
      <c r="AB5" s="5">
        <f>IF(ISNUMBER(Z5),ROUND(Z5*'Reference data'!$B$2,0),"Unknown")</f>
        <v>68.0</v>
      </c>
      <c r="AC5" s="1" t="s">
        <v>93</v>
      </c>
      <c r="AD5" s="1">
        <v>2830.534</v>
      </c>
      <c r="AE5" s="1" t="s">
        <v>131</v>
      </c>
    </row>
    <row r="6" spans="1:31" ht="54" customHeight="1">
      <c r="A6" s="6" t="s">
        <v>117</v>
      </c>
      <c r="B6" s="1">
        <v>0</v>
      </c>
      <c r="C6" s="1" t="s">
        <v>118</v>
      </c>
      <c r="D6" s="1" t="s">
        <v>47</v>
      </c>
      <c r="E6" s="1" t="s">
        <v>110</v>
      </c>
      <c r="G6" s="6" t="s">
        <v>119</v>
      </c>
      <c r="H6" t="s">
        <v>132</v>
      </c>
      <c r="J6" s="2">
        <f>IF(COUNT('Turns'!D20)=1,SUM('Turns'!D20),"Unknown")</f>
        <v>3.0</v>
      </c>
      <c r="K6" s="2">
        <f>IF(COUNT('Turns'!E20)=1,SUM('Turns'!E20),"Unknown")</f>
        <v>5.23422e-07</v>
      </c>
      <c r="L6" s="2">
        <f>IF(COUNT('Turns'!F20)=1,SUM('Turns'!F20),"Unknown")</f>
        <v>6e-07</v>
      </c>
      <c r="M6" s="2">
        <f>IF(COUNT('Turns'!D19)=1,SUM('Turns'!D19),"Unknown")</f>
        <v>1996.0</v>
      </c>
      <c r="N6" s="2">
        <f>IF(COUNT('Turns'!E19)=1,SUM('Turns'!E19),"Unknown")</f>
        <v>3.48250104e-05</v>
      </c>
      <c r="O6" s="2">
        <f>IF(COUNT('Turns'!F19)=1,SUM('Turns'!F19),"Unknown")</f>
        <v>3.992e-05</v>
      </c>
      <c r="P6" s="2">
        <f>IF(COUNT('Turns'!D22)=1,SUM('Turns'!D22),"Unknown")</f>
        <v>163.0</v>
      </c>
      <c r="Q6" s="2">
        <f>IF(COUNT('Turns'!E22)=1,SUM('Turns'!E22),"Unknown")</f>
        <v>3.55490775e-05</v>
      </c>
      <c r="R6" s="2">
        <f>IF(COUNT('Turns'!F22)=1,SUM('Turns'!F22),"Unknown")</f>
        <v>4.075e-05</v>
      </c>
      <c r="S6" s="2">
        <f>IF(COUNT('Turns'!D25)=1,SUM('Turns'!D25),"Unknown")</f>
        <v>135.0</v>
      </c>
      <c r="T6" s="2">
        <f>IF(COUNT('Turns'!E25)=1,SUM('Turns'!E25),"Unknown")</f>
        <v>0.00014132394</v>
      </c>
      <c r="U6" s="2">
        <f>IF(COUNT('Turns'!F25)=1,SUM('Turns'!F25),"Unknown")</f>
        <v>0.000162</v>
      </c>
      <c r="V6" s="2">
        <v>0</v>
      </c>
      <c r="W6" s="2">
        <v>0</v>
      </c>
      <c r="X6" s="2">
        <v>0</v>
      </c>
      <c r="Y6" s="2">
        <f>IF(COUNT('Turns'!E29)=1,SUM('Turns'!E29),"Unknown")</f>
        <v>0.0002122214499</v>
      </c>
      <c r="Z6" s="2">
        <f>IF(COUNT('Turns'!F29)=1,SUM('Turns'!F29),"Unknown")</f>
        <v>0.00024327</v>
      </c>
      <c r="AA6" s="5">
        <f>IF(ISNUMBER(Y6),ROUND(Y6*'Reference data'!$B$2,0),"Unknown")</f>
        <v>21.0</v>
      </c>
      <c r="AB6" s="5">
        <f>IF(ISNUMBER(Z6),ROUND(Z6*'Reference data'!$B$2,0),"Unknown")</f>
        <v>24.0</v>
      </c>
      <c r="AD6" s="1">
        <v>3146.674</v>
      </c>
      <c r="AE6" s="1" t="s">
        <v>120</v>
      </c>
    </row>
    <row r="7" spans="1:31" ht="54" customHeight="1">
      <c r="A7" s="6" t="s">
        <v>121</v>
      </c>
      <c r="B7" s="1">
        <v>1</v>
      </c>
      <c r="C7" s="1" t="s">
        <v>118</v>
      </c>
      <c r="D7" s="1" t="s">
        <v>47</v>
      </c>
      <c r="E7" s="1" t="s">
        <v>110</v>
      </c>
      <c r="G7" s="6" t="s">
        <v>122</v>
      </c>
      <c r="H7" t="s">
        <v>133</v>
      </c>
      <c r="I7" t="s">
        <v>132</v>
      </c>
      <c r="AD7" s="1">
        <v>0.313</v>
      </c>
      <c r="AE7" s="1" t="s">
        <v>124</v>
      </c>
    </row>
    <row r="8" spans="1:31" ht="54" customHeight="1">
      <c r="A8" s="6" t="s">
        <v>125</v>
      </c>
      <c r="B8" s="1">
        <v>1</v>
      </c>
      <c r="C8" s="1" t="s">
        <v>118</v>
      </c>
      <c r="D8" s="1" t="s">
        <v>47</v>
      </c>
      <c r="E8" s="1" t="s">
        <v>110</v>
      </c>
      <c r="G8" s="6" t="s">
        <v>126</v>
      </c>
      <c r="H8" t="s">
        <v>134</v>
      </c>
      <c r="I8" t="s">
        <v>132</v>
      </c>
      <c r="J8" s="2">
        <f>IF(COUNT('Turns'!D20)=1,SUM('Turns'!D20),"Unknown")</f>
        <v>3.0</v>
      </c>
      <c r="K8" s="2">
        <f>IF(COUNT('Turns'!E20)=1,SUM('Turns'!E20),"Unknown")</f>
        <v>5.23422e-07</v>
      </c>
      <c r="L8" s="2">
        <f>IF(COUNT('Turns'!F20)=1,SUM('Turns'!F20),"Unknown")</f>
        <v>6e-07</v>
      </c>
      <c r="M8" s="2">
        <f>IF(COUNT('Turns'!D19)=1,SUM('Turns'!D19),"Unknown")</f>
        <v>1996.0</v>
      </c>
      <c r="N8" s="2">
        <f>IF(COUNT('Turns'!E19)=1,SUM('Turns'!E19),"Unknown")</f>
        <v>3.48250104e-05</v>
      </c>
      <c r="O8" s="2">
        <f>IF(COUNT('Turns'!F19)=1,SUM('Turns'!F19),"Unknown")</f>
        <v>3.992e-05</v>
      </c>
      <c r="P8" s="2">
        <f>IF(COUNT('Turns'!D22)=1,SUM('Turns'!D22),"Unknown")</f>
        <v>163.0</v>
      </c>
      <c r="Q8" s="2">
        <f>IF(COUNT('Turns'!E22)=1,SUM('Turns'!E22),"Unknown")</f>
        <v>3.55490775e-05</v>
      </c>
      <c r="R8" s="2">
        <f>IF(COUNT('Turns'!F22)=1,SUM('Turns'!F22),"Unknown")</f>
        <v>4.075e-05</v>
      </c>
      <c r="S8" s="2">
        <f>IF(COUNT('Turns'!D25)=1,SUM('Turns'!D25),"Unknown")</f>
        <v>135.0</v>
      </c>
      <c r="T8" s="2">
        <f>IF(COUNT('Turns'!E25)=1,SUM('Turns'!E25),"Unknown")</f>
        <v>0.00014132394</v>
      </c>
      <c r="U8" s="2">
        <f>IF(COUNT('Turns'!F25)=1,SUM('Turns'!F25),"Unknown")</f>
        <v>0.000162</v>
      </c>
      <c r="V8" s="2">
        <v>0</v>
      </c>
      <c r="W8" s="2">
        <v>0</v>
      </c>
      <c r="X8" s="2">
        <v>0</v>
      </c>
      <c r="Y8" s="2">
        <f>IF(COUNT('Turns'!E29)=1,SUM('Turns'!E29),"Unknown")</f>
        <v>0.0002122214499</v>
      </c>
      <c r="Z8" s="2">
        <f>IF(COUNT('Turns'!F29)=1,SUM('Turns'!F29),"Unknown")</f>
        <v>0.00024327</v>
      </c>
      <c r="AA8" s="5">
        <f>IF(ISNUMBER(Y8),ROUND(Y8*'Reference data'!$B$2,0),"Unknown")</f>
        <v>21.0</v>
      </c>
      <c r="AB8" s="5">
        <f>IF(ISNUMBER(Z8),ROUND(Z8*'Reference data'!$B$2,0),"Unknown")</f>
        <v>24.0</v>
      </c>
      <c r="AD8" s="1">
        <v>3143.09</v>
      </c>
      <c r="AE8" s="1" t="s">
        <v>120</v>
      </c>
    </row>
    <row r="9" spans="1:31" ht="54" customHeight="1">
      <c r="A9" s="6" t="s">
        <v>128</v>
      </c>
      <c r="B9" s="1">
        <v>2</v>
      </c>
      <c r="C9" s="1" t="s">
        <v>129</v>
      </c>
      <c r="D9" s="1" t="s">
        <v>95</v>
      </c>
      <c r="E9" s="1" t="s">
        <v>110</v>
      </c>
      <c r="F9" s="1">
        <v>2162</v>
      </c>
      <c r="G9" s="6" t="s">
        <v>130</v>
      </c>
      <c r="H9" t="s">
        <v>113</v>
      </c>
      <c r="I9" t="s">
        <v>134</v>
      </c>
      <c r="J9" s="2">
        <f>IF(COUNT('Turns'!D20)=1,SUM('Turns'!D20),"Unknown")</f>
        <v>3.0</v>
      </c>
      <c r="K9" s="2">
        <f>IF(COUNT('Turns'!E20)=1,SUM('Turns'!E20),"Unknown")</f>
        <v>5.23422e-07</v>
      </c>
      <c r="L9" s="2">
        <f>IF(COUNT('Turns'!F20)=1,SUM('Turns'!F20),"Unknown")</f>
        <v>6e-07</v>
      </c>
      <c r="M9" s="2">
        <f>IF(COUNT('Turns'!D19)=1,SUM('Turns'!D19),"Unknown")</f>
        <v>1996.0</v>
      </c>
      <c r="N9" s="2">
        <f>IF(COUNT('Turns'!E19)=1,SUM('Turns'!E19),"Unknown")</f>
        <v>3.48250104e-05</v>
      </c>
      <c r="O9" s="2">
        <f>IF(COUNT('Turns'!F19)=1,SUM('Turns'!F19),"Unknown")</f>
        <v>3.992e-05</v>
      </c>
      <c r="P9" s="2">
        <f>IF(COUNT('Turns'!D22)=1,SUM('Turns'!D22),"Unknown")</f>
        <v>163.0</v>
      </c>
      <c r="Q9" s="2">
        <f>IF(COUNT('Turns'!E22)=1,SUM('Turns'!E22),"Unknown")</f>
        <v>3.55490775e-05</v>
      </c>
      <c r="R9" s="2">
        <f>IF(COUNT('Turns'!F22)=1,SUM('Turns'!F22),"Unknown")</f>
        <v>4.075e-05</v>
      </c>
      <c r="S9" s="2">
        <f>IF(COUNT('Turns'!D25)=1,SUM('Turns'!D25),"Unknown")</f>
        <v>135.0</v>
      </c>
      <c r="T9" s="2">
        <f>IF(COUNT('Turns'!E25)=1,SUM('Turns'!E25),"Unknown")</f>
        <v>0.00014132394</v>
      </c>
      <c r="U9" s="2">
        <f>IF(COUNT('Turns'!F25)=1,SUM('Turns'!F25),"Unknown")</f>
        <v>0.000162</v>
      </c>
      <c r="V9" s="2">
        <v>0</v>
      </c>
      <c r="W9" s="2">
        <v>0</v>
      </c>
      <c r="X9" s="2">
        <v>0</v>
      </c>
      <c r="Y9" s="2">
        <f>IF(COUNT('Turns'!E29)=1,SUM('Turns'!E29),"Unknown")</f>
        <v>0.0002122214499</v>
      </c>
      <c r="Z9" s="2">
        <f>IF(COUNT('Turns'!F29)=1,SUM('Turns'!F29),"Unknown")</f>
        <v>0.00024327</v>
      </c>
      <c r="AA9" s="5">
        <f>IF(ISNUMBER(Y9),ROUND(Y9*'Reference data'!$B$2,0),"Unknown")</f>
        <v>21.0</v>
      </c>
      <c r="AB9" s="5">
        <f>IF(ISNUMBER(Z9),ROUND(Z9*'Reference data'!$B$2,0),"Unknown")</f>
        <v>24.0</v>
      </c>
      <c r="AC9" s="1" t="s">
        <v>112</v>
      </c>
      <c r="AD9" s="1">
        <v>3137.503</v>
      </c>
      <c r="AE9" s="1" t="s">
        <v>131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2026-09-23T06:10:24Z</dcterms:created>
  <dcterms:modified xsi:type="dcterms:W3CDTF">2026-09-23T06:10:24Z</dcterms:modified>
</cp:coreProperties>
</file>
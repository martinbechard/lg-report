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<sst xmlns="http://schemas.openxmlformats.org/spreadsheetml/2006/main" count="249" uniqueCount="135">
  <si>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</si>
  <si>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</si>
  <si>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</si>
  <si>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</si>
  <si>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</si>
  <si>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</si>
  <si>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</si>
  <si>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</si>
  <si>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</si>
  <si>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</si>
  <si>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</si>
  <si>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</si>
  <si>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</si>
  <si>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</si>
  <si>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</si>
  <si>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</si>
  <si>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</si>
  <si>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</si>
  <si>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</si>
  <si>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</si>
  <si>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</si>
  <si>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</si>
  <si>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</si>
  <si>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</si>
  <si>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</si>
  <si>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</si>
  <si>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</si>
  <si>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</si>
  <si>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</si>
  <si>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</si>
  <si>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</si>
  <si>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</si>
  <si>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</si>
  <si>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</si>
  <si>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</si>
  <si>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</si>
  <si>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</si>
  <si>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</si>
  <si>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</si>
  <si>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</si>
  <si>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</si>
  <si>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</si>
  <si>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</si>
  <si>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</si>
  <si>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</si>
  <si>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</si>
  <si>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</si>
  <si>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</si>
  <si>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</si>
  <si>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01a0d142-6c64-7852-bf06-580c118fab20</t>
  </si>
  <si>
    <t>Recording</t>
  </si>
  <si>
    <t>Provider trace</t>
  </si>
  <si>
    <t>FX reference date</t>
  </si>
  <si>
    <t>2026-09-23</t>
  </si>
  <si>
    <t>FX fetched at</t>
  </si>
  <si>
    <t>2026-09-24T02:09:35.117183Z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</si>
  <si>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</si>
  <si>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</si>
  <si>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</si>
  <si>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</si>
  <si>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</si>
  <si>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</si>
  <si>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</si>
  <si>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</si>
  <si>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</si>
  <si>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</si>
  <si>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</si>
  <si>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</si>
  <si>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</si>
  <si>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</si>
  <si>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</si>
  <si>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</si>
  <si>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</si>
  <si>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</si>
  <si>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</si>
  <si>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</si>
  <si>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</si>
  <si>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</si>
  <si>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</si>
  <si>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</si>
  <si>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</si>
  <si>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</si>
  <si>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</si>
  <si>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</si>
  <si>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</si>
  <si>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</si>
  <si>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</si>
  <si>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</si>
  <si>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</si>
  <si>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</si>
  <si>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</si>
  <si>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</si>
  <si>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</si>
  <si>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</si>
  <si>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</si>
  <si>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</si>
  <si>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01a0d142-6c6d-7ff0-83ca-3f9242057250</t>
  </si>
  <si>
    <t>Conversation history · cache read</t>
  </si>
  <si>
    <t>Input at standard rate</t>
  </si>
  <si>
    <t xml:space="preserve">    Tool definitions</t>
  </si>
  <si>
    <t xml:space="preserve">    System prompt</t>
  </si>
  <si>
    <t>Answer the user's chat question directly and concisely. Do not use tools for this simple chat exercise.</t>
  </si>
  <si>
    <t xml:space="preserve">    User prompt</t>
  </si>
  <si>
    <t>Explain the main steps in an agent workflow.</t>
  </si>
  <si>
    <t>Cache write</t>
  </si>
  <si>
    <t>Context · added / total</t>
  </si>
  <si>
    <t>LLM response</t>
  </si>
  <si>
    <t>Output</t>
  </si>
  <si>
    <t xml:space="preserve">    Output content</t>
  </si>
  <si>
    <t>[{"type": "text", "text": "The main steps in an agent workflow are:\n\n1. **Receive a goal** \u2014 The agent interprets the user\u2019s request and identifies the desired outcome.\n2. **Plan** \u2014 It breaks the goal into smaller tasks and decides what actions or tools are needed.\n3. **Gather information** \u2014 It retrieves relevant data from sources such as files, APIs, databases, or the web.\n4. **Act** \u2014 It performs the planned operations, such as writing code, editing a document, or calling a service.\n5. **Observe results** \u2014 It checks the outputs of its actions and detects errors or missing information.\n6. **Iterate** \u2014 It revises the plan and repeats actions when necessary.\n7. **Complete and respond** \u2014 It verifies the result and presents the final answer or deliverable to the user.", "phase": "final_answer", "index": 0, "id": "msg_0cc09462381229ef006ab48be3280087d2b4712595b06fa866"}]</t>
  </si>
  <si>
    <t>Call total</t>
  </si>
  <si>
    <t>ok</t>
  </si>
  <si>
    <t>Turn 2</t>
  </si>
  <si>
    <t>R2</t>
  </si>
  <si>
    <t>01a0d142-7616-71b2-ae2b-9bfa850cacf1</t>
  </si>
  <si>
    <t>How does a tool observation help the agent answer?</t>
  </si>
  <si>
    <t>[{"type": "text", "text": "A tool observation gives the agent feedback about what happened after it took an action. It can reveal data, confirm success, expose errors, or provide context the agent could not access directly.\n\nThe agent uses that feedback to:\n\n- Update its understanding of the situation\n- Check whether the action achieved its goal\n- Correct mistakes or change its plan\n- Decide what tool or action to use next\n- Produce a more accurate final answer\n\nFor example, if an agent runs a database query, the returned results are the observation it uses to answer the user\u2019s question.", "phase": "final_answer", "index": 0, "id": "msg_0cc09462381229ef006ab48be5773487d2863087813a104f7c"}]</t>
  </si>
  <si>
    <t>chat_agent</t>
  </si>
  <si>
    <t>workflow</t>
  </si>
  <si>
    <t>Coordinate a direct chat response: prepare messages and invoke the model.</t>
  </si>
  <si>
    <t>Subtree total</t>
  </si>
  <si>
    <t xml:space="preserve">    PatchToolCallsMiddleware.before_agent</t>
  </si>
  <si>
    <t>Check message history and repair missing tool responses before the agent starts.</t>
  </si>
  <si>
    <t>01a0d142-6c67-7a71-89bd-5cabdcc56e78</t>
  </si>
  <si>
    <t>No model charge</t>
  </si>
  <si>
    <t xml:space="preserve">    model</t>
  </si>
  <si>
    <t>Prepare the current conversation, run model middleware, and invoke the chat model.</t>
  </si>
  <si>
    <t>01a0d142-6c68-7c81-b314-af3874d9be6c</t>
  </si>
  <si>
    <t xml:space="preserve">        ChatOpenAI</t>
  </si>
  <si>
    <t>model</t>
  </si>
  <si>
    <t>Generate the next assistant message or tool request from the current conversation.</t>
  </si>
  <si>
    <t>Own call</t>
  </si>
  <si>
    <t>01a0d142-7612-7a71-b6e5-e758a0f1b3de</t>
  </si>
  <si>
    <t>01a0d142-7613-7463-a789-8c6a26eb2703</t>
  </si>
  <si>
    <t>01a0d142-7614-7403-8cb7-08a031d210a8</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</si>
</sst>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IF(COUNT('Turns'!E17,'Turns'!E30)=2,SUM('Turns'!E17,'Turns'!E30),"Unknown")</f>
        <v>0.0004148553265</v>
      </c>
      <c r="F2" s="2">
        <f>IF(COUNT('Turns'!F17,'Turns'!F30)=2,SUM('Turns'!F17,'Turns'!F30),"Unknown")</f>
        <v>0.00047339</v>
      </c>
      <c r="G2" s="5">
        <f>IF(ISNUMBER(E2),ROUND(E2*'Reference data'!$B$2,0),"Unknown")</f>
        <v>41.0</v>
      </c>
      <c r="H2" s="5">
        <f>IF(ISNUMBER(F2),ROUND(F2*'Reference data'!$B$2,0),"Unknown")</f>
        <v>47.0</v>
      </c>
    </row>
    <row r="3" spans="1:13" s="4" customFormat="1" ht="24" customHeight="1">
      <c r="B3" s="4">
        <v>1</v>
      </c>
      <c r="C3" s="4" t="s">
        <v>92</v>
      </c>
      <c r="E3" s="2">
        <f>IF(COUNT('Turns'!E17)=1,SUM('Turns'!E17),"Unknown")</f>
        <v>0.000215336722</v>
      </c>
      <c r="F3" s="2">
        <f>IF(COUNT('Turns'!F17)=1,SUM('Turns'!F17),"Unknown")</f>
        <v>0.00024572</v>
      </c>
      <c r="G3" s="5">
        <f>IF(ISNUMBER(E3),ROUND(E3*'Reference data'!$B$2,0),"Unknown")</f>
        <v>22.0</v>
      </c>
      <c r="H3" s="5">
        <f>IF(ISNUMBER(F3),ROUND(F3*'Reference data'!$B$2,0),"Unknown")</f>
        <v>25.0</v>
      </c>
    </row>
    <row r="4" spans="1:13" s="4" customFormat="1" ht="24" customHeight="1">
      <c r="A4" s="4" t="s">
        <v>93</v>
      </c>
      <c r="B4" s="4">
        <v>1</v>
      </c>
      <c r="C4" s="4" t="s">
        <v>94</v>
      </c>
      <c r="D4" s="4">
        <v>1999</v>
      </c>
      <c r="J4" s="4" t="s">
        <v>95</v>
      </c>
      <c r="M4" s="4" t="s">
        <v>96</v>
      </c>
    </row>
    <row r="5" spans="1:13" ht="24" customHeight="1">
      <c r="A5" t="s">
        <v>93</v>
      </c>
      <c r="B5">
        <v>1</v>
      </c>
      <c r="C5" t="s">
        <v>97</v>
      </c>
      <c r="D5" s="5">
        <v>1996</v>
      </c>
      <c r="E5" s="2">
        <f>IF(AND(ISNUMBER(F5),ISNUMBER('Reference data'!$B$3)),F5*'Reference data'!$B$3,"Unknown")</f>
        <v>3.4983892e-05</v>
      </c>
      <c r="F5" s="2">
        <f>IF(D5=0,0,IF(ISNUMBER('Reference data'!C17),D5*'Reference data'!C17/1000000,"Unknown"))</f>
        <v>3.992e-05</v>
      </c>
      <c r="G5" s="5">
        <f>IF(ISNUMBER(E5),ROUND(E5*'Reference data'!$B$2,0),"Unknown")</f>
        <v>3.0</v>
      </c>
      <c r="H5" s="5">
        <f>IF(ISNUMBER(F5),ROUND(F5*'Reference data'!$B$2,0),"Unknown")</f>
        <v>4.0</v>
      </c>
    </row>
    <row r="6" spans="1:13" ht="24" customHeight="1">
      <c r="A6" t="s">
        <v>93</v>
      </c>
      <c r="B6">
        <v>1</v>
      </c>
      <c r="C6" t="s">
        <v>98</v>
      </c>
      <c r="D6" s="5">
        <v>3</v>
      </c>
      <c r="E6" s="2">
        <f>IF(AND(ISNUMBER(F6),ISNUMBER('Reference data'!$B$3)),F6*'Reference data'!$B$3,"Unknown")</f>
        <v>5.2581e-07</v>
      </c>
      <c r="F6" s="2">
        <f>IF(D6=0,0,IF(ISNUMBER('Reference data'!B17),D6*'Reference data'!B17/1000000,"Unknown"))</f>
        <v>6e-07</v>
      </c>
      <c r="G6" s="5">
        <f>IF(ISNUMBER(E6),ROUND(E6*'Reference data'!$B$2,0),"Unknown")</f>
        <v>0.0</v>
      </c>
      <c r="H6" s="5">
        <f>IF(ISNUMBER(F6),ROUND(F6*'Reference data'!$B$2,0),"Unknown")</f>
        <v>0.0</v>
      </c>
    </row>
    <row r="7" spans="1:13" ht="24" customHeight="1">
      <c r="A7" t="s">
        <v>93</v>
      </c>
      <c r="B7">
        <v>1</v>
      </c>
      <c r="C7" t="s">
        <v>99</v>
      </c>
    </row>
    <row r="8" spans="1:13" ht="34" customHeight="1">
      <c r="A8" t="s">
        <v>93</v>
      </c>
      <c r="B8">
        <v>1</v>
      </c>
      <c r="C8" t="s">
        <v>100</v>
      </c>
      <c r="I8" s="6" t="s">
        <v>101</v>
      </c>
    </row>
    <row r="9" spans="1:13" ht="24" customHeight="1">
      <c r="A9" t="s">
        <v>93</v>
      </c>
      <c r="B9">
        <v>1</v>
      </c>
      <c r="C9" t="s">
        <v>102</v>
      </c>
      <c r="I9" s="6" t="s">
        <v>103</v>
      </c>
    </row>
    <row r="10" spans="1:13" ht="24" customHeight="1">
      <c r="A10" t="s">
        <v>93</v>
      </c>
      <c r="B10">
        <v>1</v>
      </c>
      <c r="C10" t="s">
        <v>104</v>
      </c>
    </row>
    <row r="11" spans="1:13" ht="24" customHeight="1">
      <c r="A11" t="s">
        <v>93</v>
      </c>
      <c r="B11">
        <v>1</v>
      </c>
      <c r="C11" t="s">
        <v>105</v>
      </c>
    </row>
    <row r="12" spans="1:13" s="4" customFormat="1" ht="24" customHeight="1">
      <c r="A12" s="4" t="s">
        <v>93</v>
      </c>
      <c r="B12" s="4">
        <v>1</v>
      </c>
      <c r="C12" s="4" t="s">
        <v>106</v>
      </c>
      <c r="D12" s="4">
        <v>171</v>
      </c>
    </row>
    <row r="13" spans="1:13" ht="24" customHeight="1">
      <c r="A13" t="s">
        <v>93</v>
      </c>
      <c r="B13">
        <v>1</v>
      </c>
      <c r="C13" t="s">
        <v>107</v>
      </c>
      <c r="D13" s="5">
        <v>171</v>
      </c>
      <c r="E13" s="2">
        <f>IF(AND(ISNUMBER(F13),ISNUMBER('Reference data'!$B$3)),F13*'Reference data'!$B$3,"Unknown")</f>
        <v>0.00017982702</v>
      </c>
      <c r="F13" s="2">
        <f>IF(D13=0,0,IF(ISNUMBER('Reference data'!E17),D13*'Reference data'!E17/1000000,"Unknown"))</f>
        <v>0.0002052</v>
      </c>
      <c r="G13" s="5">
        <f>IF(ISNUMBER(E13),ROUND(E13*'Reference data'!$B$2,0),"Unknown")</f>
        <v>18.0</v>
      </c>
      <c r="H13" s="5">
        <f>IF(ISNUMBER(F13),ROUND(F13*'Reference data'!$B$2,0),"Unknown")</f>
        <v>21.0</v>
      </c>
    </row>
    <row r="14" spans="1:13" ht="151" customHeight="1">
      <c r="A14" t="s">
        <v>93</v>
      </c>
      <c r="B14">
        <v>1</v>
      </c>
      <c r="C14" t="s">
        <v>108</v>
      </c>
      <c r="I14" s="6" t="s">
        <v>109</v>
      </c>
    </row>
    <row r="15" spans="1:13" ht="24" customHeight="1">
      <c r="A15" t="s">
        <v>93</v>
      </c>
      <c r="B15">
        <v>1</v>
      </c>
      <c r="C15" t="s">
        <v>104</v>
      </c>
    </row>
    <row r="16" spans="1:13" ht="24" customHeight="1">
      <c r="A16" t="s">
        <v>93</v>
      </c>
      <c r="B16">
        <v>1</v>
      </c>
      <c r="C16" t="s">
        <v>105</v>
      </c>
    </row>
    <row r="17" spans="1:13" s="4" customFormat="1" ht="24" customHeight="1">
      <c r="A17" s="4" t="s">
        <v>93</v>
      </c>
      <c r="B17" s="4">
        <v>1</v>
      </c>
      <c r="C17" s="4" t="s">
        <v>110</v>
      </c>
      <c r="E17" s="2">
        <f>IF(COUNT('Turns'!E5,'Turns'!E6,'Turns'!E13)=3,SUM('Turns'!E5,'Turns'!E6,'Turns'!E13),"Unknown")</f>
        <v>0.000215336722</v>
      </c>
      <c r="F17" s="2">
        <f>IF(COUNT('Turns'!F5,'Turns'!F6,'Turns'!F13)=3,SUM('Turns'!F5,'Turns'!F6,'Turns'!F13),"Unknown")</f>
        <v>0.00024572</v>
      </c>
      <c r="G17" s="5">
        <f>IF(ISNUMBER(E17),ROUND(E17*'Reference data'!$B$2,0),"Unknown")</f>
        <v>22.0</v>
      </c>
      <c r="H17" s="5">
        <f>IF(ISNUMBER(F17),ROUND(F17*'Reference data'!$B$2,0),"Unknown")</f>
        <v>25.0</v>
      </c>
      <c r="K17" s="4" t="s">
        <v>111</v>
      </c>
    </row>
    <row r="18" spans="1:13" s="4" customFormat="1" ht="24" customHeight="1">
      <c r="B18" s="4">
        <v>2</v>
      </c>
      <c r="C18" s="4" t="s">
        <v>112</v>
      </c>
      <c r="E18" s="2">
        <f>IF(COUNT('Turns'!E30)=1,SUM('Turns'!E30),"Unknown")</f>
        <v>0.0001995186045</v>
      </c>
      <c r="F18" s="2">
        <f>IF(COUNT('Turns'!F30)=1,SUM('Turns'!F30),"Unknown")</f>
        <v>0.00022767</v>
      </c>
      <c r="G18" s="5">
        <f>IF(ISNUMBER(E18),ROUND(E18*'Reference data'!$B$2,0),"Unknown")</f>
        <v>20.0</v>
      </c>
      <c r="H18" s="5">
        <f>IF(ISNUMBER(F18),ROUND(F18*'Reference data'!$B$2,0),"Unknown")</f>
        <v>23.0</v>
      </c>
    </row>
    <row r="19" spans="1:13" s="4" customFormat="1" ht="24" customHeight="1">
      <c r="A19" s="4" t="s">
        <v>113</v>
      </c>
      <c r="B19" s="4">
        <v>2</v>
      </c>
      <c r="C19" s="4" t="s">
        <v>94</v>
      </c>
      <c r="D19" s="4">
        <v>2186</v>
      </c>
      <c r="J19" s="4" t="s">
        <v>95</v>
      </c>
      <c r="M19" s="4" t="s">
        <v>114</v>
      </c>
    </row>
    <row r="20" spans="1:13" ht="24" customHeight="1">
      <c r="A20" t="s">
        <v>113</v>
      </c>
      <c r="B20">
        <v>2</v>
      </c>
      <c r="C20" t="s">
        <v>97</v>
      </c>
      <c r="D20" s="5">
        <v>1996</v>
      </c>
      <c r="E20" s="2">
        <f>IF(AND(ISNUMBER(F20),ISNUMBER('Reference data'!$B$3)),F20*'Reference data'!$B$3,"Unknown")</f>
        <v>3.4983892e-05</v>
      </c>
      <c r="F20" s="2">
        <f>IF(D20=0,0,IF(ISNUMBER('Reference data'!C17),D20*'Reference data'!C17/1000000,"Unknown"))</f>
        <v>3.992e-05</v>
      </c>
      <c r="G20" s="5">
        <f>IF(ISNUMBER(E20),ROUND(E20*'Reference data'!$B$2,0),"Unknown")</f>
        <v>3.0</v>
      </c>
      <c r="H20" s="5">
        <f>IF(ISNUMBER(F20),ROUND(F20*'Reference data'!$B$2,0),"Unknown")</f>
        <v>4.0</v>
      </c>
    </row>
    <row r="21" spans="1:13" ht="24" customHeight="1">
      <c r="A21" t="s">
        <v>113</v>
      </c>
      <c r="B21">
        <v>2</v>
      </c>
      <c r="C21" t="s">
        <v>98</v>
      </c>
      <c r="D21" s="5">
        <v>3</v>
      </c>
      <c r="E21" s="2">
        <f>IF(AND(ISNUMBER(F21),ISNUMBER('Reference data'!$B$3)),F21*'Reference data'!$B$3,"Unknown")</f>
        <v>5.2581e-07</v>
      </c>
      <c r="F21" s="2">
        <f>IF(D21=0,0,IF(ISNUMBER('Reference data'!B17),D21*'Reference data'!B17/1000000,"Unknown"))</f>
        <v>6e-07</v>
      </c>
      <c r="G21" s="5">
        <f>IF(ISNUMBER(E21),ROUND(E21*'Reference data'!$B$2,0),"Unknown")</f>
        <v>0.0</v>
      </c>
      <c r="H21" s="5">
        <f>IF(ISNUMBER(F21),ROUND(F21*'Reference data'!$B$2,0),"Unknown")</f>
        <v>0.0</v>
      </c>
    </row>
    <row r="22" spans="1:13" ht="24" customHeight="1">
      <c r="A22" t="s">
        <v>113</v>
      </c>
      <c r="B22">
        <v>2</v>
      </c>
      <c r="C22" t="s">
        <v>102</v>
      </c>
      <c r="I22" s="6" t="s">
        <v>115</v>
      </c>
    </row>
    <row r="23" spans="1:13" ht="24" customHeight="1">
      <c r="A23" t="s">
        <v>113</v>
      </c>
      <c r="B23">
        <v>2</v>
      </c>
      <c r="C23" t="s">
        <v>104</v>
      </c>
      <c r="D23" s="5">
        <v>187</v>
      </c>
      <c r="E23" s="2">
        <f>IF(AND(ISNUMBER(F23),ISNUMBER('Reference data'!$B$3)),F23*'Reference data'!$B$3,"Unknown")</f>
        <v>4.09693625e-05</v>
      </c>
      <c r="F23" s="2">
        <f>IF(D23=0,0,IF(ISNUMBER('Reference data'!D17),D23*'Reference data'!D17/1000000,"Unknown"))</f>
        <v>4.675e-05</v>
      </c>
      <c r="G23" s="5">
        <f>IF(ISNUMBER(E23),ROUND(E23*'Reference data'!$B$2,0),"Unknown")</f>
        <v>4.0</v>
      </c>
      <c r="H23" s="5">
        <f>IF(ISNUMBER(F23),ROUND(F23*'Reference data'!$B$2,0),"Unknown")</f>
        <v>5.0</v>
      </c>
    </row>
    <row r="24" spans="1:13" ht="24" customHeight="1">
      <c r="A24" t="s">
        <v>113</v>
      </c>
      <c r="B24">
        <v>2</v>
      </c>
      <c r="C24" t="s">
        <v>105</v>
      </c>
    </row>
    <row r="25" spans="1:13" s="4" customFormat="1" ht="24" customHeight="1">
      <c r="A25" s="4" t="s">
        <v>113</v>
      </c>
      <c r="B25" s="4">
        <v>2</v>
      </c>
      <c r="C25" s="4" t="s">
        <v>106</v>
      </c>
      <c r="D25" s="4">
        <v>117</v>
      </c>
    </row>
    <row r="26" spans="1:13" ht="24" customHeight="1">
      <c r="A26" t="s">
        <v>113</v>
      </c>
      <c r="B26">
        <v>2</v>
      </c>
      <c r="C26" t="s">
        <v>107</v>
      </c>
      <c r="D26" s="5">
        <v>117</v>
      </c>
      <c r="E26" s="2">
        <f>IF(AND(ISNUMBER(F26),ISNUMBER('Reference data'!$B$3)),F26*'Reference data'!$B$3,"Unknown")</f>
        <v>0.00012303954</v>
      </c>
      <c r="F26" s="2">
        <f>IF(D26=0,0,IF(ISNUMBER('Reference data'!E17),D26*'Reference data'!E17/1000000,"Unknown"))</f>
        <v>0.0001404</v>
      </c>
      <c r="G26" s="5">
        <f>IF(ISNUMBER(E26),ROUND(E26*'Reference data'!$B$2,0),"Unknown")</f>
        <v>12.0</v>
      </c>
      <c r="H26" s="5">
        <f>IF(ISNUMBER(F26),ROUND(F26*'Reference data'!$B$2,0),"Unknown")</f>
        <v>14.0</v>
      </c>
    </row>
    <row r="27" spans="1:13" ht="125" customHeight="1">
      <c r="A27" t="s">
        <v>113</v>
      </c>
      <c r="B27">
        <v>2</v>
      </c>
      <c r="C27" t="s">
        <v>108</v>
      </c>
      <c r="I27" s="6" t="s">
        <v>116</v>
      </c>
    </row>
    <row r="28" spans="1:13" ht="24" customHeight="1">
      <c r="A28" t="s">
        <v>113</v>
      </c>
      <c r="B28">
        <v>2</v>
      </c>
      <c r="C28" t="s">
        <v>104</v>
      </c>
    </row>
    <row r="29" spans="1:13" ht="24" customHeight="1">
      <c r="A29" t="s">
        <v>113</v>
      </c>
      <c r="B29">
        <v>2</v>
      </c>
      <c r="C29" t="s">
        <v>105</v>
      </c>
    </row>
    <row r="30" spans="1:13" s="4" customFormat="1" ht="24" customHeight="1">
      <c r="A30" s="4" t="s">
        <v>113</v>
      </c>
      <c r="B30" s="4">
        <v>2</v>
      </c>
      <c r="C30" s="4" t="s">
        <v>110</v>
      </c>
      <c r="E30" s="2">
        <f>IF(COUNT('Turns'!E20,'Turns'!E21,'Turns'!E23,'Turns'!E26)=4,SUM('Turns'!E20,'Turns'!E21,'Turns'!E23,'Turns'!E26),"Unknown")</f>
        <v>0.0001995186045</v>
      </c>
      <c r="F30" s="2">
        <f>IF(COUNT('Turns'!F20,'Turns'!F21,'Turns'!F23,'Turns'!F26)=4,SUM('Turns'!F20,'Turns'!F21,'Turns'!F23,'Turns'!F26),"Unknown")</f>
        <v>0.00022767</v>
      </c>
      <c r="G30" s="5">
        <f>IF(ISNUMBER(E30),ROUND(E30*'Reference data'!$B$2,0),"Unknown")</f>
        <v>20.0</v>
      </c>
      <c r="H30" s="5">
        <f>IF(ISNUMBER(F30),ROUND(F30*'Reference data'!$B$2,0),"Unknown")</f>
        <v>23.0</v>
      </c>
      <c r="K30" s="4" t="s">
        <v>111</v>
      </c>
    </row>
  </sheetData>
  <conditionalFormatting sqref="A2:AE3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9"/>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117</v>
      </c>
      <c r="B2" s="1">
        <v>0</v>
      </c>
      <c r="C2" s="1" t="s">
        <v>118</v>
      </c>
      <c r="D2" s="1" t="s">
        <v>47</v>
      </c>
      <c r="E2" s="1" t="s">
        <v>111</v>
      </c>
      <c r="G2" s="6" t="s">
        <v>119</v>
      </c>
      <c r="H2" t="s">
        <v>49</v>
      </c>
      <c r="J2" s="2">
        <f>IF(COUNT('Turns'!D6)=1,SUM('Turns'!D6),"Unknown")</f>
        <v>3.0</v>
      </c>
      <c r="K2" s="2">
        <f>IF(COUNT('Turns'!E6)=1,SUM('Turns'!E6),"Unknown")</f>
        <v>5.2581e-07</v>
      </c>
      <c r="L2" s="2">
        <f>IF(COUNT('Turns'!F6)=1,SUM('Turns'!F6),"Unknown")</f>
        <v>6e-07</v>
      </c>
      <c r="M2" s="2">
        <f>IF(COUNT('Turns'!D5)=1,SUM('Turns'!D5),"Unknown")</f>
        <v>1996.0</v>
      </c>
      <c r="N2" s="2">
        <f>IF(COUNT('Turns'!E5)=1,SUM('Turns'!E5),"Unknown")</f>
        <v>3.4983892e-05</v>
      </c>
      <c r="O2" s="2">
        <f>IF(COUNT('Turns'!F5)=1,SUM('Turns'!F5),"Unknown")</f>
        <v>3.992e-05</v>
      </c>
      <c r="P2" s="2">
        <v>0</v>
      </c>
      <c r="Q2" s="2">
        <v>0</v>
      </c>
      <c r="R2" s="2">
        <v>0</v>
      </c>
      <c r="S2" s="2">
        <f>IF(COUNT('Turns'!D13)=1,SUM('Turns'!D13),"Unknown")</f>
        <v>171.0</v>
      </c>
      <c r="T2" s="2">
        <f>IF(COUNT('Turns'!E13)=1,SUM('Turns'!E13),"Unknown")</f>
        <v>0.00017982702</v>
      </c>
      <c r="U2" s="2">
        <f>IF(COUNT('Turns'!F13)=1,SUM('Turns'!F13),"Unknown")</f>
        <v>0.0002052</v>
      </c>
      <c r="V2" s="2">
        <v>0</v>
      </c>
      <c r="W2" s="2">
        <v>0</v>
      </c>
      <c r="X2" s="2">
        <v>0</v>
      </c>
      <c r="Y2" s="2">
        <f>IF(COUNT('Turns'!E17)=1,SUM('Turns'!E17),"Unknown")</f>
        <v>0.000215336722</v>
      </c>
      <c r="Z2" s="2">
        <f>IF(COUNT('Turns'!F17)=1,SUM('Turns'!F17),"Unknown")</f>
        <v>0.00024572</v>
      </c>
      <c r="AA2" s="5">
        <f>IF(ISNUMBER(Y2),ROUND(Y2*'Reference data'!$B$2,0),"Unknown")</f>
        <v>22.0</v>
      </c>
      <c r="AB2" s="5">
        <f>IF(ISNUMBER(Z2),ROUND(Z2*'Reference data'!$B$2,0),"Unknown")</f>
        <v>25.0</v>
      </c>
      <c r="AD2" s="1">
        <v>2458.906</v>
      </c>
      <c r="AE2" s="1" t="s">
        <v>120</v>
      </c>
    </row>
    <row r="3" spans="1:31" ht="54" customHeight="1">
      <c r="A3" s="6" t="s">
        <v>121</v>
      </c>
      <c r="B3" s="1">
        <v>1</v>
      </c>
      <c r="C3" s="1" t="s">
        <v>118</v>
      </c>
      <c r="D3" s="1" t="s">
        <v>47</v>
      </c>
      <c r="E3" s="1" t="s">
        <v>111</v>
      </c>
      <c r="G3" s="6" t="s">
        <v>122</v>
      </c>
      <c r="H3" t="s">
        <v>123</v>
      </c>
      <c r="I3" t="s">
        <v>49</v>
      </c>
      <c r="AD3" s="1">
        <v>0.582</v>
      </c>
      <c r="AE3" s="1" t="s">
        <v>124</v>
      </c>
    </row>
    <row r="4" spans="1:31" ht="54" customHeight="1">
      <c r="A4" s="6" t="s">
        <v>125</v>
      </c>
      <c r="B4" s="1">
        <v>1</v>
      </c>
      <c r="C4" s="1" t="s">
        <v>118</v>
      </c>
      <c r="D4" s="1" t="s">
        <v>47</v>
      </c>
      <c r="E4" s="1" t="s">
        <v>111</v>
      </c>
      <c r="G4" s="6" t="s">
        <v>126</v>
      </c>
      <c r="H4" t="s">
        <v>127</v>
      </c>
      <c r="I4" t="s">
        <v>49</v>
      </c>
      <c r="J4" s="2">
        <f>IF(COUNT('Turns'!D6)=1,SUM('Turns'!D6),"Unknown")</f>
        <v>3.0</v>
      </c>
      <c r="K4" s="2">
        <f>IF(COUNT('Turns'!E6)=1,SUM('Turns'!E6),"Unknown")</f>
        <v>5.2581e-07</v>
      </c>
      <c r="L4" s="2">
        <f>IF(COUNT('Turns'!F6)=1,SUM('Turns'!F6),"Unknown")</f>
        <v>6e-07</v>
      </c>
      <c r="M4" s="2">
        <f>IF(COUNT('Turns'!D5)=1,SUM('Turns'!D5),"Unknown")</f>
        <v>1996.0</v>
      </c>
      <c r="N4" s="2">
        <f>IF(COUNT('Turns'!E5)=1,SUM('Turns'!E5),"Unknown")</f>
        <v>3.4983892e-05</v>
      </c>
      <c r="O4" s="2">
        <f>IF(COUNT('Turns'!F5)=1,SUM('Turns'!F5),"Unknown")</f>
        <v>3.992e-05</v>
      </c>
      <c r="P4" s="2">
        <v>0</v>
      </c>
      <c r="Q4" s="2">
        <v>0</v>
      </c>
      <c r="R4" s="2">
        <v>0</v>
      </c>
      <c r="S4" s="2">
        <f>IF(COUNT('Turns'!D13)=1,SUM('Turns'!D13),"Unknown")</f>
        <v>171.0</v>
      </c>
      <c r="T4" s="2">
        <f>IF(COUNT('Turns'!E13)=1,SUM('Turns'!E13),"Unknown")</f>
        <v>0.00017982702</v>
      </c>
      <c r="U4" s="2">
        <f>IF(COUNT('Turns'!F13)=1,SUM('Turns'!F13),"Unknown")</f>
        <v>0.0002052</v>
      </c>
      <c r="V4" s="2">
        <v>0</v>
      </c>
      <c r="W4" s="2">
        <v>0</v>
      </c>
      <c r="X4" s="2">
        <v>0</v>
      </c>
      <c r="Y4" s="2">
        <f>IF(COUNT('Turns'!E17)=1,SUM('Turns'!E17),"Unknown")</f>
        <v>0.000215336722</v>
      </c>
      <c r="Z4" s="2">
        <f>IF(COUNT('Turns'!F17)=1,SUM('Turns'!F17),"Unknown")</f>
        <v>0.00024572</v>
      </c>
      <c r="AA4" s="5">
        <f>IF(ISNUMBER(Y4),ROUND(Y4*'Reference data'!$B$2,0),"Unknown")</f>
        <v>22.0</v>
      </c>
      <c r="AB4" s="5">
        <f>IF(ISNUMBER(Z4),ROUND(Z4*'Reference data'!$B$2,0),"Unknown")</f>
        <v>25.0</v>
      </c>
      <c r="AD4" s="1">
        <v>2455.139</v>
      </c>
      <c r="AE4" s="1" t="s">
        <v>120</v>
      </c>
    </row>
    <row r="5" spans="1:31" ht="54" customHeight="1">
      <c r="A5" s="6" t="s">
        <v>128</v>
      </c>
      <c r="B5" s="1">
        <v>2</v>
      </c>
      <c r="C5" s="1" t="s">
        <v>129</v>
      </c>
      <c r="D5" s="1" t="s">
        <v>95</v>
      </c>
      <c r="E5" s="1" t="s">
        <v>111</v>
      </c>
      <c r="F5" s="1">
        <v>1999</v>
      </c>
      <c r="G5" s="6" t="s">
        <v>130</v>
      </c>
      <c r="H5" t="s">
        <v>96</v>
      </c>
      <c r="I5" t="s">
        <v>127</v>
      </c>
      <c r="J5" s="2">
        <f>IF(COUNT('Turns'!D6)=1,SUM('Turns'!D6),"Unknown")</f>
        <v>3.0</v>
      </c>
      <c r="K5" s="2">
        <f>IF(COUNT('Turns'!E6)=1,SUM('Turns'!E6),"Unknown")</f>
        <v>5.2581e-07</v>
      </c>
      <c r="L5" s="2">
        <f>IF(COUNT('Turns'!F6)=1,SUM('Turns'!F6),"Unknown")</f>
        <v>6e-07</v>
      </c>
      <c r="M5" s="2">
        <f>IF(COUNT('Turns'!D5)=1,SUM('Turns'!D5),"Unknown")</f>
        <v>1996.0</v>
      </c>
      <c r="N5" s="2">
        <f>IF(COUNT('Turns'!E5)=1,SUM('Turns'!E5),"Unknown")</f>
        <v>3.4983892e-05</v>
      </c>
      <c r="O5" s="2">
        <f>IF(COUNT('Turns'!F5)=1,SUM('Turns'!F5),"Unknown")</f>
        <v>3.992e-05</v>
      </c>
      <c r="P5" s="2">
        <v>0</v>
      </c>
      <c r="Q5" s="2">
        <v>0</v>
      </c>
      <c r="R5" s="2">
        <v>0</v>
      </c>
      <c r="S5" s="2">
        <f>IF(COUNT('Turns'!D13)=1,SUM('Turns'!D13),"Unknown")</f>
        <v>171.0</v>
      </c>
      <c r="T5" s="2">
        <f>IF(COUNT('Turns'!E13)=1,SUM('Turns'!E13),"Unknown")</f>
        <v>0.00017982702</v>
      </c>
      <c r="U5" s="2">
        <f>IF(COUNT('Turns'!F13)=1,SUM('Turns'!F13),"Unknown")</f>
        <v>0.0002052</v>
      </c>
      <c r="V5" s="2">
        <v>0</v>
      </c>
      <c r="W5" s="2">
        <v>0</v>
      </c>
      <c r="X5" s="2">
        <v>0</v>
      </c>
      <c r="Y5" s="2">
        <f>IF(COUNT('Turns'!E17)=1,SUM('Turns'!E17),"Unknown")</f>
        <v>0.000215336722</v>
      </c>
      <c r="Z5" s="2">
        <f>IF(COUNT('Turns'!F17)=1,SUM('Turns'!F17),"Unknown")</f>
        <v>0.00024572</v>
      </c>
      <c r="AA5" s="5">
        <f>IF(ISNUMBER(Y5),ROUND(Y5*'Reference data'!$B$2,0),"Unknown")</f>
        <v>22.0</v>
      </c>
      <c r="AB5" s="5">
        <f>IF(ISNUMBER(Z5),ROUND(Z5*'Reference data'!$B$2,0),"Unknown")</f>
        <v>25.0</v>
      </c>
      <c r="AC5" s="1" t="s">
        <v>93</v>
      </c>
      <c r="AD5" s="1">
        <v>2448.108</v>
      </c>
      <c r="AE5" s="1" t="s">
        <v>131</v>
      </c>
    </row>
    <row r="6" spans="1:31" ht="54" customHeight="1">
      <c r="A6" s="6" t="s">
        <v>117</v>
      </c>
      <c r="B6" s="1">
        <v>0</v>
      </c>
      <c r="C6" s="1" t="s">
        <v>118</v>
      </c>
      <c r="D6" s="1" t="s">
        <v>47</v>
      </c>
      <c r="E6" s="1" t="s">
        <v>111</v>
      </c>
      <c r="G6" s="6" t="s">
        <v>119</v>
      </c>
      <c r="H6" t="s">
        <v>132</v>
      </c>
      <c r="J6" s="2">
        <f>IF(COUNT('Turns'!D21)=1,SUM('Turns'!D21),"Unknown")</f>
        <v>3.0</v>
      </c>
      <c r="K6" s="2">
        <f>IF(COUNT('Turns'!E21)=1,SUM('Turns'!E21),"Unknown")</f>
        <v>5.2581e-07</v>
      </c>
      <c r="L6" s="2">
        <f>IF(COUNT('Turns'!F21)=1,SUM('Turns'!F21),"Unknown")</f>
        <v>6e-07</v>
      </c>
      <c r="M6" s="2">
        <f>IF(COUNT('Turns'!D20)=1,SUM('Turns'!D20),"Unknown")</f>
        <v>1996.0</v>
      </c>
      <c r="N6" s="2">
        <f>IF(COUNT('Turns'!E20)=1,SUM('Turns'!E20),"Unknown")</f>
        <v>3.4983892e-05</v>
      </c>
      <c r="O6" s="2">
        <f>IF(COUNT('Turns'!F20)=1,SUM('Turns'!F20),"Unknown")</f>
        <v>3.992e-05</v>
      </c>
      <c r="P6" s="2">
        <f>IF(COUNT('Turns'!D23)=1,SUM('Turns'!D23),"Unknown")</f>
        <v>187.0</v>
      </c>
      <c r="Q6" s="2">
        <f>IF(COUNT('Turns'!E23)=1,SUM('Turns'!E23),"Unknown")</f>
        <v>4.09693625e-05</v>
      </c>
      <c r="R6" s="2">
        <f>IF(COUNT('Turns'!F23)=1,SUM('Turns'!F23),"Unknown")</f>
        <v>4.675e-05</v>
      </c>
      <c r="S6" s="2">
        <f>IF(COUNT('Turns'!D26)=1,SUM('Turns'!D26),"Unknown")</f>
        <v>117.0</v>
      </c>
      <c r="T6" s="2">
        <f>IF(COUNT('Turns'!E26)=1,SUM('Turns'!E26),"Unknown")</f>
        <v>0.00012303954</v>
      </c>
      <c r="U6" s="2">
        <f>IF(COUNT('Turns'!F26)=1,SUM('Turns'!F26),"Unknown")</f>
        <v>0.0001404</v>
      </c>
      <c r="V6" s="2">
        <v>0</v>
      </c>
      <c r="W6" s="2">
        <v>0</v>
      </c>
      <c r="X6" s="2">
        <v>0</v>
      </c>
      <c r="Y6" s="2">
        <f>IF(COUNT('Turns'!E30)=1,SUM('Turns'!E30),"Unknown")</f>
        <v>0.0001995186045</v>
      </c>
      <c r="Z6" s="2">
        <f>IF(COUNT('Turns'!F30)=1,SUM('Turns'!F30),"Unknown")</f>
        <v>0.00022767</v>
      </c>
      <c r="AA6" s="5">
        <f>IF(ISNUMBER(Y6),ROUND(Y6*'Reference data'!$B$2,0),"Unknown")</f>
        <v>20.0</v>
      </c>
      <c r="AB6" s="5">
        <f>IF(ISNUMBER(Z6),ROUND(Z6*'Reference data'!$B$2,0),"Unknown")</f>
        <v>23.0</v>
      </c>
      <c r="AD6" s="1">
        <v>1875.315</v>
      </c>
      <c r="AE6" s="1" t="s">
        <v>120</v>
      </c>
    </row>
    <row r="7" spans="1:31" ht="54" customHeight="1">
      <c r="A7" s="6" t="s">
        <v>121</v>
      </c>
      <c r="B7" s="1">
        <v>1</v>
      </c>
      <c r="C7" s="1" t="s">
        <v>118</v>
      </c>
      <c r="D7" s="1" t="s">
        <v>47</v>
      </c>
      <c r="E7" s="1" t="s">
        <v>111</v>
      </c>
      <c r="G7" s="6" t="s">
        <v>122</v>
      </c>
      <c r="H7" t="s">
        <v>133</v>
      </c>
      <c r="I7" t="s">
        <v>132</v>
      </c>
      <c r="AD7" s="1">
        <v>0.348</v>
      </c>
      <c r="AE7" s="1" t="s">
        <v>124</v>
      </c>
    </row>
    <row r="8" spans="1:31" ht="54" customHeight="1">
      <c r="A8" s="6" t="s">
        <v>125</v>
      </c>
      <c r="B8" s="1">
        <v>1</v>
      </c>
      <c r="C8" s="1" t="s">
        <v>118</v>
      </c>
      <c r="D8" s="1" t="s">
        <v>47</v>
      </c>
      <c r="E8" s="1" t="s">
        <v>111</v>
      </c>
      <c r="G8" s="6" t="s">
        <v>126</v>
      </c>
      <c r="H8" t="s">
        <v>134</v>
      </c>
      <c r="I8" t="s">
        <v>132</v>
      </c>
      <c r="J8" s="2">
        <f>IF(COUNT('Turns'!D21)=1,SUM('Turns'!D21),"Unknown")</f>
        <v>3.0</v>
      </c>
      <c r="K8" s="2">
        <f>IF(COUNT('Turns'!E21)=1,SUM('Turns'!E21),"Unknown")</f>
        <v>5.2581e-07</v>
      </c>
      <c r="L8" s="2">
        <f>IF(COUNT('Turns'!F21)=1,SUM('Turns'!F21),"Unknown")</f>
        <v>6e-07</v>
      </c>
      <c r="M8" s="2">
        <f>IF(COUNT('Turns'!D20)=1,SUM('Turns'!D20),"Unknown")</f>
        <v>1996.0</v>
      </c>
      <c r="N8" s="2">
        <f>IF(COUNT('Turns'!E20)=1,SUM('Turns'!E20),"Unknown")</f>
        <v>3.4983892e-05</v>
      </c>
      <c r="O8" s="2">
        <f>IF(COUNT('Turns'!F20)=1,SUM('Turns'!F20),"Unknown")</f>
        <v>3.992e-05</v>
      </c>
      <c r="P8" s="2">
        <f>IF(COUNT('Turns'!D23)=1,SUM('Turns'!D23),"Unknown")</f>
        <v>187.0</v>
      </c>
      <c r="Q8" s="2">
        <f>IF(COUNT('Turns'!E23)=1,SUM('Turns'!E23),"Unknown")</f>
        <v>4.09693625e-05</v>
      </c>
      <c r="R8" s="2">
        <f>IF(COUNT('Turns'!F23)=1,SUM('Turns'!F23),"Unknown")</f>
        <v>4.675e-05</v>
      </c>
      <c r="S8" s="2">
        <f>IF(COUNT('Turns'!D26)=1,SUM('Turns'!D26),"Unknown")</f>
        <v>117.0</v>
      </c>
      <c r="T8" s="2">
        <f>IF(COUNT('Turns'!E26)=1,SUM('Turns'!E26),"Unknown")</f>
        <v>0.00012303954</v>
      </c>
      <c r="U8" s="2">
        <f>IF(COUNT('Turns'!F26)=1,SUM('Turns'!F26),"Unknown")</f>
        <v>0.0001404</v>
      </c>
      <c r="V8" s="2">
        <v>0</v>
      </c>
      <c r="W8" s="2">
        <v>0</v>
      </c>
      <c r="X8" s="2">
        <v>0</v>
      </c>
      <c r="Y8" s="2">
        <f>IF(COUNT('Turns'!E30)=1,SUM('Turns'!E30),"Unknown")</f>
        <v>0.0001995186045</v>
      </c>
      <c r="Z8" s="2">
        <f>IF(COUNT('Turns'!F30)=1,SUM('Turns'!F30),"Unknown")</f>
        <v>0.00022767</v>
      </c>
      <c r="AA8" s="5">
        <f>IF(ISNUMBER(Y8),ROUND(Y8*'Reference data'!$B$2,0),"Unknown")</f>
        <v>20.0</v>
      </c>
      <c r="AB8" s="5">
        <f>IF(ISNUMBER(Z8),ROUND(Z8*'Reference data'!$B$2,0),"Unknown")</f>
        <v>23.0</v>
      </c>
      <c r="AD8" s="1">
        <v>1871.453</v>
      </c>
      <c r="AE8" s="1" t="s">
        <v>120</v>
      </c>
    </row>
    <row r="9" spans="1:31" ht="54" customHeight="1">
      <c r="A9" s="6" t="s">
        <v>128</v>
      </c>
      <c r="B9" s="1">
        <v>2</v>
      </c>
      <c r="C9" s="1" t="s">
        <v>129</v>
      </c>
      <c r="D9" s="1" t="s">
        <v>95</v>
      </c>
      <c r="E9" s="1" t="s">
        <v>111</v>
      </c>
      <c r="F9" s="1">
        <v>2186</v>
      </c>
      <c r="G9" s="6" t="s">
        <v>130</v>
      </c>
      <c r="H9" t="s">
        <v>114</v>
      </c>
      <c r="I9" t="s">
        <v>134</v>
      </c>
      <c r="J9" s="2">
        <f>IF(COUNT('Turns'!D21)=1,SUM('Turns'!D21),"Unknown")</f>
        <v>3.0</v>
      </c>
      <c r="K9" s="2">
        <f>IF(COUNT('Turns'!E21)=1,SUM('Turns'!E21),"Unknown")</f>
        <v>5.2581e-07</v>
      </c>
      <c r="L9" s="2">
        <f>IF(COUNT('Turns'!F21)=1,SUM('Turns'!F21),"Unknown")</f>
        <v>6e-07</v>
      </c>
      <c r="M9" s="2">
        <f>IF(COUNT('Turns'!D20)=1,SUM('Turns'!D20),"Unknown")</f>
        <v>1996.0</v>
      </c>
      <c r="N9" s="2">
        <f>IF(COUNT('Turns'!E20)=1,SUM('Turns'!E20),"Unknown")</f>
        <v>3.4983892e-05</v>
      </c>
      <c r="O9" s="2">
        <f>IF(COUNT('Turns'!F20)=1,SUM('Turns'!F20),"Unknown")</f>
        <v>3.992e-05</v>
      </c>
      <c r="P9" s="2">
        <f>IF(COUNT('Turns'!D23)=1,SUM('Turns'!D23),"Unknown")</f>
        <v>187.0</v>
      </c>
      <c r="Q9" s="2">
        <f>IF(COUNT('Turns'!E23)=1,SUM('Turns'!E23),"Unknown")</f>
        <v>4.09693625e-05</v>
      </c>
      <c r="R9" s="2">
        <f>IF(COUNT('Turns'!F23)=1,SUM('Turns'!F23),"Unknown")</f>
        <v>4.675e-05</v>
      </c>
      <c r="S9" s="2">
        <f>IF(COUNT('Turns'!D26)=1,SUM('Turns'!D26),"Unknown")</f>
        <v>117.0</v>
      </c>
      <c r="T9" s="2">
        <f>IF(COUNT('Turns'!E26)=1,SUM('Turns'!E26),"Unknown")</f>
        <v>0.00012303954</v>
      </c>
      <c r="U9" s="2">
        <f>IF(COUNT('Turns'!F26)=1,SUM('Turns'!F26),"Unknown")</f>
        <v>0.0001404</v>
      </c>
      <c r="V9" s="2">
        <v>0</v>
      </c>
      <c r="W9" s="2">
        <v>0</v>
      </c>
      <c r="X9" s="2">
        <v>0</v>
      </c>
      <c r="Y9" s="2">
        <f>IF(COUNT('Turns'!E30)=1,SUM('Turns'!E30),"Unknown")</f>
        <v>0.0001995186045</v>
      </c>
      <c r="Z9" s="2">
        <f>IF(COUNT('Turns'!F30)=1,SUM('Turns'!F30),"Unknown")</f>
        <v>0.00022767</v>
      </c>
      <c r="AA9" s="5">
        <f>IF(ISNUMBER(Y9),ROUND(Y9*'Reference data'!$B$2,0),"Unknown")</f>
        <v>20.0</v>
      </c>
      <c r="AB9" s="5">
        <f>IF(ISNUMBER(Z9),ROUND(Z9*'Reference data'!$B$2,0),"Unknown")</f>
        <v>23.0</v>
      </c>
      <c r="AC9" s="1" t="s">
        <v>113</v>
      </c>
      <c r="AD9" s="1">
        <v>1866.83</v>
      </c>
      <c r="AE9" s="1" t="s">
        <v>131</v>
      </c>
    </row>
  </sheetData>
  <conditionalFormatting sqref="A2:AE9">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0.87635</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2026-09-24T02:33:12Z</dcterms:created>
  <dcterms:modified xsi:type="dcterms:W3CDTF">2026-09-24T02:33:12Z</dcterms:modified>
</cp:coreProperties>
</file>
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<sst xmlns="http://schemas.openxmlformats.org/spreadsheetml/2006/main" count="675" uniqueCount="200">
  <si>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</si>
  <si>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</si>
  <si>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</si>
  <si>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</si>
  <si>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</si>
  <si>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</si>
  <si>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</si>
  <si>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</si>
  <si>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</si>
  <si>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</si>
  <si>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</si>
  <si>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</si>
  <si>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</si>
  <si>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</si>
  <si>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</si>
  <si>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</si>
  <si>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</si>
  <si>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</si>
  <si>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</si>
  <si>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Fresh input tokens</t>
  </si>
  <si>
    <t>Fresh input EUR</t>
  </si>
  <si>
    <t>Fresh input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</si>
  <si>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</si>
  <si>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</si>
  <si>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</si>
  <si>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</si>
  <si>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</si>
  <si>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</si>
  <si>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</si>
  <si>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</si>
  <si>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</si>
  <si>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</si>
  <si>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</si>
  <si>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</si>
  <si>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</si>
  <si>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</si>
  <si>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</si>
  <si>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</si>
  <si>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</si>
  <si>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</si>
  <si>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</si>
  <si>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</si>
  <si>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</si>
  <si>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</si>
  <si>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</si>
  <si>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</si>
  <si>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</si>
  <si>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</si>
  <si>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</si>
  <si>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01a0cc57-75e5-7003-92f0-f32c0437136e</t>
  </si>
  <si>
    <t>Recording</t>
  </si>
  <si>
    <t>Provider trace</t>
  </si>
  <si>
    <t>FX reference date</t>
  </si>
  <si>
    <t>2026-09-22</t>
  </si>
  <si>
    <t>FX fetched at</t>
  </si>
  <si>
    <t>2026-09-23T03:35:56.284466Z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</si>
  <si>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</si>
  <si>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</si>
  <si>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</si>
  <si>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</si>
  <si>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</si>
  <si>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</si>
  <si>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</si>
  <si>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</si>
  <si>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</si>
  <si>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</si>
  <si>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</si>
  <si>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</si>
  <si>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</si>
  <si>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</si>
  <si>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</si>
  <si>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</si>
  <si>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</si>
  <si>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</si>
  <si>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</si>
  <si>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</si>
  <si>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</si>
  <si>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</si>
  <si>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</si>
  <si>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</si>
  <si>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</si>
  <si>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</si>
  <si>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</si>
  <si>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</si>
  <si>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</si>
  <si>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</si>
  <si>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</si>
  <si>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</si>
  <si>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</si>
  <si>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</si>
  <si>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</si>
  <si>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</si>
  <si>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</si>
  <si>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</si>
  <si>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</si>
  <si>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</si>
  <si>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01a0cc57-75ee-7b10-b3be-fcd4fd79ebdf</t>
  </si>
  <si>
    <t>Fresh input</t>
  </si>
  <si>
    <t xml:space="preserve">    Tool definitions</t>
  </si>
  <si>
    <t xml:space="preserve">    System prompt</t>
  </si>
  <si>
    <t xml:space="preserve">You edit a UTF-8 document according to the human's request.
Use read_file to inspect /source.txt and /target.txt as needed. If the target exists,
preserve its current content unless the human requests replacement; otherwise
use the source as the starting document. Make each requested change separately,
with one write_file or edit_file call at a time, always on /target.txt.
Use write_file for new documents and edit_file for targeted replacements.
A missing target is normal: use the source to create it. Read results contain
pagination headers; these are display annotations, not document content.
After each write outcome, read the target again before proposing the next change.
A rejected tool call did not execute: do not retry or reintroduce that change.
Report only changes confirmed by tool results. Tool execution policy is enforced
by the harness; do not ask for permission in prose or invent approval results.
</t>
  </si>
  <si>
    <t xml:space="preserve">    User prompt</t>
  </si>
  <si>
    <t>Append each of these sentences as a separate change: ['\nReviewed by the project team.\n', 'Next step: request a quote.\n']</t>
  </si>
  <si>
    <t>Cache write</t>
  </si>
  <si>
    <t>Context · added / total</t>
  </si>
  <si>
    <t>LLM response</t>
  </si>
  <si>
    <t>Reasoning</t>
  </si>
  <si>
    <t>Output</t>
  </si>
  <si>
    <t xml:space="preserve">    Output content</t>
  </si>
  <si>
    <t>[{"id": "rs_0c7ac8f62ac0da58006ab34997d8b887d2b4b1a2b5d19b9956", "summary": [], "type": "reasoning", "content": [], "index": 0, "encrypted_content": "gAAAAABqs0mYutBTuVmr3WROenirVHao2b3cnCdY4JrexNIFLURMXlxfOWAQZgqbfAgEJGNFOWGADxjH8Io_J0m28TKcMmYj0InEHwozndBYw9YbaR5r0RBGorXX5dL-lQebJbG5Sx0V8Fsn7HJKtvq-qWSZslk8Yj9xnCzrOHp5ciqA2dENNbRSr8c-295MkZ8anddSW6mo64qo5NwVL6ml4lFjOzRZM-1ex1SXsGnBEUwqjfGMByYZH16tEw3d-8RS4QM_BuaIFQC3T7bUibFsFgHLYtr4lmyFYBRrG662T_A7GhooAdPI6x8kBqevjmSpSITdJUznGQlshj6grntaM8DhZzUhz7ziZpyclEHd6WbqxJVIMrYrercab2scmSPO0HA8hsOwNVMggCCgJUFMcOw6nOFmMkoL0SKDwPpgpvaRe6Y3KQPJqKHYN3xBXsUJluHYsLioMFVSaX4-Y1pGLMSExFBLK-S051sFNJNDQo2kcaqKzYxutVZjnhcneIUjHQt3g4WW31nD2mzY1pUDWulXfFraj2T_x94Cow3Gy4UfcMwnbSi_FAg52bJw-RZ92PycNfChn3cZeZBurQCdgza2CxEooM9gu6xBhAr_5amh7eh5jrR4PfS0rUWM7usyASoSAMD6S0sBWVnN_dDMSKM2MIQiHzYh5DOqSPJPM2gKzgdNhP1m7cMU2e5ovbp4O3McC6iVrwy99gwKaBdw5oJqXqzeyTo0Fj2Sz3jW1ryKdYJPRWkIZn76T1VsEDzSlgZrktNXXyB4PsJ-w_-NYyG6x-voNwbLS92kOMjS4S6jxXTswVTvVgKnQZ15hLYpVU_eYIQNKjq3aIuDlIOyIIxDuQTzzwLTV9L6WwPo-C4Ui-qkyPu_vNV1OfBUfvpdJ2VDdp0HrLeFTrWghkXYO3Kycmgi2jm7CLGR0XtVntWL9ndKsfMz3iyrOSx-nLPE8lviz6MZXdSyEhCu3DmhaUuR4czrAMV7NlpflaT7f5kAEAt48RaNfCcVW0YFin5xjgsdsMIS4s999tff6YArGiHPPqUcNLIwNlv-C8dY8l6FbAyC6RwMQvW_0922Dvht_-_XS3EP59MY9nZhUOB_fQPP7z7IY7LmBl5C5PVmVO-lz6chBRU_pK3skDNY0zMiKWA31x8SimHA6yLs213nO9zW7NQuYr3vLV0DqQ3yt_gIImFxNTsP0Jh8WI5v1sZFwqAXvaY7_Um0Tf9jX1RVofeEyACKwSkfUvc_5VGC4yhln41FNQA="}, {"type": "function_call", "name": "read_file", "arguments": "{\"file_path\":\"/source.txt\",\"offset\":0,\"limit\":100}", "call_id": "call_XCU0lXdpIwD2ku5VcUwWzYxW", "id": "fc_0c7ac8f62ac0da58006ab34998670c87d29ceef5e11e38fdb6", "index": 1}, {"type": "function_call", "name": "read_file", "arguments": "{\"file_path\":\"/target.txt\",\"offset\":0,\"limit\":100}", "call_id": "call_lVnz2mNu8T1B7JT12UR7J2gr", "id": "fc_0c7ac8f62ac0da58006ab34998672487d2bcf9dadbd863051c", "index": 2}]
{"name": "read_file", "args": {"file_path": "/source.txt", "offset": 0, "limit": 100}, "id": "call_XCU0lXdpIwD2ku5VcUwWzYxW", "type": "tool_call"}
{"name": "read_file", "args": {"file_path": "/target.txt", "offset": 0, "limit": 100}, "id": "call_lVnz2mNu8T1B7JT12UR7J2gr", "type": "tool_call"}</t>
  </si>
  <si>
    <t>Call total</t>
  </si>
  <si>
    <t>ok</t>
  </si>
  <si>
    <t>Tool · read_file</t>
  </si>
  <si>
    <t>01a0cc57-7c37-7a33-bb56-fbd2be72e9dc</t>
  </si>
  <si>
    <t xml:space="preserve">    Arguments</t>
  </si>
  <si>
    <t>{'file_path': '/source.txt', 'offset': 0, 'limit': 100}</t>
  </si>
  <si>
    <t xml:space="preserve">    Result</t>
  </si>
  <si>
    <t>@@ lines 1-2 of 2 @@
Project summary
We prepare clear, practical reports.</t>
  </si>
  <si>
    <t>01a0cc57-7c37-7a33-bb56-fbe0c49ae93b</t>
  </si>
  <si>
    <t>{'file_path': '/target.txt', 'offset': 0, 'limit': 100}</t>
  </si>
  <si>
    <t>@@ lines 1-8 of 8 @@
Project summary
We prepare clear, practical reports.
Reviewed by the project team.
Next step: request a quote.
Reviewed by the project team.
Next step: request a quote.</t>
  </si>
  <si>
    <t>R2</t>
  </si>
  <si>
    <t>01a0cc57-7c3c-7b93-9042-b3ef499cd007</t>
  </si>
  <si>
    <t>Conversation history · cache read</t>
  </si>
  <si>
    <t xml:space="preserve">    Tool result</t>
  </si>
  <si>
    <t>@@ lines 1-2 of 2 @@
Project summary
We prepare clear, practical reports.
@@ lines 1-8 of 8 @@
Project summary
We prepare clear, practical reports.
Reviewed by the project team.
Next step: request a quote.
Reviewed by the project team.
Next step: request a quote.</t>
  </si>
  <si>
    <t>[{"id": "rs_0c7ac8f62ac0da58006ab34999403c87d2bba9d0982e4a543f", "summary": [], "type": "reasoning", "content": [], "index": 0, "encrypted_content": "gAAAAABqs0maql7MvfjDzgK9w89idVuwdtayjGcqBHTh4WIWu3WRd_FH3zPxsoMjs5RAojRyLvkefRCNwMkc4sOu6oTtKJm4hbwjI3Q-X-qI00EZKoPzkFX4n-w6ZBc9Jp9NUP6YSDOsBz3-6_OGQRZqVoQMLBH68_Y8Er5fGua7aeXjesflaBTS5ZYv1rwTUAXDVVFOwYhefPpgGsRyqvcsVa2f_PgJ1quDVAoT-mZOytXFCMSlfyeNl_jOwUPImuqkqboDOx-cVuUJbP61pPHb62GPgjgfbZvNd7dC6bD8dGUXXJPV2vCTvkQZqVA5Q8sdby9wG8XocTL5xN7hYe7O0OTvxpYiAAWCXAGBW9VACGZHof4HrZlOy-hUFhV5b_sGRF7s--SlvJHsbD-etm_36QfIF5NXtcMfGOnRrvXDUFFemNTebFRtDQhENdi5ae3ElLlgwPYeJ4RjmGr65vUsX-VHeIomZiKqW8kV2rfwI28A0odLbWyN-6iK-UZTHw-VIsLlgvpB4Dzugm8bD9VRG78g_9QE9ZOOTkjYqPHmddUDDYMDbNuv3X7GbkxGBbEne3uPO_UsxtKzgb5zeyy4lGsL1NbMEqDnImYIz-1daEAZ8FOi-GnA32XRlQ86XSTeVAaLE7tMJFeIfm_UtEFnRc-30vzDCJJvwU3cyVAyc_6_XaXFPxQizAtdGVPcwNQUWJqOmZmGlS1seeOBQHIZdioA9CvBuDJzchDjdCwyVrUEcKyfztAy7grt5HNiEVMYF_QaGUnSoe1t9SI_bWXllX8F_IhjJQnruygG87BT0lWqMshJNA1jgd4f5evWUudDXPc5jCnyWRTDNjZtHK1-PFjRMg2dRG025Df233mKwu33JTfebuTTg5OkOWFIG_hA9De9ZqI9jfkTwFB2H3Mxpod83gzwN_kW4kcjaoqbo0zez87GEsaLzzPSzo_bVlNwoIOzD1VkTjYCV3Orf06BPguE9Rrx2MKeP14jdwh76ZKiW3oVTtFm7qZ6ljBABH9JVMvqthhd359gWpDKSshjP_Uc2ChMnuyJtso3c65Dbp98tQ7sZwT4d5gpZA9KMu2Wtm9ry9VaMAHzMw2va0KlMONzg5XgTZT2sEz38Iqn2lVKrfJuKWEnQVhi9uBaV-u7g7AI2585PKJDtdl72CZre-x56uZ0Jy5Z6SIVrIn22MxKP4eiWH39TTj3ttpek4GiE1GkuEadntCCQUNElScDO-rD1JgkWoI_jhB3ZnL_-aPvhKb_nbpBgs5R_dSUssA1FuGpyyQV3R9_ApuRYCoQYL7HrDxMGTHBTwNGkkriqJQOs23x2hNouJSlvRXv9-G9eVtEQvY2mhjdMDTgll6FOxS3vVdnre6V0nnmjv-RwnY4puZ5-HL0BGBqMf0bfJW6Lms6LMpBJiH89DUYyacSaJ02IAgmCl1kfEaiOFQjK7HYXm1WUT-5_5rA9c3KWyWp1QWrAVi4WOHIUI3-JULYTtId0ynUyYbuTb35zuOLq33QLO9bjPp_V-qPRolIyUoNnStl4KRpKmOSQIm5B5oziasDc0mvOYMHexk7HunzzL22FU8iBawKGl13DopHlrX8YjRcEwrccthTKu7yqAyHTMqAIv16wXoqi7x5ParF6Nxq_zcR-yoADS7gFEQulQPCUqRMN43H23pfm8fcMlysAy1bL5vp9CNvLUm9ThJ7e3KENXom_QNTv3ozW6DWpgEgFpLlqxMzGl_WkAmsHbUUTPrtPHVR4tx1zPVCiUGQqAzLbbRvgOs4TTOuSYB8DbPitJpsPRB3o20xlFkkJz20uXWGipwdf0gtQZeocLx2i_i0DUtvp6UM-QXiUPIrnpdJwTa37nL2L9AFb0l7OTOeyHOAkW7ZUdwyao2g0PnJJsL5rnzhtWwDZvn5sAEtAmLS_hokQHN641DT_ZmBs6x4lBYVipuWQS0AThpJlelp9kW9EKBByAxyG81kzrbu9KREATHOat8C9p5-z0gWJV7cyKxD4VXdz5EybB63XbStlaRYz1KYpwpFl61XPgdusw7lMzjMd4B6CMpIbaU-V1w_FHWT7S63HXnnti3uYhHZVovwyFvayUKMsRLzFPVYXA92-b34aRsR"}, {"type": "function_call", "name": "edit_file", "arguments": "{\"file_path\":\"/target.txt\",\"old_string\":\"Project summary\\nWe prepare clear, practical reports.\\n\\nReviewed by the project team.\\nNext step: request a quote.\\n\\nReviewed by the project team.\\nNext step: request a quote.\\n\",\"new_string\":\"Project summary\\nWe prepare clear, practical reports.\\n\\nReviewed by the project team.\\nNext step: request a quote.\\n\\nReviewed by the project team.\\nNext step: request a quote.\\n\\nReviewed by the project team.\\n\",\"replace_all\":false}", "call_id": "call_OZuTdbsQh8MZlZcVQTCRVpox", "id": "fc_0c7ac8f62ac0da58006ab3499ad7ac87d2b0300f32fe9a5255", "index": 1}]
{"name": "edit_file", "args": {"file_path": "/target.txt", "old_string": "Project summary\nWe prepare clear, practical reports.\n\nReviewed by the project team.\nNext step: request a quote.\n\nReviewed by the project team.\nNext step: request a quote.\n", "new_string": "Project summary\nWe prepare clear, practical reports.\n\nReviewed by the project team.\nNext step: request a quote.\n\nReviewed by the project team.\nNext step: request a quote.\n\nReviewed by the project team.\n", "replace_all": false}, "id": "call_OZuTdbsQh8MZlZcVQTCRVpox", "type": "tool_call"}</t>
  </si>
  <si>
    <t>Tool · edit_file</t>
  </si>
  <si>
    <t>01a0cc57-87e3-72b1-a81a-d5a39dd01599</t>
  </si>
  <si>
    <t>{'file_path': '/target.txt', 'old_string': 'Project summary\nWe prepare clear, practical reports.\n\nReviewed by the project team.\nNext step: request a quote.\n\nReviewed by the project team.\nNext step: request a quote.\n', 'new_string': 'Project summary\nWe prepare clear, practical reports.\n\nReviewed by the project team.\nNext step: request a quote.\n\nReviewed by the project team.\nNext step: request a quote.\n\nReviewed by the project team.\n', 'replace_all': False}</t>
  </si>
  <si>
    <t>Successfully replaced 1 instance(s) of the string in '/target.txt'</t>
  </si>
  <si>
    <t>R3</t>
  </si>
  <si>
    <t>01a0cc57-87e8-7163-b9dc-0c2a536de31a</t>
  </si>
  <si>
    <t>[{"type": "function_call", "name": "read_file", "arguments": "{\"file_path\":\"/target.txt\",\"offset\":0,\"limit\":100}", "call_id": "call_pCGM0nC6caxfEnTXIJUyMyqS", "id": "fc_0c7ac8f62ac0da58006ab3499c69b487d283a4587527a0a9cd", "index": 0}]
{"name": "read_file", "args": {"file_path": "/target.txt", "offset": 0, "limit": 100}, "id": "call_pCGM0nC6caxfEnTXIJUyMyqS", "type": "tool_call"}</t>
  </si>
  <si>
    <t>01a0cc57-8c69-7053-9762-7b6ef74f9164</t>
  </si>
  <si>
    <t>@@ lines 1-10 of 10 @@
Project summary
We prepare clear, practical reports.
Reviewed by the project team.
Next step: request a quote.
Reviewed by the project team.
Next step: request a quote.
Reviewed by the project team.</t>
  </si>
  <si>
    <t>R4</t>
  </si>
  <si>
    <t>01a0cc57-8c6e-7aa0-a78b-0b6f76f60e23</t>
  </si>
  <si>
    <t>[{"type": "function_call", "name": "edit_file", "arguments": "{\"file_path\":\"/target.txt\",\"old_string\":\"Project summary\\nWe prepare clear, practical reports.\\n\\nReviewed by the project team.\\nNext step: request a quote.\\n\\nReviewed by the project team.\\nNext step: request a quote.\\n\\nReviewed by the project team.\\n\",\"new_string\":\"Project summary\\nWe prepare clear, practical reports.\\n\\nReviewed by the project team.\\nNext step: request a quote.\\n\\nReviewed by the project team.\\nNext step: request a quote.\\n\\nReviewed by the project team.\\nNext step: request a quote.\\n\",\"replace_all\":false}", "call_id": "call_Tuz68iAXuvQBqICzMDLainX8", "id": "fc_0c7ac8f62ac0da58006ab3499d879887d2b6d897fdc2c7a1a6", "index": 0}]
{"name": "edit_file", "args": {"file_path": "/target.txt", "old_string": "Project summary\nWe prepare clear, practical reports.\n\nReviewed by the project team.\nNext step: request a quote.\n\nReviewed by the project team.\nNext step: request a quote.\n\nReviewed by the project team.\n", "new_string": "Project summary\nWe prepare clear, practical reports.\n\nReviewed by the project team.\nNext step: request a quote.\n\nReviewed by the project team.\nNext step: request a quote.\n\nReviewed by the project team.\nNext step: request a quote.\n", "replace_all": false}, "id": "call_Tuz68iAXuvQBqICzMDLainX8", "type": "tool_call"}</t>
  </si>
  <si>
    <t>01a0cc57-92b6-74f2-8a93-db61a0d31cb6</t>
  </si>
  <si>
    <t>{'file_path': '/target.txt', 'old_string': 'Project summary\nWe prepare clear, practical reports.\n\nReviewed by the project team.\nNext step: request a quote.\n\nReviewed by the project team.\nNext step: request a quote.\n\nReviewed by the project team.\n', 'new_string': 'Project summary\nWe prepare clear, practical reports.\n\nReviewed by the project team.\nNext step: request a quote.\n\nReviewed by the project team.\nNext step: request a quote.\n\nReviewed by the project team.\nNext step: request a quote.\n', 'replace_all': False}</t>
  </si>
  <si>
    <t>R5</t>
  </si>
  <si>
    <t>01a0cc57-92bb-7a61-9a3c-c399b0a58f7e</t>
  </si>
  <si>
    <t>[{"type": "function_call", "name": "read_file", "arguments": "{\"file_path\":\"/target.txt\",\"offset\":0,\"limit\":100}", "call_id": "call_KZcTCr84afM2p4rG6wqkMOns", "id": "fc_0c7ac8f62ac0da58006ab3499f0c6c87d298a6e7a31c16919a", "index": 0}]
{"name": "read_file", "args": {"file_path": "/target.txt", "offset": 0, "limit": 100}, "id": "call_KZcTCr84afM2p4rG6wqkMOns", "type": "tool_call"}</t>
  </si>
  <si>
    <t>01a0cc57-968e-7ba2-838a-6a340f914d1f</t>
  </si>
  <si>
    <t>@@ lines 1-11 of 11 @@
Project summary
We prepare clear, practical reports.
Reviewed by the project team.
Next step: request a quote.
Reviewed by the project team.
Next step: request a quote.
Reviewed by the project team.
Next step: request a quote.</t>
  </si>
  <si>
    <t>R6</t>
  </si>
  <si>
    <t>01a0cc57-9693-7031-81c4-5a30e2f559ae</t>
  </si>
  <si>
    <t>[{"type": "text", "text": "Appended both sentences as separate changes to `/target.txt`.", "phase": "final_answer", "index": 0, "id": "msg_0c7ac8f62ac0da58006ab3499ff69087d28285a1da4bd51619"}]</t>
  </si>
  <si>
    <t>file_editor</t>
  </si>
  <si>
    <t>workflow</t>
  </si>
  <si>
    <t>Execute the file_editor workflow operation and pass its result to the next graph step.</t>
  </si>
  <si>
    <t>Subtree total</t>
  </si>
  <si>
    <t xml:space="preserve">    RestrictedToolApproval.before_model</t>
  </si>
  <si>
    <t>Execute the RestrictedToolApproval.before_model workflow operation and pass its result to the next graph step.</t>
  </si>
  <si>
    <t>01a0cc57-75e8-7df2-8bb3-296a28f46985</t>
  </si>
  <si>
    <t>No model charge</t>
  </si>
  <si>
    <t xml:space="preserve">    model</t>
  </si>
  <si>
    <t>Prepare the current conversation, run model middleware, and invoke the chat model.</t>
  </si>
  <si>
    <t>01a0cc57-75eb-7912-a835-9ec72ea0599b</t>
  </si>
  <si>
    <t xml:space="preserve">        ChatOpenAI</t>
  </si>
  <si>
    <t>model</t>
  </si>
  <si>
    <t>Generate the next assistant message or tool request from the current conversation.</t>
  </si>
  <si>
    <t>Own call</t>
  </si>
  <si>
    <t xml:space="preserve">    RestrictedToolApproval.after_model</t>
  </si>
  <si>
    <t>Execute the RestrictedToolApproval.after_model workflow operation and pass its result to the next graph step.</t>
  </si>
  <si>
    <t>01a0cc57-7c34-7150-bf7d-d7280b292ba3</t>
  </si>
  <si>
    <t xml:space="preserve">    tools</t>
  </si>
  <si>
    <t>Execute tool calls requested by the preceding model response and return their observations.</t>
  </si>
  <si>
    <t>01a0cc57-7c35-7640-8b69-5448ec8257ac</t>
  </si>
  <si>
    <t xml:space="preserve">        read_file</t>
  </si>
  <si>
    <t>tool</t>
  </si>
  <si>
    <t>Reads a file from the filesystem. Assume any path the user provides is valid; reading a missing file returns an error.
Usage:
- By default, it reads up to 100 lines starting from the beginning of the file. Use `offset`/`limit` to page through large files instead of reading them whole.
- A status header, `@@ field | field | ... @@`, sits above the file content, and every line after it is verbatim file content. When content is truncated, there may be an explanation before the header. Never include the header when editing.
- Speculatively batch multiple `read_file` calls in one response when several files may be useful.
- An empty file returns a system-reminder warning in place of contents.
- Large tool results may be offloaded to a file; the tool message gives the path. Read that path here, paging with `offset`/`limit`.
- Images (`.png`, `.jpg`, etc.), audio, video, and PDFs return multimodal content blocks (https://docs.langchain.com/oss/python/langchain/messages#multimodal).
- For images and PDFs, pagination via `offset`/`limit` is text-only - supply `file_path` only
- Always read a file before editing it.</t>
  </si>
  <si>
    <t>01a0cc57-7c35-7640-8b69-54578f674979</t>
  </si>
  <si>
    <t>01a0cc57-7c3b-7ce3-bd03-fc4eec844954</t>
  </si>
  <si>
    <t>01a0cc57-7c3b-7ce3-bd03-fc524db75d12</t>
  </si>
  <si>
    <t>interrupted</t>
  </si>
  <si>
    <t>01a0cc57-87cb-7f72-b1cd-cc4a198b192c</t>
  </si>
  <si>
    <t>01a0cc57-87df-7a31-ae7e-3641d8cb6c9c</t>
  </si>
  <si>
    <t>01a0cc57-87e0-7031-855b-7ee6cb048698</t>
  </si>
  <si>
    <t>01a0cc57-87e2-7182-8898-af57b2214c7a</t>
  </si>
  <si>
    <t xml:space="preserve">        edit_file</t>
  </si>
  <si>
    <t>Performs exact string replacements in files.
Usage:
- You must read the file before editing; this tool errors otherwise.
- Preserve the exact source indentation from the read output, and never include the read status header in old_string or new_string.
- Prefer editing an existing file over creating a new one.
- Only use emojis if the user explicitly requests it.</t>
  </si>
  <si>
    <t>01a0cc57-87e6-7d01-80aa-367bdbd62242</t>
  </si>
  <si>
    <t>01a0cc57-87e7-7191-9e7b-6421b6ae91cf</t>
  </si>
  <si>
    <t>01a0cc57-8c65-7433-be92-cbd286f0c872</t>
  </si>
  <si>
    <t>01a0cc57-8c66-7c02-9a5b-8362ce3c6dfe</t>
  </si>
  <si>
    <t>01a0cc57-8c6c-7640-a186-0b2b65733d8f</t>
  </si>
  <si>
    <t>01a0cc57-8c6d-7b03-bc09-2aebc1662a4e</t>
  </si>
  <si>
    <t>01a0cc57-92a1-7d41-9764-53d982f1da3e</t>
  </si>
  <si>
    <t>01a0cc57-92b3-7af0-b05e-d2222f02600f</t>
  </si>
  <si>
    <t>01a0cc57-92b4-7ed3-b124-b6b5f371d13b</t>
  </si>
  <si>
    <t>01a0cc57-92b5-7ab3-adff-d6196c310b56</t>
  </si>
  <si>
    <t>01a0cc57-92b9-7141-8169-03127ace808e</t>
  </si>
  <si>
    <t>01a0cc57-92ba-75d1-8e10-b5634612f431</t>
  </si>
  <si>
    <t>01a0cc57-9686-7282-bd18-52e08da6eb58</t>
  </si>
  <si>
    <t>01a0cc57-9688-7311-8f1e-66881c706a42</t>
  </si>
  <si>
    <t>01a0cc57-9691-7be1-83bb-93fcdd39c038</t>
  </si>
  <si>
    <t>01a0cc57-9692-7ec3-836e-809be5634652</t>
  </si>
  <si>
    <t>01a0cc57-99d2-77d0-8ccc-d5776187f2d6</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</si>
</sst>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96"/>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IF(COUNT('Turns'!E17,'Turns'!E36,'Turns'!E51,'Turns'!E66,'Turns'!E81,'Turns'!E96)=6,SUM('Turns'!E17,'Turns'!E36,'Turns'!E51,'Turns'!E66,'Turns'!E81,'Turns'!E96),"Unknown")</f>
        <v>0.0012182123628</v>
      </c>
      <c r="F2" s="2">
        <f>IF(COUNT('Turns'!F17,'Turns'!F36,'Turns'!F51,'Turns'!F66,'Turns'!F81,'Turns'!F96)=6,SUM('Turns'!F17,'Turns'!F36,'Turns'!F51,'Turns'!F66,'Turns'!F81,'Turns'!F96),"Unknown")</f>
        <v>0.00139644</v>
      </c>
      <c r="G2" s="5">
        <f>IF(ISNUMBER(E2),ROUND(E2*'Reference data'!$B$2,0),"Unknown")</f>
        <v>122.0</v>
      </c>
      <c r="H2" s="5">
        <f>IF(ISNUMBER(F2),ROUND(F2*'Reference data'!$B$2,0),"Unknown")</f>
        <v>140.0</v>
      </c>
    </row>
    <row r="3" spans="1:13" s="4" customFormat="1" ht="24" customHeight="1">
      <c r="B3" s="4">
        <v>1</v>
      </c>
      <c r="C3" s="4" t="s">
        <v>92</v>
      </c>
      <c r="E3" s="2">
        <f>IF(COUNT('Turns'!E17,'Turns'!E36,'Turns'!E51,'Turns'!E66,'Turns'!E81,'Turns'!E96)=6,SUM('Turns'!E17,'Turns'!E36,'Turns'!E51,'Turns'!E66,'Turns'!E81,'Turns'!E96),"Unknown")</f>
        <v>0.0012182123628</v>
      </c>
      <c r="F3" s="2">
        <f>IF(COUNT('Turns'!F17,'Turns'!F36,'Turns'!F51,'Turns'!F66,'Turns'!F81,'Turns'!F96)=6,SUM('Turns'!F17,'Turns'!F36,'Turns'!F51,'Turns'!F66,'Turns'!F81,'Turns'!F96),"Unknown")</f>
        <v>0.00139644</v>
      </c>
      <c r="G3" s="5">
        <f>IF(ISNUMBER(E3),ROUND(E3*'Reference data'!$B$2,0),"Unknown")</f>
        <v>122.0</v>
      </c>
      <c r="H3" s="5">
        <f>IF(ISNUMBER(F3),ROUND(F3*'Reference data'!$B$2,0),"Unknown")</f>
        <v>140.0</v>
      </c>
    </row>
    <row r="4" spans="1:13" s="4" customFormat="1" ht="24" customHeight="1">
      <c r="A4" s="4" t="s">
        <v>93</v>
      </c>
      <c r="B4" s="4">
        <v>1</v>
      </c>
      <c r="C4" s="4" t="s">
        <v>94</v>
      </c>
      <c r="D4" s="4">
        <v>888</v>
      </c>
      <c r="J4" s="4" t="s">
        <v>95</v>
      </c>
      <c r="M4" s="4" t="s">
        <v>96</v>
      </c>
    </row>
    <row r="5" spans="1:13" ht="24" customHeight="1">
      <c r="A5" t="s">
        <v>93</v>
      </c>
      <c r="B5">
        <v>1</v>
      </c>
      <c r="C5" t="s">
        <v>97</v>
      </c>
      <c r="D5" s="5">
        <v>888</v>
      </c>
      <c r="E5" s="2">
        <f>IF(AND(ISNUMBER(F5),ISNUMBER('Reference data'!$B$3)),F5*'Reference data'!$B$3,"Unknown")</f>
        <v>0.000154932912</v>
      </c>
      <c r="F5" s="2">
        <f>IF(D5=0,0,IF(ISNUMBER('Reference data'!B17),D5*'Reference data'!B17/1000000,"Unknown"))</f>
        <v>0.0001776</v>
      </c>
      <c r="G5" s="5">
        <f>IF(ISNUMBER(E5),ROUND(E5*'Reference data'!$B$2,0),"Unknown")</f>
        <v>15.0</v>
      </c>
      <c r="H5" s="5">
        <f>IF(ISNUMBER(F5),ROUND(F5*'Reference data'!$B$2,0),"Unknown")</f>
        <v>18.0</v>
      </c>
    </row>
    <row r="6" spans="1:13" ht="24" customHeight="1">
      <c r="A6" t="s">
        <v>93</v>
      </c>
      <c r="B6">
        <v>1</v>
      </c>
      <c r="C6" t="s">
        <v>98</v>
      </c>
    </row>
    <row r="7" spans="1:13" ht="164" customHeight="1">
      <c r="A7" t="s">
        <v>93</v>
      </c>
      <c r="B7">
        <v>1</v>
      </c>
      <c r="C7" t="s">
        <v>99</v>
      </c>
      <c r="I7" s="6" t="s">
        <v>100</v>
      </c>
    </row>
    <row r="8" spans="1:13" ht="34" customHeight="1">
      <c r="A8" t="s">
        <v>93</v>
      </c>
      <c r="B8">
        <v>1</v>
      </c>
      <c r="C8" t="s">
        <v>101</v>
      </c>
      <c r="I8" s="6" t="s">
        <v>102</v>
      </c>
    </row>
    <row r="9" spans="1:13" ht="24" customHeight="1">
      <c r="A9" t="s">
        <v>93</v>
      </c>
      <c r="B9">
        <v>1</v>
      </c>
      <c r="C9" t="s">
        <v>103</v>
      </c>
    </row>
    <row r="10" spans="1:13" ht="24" customHeight="1">
      <c r="A10" t="s">
        <v>93</v>
      </c>
      <c r="B10">
        <v>1</v>
      </c>
      <c r="C10" t="s">
        <v>104</v>
      </c>
    </row>
    <row r="11" spans="1:13" s="4" customFormat="1" ht="24" customHeight="1">
      <c r="A11" s="4" t="s">
        <v>93</v>
      </c>
      <c r="B11" s="4">
        <v>1</v>
      </c>
      <c r="C11" s="4" t="s">
        <v>105</v>
      </c>
      <c r="D11" s="4">
        <v>87</v>
      </c>
    </row>
    <row r="12" spans="1:13" ht="24" customHeight="1">
      <c r="A12" t="s">
        <v>93</v>
      </c>
      <c r="B12">
        <v>1</v>
      </c>
      <c r="C12" t="s">
        <v>106</v>
      </c>
      <c r="D12" s="5">
        <v>15</v>
      </c>
      <c r="E12" s="2">
        <f>IF(AND(ISNUMBER(F12),ISNUMBER('Reference data'!$B$3)),F12*'Reference data'!$B$3,"Unknown")</f>
        <v>1.570266e-05</v>
      </c>
      <c r="F12" s="2">
        <f>IF(D12=0,0,IF(ISNUMBER('Reference data'!F17),D12*'Reference data'!F17/1000000,"Unknown"))</f>
        <v>1.8e-05</v>
      </c>
      <c r="G12" s="5">
        <f>IF(ISNUMBER(E12),ROUND(E12*'Reference data'!$B$2,0),"Unknown")</f>
        <v>2.0</v>
      </c>
      <c r="H12" s="5">
        <f>IF(ISNUMBER(F12),ROUND(F12*'Reference data'!$B$2,0),"Unknown")</f>
        <v>2.0</v>
      </c>
    </row>
    <row r="13" spans="1:13" ht="24" customHeight="1">
      <c r="A13" t="s">
        <v>93</v>
      </c>
      <c r="B13">
        <v>1</v>
      </c>
      <c r="C13" t="s">
        <v>107</v>
      </c>
      <c r="D13" s="5">
        <v>72</v>
      </c>
      <c r="E13" s="2">
        <f>IF(AND(ISNUMBER(F13),ISNUMBER('Reference data'!$B$3)),F13*'Reference data'!$B$3,"Unknown")</f>
        <v>7.5372768e-05</v>
      </c>
      <c r="F13" s="2">
        <f>IF(D13=0,0,IF(ISNUMBER('Reference data'!E17),D13*'Reference data'!E17/1000000,"Unknown"))</f>
        <v>8.64e-05</v>
      </c>
      <c r="G13" s="5">
        <f>IF(ISNUMBER(E13),ROUND(E13*'Reference data'!$B$2,0),"Unknown")</f>
        <v>8.0</v>
      </c>
      <c r="H13" s="5">
        <f>IF(ISNUMBER(F13),ROUND(F13*'Reference data'!$B$2,0),"Unknown")</f>
        <v>9.0</v>
      </c>
    </row>
    <row r="14" spans="1:13" ht="346"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IF(COUNT('Turns'!E5,'Turns'!E12,'Turns'!E13)=3,SUM('Turns'!E5,'Turns'!E12,'Turns'!E13),"Unknown")</f>
        <v>0.00024600834</v>
      </c>
      <c r="F17" s="2">
        <f>IF(COUNT('Turns'!F5,'Turns'!F12,'Turns'!F13)=3,SUM('Turns'!F5,'Turns'!F12,'Turns'!F13),"Unknown")</f>
        <v>0.000282</v>
      </c>
      <c r="G17" s="5">
        <f>IF(ISNUMBER(E17),ROUND(E17*'Reference data'!$B$2,0),"Unknown")</f>
        <v>25.0</v>
      </c>
      <c r="H17" s="5">
        <f>IF(ISNUMBER(F17),ROUND(F17*'Reference data'!$B$2,0),"Unknown")</f>
        <v>28.0</v>
      </c>
      <c r="K17" s="4" t="s">
        <v>111</v>
      </c>
    </row>
    <row r="18" spans="1:13" s="4" customFormat="1" ht="24" customHeight="1">
      <c r="B18" s="4">
        <v>1</v>
      </c>
      <c r="C18" s="4" t="s">
        <v>112</v>
      </c>
      <c r="K18" s="4" t="s">
        <v>111</v>
      </c>
      <c r="M18" s="4" t="s">
        <v>113</v>
      </c>
    </row>
    <row r="19" spans="1:13" ht="24" customHeight="1">
      <c r="B19">
        <v>1</v>
      </c>
      <c r="C19" t="s">
        <v>114</v>
      </c>
      <c r="I19" s="6" t="s">
        <v>115</v>
      </c>
    </row>
    <row r="20" spans="1:13" ht="47" customHeight="1">
      <c r="B20">
        <v>1</v>
      </c>
      <c r="C20" t="s">
        <v>116</v>
      </c>
      <c r="I20" s="6" t="s">
        <v>117</v>
      </c>
    </row>
    <row r="21" spans="1:13" s="4" customFormat="1" ht="24" customHeight="1">
      <c r="B21" s="4">
        <v>1</v>
      </c>
      <c r="C21" s="4" t="s">
        <v>112</v>
      </c>
      <c r="K21" s="4" t="s">
        <v>111</v>
      </c>
      <c r="M21" s="4" t="s">
        <v>118</v>
      </c>
    </row>
    <row r="22" spans="1:13" ht="24" customHeight="1">
      <c r="B22">
        <v>1</v>
      </c>
      <c r="C22" t="s">
        <v>114</v>
      </c>
      <c r="I22" s="6" t="s">
        <v>119</v>
      </c>
    </row>
    <row r="23" spans="1:13" ht="125" customHeight="1">
      <c r="B23">
        <v>1</v>
      </c>
      <c r="C23" t="s">
        <v>116</v>
      </c>
      <c r="I23" s="6" t="s">
        <v>120</v>
      </c>
    </row>
    <row r="24" spans="1:13" s="4" customFormat="1" ht="24" customHeight="1">
      <c r="A24" s="4" t="s">
        <v>121</v>
      </c>
      <c r="B24" s="4">
        <v>1</v>
      </c>
      <c r="C24" s="4" t="s">
        <v>94</v>
      </c>
      <c r="D24" s="4">
        <v>1063</v>
      </c>
      <c r="J24" s="4" t="s">
        <v>95</v>
      </c>
      <c r="M24" s="4" t="s">
        <v>122</v>
      </c>
    </row>
    <row r="25" spans="1:13" ht="24" customHeight="1">
      <c r="A25" t="s">
        <v>121</v>
      </c>
      <c r="B25">
        <v>1</v>
      </c>
      <c r="C25" t="s">
        <v>123</v>
      </c>
      <c r="D25" s="5">
        <v>0</v>
      </c>
      <c r="E25" s="2">
        <f>IF(AND(ISNUMBER(F25),ISNUMBER('Reference data'!$B$3)),F25*'Reference data'!$B$3,"Unknown")</f>
        <v>0.0</v>
      </c>
      <c r="F25" s="2">
        <f>IF(D25=0,0,IF(ISNUMBER('Reference data'!C17),D25*'Reference data'!C17/1000000,"Unknown"))</f>
        <v>0.0</v>
      </c>
      <c r="G25" s="5">
        <f>IF(ISNUMBER(E25),ROUND(E25*'Reference data'!$B$2,0),"Unknown")</f>
        <v>0.0</v>
      </c>
      <c r="H25" s="5">
        <f>IF(ISNUMBER(F25),ROUND(F25*'Reference data'!$B$2,0),"Unknown")</f>
        <v>0.0</v>
      </c>
    </row>
    <row r="26" spans="1:13" ht="24" customHeight="1">
      <c r="A26" t="s">
        <v>121</v>
      </c>
      <c r="B26">
        <v>1</v>
      </c>
      <c r="C26" t="s">
        <v>97</v>
      </c>
      <c r="D26" s="5">
        <v>3</v>
      </c>
      <c r="E26" s="2">
        <f>IF(AND(ISNUMBER(F26),ISNUMBER('Reference data'!$B$3)),F26*'Reference data'!$B$3,"Unknown")</f>
        <v>5.23422e-07</v>
      </c>
      <c r="F26" s="2">
        <f>IF(D26=0,0,IF(ISNUMBER('Reference data'!B17),D26*'Reference data'!B17/1000000,"Unknown"))</f>
        <v>6e-07</v>
      </c>
      <c r="G26" s="5">
        <f>IF(ISNUMBER(E26),ROUND(E26*'Reference data'!$B$2,0),"Unknown")</f>
        <v>0.0</v>
      </c>
      <c r="H26" s="5">
        <f>IF(ISNUMBER(F26),ROUND(F26*'Reference data'!$B$2,0),"Unknown")</f>
        <v>0.0</v>
      </c>
    </row>
    <row r="27" spans="1:13" ht="164" customHeight="1">
      <c r="A27" t="s">
        <v>121</v>
      </c>
      <c r="B27">
        <v>1</v>
      </c>
      <c r="C27" t="s">
        <v>124</v>
      </c>
      <c r="I27" s="6" t="s">
        <v>125</v>
      </c>
    </row>
    <row r="28" spans="1:13" ht="24" customHeight="1">
      <c r="A28" t="s">
        <v>121</v>
      </c>
      <c r="B28">
        <v>1</v>
      </c>
      <c r="C28" t="s">
        <v>103</v>
      </c>
      <c r="D28" s="5">
        <v>1060</v>
      </c>
      <c r="E28" s="2">
        <f>IF(AND(ISNUMBER(F28),ISNUMBER('Reference data'!$B$3)),F28*'Reference data'!$B$3,"Unknown")</f>
        <v>0.00023117805</v>
      </c>
      <c r="F28" s="2">
        <f>IF(D28=0,0,IF(ISNUMBER('Reference data'!D17),D28*'Reference data'!D17/1000000,"Unknown"))</f>
        <v>0.000265</v>
      </c>
      <c r="G28" s="5">
        <f>IF(ISNUMBER(E28),ROUND(E28*'Reference data'!$B$2,0),"Unknown")</f>
        <v>23.0</v>
      </c>
      <c r="H28" s="5">
        <f>IF(ISNUMBER(F28),ROUND(F28*'Reference data'!$B$2,0),"Unknown")</f>
        <v>27.0</v>
      </c>
    </row>
    <row r="29" spans="1:13" ht="24" customHeight="1">
      <c r="A29" t="s">
        <v>121</v>
      </c>
      <c r="B29">
        <v>1</v>
      </c>
      <c r="C29" t="s">
        <v>104</v>
      </c>
    </row>
    <row r="30" spans="1:13" s="4" customFormat="1" ht="24" customHeight="1">
      <c r="A30" s="4" t="s">
        <v>121</v>
      </c>
      <c r="B30" s="4">
        <v>1</v>
      </c>
      <c r="C30" s="4" t="s">
        <v>105</v>
      </c>
      <c r="D30" s="4">
        <v>261</v>
      </c>
    </row>
    <row r="31" spans="1:13" ht="24" customHeight="1">
      <c r="A31" t="s">
        <v>121</v>
      </c>
      <c r="B31">
        <v>1</v>
      </c>
      <c r="C31" t="s">
        <v>106</v>
      </c>
      <c r="D31" s="5">
        <v>131</v>
      </c>
      <c r="E31" s="2">
        <f>IF(AND(ISNUMBER(F31),ISNUMBER('Reference data'!$B$3)),F31*'Reference data'!$B$3,"Unknown")</f>
        <v>0.000137136564</v>
      </c>
      <c r="F31" s="2">
        <f>IF(D31=0,0,IF(ISNUMBER('Reference data'!F17),D31*'Reference data'!F17/1000000,"Unknown"))</f>
        <v>0.0001572</v>
      </c>
      <c r="G31" s="5">
        <f>IF(ISNUMBER(E31),ROUND(E31*'Reference data'!$B$2,0),"Unknown")</f>
        <v>14.0</v>
      </c>
      <c r="H31" s="5">
        <f>IF(ISNUMBER(F31),ROUND(F31*'Reference data'!$B$2,0),"Unknown")</f>
        <v>16.0</v>
      </c>
    </row>
    <row r="32" spans="1:13" ht="24" customHeight="1">
      <c r="A32" t="s">
        <v>121</v>
      </c>
      <c r="B32">
        <v>1</v>
      </c>
      <c r="C32" t="s">
        <v>107</v>
      </c>
      <c r="D32" s="5">
        <v>130</v>
      </c>
      <c r="E32" s="2">
        <f>IF(AND(ISNUMBER(F32),ISNUMBER('Reference data'!$B$3)),F32*'Reference data'!$B$3,"Unknown")</f>
        <v>0.00013608972</v>
      </c>
      <c r="F32" s="2">
        <f>IF(D32=0,0,IF(ISNUMBER('Reference data'!E17),D32*'Reference data'!E17/1000000,"Unknown"))</f>
        <v>0.000156</v>
      </c>
      <c r="G32" s="5">
        <f>IF(ISNUMBER(E32),ROUND(E32*'Reference data'!$B$2,0),"Unknown")</f>
        <v>14.0</v>
      </c>
      <c r="H32" s="5">
        <f>IF(ISNUMBER(F32),ROUND(F32*'Reference data'!$B$2,0),"Unknown")</f>
        <v>16.0</v>
      </c>
    </row>
    <row r="33" spans="1:13" ht="409" customHeight="1">
      <c r="A33" t="s">
        <v>121</v>
      </c>
      <c r="B33">
        <v>1</v>
      </c>
      <c r="C33" t="s">
        <v>108</v>
      </c>
      <c r="I33" s="6" t="s">
        <v>126</v>
      </c>
    </row>
    <row r="34" spans="1:13" ht="24" customHeight="1">
      <c r="A34" t="s">
        <v>121</v>
      </c>
      <c r="B34">
        <v>1</v>
      </c>
      <c r="C34" t="s">
        <v>103</v>
      </c>
    </row>
    <row r="35" spans="1:13" ht="24" customHeight="1">
      <c r="A35" t="s">
        <v>121</v>
      </c>
      <c r="B35">
        <v>1</v>
      </c>
      <c r="C35" t="s">
        <v>104</v>
      </c>
    </row>
    <row r="36" spans="1:13" s="4" customFormat="1" ht="24" customHeight="1">
      <c r="A36" s="4" t="s">
        <v>121</v>
      </c>
      <c r="B36" s="4">
        <v>1</v>
      </c>
      <c r="C36" s="4" t="s">
        <v>110</v>
      </c>
      <c r="E36" s="2">
        <f>IF(COUNT('Turns'!E25,'Turns'!E26,'Turns'!E28,'Turns'!E31,'Turns'!E32)=5,SUM('Turns'!E25,'Turns'!E26,'Turns'!E28,'Turns'!E31,'Turns'!E32),"Unknown")</f>
        <v>0.000504927756</v>
      </c>
      <c r="F36" s="2">
        <f>IF(COUNT('Turns'!F25,'Turns'!F26,'Turns'!F28,'Turns'!F31,'Turns'!F32)=5,SUM('Turns'!F25,'Turns'!F26,'Turns'!F28,'Turns'!F31,'Turns'!F32),"Unknown")</f>
        <v>0.0005788</v>
      </c>
      <c r="G36" s="5">
        <f>IF(ISNUMBER(E36),ROUND(E36*'Reference data'!$B$2,0),"Unknown")</f>
        <v>50.0</v>
      </c>
      <c r="H36" s="5">
        <f>IF(ISNUMBER(F36),ROUND(F36*'Reference data'!$B$2,0),"Unknown")</f>
        <v>58.0</v>
      </c>
      <c r="K36" s="4" t="s">
        <v>111</v>
      </c>
    </row>
    <row r="37" spans="1:13" s="4" customFormat="1" ht="24" customHeight="1">
      <c r="B37" s="4">
        <v>1</v>
      </c>
      <c r="C37" s="4" t="s">
        <v>127</v>
      </c>
      <c r="K37" s="4" t="s">
        <v>111</v>
      </c>
      <c r="M37" s="4" t="s">
        <v>128</v>
      </c>
    </row>
    <row r="38" spans="1:13" ht="86" customHeight="1">
      <c r="B38">
        <v>1</v>
      </c>
      <c r="C38" t="s">
        <v>114</v>
      </c>
      <c r="I38" s="6" t="s">
        <v>129</v>
      </c>
    </row>
    <row r="39" spans="1:13" ht="24" customHeight="1">
      <c r="B39">
        <v>1</v>
      </c>
      <c r="C39" t="s">
        <v>116</v>
      </c>
      <c r="I39" s="6" t="s">
        <v>130</v>
      </c>
    </row>
    <row r="40" spans="1:13" s="4" customFormat="1" ht="24" customHeight="1">
      <c r="A40" s="4" t="s">
        <v>131</v>
      </c>
      <c r="B40" s="4">
        <v>1</v>
      </c>
      <c r="C40" s="4" t="s">
        <v>94</v>
      </c>
      <c r="D40" s="4">
        <v>1350</v>
      </c>
      <c r="J40" s="4" t="s">
        <v>95</v>
      </c>
      <c r="M40" s="4" t="s">
        <v>132</v>
      </c>
    </row>
    <row r="41" spans="1:13" ht="24" customHeight="1">
      <c r="A41" t="s">
        <v>131</v>
      </c>
      <c r="B41">
        <v>1</v>
      </c>
      <c r="C41" t="s">
        <v>123</v>
      </c>
      <c r="D41" s="5">
        <v>1060</v>
      </c>
      <c r="E41" s="2">
        <f>IF(AND(ISNUMBER(F41),ISNUMBER('Reference data'!$B$3)),F41*'Reference data'!$B$3,"Unknown")</f>
        <v>1.8494244e-05</v>
      </c>
      <c r="F41" s="2">
        <f>IF(D41=0,0,IF(ISNUMBER('Reference data'!C17),D41*'Reference data'!C17/1000000,"Unknown"))</f>
        <v>2.12e-05</v>
      </c>
      <c r="G41" s="5">
        <f>IF(ISNUMBER(E41),ROUND(E41*'Reference data'!$B$2,0),"Unknown")</f>
        <v>2.0</v>
      </c>
      <c r="H41" s="5">
        <f>IF(ISNUMBER(F41),ROUND(F41*'Reference data'!$B$2,0),"Unknown")</f>
        <v>2.0</v>
      </c>
    </row>
    <row r="42" spans="1:13" ht="24" customHeight="1">
      <c r="A42" t="s">
        <v>131</v>
      </c>
      <c r="B42">
        <v>1</v>
      </c>
      <c r="C42" t="s">
        <v>97</v>
      </c>
      <c r="D42" s="5">
        <v>3</v>
      </c>
      <c r="E42" s="2">
        <f>IF(AND(ISNUMBER(F42),ISNUMBER('Reference data'!$B$3)),F42*'Reference data'!$B$3,"Unknown")</f>
        <v>5.23422e-07</v>
      </c>
      <c r="F42" s="2">
        <f>IF(D42=0,0,IF(ISNUMBER('Reference data'!B17),D42*'Reference data'!B17/1000000,"Unknown"))</f>
        <v>6e-07</v>
      </c>
      <c r="G42" s="5">
        <f>IF(ISNUMBER(E42),ROUND(E42*'Reference data'!$B$2,0),"Unknown")</f>
        <v>0.0</v>
      </c>
      <c r="H42" s="5">
        <f>IF(ISNUMBER(F42),ROUND(F42*'Reference data'!$B$2,0),"Unknown")</f>
        <v>0.0</v>
      </c>
    </row>
    <row r="43" spans="1:13" ht="24" customHeight="1">
      <c r="A43" t="s">
        <v>131</v>
      </c>
      <c r="B43">
        <v>1</v>
      </c>
      <c r="C43" t="s">
        <v>124</v>
      </c>
      <c r="I43" s="6" t="s">
        <v>130</v>
      </c>
    </row>
    <row r="44" spans="1:13" ht="24" customHeight="1">
      <c r="A44" t="s">
        <v>131</v>
      </c>
      <c r="B44">
        <v>1</v>
      </c>
      <c r="C44" t="s">
        <v>103</v>
      </c>
      <c r="D44" s="5">
        <v>287</v>
      </c>
      <c r="E44" s="2">
        <f>IF(AND(ISNUMBER(F44),ISNUMBER('Reference data'!$B$3)),F44*'Reference data'!$B$3,"Unknown")</f>
        <v>6.25925475e-05</v>
      </c>
      <c r="F44" s="2">
        <f>IF(D44=0,0,IF(ISNUMBER('Reference data'!D17),D44*'Reference data'!D17/1000000,"Unknown"))</f>
        <v>7.175e-05</v>
      </c>
      <c r="G44" s="5">
        <f>IF(ISNUMBER(E44),ROUND(E44*'Reference data'!$B$2,0),"Unknown")</f>
        <v>6.0</v>
      </c>
      <c r="H44" s="5">
        <f>IF(ISNUMBER(F44),ROUND(F44*'Reference data'!$B$2,0),"Unknown")</f>
        <v>7.0</v>
      </c>
    </row>
    <row r="45" spans="1:13" ht="24" customHeight="1">
      <c r="A45" t="s">
        <v>131</v>
      </c>
      <c r="B45">
        <v>1</v>
      </c>
      <c r="C45" t="s">
        <v>104</v>
      </c>
    </row>
    <row r="46" spans="1:13" s="4" customFormat="1" ht="24" customHeight="1">
      <c r="A46" s="4" t="s">
        <v>131</v>
      </c>
      <c r="B46" s="4">
        <v>1</v>
      </c>
      <c r="C46" s="4" t="s">
        <v>105</v>
      </c>
      <c r="D46" s="4">
        <v>29</v>
      </c>
    </row>
    <row r="47" spans="1:13" ht="24" customHeight="1">
      <c r="A47" t="s">
        <v>131</v>
      </c>
      <c r="B47">
        <v>1</v>
      </c>
      <c r="C47" t="s">
        <v>107</v>
      </c>
      <c r="D47" s="5">
        <v>29</v>
      </c>
      <c r="E47" s="2">
        <f>IF(AND(ISNUMBER(F47),ISNUMBER('Reference data'!$B$3)),F47*'Reference data'!$B$3,"Unknown")</f>
        <v>3.0358476e-05</v>
      </c>
      <c r="F47" s="2">
        <f>IF(D47=0,0,IF(ISNUMBER('Reference data'!E17),D47*'Reference data'!E17/1000000,"Unknown"))</f>
        <v>3.48e-05</v>
      </c>
      <c r="G47" s="5">
        <f>IF(ISNUMBER(E47),ROUND(E47*'Reference data'!$B$2,0),"Unknown")</f>
        <v>3.0</v>
      </c>
      <c r="H47" s="5">
        <f>IF(ISNUMBER(F47),ROUND(F47*'Reference data'!$B$2,0),"Unknown")</f>
        <v>3.0</v>
      </c>
    </row>
    <row r="48" spans="1:13" ht="73" customHeight="1">
      <c r="A48" t="s">
        <v>131</v>
      </c>
      <c r="B48">
        <v>1</v>
      </c>
      <c r="C48" t="s">
        <v>108</v>
      </c>
      <c r="I48" s="6" t="s">
        <v>133</v>
      </c>
    </row>
    <row r="49" spans="1:13" ht="24" customHeight="1">
      <c r="A49" t="s">
        <v>131</v>
      </c>
      <c r="B49">
        <v>1</v>
      </c>
      <c r="C49" t="s">
        <v>103</v>
      </c>
    </row>
    <row r="50" spans="1:13" ht="24" customHeight="1">
      <c r="A50" t="s">
        <v>131</v>
      </c>
      <c r="B50">
        <v>1</v>
      </c>
      <c r="C50" t="s">
        <v>104</v>
      </c>
    </row>
    <row r="51" spans="1:13" s="4" customFormat="1" ht="24" customHeight="1">
      <c r="A51" s="4" t="s">
        <v>131</v>
      </c>
      <c r="B51" s="4">
        <v>1</v>
      </c>
      <c r="C51" s="4" t="s">
        <v>110</v>
      </c>
      <c r="E51" s="2">
        <f>IF(COUNT('Turns'!E41,'Turns'!E42,'Turns'!E44,'Turns'!E47)=4,SUM('Turns'!E41,'Turns'!E42,'Turns'!E44,'Turns'!E47),"Unknown")</f>
        <v>0.0001119686895</v>
      </c>
      <c r="F51" s="2">
        <f>IF(COUNT('Turns'!F41,'Turns'!F42,'Turns'!F44,'Turns'!F47)=4,SUM('Turns'!F41,'Turns'!F42,'Turns'!F44,'Turns'!F47),"Unknown")</f>
        <v>0.00012835</v>
      </c>
      <c r="G51" s="5">
        <f>IF(ISNUMBER(E51),ROUND(E51*'Reference data'!$B$2,0),"Unknown")</f>
        <v>11.0</v>
      </c>
      <c r="H51" s="5">
        <f>IF(ISNUMBER(F51),ROUND(F51*'Reference data'!$B$2,0),"Unknown")</f>
        <v>13.0</v>
      </c>
      <c r="K51" s="4" t="s">
        <v>111</v>
      </c>
    </row>
    <row r="52" spans="1:13" s="4" customFormat="1" ht="24" customHeight="1">
      <c r="B52" s="4">
        <v>1</v>
      </c>
      <c r="C52" s="4" t="s">
        <v>112</v>
      </c>
      <c r="K52" s="4" t="s">
        <v>111</v>
      </c>
      <c r="M52" s="4" t="s">
        <v>134</v>
      </c>
    </row>
    <row r="53" spans="1:13" ht="24" customHeight="1">
      <c r="B53">
        <v>1</v>
      </c>
      <c r="C53" t="s">
        <v>114</v>
      </c>
      <c r="I53" s="6" t="s">
        <v>119</v>
      </c>
    </row>
    <row r="54" spans="1:13" ht="151" customHeight="1">
      <c r="B54">
        <v>1</v>
      </c>
      <c r="C54" t="s">
        <v>116</v>
      </c>
      <c r="I54" s="6" t="s">
        <v>135</v>
      </c>
    </row>
    <row r="55" spans="1:13" s="4" customFormat="1" ht="24" customHeight="1">
      <c r="A55" s="4" t="s">
        <v>136</v>
      </c>
      <c r="B55" s="4">
        <v>1</v>
      </c>
      <c r="C55" s="4" t="s">
        <v>94</v>
      </c>
      <c r="D55" s="4">
        <v>1443</v>
      </c>
      <c r="J55" s="4" t="s">
        <v>95</v>
      </c>
      <c r="M55" s="4" t="s">
        <v>137</v>
      </c>
    </row>
    <row r="56" spans="1:13" ht="24" customHeight="1">
      <c r="A56" t="s">
        <v>136</v>
      </c>
      <c r="B56">
        <v>1</v>
      </c>
      <c r="C56" t="s">
        <v>123</v>
      </c>
      <c r="D56" s="5">
        <v>1347</v>
      </c>
      <c r="E56" s="2">
        <f>IF(AND(ISNUMBER(F56),ISNUMBER('Reference data'!$B$3)),F56*'Reference data'!$B$3,"Unknown")</f>
        <v>2.35016478e-05</v>
      </c>
      <c r="F56" s="2">
        <f>IF(D56=0,0,IF(ISNUMBER('Reference data'!C17),D56*'Reference data'!C17/1000000,"Unknown"))</f>
        <v>2.694e-05</v>
      </c>
      <c r="G56" s="5">
        <f>IF(ISNUMBER(E56),ROUND(E56*'Reference data'!$B$2,0),"Unknown")</f>
        <v>2.0</v>
      </c>
      <c r="H56" s="5">
        <f>IF(ISNUMBER(F56),ROUND(F56*'Reference data'!$B$2,0),"Unknown")</f>
        <v>3.0</v>
      </c>
    </row>
    <row r="57" spans="1:13" ht="24" customHeight="1">
      <c r="A57" t="s">
        <v>136</v>
      </c>
      <c r="B57">
        <v>1</v>
      </c>
      <c r="C57" t="s">
        <v>97</v>
      </c>
      <c r="D57" s="5">
        <v>3</v>
      </c>
      <c r="E57" s="2">
        <f>IF(AND(ISNUMBER(F57),ISNUMBER('Reference data'!$B$3)),F57*'Reference data'!$B$3,"Unknown")</f>
        <v>5.23422e-07</v>
      </c>
      <c r="F57" s="2">
        <f>IF(D57=0,0,IF(ISNUMBER('Reference data'!B17),D57*'Reference data'!B17/1000000,"Unknown"))</f>
        <v>6e-07</v>
      </c>
      <c r="G57" s="5">
        <f>IF(ISNUMBER(E57),ROUND(E57*'Reference data'!$B$2,0),"Unknown")</f>
        <v>0.0</v>
      </c>
      <c r="H57" s="5">
        <f>IF(ISNUMBER(F57),ROUND(F57*'Reference data'!$B$2,0),"Unknown")</f>
        <v>0.0</v>
      </c>
    </row>
    <row r="58" spans="1:13" ht="151" customHeight="1">
      <c r="A58" t="s">
        <v>136</v>
      </c>
      <c r="B58">
        <v>1</v>
      </c>
      <c r="C58" t="s">
        <v>124</v>
      </c>
      <c r="I58" s="6" t="s">
        <v>135</v>
      </c>
    </row>
    <row r="59" spans="1:13" ht="24" customHeight="1">
      <c r="A59" t="s">
        <v>136</v>
      </c>
      <c r="B59">
        <v>1</v>
      </c>
      <c r="C59" t="s">
        <v>103</v>
      </c>
      <c r="D59" s="5">
        <v>93</v>
      </c>
      <c r="E59" s="2">
        <f>IF(AND(ISNUMBER(F59),ISNUMBER('Reference data'!$B$3)),F59*'Reference data'!$B$3,"Unknown")</f>
        <v>2.02826025e-05</v>
      </c>
      <c r="F59" s="2">
        <f>IF(D59=0,0,IF(ISNUMBER('Reference data'!D17),D59*'Reference data'!D17/1000000,"Unknown"))</f>
        <v>2.325e-05</v>
      </c>
      <c r="G59" s="5">
        <f>IF(ISNUMBER(E59),ROUND(E59*'Reference data'!$B$2,0),"Unknown")</f>
        <v>2.0</v>
      </c>
      <c r="H59" s="5">
        <f>IF(ISNUMBER(F59),ROUND(F59*'Reference data'!$B$2,0),"Unknown")</f>
        <v>2.0</v>
      </c>
    </row>
    <row r="60" spans="1:13" ht="24" customHeight="1">
      <c r="A60" t="s">
        <v>136</v>
      </c>
      <c r="B60">
        <v>1</v>
      </c>
      <c r="C60" t="s">
        <v>104</v>
      </c>
    </row>
    <row r="61" spans="1:13" s="4" customFormat="1" ht="24" customHeight="1">
      <c r="A61" s="4" t="s">
        <v>136</v>
      </c>
      <c r="B61" s="4">
        <v>1</v>
      </c>
      <c r="C61" s="4" t="s">
        <v>105</v>
      </c>
      <c r="D61" s="4">
        <v>144</v>
      </c>
    </row>
    <row r="62" spans="1:13" ht="24" customHeight="1">
      <c r="A62" t="s">
        <v>136</v>
      </c>
      <c r="B62">
        <v>1</v>
      </c>
      <c r="C62" t="s">
        <v>107</v>
      </c>
      <c r="D62" s="5">
        <v>144</v>
      </c>
      <c r="E62" s="2">
        <f>IF(AND(ISNUMBER(F62),ISNUMBER('Reference data'!$B$3)),F62*'Reference data'!$B$3,"Unknown")</f>
        <v>0.000150745536</v>
      </c>
      <c r="F62" s="2">
        <f>IF(D62=0,0,IF(ISNUMBER('Reference data'!E17),D62*'Reference data'!E17/1000000,"Unknown"))</f>
        <v>0.0001728</v>
      </c>
      <c r="G62" s="5">
        <f>IF(ISNUMBER(E62),ROUND(E62*'Reference data'!$B$2,0),"Unknown")</f>
        <v>15.0</v>
      </c>
      <c r="H62" s="5">
        <f>IF(ISNUMBER(F62),ROUND(F62*'Reference data'!$B$2,0),"Unknown")</f>
        <v>17.0</v>
      </c>
    </row>
    <row r="63" spans="1:13" ht="229" customHeight="1">
      <c r="A63" t="s">
        <v>136</v>
      </c>
      <c r="B63">
        <v>1</v>
      </c>
      <c r="C63" t="s">
        <v>108</v>
      </c>
      <c r="I63" s="6" t="s">
        <v>138</v>
      </c>
    </row>
    <row r="64" spans="1:13" ht="24" customHeight="1">
      <c r="A64" t="s">
        <v>136</v>
      </c>
      <c r="B64">
        <v>1</v>
      </c>
      <c r="C64" t="s">
        <v>103</v>
      </c>
    </row>
    <row r="65" spans="1:13" ht="24" customHeight="1">
      <c r="A65" t="s">
        <v>136</v>
      </c>
      <c r="B65">
        <v>1</v>
      </c>
      <c r="C65" t="s">
        <v>104</v>
      </c>
    </row>
    <row r="66" spans="1:13" s="4" customFormat="1" ht="24" customHeight="1">
      <c r="A66" s="4" t="s">
        <v>136</v>
      </c>
      <c r="B66" s="4">
        <v>1</v>
      </c>
      <c r="C66" s="4" t="s">
        <v>110</v>
      </c>
      <c r="E66" s="2">
        <f>IF(COUNT('Turns'!E56,'Turns'!E57,'Turns'!E59,'Turns'!E62)=4,SUM('Turns'!E56,'Turns'!E57,'Turns'!E59,'Turns'!E62),"Unknown")</f>
        <v>0.0001950532083</v>
      </c>
      <c r="F66" s="2">
        <f>IF(COUNT('Turns'!F56,'Turns'!F57,'Turns'!F59,'Turns'!F62)=4,SUM('Turns'!F56,'Turns'!F57,'Turns'!F59,'Turns'!F62),"Unknown")</f>
        <v>0.00022359</v>
      </c>
      <c r="G66" s="5">
        <f>IF(ISNUMBER(E66),ROUND(E66*'Reference data'!$B$2,0),"Unknown")</f>
        <v>20.0</v>
      </c>
      <c r="H66" s="5">
        <f>IF(ISNUMBER(F66),ROUND(F66*'Reference data'!$B$2,0),"Unknown")</f>
        <v>22.0</v>
      </c>
      <c r="K66" s="4" t="s">
        <v>111</v>
      </c>
    </row>
    <row r="67" spans="1:13" s="4" customFormat="1" ht="24" customHeight="1">
      <c r="B67" s="4">
        <v>1</v>
      </c>
      <c r="C67" s="4" t="s">
        <v>127</v>
      </c>
      <c r="K67" s="4" t="s">
        <v>111</v>
      </c>
      <c r="M67" s="4" t="s">
        <v>139</v>
      </c>
    </row>
    <row r="68" spans="1:13" ht="99" customHeight="1">
      <c r="B68">
        <v>1</v>
      </c>
      <c r="C68" t="s">
        <v>114</v>
      </c>
      <c r="I68" s="6" t="s">
        <v>140</v>
      </c>
    </row>
    <row r="69" spans="1:13" ht="24" customHeight="1">
      <c r="B69">
        <v>1</v>
      </c>
      <c r="C69" t="s">
        <v>116</v>
      </c>
      <c r="I69" s="6" t="s">
        <v>130</v>
      </c>
    </row>
    <row r="70" spans="1:13" s="4" customFormat="1" ht="24" customHeight="1">
      <c r="A70" s="4" t="s">
        <v>141</v>
      </c>
      <c r="B70" s="4">
        <v>1</v>
      </c>
      <c r="C70" s="4" t="s">
        <v>94</v>
      </c>
      <c r="D70" s="4">
        <v>1613</v>
      </c>
      <c r="J70" s="4" t="s">
        <v>95</v>
      </c>
      <c r="M70" s="4" t="s">
        <v>142</v>
      </c>
    </row>
    <row r="71" spans="1:13" ht="24" customHeight="1">
      <c r="A71" t="s">
        <v>141</v>
      </c>
      <c r="B71">
        <v>1</v>
      </c>
      <c r="C71" t="s">
        <v>123</v>
      </c>
      <c r="D71" s="5">
        <v>1440</v>
      </c>
      <c r="E71" s="2">
        <f>IF(AND(ISNUMBER(F71),ISNUMBER('Reference data'!$B$3)),F71*'Reference data'!$B$3,"Unknown")</f>
        <v>2.5124256e-05</v>
      </c>
      <c r="F71" s="2">
        <f>IF(D71=0,0,IF(ISNUMBER('Reference data'!C17),D71*'Reference data'!C17/1000000,"Unknown"))</f>
        <v>2.88e-05</v>
      </c>
      <c r="G71" s="5">
        <f>IF(ISNUMBER(E71),ROUND(E71*'Reference data'!$B$2,0),"Unknown")</f>
        <v>3.0</v>
      </c>
      <c r="H71" s="5">
        <f>IF(ISNUMBER(F71),ROUND(F71*'Reference data'!$B$2,0),"Unknown")</f>
        <v>3.0</v>
      </c>
    </row>
    <row r="72" spans="1:13" ht="24" customHeight="1">
      <c r="A72" t="s">
        <v>141</v>
      </c>
      <c r="B72">
        <v>1</v>
      </c>
      <c r="C72" t="s">
        <v>97</v>
      </c>
      <c r="D72" s="5">
        <v>3</v>
      </c>
      <c r="E72" s="2">
        <f>IF(AND(ISNUMBER(F72),ISNUMBER('Reference data'!$B$3)),F72*'Reference data'!$B$3,"Unknown")</f>
        <v>5.23422e-07</v>
      </c>
      <c r="F72" s="2">
        <f>IF(D72=0,0,IF(ISNUMBER('Reference data'!B17),D72*'Reference data'!B17/1000000,"Unknown"))</f>
        <v>6e-07</v>
      </c>
      <c r="G72" s="5">
        <f>IF(ISNUMBER(E72),ROUND(E72*'Reference data'!$B$2,0),"Unknown")</f>
        <v>0.0</v>
      </c>
      <c r="H72" s="5">
        <f>IF(ISNUMBER(F72),ROUND(F72*'Reference data'!$B$2,0),"Unknown")</f>
        <v>0.0</v>
      </c>
    </row>
    <row r="73" spans="1:13" ht="24" customHeight="1">
      <c r="A73" t="s">
        <v>141</v>
      </c>
      <c r="B73">
        <v>1</v>
      </c>
      <c r="C73" t="s">
        <v>124</v>
      </c>
      <c r="I73" s="6" t="s">
        <v>130</v>
      </c>
    </row>
    <row r="74" spans="1:13" ht="24" customHeight="1">
      <c r="A74" t="s">
        <v>141</v>
      </c>
      <c r="B74">
        <v>1</v>
      </c>
      <c r="C74" t="s">
        <v>103</v>
      </c>
      <c r="D74" s="5">
        <v>170</v>
      </c>
      <c r="E74" s="2">
        <f>IF(AND(ISNUMBER(F74),ISNUMBER('Reference data'!$B$3)),F74*'Reference data'!$B$3,"Unknown")</f>
        <v>3.7075725e-05</v>
      </c>
      <c r="F74" s="2">
        <f>IF(D74=0,0,IF(ISNUMBER('Reference data'!D17),D74*'Reference data'!D17/1000000,"Unknown"))</f>
        <v>4.25e-05</v>
      </c>
      <c r="G74" s="5">
        <f>IF(ISNUMBER(E74),ROUND(E74*'Reference data'!$B$2,0),"Unknown")</f>
        <v>4.0</v>
      </c>
      <c r="H74" s="5">
        <f>IF(ISNUMBER(F74),ROUND(F74*'Reference data'!$B$2,0),"Unknown")</f>
        <v>4.0</v>
      </c>
    </row>
    <row r="75" spans="1:13" ht="24" customHeight="1">
      <c r="A75" t="s">
        <v>141</v>
      </c>
      <c r="B75">
        <v>1</v>
      </c>
      <c r="C75" t="s">
        <v>104</v>
      </c>
    </row>
    <row r="76" spans="1:13" s="4" customFormat="1" ht="24" customHeight="1">
      <c r="A76" s="4" t="s">
        <v>141</v>
      </c>
      <c r="B76" s="4">
        <v>1</v>
      </c>
      <c r="C76" s="4" t="s">
        <v>105</v>
      </c>
      <c r="D76" s="4">
        <v>29</v>
      </c>
    </row>
    <row r="77" spans="1:13" ht="24" customHeight="1">
      <c r="A77" t="s">
        <v>141</v>
      </c>
      <c r="B77">
        <v>1</v>
      </c>
      <c r="C77" t="s">
        <v>107</v>
      </c>
      <c r="D77" s="5">
        <v>29</v>
      </c>
      <c r="E77" s="2">
        <f>IF(AND(ISNUMBER(F77),ISNUMBER('Reference data'!$B$3)),F77*'Reference data'!$B$3,"Unknown")</f>
        <v>3.0358476e-05</v>
      </c>
      <c r="F77" s="2">
        <f>IF(D77=0,0,IF(ISNUMBER('Reference data'!E17),D77*'Reference data'!E17/1000000,"Unknown"))</f>
        <v>3.48e-05</v>
      </c>
      <c r="G77" s="5">
        <f>IF(ISNUMBER(E77),ROUND(E77*'Reference data'!$B$2,0),"Unknown")</f>
        <v>3.0</v>
      </c>
      <c r="H77" s="5">
        <f>IF(ISNUMBER(F77),ROUND(F77*'Reference data'!$B$2,0),"Unknown")</f>
        <v>3.0</v>
      </c>
    </row>
    <row r="78" spans="1:13" ht="73" customHeight="1">
      <c r="A78" t="s">
        <v>141</v>
      </c>
      <c r="B78">
        <v>1</v>
      </c>
      <c r="C78" t="s">
        <v>108</v>
      </c>
      <c r="I78" s="6" t="s">
        <v>143</v>
      </c>
    </row>
    <row r="79" spans="1:13" ht="24" customHeight="1">
      <c r="A79" t="s">
        <v>141</v>
      </c>
      <c r="B79">
        <v>1</v>
      </c>
      <c r="C79" t="s">
        <v>103</v>
      </c>
    </row>
    <row r="80" spans="1:13" ht="24" customHeight="1">
      <c r="A80" t="s">
        <v>141</v>
      </c>
      <c r="B80">
        <v>1</v>
      </c>
      <c r="C80" t="s">
        <v>104</v>
      </c>
    </row>
    <row r="81" spans="1:13" s="4" customFormat="1" ht="24" customHeight="1">
      <c r="A81" s="4" t="s">
        <v>141</v>
      </c>
      <c r="B81" s="4">
        <v>1</v>
      </c>
      <c r="C81" s="4" t="s">
        <v>110</v>
      </c>
      <c r="E81" s="2">
        <f>IF(COUNT('Turns'!E71,'Turns'!E72,'Turns'!E74,'Turns'!E77)=4,SUM('Turns'!E71,'Turns'!E72,'Turns'!E74,'Turns'!E77),"Unknown")</f>
        <v>9.3081879e-05</v>
      </c>
      <c r="F81" s="2">
        <f>IF(COUNT('Turns'!F71,'Turns'!F72,'Turns'!F74,'Turns'!F77)=4,SUM('Turns'!F71,'Turns'!F72,'Turns'!F74,'Turns'!F77),"Unknown")</f>
        <v>0.0001067</v>
      </c>
      <c r="G81" s="5">
        <f>IF(ISNUMBER(E81),ROUND(E81*'Reference data'!$B$2,0),"Unknown")</f>
        <v>9.0</v>
      </c>
      <c r="H81" s="5">
        <f>IF(ISNUMBER(F81),ROUND(F81*'Reference data'!$B$2,0),"Unknown")</f>
        <v>11.0</v>
      </c>
      <c r="K81" s="4" t="s">
        <v>111</v>
      </c>
    </row>
    <row r="82" spans="1:13" s="4" customFormat="1" ht="24" customHeight="1">
      <c r="B82" s="4">
        <v>1</v>
      </c>
      <c r="C82" s="4" t="s">
        <v>112</v>
      </c>
      <c r="K82" s="4" t="s">
        <v>111</v>
      </c>
      <c r="M82" s="4" t="s">
        <v>144</v>
      </c>
    </row>
    <row r="83" spans="1:13" ht="24" customHeight="1">
      <c r="B83">
        <v>1</v>
      </c>
      <c r="C83" t="s">
        <v>114</v>
      </c>
      <c r="I83" s="6" t="s">
        <v>119</v>
      </c>
    </row>
    <row r="84" spans="1:13" ht="164" customHeight="1">
      <c r="B84">
        <v>1</v>
      </c>
      <c r="C84" t="s">
        <v>116</v>
      </c>
      <c r="I84" s="6" t="s">
        <v>145</v>
      </c>
    </row>
    <row r="85" spans="1:13" s="4" customFormat="1" ht="24" customHeight="1">
      <c r="A85" s="4" t="s">
        <v>146</v>
      </c>
      <c r="B85" s="4">
        <v>1</v>
      </c>
      <c r="C85" s="4" t="s">
        <v>94</v>
      </c>
      <c r="D85" s="4">
        <v>1713</v>
      </c>
      <c r="J85" s="4" t="s">
        <v>95</v>
      </c>
      <c r="M85" s="4" t="s">
        <v>147</v>
      </c>
    </row>
    <row r="86" spans="1:13" ht="24" customHeight="1">
      <c r="A86" t="s">
        <v>146</v>
      </c>
      <c r="B86">
        <v>1</v>
      </c>
      <c r="C86" t="s">
        <v>123</v>
      </c>
      <c r="D86" s="5">
        <v>1610</v>
      </c>
      <c r="E86" s="2">
        <f>IF(AND(ISNUMBER(F86),ISNUMBER('Reference data'!$B$3)),F86*'Reference data'!$B$3,"Unknown")</f>
        <v>2.8090314e-05</v>
      </c>
      <c r="F86" s="2">
        <f>IF(D86=0,0,IF(ISNUMBER('Reference data'!C17),D86*'Reference data'!C17/1000000,"Unknown"))</f>
        <v>3.22e-05</v>
      </c>
      <c r="G86" s="5">
        <f>IF(ISNUMBER(E86),ROUND(E86*'Reference data'!$B$2,0),"Unknown")</f>
        <v>3.0</v>
      </c>
      <c r="H86" s="5">
        <f>IF(ISNUMBER(F86),ROUND(F86*'Reference data'!$B$2,0),"Unknown")</f>
        <v>3.0</v>
      </c>
    </row>
    <row r="87" spans="1:13" ht="24" customHeight="1">
      <c r="A87" t="s">
        <v>146</v>
      </c>
      <c r="B87">
        <v>1</v>
      </c>
      <c r="C87" t="s">
        <v>97</v>
      </c>
      <c r="D87" s="5">
        <v>3</v>
      </c>
      <c r="E87" s="2">
        <f>IF(AND(ISNUMBER(F87),ISNUMBER('Reference data'!$B$3)),F87*'Reference data'!$B$3,"Unknown")</f>
        <v>5.23422e-07</v>
      </c>
      <c r="F87" s="2">
        <f>IF(D87=0,0,IF(ISNUMBER('Reference data'!B17),D87*'Reference data'!B17/1000000,"Unknown"))</f>
        <v>6e-07</v>
      </c>
      <c r="G87" s="5">
        <f>IF(ISNUMBER(E87),ROUND(E87*'Reference data'!$B$2,0),"Unknown")</f>
        <v>0.0</v>
      </c>
      <c r="H87" s="5">
        <f>IF(ISNUMBER(F87),ROUND(F87*'Reference data'!$B$2,0),"Unknown")</f>
        <v>0.0</v>
      </c>
    </row>
    <row r="88" spans="1:13" ht="164" customHeight="1">
      <c r="A88" t="s">
        <v>146</v>
      </c>
      <c r="B88">
        <v>1</v>
      </c>
      <c r="C88" t="s">
        <v>124</v>
      </c>
      <c r="I88" s="6" t="s">
        <v>145</v>
      </c>
    </row>
    <row r="89" spans="1:13" ht="24" customHeight="1">
      <c r="A89" t="s">
        <v>146</v>
      </c>
      <c r="B89">
        <v>1</v>
      </c>
      <c r="C89" t="s">
        <v>103</v>
      </c>
      <c r="D89" s="5">
        <v>100</v>
      </c>
      <c r="E89" s="2">
        <f>IF(AND(ISNUMBER(F89),ISNUMBER('Reference data'!$B$3)),F89*'Reference data'!$B$3,"Unknown")</f>
        <v>2.180925e-05</v>
      </c>
      <c r="F89" s="2">
        <f>IF(D89=0,0,IF(ISNUMBER('Reference data'!D17),D89*'Reference data'!D17/1000000,"Unknown"))</f>
        <v>2.5e-05</v>
      </c>
      <c r="G89" s="5">
        <f>IF(ISNUMBER(E89),ROUND(E89*'Reference data'!$B$2,0),"Unknown")</f>
        <v>2.0</v>
      </c>
      <c r="H89" s="5">
        <f>IF(ISNUMBER(F89),ROUND(F89*'Reference data'!$B$2,0),"Unknown")</f>
        <v>3.0</v>
      </c>
    </row>
    <row r="90" spans="1:13" ht="24" customHeight="1">
      <c r="A90" t="s">
        <v>146</v>
      </c>
      <c r="B90">
        <v>1</v>
      </c>
      <c r="C90" t="s">
        <v>104</v>
      </c>
    </row>
    <row r="91" spans="1:13" s="4" customFormat="1" ht="24" customHeight="1">
      <c r="A91" s="4" t="s">
        <v>146</v>
      </c>
      <c r="B91" s="4">
        <v>1</v>
      </c>
      <c r="C91" s="4" t="s">
        <v>105</v>
      </c>
      <c r="D91" s="4">
        <v>16</v>
      </c>
    </row>
    <row r="92" spans="1:13" ht="24" customHeight="1">
      <c r="A92" t="s">
        <v>146</v>
      </c>
      <c r="B92">
        <v>1</v>
      </c>
      <c r="C92" t="s">
        <v>107</v>
      </c>
      <c r="D92" s="5">
        <v>16</v>
      </c>
      <c r="E92" s="2">
        <f>IF(AND(ISNUMBER(F92),ISNUMBER('Reference data'!$B$3)),F92*'Reference data'!$B$3,"Unknown")</f>
        <v>1.6749504e-05</v>
      </c>
      <c r="F92" s="2">
        <f>IF(D92=0,0,IF(ISNUMBER('Reference data'!E17),D92*'Reference data'!E17/1000000,"Unknown"))</f>
        <v>1.92e-05</v>
      </c>
      <c r="G92" s="5">
        <f>IF(ISNUMBER(E92),ROUND(E92*'Reference data'!$B$2,0),"Unknown")</f>
        <v>2.0</v>
      </c>
      <c r="H92" s="5">
        <f>IF(ISNUMBER(F92),ROUND(F92*'Reference data'!$B$2,0),"Unknown")</f>
        <v>2.0</v>
      </c>
    </row>
    <row r="93" spans="1:13" ht="47" customHeight="1">
      <c r="A93" t="s">
        <v>146</v>
      </c>
      <c r="B93">
        <v>1</v>
      </c>
      <c r="C93" t="s">
        <v>108</v>
      </c>
      <c r="I93" s="6" t="s">
        <v>148</v>
      </c>
    </row>
    <row r="94" spans="1:13" ht="24" customHeight="1">
      <c r="A94" t="s">
        <v>146</v>
      </c>
      <c r="B94">
        <v>1</v>
      </c>
      <c r="C94" t="s">
        <v>103</v>
      </c>
    </row>
    <row r="95" spans="1:13" ht="24" customHeight="1">
      <c r="A95" t="s">
        <v>146</v>
      </c>
      <c r="B95">
        <v>1</v>
      </c>
      <c r="C95" t="s">
        <v>104</v>
      </c>
    </row>
    <row r="96" spans="1:13" s="4" customFormat="1" ht="24" customHeight="1">
      <c r="A96" s="4" t="s">
        <v>146</v>
      </c>
      <c r="B96" s="4">
        <v>1</v>
      </c>
      <c r="C96" s="4" t="s">
        <v>110</v>
      </c>
      <c r="E96" s="2">
        <f>IF(COUNT('Turns'!E86,'Turns'!E87,'Turns'!E89,'Turns'!E92)=4,SUM('Turns'!E86,'Turns'!E87,'Turns'!E89,'Turns'!E92),"Unknown")</f>
        <v>6.717249e-05</v>
      </c>
      <c r="F96" s="2">
        <f>IF(COUNT('Turns'!F86,'Turns'!F87,'Turns'!F89,'Turns'!F92)=4,SUM('Turns'!F86,'Turns'!F87,'Turns'!F89,'Turns'!F92),"Unknown")</f>
        <v>7.7e-05</v>
      </c>
      <c r="G96" s="5">
        <f>IF(ISNUMBER(E96),ROUND(E96*'Reference data'!$B$2,0),"Unknown")</f>
        <v>7.0</v>
      </c>
      <c r="H96" s="5">
        <f>IF(ISNUMBER(F96),ROUND(F96*'Reference data'!$B$2,0),"Unknown")</f>
        <v>8.0</v>
      </c>
      <c r="K96" s="4" t="s">
        <v>111</v>
      </c>
    </row>
  </sheetData>
  <conditionalFormatting sqref="A2:AE96">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4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149</v>
      </c>
      <c r="B2" s="1">
        <v>0</v>
      </c>
      <c r="C2" s="1" t="s">
        <v>150</v>
      </c>
      <c r="D2" s="1" t="s">
        <v>47</v>
      </c>
      <c r="E2" s="1" t="s">
        <v>111</v>
      </c>
      <c r="G2" s="6" t="s">
        <v>151</v>
      </c>
      <c r="H2" t="s">
        <v>49</v>
      </c>
      <c r="J2" s="2">
        <f>IF(COUNT('Turns'!D5,'Turns'!D26)=2,SUM('Turns'!D5,'Turns'!D26),"Unknown")</f>
        <v>891.0</v>
      </c>
      <c r="K2" s="2">
        <f>IF(COUNT('Turns'!E5,'Turns'!E26)=2,SUM('Turns'!E5,'Turns'!E26),"Unknown")</f>
        <v>0.000155456334</v>
      </c>
      <c r="L2" s="2">
        <f>IF(COUNT('Turns'!F5,'Turns'!F26)=2,SUM('Turns'!F5,'Turns'!F26),"Unknown")</f>
        <v>0.0001782</v>
      </c>
      <c r="M2" s="2">
        <f>IF(COUNT('Turns'!D25)=1,SUM('Turns'!D25),"Unknown")</f>
        <v>0.0</v>
      </c>
      <c r="N2" s="2">
        <f>IF(COUNT('Turns'!E25)=1,SUM('Turns'!E25),"Unknown")</f>
        <v>0.0</v>
      </c>
      <c r="O2" s="2">
        <f>IF(COUNT('Turns'!F25)=1,SUM('Turns'!F25),"Unknown")</f>
        <v>0.0</v>
      </c>
      <c r="P2" s="2">
        <f>IF(COUNT('Turns'!D28)=1,SUM('Turns'!D28),"Unknown")</f>
        <v>1060.0</v>
      </c>
      <c r="Q2" s="2">
        <f>IF(COUNT('Turns'!E28)=1,SUM('Turns'!E28),"Unknown")</f>
        <v>0.00023117805</v>
      </c>
      <c r="R2" s="2">
        <f>IF(COUNT('Turns'!F28)=1,SUM('Turns'!F28),"Unknown")</f>
        <v>0.000265</v>
      </c>
      <c r="S2" s="2">
        <f>IF(COUNT('Turns'!D13,'Turns'!D32)=2,SUM('Turns'!D13,'Turns'!D32),"Unknown")</f>
        <v>202.0</v>
      </c>
      <c r="T2" s="2">
        <f>IF(COUNT('Turns'!E13,'Turns'!E32)=2,SUM('Turns'!E13,'Turns'!E32),"Unknown")</f>
        <v>0.000211462488</v>
      </c>
      <c r="U2" s="2">
        <f>IF(COUNT('Turns'!F13,'Turns'!F32)=2,SUM('Turns'!F13,'Turns'!F32),"Unknown")</f>
        <v>0.0002424</v>
      </c>
      <c r="V2" s="2">
        <f>IF(COUNT('Turns'!D12,'Turns'!D31)=2,SUM('Turns'!D12,'Turns'!D31),"Unknown")</f>
        <v>146.0</v>
      </c>
      <c r="W2" s="2">
        <f>IF(COUNT('Turns'!E12,'Turns'!E31)=2,SUM('Turns'!E12,'Turns'!E31),"Unknown")</f>
        <v>0.000152839224</v>
      </c>
      <c r="X2" s="2">
        <f>IF(COUNT('Turns'!F12,'Turns'!F31)=2,SUM('Turns'!F12,'Turns'!F31),"Unknown")</f>
        <v>0.0001752</v>
      </c>
      <c r="Y2" s="2">
        <f>IF(COUNT('Turns'!E17,'Turns'!E36)=2,SUM('Turns'!E17,'Turns'!E36),"Unknown")</f>
        <v>0.000750936096</v>
      </c>
      <c r="Z2" s="2">
        <f>IF(COUNT('Turns'!F17,'Turns'!F36)=2,SUM('Turns'!F17,'Turns'!F36),"Unknown")</f>
        <v>0.0008608</v>
      </c>
      <c r="AA2" s="5">
        <f>IF(ISNUMBER(Y2),ROUND(Y2*'Reference data'!$B$2,0),"Unknown")</f>
        <v>75.0</v>
      </c>
      <c r="AB2" s="5">
        <f>IF(ISNUMBER(Z2),ROUND(Z2*'Reference data'!$B$2,0),"Unknown")</f>
        <v>86.0</v>
      </c>
      <c r="AD2" s="1">
        <v>4580.84</v>
      </c>
      <c r="AE2" s="1" t="s">
        <v>152</v>
      </c>
    </row>
    <row r="3" spans="1:31" ht="54" customHeight="1">
      <c r="A3" s="6" t="s">
        <v>153</v>
      </c>
      <c r="B3" s="1">
        <v>1</v>
      </c>
      <c r="C3" s="1" t="s">
        <v>150</v>
      </c>
      <c r="D3" s="1" t="s">
        <v>47</v>
      </c>
      <c r="E3" s="1" t="s">
        <v>111</v>
      </c>
      <c r="G3" s="6" t="s">
        <v>154</v>
      </c>
      <c r="H3" t="s">
        <v>155</v>
      </c>
      <c r="I3" t="s">
        <v>49</v>
      </c>
      <c r="AD3" s="1">
        <v>1.822</v>
      </c>
      <c r="AE3" s="1" t="s">
        <v>156</v>
      </c>
    </row>
    <row r="4" spans="1:31" ht="54" customHeight="1">
      <c r="A4" s="6" t="s">
        <v>157</v>
      </c>
      <c r="B4" s="1">
        <v>1</v>
      </c>
      <c r="C4" s="1" t="s">
        <v>150</v>
      </c>
      <c r="D4" s="1" t="s">
        <v>47</v>
      </c>
      <c r="E4" s="1" t="s">
        <v>111</v>
      </c>
      <c r="G4" s="6" t="s">
        <v>158</v>
      </c>
      <c r="H4" t="s">
        <v>159</v>
      </c>
      <c r="I4" t="s">
        <v>49</v>
      </c>
      <c r="J4" s="2">
        <f>IF(COUNT('Turns'!D5)=1,SUM('Turns'!D5),"Unknown")</f>
        <v>888.0</v>
      </c>
      <c r="K4" s="2">
        <f>IF(COUNT('Turns'!E5)=1,SUM('Turns'!E5),"Unknown")</f>
        <v>0.000154932912</v>
      </c>
      <c r="L4" s="2">
        <f>IF(COUNT('Turns'!F5)=1,SUM('Turns'!F5),"Unknown")</f>
        <v>0.0001776</v>
      </c>
      <c r="M4" s="2">
        <v>0</v>
      </c>
      <c r="N4" s="2">
        <v>0</v>
      </c>
      <c r="O4" s="2">
        <v>0</v>
      </c>
      <c r="P4" s="2">
        <v>0</v>
      </c>
      <c r="Q4" s="2">
        <v>0</v>
      </c>
      <c r="R4" s="2">
        <v>0</v>
      </c>
      <c r="S4" s="2">
        <f>IF(COUNT('Turns'!D13)=1,SUM('Turns'!D13),"Unknown")</f>
        <v>72.0</v>
      </c>
      <c r="T4" s="2">
        <f>IF(COUNT('Turns'!E13)=1,SUM('Turns'!E13),"Unknown")</f>
        <v>7.5372768e-05</v>
      </c>
      <c r="U4" s="2">
        <f>IF(COUNT('Turns'!F13)=1,SUM('Turns'!F13),"Unknown")</f>
        <v>8.64e-05</v>
      </c>
      <c r="V4" s="2">
        <f>IF(COUNT('Turns'!D12)=1,SUM('Turns'!D12),"Unknown")</f>
        <v>15.0</v>
      </c>
      <c r="W4" s="2">
        <f>IF(COUNT('Turns'!E12)=1,SUM('Turns'!E12),"Unknown")</f>
        <v>1.570266e-05</v>
      </c>
      <c r="X4" s="2">
        <f>IF(COUNT('Turns'!F12)=1,SUM('Turns'!F12),"Unknown")</f>
        <v>1.8e-05</v>
      </c>
      <c r="Y4" s="2">
        <f>IF(COUNT('Turns'!E17)=1,SUM('Turns'!E17),"Unknown")</f>
        <v>0.00024600834</v>
      </c>
      <c r="Z4" s="2">
        <f>IF(COUNT('Turns'!F17)=1,SUM('Turns'!F17),"Unknown")</f>
        <v>0.000282</v>
      </c>
      <c r="AA4" s="5">
        <f>IF(ISNUMBER(Y4),ROUND(Y4*'Reference data'!$B$2,0),"Unknown")</f>
        <v>25.0</v>
      </c>
      <c r="AB4" s="5">
        <f>IF(ISNUMBER(Z4),ROUND(Z4*'Reference data'!$B$2,0),"Unknown")</f>
        <v>28.0</v>
      </c>
      <c r="AD4" s="1">
        <v>1607.581</v>
      </c>
      <c r="AE4" s="1" t="s">
        <v>152</v>
      </c>
    </row>
    <row r="5" spans="1:31" ht="54" customHeight="1">
      <c r="A5" s="6" t="s">
        <v>160</v>
      </c>
      <c r="B5" s="1">
        <v>2</v>
      </c>
      <c r="C5" s="1" t="s">
        <v>161</v>
      </c>
      <c r="D5" s="1" t="s">
        <v>95</v>
      </c>
      <c r="E5" s="1" t="s">
        <v>111</v>
      </c>
      <c r="F5" s="1">
        <v>888</v>
      </c>
      <c r="G5" s="6" t="s">
        <v>162</v>
      </c>
      <c r="H5" t="s">
        <v>96</v>
      </c>
      <c r="I5" t="s">
        <v>159</v>
      </c>
      <c r="J5" s="2">
        <f>IF(COUNT('Turns'!D5)=1,SUM('Turns'!D5),"Unknown")</f>
        <v>888.0</v>
      </c>
      <c r="K5" s="2">
        <f>IF(COUNT('Turns'!E5)=1,SUM('Turns'!E5),"Unknown")</f>
        <v>0.000154932912</v>
      </c>
      <c r="L5" s="2">
        <f>IF(COUNT('Turns'!F5)=1,SUM('Turns'!F5),"Unknown")</f>
        <v>0.0001776</v>
      </c>
      <c r="M5" s="2">
        <v>0</v>
      </c>
      <c r="N5" s="2">
        <v>0</v>
      </c>
      <c r="O5" s="2">
        <v>0</v>
      </c>
      <c r="P5" s="2">
        <v>0</v>
      </c>
      <c r="Q5" s="2">
        <v>0</v>
      </c>
      <c r="R5" s="2">
        <v>0</v>
      </c>
      <c r="S5" s="2">
        <f>IF(COUNT('Turns'!D13)=1,SUM('Turns'!D13),"Unknown")</f>
        <v>72.0</v>
      </c>
      <c r="T5" s="2">
        <f>IF(COUNT('Turns'!E13)=1,SUM('Turns'!E13),"Unknown")</f>
        <v>7.5372768e-05</v>
      </c>
      <c r="U5" s="2">
        <f>IF(COUNT('Turns'!F13)=1,SUM('Turns'!F13),"Unknown")</f>
        <v>8.64e-05</v>
      </c>
      <c r="V5" s="2">
        <f>IF(COUNT('Turns'!D12)=1,SUM('Turns'!D12),"Unknown")</f>
        <v>15.0</v>
      </c>
      <c r="W5" s="2">
        <f>IF(COUNT('Turns'!E12)=1,SUM('Turns'!E12),"Unknown")</f>
        <v>1.570266e-05</v>
      </c>
      <c r="X5" s="2">
        <f>IF(COUNT('Turns'!F12)=1,SUM('Turns'!F12),"Unknown")</f>
        <v>1.8e-05</v>
      </c>
      <c r="Y5" s="2">
        <f>IF(COUNT('Turns'!E17)=1,SUM('Turns'!E17),"Unknown")</f>
        <v>0.00024600834</v>
      </c>
      <c r="Z5" s="2">
        <f>IF(COUNT('Turns'!F17)=1,SUM('Turns'!F17),"Unknown")</f>
        <v>0.000282</v>
      </c>
      <c r="AA5" s="5">
        <f>IF(ISNUMBER(Y5),ROUND(Y5*'Reference data'!$B$2,0),"Unknown")</f>
        <v>25.0</v>
      </c>
      <c r="AB5" s="5">
        <f>IF(ISNUMBER(Z5),ROUND(Z5*'Reference data'!$B$2,0),"Unknown")</f>
        <v>28.0</v>
      </c>
      <c r="AC5" s="1" t="s">
        <v>93</v>
      </c>
      <c r="AD5" s="1">
        <v>1603.962</v>
      </c>
      <c r="AE5" s="1" t="s">
        <v>163</v>
      </c>
    </row>
    <row r="6" spans="1:31" ht="54" customHeight="1">
      <c r="A6" s="6" t="s">
        <v>164</v>
      </c>
      <c r="B6" s="1">
        <v>1</v>
      </c>
      <c r="C6" s="1" t="s">
        <v>150</v>
      </c>
      <c r="D6" s="1" t="s">
        <v>47</v>
      </c>
      <c r="E6" s="1" t="s">
        <v>111</v>
      </c>
      <c r="G6" s="6" t="s">
        <v>165</v>
      </c>
      <c r="H6" t="s">
        <v>166</v>
      </c>
      <c r="I6" t="s">
        <v>49</v>
      </c>
      <c r="AD6" s="1">
        <v>0.556</v>
      </c>
      <c r="AE6" s="1" t="s">
        <v>156</v>
      </c>
    </row>
    <row r="7" spans="1:31" ht="54" customHeight="1">
      <c r="A7" s="6" t="s">
        <v>167</v>
      </c>
      <c r="B7" s="1">
        <v>1</v>
      </c>
      <c r="C7" s="1" t="s">
        <v>150</v>
      </c>
      <c r="D7" s="1" t="s">
        <v>47</v>
      </c>
      <c r="E7" s="1" t="s">
        <v>111</v>
      </c>
      <c r="G7" s="6" t="s">
        <v>168</v>
      </c>
      <c r="H7" t="s">
        <v>169</v>
      </c>
      <c r="I7" t="s">
        <v>49</v>
      </c>
      <c r="AD7" s="1">
        <v>4.253</v>
      </c>
      <c r="AE7" s="1" t="s">
        <v>156</v>
      </c>
    </row>
    <row r="8" spans="1:31" ht="54" customHeight="1">
      <c r="A8" s="6" t="s">
        <v>170</v>
      </c>
      <c r="B8" s="1">
        <v>2</v>
      </c>
      <c r="C8" s="1" t="s">
        <v>171</v>
      </c>
      <c r="D8" s="1" t="s">
        <v>47</v>
      </c>
      <c r="E8" s="1" t="s">
        <v>111</v>
      </c>
      <c r="G8" s="6" t="s">
        <v>172</v>
      </c>
      <c r="H8" t="s">
        <v>113</v>
      </c>
      <c r="I8" t="s">
        <v>169</v>
      </c>
      <c r="AD8" s="1">
        <v>2.134</v>
      </c>
      <c r="AE8" s="1" t="s">
        <v>156</v>
      </c>
    </row>
    <row r="9" spans="1:31" ht="54" customHeight="1">
      <c r="A9" s="6" t="s">
        <v>167</v>
      </c>
      <c r="B9" s="1">
        <v>1</v>
      </c>
      <c r="C9" s="1" t="s">
        <v>150</v>
      </c>
      <c r="D9" s="1" t="s">
        <v>47</v>
      </c>
      <c r="E9" s="1" t="s">
        <v>111</v>
      </c>
      <c r="G9" s="6" t="s">
        <v>168</v>
      </c>
      <c r="H9" t="s">
        <v>173</v>
      </c>
      <c r="I9" t="s">
        <v>49</v>
      </c>
      <c r="AD9" s="1">
        <v>3.139</v>
      </c>
      <c r="AE9" s="1" t="s">
        <v>156</v>
      </c>
    </row>
    <row r="10" spans="1:31" ht="54" customHeight="1">
      <c r="A10" s="6" t="s">
        <v>170</v>
      </c>
      <c r="B10" s="1">
        <v>2</v>
      </c>
      <c r="C10" s="1" t="s">
        <v>171</v>
      </c>
      <c r="D10" s="1" t="s">
        <v>47</v>
      </c>
      <c r="E10" s="1" t="s">
        <v>111</v>
      </c>
      <c r="G10" s="6" t="s">
        <v>172</v>
      </c>
      <c r="H10" t="s">
        <v>118</v>
      </c>
      <c r="I10" t="s">
        <v>173</v>
      </c>
      <c r="AD10" s="1">
        <v>0.928</v>
      </c>
      <c r="AE10" s="1" t="s">
        <v>156</v>
      </c>
    </row>
    <row r="11" spans="1:31" ht="54" customHeight="1">
      <c r="A11" s="6" t="s">
        <v>153</v>
      </c>
      <c r="B11" s="1">
        <v>1</v>
      </c>
      <c r="C11" s="1" t="s">
        <v>150</v>
      </c>
      <c r="D11" s="1" t="s">
        <v>47</v>
      </c>
      <c r="E11" s="1" t="s">
        <v>111</v>
      </c>
      <c r="G11" s="6" t="s">
        <v>154</v>
      </c>
      <c r="H11" t="s">
        <v>174</v>
      </c>
      <c r="I11" t="s">
        <v>49</v>
      </c>
      <c r="AD11" s="1">
        <v>0.291</v>
      </c>
      <c r="AE11" s="1" t="s">
        <v>156</v>
      </c>
    </row>
    <row r="12" spans="1:31" ht="54" customHeight="1">
      <c r="A12" s="6" t="s">
        <v>157</v>
      </c>
      <c r="B12" s="1">
        <v>1</v>
      </c>
      <c r="C12" s="1" t="s">
        <v>150</v>
      </c>
      <c r="D12" s="1" t="s">
        <v>47</v>
      </c>
      <c r="E12" s="1" t="s">
        <v>111</v>
      </c>
      <c r="G12" s="6" t="s">
        <v>158</v>
      </c>
      <c r="H12" t="s">
        <v>175</v>
      </c>
      <c r="I12" t="s">
        <v>49</v>
      </c>
      <c r="J12" s="2">
        <f>IF(COUNT('Turns'!D26)=1,SUM('Turns'!D26),"Unknown")</f>
        <v>3.0</v>
      </c>
      <c r="K12" s="2">
        <f>IF(COUNT('Turns'!E26)=1,SUM('Turns'!E26),"Unknown")</f>
        <v>5.23422e-07</v>
      </c>
      <c r="L12" s="2">
        <f>IF(COUNT('Turns'!F26)=1,SUM('Turns'!F26),"Unknown")</f>
        <v>6e-07</v>
      </c>
      <c r="M12" s="2">
        <f>IF(COUNT('Turns'!D25)=1,SUM('Turns'!D25),"Unknown")</f>
        <v>0.0</v>
      </c>
      <c r="N12" s="2">
        <f>IF(COUNT('Turns'!E25)=1,SUM('Turns'!E25),"Unknown")</f>
        <v>0.0</v>
      </c>
      <c r="O12" s="2">
        <f>IF(COUNT('Turns'!F25)=1,SUM('Turns'!F25),"Unknown")</f>
        <v>0.0</v>
      </c>
      <c r="P12" s="2">
        <f>IF(COUNT('Turns'!D28)=1,SUM('Turns'!D28),"Unknown")</f>
        <v>1060.0</v>
      </c>
      <c r="Q12" s="2">
        <f>IF(COUNT('Turns'!E28)=1,SUM('Turns'!E28),"Unknown")</f>
        <v>0.00023117805</v>
      </c>
      <c r="R12" s="2">
        <f>IF(COUNT('Turns'!F28)=1,SUM('Turns'!F28),"Unknown")</f>
        <v>0.000265</v>
      </c>
      <c r="S12" s="2">
        <f>IF(COUNT('Turns'!D32)=1,SUM('Turns'!D32),"Unknown")</f>
        <v>130.0</v>
      </c>
      <c r="T12" s="2">
        <f>IF(COUNT('Turns'!E32)=1,SUM('Turns'!E32),"Unknown")</f>
        <v>0.00013608972</v>
      </c>
      <c r="U12" s="2">
        <f>IF(COUNT('Turns'!F32)=1,SUM('Turns'!F32),"Unknown")</f>
        <v>0.000156</v>
      </c>
      <c r="V12" s="2">
        <f>IF(COUNT('Turns'!D31)=1,SUM('Turns'!D31),"Unknown")</f>
        <v>131.0</v>
      </c>
      <c r="W12" s="2">
        <f>IF(COUNT('Turns'!E31)=1,SUM('Turns'!E31),"Unknown")</f>
        <v>0.000137136564</v>
      </c>
      <c r="X12" s="2">
        <f>IF(COUNT('Turns'!F31)=1,SUM('Turns'!F31),"Unknown")</f>
        <v>0.0001572</v>
      </c>
      <c r="Y12" s="2">
        <f>IF(COUNT('Turns'!E36)=1,SUM('Turns'!E36),"Unknown")</f>
        <v>0.000504927756</v>
      </c>
      <c r="Z12" s="2">
        <f>IF(COUNT('Turns'!F36)=1,SUM('Turns'!F36),"Unknown")</f>
        <v>0.0005788</v>
      </c>
      <c r="AA12" s="5">
        <f>IF(ISNUMBER(Y12),ROUND(Y12*'Reference data'!$B$2,0),"Unknown")</f>
        <v>50.0</v>
      </c>
      <c r="AB12" s="5">
        <f>IF(ISNUMBER(Z12),ROUND(Z12*'Reference data'!$B$2,0),"Unknown")</f>
        <v>58.0</v>
      </c>
      <c r="AD12" s="1">
        <v>2958.588</v>
      </c>
      <c r="AE12" s="1" t="s">
        <v>152</v>
      </c>
    </row>
    <row r="13" spans="1:31" ht="54" customHeight="1">
      <c r="A13" s="6" t="s">
        <v>160</v>
      </c>
      <c r="B13" s="1">
        <v>2</v>
      </c>
      <c r="C13" s="1" t="s">
        <v>161</v>
      </c>
      <c r="D13" s="1" t="s">
        <v>95</v>
      </c>
      <c r="E13" s="1" t="s">
        <v>111</v>
      </c>
      <c r="F13" s="1">
        <v>1063</v>
      </c>
      <c r="G13" s="6" t="s">
        <v>162</v>
      </c>
      <c r="H13" t="s">
        <v>122</v>
      </c>
      <c r="I13" t="s">
        <v>175</v>
      </c>
      <c r="J13" s="2">
        <f>IF(COUNT('Turns'!D26)=1,SUM('Turns'!D26),"Unknown")</f>
        <v>3.0</v>
      </c>
      <c r="K13" s="2">
        <f>IF(COUNT('Turns'!E26)=1,SUM('Turns'!E26),"Unknown")</f>
        <v>5.23422e-07</v>
      </c>
      <c r="L13" s="2">
        <f>IF(COUNT('Turns'!F26)=1,SUM('Turns'!F26),"Unknown")</f>
        <v>6e-07</v>
      </c>
      <c r="M13" s="2">
        <f>IF(COUNT('Turns'!D25)=1,SUM('Turns'!D25),"Unknown")</f>
        <v>0.0</v>
      </c>
      <c r="N13" s="2">
        <f>IF(COUNT('Turns'!E25)=1,SUM('Turns'!E25),"Unknown")</f>
        <v>0.0</v>
      </c>
      <c r="O13" s="2">
        <f>IF(COUNT('Turns'!F25)=1,SUM('Turns'!F25),"Unknown")</f>
        <v>0.0</v>
      </c>
      <c r="P13" s="2">
        <f>IF(COUNT('Turns'!D28)=1,SUM('Turns'!D28),"Unknown")</f>
        <v>1060.0</v>
      </c>
      <c r="Q13" s="2">
        <f>IF(COUNT('Turns'!E28)=1,SUM('Turns'!E28),"Unknown")</f>
        <v>0.00023117805</v>
      </c>
      <c r="R13" s="2">
        <f>IF(COUNT('Turns'!F28)=1,SUM('Turns'!F28),"Unknown")</f>
        <v>0.000265</v>
      </c>
      <c r="S13" s="2">
        <f>IF(COUNT('Turns'!D32)=1,SUM('Turns'!D32),"Unknown")</f>
        <v>130.0</v>
      </c>
      <c r="T13" s="2">
        <f>IF(COUNT('Turns'!E32)=1,SUM('Turns'!E32),"Unknown")</f>
        <v>0.00013608972</v>
      </c>
      <c r="U13" s="2">
        <f>IF(COUNT('Turns'!F32)=1,SUM('Turns'!F32),"Unknown")</f>
        <v>0.000156</v>
      </c>
      <c r="V13" s="2">
        <f>IF(COUNT('Turns'!D31)=1,SUM('Turns'!D31),"Unknown")</f>
        <v>131.0</v>
      </c>
      <c r="W13" s="2">
        <f>IF(COUNT('Turns'!E31)=1,SUM('Turns'!E31),"Unknown")</f>
        <v>0.000137136564</v>
      </c>
      <c r="X13" s="2">
        <f>IF(COUNT('Turns'!F31)=1,SUM('Turns'!F31),"Unknown")</f>
        <v>0.0001572</v>
      </c>
      <c r="Y13" s="2">
        <f>IF(COUNT('Turns'!E36)=1,SUM('Turns'!E36),"Unknown")</f>
        <v>0.000504927756</v>
      </c>
      <c r="Z13" s="2">
        <f>IF(COUNT('Turns'!F36)=1,SUM('Turns'!F36),"Unknown")</f>
        <v>0.0005788</v>
      </c>
      <c r="AA13" s="5">
        <f>IF(ISNUMBER(Y13),ROUND(Y13*'Reference data'!$B$2,0),"Unknown")</f>
        <v>50.0</v>
      </c>
      <c r="AB13" s="5">
        <f>IF(ISNUMBER(Z13),ROUND(Z13*'Reference data'!$B$2,0),"Unknown")</f>
        <v>58.0</v>
      </c>
      <c r="AC13" s="1" t="s">
        <v>121</v>
      </c>
      <c r="AD13" s="1">
        <v>2957.011</v>
      </c>
      <c r="AE13" s="1" t="s">
        <v>163</v>
      </c>
    </row>
    <row r="14" spans="1:31" ht="54" customHeight="1">
      <c r="A14" s="6" t="s">
        <v>164</v>
      </c>
      <c r="B14" s="1">
        <v>1</v>
      </c>
      <c r="C14" s="1" t="s">
        <v>150</v>
      </c>
      <c r="D14" s="1" t="s">
        <v>47</v>
      </c>
      <c r="E14" s="1" t="s">
        <v>176</v>
      </c>
      <c r="G14" s="6" t="s">
        <v>165</v>
      </c>
      <c r="H14" t="s">
        <v>177</v>
      </c>
      <c r="I14" t="s">
        <v>49</v>
      </c>
      <c r="AD14" s="1">
        <v>0.305</v>
      </c>
      <c r="AE14" s="1" t="s">
        <v>156</v>
      </c>
    </row>
    <row r="15" spans="1:31" ht="54" customHeight="1">
      <c r="A15" s="6" t="s">
        <v>149</v>
      </c>
      <c r="B15" s="1">
        <v>0</v>
      </c>
      <c r="C15" s="1" t="s">
        <v>150</v>
      </c>
      <c r="D15" s="1" t="s">
        <v>47</v>
      </c>
      <c r="E15" s="1" t="s">
        <v>111</v>
      </c>
      <c r="G15" s="6" t="s">
        <v>151</v>
      </c>
      <c r="H15" t="s">
        <v>178</v>
      </c>
      <c r="J15" s="2">
        <f>IF(COUNT('Turns'!D42,'Turns'!D57)=2,SUM('Turns'!D42,'Turns'!D57),"Unknown")</f>
        <v>6.0</v>
      </c>
      <c r="K15" s="2">
        <f>IF(COUNT('Turns'!E42,'Turns'!E57)=2,SUM('Turns'!E42,'Turns'!E57),"Unknown")</f>
        <v>1.046844e-06</v>
      </c>
      <c r="L15" s="2">
        <f>IF(COUNT('Turns'!F42,'Turns'!F57)=2,SUM('Turns'!F42,'Turns'!F57),"Unknown")</f>
        <v>1.2e-06</v>
      </c>
      <c r="M15" s="2">
        <f>IF(COUNT('Turns'!D41,'Turns'!D56)=2,SUM('Turns'!D41,'Turns'!D56),"Unknown")</f>
        <v>2407.0</v>
      </c>
      <c r="N15" s="2">
        <f>IF(COUNT('Turns'!E41,'Turns'!E56)=2,SUM('Turns'!E41,'Turns'!E56),"Unknown")</f>
        <v>4.19958918e-05</v>
      </c>
      <c r="O15" s="2">
        <f>IF(COUNT('Turns'!F41,'Turns'!F56)=2,SUM('Turns'!F41,'Turns'!F56),"Unknown")</f>
        <v>4.814e-05</v>
      </c>
      <c r="P15" s="2">
        <f>IF(COUNT('Turns'!D44,'Turns'!D59)=2,SUM('Turns'!D44,'Turns'!D59),"Unknown")</f>
        <v>380.0</v>
      </c>
      <c r="Q15" s="2">
        <f>IF(COUNT('Turns'!E44,'Turns'!E59)=2,SUM('Turns'!E44,'Turns'!E59),"Unknown")</f>
        <v>8.287515e-05</v>
      </c>
      <c r="R15" s="2">
        <f>IF(COUNT('Turns'!F44,'Turns'!F59)=2,SUM('Turns'!F44,'Turns'!F59),"Unknown")</f>
        <v>9.5e-05</v>
      </c>
      <c r="S15" s="2">
        <f>IF(COUNT('Turns'!D47,'Turns'!D62)=2,SUM('Turns'!D47,'Turns'!D62),"Unknown")</f>
        <v>173.0</v>
      </c>
      <c r="T15" s="2">
        <f>IF(COUNT('Turns'!E47,'Turns'!E62)=2,SUM('Turns'!E47,'Turns'!E62),"Unknown")</f>
        <v>0.000181104012</v>
      </c>
      <c r="U15" s="2">
        <f>IF(COUNT('Turns'!F47,'Turns'!F62)=2,SUM('Turns'!F47,'Turns'!F62),"Unknown")</f>
        <v>0.0002076</v>
      </c>
      <c r="V15" s="2">
        <v>0</v>
      </c>
      <c r="W15" s="2">
        <v>0</v>
      </c>
      <c r="X15" s="2">
        <v>0</v>
      </c>
      <c r="Y15" s="2">
        <f>IF(COUNT('Turns'!E51,'Turns'!E66)=2,SUM('Turns'!E51,'Turns'!E66),"Unknown")</f>
        <v>0.0003070218978</v>
      </c>
      <c r="Z15" s="2">
        <f>IF(COUNT('Turns'!F51,'Turns'!F66)=2,SUM('Turns'!F51,'Turns'!F66),"Unknown")</f>
        <v>0.00035194</v>
      </c>
      <c r="AA15" s="5">
        <f>IF(ISNUMBER(Y15),ROUND(Y15*'Reference data'!$B$2,0),"Unknown")</f>
        <v>31.0</v>
      </c>
      <c r="AB15" s="5">
        <f>IF(ISNUMBER(Z15),ROUND(Z15*'Reference data'!$B$2,0),"Unknown")</f>
        <v>35.0</v>
      </c>
      <c r="AD15" s="1">
        <v>2754.788</v>
      </c>
      <c r="AE15" s="1" t="s">
        <v>152</v>
      </c>
    </row>
    <row r="16" spans="1:31" ht="54" customHeight="1">
      <c r="A16" s="6" t="s">
        <v>164</v>
      </c>
      <c r="B16" s="1">
        <v>1</v>
      </c>
      <c r="C16" s="1" t="s">
        <v>150</v>
      </c>
      <c r="D16" s="1" t="s">
        <v>47</v>
      </c>
      <c r="E16" s="1" t="s">
        <v>111</v>
      </c>
      <c r="G16" s="6" t="s">
        <v>165</v>
      </c>
      <c r="H16" t="s">
        <v>179</v>
      </c>
      <c r="I16" t="s">
        <v>178</v>
      </c>
      <c r="AD16" s="1">
        <v>0.467</v>
      </c>
      <c r="AE16" s="1" t="s">
        <v>156</v>
      </c>
    </row>
    <row r="17" spans="1:31" ht="54" customHeight="1">
      <c r="A17" s="6" t="s">
        <v>167</v>
      </c>
      <c r="B17" s="1">
        <v>1</v>
      </c>
      <c r="C17" s="1" t="s">
        <v>150</v>
      </c>
      <c r="D17" s="1" t="s">
        <v>47</v>
      </c>
      <c r="E17" s="1" t="s">
        <v>111</v>
      </c>
      <c r="G17" s="6" t="s">
        <v>168</v>
      </c>
      <c r="H17" t="s">
        <v>180</v>
      </c>
      <c r="I17" t="s">
        <v>178</v>
      </c>
      <c r="AD17" s="1">
        <v>3.697</v>
      </c>
      <c r="AE17" s="1" t="s">
        <v>156</v>
      </c>
    </row>
    <row r="18" spans="1:31" ht="54" customHeight="1">
      <c r="A18" s="6" t="s">
        <v>181</v>
      </c>
      <c r="B18" s="1">
        <v>2</v>
      </c>
      <c r="C18" s="1" t="s">
        <v>171</v>
      </c>
      <c r="D18" s="1" t="s">
        <v>47</v>
      </c>
      <c r="E18" s="1" t="s">
        <v>111</v>
      </c>
      <c r="G18" s="6" t="s">
        <v>182</v>
      </c>
      <c r="H18" t="s">
        <v>128</v>
      </c>
      <c r="I18" t="s">
        <v>180</v>
      </c>
      <c r="AD18" s="1">
        <v>1.828</v>
      </c>
      <c r="AE18" s="1" t="s">
        <v>156</v>
      </c>
    </row>
    <row r="19" spans="1:31" ht="54" customHeight="1">
      <c r="A19" s="6" t="s">
        <v>153</v>
      </c>
      <c r="B19" s="1">
        <v>1</v>
      </c>
      <c r="C19" s="1" t="s">
        <v>150</v>
      </c>
      <c r="D19" s="1" t="s">
        <v>47</v>
      </c>
      <c r="E19" s="1" t="s">
        <v>111</v>
      </c>
      <c r="G19" s="6" t="s">
        <v>154</v>
      </c>
      <c r="H19" t="s">
        <v>183</v>
      </c>
      <c r="I19" t="s">
        <v>178</v>
      </c>
      <c r="AD19" s="1">
        <v>0.307</v>
      </c>
      <c r="AE19" s="1" t="s">
        <v>156</v>
      </c>
    </row>
    <row r="20" spans="1:31" ht="54" customHeight="1">
      <c r="A20" s="6" t="s">
        <v>157</v>
      </c>
      <c r="B20" s="1">
        <v>1</v>
      </c>
      <c r="C20" s="1" t="s">
        <v>150</v>
      </c>
      <c r="D20" s="1" t="s">
        <v>47</v>
      </c>
      <c r="E20" s="1" t="s">
        <v>111</v>
      </c>
      <c r="G20" s="6" t="s">
        <v>158</v>
      </c>
      <c r="H20" t="s">
        <v>184</v>
      </c>
      <c r="I20" t="s">
        <v>178</v>
      </c>
      <c r="J20" s="2">
        <f>IF(COUNT('Turns'!D42)=1,SUM('Turns'!D42),"Unknown")</f>
        <v>3.0</v>
      </c>
      <c r="K20" s="2">
        <f>IF(COUNT('Turns'!E42)=1,SUM('Turns'!E42),"Unknown")</f>
        <v>5.23422e-07</v>
      </c>
      <c r="L20" s="2">
        <f>IF(COUNT('Turns'!F42)=1,SUM('Turns'!F42),"Unknown")</f>
        <v>6e-07</v>
      </c>
      <c r="M20" s="2">
        <f>IF(COUNT('Turns'!D41)=1,SUM('Turns'!D41),"Unknown")</f>
        <v>1060.0</v>
      </c>
      <c r="N20" s="2">
        <f>IF(COUNT('Turns'!E41)=1,SUM('Turns'!E41),"Unknown")</f>
        <v>1.8494244e-05</v>
      </c>
      <c r="O20" s="2">
        <f>IF(COUNT('Turns'!F41)=1,SUM('Turns'!F41),"Unknown")</f>
        <v>2.12e-05</v>
      </c>
      <c r="P20" s="2">
        <f>IF(COUNT('Turns'!D44)=1,SUM('Turns'!D44),"Unknown")</f>
        <v>287.0</v>
      </c>
      <c r="Q20" s="2">
        <f>IF(COUNT('Turns'!E44)=1,SUM('Turns'!E44),"Unknown")</f>
        <v>6.25925475e-05</v>
      </c>
      <c r="R20" s="2">
        <f>IF(COUNT('Turns'!F44)=1,SUM('Turns'!F44),"Unknown")</f>
        <v>7.175e-05</v>
      </c>
      <c r="S20" s="2">
        <f>IF(COUNT('Turns'!D47)=1,SUM('Turns'!D47),"Unknown")</f>
        <v>29.0</v>
      </c>
      <c r="T20" s="2">
        <f>IF(COUNT('Turns'!E47)=1,SUM('Turns'!E47),"Unknown")</f>
        <v>3.0358476e-05</v>
      </c>
      <c r="U20" s="2">
        <f>IF(COUNT('Turns'!F47)=1,SUM('Turns'!F47),"Unknown")</f>
        <v>3.48e-05</v>
      </c>
      <c r="V20" s="2">
        <v>0</v>
      </c>
      <c r="W20" s="2">
        <v>0</v>
      </c>
      <c r="X20" s="2">
        <v>0</v>
      </c>
      <c r="Y20" s="2">
        <f>IF(COUNT('Turns'!E51)=1,SUM('Turns'!E51),"Unknown")</f>
        <v>0.0001119686895</v>
      </c>
      <c r="Z20" s="2">
        <f>IF(COUNT('Turns'!F51)=1,SUM('Turns'!F51),"Unknown")</f>
        <v>0.00012835</v>
      </c>
      <c r="AA20" s="5">
        <f>IF(ISNUMBER(Y20),ROUND(Y20*'Reference data'!$B$2,0),"Unknown")</f>
        <v>11.0</v>
      </c>
      <c r="AB20" s="5">
        <f>IF(ISNUMBER(Z20),ROUND(Z20*'Reference data'!$B$2,0),"Unknown")</f>
        <v>13.0</v>
      </c>
      <c r="AD20" s="1">
        <v>1149.281</v>
      </c>
      <c r="AE20" s="1" t="s">
        <v>152</v>
      </c>
    </row>
    <row r="21" spans="1:31" ht="54" customHeight="1">
      <c r="A21" s="6" t="s">
        <v>160</v>
      </c>
      <c r="B21" s="1">
        <v>2</v>
      </c>
      <c r="C21" s="1" t="s">
        <v>161</v>
      </c>
      <c r="D21" s="1" t="s">
        <v>95</v>
      </c>
      <c r="E21" s="1" t="s">
        <v>111</v>
      </c>
      <c r="F21" s="1">
        <v>1350</v>
      </c>
      <c r="G21" s="6" t="s">
        <v>162</v>
      </c>
      <c r="H21" t="s">
        <v>132</v>
      </c>
      <c r="I21" t="s">
        <v>184</v>
      </c>
      <c r="J21" s="2">
        <f>IF(COUNT('Turns'!D42)=1,SUM('Turns'!D42),"Unknown")</f>
        <v>3.0</v>
      </c>
      <c r="K21" s="2">
        <f>IF(COUNT('Turns'!E42)=1,SUM('Turns'!E42),"Unknown")</f>
        <v>5.23422e-07</v>
      </c>
      <c r="L21" s="2">
        <f>IF(COUNT('Turns'!F42)=1,SUM('Turns'!F42),"Unknown")</f>
        <v>6e-07</v>
      </c>
      <c r="M21" s="2">
        <f>IF(COUNT('Turns'!D41)=1,SUM('Turns'!D41),"Unknown")</f>
        <v>1060.0</v>
      </c>
      <c r="N21" s="2">
        <f>IF(COUNT('Turns'!E41)=1,SUM('Turns'!E41),"Unknown")</f>
        <v>1.8494244e-05</v>
      </c>
      <c r="O21" s="2">
        <f>IF(COUNT('Turns'!F41)=1,SUM('Turns'!F41),"Unknown")</f>
        <v>2.12e-05</v>
      </c>
      <c r="P21" s="2">
        <f>IF(COUNT('Turns'!D44)=1,SUM('Turns'!D44),"Unknown")</f>
        <v>287.0</v>
      </c>
      <c r="Q21" s="2">
        <f>IF(COUNT('Turns'!E44)=1,SUM('Turns'!E44),"Unknown")</f>
        <v>6.25925475e-05</v>
      </c>
      <c r="R21" s="2">
        <f>IF(COUNT('Turns'!F44)=1,SUM('Turns'!F44),"Unknown")</f>
        <v>7.175e-05</v>
      </c>
      <c r="S21" s="2">
        <f>IF(COUNT('Turns'!D47)=1,SUM('Turns'!D47),"Unknown")</f>
        <v>29.0</v>
      </c>
      <c r="T21" s="2">
        <f>IF(COUNT('Turns'!E47)=1,SUM('Turns'!E47),"Unknown")</f>
        <v>3.0358476e-05</v>
      </c>
      <c r="U21" s="2">
        <f>IF(COUNT('Turns'!F47)=1,SUM('Turns'!F47),"Unknown")</f>
        <v>3.48e-05</v>
      </c>
      <c r="V21" s="2">
        <v>0</v>
      </c>
      <c r="W21" s="2">
        <v>0</v>
      </c>
      <c r="X21" s="2">
        <v>0</v>
      </c>
      <c r="Y21" s="2">
        <f>IF(COUNT('Turns'!E51)=1,SUM('Turns'!E51),"Unknown")</f>
        <v>0.0001119686895</v>
      </c>
      <c r="Z21" s="2">
        <f>IF(COUNT('Turns'!F51)=1,SUM('Turns'!F51),"Unknown")</f>
        <v>0.00012835</v>
      </c>
      <c r="AA21" s="5">
        <f>IF(ISNUMBER(Y21),ROUND(Y21*'Reference data'!$B$2,0),"Unknown")</f>
        <v>11.0</v>
      </c>
      <c r="AB21" s="5">
        <f>IF(ISNUMBER(Z21),ROUND(Z21*'Reference data'!$B$2,0),"Unknown")</f>
        <v>13.0</v>
      </c>
      <c r="AC21" s="1" t="s">
        <v>131</v>
      </c>
      <c r="AD21" s="1">
        <v>1147.722</v>
      </c>
      <c r="AE21" s="1" t="s">
        <v>163</v>
      </c>
    </row>
    <row r="22" spans="1:31" ht="54" customHeight="1">
      <c r="A22" s="6" t="s">
        <v>164</v>
      </c>
      <c r="B22" s="1">
        <v>1</v>
      </c>
      <c r="C22" s="1" t="s">
        <v>150</v>
      </c>
      <c r="D22" s="1" t="s">
        <v>47</v>
      </c>
      <c r="E22" s="1" t="s">
        <v>111</v>
      </c>
      <c r="G22" s="6" t="s">
        <v>165</v>
      </c>
      <c r="H22" t="s">
        <v>185</v>
      </c>
      <c r="I22" t="s">
        <v>178</v>
      </c>
      <c r="AD22" s="1">
        <v>0.446</v>
      </c>
      <c r="AE22" s="1" t="s">
        <v>156</v>
      </c>
    </row>
    <row r="23" spans="1:31" ht="54" customHeight="1">
      <c r="A23" s="6" t="s">
        <v>167</v>
      </c>
      <c r="B23" s="1">
        <v>1</v>
      </c>
      <c r="C23" s="1" t="s">
        <v>150</v>
      </c>
      <c r="D23" s="1" t="s">
        <v>47</v>
      </c>
      <c r="E23" s="1" t="s">
        <v>111</v>
      </c>
      <c r="G23" s="6" t="s">
        <v>168</v>
      </c>
      <c r="H23" t="s">
        <v>186</v>
      </c>
      <c r="I23" t="s">
        <v>178</v>
      </c>
      <c r="AD23" s="1">
        <v>4.872</v>
      </c>
      <c r="AE23" s="1" t="s">
        <v>156</v>
      </c>
    </row>
    <row r="24" spans="1:31" ht="54" customHeight="1">
      <c r="A24" s="6" t="s">
        <v>170</v>
      </c>
      <c r="B24" s="1">
        <v>2</v>
      </c>
      <c r="C24" s="1" t="s">
        <v>171</v>
      </c>
      <c r="D24" s="1" t="s">
        <v>47</v>
      </c>
      <c r="E24" s="1" t="s">
        <v>111</v>
      </c>
      <c r="G24" s="6" t="s">
        <v>172</v>
      </c>
      <c r="H24" t="s">
        <v>134</v>
      </c>
      <c r="I24" t="s">
        <v>186</v>
      </c>
      <c r="AD24" s="1">
        <v>1.343</v>
      </c>
      <c r="AE24" s="1" t="s">
        <v>156</v>
      </c>
    </row>
    <row r="25" spans="1:31" ht="54" customHeight="1">
      <c r="A25" s="6" t="s">
        <v>153</v>
      </c>
      <c r="B25" s="1">
        <v>1</v>
      </c>
      <c r="C25" s="1" t="s">
        <v>150</v>
      </c>
      <c r="D25" s="1" t="s">
        <v>47</v>
      </c>
      <c r="E25" s="1" t="s">
        <v>111</v>
      </c>
      <c r="G25" s="6" t="s">
        <v>154</v>
      </c>
      <c r="H25" t="s">
        <v>187</v>
      </c>
      <c r="I25" t="s">
        <v>178</v>
      </c>
      <c r="AD25" s="1">
        <v>0.284</v>
      </c>
      <c r="AE25" s="1" t="s">
        <v>156</v>
      </c>
    </row>
    <row r="26" spans="1:31" ht="54" customHeight="1">
      <c r="A26" s="6" t="s">
        <v>157</v>
      </c>
      <c r="B26" s="1">
        <v>1</v>
      </c>
      <c r="C26" s="1" t="s">
        <v>150</v>
      </c>
      <c r="D26" s="1" t="s">
        <v>47</v>
      </c>
      <c r="E26" s="1" t="s">
        <v>111</v>
      </c>
      <c r="G26" s="6" t="s">
        <v>158</v>
      </c>
      <c r="H26" t="s">
        <v>188</v>
      </c>
      <c r="I26" t="s">
        <v>178</v>
      </c>
      <c r="J26" s="2">
        <f>IF(COUNT('Turns'!D57)=1,SUM('Turns'!D57),"Unknown")</f>
        <v>3.0</v>
      </c>
      <c r="K26" s="2">
        <f>IF(COUNT('Turns'!E57)=1,SUM('Turns'!E57),"Unknown")</f>
        <v>5.23422e-07</v>
      </c>
      <c r="L26" s="2">
        <f>IF(COUNT('Turns'!F57)=1,SUM('Turns'!F57),"Unknown")</f>
        <v>6e-07</v>
      </c>
      <c r="M26" s="2">
        <f>IF(COUNT('Turns'!D56)=1,SUM('Turns'!D56),"Unknown")</f>
        <v>1347.0</v>
      </c>
      <c r="N26" s="2">
        <f>IF(COUNT('Turns'!E56)=1,SUM('Turns'!E56),"Unknown")</f>
        <v>2.35016478e-05</v>
      </c>
      <c r="O26" s="2">
        <f>IF(COUNT('Turns'!F56)=1,SUM('Turns'!F56),"Unknown")</f>
        <v>2.694e-05</v>
      </c>
      <c r="P26" s="2">
        <f>IF(COUNT('Turns'!D59)=1,SUM('Turns'!D59),"Unknown")</f>
        <v>93.0</v>
      </c>
      <c r="Q26" s="2">
        <f>IF(COUNT('Turns'!E59)=1,SUM('Turns'!E59),"Unknown")</f>
        <v>2.02826025e-05</v>
      </c>
      <c r="R26" s="2">
        <f>IF(COUNT('Turns'!F59)=1,SUM('Turns'!F59),"Unknown")</f>
        <v>2.325e-05</v>
      </c>
      <c r="S26" s="2">
        <f>IF(COUNT('Turns'!D62)=1,SUM('Turns'!D62),"Unknown")</f>
        <v>144.0</v>
      </c>
      <c r="T26" s="2">
        <f>IF(COUNT('Turns'!E62)=1,SUM('Turns'!E62),"Unknown")</f>
        <v>0.000150745536</v>
      </c>
      <c r="U26" s="2">
        <f>IF(COUNT('Turns'!F62)=1,SUM('Turns'!F62),"Unknown")</f>
        <v>0.0001728</v>
      </c>
      <c r="V26" s="2">
        <v>0</v>
      </c>
      <c r="W26" s="2">
        <v>0</v>
      </c>
      <c r="X26" s="2">
        <v>0</v>
      </c>
      <c r="Y26" s="2">
        <f>IF(COUNT('Turns'!E66)=1,SUM('Turns'!E66),"Unknown")</f>
        <v>0.0001950532083</v>
      </c>
      <c r="Z26" s="2">
        <f>IF(COUNT('Turns'!F66)=1,SUM('Turns'!F66),"Unknown")</f>
        <v>0.00022359</v>
      </c>
      <c r="AA26" s="5">
        <f>IF(ISNUMBER(Y26),ROUND(Y26*'Reference data'!$B$2,0),"Unknown")</f>
        <v>20.0</v>
      </c>
      <c r="AB26" s="5">
        <f>IF(ISNUMBER(Z26),ROUND(Z26*'Reference data'!$B$2,0),"Unknown")</f>
        <v>22.0</v>
      </c>
      <c r="AD26" s="1">
        <v>1587.349</v>
      </c>
      <c r="AE26" s="1" t="s">
        <v>152</v>
      </c>
    </row>
    <row r="27" spans="1:31" ht="54" customHeight="1">
      <c r="A27" s="6" t="s">
        <v>160</v>
      </c>
      <c r="B27" s="1">
        <v>2</v>
      </c>
      <c r="C27" s="1" t="s">
        <v>161</v>
      </c>
      <c r="D27" s="1" t="s">
        <v>95</v>
      </c>
      <c r="E27" s="1" t="s">
        <v>111</v>
      </c>
      <c r="F27" s="1">
        <v>1443</v>
      </c>
      <c r="G27" s="6" t="s">
        <v>162</v>
      </c>
      <c r="H27" t="s">
        <v>137</v>
      </c>
      <c r="I27" t="s">
        <v>188</v>
      </c>
      <c r="J27" s="2">
        <f>IF(COUNT('Turns'!D57)=1,SUM('Turns'!D57),"Unknown")</f>
        <v>3.0</v>
      </c>
      <c r="K27" s="2">
        <f>IF(COUNT('Turns'!E57)=1,SUM('Turns'!E57),"Unknown")</f>
        <v>5.23422e-07</v>
      </c>
      <c r="L27" s="2">
        <f>IF(COUNT('Turns'!F57)=1,SUM('Turns'!F57),"Unknown")</f>
        <v>6e-07</v>
      </c>
      <c r="M27" s="2">
        <f>IF(COUNT('Turns'!D56)=1,SUM('Turns'!D56),"Unknown")</f>
        <v>1347.0</v>
      </c>
      <c r="N27" s="2">
        <f>IF(COUNT('Turns'!E56)=1,SUM('Turns'!E56),"Unknown")</f>
        <v>2.35016478e-05</v>
      </c>
      <c r="O27" s="2">
        <f>IF(COUNT('Turns'!F56)=1,SUM('Turns'!F56),"Unknown")</f>
        <v>2.694e-05</v>
      </c>
      <c r="P27" s="2">
        <f>IF(COUNT('Turns'!D59)=1,SUM('Turns'!D59),"Unknown")</f>
        <v>93.0</v>
      </c>
      <c r="Q27" s="2">
        <f>IF(COUNT('Turns'!E59)=1,SUM('Turns'!E59),"Unknown")</f>
        <v>2.02826025e-05</v>
      </c>
      <c r="R27" s="2">
        <f>IF(COUNT('Turns'!F59)=1,SUM('Turns'!F59),"Unknown")</f>
        <v>2.325e-05</v>
      </c>
      <c r="S27" s="2">
        <f>IF(COUNT('Turns'!D62)=1,SUM('Turns'!D62),"Unknown")</f>
        <v>144.0</v>
      </c>
      <c r="T27" s="2">
        <f>IF(COUNT('Turns'!E62)=1,SUM('Turns'!E62),"Unknown")</f>
        <v>0.000150745536</v>
      </c>
      <c r="U27" s="2">
        <f>IF(COUNT('Turns'!F62)=1,SUM('Turns'!F62),"Unknown")</f>
        <v>0.0001728</v>
      </c>
      <c r="V27" s="2">
        <v>0</v>
      </c>
      <c r="W27" s="2">
        <v>0</v>
      </c>
      <c r="X27" s="2">
        <v>0</v>
      </c>
      <c r="Y27" s="2">
        <f>IF(COUNT('Turns'!E66)=1,SUM('Turns'!E66),"Unknown")</f>
        <v>0.0001950532083</v>
      </c>
      <c r="Z27" s="2">
        <f>IF(COUNT('Turns'!F66)=1,SUM('Turns'!F66),"Unknown")</f>
        <v>0.00022359</v>
      </c>
      <c r="AA27" s="5">
        <f>IF(ISNUMBER(Y27),ROUND(Y27*'Reference data'!$B$2,0),"Unknown")</f>
        <v>20.0</v>
      </c>
      <c r="AB27" s="5">
        <f>IF(ISNUMBER(Z27),ROUND(Z27*'Reference data'!$B$2,0),"Unknown")</f>
        <v>22.0</v>
      </c>
      <c r="AC27" s="1" t="s">
        <v>136</v>
      </c>
      <c r="AD27" s="1">
        <v>1585.396</v>
      </c>
      <c r="AE27" s="1" t="s">
        <v>163</v>
      </c>
    </row>
    <row r="28" spans="1:31" ht="54" customHeight="1">
      <c r="A28" s="6" t="s">
        <v>164</v>
      </c>
      <c r="B28" s="1">
        <v>1</v>
      </c>
      <c r="C28" s="1" t="s">
        <v>150</v>
      </c>
      <c r="D28" s="1" t="s">
        <v>47</v>
      </c>
      <c r="E28" s="1" t="s">
        <v>176</v>
      </c>
      <c r="G28" s="6" t="s">
        <v>165</v>
      </c>
      <c r="H28" t="s">
        <v>189</v>
      </c>
      <c r="I28" t="s">
        <v>178</v>
      </c>
      <c r="AD28" s="1">
        <v>0.301</v>
      </c>
      <c r="AE28" s="1" t="s">
        <v>156</v>
      </c>
    </row>
    <row r="29" spans="1:31" ht="54" customHeight="1">
      <c r="A29" s="6" t="s">
        <v>149</v>
      </c>
      <c r="B29" s="1">
        <v>0</v>
      </c>
      <c r="C29" s="1" t="s">
        <v>150</v>
      </c>
      <c r="D29" s="1" t="s">
        <v>47</v>
      </c>
      <c r="E29" s="1" t="s">
        <v>111</v>
      </c>
      <c r="G29" s="6" t="s">
        <v>151</v>
      </c>
      <c r="H29" t="s">
        <v>190</v>
      </c>
      <c r="J29" s="2">
        <f>IF(COUNT('Turns'!D72,'Turns'!D87)=2,SUM('Turns'!D72,'Turns'!D87),"Unknown")</f>
        <v>6.0</v>
      </c>
      <c r="K29" s="2">
        <f>IF(COUNT('Turns'!E72,'Turns'!E87)=2,SUM('Turns'!E72,'Turns'!E87),"Unknown")</f>
        <v>1.046844e-06</v>
      </c>
      <c r="L29" s="2">
        <f>IF(COUNT('Turns'!F72,'Turns'!F87)=2,SUM('Turns'!F72,'Turns'!F87),"Unknown")</f>
        <v>1.2e-06</v>
      </c>
      <c r="M29" s="2">
        <f>IF(COUNT('Turns'!D71,'Turns'!D86)=2,SUM('Turns'!D71,'Turns'!D86),"Unknown")</f>
        <v>3050.0</v>
      </c>
      <c r="N29" s="2">
        <f>IF(COUNT('Turns'!E71,'Turns'!E86)=2,SUM('Turns'!E71,'Turns'!E86),"Unknown")</f>
        <v>5.321457e-05</v>
      </c>
      <c r="O29" s="2">
        <f>IF(COUNT('Turns'!F71,'Turns'!F86)=2,SUM('Turns'!F71,'Turns'!F86),"Unknown")</f>
        <v>6.1e-05</v>
      </c>
      <c r="P29" s="2">
        <f>IF(COUNT('Turns'!D74,'Turns'!D89)=2,SUM('Turns'!D74,'Turns'!D89),"Unknown")</f>
        <v>270.0</v>
      </c>
      <c r="Q29" s="2">
        <f>IF(COUNT('Turns'!E74,'Turns'!E89)=2,SUM('Turns'!E74,'Turns'!E89),"Unknown")</f>
        <v>5.8884975e-05</v>
      </c>
      <c r="R29" s="2">
        <f>IF(COUNT('Turns'!F74,'Turns'!F89)=2,SUM('Turns'!F74,'Turns'!F89),"Unknown")</f>
        <v>6.75e-05</v>
      </c>
      <c r="S29" s="2">
        <f>IF(COUNT('Turns'!D77,'Turns'!D92)=2,SUM('Turns'!D77,'Turns'!D92),"Unknown")</f>
        <v>45.0</v>
      </c>
      <c r="T29" s="2">
        <f>IF(COUNT('Turns'!E77,'Turns'!E92)=2,SUM('Turns'!E77,'Turns'!E92),"Unknown")</f>
        <v>4.710798e-05</v>
      </c>
      <c r="U29" s="2">
        <f>IF(COUNT('Turns'!F77,'Turns'!F92)=2,SUM('Turns'!F77,'Turns'!F92),"Unknown")</f>
        <v>5.4e-05</v>
      </c>
      <c r="V29" s="2">
        <v>0</v>
      </c>
      <c r="W29" s="2">
        <v>0</v>
      </c>
      <c r="X29" s="2">
        <v>0</v>
      </c>
      <c r="Y29" s="2">
        <f>IF(COUNT('Turns'!E81,'Turns'!E96)=2,SUM('Turns'!E81,'Turns'!E96),"Unknown")</f>
        <v>0.000160254369</v>
      </c>
      <c r="Z29" s="2">
        <f>IF(COUNT('Turns'!F81,'Turns'!F96)=2,SUM('Turns'!F81,'Turns'!F96),"Unknown")</f>
        <v>0.0001837</v>
      </c>
      <c r="AA29" s="5">
        <f>IF(ISNUMBER(Y29),ROUND(Y29*'Reference data'!$B$2,0),"Unknown")</f>
        <v>16.0</v>
      </c>
      <c r="AB29" s="5">
        <f>IF(ISNUMBER(Z29),ROUND(Z29*'Reference data'!$B$2,0),"Unknown")</f>
        <v>18.0</v>
      </c>
      <c r="AD29" s="1">
        <v>1824.85</v>
      </c>
      <c r="AE29" s="1" t="s">
        <v>152</v>
      </c>
    </row>
    <row r="30" spans="1:31" ht="54" customHeight="1">
      <c r="A30" s="6" t="s">
        <v>164</v>
      </c>
      <c r="B30" s="1">
        <v>1</v>
      </c>
      <c r="C30" s="1" t="s">
        <v>150</v>
      </c>
      <c r="D30" s="1" t="s">
        <v>47</v>
      </c>
      <c r="E30" s="1" t="s">
        <v>111</v>
      </c>
      <c r="G30" s="6" t="s">
        <v>165</v>
      </c>
      <c r="H30" t="s">
        <v>191</v>
      </c>
      <c r="I30" t="s">
        <v>190</v>
      </c>
      <c r="AD30" s="1">
        <v>0.402</v>
      </c>
      <c r="AE30" s="1" t="s">
        <v>156</v>
      </c>
    </row>
    <row r="31" spans="1:31" ht="54" customHeight="1">
      <c r="A31" s="6" t="s">
        <v>167</v>
      </c>
      <c r="B31" s="1">
        <v>1</v>
      </c>
      <c r="C31" s="1" t="s">
        <v>150</v>
      </c>
      <c r="D31" s="1" t="s">
        <v>47</v>
      </c>
      <c r="E31" s="1" t="s">
        <v>111</v>
      </c>
      <c r="G31" s="6" t="s">
        <v>168</v>
      </c>
      <c r="H31" t="s">
        <v>192</v>
      </c>
      <c r="I31" t="s">
        <v>190</v>
      </c>
      <c r="AD31" s="1">
        <v>3.253</v>
      </c>
      <c r="AE31" s="1" t="s">
        <v>156</v>
      </c>
    </row>
    <row r="32" spans="1:31" ht="54" customHeight="1">
      <c r="A32" s="6" t="s">
        <v>181</v>
      </c>
      <c r="B32" s="1">
        <v>2</v>
      </c>
      <c r="C32" s="1" t="s">
        <v>171</v>
      </c>
      <c r="D32" s="1" t="s">
        <v>47</v>
      </c>
      <c r="E32" s="1" t="s">
        <v>111</v>
      </c>
      <c r="G32" s="6" t="s">
        <v>182</v>
      </c>
      <c r="H32" t="s">
        <v>139</v>
      </c>
      <c r="I32" t="s">
        <v>192</v>
      </c>
      <c r="AD32" s="1">
        <v>1.243</v>
      </c>
      <c r="AE32" s="1" t="s">
        <v>156</v>
      </c>
    </row>
    <row r="33" spans="1:31" ht="54" customHeight="1">
      <c r="A33" s="6" t="s">
        <v>153</v>
      </c>
      <c r="B33" s="1">
        <v>1</v>
      </c>
      <c r="C33" s="1" t="s">
        <v>150</v>
      </c>
      <c r="D33" s="1" t="s">
        <v>47</v>
      </c>
      <c r="E33" s="1" t="s">
        <v>111</v>
      </c>
      <c r="G33" s="6" t="s">
        <v>154</v>
      </c>
      <c r="H33" t="s">
        <v>193</v>
      </c>
      <c r="I33" t="s">
        <v>190</v>
      </c>
      <c r="AD33" s="1">
        <v>0.286</v>
      </c>
      <c r="AE33" s="1" t="s">
        <v>156</v>
      </c>
    </row>
    <row r="34" spans="1:31" ht="54" customHeight="1">
      <c r="A34" s="6" t="s">
        <v>157</v>
      </c>
      <c r="B34" s="1">
        <v>1</v>
      </c>
      <c r="C34" s="1" t="s">
        <v>150</v>
      </c>
      <c r="D34" s="1" t="s">
        <v>47</v>
      </c>
      <c r="E34" s="1" t="s">
        <v>111</v>
      </c>
      <c r="G34" s="6" t="s">
        <v>158</v>
      </c>
      <c r="H34" t="s">
        <v>194</v>
      </c>
      <c r="I34" t="s">
        <v>190</v>
      </c>
      <c r="J34" s="2">
        <f>IF(COUNT('Turns'!D72)=1,SUM('Turns'!D72),"Unknown")</f>
        <v>3.0</v>
      </c>
      <c r="K34" s="2">
        <f>IF(COUNT('Turns'!E72)=1,SUM('Turns'!E72),"Unknown")</f>
        <v>5.23422e-07</v>
      </c>
      <c r="L34" s="2">
        <f>IF(COUNT('Turns'!F72)=1,SUM('Turns'!F72),"Unknown")</f>
        <v>6e-07</v>
      </c>
      <c r="M34" s="2">
        <f>IF(COUNT('Turns'!D71)=1,SUM('Turns'!D71),"Unknown")</f>
        <v>1440.0</v>
      </c>
      <c r="N34" s="2">
        <f>IF(COUNT('Turns'!E71)=1,SUM('Turns'!E71),"Unknown")</f>
        <v>2.5124256e-05</v>
      </c>
      <c r="O34" s="2">
        <f>IF(COUNT('Turns'!F71)=1,SUM('Turns'!F71),"Unknown")</f>
        <v>2.88e-05</v>
      </c>
      <c r="P34" s="2">
        <f>IF(COUNT('Turns'!D74)=1,SUM('Turns'!D74),"Unknown")</f>
        <v>170.0</v>
      </c>
      <c r="Q34" s="2">
        <f>IF(COUNT('Turns'!E74)=1,SUM('Turns'!E74),"Unknown")</f>
        <v>3.7075725e-05</v>
      </c>
      <c r="R34" s="2">
        <f>IF(COUNT('Turns'!F74)=1,SUM('Turns'!F74),"Unknown")</f>
        <v>4.25e-05</v>
      </c>
      <c r="S34" s="2">
        <f>IF(COUNT('Turns'!D77)=1,SUM('Turns'!D77),"Unknown")</f>
        <v>29.0</v>
      </c>
      <c r="T34" s="2">
        <f>IF(COUNT('Turns'!E77)=1,SUM('Turns'!E77),"Unknown")</f>
        <v>3.0358476e-05</v>
      </c>
      <c r="U34" s="2">
        <f>IF(COUNT('Turns'!F77)=1,SUM('Turns'!F77),"Unknown")</f>
        <v>3.48e-05</v>
      </c>
      <c r="V34" s="2">
        <v>0</v>
      </c>
      <c r="W34" s="2">
        <v>0</v>
      </c>
      <c r="X34" s="2">
        <v>0</v>
      </c>
      <c r="Y34" s="2">
        <f>IF(COUNT('Turns'!E81)=1,SUM('Turns'!E81),"Unknown")</f>
        <v>9.3081879e-05</v>
      </c>
      <c r="Z34" s="2">
        <f>IF(COUNT('Turns'!F81)=1,SUM('Turns'!F81),"Unknown")</f>
        <v>0.0001067</v>
      </c>
      <c r="AA34" s="5">
        <f>IF(ISNUMBER(Y34),ROUND(Y34*'Reference data'!$B$2,0),"Unknown")</f>
        <v>9.0</v>
      </c>
      <c r="AB34" s="5">
        <f>IF(ISNUMBER(Z34),ROUND(Z34*'Reference data'!$B$2,0),"Unknown")</f>
        <v>11.0</v>
      </c>
      <c r="AD34" s="1">
        <v>971.492</v>
      </c>
      <c r="AE34" s="1" t="s">
        <v>152</v>
      </c>
    </row>
    <row r="35" spans="1:31" ht="54" customHeight="1">
      <c r="A35" s="6" t="s">
        <v>160</v>
      </c>
      <c r="B35" s="1">
        <v>2</v>
      </c>
      <c r="C35" s="1" t="s">
        <v>161</v>
      </c>
      <c r="D35" s="1" t="s">
        <v>95</v>
      </c>
      <c r="E35" s="1" t="s">
        <v>111</v>
      </c>
      <c r="F35" s="1">
        <v>1613</v>
      </c>
      <c r="G35" s="6" t="s">
        <v>162</v>
      </c>
      <c r="H35" t="s">
        <v>142</v>
      </c>
      <c r="I35" t="s">
        <v>194</v>
      </c>
      <c r="J35" s="2">
        <f>IF(COUNT('Turns'!D72)=1,SUM('Turns'!D72),"Unknown")</f>
        <v>3.0</v>
      </c>
      <c r="K35" s="2">
        <f>IF(COUNT('Turns'!E72)=1,SUM('Turns'!E72),"Unknown")</f>
        <v>5.23422e-07</v>
      </c>
      <c r="L35" s="2">
        <f>IF(COUNT('Turns'!F72)=1,SUM('Turns'!F72),"Unknown")</f>
        <v>6e-07</v>
      </c>
      <c r="M35" s="2">
        <f>IF(COUNT('Turns'!D71)=1,SUM('Turns'!D71),"Unknown")</f>
        <v>1440.0</v>
      </c>
      <c r="N35" s="2">
        <f>IF(COUNT('Turns'!E71)=1,SUM('Turns'!E71),"Unknown")</f>
        <v>2.5124256e-05</v>
      </c>
      <c r="O35" s="2">
        <f>IF(COUNT('Turns'!F71)=1,SUM('Turns'!F71),"Unknown")</f>
        <v>2.88e-05</v>
      </c>
      <c r="P35" s="2">
        <f>IF(COUNT('Turns'!D74)=1,SUM('Turns'!D74),"Unknown")</f>
        <v>170.0</v>
      </c>
      <c r="Q35" s="2">
        <f>IF(COUNT('Turns'!E74)=1,SUM('Turns'!E74),"Unknown")</f>
        <v>3.7075725e-05</v>
      </c>
      <c r="R35" s="2">
        <f>IF(COUNT('Turns'!F74)=1,SUM('Turns'!F74),"Unknown")</f>
        <v>4.25e-05</v>
      </c>
      <c r="S35" s="2">
        <f>IF(COUNT('Turns'!D77)=1,SUM('Turns'!D77),"Unknown")</f>
        <v>29.0</v>
      </c>
      <c r="T35" s="2">
        <f>IF(COUNT('Turns'!E77)=1,SUM('Turns'!E77),"Unknown")</f>
        <v>3.0358476e-05</v>
      </c>
      <c r="U35" s="2">
        <f>IF(COUNT('Turns'!F77)=1,SUM('Turns'!F77),"Unknown")</f>
        <v>3.48e-05</v>
      </c>
      <c r="V35" s="2">
        <v>0</v>
      </c>
      <c r="W35" s="2">
        <v>0</v>
      </c>
      <c r="X35" s="2">
        <v>0</v>
      </c>
      <c r="Y35" s="2">
        <f>IF(COUNT('Turns'!E81)=1,SUM('Turns'!E81),"Unknown")</f>
        <v>9.3081879e-05</v>
      </c>
      <c r="Z35" s="2">
        <f>IF(COUNT('Turns'!F81)=1,SUM('Turns'!F81),"Unknown")</f>
        <v>0.0001067</v>
      </c>
      <c r="AA35" s="5">
        <f>IF(ISNUMBER(Y35),ROUND(Y35*'Reference data'!$B$2,0),"Unknown")</f>
        <v>9.0</v>
      </c>
      <c r="AB35" s="5">
        <f>IF(ISNUMBER(Z35),ROUND(Z35*'Reference data'!$B$2,0),"Unknown")</f>
        <v>11.0</v>
      </c>
      <c r="AC35" s="1" t="s">
        <v>141</v>
      </c>
      <c r="AD35" s="1">
        <v>969.059</v>
      </c>
      <c r="AE35" s="1" t="s">
        <v>163</v>
      </c>
    </row>
    <row r="36" spans="1:31" ht="54" customHeight="1">
      <c r="A36" s="6" t="s">
        <v>164</v>
      </c>
      <c r="B36" s="1">
        <v>1</v>
      </c>
      <c r="C36" s="1" t="s">
        <v>150</v>
      </c>
      <c r="D36" s="1" t="s">
        <v>47</v>
      </c>
      <c r="E36" s="1" t="s">
        <v>111</v>
      </c>
      <c r="G36" s="6" t="s">
        <v>165</v>
      </c>
      <c r="H36" t="s">
        <v>195</v>
      </c>
      <c r="I36" t="s">
        <v>190</v>
      </c>
      <c r="AD36" s="1">
        <v>0.451</v>
      </c>
      <c r="AE36" s="1" t="s">
        <v>156</v>
      </c>
    </row>
    <row r="37" spans="1:31" ht="54" customHeight="1">
      <c r="A37" s="6" t="s">
        <v>167</v>
      </c>
      <c r="B37" s="1">
        <v>1</v>
      </c>
      <c r="C37" s="1" t="s">
        <v>150</v>
      </c>
      <c r="D37" s="1" t="s">
        <v>47</v>
      </c>
      <c r="E37" s="1" t="s">
        <v>111</v>
      </c>
      <c r="G37" s="6" t="s">
        <v>168</v>
      </c>
      <c r="H37" t="s">
        <v>196</v>
      </c>
      <c r="I37" t="s">
        <v>190</v>
      </c>
      <c r="AD37" s="1">
        <v>8.542999999999999</v>
      </c>
      <c r="AE37" s="1" t="s">
        <v>156</v>
      </c>
    </row>
    <row r="38" spans="1:31" ht="54" customHeight="1">
      <c r="A38" s="6" t="s">
        <v>170</v>
      </c>
      <c r="B38" s="1">
        <v>2</v>
      </c>
      <c r="C38" s="1" t="s">
        <v>171</v>
      </c>
      <c r="D38" s="1" t="s">
        <v>47</v>
      </c>
      <c r="E38" s="1" t="s">
        <v>111</v>
      </c>
      <c r="G38" s="6" t="s">
        <v>172</v>
      </c>
      <c r="H38" t="s">
        <v>144</v>
      </c>
      <c r="I38" t="s">
        <v>196</v>
      </c>
      <c r="AD38" s="1">
        <v>1.109</v>
      </c>
      <c r="AE38" s="1" t="s">
        <v>156</v>
      </c>
    </row>
    <row r="39" spans="1:31" ht="54" customHeight="1">
      <c r="A39" s="6" t="s">
        <v>153</v>
      </c>
      <c r="B39" s="1">
        <v>1</v>
      </c>
      <c r="C39" s="1" t="s">
        <v>150</v>
      </c>
      <c r="D39" s="1" t="s">
        <v>47</v>
      </c>
      <c r="E39" s="1" t="s">
        <v>111</v>
      </c>
      <c r="G39" s="6" t="s">
        <v>154</v>
      </c>
      <c r="H39" t="s">
        <v>197</v>
      </c>
      <c r="I39" t="s">
        <v>190</v>
      </c>
      <c r="AD39" s="1">
        <v>0.447</v>
      </c>
      <c r="AE39" s="1" t="s">
        <v>156</v>
      </c>
    </row>
    <row r="40" spans="1:31" ht="54" customHeight="1">
      <c r="A40" s="6" t="s">
        <v>157</v>
      </c>
      <c r="B40" s="1">
        <v>1</v>
      </c>
      <c r="C40" s="1" t="s">
        <v>150</v>
      </c>
      <c r="D40" s="1" t="s">
        <v>47</v>
      </c>
      <c r="E40" s="1" t="s">
        <v>111</v>
      </c>
      <c r="G40" s="6" t="s">
        <v>158</v>
      </c>
      <c r="H40" t="s">
        <v>198</v>
      </c>
      <c r="I40" t="s">
        <v>190</v>
      </c>
      <c r="J40" s="2">
        <f>IF(COUNT('Turns'!D87)=1,SUM('Turns'!D87),"Unknown")</f>
        <v>3.0</v>
      </c>
      <c r="K40" s="2">
        <f>IF(COUNT('Turns'!E87)=1,SUM('Turns'!E87),"Unknown")</f>
        <v>5.23422e-07</v>
      </c>
      <c r="L40" s="2">
        <f>IF(COUNT('Turns'!F87)=1,SUM('Turns'!F87),"Unknown")</f>
        <v>6e-07</v>
      </c>
      <c r="M40" s="2">
        <f>IF(COUNT('Turns'!D86)=1,SUM('Turns'!D86),"Unknown")</f>
        <v>1610.0</v>
      </c>
      <c r="N40" s="2">
        <f>IF(COUNT('Turns'!E86)=1,SUM('Turns'!E86),"Unknown")</f>
        <v>2.8090314e-05</v>
      </c>
      <c r="O40" s="2">
        <f>IF(COUNT('Turns'!F86)=1,SUM('Turns'!F86),"Unknown")</f>
        <v>3.22e-05</v>
      </c>
      <c r="P40" s="2">
        <f>IF(COUNT('Turns'!D89)=1,SUM('Turns'!D89),"Unknown")</f>
        <v>100.0</v>
      </c>
      <c r="Q40" s="2">
        <f>IF(COUNT('Turns'!E89)=1,SUM('Turns'!E89),"Unknown")</f>
        <v>2.180925e-05</v>
      </c>
      <c r="R40" s="2">
        <f>IF(COUNT('Turns'!F89)=1,SUM('Turns'!F89),"Unknown")</f>
        <v>2.5e-05</v>
      </c>
      <c r="S40" s="2">
        <f>IF(COUNT('Turns'!D92)=1,SUM('Turns'!D92),"Unknown")</f>
        <v>16.0</v>
      </c>
      <c r="T40" s="2">
        <f>IF(COUNT('Turns'!E92)=1,SUM('Turns'!E92),"Unknown")</f>
        <v>1.6749504e-05</v>
      </c>
      <c r="U40" s="2">
        <f>IF(COUNT('Turns'!F92)=1,SUM('Turns'!F92),"Unknown")</f>
        <v>1.92e-05</v>
      </c>
      <c r="V40" s="2">
        <v>0</v>
      </c>
      <c r="W40" s="2">
        <v>0</v>
      </c>
      <c r="X40" s="2">
        <v>0</v>
      </c>
      <c r="Y40" s="2">
        <f>IF(COUNT('Turns'!E96)=1,SUM('Turns'!E96),"Unknown")</f>
        <v>6.717249e-05</v>
      </c>
      <c r="Z40" s="2">
        <f>IF(COUNT('Turns'!F96)=1,SUM('Turns'!F96),"Unknown")</f>
        <v>7.7e-05</v>
      </c>
      <c r="AA40" s="5">
        <f>IF(ISNUMBER(Y40),ROUND(Y40*'Reference data'!$B$2,0),"Unknown")</f>
        <v>7.0</v>
      </c>
      <c r="AB40" s="5">
        <f>IF(ISNUMBER(Z40),ROUND(Z40*'Reference data'!$B$2,0),"Unknown")</f>
        <v>8.0</v>
      </c>
      <c r="AD40" s="1">
        <v>829.708</v>
      </c>
      <c r="AE40" s="1" t="s">
        <v>152</v>
      </c>
    </row>
    <row r="41" spans="1:31" ht="54" customHeight="1">
      <c r="A41" s="6" t="s">
        <v>160</v>
      </c>
      <c r="B41" s="1">
        <v>2</v>
      </c>
      <c r="C41" s="1" t="s">
        <v>161</v>
      </c>
      <c r="D41" s="1" t="s">
        <v>95</v>
      </c>
      <c r="E41" s="1" t="s">
        <v>111</v>
      </c>
      <c r="F41" s="1">
        <v>1713</v>
      </c>
      <c r="G41" s="6" t="s">
        <v>162</v>
      </c>
      <c r="H41" t="s">
        <v>147</v>
      </c>
      <c r="I41" t="s">
        <v>198</v>
      </c>
      <c r="J41" s="2">
        <f>IF(COUNT('Turns'!D87)=1,SUM('Turns'!D87),"Unknown")</f>
        <v>3.0</v>
      </c>
      <c r="K41" s="2">
        <f>IF(COUNT('Turns'!E87)=1,SUM('Turns'!E87),"Unknown")</f>
        <v>5.23422e-07</v>
      </c>
      <c r="L41" s="2">
        <f>IF(COUNT('Turns'!F87)=1,SUM('Turns'!F87),"Unknown")</f>
        <v>6e-07</v>
      </c>
      <c r="M41" s="2">
        <f>IF(COUNT('Turns'!D86)=1,SUM('Turns'!D86),"Unknown")</f>
        <v>1610.0</v>
      </c>
      <c r="N41" s="2">
        <f>IF(COUNT('Turns'!E86)=1,SUM('Turns'!E86),"Unknown")</f>
        <v>2.8090314e-05</v>
      </c>
      <c r="O41" s="2">
        <f>IF(COUNT('Turns'!F86)=1,SUM('Turns'!F86),"Unknown")</f>
        <v>3.22e-05</v>
      </c>
      <c r="P41" s="2">
        <f>IF(COUNT('Turns'!D89)=1,SUM('Turns'!D89),"Unknown")</f>
        <v>100.0</v>
      </c>
      <c r="Q41" s="2">
        <f>IF(COUNT('Turns'!E89)=1,SUM('Turns'!E89),"Unknown")</f>
        <v>2.180925e-05</v>
      </c>
      <c r="R41" s="2">
        <f>IF(COUNT('Turns'!F89)=1,SUM('Turns'!F89),"Unknown")</f>
        <v>2.5e-05</v>
      </c>
      <c r="S41" s="2">
        <f>IF(COUNT('Turns'!D92)=1,SUM('Turns'!D92),"Unknown")</f>
        <v>16.0</v>
      </c>
      <c r="T41" s="2">
        <f>IF(COUNT('Turns'!E92)=1,SUM('Turns'!E92),"Unknown")</f>
        <v>1.6749504e-05</v>
      </c>
      <c r="U41" s="2">
        <f>IF(COUNT('Turns'!F92)=1,SUM('Turns'!F92),"Unknown")</f>
        <v>1.92e-05</v>
      </c>
      <c r="V41" s="2">
        <v>0</v>
      </c>
      <c r="W41" s="2">
        <v>0</v>
      </c>
      <c r="X41" s="2">
        <v>0</v>
      </c>
      <c r="Y41" s="2">
        <f>IF(COUNT('Turns'!E96)=1,SUM('Turns'!E96),"Unknown")</f>
        <v>6.717249e-05</v>
      </c>
      <c r="Z41" s="2">
        <f>IF(COUNT('Turns'!F96)=1,SUM('Turns'!F96),"Unknown")</f>
        <v>7.7e-05</v>
      </c>
      <c r="AA41" s="5">
        <f>IF(ISNUMBER(Y41),ROUND(Y41*'Reference data'!$B$2,0),"Unknown")</f>
        <v>7.0</v>
      </c>
      <c r="AB41" s="5">
        <f>IF(ISNUMBER(Z41),ROUND(Z41*'Reference data'!$B$2,0),"Unknown")</f>
        <v>8.0</v>
      </c>
      <c r="AC41" s="1" t="s">
        <v>146</v>
      </c>
      <c r="AD41" s="1">
        <v>827.098</v>
      </c>
      <c r="AE41" s="1" t="s">
        <v>163</v>
      </c>
    </row>
    <row r="42" spans="1:31" ht="54" customHeight="1">
      <c r="A42" s="6" t="s">
        <v>164</v>
      </c>
      <c r="B42" s="1">
        <v>1</v>
      </c>
      <c r="C42" s="1" t="s">
        <v>150</v>
      </c>
      <c r="D42" s="1" t="s">
        <v>47</v>
      </c>
      <c r="E42" s="1" t="s">
        <v>111</v>
      </c>
      <c r="G42" s="6" t="s">
        <v>165</v>
      </c>
      <c r="H42" t="s">
        <v>199</v>
      </c>
      <c r="I42" t="s">
        <v>190</v>
      </c>
      <c r="AD42" s="1">
        <v>0.704</v>
      </c>
      <c r="AE42" s="1" t="s">
        <v>156</v>
      </c>
    </row>
  </sheetData>
  <conditionalFormatting sqref="A2:AE42">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0.87237</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2026-09-23T03:38:09Z</dcterms:created>
  <dcterms:modified xsi:type="dcterms:W3CDTF">2026-09-23T03:38:09Z</dcterms:modified>
</cp:coreProperties>
</file>
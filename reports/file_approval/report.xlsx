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<sst xmlns="http://schemas.openxmlformats.org/spreadsheetml/2006/main" count="972" uniqueCount="233">
  <si>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</si>
  <si>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</si>
  <si>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</si>
  <si>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</si>
  <si>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</si>
  <si>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</si>
  <si>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</si>
  <si>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</si>
  <si>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</si>
  <si>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</si>
  <si>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</si>
  <si>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</si>
  <si>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</si>
  <si>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</si>
  <si>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</si>
  <si>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</si>
  <si>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</si>
  <si>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</si>
  <si>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</si>
  <si>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</si>
  <si>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</si>
  <si>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</si>
  <si>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</si>
  <si>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</si>
  <si>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</si>
  <si>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</si>
  <si>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</si>
  <si>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</si>
  <si>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</si>
  <si>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</si>
  <si>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</si>
  <si>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</si>
  <si>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</si>
  <si>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</si>
  <si>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</si>
  <si>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</si>
  <si>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</si>
  <si>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</si>
  <si>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</si>
  <si>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</si>
  <si>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</si>
  <si>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</si>
  <si>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</si>
  <si>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</si>
  <si>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</si>
  <si>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</si>
  <si>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</si>
  <si>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</si>
  <si>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</si>
  <si>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01a0d130-9561-7081-adf9-e8f52d82f0d8</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</si>
  <si>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</si>
  <si>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</si>
  <si>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</si>
  <si>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</si>
  <si>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</si>
  <si>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</si>
  <si>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</si>
  <si>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</si>
  <si>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</si>
  <si>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</si>
  <si>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</si>
  <si>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</si>
  <si>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</si>
  <si>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</si>
  <si>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</si>
  <si>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</si>
  <si>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</si>
  <si>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</si>
  <si>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</si>
  <si>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</si>
  <si>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</si>
  <si>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</si>
  <si>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</si>
  <si>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</si>
  <si>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</si>
  <si>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</si>
  <si>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</si>
  <si>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</si>
  <si>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</si>
  <si>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</si>
  <si>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</si>
  <si>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</si>
  <si>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</si>
  <si>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</si>
  <si>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</si>
  <si>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</si>
  <si>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</si>
  <si>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</si>
  <si>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</si>
  <si>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</si>
  <si>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</si>
  <si>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</si>
  <si>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</si>
  <si>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</si>
  <si>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</si>
  <si>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</si>
  <si>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01a0d130-95bf-7752-9447-839261fb5d0b</t>
  </si>
  <si>
    <t>Input at standard rate</t>
  </si>
  <si>
    <t xml:space="preserve">    Tool definitions</t>
  </si>
  <si>
    <t xml:space="preserve">    System prompt</t>
  </si>
  <si>
    <t xml:space="preserve">You edit a UTF-8 document according to the human's request.
Use read_file to inspect /source.txt and /target.txt as needed. If the target exists,
preserve its current content unless the human requests replacement; otherwise
use the source as the starting document. Make each requested change separately,
with one write_file or edit_file call at a time, always on /target.txt.
Use write_file for new documents and edit_file for targeted replacements.
A missing target is normal: use the source to create it. Read results contain
pagination headers; these are display annotations, not document content.
After each write outcome, read the target again before proposing the next change.
A rejected tool call did not execute: do not retry or reintroduce that change.
Report only changes confirmed by tool results. Tool execution policy is enforced
by the harness; do not ask for permission in prose or invent approval results.
</t>
  </si>
  <si>
    <t xml:space="preserve">    User prompt</t>
  </si>
  <si>
    <t>Append each of these sentences as a separate change: ['\nReviewed by the project team.\n', 'Next step: request a quote.\n']</t>
  </si>
  <si>
    <t>Cache write</t>
  </si>
  <si>
    <t>Context · added / total</t>
  </si>
  <si>
    <t>LLM response</t>
  </si>
  <si>
    <t>Reasoning</t>
  </si>
  <si>
    <t>Output</t>
  </si>
  <si>
    <t xml:space="preserve">    Output content</t>
  </si>
  <si>
    <t>[{"id": "rs_0ef6622055025d64006ab487522cc887d2a068e714119e583e", "summary": [], "type": "reasoning", "content": [], "index": 0, "encrypted_content": "gAAAAABqtIdSiu9Pe66-TN-54Ojc00tlKW7ldQjBxSarV0XW_uzKArv0gp4rXLcYQV2UXJfzh_5hOhzGQPxu6cDc06OEmelXvu8PRCsS8A16kDgvoAWYcaQTFN7iebe_hYVs5Fe5ONo5-bGZ1z-GQOJ8ssJ4TlSKtEysNZspmUvswqj6oq1O_rV5iWEbjLS2du4niINlQcdypd6lvwrtMfULfp-DCLU247p8FpOXPCCmY-bZTq8quLUmL88dRtsL5EE8wpdNYYWzpAMlR2pTylvUDs1S167ODe83xwGowuTlFygQlh0vcMEThYUfZRNeEsAjopd1bBo0Efepuig-JfW2EF2Rz34Tl5VnEuJ-yCMRGROAydcK8tgRnJ7YvkPPQeONLOY0_7F5k0AMVXc9l_cuWHiDCjc3_HqwXP-AQMfPT8y5G47DTRUFLCkVDrKlBmMxr3QmNAfBJ1_80IeJjPPifFn02PGxW8sOmGx0OrNLa97rL5qAV7OZ5FCqTjrpZO-KnFf55CQJ_k1mSus05fBgAD3SBjWrq178CUdM_qo2QNsCciZlF55D6M1TYLJNCEID1uJIwlAfLgrGex6ON-mtWj2h-hqINoCgDzQiyNy3N_sqguRqiRTQ8qXX6Mg8j3be8V69yRgzPDDMwsvqtc0JtI5ku511gRMTi8LmYh_w4sUa1Cnbk0_e1Ir1EW9YVIMFweknsmIpB8ghKY2MJBOkwP3vkhOyU3LdN0QgwB4B8EEvBY4sJL9MlLP57zZT7wMvKlm6ieY7VEH3DWZeTF_T67ARB6zDhE9QZpQm5ojP4wIAcE-m6b0O9bW-NtgDkWp9ZQiDmzeqHXoM1AwPHxos60camTQ2ByhTaKkJ0WshyhWs4dtmDmF3sfJhylKeeoMAMQXfv8jef7SVsQ0m5a6o7T82xoV6InlvithvuvR3MgntGbbE2mLjIqWLX7ltUTpJhkqOm-qM6nAQC_qSxOh81W1__M1ahOS9uXdVLB0C4mhT0SEJOQa1ooeP376lByjhtxt8AFII5UxJxy9peEhLi2Q9FhpJKlBdI0e1fTFGeDGtf7B7a_l8KQtdm4WC20NZALDTdzzDGGxHOxqaUd-O4cAcRwRGR0ExWMh6R4V4PnHWpQdSTOqI6VX34fPNnfIyOPDEwa9mBtVU8VhwwyoRGqfabBwvjRjXjU8_G084GNGegV8oZsnmp9CMBEoasiE0lXvj8TjghUbwqm3wuVhj93xbJkYbo0MIBLvJiL8c1tGWkyUW_Bz9e-OYCB6YYqTXuKiEmj2OJANSssMAHYWymqvuVR0tWv3K-xAH8otIe7TkS8RNDco="}, {"type": "function_call", "name": "read_file", "arguments": "{\"file_path\":\"/source.txt\",\"offset\":0,\"limit\":100}", "call_id": "call_Ow3bq6MHlF2P40MSMtI2VE0e", "id": "fc_0ef6622055025d64006ab48752fe4c87d287984c43688f9535", "index": 1}, {"type": "function_call", "name": "read_file", "arguments": "{\"file_path\":\"/target.txt\",\"offset\":0,\"limit\":100}", "call_id": "call_dKniOaQCqSJIDX3yR3HUJuDR", "id": "fc_0ef6622055025d64006ab48752fe5c87d2b01a99bfd18ad1da", "index": 2}]
{"name": "read_file", "args": {"file_path": "/source.txt", "offset": 0, "limit": 100}, "id": "call_Ow3bq6MHlF2P40MSMtI2VE0e", "type": "tool_call"}
{"name": "read_file", "args": {"file_path": "/target.txt", "offset": 0, "limit": 100}, "id": "call_dKniOaQCqSJIDX3yR3HUJuDR", "type": "tool_call"}</t>
  </si>
  <si>
    <t>Call total</t>
  </si>
  <si>
    <t>ok</t>
  </si>
  <si>
    <t>Tool · read_file</t>
  </si>
  <si>
    <t>01a0d130-9cc0-7481-b17a-6d2dd428746a</t>
  </si>
  <si>
    <t xml:space="preserve">    Arguments</t>
  </si>
  <si>
    <t>{'file_path': '/source.txt', 'offset': 0, 'limit': 100}</t>
  </si>
  <si>
    <t xml:space="preserve">    Result</t>
  </si>
  <si>
    <t>@@ lines 1-2 of 2 @@
Project summary
We prepare clear, practical reports.</t>
  </si>
  <si>
    <t>01a0d130-9cc1-75f2-9185-7d1216fd2f10</t>
  </si>
  <si>
    <t>{'file_path': '/target.txt', 'offset': 0, 'limit': 100}</t>
  </si>
  <si>
    <t xml:space="preserve">@@ lines 1-20 of 20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</si>
  <si>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R2</t>
  </si>
  <si>
    <t>01a0d130-9cc5-7de1-b35f-ae2cdd996869</t>
  </si>
  <si>
    <t>Conversation history · cache read</t>
  </si>
  <si>
    <t xml:space="preserve">    Tool result</t>
  </si>
  <si>
    <t xml:space="preserve">@@ lines 1-2 of 2 @@
Project summary
We prepare clear, practical reports.
@@ lines 1-20 of 20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</si>
  <si>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[{"id": "rs_0ef6622055025d64006ab48753d6e887d2a97f2ae2b5f0ffcd", "summary": [], "type": "reasoning", "content": [], "index": 0, "encrypted_content": "gAAAAABqtIdYj2rPwgdZCcse2UsVVakgJEdaeNtbMXz3DBlBfIa8b5e1JUU_uHfwBl-ChTEtXHeuaoktyoI_yhgvj9uu283tqVz6D6KC_Bl40CRzKDr3k4COQP43e1HtTOuZYJHO7i6YBx3IFvyRPUiiuaz9Tajp8CrRSY3jz4yMVT_bemd9ZPVKhVyRZK731JJSXF1GYpzpmZEXBZTzIGpEXbEjHKaIeBS-Jc8Ccx6JIhRuPIf-KghWfbrCqeD0JeYx-9vk9pnfbujxEt1NM-OZXK_jGOAA-EZIlOQGYlaFdPpciXic1a_UObo3zvhg04O33WTrrL7MaaC_5e3c6y00WztdsPBcbxCbuh89KQP2d89Czhi0nvZIkh-SVORG7xb5XZBWkb7nrcR8G_x-EGipocLDJW_9nxpf5vrXG4JFIpf1JrvjWU4DW7V9QJ_r3r16H8zEz92SauXo7HyBJMq4nHOrRtnig3MC66l14w3MKayISbKkuI0qMVaxRI0kEajuUHu14NNuw0L1cPkjSEZ0Zf7hCf7xxspHtBNQ1fGrzAWjs00ulghp0ZgXAGnMDEPTWLz2dvOgmXE4VZ1NGjIYuoyiHDRc-J5_1pCLVaJsJMmWhZlswUaE71FEPfs5QSeT-m6ri7gY7UEFx2_lOx2Oc_2H0iE8cEPZTff6E44PTROV7yySIHCE8BIz3hYaqY3VGUXNSm5GdHaxz2qdXpqeDQw9mVL2T-cGTo3VElKR1vOpXfDaU1pL7Z50ulMxla87Bf9dpPG_ncIQEN3MH6pJpzCN4tvZz7sUEG2oRtSHMEUL49kAFoLTRZycevo3wOpz38KrRWeHw9ySaoWYAjozS1uh_KUFSS9AcOvkWoKmEeMABuvfM5T8v42IdcOytg5XDxRnfyiR8ULH99dfT5UxKLUAuxSe5gTkvttJ1IW2NyTbxXX6xbBFOV9tyyqEJw624_2qMuzx5rh8ZHhCF_HhR5eDkq48BSq-kTOj7puWWapOmAMeaZpfbtPzkYPolnBl-uLq7VIs44EKmmDp2ScLow5n-ckE7HYG5DtwNYkdaE5WPj-WBcTaudpgm0KxGADXuG-GqREXJSRohHsXVjKn6pOsjvyAlI7JAr7i5NIN3sIZEMbocfNB78Qac5QPKrF5wCVMldC_uiqtfP4CPvmJgKUN1WqXipek1uv9oYuxzxrjIkPNshEdbGTBhbEnr1cxv53Fvxx8tvEXyBC_1mVzSzcxW6H7s0BM9qqefJKEuqUza4Gmh01UgGdjlLiDfmi52cYvAJ25QYKLeXX8lS61WeTClHnAvB_BWe9AJVcjkQJyao0lqkNuK5W0N5Lpas8QwSoOMLj0FD3CucKDaf7JbLuX-IlDnEjKWzgmQ52fmxLaWs7oB_zALoiEk4YJHr-S-xmSB3vRe0F_NhOSTf4x3kls6NXgW6s0n1J7r3D3AMHyzunGD9wCwJWN4VMs5yKDZlKyI-SRBnwfcLLrD56TwrNqnVLg1clAEqHPywF_tvgEpp5FqxfRkrDaA7YOQGQG5iYt0zraym6mBt0S6aC8r21dYrRpFjUWyqf8665YTnUV7Hb0vLu58VBk2j8iNNo_61zkHjAqkpl0Grv1nuRkd1RAhsflW2Pk6oIKIOZKDdufc7VJJpFNQysdx76bzZGIUoag5qC88BeXtLcnwPWuN--gOu1P5SlK92_mnq3bqjD2trncjW0Di_QRsqBbJqc54RRewfkdu-Wcz0GkSncPhuUou26gFKwXI_1UeXHgyllnsa3zSXSBUirzBKHOlqryyPQcYDucIUKEJrmFCdavEcdUK9NMVd5rV172f5jsnzZaW8Fge8lS0oqp79TrSXYS4BhSMwaWbqi3o_6CmEAQEqEbcekd3KfqwxVGUKLuBgw-kN954U5RVNdnyuCnWkDo6s-KsBg5Dgd-A0GuhdZuRgx1exVmNGVo-brojO7Mh6HGqLMejyH4ptQOFDvl8Dwsyo3IE7tkCgXxcWlJdwKv9r_ZeugJCKYpoIkg_udPR7qZ68i8tkGDlTEGAZ-840XQQjNzfNiMBs4DH4mESGZetMpoKxfkses24SPo6ZrhU9kU2cuDGFUYFd9UZ-9Yukpl3uhjCQGDaiVKMPXtrCx3q9NgZ1EgAyaQfsWPf3JMV7oSEo2razQZGscYcqioY3pgYh499l2i5TZz3WnHht_6KqZUvs8vxtH0PN-0jPiRlQmgCMMzVCwWXX-diGTshoZs9QEjemDAkwftHIFbMarLxd0IF8xVnXkDRZCToG-bgtOshbfBWhzwqlfBbV2NEX_RxS9uwTEkB_itlvaAHXYWbCesKQltWPeUx_h6IoKm5jb5zpEGtyifMo_1Q17xZfgdLME-SzJBz8Tt19y1xvFNj_ZPVhxUL5nBf8XhmcPua9BbMLasHiIpe17E5h8SsUVWA8xtvQDp0boG6XbmlrIoEOlEC5b6CR-zHNR8EMhuzKlYSQWAPbL3APkbepCFEfFTCWrTcWOOAgyGFpEbergWQoQuzpUVGbcU-yAq3E8xKNQkd1Vc-DmbYN5eaUGgZfHJ4SIeFAP83_AIk_u04AAClrxEw2mMqad2VwyhrLkRxt2UPW_vAeSSHnfqVhDhtvEaUzeQlpk-WE_Jt67-1juyG6DL5Tv2J8dnaIFU5MgOqQqtOL_UWF52OVkeioFBKR4bjcSTU58lVEyW5N-jXcYiX3gsx80sqdduZDPPbBLLOyK7VIkcIprt5eJZ8Hg9UMxzQ81H-j28gGS45ZmDQXw-aHSyHZ1hOPWhlLx0DLscDo1TAmolLm9WHXzcMuSP5lBlB2Q2nx8ZMfYTgJa2Axncete0VP3RDEv-Ff66_4-f9eTZEz3SHV_4iOwKAvjWnaLoJquc8rNe6Mv2YazYmdbr7f7cHVqbLVSi9FbmeSdTh4TfNOcTfYD6tGpfL68IY-MSErBUhzJwLAhXhOjcjaGn9eg60Nau-HapJUCVz42ckcfJ9KPci6czsyPREBE5MCJqzGPslq61O20N7MytzNyOR6CIUKIGXrupgsf_9XgW6qFbKwjtokVzxwv4I0V40627E05zfEKcAlqQNGW9QJR7nv0xYhdJ0YJUo-qTtHk4SJXCFEaPtRs_qmC-Bjj2pLqOyldMacDfRzqPVu_73iCzYDz9C19y83yfY4RdN4_YNtdo4UYM8nuJnsFXddCoCA0Kw3YKqxt4Vv43du0oJHKenD3QPbTG94Ezx6ara7dR1l_6kQOEZ7vfkhC2P18w81_DYolFDwZdN2vfIk6hXdtbme3vWy0S2H25GHcAmJTlqLlmWv07zwv8MUV7KL-jIwo-tPef6aDMth4MYAfbYk2iVspSr1RwbTOANkMQ_tYa_EOW4rWXELelMr-QdAFWlK6hqqSCGxHaOTN3v4-x0bhVKRXUQvBVAYJ43eLVc5t-pO3Y_715o-dhZx2SQiL6GXyv1xbwJ8owOJmyIIMuSqYxobb3_thvxyMGw87BrGMTLv3qRkqxeE2rjKgJZx9VHnIkY_FvexZu"}, {"type": "function_call", "name": "edit_file", "arguments": "{\"file_path\":\"/target.txt\",\"old_string\":\"Reviewed by the project team.\\n\\nNext step: request a quote.\\n\",\"new_string\":\"Reviewed by the project team.\\n\\nNext step: request a quote.\\n\\nReviewed by the project team.\\n\",\"replace_all\":false}", "call_id": "call_Q0PnRv6pYD6wN73QtgSrkp1Q", "id": "fc_0ef6622055025d64006ab48758387c87d2bc621897a243318d", "index": 1}]
{"name": "edit_file", "args": {"file_path": "/target.txt", "old_string": "Reviewed by the project team.\n\nNext step: request a quote.\n", "new_string": "Reviewed by the project team.\n\nNext step: request a quote.\n\nReviewed by the project team.\n", "replace_all": false}, "id": "call_Q0PnRv6pYD6wN73QtgSrkp1Q", "type": "tool_call"}</t>
  </si>
  <si>
    <t>Tool · edit_file</t>
  </si>
  <si>
    <t>error</t>
  </si>
  <si>
    <t>01a0d130-b2ba-7b51-a5f3-f41a7e28c72c</t>
  </si>
  <si>
    <t>{'file_path': '/target.txt', 'old_string': 'Reviewed by the project team.\n\nNext step: request a quote.\n', 'new_string': 'Reviewed by the project team.\n\nNext step: request a quote.\n\nReviewed by the project team.\n', 'replace_all': False}</t>
  </si>
  <si>
    <t>Error: String 'Reviewed by the project team.
Next step: request a quote.
' appears 2 times in file. Use replace_all=True to replace all instances, or provide a more specific string with surrounding context.</t>
  </si>
  <si>
    <t>R3</t>
  </si>
  <si>
    <t>01a0d130-b2bd-7a82-883f-0c5e999c77e1</t>
  </si>
  <si>
    <t>[{"id": "rs_0ef6622055025d64006ab48759c09487d298655cb503a07a08", "summary": [], "type": "reasoning", "content": [], "index": 0, "encrypted_content": "gAAAAABqtIdcthrju7877DsObjwQyCCSdjIRUHSWNT5hAz5ybhTfFPGQ8Q3lKX-MoCQKa4rh157fYayAhD1pVM5cPsbv4iZy21zt-PTqbGjF0Yp8uzWpV3hsX-sVmoMNkZgXhmXygx4jP6liTcRdommUM4kqS_MbNKmVbrh1Gw6OtBlKf14e-Ni7g9PSYm5P1oxEgHAMOSAOwYlCXosuWjycLRPY238Bz5NKxETjcRnp7vo8HxviDbt1x9ujLJQYHDKhlsSCz-xRTNb_W00QdRW6f61SE7HS1G5eBeNkDHIFb5YLlSlDkvLUyO_LR9LqSL1o_fIytHnKV_L0anBIByeyE_AnXArVi8Puh_bF3zwwrYYM7IX4B6v9D2L2wXBKq_2OxmqlsFsj8rlfKsFY8R_EfLEVaMBiwEgp1tT8-Vupy_ZvWRKRNc0xeNR98S2Pe0kMCKjh1fOLC7DDcs6CK5lK5TCLyoCg6K3FhMmAJBTnwbIhJYblH-h3e2MWgvrctYfSPtW_LzccfBl8m01jsSTMVz0AlDQ7C0uNCRiHTPDw5G571fa61OzBkL_T0pWVm77T-vhhGP9AnVmK666VKdKC7Z3DeqEtdRkDuOOdG1Z5Geqsu0lc85old57pCVjkkYL6yhMCMUWOWi4_8kCiOrWOWBWVkk7YPyQjE3gYXUu16xbSBiswK3OF-yeWufx1rihDumHgKn7bb_zMC_QzmpvjOHZHc_cG6vw24SeoY8Kz-AKub-0nheFZMgxrFZU6rdsBwbNXX7pOsyOznFwTkZcZ3V7WSnrQwmnA846QscKa-u6ZTgyKsVNOuBmnaoZUUMRJufnZFoSpNjjFSCEoLRCt4j4jJKSnpGsvg_C_Isubyit2D1_nnA_uEdR6gHyYN0taFq05e6KGlDzBKj76tn9HD84Cd3BuHbK2aSff0fC5cRE-t9nFyN2DTWZyphFaqnBIFxpTlFb8KB0NE4j-_v7-0rNFy1YoJKc9lDkz1oKWyk4JOeh2AkLBzQI-qN-6b0q8sI9gboEIsRdMbs3zdI8eRWCY2eqrndkDXh8CWVdk9NK6jPsGde4WEJimPuE5bxbYzpPUuQls65LdEy5a0bGxfkKye0_nb1l3TShMuD0ZKrDP8Uves4HUcy_9n_hpDfX9fl7DACr7mtUelrw2mQKlQ86j6KuYGEzangou4ihcbjggD1qcCz-RhOAJcxSj3gz9KtMJsiyJ86IvIQ0Ea3ynJY6IlPLZj09wpiIM-o3mzj9NpEH0Ch7ZH1Xci72UfGu6ySv5COk_2HDIA6PsSJR7Rxg7Ql22H1Q281b6hSj_clE6_JM2k3dpAtT7Zg_XiCzLE2aMc8HFPMRLlWglh3IMF2zVhiaGW_WxVG5IBwt7yZHg0jV-8zWdLX4jOPog_-pDYce41S1IknRGLvsRKr6ztKLeLHFNYss_x4qfx2bry8XMuqK3LxUlGn21-xXPTRPXRGuSUPQuTv_ed4r0hbJIcfPzOcX1oQk8jc6rNfb-1JcCrTAxmd0L-dEPvEVmiCMoC0eN_iSG667Q5ez7_PkQpGVApll70oQQ5HVcvCmTGsn_FWNjiZNncqTK_Dqk03qh-QJyzbdn91JD9e9_z5jKuA5CsfWS1fWuUKy419eoa5V1nEzcKT2jGnp22NzemrKy71GScd1fPp8Sbc41EOMcJdHMz9gf2LJKQpzjwGedTkYMDh1wqdrly-MBLN6AKDNdhclWqg6HCZ21vDERH100exP5n-D386sBuHDO9fniQ-Hv0iE630F7uqnpUCq8FefOXRBJvYv4N8nB1AOrNCbe2-ndXY3ZcoIC2TJmWy_ezT3CUJoRTN-PErOURKWxnfln8NA4grFJu6vNt52TIt0F1OHWzvzmD7jWy9_d29eIVnqVUq0-pWcMe0UOFLClF1DQbAN7P5ayCfMPWF1ZIj0qxsjxw-xGD4pN6K_3jKTTSP1WXPjiWF46TJ_4A3_c3550-MqzSf13K2ixQpXzI9j_0iUWkVWxksAvqvCYQwMLMke0lvaGRxLlpS2gDbM9t_mHXLAYIugLM_UuyYYW-tH2xur-1Rw57fqN-J3-S9Px6Rf1rRneAgk-Vg5AMpoSBB46iDpfsM1aGyd1rwiD6qRYKlZXSXZjNPLC45tXUVypdw0VTYtDdW_vkzyj3JkWvAyOpLHj4am0vTEOmAHm8EdNCLKFCj2E8fiD_kLf3GE60IvhC9-yc1-sDte6e252DIPeLHbGImjqXkiWAbVfP9gSKOZSHRQihjclLiVkFDdDj6_ZmaErmN2J6aK64p7e3e-Q3Xc375D0qyLaK3mPeLf1TYrZ5kNwtQOVgzt75DoxQapcX_IwYl6Oyle0TcNVhLkG_gpamkduh2dIJ0lJQ7FR_h3dpAXLx9X3f9OBYLm40Dq6FwsW5LbUWfV1IEsFbcqXxHB4kunfMhady4uonSMtvopdjsBZqemYVQGbYSiZSmAxvhedxJcpm0zyNFve86qAaPjEAxhb"}, {"type": "function_call", "name": "edit_file", "arguments": "{\"file_path\":\"/target.txt\",\"old_string\":\"Reviewed by the project team.\\n\\nNext step: request a quote.\\n\\nReviewed by the project team.\\n\\nNext step: request a quote.\\n\",\"new_string\":\"Reviewed by the project team.\\n\\nNext step: request a quote.\\n\\nReviewed by the project team.\\n\\nNext step: request a quote.\\n\\nReviewed by the project team.\\n\",\"replace_all\":false}", "call_id": "call_Y2rxWvjT3QhCfswpZawwdILs", "id": "fc_0ef6622055025d64006ab4875c682487d2816703e11f52f9ab", "index": 1}]
{"name": "edit_file", "args": {"file_path": "/target.txt", "old_string": "Reviewed by the project team.\n\nNext step: request a quote.\n\nReviewed by the project team.\n\nNext step: request a quote.\n", "new_string": "Reviewed by the project team.\n\nNext step: request a quote.\n\nReviewed by the project team.\n\nNext step: request a quote.\n\nReviewed by the project team.\n", "replace_all": false}, "id": "call_Y2rxWvjT3QhCfswpZawwdILs", "type": "tool_call"}</t>
  </si>
  <si>
    <t>01a0d130-c984-7c71-8b2d-b849999f5622</t>
  </si>
  <si>
    <t>{'file_path': '/target.txt', 'old_string': 'Reviewed by the project team.\n\nNext step: request a quote.\n\nReviewed by the project team.\n\nNext step: request a quote.\n', 'new_string': 'Reviewed by the project team.\n\nNext step: request a quote.\n\nReviewed by the project team.\n\nNext step: request a quote.\n\nReviewed by the project team.\n', 'replace_all': False}</t>
  </si>
  <si>
    <t>Successfully replaced 1 instance(s) of the string in '/target.txt'</t>
  </si>
  <si>
    <t>R4</t>
  </si>
  <si>
    <t>01a0d130-c98a-7450-9c4d-6b109245e6c7</t>
  </si>
  <si>
    <t>[{"id": "rs_0ef6622055025d64006ab4875faa2887d29700576a7db43439", "summary": [], "type": "reasoning", "content": [], "index": 0, "encrypted_content": "gAAAAABqtIdfBiRbciJx-bmph-twdFMewWo2Je1ERvpswm9acKGCOgbkHe8A82hEC6WFbAwXNgbms2VUOXNEpZG0B4exP-QFKYKLti14XiqStp9ibebBwIMkPdWXFT3D9dU26z4_H2v7Zow855q5hGXNzd0yt7XDuSD0CZaaTBAxNX1onIkwpoJuhSSOjVTbBcrLkouP4Po54YTFd46YNw1GoE7Acltx3EcD_69lMy1DPgz1-OgRj9DwXQxecn3612dzo35JY5NpCIkcAFMDNIXfvnpt181GloFxOSxrkn4P_OXUYRV4UJ_fuM5JdI0S9mJA03VNplz9C2zNHOp_DNQsV-5nfMkDSFtsN_gXGXOLZJomqjjq5ZYtCR-8wX_nXfzssGNh5D9XHcEKll0CUVejiwmWwNA7y5iyAyITYezS5i7YWVxAsev20L0w44gk0dSsnw5FkKzP652Q0prSwvLpuodbq14GlkxDJzVzJvA7YdawF-TnEvp3_IeE2teDTFDV58Jgvf9jI5wjz2Y5AnAmdex4v-aMnbNeiIjnl3LDVxNWAF31unB-83fItWUmdhYVTARX6RKM4uiwFQcJiSYuM3t_M9uNjM3k4QBjdDFAlox8AoDXtpSKlTEshJn3_RkZsit64eUByBxGF9FFAPkqiJAaCaQa6eNTbXypJMGKEqnrycZCm2R8zuZL8ng26-PJNCh931dgfWyN60NLLoAUl4RrhvLxfnYBI6G1I35_vh3NV45wa0xD2bFqzFrHTgYd826UMwKoh2KlwNAn50lkw3JTIJ56-QIbsnF6Th6HQZ9wACcAEyl2nunLJXE-rYaBZp_Ea6A5Kp9jTvUFbycegi0OcpXOnK4yIhmnb_guhw41g0jbbFow3737u-xls7ZH-nQtglT7xr94IbY7O6XdePEuYpkwZGTILrmhliJLiFSFzjp-YOQw23-ywt2Hb8j9QimtTZ1mPh61cj6Z7NeG7cYNXmOZxItEjeiRdSt4kNVR_eN3HM6JQSm9XJh2BUV8ASvHQGEfREUsHFBEc7KS1wa71wUhJCsEOddH9CBYC2m6EQUjoxt0FXULcG_3oOUhtWYQovldWddjAzRxLt36hh1AzzSlioPJu6EqyBUKhH5SeQBOyO1x84w9Y1pKaC0udwV964-6ZQIWo4Lh6kol-YsJ3BZQD7_APzeXkei1uihjl4UE3jo="}, {"type": "function_call", "name": "read_file", "arguments": "{\"file_path\":\"/target.txt\",\"offset\":0,\"limit\":100}", "call_id": "call_TI1U6EUBXm0mObAVRCrVP3TR", "id": "fc_0ef6622055025d64006ab4875fd73087d285137c9b5ef0655f", "index": 1}]
{"name": "read_file", "args": {"file_path": "/target.txt", "offset": 0, "limit": 100}, "id": "call_TI1U6EUBXm0mObAVRCrVP3TR", "type": "tool_call"}</t>
  </si>
  <si>
    <t>01a0d130-cf46-7133-8f0b-a88c91d0d644</t>
  </si>
  <si>
    <t xml:space="preserve">@@ lines 1-22 of 22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t>
  </si>
  <si>
    <t>R5</t>
  </si>
  <si>
    <t>01a0d130-cf4b-7750-8db1-e7b28921cd5f</t>
  </si>
  <si>
    <t>[{"id": "rs_0ef6622055025d64006ab48760f99887d2addf2d78363917ca", "summary": [], "type": "reasoning", "content": [], "index": 0, "encrypted_content": "gAAAAABqtIdmCrtVUrf8dvapWHYcoBH1t59i9cMrkQiQBhh6B25AqQE2bH0VIPh0p8DrBnDnX6MEZ8d-tSGToMAAV_L_imFtRglasBTuMcr48FrYnolI5SvhG6iZU2rFhF5xnbvd8hX47386-x71uzd3wImL17uSyoLOltlM0uTnfuGCm_5_fj-5Fha090_XNOKf2ygZFtLP0-PbuXuTusBTsim0ks9aPLe814CY1issMXCseIz85dj2rbb7USWXTTuq76sRGhUUejeO555W4OzDwuXFVh7CkkjUoueDN7AZc4jgvpMRmbML-_afuczJ89IGg8mBfycplcyp-OQ9mQL_RA9M0ruT74na9RajNqJuzKlLhotg2gaFYGDp1zNYgaTaUmi9an75YHwoZWTZkhaqZeGDeqcMMPZonyUTOqmZYpLPfEDiXqlAEonhJgzzBU6eFqEUc5KkFOdBysGqOcFef1BQYHXnV-kRb-XsRRBnTUnIYg9OIhFNQJgY1fI7E9VJc3UsMhvJL6MyZ7SkthzQUltC9xSi8B9CnXUM07ZlFTnA0lE4Aj0iN_eCHEJX4oHWlqi8NYmtav-kq9nffZjxnrtn6-s6NwcW9W3j1Wd2z0XmtWMweVxdlpn8hVtquA5sP7fVRi2c5I2h610q-WRQ11UdAstzVNNF7H_IawU8qeoA0ifBxyL-yppccTIeNSVu3gHY7CR7XkYo2GKn3993H67C8wHk8TtdUtqT1EveAqtiHDfxtuD95KI0WNBEf9y2Apq0C1u71Gy4cFBI_MquBGZXDfYPziI4bKnOdIEQa-T0xqeTl3-2pZ83a5PFE7Z2-ujRVz0XsKYVpm8JnUW_vFnYLs-64zr7qkr84ukUs9j9BtuUwm9EeDQohypOfPInw-TcjbnaF1VHS0ZA6aiKKt0kc9vZfkckrhdUE9qs2OqcvnNGtOhskg9yiNuzaGrYB-UHNkmJ_o_UPm5_R-LVvwG6SW1mLQATcv9YsjUEhIJF0yt2yIddQgXBpAFOPgach6_lwOYAhP862V5VeKxykB7qwGJ2GRg_d48g58f1yTub4d0eykGu8FbJUaesyO21_LiskfAwC1-YnfL6LfcUeUg1tC1WEAu4aAEueoPzUfAqowLW5fBeBJsKaspa4jY9qB3tYTv6DC7BGuawXW5yyv2_b5mNca9RNV3ICHifmQdif0lYi_wzPSdSw_LPbf7EnUZeGP81hiFF4ZKIcShda7qFjOxvgFJDOtSljvFpHtgLYdFrtHBwr1v6qNCKyfrRzUFPcmns6LY_gh3U8OP9bLdidSskWiXpgWE5pXGlKQ0R6QCb7e3Dbe6XzFm_nj_7pgqwUD9LEAIAX-iWaBpecHhv7npCHE3xQo2cb2t6bbz5UYXhfGnzTHBC0URPgNUuJa8K56yAIBJtCLju9exINvs545JfoVLnHeixkAE9HcMBMnIvvEapnSOYt49TlyFPNNXGSR3J6DSCUch02J2CU4BdyBIwrp_f65ScuQSNwaQ-fzUlP3gv189QPY9VtNdef_LWkqArODw1rp092_ePeIqmBxVNS07H4kuqt0eRfnmFBSiDGTOmz_shWTK2JIJpnGwgu5toobqZcNmCc7onsi9l23pspxzXnNR6Q2vOp3k8yjMfgHtFzdNcT7eS9vfiIwB_GuZmML0En3hVKiz0302msiyg8-xxJ2E44cW0pLfG7qqSestGp3WLsVUe06riasU1kwwlKCGD3cANfMBfHrrqRIJpdQHKmDkeoYe-ug8I9IkksTAAvuI-8tZsQQoTAvNqa-AZL3pzlefmwhUSSmM4xa161tJHWUK7WfVr5LfTgxib39WdRjqhZHifz4hxbKOZX2PPBWwdV-gXNKkjoL2vR6viC3J4I4nYxRxZEtxath3SqLNEW1Hd6d_wCk_SkJw5ZRSD3tPckEQPw3Mg6cnHrWkglm_W8TOyUqlfQlRuB1xSSzGdMryk2dbGoh2E0Hv5VE55FgqPo1uzUcV3tXxccA95u2MXo0PpMGzvmo4P386miFoT6UH0Vo8izQDO7MvO3dNY0t1h2uQ8uZEbqSCNSzpMPeroO9ATZPcvsGLQwcv-Iwcti5Jk--wpw8iY_Q8VpuZ-DmcA0nKRckEH7iM-vCialH7HoYgW1x0SYuaMyAZyvyTqmo11MvOEs5akuO5c0ie3l5MmwKgcJpQwYM1hX4iY1kSZ1BNYkXkwP5E3j7SgZvw6uRDwMLNXjeo_eRuszcQX7l2bkQejDg3w6bcH5cg75ojbL5EDZF0hQr2k9AGp6wGI-IjVYoYgaasszkEz6v3Aa81Nf8K32yK3dl29zDDss6kRYmvPnU9mTlxr_e0clY9ToM5ai9fC1eEm30-5aviuS3cWpuyCGF526CmxxrYU9hnTbxn6pfP-Ta3RaCoBgSCYlpr-fhbqYCeJyTsJds8v_z4PeCUZpLLJvAF408o_HULntDqrAiATJkhDWQ2cauGTxR_hZ2Dsm12Pxhe0kLy3HBNw8C0U0oU6D8A_dHtIoTP5Cr4yz93SfjXex3XbV2smKtzK6qJGU_2d26oMdxGmpdDyJ2ThPenEiPjekCNiNZQdJpor5JYdZjmZRmDdtujSUg0mivoJR9QA5dIg45891Mf_bNPFoFMHKfwqtnoLsu-WrSGBFJrBLK8L3TmOlJbFDTafc-jIS3gmlZb1u_rwZ17bKBY3vbrLnNJAOWd6AYolEqfk4K0Z94IdNEf4KuQwdxCE0yBlWjyPa6QcdYUgG496pSS9VNKin52B4W-yvc3p3eJxr5qF8-siZ_NMFDZ3J_aFoq3PQXBo6htB6c_wn5Frs9psCCDiNWwsNGyRm4XHVRVwUjm81MhUTQfAas2XgcYCWzKze34IijbG7Qegb2b4CEMyafpHTfP9jUNOs7njl1UaMgfSYksnR6s5gBQT28VL0wCgNIvy6rxCtA28dv8jo-urEdKId_mBFDIaGFEsAsqoq8T-fwDdOlQ4cWqYHPIR_D75Gj0qpd2MhGWJWdspldwS9W0xOhk_1hDnahKGYMpr7VWBZ0OTpCivsuCvzfzMZFqVE4qesOt7CN6LcWIiB6ALa3dTuX2_dE3Wphkrl5ckI-8eLIfggtrtY5nx03VaL16y9jhHD3FbKou6pSzk2axPXCR-IRzifTtwIa4cODdFN3XV0G_uN_XzzEVtHrPwW4z62x6FeVGFrdEIBZGiXZo4AM0AVp3tfAivmb-Vo51K0NyqZnyfniZA2jG7dpU1ypIcASZZ_3jxkPMtwaGXD_mUIsmBacYFXYzKAKz2sa7HnS66RDE-eKngcMx6GUUoNpJum5KNAGqacADy1Fayz0AOEYZ2XxkXEYYsYGR01yeVQzizzjigPsJLI5ZZ2tXlwGW_6JS0FN8WKDbnqtLzZtLTsfpod4eHTx6KYOvo0pYjP--seefBEgRprsckJTle6Wsru8SwQjTcnqJ0-LCurWcsvzmsilFuvVd9cYSmfq9wRRJn6nko9BAVV6eUeWpeJnWwaclEd-tCFHhWZW7RTOmEu-i-9l0Yoxr2FsN-Cj6vCKK_JxIW6M8h8Ls3csJabBtwyDSVxLlFlYX3xHfPjGhq15IMu1HSw7Ze9h2xCgjF8_7ez1B8BaVwbhGXPLPF-cthRacdEVUrdGKJdBU8CSuCi1Kc24a-lxXSQfmYvKZzIsoFNftnU2a_CU_FX9aoSNGLQnTv2iGrzEG4"}, {"type": "function_call", "name": "edit_file", "arguments": "{\"file_path\":\"/target.txt\",\"old_string\":\"Next step: request a quote.\\n\\nReviewed by the project team.\\n\\nNext step: request a quote.\\n\\nReviewed by the project team.\\n\",\"new_string\":\"Next step: request a quote.\\n\\nReviewed by the project team.\\n\\nNext step: request a quote.\\n\\nReviewed by the project team.\\n\\nNext step: request a quote.\\n\",\"replace_all\":false}", "call_id": "call_Pw1xlCeoafd8hbXCttLkeeVP", "id": "fc_0ef6622055025d64006ab487667ec087d295acd3a047ea9e18", "index": 1}]
{"name": "edit_file", "args": {"file_path": "/target.txt", "old_string": "Next step: request a quote.\n\nReviewed by the project team.\n\nNext step: request a quote.\n\nReviewed by the project team.\n", "new_string": "Next step: request a quote.\n\nReviewed by the project team.\n\nNext step: request a quote.\n\nReviewed by the project team.\n\nNext step: request a quote.\n", "replace_all": false}, "id": "call_Pw1xlCeoafd8hbXCttLkeeVP", "type": "tool_call"}</t>
  </si>
  <si>
    <t>01a0d130-eb89-7003-b91c-df3bac35a355</t>
  </si>
  <si>
    <t>{'file_path': '/target.txt', 'old_string': 'Next step: request a quote.\n\nReviewed by the project team.\n\nNext step: request a quote.\n\nReviewed by the project team.\n', 'new_string': 'Next step: request a quote.\n\nReviewed by the project team.\n\nNext step: request a quote.\n\nReviewed by the project team.\n\nNext step: request a quote.\n', 'replace_all': False}</t>
  </si>
  <si>
    <t>R6</t>
  </si>
  <si>
    <t>01a0d130-eb8e-7e80-becc-c426dde82204</t>
  </si>
  <si>
    <t>[{"id": "rs_0ef6622055025d64006ab4876870a487d2a03dad331d688a86", "summary": [], "type": "reasoning", "content": [], "index": 0, "encrypted_content": "gAAAAABqtIdoJQaCEpUZdzT4Q9srZTjGAjeLoDcDohCar8kKAtbCqA5L78MX0eR1EQHwUFJjQ-nTZGGWyPJAGdYDiEJGUbDwZscMq93dF1iHzJPemsHvAH8Psuymcy4SRPeBuIb4eTLpa9jJBtyGDnxLUyHQVOywNi1WY3dbPtHFlItEiFoqdlqTjKWQOiF7tObEhTj3ZEGnKxf1dG4d2181PA_Ua-jNnQBLBwZFWFsIpIgP4RdaNBTyvgcr6T4u7aO6K9wVOYmEJpjBL2G-Eu5wurQ2d2Ee5WIF04QFRTmVCXYNYKtwh025cIDr9L23BC5hMBWggmsPnuAo3liYOK4QiZvVGCetYbw7oEulCfBbRCbD15nxruxeQGZQidkceGOJjmGsb_Q8FNyw9-pttrTPUoL6HRfPyMvbYqdYgm6wzpI1qfZLuSivcUuS3yhbysPxY9kiuV-4GOpPTmLAHY_JRH6suHdgR0OvtLFVHwzYb6DMI8KL_lHMUwakKqI9qVe2NBGQUuE6M4iBw2ZpW8oa59qfS7fcmoKidMTwrBxGaJH_bK6gqG4br8ISdZmSXm1wjh3gOuNFHp32WBQs0M8Pybka9m595IhhBdd04f_AckxWXnNlfIscf20jMiBIMzgzgkxaBEedMMPqMirdnTxNV6Tte0Xmr7HEJJ7u6Oi8iImIPaQEP91Jw2kjxWlCfAnoI8OjS3cwbZvjda-mkx-rfGG2D0zxIz6LZ9d3uoEyyalqDh9OObrQWX0bWVaexxpP7TxX79D6s6DFa4St9tPXDklPOiue7Q4nkenqE98PjcQVP2k-1bjYJAjWin5aP0l_aPQWP_u_vgq54lKDDtH8zexkvoANDKyMJLgCU9T-QVlIzh4c3mfaEDpG2aKGomb8y_uyWBTx1eSuBy0yNFqUN202zk6hp2mS-xbPsFlNMz8we3B0Htae7FilzmR93ux6YYNXS_rXIMcO6LY95Utv5qnVT-m7Qkx-CtZ6CSCIWHzNYfdtmBXh3-jjE7P1Ip5vw2yMAUz1g1Jkj37joCKQcmF5GMVUUQD2t6rx5tlekHzQlHePVJUxtVPLuFgTHqm8pQsgxKhEvcPoHhIIGLFjw6ZNoSzlP9s_jIAKZlLMcr9UJx09E11uyKF9IyLRS3Z4eqsmK-BNZNzPP1nB5OxIe4qecfCNBiJQq-JQBqavB2mWrp-nZao="}, {"type": "function_call", "name": "read_file", "arguments": "{\"file_path\":\"/target.txt\",\"offset\":0,\"limit\":100}", "call_id": "call_HxFBvS8kQDTipCZuK23BxrvC", "id": "fc_0ef6622055025d64006ab48768a62487d2b6188e48132301d0", "index": 1}]
{"name": "read_file", "args": {"file_path": "/target.txt", "offset": 0, "limit": 100}, "id": "call_HxFBvS8kQDTipCZuK23BxrvC", "type": "tool_call"}</t>
  </si>
  <si>
    <t>01a0d130-f228-7e31-821b-b023dc110761</t>
  </si>
  <si>
    <t xml:space="preserve">@@ lines 1-24 of 24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Next step: request a quote.
Reviewed by the project team.
</t>
  </si>
  <si>
    <t>R7</t>
  </si>
  <si>
    <t>01a0d130-f22c-7513-bc47-bee808061d2b</t>
  </si>
  <si>
    <t>[{"id": "rs_0ef6622055025d64006ab48769c4b487d2b8672780da658a8a", "summary": [], "type": "reasoning", "content": [], "index": 0, "encrypted_content": "gAAAAABqtIdxu9RAU9spk9uPhfkZyY7CDTRkFQWEuWgRAX4u5qqCUPcCZoVkP3srdtRGw6fqEgNWEx7Tx2dD_wpBeZD2zELGDbJpyRam9IiNHykFKXDyCC5JAV_Ctj8afpXkFv8OPlh7EWbjR9URn2QrzSeydMJjpjxa0TpXyv5SGicrvwMcAkxYXffCjQv21p11lJ_Dyhhbsbgd8319uPjkUxOeYTvkyB7w1CgATizJgnkfgkMd8UTAXm3J-bY3GNrYWbC5JrXr12LU1bwp3enyLLfxgFPZ_UdpxmyfJTL23CdVte5_NFT3mO3sRSDIQt7_EgJuETtH-6rz8hh6aWJE9ApCIlJvo8I6g0y2hZ9p7tcCb_suNByQuVU6CMtOOqs2sJwNKTAZR6gaxV2p1f1dDM8V6HDMtqxUqA0MCyh21d1Qald_YXTuOTmUnEWS9ewnGYj9jKZXD1TGPAUI0T3Ra0MjUdA8Gbh5SvlHLnFI2N10cmlBJkdxQnHtZ63IkcAxEuTlq3sKYfcK899p99XEBkoeiFvAHs8tNfNDudjkMhwCW1nUE2G01ubSuSbMIpgtttiQWpfXrpKBvfNn3uukb2hJdroc4j4bCmSX-EKCOg8yVmdGZi9OGGRRzFHbtGw0_2dp80UXrud1v5XSOA1TUAqgViDnR1JoacOGgQAsp93kizNgoAIcKaF3KoSY3-3iA-XsegngLPyZu17ePhjjg-QEo7SG5j6jf07WDbqDyr-Pl8I47kOLD6lXXLhgFHNwRhl610l2IkVDrMoCJg52tRwxMnuW4I1RnmFb0zjvybiGZqKmq4DZuo2JvZMm6RjTZbN2QmzzBlv335QvbAu23Eh024uBdbdaAiS6sXxucLCzXU4hSmB-9a_hQKQsk8mmrwl55fqNzI1vA8uKXShEp5ado1c3InVW0OxAJT7JFKX543ZPyQXMLbCHyZ0sootOItkuPobWeLOhK8bmWflU2w63x_u9vrPd0o1CTXEunQcv8W7dWMDeSAsebnKF5n4X0E70-td3Nzm7I0GM7w26AtMQU5dHbHoTtyBgA0wj6YBftMP2X9-JkPZUwfXK3PuXGNkdLZCbbcphxGic2TZgOqXxI3CE6VPG35gNMHM5lfac1mrYmZdIphIo3tbW32ETUJpUTY4MxiUGQUyOuNthIXr95O9LaAlOyw0oEuBsyWRuI6Z4zZITkSOVYQjTzBvBOfxGegOoO0RJ_XPTCC-qhZWWgVUddrHdtuHTenPAi3OXpDhYT23RstJC3b6XPb64-1oLZ8Y67qS28QEZBIJMQDKaKCWz8b7LmljTc6DPTlBI1BirVSOl2-nw2jgZe1pCHOo_uWEA_nw4zkPDr_eeIZIS2wOjlEhcXwx8rt79kH4XdTf5rR_PHmaIaV7a5oYFZkLzTyqzjz9LLf-7s0EqeHuZoP_sx-8hIMZOoSwzJY8yLjWCyrJA7RfFEmTmghi4lu0b5IrNiUMc2YoM9pODbUq-rYm9e2Wb6Ad5gwOaz3EEBb7rAjFeghqRx7HWQD1pvn2kHJzOPTVEJWt29rm7LUffN2xPapPxCXTnRh2doD5Vq9ZMvaPK9WpvtU9k-VKCtF2Cr8NMrGuAzBz3M1Tw9nIMD0bp2YJedxQUG_Ut1gZH1vpA-2VGTIeJRt9ilQpYDeTFn0NTZJeIQvqbNQVlWPmJvlcXDp6Z_Y6SOZYauegy-tA7oobRaXg7KcS9cT0JOmhW06Wab7LSKnZbrJgAsM7xG-5wct05L5--PNmW0vLAvGE8QnTkUvksUChi_UPu5iWDSzDlwN43_TLBLM4exWWmKudogRUkfvfoWMCUjiWT77ayw4zTKitBmaezDHtNzDvxGn8BZRT6YVoe30FQq1QEmjtZapk6QYl2miTRJ2dqnY72H_UOHceTCxSrivQIuCxX0qXqVuXOgeve-agib6cOCdQfhEl7vFe9ieNVgIQR3M9EYl324mEQdzCYdVmGTSspZwy6xBYglr1BQ3B3of6dMq5jCf7creB0U6JQ62rpRi5rma4R2dfxWdGNuEvlgCM94_rH-J72RTmdjacZzW-jRROloG5EaeOwpBVprXZyJdBNL_EqK3U6a0G7FespTb5XwXhQSOAlxUNXWEjWZXrvL-wbDuEXAbNHEufFW2gr7grwoutX5tD61sBx9Xewur3qSVPRaGoR3-UmkcF0scCKK2vYIw0063w4odqrlou0ceJ8R8SszMamOBbYQ9nRb3xOHzjp9KUDSACKy-a1czykR2Lq_FeUyibigM7vaKt4MSwOC6sisnZ_d13AJIzBPmatRTgh35JW8bsl_GuV1MdrHygRmjZ7a_NGXebI32VsSwuF--JB0MV5WUt-pDh6lmbMhG_Rle3rfckXn5yxUK4DJA0zIWrhjRlIPIPlO5NIvw_Dj1d31YrwkNxO0cIhrTK1pIdLmX0ceFlb5vMAhTkslkCGJE6AyPmIzWsnIa8qfYMsiAP7DDf-T5lijyr4uMyQZbFxqBHBARr6sxdekf1GPW9xrI87yiVHdo-L1F_NdJkdUlrzxuNncCvHWg1HHg4T9F4zVKwEMZXqRKwt6fz_YfR3Zqv3qKNJgBR4WhfoKp0XCDluheH9axciLXeBhvpXGrui1UWmV9POR86yPq_mpGVvCKulaToqwP7flL4D40s8WDbA0AYJUOMAu-fu_L7YLlLfKKhiDzhVOhDUX0P1i9bIF1hYksLKLUNciju6DXGD5HG6PjfSZBIZkCjQCtyjTVceVe1uFsY6WLio8Bp6PGS6VYPIXHldpD29IafJAPV9fypbQaC8xkwLzrc-KkKnqp33Xzh5KynugJHxB-c_FJBA_p5-wXlPAvgdkpwzyIepIHgGZ4OnGGfuXQhfVnsAlLQ2yKjV8B4T3oT2wPCWRhKoruTLEgidjz5iBZx5kryGzXWYiSi6_6eTA4GNGRFIC5m6yqN1EfH_sIfoRWtjY8vK8xpmomRcjHioL0JNywywSAQK-qmyzGWpONwdaflgX5zXdMkE_TCEUz4BzxTRSYSEwuts7FNld2QMP-nPXTn7ukPQLRl8hsVerDNxiuD6fUJInHsHHlu9D8fHF8RyTTgxBhT5F2SrqO2ST-df3T9jdJ48N3ULoXaVWmubro61nqU46WnN4Or_MfPjAIQwTr9YtHVuIV86myIF8-42cw7EaTtN_lavBTgLoaOngkyXhGqrH0E0rBqPMU9q4Ff6WqLtb8dE9UdDowfdqnli142hBWbVC90GwyAyps2cZpNkgm_9tv9305cRJ8-vgMdU5Pe4unUaHWyD0YoN5firK_TDMapAeccAg2OHpYfpfu6gaMIm0yh2dpkGxSqjIgA91A69UpOzyhSfHFQ7lIMC7jWuAgLRkGWKEnInbU0NV6PFGiFL7K6B9cDrYn5alduXmkZUjCMuR8JPh1KJbQdxhIBf-igdCs1nZnscyYmXAaImap4gQNWBIcZxDX7OBFiDedHvsmFI921sYQHxKGqFua4y1RCnVmPP5t_xOzcRvy2_Y961jvlvifaE9q6FA7JoyXc6-YmDduU3ODfcFHassu96tg6FZMBYTR76WIxGA9Z6cw2sn7fFiMbNAAGqDr7c-BXH4ttj1z1SBHC8ZbFP8DJRiaFipFdAGl9UrSKK2i5_84w2umeZVdQbPV6lQHaxtBd1HXqJmCNLKdwerQ6mDn3krHbKYchgZ12B4oCQqWM1qqoqgIkUv6UojcCaO5QHq9kMJzN_HRuvwYBECT2oFwEXZfAfDM7CisZDympjbQ4Bk46REf65OxsZq02E0kklXzo2dvnf6H552ZAyzKvsBN9MQXhxei5wn_rhqX261myW5y-bZa_H1WTQ5_GvZ4HS9H9vOgjoiahLASKfRZjpV8Feqe-IlKF-zO4efWCXgXlgw_Dxu-iIzZP6F0rz9yjZyp1UKIXlyi9d83CcgNiEuZ9nCGy3smYcHID431-9csgGdFFatIF8snoji9wf40yiL163jYNdBYCE2H-JGn1jr2otICrp6j51xn2mV5N52iR_Y9B9SdwVZqRnw05z5Yt2yZQwyvlw3j7ziyJdGB6laRPQ5Uh-7etoXU55s1vGAJYZ6BPD2rrxJaWGYM52qG4LTAjbbfJQAn0QvIRn2iTxckh4XVV_h0FM1vzjC7T7W3fIWjRnKw4Nh4OQv6curSZDH4aOetW8TAtJ1Admb6DkRVz9wK_rnQ_P4o2rJW77KQ-YQnuEQ1nH7qRVBqxVT9FKfexF-1knlcSGWSs0iqg5iIdTZgS9f3WM0KxKJ0Kxgb9xJViGXcX_DXmvXED7Xh6h2h1mTXCaO3LxvWMFy-FaF9KORnTeitXePqCFioX7ANe7zyv3mXWTUikBIEul4bUKtR1kuur8Xd79mYZVd7rwmTMhve3cGD6xLlaZ3TCiE-EXpbl-"}, {"id": "rs_0ef6622055025d64006ab48771030087d2bd5821ef6b858dd6", "summary": [], "type": "reasoning", "content": [], "index": 1, "encrypted_content": "gAAAAABqtId1nefwJ-xHd4wTEOXpkIqSf-ueYh1KO0mULGm4fgMGrIQjAqzvTm4pz_qztNGO2jMwhZp_KQM0hwd9f4n0GnQEFFrfyhxM4-cnUjIgCBs-ZqUXSMcqUuzP_UMY4njx56QbUG5YH4hL-GCdTbAuvnPcTjtfIqoLhHLQY91wqzaJts3Hpjq6Disno28eKz6yB4pn2Yc_WBlv1lax5_iBvJ2TRDn-Zs653_BSRd56dLfAX1FTn-iu-padsFztCd7c5xO2DyvnVbj-TVgOtG7NYOHIjXULyijyAyjx82RwmExqTWTCGIOtrsW1SzHDHmkYVG5J5vmiQnRUgn0lOyaZHEVMvs5hJBuG-CIoEBmjdBdbh_Kl1RVi5zz0qLj7Y42dSvzAD9Tj0MnH0CzFK-43PxKEuZ0P1CiAnCWP5zG8YG_GCyNT00z73l8eI0MwGRPruXPrLBeOYd5LXNyVskPse8RKXhlCV_JzOMGAuH4I0nTG66HuVmPcG_Ja6278ViuwljLTP7bC-XbyDQUZ-MeSN7swzyTIJGypeqfKRiz8sbcFMLayJYiEhw6MMXfISzNIel7q_3yjvdxfZLHWyxnz-6u7lYZXLU1k2wiyhpEPfP4rk_pfoqNTb9nVrjmv97ZVDNbSYA0GmThNGfmtpm1bHpkewEFQNQEZWWjtzgzfcRE7G0GyKOlECog3NbSWxYGKa0-bHp8WMiz_g4z6KvLoHSb3CP39BT_GpZzDMd1Bs7qF87ux-Ha9rF3NqezXZ6MmhKwT_GzKY_CPtc-80yZvWQ9SW_mFg71_OCzHPfEiyNtD1kZh96a2zLzmw6SxKwpndtPXnj3YrKKEKOKgvJ3x5LcU3P9V5uj4sqEtbPCSsOWHZtwZjVjJ2MKOY_ubsYW6YR5cJkMnVcZwM4kip4BwNMsNUI-GYQHVZzy5Ai361d6nDFQMotNhQ9XdMoIVDUkQ5HQR1OFlQW3T17HJTbbByvcmtxfuXu8HHlmbnBj16_v3NDpmvqnSrnYVnvh-G_vE8s_2pWzrZR5BecufvS8jOs48Bsf7Ed611KB_npQ06uTt5z2ICwxgF7Rq7tGBZrw9vEipAyJlzNymfFUc5eoEGBVr3j6bAkLiMJpq847yDojAg2OxrVT5GtBmoYeALHfBq-f28IzF6guiRhxnKu90bsqv5Jza3Nle-dnVs5mwWocB5aoNYtipAOJeriu4OYv_xWYd4PNpkQKTdvjFPPpz3KdQ3pEJ8nuXWtSq-QP0mQBnuNznf46WymI8Lp4arI9JlJWOG4QsBAKqAWixYIA3yxosh6o5pLLdmS8oqjTIl6KgUdX0ElqygtlVxmuEZBmVVrtj1Bc_KPZqDs8AcXIz9FXarJeHv4jO-vHefrpOnE2irRJOCAuEx5JsgPMMutVkJQkzCvTTCUgMtd_GTbZghuQZa46oQoYKSaPTDIQ8l0_jgWvOfE4D-bQWBsmsW_k0B51I3U14DnYcCwwpkLLbL2GIc3vplKBiS3yoq8xoklcrQ7pI-gxA54Jp_LTpq9yIsvFEP_O1kklXvX-__pFRQPi8nZwyUgC5jDRcrVg7Dx69k76sIg_rM20VM0vt2CMBVcDfLoTpU-Oq2uBmeojP0Ldz0Pl4XZaD2dWjOdmAfoAHEfdaA9xtc4UwCFd4YGjS9YzWHEd__rIAC8JCIVGFa8fAKfEQ7dA6x2PCevWHEIRDgGNjH3PhiR0d6jkmTqR0BpsH6WADkp8iKwBWhWHiAhC1x1iWiOo0tEhaGXjWEMfbnWkfe2hRDlpoTBAmIxyxwraxRePOonv64c7L1wXOvH-A2sITnzhgDEddzOoF0D6CgbwCCXhdqL6x57tcqODYZf4-Z8TJZDvy1TRoKotexrDRINmgeWrIsXusFCNEB2nu4pIoDW5R10hzE4FoR9A9RLPFxZhj3J7W0odgtlwz-kddvTaiWDXXRA4okp7S3crH9_B_Y8yw-pExSHIN7RBVnT0MSCAXB2czm3Osl5EGUSez5ULfvy9z4Kp6AvyE_ZC0OfrMHUI_O4ROVy-hWtlsfahbRGRiVlqXwXlVIVVf0Wd5ZEi-U1WQzquX-2_e1VdUhURZmWDGDMtoXwIlM-g2daZhs8Y-UzzdQF7bg4Q-vSSnlHJX0NNsP570HBiU-fFTBTsqAZVBD7aByI2d4dYRCSsXA65SnlCvGH8Bn4YrTypk6cUcqwDelbxhzHcQg9zGf7jBzU24wlah8a0C36X4ZEjt1Q3_Vir8gpZRGkG9ojPxXKj4pZFVTrvzdfoJhfgM7y3FZ9EQEsCu8SuVFybTEG5nOHCaDfPyqenHmrpdPT5pH2yRemeP-p7enYLClQvD73GR0JJvG7dU0Vwl0fXSixCndI80NeXdSrDcLPvza1rfCnuSFHgFHqNUa1GrgrpEjIRG3y-HAG3bIlJM8DlfdBrY4mX6yNImCrTcU50GUKC-Fc8ntH-moIvZ4iFtQ9zluB0mgMP_3Apj_Z5TmCiniE6TkpOJSUVVc2q28-Jhp6FpWWW3nHa0GTIJNsXkcNYEZLxMOj08Jw-IkJNKxaC-9woVmw39j5JeFboud27M2FRp7-12Li5PC76BINwSRePkrFNlpls5DKBECXr7antBxNPRNBZeAgZuhBFZjWy0Sy8Xz3e7FHryHcikuaqvOGmdn89WTtyfD_aRyUq3Jwv8Xru2qcllZ2Wjz2fiu8McH0emkzw8lD_TK-jN8PmUKNciW60E-AlF0rrjiolBj7H-jSghzVwDbphdfDJ2-mvq8bkqsW-iFUqM0R4vI7XDprXuwcQDvf2jyuWaZaD2LlmYFrRxMsrJgZf2CZsE7FWnsoqPv3zqzG1koZ7JPRsnFdUKeBhwYq8XWVJGrmaNELvOd5dYF51dZFOCrkGzYzt5WHHKHCicM7VrIONfdCTQs18zoy-NOuC396ON5qjq0Ro28qzidNRoCOAOTb_xlbil6dw4zSQxcn3_3dLodQtgScIhddxESh15Uw8S4POAsAba9BFBsk2-ZKppwHzWJStIMnAAJzHkDQv1bc8FuLMlfydk5K9vdScMtIzczPOsKmyC-5jKBVPUMP8GqKCJY4hHDdYSJXASxjPKdlUTFm4NpSwDcIeBaD7IWAXYbWvZCIXCgoOzeDf-rW4zrlqSYnn8yKKF8VGKD-2Zvx7vOooBKkvfgzmWjWS7_ByFlsjPANzCMyJoccGpGKqfe-52H2Yc5o1gK6Eq61W4UaqoPgGhCZ5qPBZFcrkdK2wg3BCWqs_JICKLrRwJVcubJ3WXHhf5wK3dBFhYBjDfJ5OiVzU77-aETdwMp1_m9Jp2MTa6xVWl99svxx1AqQUZvRyeBIatBZhQF9DuEEVcCrb7Bur_BPig7Y9TffcgNhdAaIepFbg9FOrsf0DG6PYrA6PF9P8JQYlZ9eGYZazNhMrlzMqVxML5uD3tSE1ZsAoYnCoGHN_7uIlyROubqzc5HQHf-p8sGcsuMg=="}, {"type": "function_call", "name": "edit_file", "arguments": "{\"file_path\":\"/target.txt\",\"old_string\":\"Reviewed by the project team.\\n\\nNext step: request a quote.\\n\\nNext step: request a quote.\\n\\nReviewed by the project team.\\n\",\"new_string\":\"Reviewed by the project team.\\n\\nNext step: request a quote.\\n\\nReviewed by the project team.\\n\\nNext step: request a quote.\\n\",\"replace_all\":false}", "call_id": "call_sY4qrJ1nQ4Iyoq1nkxOnT4xT", "id": "fc_0ef6622055025d64006ab48775a1f487d29e553e04239c0f11", "index": 2}]
{"name": "edit_file", "args": {"file_path": "/target.txt", "old_string": "Reviewed by the project team.\n\nNext step: request a quote.\n\nNext step: request a quote.\n\nReviewed by the project team.\n", "new_string": "Reviewed by the project team.\n\nNext step: request a quote.\n\nReviewed by the project team.\n\nNext step: request a quote.\n", "replace_all": false}, "id": "call_sY4qrJ1nQ4Iyoq1nkxOnT4xT", "type": "tool_call"}</t>
  </si>
  <si>
    <t>01a0d131-2758-78f1-af21-3d5a0486d530</t>
  </si>
  <si>
    <t>{'file_path': '/target.txt', 'old_string': 'Reviewed by the project team.\n\nNext step: request a quote.\n\nNext step: request a quote.\n\nReviewed by the project team.\n', 'new_string': 'Reviewed by the project team.\n\nNext step: request a quote.\n\nReviewed by the project team.\n\nNext step: request a quote.\n', 'replace_all': False}</t>
  </si>
  <si>
    <t>R8</t>
  </si>
  <si>
    <t>01a0d131-275d-7481-85a6-fe08706dcb62</t>
  </si>
  <si>
    <t>[{"id": "rs_0ef6622055025d64006ab487777c8c87d2a3a072aab3de9bb0", "summary": [], "type": "reasoning", "content": [], "index": 0, "encrypted_content": "gAAAAABqtId3r_UQ4wiw5isf_i2fcfJpp8fncDK4zqWkd_tBWVuM8ufE3HyLjK4xCNKJEp3NueNfKzXDyaVvxRz0ZD4ouzBnV35rOfwPDdRFiZ3iOyKOGlOgIaDqetLi3jnKvbZmUWWbGQjdcHMP_Q8NKZxFqO0CcmSleJKSYvBP0cP7o2lCcE9ewuFaJCCoeb0uryJKPyBThNOlLVeIgULBuhXoUCvWD76PkG5eaEVcHriHodBeZEzeT1N7lxFdcdd0FmGv1F5N_l3lXJKrXGHucb7kEfPmmA10bETm2WJ5AShcfDXlQ4Z9RXYxvgq6NoW8_BHcESBT4kl_7wCR6Tp7kR3oaBTlbcoBXDsiUVInGcPY8lzO5kgMD4yGg3AGUSfpuKBXS3GhAieANauUP4qu5ItgAfqEi0qBa3ctHHx_XRRmpOwkdZVzjBPs_Mx6wFg2JIEB_eiERoFkOGH898jEPPntuHS36aETm-X8gYST_IsqkNvFPNbufhj-JVDotJUAAzZZ6YUPH5nEDRZl6XbXKRksInYztHA74J82Qtkehl489Shq56hOgFlv04XetxFvw4svTg7zNDn71YutPWuW3e8sUrtxdZkbGStbS14THP0oLI5xL69As7juN8p44KiWDSqBccDwRE0DLV2XpXq1TnUdfvoQLMMh6Q967Ik5KR_9hu7bMV-h0O3CRM8jdw_IvSmIMJFfTx_neyXTn8s_9YBS5705qJ05XXiNQ67Ql471hg55jfIHm1aMABSlduxofOXZmeGmMqHxdryjPgNA1kG8JrT3n1nECkzBYYwe398rxnF-NPD5qnqcgeJaR6nPRzG2WCQ_DK2IR5fYNUhdDvXTzQtbffMe6GX5JuosjKvd9brjbb-NDLZ9XOc4KoronhqTj2l2m2r_ULPEHlFMAFfKWDR5lHRor1jrWow-8qCXxmDcV5AGiuqnzzG993JmzIkKa7cFgF3JRBMKmJUK_6nsQN8Y5_zDVFArH57VFBmfIhztizUUX8ZSeJYYAVPDdo1Vhv-hRGY75yvRFX0wfkCWjdCI0PL9e5mHDYdvNdIyNVILl36_DqjqlLKpIMYGpfWINeURlePxV5ftBOtgugnWo-Nad5k-Tp_md5FJE5XIqnhnM5J88qVJlJouL2Vycc5srXZMICDJ0_myZdrPc4VLGQg2tuAPlex6OEwUUxK9YbnKgw4="}, {"type": "function_call", "name": "read_file", "arguments": "{\"file_path\":\"/target.txt\",\"offset\":0,\"limit\":100}", "call_id": "call_aQOE1HeYYYbzJwF5B5aHuF1Y", "id": "fc_0ef6622055025d64006ab48777ad1887d2b23753401401bb7c", "index": 1}]
{"name": "read_file", "args": {"file_path": "/target.txt", "offset": 0, "limit": 100}, "id": "call_aQOE1HeYYYbzJwF5B5aHuF1Y", "type": "tool_call"}</t>
  </si>
  <si>
    <t>01a0d131-2ef9-79a2-9853-1494bd8e5b40</t>
  </si>
  <si>
    <t xml:space="preserve">@@ lines 1-24 of 24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</si>
  <si>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R9</t>
  </si>
  <si>
    <t>01a0d131-2f00-7050-b7f5-6d654a935270</t>
  </si>
  <si>
    <t>[{"type": "text", "text": "Appended both sentences as separate changes to `/target.txt`.", "phase": "final_answer", "index": 0, "id": "msg_0ef6622055025d64006ab48779978887d2a242165a2e73da5f"}]</t>
  </si>
  <si>
    <t>file_editor</t>
  </si>
  <si>
    <t>workflow</t>
  </si>
  <si>
    <t>Execute the file_editor workflow operation and pass its result to the next graph step.</t>
  </si>
  <si>
    <t>Subtree total</t>
  </si>
  <si>
    <t xml:space="preserve">    RestrictedToolApproval.before_model</t>
  </si>
  <si>
    <t>Execute the RestrictedToolApproval.before_model workflow operation and pass its result to the next graph step.</t>
  </si>
  <si>
    <t>01a0d130-9564-7e01-b769-98a522d85904</t>
  </si>
  <si>
    <t>No model charge</t>
  </si>
  <si>
    <t xml:space="preserve">    model</t>
  </si>
  <si>
    <t>Prepare the current conversation, run model middleware, and invoke the chat model.</t>
  </si>
  <si>
    <t>01a0d130-9567-7a22-ab84-40685ab38e43</t>
  </si>
  <si>
    <t xml:space="preserve">        ChatOpenAI</t>
  </si>
  <si>
    <t>model</t>
  </si>
  <si>
    <t>Generate the next assistant message or tool request from the current conversation.</t>
  </si>
  <si>
    <t>Own call</t>
  </si>
  <si>
    <t xml:space="preserve">    RestrictedToolApproval.after_model</t>
  </si>
  <si>
    <t>Execute the RestrictedToolApproval.after_model workflow operation and pass its result to the next graph step.</t>
  </si>
  <si>
    <t>01a0d130-9cbd-7d02-8d77-aedbb23def4a</t>
  </si>
  <si>
    <t xml:space="preserve">    tools</t>
  </si>
  <si>
    <t>Execute tool calls requested by the preceding model response and return their observations.</t>
  </si>
  <si>
    <t>01a0d130-9cbf-7581-b096-1431805489da</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</si>
  <si>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</si>
  <si>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</si>
  <si>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</si>
  <si>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01a0d130-9cbf-7581-b096-1446ff13da46</t>
  </si>
  <si>
    <t>01a0d130-9cc4-7420-aa0c-6ecfc0ae7c6f</t>
  </si>
  <si>
    <t>01a0d130-9cc4-7420-aa0c-6ed6ab3aa277</t>
  </si>
  <si>
    <t>interrupted</t>
  </si>
  <si>
    <t>01a0d130-b2a4-7f50-80a3-649e69e98208</t>
  </si>
  <si>
    <t>01a0d130-b2b6-7680-ad9a-b6cf65725001</t>
  </si>
  <si>
    <t>01a0d130-b2b7-7c93-993d-08e377f1dd38</t>
  </si>
  <si>
    <t>01a0d130-b2b8-7091-b5a3-615686277856</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</si>
  <si>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</si>
  <si>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</si>
  <si>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01a0d130-b2bc-7510-8d92-90a4bba24b47</t>
  </si>
  <si>
    <t>01a0d130-b2bd-7a82-883f-0c4f68b3fa99</t>
  </si>
  <si>
    <t>01a0d130-c95a-7581-a8a6-21b5e7a6472a</t>
  </si>
  <si>
    <t>01a0d130-c97f-7990-89f2-177990bbe901</t>
  </si>
  <si>
    <t>01a0d130-c981-75e3-ac7a-87a359cadb96</t>
  </si>
  <si>
    <t>01a0d130-c982-7da3-b0ab-a255256c093c</t>
  </si>
  <si>
    <t>01a0d130-c987-70d3-8376-0ef10a255674</t>
  </si>
  <si>
    <t>01a0d130-c989-7543-93d7-60e725d95ff4</t>
  </si>
  <si>
    <t>01a0d130-cf42-7e62-9f2d-2ee807578e64</t>
  </si>
  <si>
    <t>01a0d130-cf44-7f60-99be-acca4edc1f82</t>
  </si>
  <si>
    <t>01a0d130-cf49-7831-b139-36cccf0861c4</t>
  </si>
  <si>
    <t>01a0d130-cf4a-7a52-84e2-6bd507da9111</t>
  </si>
  <si>
    <t>01a0d130-eb60-7ea1-a62a-15341e91f96c</t>
  </si>
  <si>
    <t>01a0d130-eb85-7a83-a666-b6228b22504a</t>
  </si>
  <si>
    <t>01a0d130-eb86-7a01-bf11-2e7b7a73c5b9</t>
  </si>
  <si>
    <t>01a0d130-eb88-74b3-9eb3-8c9109d897ac</t>
  </si>
  <si>
    <t>01a0d130-eb8c-78f2-82e7-38caf88ef616</t>
  </si>
  <si>
    <t>01a0d130-eb8d-7c40-9e64-1cf67511486b</t>
  </si>
  <si>
    <t>01a0d130-f225-7501-8b72-d94592b63d18</t>
  </si>
  <si>
    <t>01a0d130-f226-71d2-9c5c-07deb12213be</t>
  </si>
  <si>
    <t>01a0d130-f22a-7f13-b522-94986ac6ad0b</t>
  </si>
  <si>
    <t>01a0d130-f22b-7d20-bdc2-b9f017f5a267</t>
  </si>
  <si>
    <t>01a0d131-272f-7a93-be58-02e6e0915dcb</t>
  </si>
  <si>
    <t>01a0d131-2754-7d50-98c6-01611bca58dc</t>
  </si>
  <si>
    <t>01a0d131-2756-74e2-b254-a9dac7e39aaa</t>
  </si>
  <si>
    <t>01a0d131-2757-7e53-ba2a-82d71dff3114</t>
  </si>
  <si>
    <t>01a0d131-275b-71a1-92d4-4feca6e34062</t>
  </si>
  <si>
    <t>01a0d131-275c-73a1-8d35-1d449c2517be</t>
  </si>
  <si>
    <t>01a0d131-2ef4-7920-ba64-16a9fb6a83fe</t>
  </si>
  <si>
    <t>01a0d131-2ef6-7bd2-a499-8b7af8d30907</t>
  </si>
  <si>
    <t>01a0d131-2efe-7453-9a5f-bc825c20b869</t>
  </si>
  <si>
    <t>01a0d131-2eff-75a1-9048-4f6f80f29086</t>
  </si>
  <si>
    <t>01a0d131-3439-7df3-bd95-3a723abb350b</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</si>
</sst>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47"/>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IF(COUNT('Turns'!E17,'Turns'!E36,'Turns'!E52,'Turns'!E68,'Turns'!E84,'Turns'!E100,'Turns'!E116,'Turns'!E132,'Turns'!E147)=9,SUM('Turns'!E17,'Turns'!E36,'Turns'!E52,'Turns'!E68,'Turns'!E84,'Turns'!E100,'Turns'!E116,'Turns'!E132,'Turns'!E147),"Unknown")</f>
        <v>0.003957333695</v>
      </c>
      <c r="F2" s="2">
        <f>IF(COUNT('Turns'!F17,'Turns'!F36,'Turns'!F52,'Turns'!F68,'Turns'!F84,'Turns'!F100,'Turns'!F116,'Turns'!F132,'Turns'!F147)=9,SUM('Turns'!F17,'Turns'!F36,'Turns'!F52,'Turns'!F68,'Turns'!F84,'Turns'!F100,'Turns'!F116,'Turns'!F132,'Turns'!F147),"Unknown")</f>
        <v>0.0045157</v>
      </c>
      <c r="G2" s="5">
        <f>IF(ISNUMBER(E2),ROUND(E2*'Reference data'!$B$2,0),"Unknown")</f>
        <v>396.0</v>
      </c>
      <c r="H2" s="5">
        <f>IF(ISNUMBER(F2),ROUND(F2*'Reference data'!$B$2,0),"Unknown")</f>
        <v>452.0</v>
      </c>
    </row>
    <row r="3" spans="1:13" s="4" customFormat="1" ht="24" customHeight="1">
      <c r="B3" s="4">
        <v>1</v>
      </c>
      <c r="C3" s="4" t="s">
        <v>92</v>
      </c>
      <c r="E3" s="2">
        <f>IF(COUNT('Turns'!E17,'Turns'!E36,'Turns'!E52,'Turns'!E68,'Turns'!E84,'Turns'!E100,'Turns'!E116,'Turns'!E132,'Turns'!E147)=9,SUM('Turns'!E17,'Turns'!E36,'Turns'!E52,'Turns'!E68,'Turns'!E84,'Turns'!E100,'Turns'!E116,'Turns'!E132,'Turns'!E147),"Unknown")</f>
        <v>0.003957333695</v>
      </c>
      <c r="F3" s="2">
        <f>IF(COUNT('Turns'!F17,'Turns'!F36,'Turns'!F52,'Turns'!F68,'Turns'!F84,'Turns'!F100,'Turns'!F116,'Turns'!F132,'Turns'!F147)=9,SUM('Turns'!F17,'Turns'!F36,'Turns'!F52,'Turns'!F68,'Turns'!F84,'Turns'!F100,'Turns'!F116,'Turns'!F132,'Turns'!F147),"Unknown")</f>
        <v>0.0045157</v>
      </c>
      <c r="G3" s="5">
        <f>IF(ISNUMBER(E3),ROUND(E3*'Reference data'!$B$2,0),"Unknown")</f>
        <v>396.0</v>
      </c>
      <c r="H3" s="5">
        <f>IF(ISNUMBER(F3),ROUND(F3*'Reference data'!$B$2,0),"Unknown")</f>
        <v>452.0</v>
      </c>
    </row>
    <row r="4" spans="1:13" s="4" customFormat="1" ht="24" customHeight="1">
      <c r="A4" s="4" t="s">
        <v>93</v>
      </c>
      <c r="B4" s="4">
        <v>1</v>
      </c>
      <c r="C4" s="4" t="s">
        <v>94</v>
      </c>
      <c r="D4" s="4">
        <v>888</v>
      </c>
      <c r="J4" s="4" t="s">
        <v>95</v>
      </c>
      <c r="M4" s="4" t="s">
        <v>96</v>
      </c>
    </row>
    <row r="5" spans="1:13" ht="24" customHeight="1">
      <c r="A5" t="s">
        <v>93</v>
      </c>
      <c r="B5">
        <v>1</v>
      </c>
      <c r="C5" t="s">
        <v>97</v>
      </c>
      <c r="D5" s="5">
        <v>888</v>
      </c>
      <c r="E5" s="2">
        <f>IF(AND(ISNUMBER(F5),ISNUMBER('Reference data'!$B$3)),F5*'Reference data'!$B$3,"Unknown")</f>
        <v>0.00015563976</v>
      </c>
      <c r="F5" s="2">
        <f>IF(D5=0,0,IF(ISNUMBER('Reference data'!B17),D5*'Reference data'!B17/1000000,"Unknown"))</f>
        <v>0.0001776</v>
      </c>
      <c r="G5" s="5">
        <f>IF(ISNUMBER(E5),ROUND(E5*'Reference data'!$B$2,0),"Unknown")</f>
        <v>16.0</v>
      </c>
      <c r="H5" s="5">
        <f>IF(ISNUMBER(F5),ROUND(F5*'Reference data'!$B$2,0),"Unknown")</f>
        <v>18.0</v>
      </c>
    </row>
    <row r="6" spans="1:13" ht="24" customHeight="1">
      <c r="A6" t="s">
        <v>93</v>
      </c>
      <c r="B6">
        <v>1</v>
      </c>
      <c r="C6" t="s">
        <v>98</v>
      </c>
    </row>
    <row r="7" spans="1:13" ht="164"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95</v>
      </c>
    </row>
    <row r="12" spans="1:13" ht="24" customHeight="1">
      <c r="A12" t="s">
        <v>93</v>
      </c>
      <c r="B12">
        <v>1</v>
      </c>
      <c r="C12" t="s">
        <v>106</v>
      </c>
      <c r="D12" s="5">
        <v>23</v>
      </c>
      <c r="E12" s="2">
        <f>IF(AND(ISNUMBER(F12),ISNUMBER('Reference data'!$B$3)),F12*'Reference data'!$B$3,"Unknown")</f>
        <v>2.418726e-05</v>
      </c>
      <c r="F12" s="2">
        <f>IF(D12=0,0,IF(ISNUMBER('Reference data'!F17),D12*'Reference data'!F17/1000000,"Unknown"))</f>
        <v>2.76e-05</v>
      </c>
      <c r="G12" s="5">
        <f>IF(ISNUMBER(E12),ROUND(E12*'Reference data'!$B$2,0),"Unknown")</f>
        <v>2.0</v>
      </c>
      <c r="H12" s="5">
        <f>IF(ISNUMBER(F12),ROUND(F12*'Reference data'!$B$2,0),"Unknown")</f>
        <v>3.0</v>
      </c>
    </row>
    <row r="13" spans="1:13" ht="24" customHeight="1">
      <c r="A13" t="s">
        <v>93</v>
      </c>
      <c r="B13">
        <v>1</v>
      </c>
      <c r="C13" t="s">
        <v>107</v>
      </c>
      <c r="D13" s="5">
        <v>72</v>
      </c>
      <c r="E13" s="2">
        <f>IF(AND(ISNUMBER(F13),ISNUMBER('Reference data'!$B$3)),F13*'Reference data'!$B$3,"Unknown")</f>
        <v>7.571664e-05</v>
      </c>
      <c r="F13" s="2">
        <f>IF(D13=0,0,IF(ISNUMBER('Reference data'!E17),D13*'Reference data'!E17/1000000,"Unknown"))</f>
        <v>8.64e-05</v>
      </c>
      <c r="G13" s="5">
        <f>IF(ISNUMBER(E13),ROUND(E13*'Reference data'!$B$2,0),"Unknown")</f>
        <v>8.0</v>
      </c>
      <c r="H13" s="5">
        <f>IF(ISNUMBER(F13),ROUND(F13*'Reference data'!$B$2,0),"Unknown")</f>
        <v>9.0</v>
      </c>
    </row>
    <row r="14" spans="1:13" ht="35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0.00025554366</v>
      </c>
      <c r="F17" s="2">
        <f>IF(COUNT('Turns'!F5,'Turns'!F12,'Turns'!F13)=3,SUM('Turns'!F5,'Turns'!F12,'Turns'!F13),"Unknown")</f>
        <v>0.0002916</v>
      </c>
      <c r="G17" s="5">
        <f>IF(ISNUMBER(E17),ROUND(E17*'Reference data'!$B$2,0),"Unknown")</f>
        <v>26.0</v>
      </c>
      <c r="H17" s="5">
        <f>IF(ISNUMBER(F17),ROUND(F17*'Reference data'!$B$2,0),"Unknown")</f>
        <v>29.0</v>
      </c>
      <c r="K17" s="4" t="s">
        <v>111</v>
      </c>
    </row>
    <row r="18" spans="1:13" s="4" customFormat="1" ht="24" customHeight="1">
      <c r="B18" s="4">
        <v>1</v>
      </c>
      <c r="C18" s="4" t="s">
        <v>112</v>
      </c>
      <c r="K18" s="4" t="s">
        <v>111</v>
      </c>
      <c r="M18" s="4" t="s">
        <v>113</v>
      </c>
    </row>
    <row r="19" spans="1:13" ht="24" customHeight="1">
      <c r="B19">
        <v>1</v>
      </c>
      <c r="C19" t="s">
        <v>114</v>
      </c>
      <c r="I19" s="6" t="s">
        <v>115</v>
      </c>
    </row>
    <row r="20" spans="1:13" ht="47" customHeight="1">
      <c r="B20">
        <v>1</v>
      </c>
      <c r="C20" t="s">
        <v>116</v>
      </c>
      <c r="I20" s="6" t="s">
        <v>117</v>
      </c>
    </row>
    <row r="21" spans="1:13" s="4" customFormat="1" ht="24" customHeight="1">
      <c r="B21" s="4">
        <v>1</v>
      </c>
      <c r="C21" s="4" t="s">
        <v>112</v>
      </c>
      <c r="K21" s="4" t="s">
        <v>111</v>
      </c>
      <c r="M21" s="4" t="s">
        <v>118</v>
      </c>
    </row>
    <row r="22" spans="1:13" ht="24" customHeight="1">
      <c r="B22">
        <v>1</v>
      </c>
      <c r="C22" t="s">
        <v>114</v>
      </c>
      <c r="I22" s="6" t="s">
        <v>119</v>
      </c>
    </row>
    <row r="23" spans="1:13" ht="268" customHeight="1">
      <c r="B23">
        <v>1</v>
      </c>
      <c r="C23" t="s">
        <v>116</v>
      </c>
      <c r="I23" s="6" t="s">
        <v>120</v>
      </c>
    </row>
    <row r="24" spans="1:13" s="4" customFormat="1" ht="24" customHeight="1">
      <c r="A24" s="4" t="s">
        <v>121</v>
      </c>
      <c r="B24" s="4">
        <v>1</v>
      </c>
      <c r="C24" s="4" t="s">
        <v>94</v>
      </c>
      <c r="D24" s="4">
        <v>1110</v>
      </c>
      <c r="J24" s="4" t="s">
        <v>95</v>
      </c>
      <c r="M24" s="4" t="s">
        <v>122</v>
      </c>
    </row>
    <row r="25" spans="1:13" ht="24" customHeight="1">
      <c r="A25" t="s">
        <v>121</v>
      </c>
      <c r="B25">
        <v>1</v>
      </c>
      <c r="C25" t="s">
        <v>123</v>
      </c>
      <c r="D25" s="5">
        <v>0</v>
      </c>
      <c r="E25" s="2">
        <f>IF(AND(ISNUMBER(F25),ISNUMBER('Reference data'!$B$3)),F25*'Reference data'!$B$3,"Unknown")</f>
        <v>0.0</v>
      </c>
      <c r="F25" s="2">
        <f>IF(D25=0,0,IF(ISNUMBER('Reference data'!C17),D25*'Reference data'!C17/1000000,"Unknown"))</f>
        <v>0.0</v>
      </c>
      <c r="G25" s="5">
        <f>IF(ISNUMBER(E25),ROUND(E25*'Reference data'!$B$2,0),"Unknown")</f>
        <v>0.0</v>
      </c>
      <c r="H25" s="5">
        <f>IF(ISNUMBER(F25),ROUND(F25*'Reference data'!$B$2,0),"Unknown")</f>
        <v>0.0</v>
      </c>
    </row>
    <row r="26" spans="1:13" ht="24" customHeight="1">
      <c r="A26" t="s">
        <v>121</v>
      </c>
      <c r="B26">
        <v>1</v>
      </c>
      <c r="C26" t="s">
        <v>97</v>
      </c>
      <c r="D26" s="5">
        <v>3</v>
      </c>
      <c r="E26" s="2">
        <f>IF(AND(ISNUMBER(F26),ISNUMBER('Reference data'!$B$3)),F26*'Reference data'!$B$3,"Unknown")</f>
        <v>5.2581e-07</v>
      </c>
      <c r="F26" s="2">
        <f>IF(D26=0,0,IF(ISNUMBER('Reference data'!B17),D26*'Reference data'!B17/1000000,"Unknown"))</f>
        <v>6e-07</v>
      </c>
      <c r="G26" s="5">
        <f>IF(ISNUMBER(E26),ROUND(E26*'Reference data'!$B$2,0),"Unknown")</f>
        <v>0.0</v>
      </c>
      <c r="H26" s="5">
        <f>IF(ISNUMBER(F26),ROUND(F26*'Reference data'!$B$2,0),"Unknown")</f>
        <v>0.0</v>
      </c>
    </row>
    <row r="27" spans="1:13" ht="307" customHeight="1">
      <c r="A27" t="s">
        <v>121</v>
      </c>
      <c r="B27">
        <v>1</v>
      </c>
      <c r="C27" t="s">
        <v>124</v>
      </c>
      <c r="I27" s="6" t="s">
        <v>125</v>
      </c>
    </row>
    <row r="28" spans="1:13" ht="24" customHeight="1">
      <c r="A28" t="s">
        <v>121</v>
      </c>
      <c r="B28">
        <v>1</v>
      </c>
      <c r="C28" t="s">
        <v>103</v>
      </c>
      <c r="D28" s="5">
        <v>1107</v>
      </c>
      <c r="E28" s="2">
        <f>IF(AND(ISNUMBER(F28),ISNUMBER('Reference data'!$B$3)),F28*'Reference data'!$B$3,"Unknown")</f>
        <v>0.0002425298625</v>
      </c>
      <c r="F28" s="2">
        <f>IF(D28=0,0,IF(ISNUMBER('Reference data'!D17),D28*'Reference data'!D17/1000000,"Unknown"))</f>
        <v>0.00027675</v>
      </c>
      <c r="G28" s="5">
        <f>IF(ISNUMBER(E28),ROUND(E28*'Reference data'!$B$2,0),"Unknown")</f>
        <v>24.0</v>
      </c>
      <c r="H28" s="5">
        <f>IF(ISNUMBER(F28),ROUND(F28*'Reference data'!$B$2,0),"Unknown")</f>
        <v>28.0</v>
      </c>
    </row>
    <row r="29" spans="1:13" ht="24" customHeight="1">
      <c r="A29" t="s">
        <v>121</v>
      </c>
      <c r="B29">
        <v>1</v>
      </c>
      <c r="C29" t="s">
        <v>104</v>
      </c>
    </row>
    <row r="30" spans="1:13" s="4" customFormat="1" ht="24" customHeight="1">
      <c r="A30" s="4" t="s">
        <v>121</v>
      </c>
      <c r="B30" s="4">
        <v>1</v>
      </c>
      <c r="C30" s="4" t="s">
        <v>105</v>
      </c>
      <c r="D30" s="4">
        <v>441</v>
      </c>
    </row>
    <row r="31" spans="1:13" ht="24" customHeight="1">
      <c r="A31" t="s">
        <v>121</v>
      </c>
      <c r="B31">
        <v>1</v>
      </c>
      <c r="C31" t="s">
        <v>106</v>
      </c>
      <c r="D31" s="5">
        <v>365</v>
      </c>
      <c r="E31" s="2">
        <f>IF(AND(ISNUMBER(F31),ISNUMBER('Reference data'!$B$3)),F31*'Reference data'!$B$3,"Unknown")</f>
        <v>0.0003838413</v>
      </c>
      <c r="F31" s="2">
        <f>IF(D31=0,0,IF(ISNUMBER('Reference data'!F17),D31*'Reference data'!F17/1000000,"Unknown"))</f>
        <v>0.000438</v>
      </c>
      <c r="G31" s="5">
        <f>IF(ISNUMBER(E31),ROUND(E31*'Reference data'!$B$2,0),"Unknown")</f>
        <v>38.0</v>
      </c>
      <c r="H31" s="5">
        <f>IF(ISNUMBER(F31),ROUND(F31*'Reference data'!$B$2,0),"Unknown")</f>
        <v>44.0</v>
      </c>
    </row>
    <row r="32" spans="1:13" ht="24" customHeight="1">
      <c r="A32" t="s">
        <v>121</v>
      </c>
      <c r="B32">
        <v>1</v>
      </c>
      <c r="C32" t="s">
        <v>107</v>
      </c>
      <c r="D32" s="5">
        <v>76</v>
      </c>
      <c r="E32" s="2">
        <f>IF(AND(ISNUMBER(F32),ISNUMBER('Reference data'!$B$3)),F32*'Reference data'!$B$3,"Unknown")</f>
        <v>7.992312e-05</v>
      </c>
      <c r="F32" s="2">
        <f>IF(D32=0,0,IF(ISNUMBER('Reference data'!E17),D32*'Reference data'!E17/1000000,"Unknown"))</f>
        <v>9.12e-05</v>
      </c>
      <c r="G32" s="5">
        <f>IF(ISNUMBER(E32),ROUND(E32*'Reference data'!$B$2,0),"Unknown")</f>
        <v>8.0</v>
      </c>
      <c r="H32" s="5">
        <f>IF(ISNUMBER(F32),ROUND(F32*'Reference data'!$B$2,0),"Unknown")</f>
        <v>9.0</v>
      </c>
    </row>
    <row r="33" spans="1:13" ht="409" customHeight="1">
      <c r="A33" t="s">
        <v>121</v>
      </c>
      <c r="B33">
        <v>1</v>
      </c>
      <c r="C33" t="s">
        <v>108</v>
      </c>
      <c r="I33" s="6" t="s">
        <v>126</v>
      </c>
    </row>
    <row r="34" spans="1:13" ht="24" customHeight="1">
      <c r="A34" t="s">
        <v>121</v>
      </c>
      <c r="B34">
        <v>1</v>
      </c>
      <c r="C34" t="s">
        <v>103</v>
      </c>
    </row>
    <row r="35" spans="1:13" ht="24" customHeight="1">
      <c r="A35" t="s">
        <v>121</v>
      </c>
      <c r="B35">
        <v>1</v>
      </c>
      <c r="C35" t="s">
        <v>104</v>
      </c>
    </row>
    <row r="36" spans="1:13" s="4" customFormat="1" ht="24" customHeight="1">
      <c r="A36" s="4" t="s">
        <v>121</v>
      </c>
      <c r="B36" s="4">
        <v>1</v>
      </c>
      <c r="C36" s="4" t="s">
        <v>110</v>
      </c>
      <c r="E36" s="2">
        <f>IF(COUNT('Turns'!E25,'Turns'!E26,'Turns'!E28,'Turns'!E31,'Turns'!E32)=5,SUM('Turns'!E25,'Turns'!E26,'Turns'!E28,'Turns'!E31,'Turns'!E32),"Unknown")</f>
        <v>0.0007068200925</v>
      </c>
      <c r="F36" s="2">
        <f>IF(COUNT('Turns'!F25,'Turns'!F26,'Turns'!F28,'Turns'!F31,'Turns'!F32)=5,SUM('Turns'!F25,'Turns'!F26,'Turns'!F28,'Turns'!F31,'Turns'!F32),"Unknown")</f>
        <v>0.00080655</v>
      </c>
      <c r="G36" s="5">
        <f>IF(ISNUMBER(E36),ROUND(E36*'Reference data'!$B$2,0),"Unknown")</f>
        <v>71.0</v>
      </c>
      <c r="H36" s="5">
        <f>IF(ISNUMBER(F36),ROUND(F36*'Reference data'!$B$2,0),"Unknown")</f>
        <v>81.0</v>
      </c>
      <c r="K36" s="4" t="s">
        <v>111</v>
      </c>
    </row>
    <row r="37" spans="1:13" s="4" customFormat="1" ht="24" customHeight="1">
      <c r="B37" s="4">
        <v>1</v>
      </c>
      <c r="C37" s="4" t="s">
        <v>127</v>
      </c>
      <c r="K37" s="4" t="s">
        <v>128</v>
      </c>
      <c r="M37" s="4" t="s">
        <v>129</v>
      </c>
    </row>
    <row r="38" spans="1:13" ht="47" customHeight="1">
      <c r="B38">
        <v>1</v>
      </c>
      <c r="C38" t="s">
        <v>114</v>
      </c>
      <c r="I38" s="6" t="s">
        <v>130</v>
      </c>
    </row>
    <row r="39" spans="1:13" ht="73" customHeight="1">
      <c r="B39">
        <v>1</v>
      </c>
      <c r="C39" t="s">
        <v>116</v>
      </c>
      <c r="I39" s="6" t="s">
        <v>131</v>
      </c>
    </row>
    <row r="40" spans="1:13" s="4" customFormat="1" ht="24" customHeight="1">
      <c r="A40" s="4" t="s">
        <v>132</v>
      </c>
      <c r="B40" s="4">
        <v>1</v>
      </c>
      <c r="C40" s="4" t="s">
        <v>94</v>
      </c>
      <c r="D40" s="4">
        <v>1606</v>
      </c>
      <c r="J40" s="4" t="s">
        <v>95</v>
      </c>
      <c r="M40" s="4" t="s">
        <v>133</v>
      </c>
    </row>
    <row r="41" spans="1:13" ht="24" customHeight="1">
      <c r="A41" t="s">
        <v>132</v>
      </c>
      <c r="B41">
        <v>1</v>
      </c>
      <c r="C41" t="s">
        <v>123</v>
      </c>
      <c r="D41" s="5">
        <v>1107</v>
      </c>
      <c r="E41" s="2">
        <f>IF(AND(ISNUMBER(F41),ISNUMBER('Reference data'!$B$3)),F41*'Reference data'!$B$3,"Unknown")</f>
        <v>1.9402389e-05</v>
      </c>
      <c r="F41" s="2">
        <f>IF(D41=0,0,IF(ISNUMBER('Reference data'!C17),D41*'Reference data'!C17/1000000,"Unknown"))</f>
        <v>2.214e-05</v>
      </c>
      <c r="G41" s="5">
        <f>IF(ISNUMBER(E41),ROUND(E41*'Reference data'!$B$2,0),"Unknown")</f>
        <v>2.0</v>
      </c>
      <c r="H41" s="5">
        <f>IF(ISNUMBER(F41),ROUND(F41*'Reference data'!$B$2,0),"Unknown")</f>
        <v>2.0</v>
      </c>
    </row>
    <row r="42" spans="1:13" ht="24" customHeight="1">
      <c r="A42" t="s">
        <v>132</v>
      </c>
      <c r="B42">
        <v>1</v>
      </c>
      <c r="C42" t="s">
        <v>97</v>
      </c>
      <c r="D42" s="5">
        <v>3</v>
      </c>
      <c r="E42" s="2">
        <f>IF(AND(ISNUMBER(F42),ISNUMBER('Reference data'!$B$3)),F42*'Reference data'!$B$3,"Unknown")</f>
        <v>5.2581e-07</v>
      </c>
      <c r="F42" s="2">
        <f>IF(D42=0,0,IF(ISNUMBER('Reference data'!B17),D42*'Reference data'!B17/1000000,"Unknown"))</f>
        <v>6e-07</v>
      </c>
      <c r="G42" s="5">
        <f>IF(ISNUMBER(E42),ROUND(E42*'Reference data'!$B$2,0),"Unknown")</f>
        <v>0.0</v>
      </c>
      <c r="H42" s="5">
        <f>IF(ISNUMBER(F42),ROUND(F42*'Reference data'!$B$2,0),"Unknown")</f>
        <v>0.0</v>
      </c>
    </row>
    <row r="43" spans="1:13" ht="73" customHeight="1">
      <c r="A43" t="s">
        <v>132</v>
      </c>
      <c r="B43">
        <v>1</v>
      </c>
      <c r="C43" t="s">
        <v>124</v>
      </c>
      <c r="I43" s="6" t="s">
        <v>131</v>
      </c>
    </row>
    <row r="44" spans="1:13" ht="24" customHeight="1">
      <c r="A44" t="s">
        <v>132</v>
      </c>
      <c r="B44">
        <v>1</v>
      </c>
      <c r="C44" t="s">
        <v>103</v>
      </c>
      <c r="D44" s="5">
        <v>496</v>
      </c>
      <c r="E44" s="2">
        <f>IF(AND(ISNUMBER(F44),ISNUMBER('Reference data'!$B$3)),F44*'Reference data'!$B$3,"Unknown")</f>
        <v>0.0001086674</v>
      </c>
      <c r="F44" s="2">
        <f>IF(D44=0,0,IF(ISNUMBER('Reference data'!D17),D44*'Reference data'!D17/1000000,"Unknown"))</f>
        <v>0.000124</v>
      </c>
      <c r="G44" s="5">
        <f>IF(ISNUMBER(E44),ROUND(E44*'Reference data'!$B$2,0),"Unknown")</f>
        <v>11.0</v>
      </c>
      <c r="H44" s="5">
        <f>IF(ISNUMBER(F44),ROUND(F44*'Reference data'!$B$2,0),"Unknown")</f>
        <v>12.0</v>
      </c>
    </row>
    <row r="45" spans="1:13" ht="24" customHeight="1">
      <c r="A45" t="s">
        <v>132</v>
      </c>
      <c r="B45">
        <v>1</v>
      </c>
      <c r="C45" t="s">
        <v>104</v>
      </c>
    </row>
    <row r="46" spans="1:13" s="4" customFormat="1" ht="24" customHeight="1">
      <c r="A46" s="4" t="s">
        <v>132</v>
      </c>
      <c r="B46" s="4">
        <v>1</v>
      </c>
      <c r="C46" s="4" t="s">
        <v>105</v>
      </c>
      <c r="D46" s="4">
        <v>320</v>
      </c>
    </row>
    <row r="47" spans="1:13" ht="24" customHeight="1">
      <c r="A47" t="s">
        <v>132</v>
      </c>
      <c r="B47">
        <v>1</v>
      </c>
      <c r="C47" t="s">
        <v>106</v>
      </c>
      <c r="D47" s="5">
        <v>210</v>
      </c>
      <c r="E47" s="2">
        <f>IF(AND(ISNUMBER(F47),ISNUMBER('Reference data'!$B$3)),F47*'Reference data'!$B$3,"Unknown")</f>
        <v>0.0002208402</v>
      </c>
      <c r="F47" s="2">
        <f>IF(D47=0,0,IF(ISNUMBER('Reference data'!F17),D47*'Reference data'!F17/1000000,"Unknown"))</f>
        <v>0.000252</v>
      </c>
      <c r="G47" s="5">
        <f>IF(ISNUMBER(E47),ROUND(E47*'Reference data'!$B$2,0),"Unknown")</f>
        <v>22.0</v>
      </c>
      <c r="H47" s="5">
        <f>IF(ISNUMBER(F47),ROUND(F47*'Reference data'!$B$2,0),"Unknown")</f>
        <v>25.0</v>
      </c>
    </row>
    <row r="48" spans="1:13" ht="24" customHeight="1">
      <c r="A48" t="s">
        <v>132</v>
      </c>
      <c r="B48">
        <v>1</v>
      </c>
      <c r="C48" t="s">
        <v>107</v>
      </c>
      <c r="D48" s="5">
        <v>110</v>
      </c>
      <c r="E48" s="2">
        <f>IF(AND(ISNUMBER(F48),ISNUMBER('Reference data'!$B$3)),F48*'Reference data'!$B$3,"Unknown")</f>
        <v>0.0001156782</v>
      </c>
      <c r="F48" s="2">
        <f>IF(D48=0,0,IF(ISNUMBER('Reference data'!E17),D48*'Reference data'!E17/1000000,"Unknown"))</f>
        <v>0.000132</v>
      </c>
      <c r="G48" s="5">
        <f>IF(ISNUMBER(E48),ROUND(E48*'Reference data'!$B$2,0),"Unknown")</f>
        <v>12.0</v>
      </c>
      <c r="H48" s="5">
        <f>IF(ISNUMBER(F48),ROUND(F48*'Reference data'!$B$2,0),"Unknown")</f>
        <v>13.0</v>
      </c>
    </row>
    <row r="49" spans="1:13" ht="409" customHeight="1">
      <c r="A49" t="s">
        <v>132</v>
      </c>
      <c r="B49">
        <v>1</v>
      </c>
      <c r="C49" t="s">
        <v>108</v>
      </c>
      <c r="I49" s="6" t="s">
        <v>134</v>
      </c>
    </row>
    <row r="50" spans="1:13" ht="24" customHeight="1">
      <c r="A50" t="s">
        <v>132</v>
      </c>
      <c r="B50">
        <v>1</v>
      </c>
      <c r="C50" t="s">
        <v>103</v>
      </c>
    </row>
    <row r="51" spans="1:13" ht="24" customHeight="1">
      <c r="A51" t="s">
        <v>132</v>
      </c>
      <c r="B51">
        <v>1</v>
      </c>
      <c r="C51" t="s">
        <v>104</v>
      </c>
    </row>
    <row r="52" spans="1:13" s="4" customFormat="1" ht="24" customHeight="1">
      <c r="A52" s="4" t="s">
        <v>132</v>
      </c>
      <c r="B52" s="4">
        <v>1</v>
      </c>
      <c r="C52" s="4" t="s">
        <v>110</v>
      </c>
      <c r="E52" s="2">
        <f>IF(COUNT('Turns'!E41,'Turns'!E42,'Turns'!E44,'Turns'!E47,'Turns'!E48)=5,SUM('Turns'!E41,'Turns'!E42,'Turns'!E44,'Turns'!E47,'Turns'!E48),"Unknown")</f>
        <v>0.000465113999</v>
      </c>
      <c r="F52" s="2">
        <f>IF(COUNT('Turns'!F41,'Turns'!F42,'Turns'!F44,'Turns'!F47,'Turns'!F48)=5,SUM('Turns'!F41,'Turns'!F42,'Turns'!F44,'Turns'!F47,'Turns'!F48),"Unknown")</f>
        <v>0.00053074</v>
      </c>
      <c r="G52" s="5">
        <f>IF(ISNUMBER(E52),ROUND(E52*'Reference data'!$B$2,0),"Unknown")</f>
        <v>47.0</v>
      </c>
      <c r="H52" s="5">
        <f>IF(ISNUMBER(F52),ROUND(F52*'Reference data'!$B$2,0),"Unknown")</f>
        <v>53.0</v>
      </c>
      <c r="K52" s="4" t="s">
        <v>111</v>
      </c>
    </row>
    <row r="53" spans="1:13" s="4" customFormat="1" ht="24" customHeight="1">
      <c r="B53" s="4">
        <v>1</v>
      </c>
      <c r="C53" s="4" t="s">
        <v>127</v>
      </c>
      <c r="K53" s="4" t="s">
        <v>111</v>
      </c>
      <c r="M53" s="4" t="s">
        <v>135</v>
      </c>
    </row>
    <row r="54" spans="1:13" ht="73" customHeight="1">
      <c r="B54">
        <v>1</v>
      </c>
      <c r="C54" t="s">
        <v>114</v>
      </c>
      <c r="I54" s="6" t="s">
        <v>136</v>
      </c>
    </row>
    <row r="55" spans="1:13" ht="24" customHeight="1">
      <c r="B55">
        <v>1</v>
      </c>
      <c r="C55" t="s">
        <v>116</v>
      </c>
      <c r="I55" s="6" t="s">
        <v>137</v>
      </c>
    </row>
    <row r="56" spans="1:13" s="4" customFormat="1" ht="24" customHeight="1">
      <c r="A56" s="4" t="s">
        <v>138</v>
      </c>
      <c r="B56" s="4">
        <v>1</v>
      </c>
      <c r="C56" s="4" t="s">
        <v>94</v>
      </c>
      <c r="D56" s="4">
        <v>1952</v>
      </c>
      <c r="J56" s="4" t="s">
        <v>95</v>
      </c>
      <c r="M56" s="4" t="s">
        <v>139</v>
      </c>
    </row>
    <row r="57" spans="1:13" ht="24" customHeight="1">
      <c r="A57" t="s">
        <v>138</v>
      </c>
      <c r="B57">
        <v>1</v>
      </c>
      <c r="C57" t="s">
        <v>123</v>
      </c>
      <c r="D57" s="5">
        <v>1603</v>
      </c>
      <c r="E57" s="2">
        <f>IF(AND(ISNUMBER(F57),ISNUMBER('Reference data'!$B$3)),F57*'Reference data'!$B$3,"Unknown")</f>
        <v>2.8095781e-05</v>
      </c>
      <c r="F57" s="2">
        <f>IF(D57=0,0,IF(ISNUMBER('Reference data'!C17),D57*'Reference data'!C17/1000000,"Unknown"))</f>
        <v>3.206e-05</v>
      </c>
      <c r="G57" s="5">
        <f>IF(ISNUMBER(E57),ROUND(E57*'Reference data'!$B$2,0),"Unknown")</f>
        <v>3.0</v>
      </c>
      <c r="H57" s="5">
        <f>IF(ISNUMBER(F57),ROUND(F57*'Reference data'!$B$2,0),"Unknown")</f>
        <v>3.0</v>
      </c>
    </row>
    <row r="58" spans="1:13" ht="24" customHeight="1">
      <c r="A58" t="s">
        <v>138</v>
      </c>
      <c r="B58">
        <v>1</v>
      </c>
      <c r="C58" t="s">
        <v>97</v>
      </c>
      <c r="D58" s="5">
        <v>3</v>
      </c>
      <c r="E58" s="2">
        <f>IF(AND(ISNUMBER(F58),ISNUMBER('Reference data'!$B$3)),F58*'Reference data'!$B$3,"Unknown")</f>
        <v>5.2581e-07</v>
      </c>
      <c r="F58" s="2">
        <f>IF(D58=0,0,IF(ISNUMBER('Reference data'!B17),D58*'Reference data'!B17/1000000,"Unknown"))</f>
        <v>6e-07</v>
      </c>
      <c r="G58" s="5">
        <f>IF(ISNUMBER(E58),ROUND(E58*'Reference data'!$B$2,0),"Unknown")</f>
        <v>0.0</v>
      </c>
      <c r="H58" s="5">
        <f>IF(ISNUMBER(F58),ROUND(F58*'Reference data'!$B$2,0),"Unknown")</f>
        <v>0.0</v>
      </c>
    </row>
    <row r="59" spans="1:13" ht="24" customHeight="1">
      <c r="A59" t="s">
        <v>138</v>
      </c>
      <c r="B59">
        <v>1</v>
      </c>
      <c r="C59" t="s">
        <v>124</v>
      </c>
      <c r="I59" s="6" t="s">
        <v>137</v>
      </c>
    </row>
    <row r="60" spans="1:13" ht="24" customHeight="1">
      <c r="A60" t="s">
        <v>138</v>
      </c>
      <c r="B60">
        <v>1</v>
      </c>
      <c r="C60" t="s">
        <v>103</v>
      </c>
      <c r="D60" s="5">
        <v>346</v>
      </c>
      <c r="E60" s="2">
        <f>IF(AND(ISNUMBER(F60),ISNUMBER('Reference data'!$B$3)),F60*'Reference data'!$B$3,"Unknown")</f>
        <v>7.5804275e-05</v>
      </c>
      <c r="F60" s="2">
        <f>IF(D60=0,0,IF(ISNUMBER('Reference data'!D17),D60*'Reference data'!D17/1000000,"Unknown"))</f>
        <v>8.65e-05</v>
      </c>
      <c r="G60" s="5">
        <f>IF(ISNUMBER(E60),ROUND(E60*'Reference data'!$B$2,0),"Unknown")</f>
        <v>8.0</v>
      </c>
      <c r="H60" s="5">
        <f>IF(ISNUMBER(F60),ROUND(F60*'Reference data'!$B$2,0),"Unknown")</f>
        <v>9.0</v>
      </c>
    </row>
    <row r="61" spans="1:13" ht="24" customHeight="1">
      <c r="A61" t="s">
        <v>138</v>
      </c>
      <c r="B61">
        <v>1</v>
      </c>
      <c r="C61" t="s">
        <v>104</v>
      </c>
    </row>
    <row r="62" spans="1:13" s="4" customFormat="1" ht="24" customHeight="1">
      <c r="A62" s="4" t="s">
        <v>138</v>
      </c>
      <c r="B62" s="4">
        <v>1</v>
      </c>
      <c r="C62" s="4" t="s">
        <v>105</v>
      </c>
      <c r="D62" s="4">
        <v>38</v>
      </c>
    </row>
    <row r="63" spans="1:13" ht="24" customHeight="1">
      <c r="A63" t="s">
        <v>138</v>
      </c>
      <c r="B63">
        <v>1</v>
      </c>
      <c r="C63" t="s">
        <v>106</v>
      </c>
      <c r="D63" s="5">
        <v>7</v>
      </c>
      <c r="E63" s="2">
        <f>IF(AND(ISNUMBER(F63),ISNUMBER('Reference data'!$B$3)),F63*'Reference data'!$B$3,"Unknown")</f>
        <v>7.36134e-06</v>
      </c>
      <c r="F63" s="2">
        <f>IF(D63=0,0,IF(ISNUMBER('Reference data'!F17),D63*'Reference data'!F17/1000000,"Unknown"))</f>
        <v>8.4e-06</v>
      </c>
      <c r="G63" s="5">
        <f>IF(ISNUMBER(E63),ROUND(E63*'Reference data'!$B$2,0),"Unknown")</f>
        <v>1.0</v>
      </c>
      <c r="H63" s="5">
        <f>IF(ISNUMBER(F63),ROUND(F63*'Reference data'!$B$2,0),"Unknown")</f>
        <v>1.0</v>
      </c>
    </row>
    <row r="64" spans="1:13" ht="24" customHeight="1">
      <c r="A64" t="s">
        <v>138</v>
      </c>
      <c r="B64">
        <v>1</v>
      </c>
      <c r="C64" t="s">
        <v>107</v>
      </c>
      <c r="D64" s="5">
        <v>31</v>
      </c>
      <c r="E64" s="2">
        <f>IF(AND(ISNUMBER(F64),ISNUMBER('Reference data'!$B$3)),F64*'Reference data'!$B$3,"Unknown")</f>
        <v>3.260022e-05</v>
      </c>
      <c r="F64" s="2">
        <f>IF(D64=0,0,IF(ISNUMBER('Reference data'!E17),D64*'Reference data'!E17/1000000,"Unknown"))</f>
        <v>3.72e-05</v>
      </c>
      <c r="G64" s="5">
        <f>IF(ISNUMBER(E64),ROUND(E64*'Reference data'!$B$2,0),"Unknown")</f>
        <v>3.0</v>
      </c>
      <c r="H64" s="5">
        <f>IF(ISNUMBER(F64),ROUND(F64*'Reference data'!$B$2,0),"Unknown")</f>
        <v>4.0</v>
      </c>
    </row>
    <row r="65" spans="1:13" ht="281" customHeight="1">
      <c r="A65" t="s">
        <v>138</v>
      </c>
      <c r="B65">
        <v>1</v>
      </c>
      <c r="C65" t="s">
        <v>108</v>
      </c>
      <c r="I65" s="6" t="s">
        <v>140</v>
      </c>
    </row>
    <row r="66" spans="1:13" ht="24" customHeight="1">
      <c r="A66" t="s">
        <v>138</v>
      </c>
      <c r="B66">
        <v>1</v>
      </c>
      <c r="C66" t="s">
        <v>103</v>
      </c>
    </row>
    <row r="67" spans="1:13" ht="24" customHeight="1">
      <c r="A67" t="s">
        <v>138</v>
      </c>
      <c r="B67">
        <v>1</v>
      </c>
      <c r="C67" t="s">
        <v>104</v>
      </c>
    </row>
    <row r="68" spans="1:13" s="4" customFormat="1" ht="24" customHeight="1">
      <c r="A68" s="4" t="s">
        <v>138</v>
      </c>
      <c r="B68" s="4">
        <v>1</v>
      </c>
      <c r="C68" s="4" t="s">
        <v>110</v>
      </c>
      <c r="E68" s="2">
        <f>IF(COUNT('Turns'!E57,'Turns'!E58,'Turns'!E60,'Turns'!E63,'Turns'!E64)=5,SUM('Turns'!E57,'Turns'!E58,'Turns'!E60,'Turns'!E63,'Turns'!E64),"Unknown")</f>
        <v>0.000144387426</v>
      </c>
      <c r="F68" s="2">
        <f>IF(COUNT('Turns'!F57,'Turns'!F58,'Turns'!F60,'Turns'!F63,'Turns'!F64)=5,SUM('Turns'!F57,'Turns'!F58,'Turns'!F60,'Turns'!F63,'Turns'!F64),"Unknown")</f>
        <v>0.00016476</v>
      </c>
      <c r="G68" s="5">
        <f>IF(ISNUMBER(E68),ROUND(E68*'Reference data'!$B$2,0),"Unknown")</f>
        <v>14.0</v>
      </c>
      <c r="H68" s="5">
        <f>IF(ISNUMBER(F68),ROUND(F68*'Reference data'!$B$2,0),"Unknown")</f>
        <v>16.0</v>
      </c>
      <c r="K68" s="4" t="s">
        <v>111</v>
      </c>
    </row>
    <row r="69" spans="1:13" s="4" customFormat="1" ht="24" customHeight="1">
      <c r="B69" s="4">
        <v>1</v>
      </c>
      <c r="C69" s="4" t="s">
        <v>112</v>
      </c>
      <c r="K69" s="4" t="s">
        <v>111</v>
      </c>
      <c r="M69" s="4" t="s">
        <v>141</v>
      </c>
    </row>
    <row r="70" spans="1:13" ht="24" customHeight="1">
      <c r="B70">
        <v>1</v>
      </c>
      <c r="C70" t="s">
        <v>114</v>
      </c>
      <c r="I70" s="6" t="s">
        <v>119</v>
      </c>
    </row>
    <row r="71" spans="1:13" ht="294" customHeight="1">
      <c r="B71">
        <v>1</v>
      </c>
      <c r="C71" t="s">
        <v>116</v>
      </c>
      <c r="I71" s="6" t="s">
        <v>142</v>
      </c>
    </row>
    <row r="72" spans="1:13" s="4" customFormat="1" ht="24" customHeight="1">
      <c r="A72" s="4" t="s">
        <v>143</v>
      </c>
      <c r="B72" s="4">
        <v>1</v>
      </c>
      <c r="C72" s="4" t="s">
        <v>94</v>
      </c>
      <c r="D72" s="4">
        <v>2093</v>
      </c>
      <c r="J72" s="4" t="s">
        <v>95</v>
      </c>
      <c r="M72" s="4" t="s">
        <v>144</v>
      </c>
    </row>
    <row r="73" spans="1:13" ht="24" customHeight="1">
      <c r="A73" t="s">
        <v>143</v>
      </c>
      <c r="B73">
        <v>1</v>
      </c>
      <c r="C73" t="s">
        <v>123</v>
      </c>
      <c r="D73" s="5">
        <v>1949</v>
      </c>
      <c r="E73" s="2">
        <f>IF(AND(ISNUMBER(F73),ISNUMBER('Reference data'!$B$3)),F73*'Reference data'!$B$3,"Unknown")</f>
        <v>3.4160123e-05</v>
      </c>
      <c r="F73" s="2">
        <f>IF(D73=0,0,IF(ISNUMBER('Reference data'!C17),D73*'Reference data'!C17/1000000,"Unknown"))</f>
        <v>3.898e-05</v>
      </c>
      <c r="G73" s="5">
        <f>IF(ISNUMBER(E73),ROUND(E73*'Reference data'!$B$2,0),"Unknown")</f>
        <v>3.0</v>
      </c>
      <c r="H73" s="5">
        <f>IF(ISNUMBER(F73),ROUND(F73*'Reference data'!$B$2,0),"Unknown")</f>
        <v>4.0</v>
      </c>
    </row>
    <row r="74" spans="1:13" ht="24" customHeight="1">
      <c r="A74" t="s">
        <v>143</v>
      </c>
      <c r="B74">
        <v>1</v>
      </c>
      <c r="C74" t="s">
        <v>97</v>
      </c>
      <c r="D74" s="5">
        <v>3</v>
      </c>
      <c r="E74" s="2">
        <f>IF(AND(ISNUMBER(F74),ISNUMBER('Reference data'!$B$3)),F74*'Reference data'!$B$3,"Unknown")</f>
        <v>5.2581e-07</v>
      </c>
      <c r="F74" s="2">
        <f>IF(D74=0,0,IF(ISNUMBER('Reference data'!B17),D74*'Reference data'!B17/1000000,"Unknown"))</f>
        <v>6e-07</v>
      </c>
      <c r="G74" s="5">
        <f>IF(ISNUMBER(E74),ROUND(E74*'Reference data'!$B$2,0),"Unknown")</f>
        <v>0.0</v>
      </c>
      <c r="H74" s="5">
        <f>IF(ISNUMBER(F74),ROUND(F74*'Reference data'!$B$2,0),"Unknown")</f>
        <v>0.0</v>
      </c>
    </row>
    <row r="75" spans="1:13" ht="294" customHeight="1">
      <c r="A75" t="s">
        <v>143</v>
      </c>
      <c r="B75">
        <v>1</v>
      </c>
      <c r="C75" t="s">
        <v>124</v>
      </c>
      <c r="I75" s="6" t="s">
        <v>142</v>
      </c>
    </row>
    <row r="76" spans="1:13" ht="24" customHeight="1">
      <c r="A76" t="s">
        <v>143</v>
      </c>
      <c r="B76">
        <v>1</v>
      </c>
      <c r="C76" t="s">
        <v>103</v>
      </c>
      <c r="D76" s="5">
        <v>141</v>
      </c>
      <c r="E76" s="2">
        <f>IF(AND(ISNUMBER(F76),ISNUMBER('Reference data'!$B$3)),F76*'Reference data'!$B$3,"Unknown")</f>
        <v>3.08913375e-05</v>
      </c>
      <c r="F76" s="2">
        <f>IF(D76=0,0,IF(ISNUMBER('Reference data'!D17),D76*'Reference data'!D17/1000000,"Unknown"))</f>
        <v>3.525e-05</v>
      </c>
      <c r="G76" s="5">
        <f>IF(ISNUMBER(E76),ROUND(E76*'Reference data'!$B$2,0),"Unknown")</f>
        <v>3.0</v>
      </c>
      <c r="H76" s="5">
        <f>IF(ISNUMBER(F76),ROUND(F76*'Reference data'!$B$2,0),"Unknown")</f>
        <v>4.0</v>
      </c>
    </row>
    <row r="77" spans="1:13" ht="24" customHeight="1">
      <c r="A77" t="s">
        <v>143</v>
      </c>
      <c r="B77">
        <v>1</v>
      </c>
      <c r="C77" t="s">
        <v>104</v>
      </c>
    </row>
    <row r="78" spans="1:13" s="4" customFormat="1" ht="24" customHeight="1">
      <c r="A78" s="4" t="s">
        <v>143</v>
      </c>
      <c r="B78" s="4">
        <v>1</v>
      </c>
      <c r="C78" s="4" t="s">
        <v>105</v>
      </c>
      <c r="D78" s="4">
        <v>578</v>
      </c>
    </row>
    <row r="79" spans="1:13" ht="24" customHeight="1">
      <c r="A79" t="s">
        <v>143</v>
      </c>
      <c r="B79">
        <v>1</v>
      </c>
      <c r="C79" t="s">
        <v>106</v>
      </c>
      <c r="D79" s="5">
        <v>467</v>
      </c>
      <c r="E79" s="2">
        <f>IF(AND(ISNUMBER(F79),ISNUMBER('Reference data'!$B$3)),F79*'Reference data'!$B$3,"Unknown")</f>
        <v>0.00049110654</v>
      </c>
      <c r="F79" s="2">
        <f>IF(D79=0,0,IF(ISNUMBER('Reference data'!F17),D79*'Reference data'!F17/1000000,"Unknown"))</f>
        <v>0.0005604</v>
      </c>
      <c r="G79" s="5">
        <f>IF(ISNUMBER(E79),ROUND(E79*'Reference data'!$B$2,0),"Unknown")</f>
        <v>49.0</v>
      </c>
      <c r="H79" s="5">
        <f>IF(ISNUMBER(F79),ROUND(F79*'Reference data'!$B$2,0),"Unknown")</f>
        <v>56.0</v>
      </c>
    </row>
    <row r="80" spans="1:13" ht="24" customHeight="1">
      <c r="A80" t="s">
        <v>143</v>
      </c>
      <c r="B80">
        <v>1</v>
      </c>
      <c r="C80" t="s">
        <v>107</v>
      </c>
      <c r="D80" s="5">
        <v>111</v>
      </c>
      <c r="E80" s="2">
        <f>IF(AND(ISNUMBER(F80),ISNUMBER('Reference data'!$B$3)),F80*'Reference data'!$B$3,"Unknown")</f>
        <v>0.00011672982</v>
      </c>
      <c r="F80" s="2">
        <f>IF(D80=0,0,IF(ISNUMBER('Reference data'!E17),D80*'Reference data'!E17/1000000,"Unknown"))</f>
        <v>0.0001332</v>
      </c>
      <c r="G80" s="5">
        <f>IF(ISNUMBER(E80),ROUND(E80*'Reference data'!$B$2,0),"Unknown")</f>
        <v>12.0</v>
      </c>
      <c r="H80" s="5">
        <f>IF(ISNUMBER(F80),ROUND(F80*'Reference data'!$B$2,0),"Unknown")</f>
        <v>13.0</v>
      </c>
    </row>
    <row r="81" spans="1:13" ht="409" customHeight="1">
      <c r="A81" t="s">
        <v>143</v>
      </c>
      <c r="B81">
        <v>1</v>
      </c>
      <c r="C81" t="s">
        <v>108</v>
      </c>
      <c r="I81" s="6" t="s">
        <v>145</v>
      </c>
    </row>
    <row r="82" spans="1:13" ht="24" customHeight="1">
      <c r="A82" t="s">
        <v>143</v>
      </c>
      <c r="B82">
        <v>1</v>
      </c>
      <c r="C82" t="s">
        <v>103</v>
      </c>
    </row>
    <row r="83" spans="1:13" ht="24" customHeight="1">
      <c r="A83" t="s">
        <v>143</v>
      </c>
      <c r="B83">
        <v>1</v>
      </c>
      <c r="C83" t="s">
        <v>104</v>
      </c>
    </row>
    <row r="84" spans="1:13" s="4" customFormat="1" ht="24" customHeight="1">
      <c r="A84" s="4" t="s">
        <v>143</v>
      </c>
      <c r="B84" s="4">
        <v>1</v>
      </c>
      <c r="C84" s="4" t="s">
        <v>110</v>
      </c>
      <c r="E84" s="2">
        <f>IF(COUNT('Turns'!E73,'Turns'!E74,'Turns'!E76,'Turns'!E79,'Turns'!E80)=5,SUM('Turns'!E73,'Turns'!E74,'Turns'!E76,'Turns'!E79,'Turns'!E80),"Unknown")</f>
        <v>0.0006734136305</v>
      </c>
      <c r="F84" s="2">
        <f>IF(COUNT('Turns'!F73,'Turns'!F74,'Turns'!F76,'Turns'!F79,'Turns'!F80)=5,SUM('Turns'!F73,'Turns'!F74,'Turns'!F76,'Turns'!F79,'Turns'!F80),"Unknown")</f>
        <v>0.00076843</v>
      </c>
      <c r="G84" s="5">
        <f>IF(ISNUMBER(E84),ROUND(E84*'Reference data'!$B$2,0),"Unknown")</f>
        <v>67.0</v>
      </c>
      <c r="H84" s="5">
        <f>IF(ISNUMBER(F84),ROUND(F84*'Reference data'!$B$2,0),"Unknown")</f>
        <v>77.0</v>
      </c>
      <c r="K84" s="4" t="s">
        <v>111</v>
      </c>
    </row>
    <row r="85" spans="1:13" s="4" customFormat="1" ht="24" customHeight="1">
      <c r="B85" s="4">
        <v>1</v>
      </c>
      <c r="C85" s="4" t="s">
        <v>127</v>
      </c>
      <c r="K85" s="4" t="s">
        <v>111</v>
      </c>
      <c r="M85" s="4" t="s">
        <v>146</v>
      </c>
    </row>
    <row r="86" spans="1:13" ht="73" customHeight="1">
      <c r="B86">
        <v>1</v>
      </c>
      <c r="C86" t="s">
        <v>114</v>
      </c>
      <c r="I86" s="6" t="s">
        <v>147</v>
      </c>
    </row>
    <row r="87" spans="1:13" ht="24" customHeight="1">
      <c r="B87">
        <v>1</v>
      </c>
      <c r="C87" t="s">
        <v>116</v>
      </c>
      <c r="I87" s="6" t="s">
        <v>137</v>
      </c>
    </row>
    <row r="88" spans="1:13" s="4" customFormat="1" ht="24" customHeight="1">
      <c r="A88" s="4" t="s">
        <v>148</v>
      </c>
      <c r="B88" s="4">
        <v>1</v>
      </c>
      <c r="C88" s="4" t="s">
        <v>94</v>
      </c>
      <c r="D88" s="4">
        <v>2697</v>
      </c>
      <c r="J88" s="4" t="s">
        <v>95</v>
      </c>
      <c r="M88" s="4" t="s">
        <v>149</v>
      </c>
    </row>
    <row r="89" spans="1:13" ht="24" customHeight="1">
      <c r="A89" t="s">
        <v>148</v>
      </c>
      <c r="B89">
        <v>1</v>
      </c>
      <c r="C89" t="s">
        <v>123</v>
      </c>
      <c r="D89" s="5">
        <v>2090</v>
      </c>
      <c r="E89" s="2">
        <f>IF(AND(ISNUMBER(F89),ISNUMBER('Reference data'!$B$3)),F89*'Reference data'!$B$3,"Unknown")</f>
        <v>3.663143e-05</v>
      </c>
      <c r="F89" s="2">
        <f>IF(D89=0,0,IF(ISNUMBER('Reference data'!C17),D89*'Reference data'!C17/1000000,"Unknown"))</f>
        <v>4.18e-05</v>
      </c>
      <c r="G89" s="5">
        <f>IF(ISNUMBER(E89),ROUND(E89*'Reference data'!$B$2,0),"Unknown")</f>
        <v>4.0</v>
      </c>
      <c r="H89" s="5">
        <f>IF(ISNUMBER(F89),ROUND(F89*'Reference data'!$B$2,0),"Unknown")</f>
        <v>4.0</v>
      </c>
    </row>
    <row r="90" spans="1:13" ht="24" customHeight="1">
      <c r="A90" t="s">
        <v>148</v>
      </c>
      <c r="B90">
        <v>1</v>
      </c>
      <c r="C90" t="s">
        <v>97</v>
      </c>
      <c r="D90" s="5">
        <v>3</v>
      </c>
      <c r="E90" s="2">
        <f>IF(AND(ISNUMBER(F90),ISNUMBER('Reference data'!$B$3)),F90*'Reference data'!$B$3,"Unknown")</f>
        <v>5.2581e-07</v>
      </c>
      <c r="F90" s="2">
        <f>IF(D90=0,0,IF(ISNUMBER('Reference data'!B17),D90*'Reference data'!B17/1000000,"Unknown"))</f>
        <v>6e-07</v>
      </c>
      <c r="G90" s="5">
        <f>IF(ISNUMBER(E90),ROUND(E90*'Reference data'!$B$2,0),"Unknown")</f>
        <v>0.0</v>
      </c>
      <c r="H90" s="5">
        <f>IF(ISNUMBER(F90),ROUND(F90*'Reference data'!$B$2,0),"Unknown")</f>
        <v>0.0</v>
      </c>
    </row>
    <row r="91" spans="1:13" ht="24" customHeight="1">
      <c r="A91" t="s">
        <v>148</v>
      </c>
      <c r="B91">
        <v>1</v>
      </c>
      <c r="C91" t="s">
        <v>124</v>
      </c>
      <c r="I91" s="6" t="s">
        <v>137</v>
      </c>
    </row>
    <row r="92" spans="1:13" ht="24" customHeight="1">
      <c r="A92" t="s">
        <v>148</v>
      </c>
      <c r="B92">
        <v>1</v>
      </c>
      <c r="C92" t="s">
        <v>103</v>
      </c>
      <c r="D92" s="5">
        <v>604</v>
      </c>
      <c r="E92" s="2">
        <f>IF(AND(ISNUMBER(F92),ISNUMBER('Reference data'!$B$3)),F92*'Reference data'!$B$3,"Unknown")</f>
        <v>0.00013232885</v>
      </c>
      <c r="F92" s="2">
        <f>IF(D92=0,0,IF(ISNUMBER('Reference data'!D17),D92*'Reference data'!D17/1000000,"Unknown"))</f>
        <v>0.000151</v>
      </c>
      <c r="G92" s="5">
        <f>IF(ISNUMBER(E92),ROUND(E92*'Reference data'!$B$2,0),"Unknown")</f>
        <v>13.0</v>
      </c>
      <c r="H92" s="5">
        <f>IF(ISNUMBER(F92),ROUND(F92*'Reference data'!$B$2,0),"Unknown")</f>
        <v>15.0</v>
      </c>
    </row>
    <row r="93" spans="1:13" ht="24" customHeight="1">
      <c r="A93" t="s">
        <v>148</v>
      </c>
      <c r="B93">
        <v>1</v>
      </c>
      <c r="C93" t="s">
        <v>104</v>
      </c>
    </row>
    <row r="94" spans="1:13" s="4" customFormat="1" ht="24" customHeight="1">
      <c r="A94" s="4" t="s">
        <v>148</v>
      </c>
      <c r="B94" s="4">
        <v>1</v>
      </c>
      <c r="C94" s="4" t="s">
        <v>105</v>
      </c>
      <c r="D94" s="4">
        <v>38</v>
      </c>
    </row>
    <row r="95" spans="1:13" ht="24" customHeight="1">
      <c r="A95" t="s">
        <v>148</v>
      </c>
      <c r="B95">
        <v>1</v>
      </c>
      <c r="C95" t="s">
        <v>106</v>
      </c>
      <c r="D95" s="5">
        <v>7</v>
      </c>
      <c r="E95" s="2">
        <f>IF(AND(ISNUMBER(F95),ISNUMBER('Reference data'!$B$3)),F95*'Reference data'!$B$3,"Unknown")</f>
        <v>7.36134e-06</v>
      </c>
      <c r="F95" s="2">
        <f>IF(D95=0,0,IF(ISNUMBER('Reference data'!F17),D95*'Reference data'!F17/1000000,"Unknown"))</f>
        <v>8.4e-06</v>
      </c>
      <c r="G95" s="5">
        <f>IF(ISNUMBER(E95),ROUND(E95*'Reference data'!$B$2,0),"Unknown")</f>
        <v>1.0</v>
      </c>
      <c r="H95" s="5">
        <f>IF(ISNUMBER(F95),ROUND(F95*'Reference data'!$B$2,0),"Unknown")</f>
        <v>1.0</v>
      </c>
    </row>
    <row r="96" spans="1:13" ht="24" customHeight="1">
      <c r="A96" t="s">
        <v>148</v>
      </c>
      <c r="B96">
        <v>1</v>
      </c>
      <c r="C96" t="s">
        <v>107</v>
      </c>
      <c r="D96" s="5">
        <v>31</v>
      </c>
      <c r="E96" s="2">
        <f>IF(AND(ISNUMBER(F96),ISNUMBER('Reference data'!$B$3)),F96*'Reference data'!$B$3,"Unknown")</f>
        <v>3.260022e-05</v>
      </c>
      <c r="F96" s="2">
        <f>IF(D96=0,0,IF(ISNUMBER('Reference data'!E17),D96*'Reference data'!E17/1000000,"Unknown"))</f>
        <v>3.72e-05</v>
      </c>
      <c r="G96" s="5">
        <f>IF(ISNUMBER(E96),ROUND(E96*'Reference data'!$B$2,0),"Unknown")</f>
        <v>3.0</v>
      </c>
      <c r="H96" s="5">
        <f>IF(ISNUMBER(F96),ROUND(F96*'Reference data'!$B$2,0),"Unknown")</f>
        <v>4.0</v>
      </c>
    </row>
    <row r="97" spans="1:13" ht="281" customHeight="1">
      <c r="A97" t="s">
        <v>148</v>
      </c>
      <c r="B97">
        <v>1</v>
      </c>
      <c r="C97" t="s">
        <v>108</v>
      </c>
      <c r="I97" s="6" t="s">
        <v>150</v>
      </c>
    </row>
    <row r="98" spans="1:13" ht="24" customHeight="1">
      <c r="A98" t="s">
        <v>148</v>
      </c>
      <c r="B98">
        <v>1</v>
      </c>
      <c r="C98" t="s">
        <v>103</v>
      </c>
    </row>
    <row r="99" spans="1:13" ht="24" customHeight="1">
      <c r="A99" t="s">
        <v>148</v>
      </c>
      <c r="B99">
        <v>1</v>
      </c>
      <c r="C99" t="s">
        <v>104</v>
      </c>
    </row>
    <row r="100" spans="1:13" s="4" customFormat="1" ht="24" customHeight="1">
      <c r="A100" s="4" t="s">
        <v>148</v>
      </c>
      <c r="B100" s="4">
        <v>1</v>
      </c>
      <c r="C100" s="4" t="s">
        <v>110</v>
      </c>
      <c r="E100" s="2">
        <f>IF(COUNT('Turns'!E89,'Turns'!E90,'Turns'!E92,'Turns'!E95,'Turns'!E96)=5,SUM('Turns'!E89,'Turns'!E90,'Turns'!E92,'Turns'!E95,'Turns'!E96),"Unknown")</f>
        <v>0.00020944765</v>
      </c>
      <c r="F100" s="2">
        <f>IF(COUNT('Turns'!F89,'Turns'!F90,'Turns'!F92,'Turns'!F95,'Turns'!F96)=5,SUM('Turns'!F89,'Turns'!F90,'Turns'!F92,'Turns'!F95,'Turns'!F96),"Unknown")</f>
        <v>0.000239</v>
      </c>
      <c r="G100" s="5">
        <f>IF(ISNUMBER(E100),ROUND(E100*'Reference data'!$B$2,0),"Unknown")</f>
        <v>21.0</v>
      </c>
      <c r="H100" s="5">
        <f>IF(ISNUMBER(F100),ROUND(F100*'Reference data'!$B$2,0),"Unknown")</f>
        <v>24.0</v>
      </c>
      <c r="K100" s="4" t="s">
        <v>111</v>
      </c>
    </row>
    <row r="101" spans="1:13" s="4" customFormat="1" ht="24" customHeight="1">
      <c r="B101" s="4">
        <v>1</v>
      </c>
      <c r="C101" s="4" t="s">
        <v>112</v>
      </c>
      <c r="K101" s="4" t="s">
        <v>111</v>
      </c>
      <c r="M101" s="4" t="s">
        <v>151</v>
      </c>
    </row>
    <row r="102" spans="1:13" ht="24" customHeight="1">
      <c r="B102">
        <v>1</v>
      </c>
      <c r="C102" t="s">
        <v>114</v>
      </c>
      <c r="I102" s="6" t="s">
        <v>119</v>
      </c>
    </row>
    <row r="103" spans="1:13" ht="320" customHeight="1">
      <c r="B103">
        <v>1</v>
      </c>
      <c r="C103" t="s">
        <v>116</v>
      </c>
      <c r="I103" s="6" t="s">
        <v>152</v>
      </c>
    </row>
    <row r="104" spans="1:13" s="4" customFormat="1" ht="24" customHeight="1">
      <c r="A104" s="4" t="s">
        <v>153</v>
      </c>
      <c r="B104" s="4">
        <v>1</v>
      </c>
      <c r="C104" s="4" t="s">
        <v>94</v>
      </c>
      <c r="D104" s="4">
        <v>2845</v>
      </c>
      <c r="J104" s="4" t="s">
        <v>95</v>
      </c>
      <c r="M104" s="4" t="s">
        <v>154</v>
      </c>
    </row>
    <row r="105" spans="1:13" ht="24" customHeight="1">
      <c r="A105" t="s">
        <v>153</v>
      </c>
      <c r="B105">
        <v>1</v>
      </c>
      <c r="C105" t="s">
        <v>123</v>
      </c>
      <c r="D105" s="5">
        <v>2694</v>
      </c>
      <c r="E105" s="2">
        <f>IF(AND(ISNUMBER(F105),ISNUMBER('Reference data'!$B$3)),F105*'Reference data'!$B$3,"Unknown")</f>
        <v>4.7217738e-05</v>
      </c>
      <c r="F105" s="2">
        <f>IF(D105=0,0,IF(ISNUMBER('Reference data'!C17),D105*'Reference data'!C17/1000000,"Unknown"))</f>
        <v>5.388e-05</v>
      </c>
      <c r="G105" s="5">
        <f>IF(ISNUMBER(E105),ROUND(E105*'Reference data'!$B$2,0),"Unknown")</f>
        <v>5.0</v>
      </c>
      <c r="H105" s="5">
        <f>IF(ISNUMBER(F105),ROUND(F105*'Reference data'!$B$2,0),"Unknown")</f>
        <v>5.0</v>
      </c>
    </row>
    <row r="106" spans="1:13" ht="24" customHeight="1">
      <c r="A106" t="s">
        <v>153</v>
      </c>
      <c r="B106">
        <v>1</v>
      </c>
      <c r="C106" t="s">
        <v>97</v>
      </c>
      <c r="D106" s="5">
        <v>3</v>
      </c>
      <c r="E106" s="2">
        <f>IF(AND(ISNUMBER(F106),ISNUMBER('Reference data'!$B$3)),F106*'Reference data'!$B$3,"Unknown")</f>
        <v>5.2581e-07</v>
      </c>
      <c r="F106" s="2">
        <f>IF(D106=0,0,IF(ISNUMBER('Reference data'!B17),D106*'Reference data'!B17/1000000,"Unknown"))</f>
        <v>6e-07</v>
      </c>
      <c r="G106" s="5">
        <f>IF(ISNUMBER(E106),ROUND(E106*'Reference data'!$B$2,0),"Unknown")</f>
        <v>0.0</v>
      </c>
      <c r="H106" s="5">
        <f>IF(ISNUMBER(F106),ROUND(F106*'Reference data'!$B$2,0),"Unknown")</f>
        <v>0.0</v>
      </c>
    </row>
    <row r="107" spans="1:13" ht="320" customHeight="1">
      <c r="A107" t="s">
        <v>153</v>
      </c>
      <c r="B107">
        <v>1</v>
      </c>
      <c r="C107" t="s">
        <v>124</v>
      </c>
      <c r="I107" s="6" t="s">
        <v>152</v>
      </c>
    </row>
    <row r="108" spans="1:13" ht="24" customHeight="1">
      <c r="A108" t="s">
        <v>153</v>
      </c>
      <c r="B108">
        <v>1</v>
      </c>
      <c r="C108" t="s">
        <v>103</v>
      </c>
      <c r="D108" s="5">
        <v>148</v>
      </c>
      <c r="E108" s="2">
        <f>IF(AND(ISNUMBER(F108),ISNUMBER('Reference data'!$B$3)),F108*'Reference data'!$B$3,"Unknown")</f>
        <v>3.242495e-05</v>
      </c>
      <c r="F108" s="2">
        <f>IF(D108=0,0,IF(ISNUMBER('Reference data'!D17),D108*'Reference data'!D17/1000000,"Unknown"))</f>
        <v>3.7e-05</v>
      </c>
      <c r="G108" s="5">
        <f>IF(ISNUMBER(E108),ROUND(E108*'Reference data'!$B$2,0),"Unknown")</f>
        <v>3.0</v>
      </c>
      <c r="H108" s="5">
        <f>IF(ISNUMBER(F108),ROUND(F108*'Reference data'!$B$2,0),"Unknown")</f>
        <v>4.0</v>
      </c>
    </row>
    <row r="109" spans="1:13" ht="24" customHeight="1">
      <c r="A109" t="s">
        <v>153</v>
      </c>
      <c r="B109">
        <v>1</v>
      </c>
      <c r="C109" t="s">
        <v>104</v>
      </c>
    </row>
    <row r="110" spans="1:13" s="4" customFormat="1" ht="24" customHeight="1">
      <c r="A110" s="4" t="s">
        <v>153</v>
      </c>
      <c r="B110" s="4">
        <v>1</v>
      </c>
      <c r="C110" s="4" t="s">
        <v>105</v>
      </c>
      <c r="D110" s="4">
        <v>952</v>
      </c>
    </row>
    <row r="111" spans="1:13" ht="24" customHeight="1">
      <c r="A111" t="s">
        <v>153</v>
      </c>
      <c r="B111">
        <v>1</v>
      </c>
      <c r="C111" t="s">
        <v>106</v>
      </c>
      <c r="D111" s="5">
        <v>850</v>
      </c>
      <c r="E111" s="2">
        <f>IF(AND(ISNUMBER(F111),ISNUMBER('Reference data'!$B$3)),F111*'Reference data'!$B$3,"Unknown")</f>
        <v>0.000893877</v>
      </c>
      <c r="F111" s="2">
        <f>IF(D111=0,0,IF(ISNUMBER('Reference data'!F17),D111*'Reference data'!F17/1000000,"Unknown"))</f>
        <v>0.00102</v>
      </c>
      <c r="G111" s="5">
        <f>IF(ISNUMBER(E111),ROUND(E111*'Reference data'!$B$2,0),"Unknown")</f>
        <v>89.0</v>
      </c>
      <c r="H111" s="5">
        <f>IF(ISNUMBER(F111),ROUND(F111*'Reference data'!$B$2,0),"Unknown")</f>
        <v>102.0</v>
      </c>
    </row>
    <row r="112" spans="1:13" ht="24" customHeight="1">
      <c r="A112" t="s">
        <v>153</v>
      </c>
      <c r="B112">
        <v>1</v>
      </c>
      <c r="C112" t="s">
        <v>107</v>
      </c>
      <c r="D112" s="5">
        <v>102</v>
      </c>
      <c r="E112" s="2">
        <f>IF(AND(ISNUMBER(F112),ISNUMBER('Reference data'!$B$3)),F112*'Reference data'!$B$3,"Unknown")</f>
        <v>0.00010726524</v>
      </c>
      <c r="F112" s="2">
        <f>IF(D112=0,0,IF(ISNUMBER('Reference data'!E17),D112*'Reference data'!E17/1000000,"Unknown"))</f>
        <v>0.0001224</v>
      </c>
      <c r="G112" s="5">
        <f>IF(ISNUMBER(E112),ROUND(E112*'Reference data'!$B$2,0),"Unknown")</f>
        <v>11.0</v>
      </c>
      <c r="H112" s="5">
        <f>IF(ISNUMBER(F112),ROUND(F112*'Reference data'!$B$2,0),"Unknown")</f>
        <v>12.0</v>
      </c>
    </row>
    <row r="113" spans="1:13" ht="409" customHeight="1">
      <c r="A113" t="s">
        <v>153</v>
      </c>
      <c r="B113">
        <v>1</v>
      </c>
      <c r="C113" t="s">
        <v>108</v>
      </c>
      <c r="I113" s="6" t="s">
        <v>155</v>
      </c>
    </row>
    <row r="114" spans="1:13" ht="24" customHeight="1">
      <c r="A114" t="s">
        <v>153</v>
      </c>
      <c r="B114">
        <v>1</v>
      </c>
      <c r="C114" t="s">
        <v>103</v>
      </c>
    </row>
    <row r="115" spans="1:13" ht="24" customHeight="1">
      <c r="A115" t="s">
        <v>153</v>
      </c>
      <c r="B115">
        <v>1</v>
      </c>
      <c r="C115" t="s">
        <v>104</v>
      </c>
    </row>
    <row r="116" spans="1:13" s="4" customFormat="1" ht="24" customHeight="1">
      <c r="A116" s="4" t="s">
        <v>153</v>
      </c>
      <c r="B116" s="4">
        <v>1</v>
      </c>
      <c r="C116" s="4" t="s">
        <v>110</v>
      </c>
      <c r="E116" s="2">
        <f>IF(COUNT('Turns'!E105,'Turns'!E106,'Turns'!E108,'Turns'!E111,'Turns'!E112)=5,SUM('Turns'!E105,'Turns'!E106,'Turns'!E108,'Turns'!E111,'Turns'!E112),"Unknown")</f>
        <v>0.001081310738</v>
      </c>
      <c r="F116" s="2">
        <f>IF(COUNT('Turns'!F105,'Turns'!F106,'Turns'!F108,'Turns'!F111,'Turns'!F112)=5,SUM('Turns'!F105,'Turns'!F106,'Turns'!F108,'Turns'!F111,'Turns'!F112),"Unknown")</f>
        <v>0.00123388</v>
      </c>
      <c r="G116" s="5">
        <f>IF(ISNUMBER(E116),ROUND(E116*'Reference data'!$B$2,0),"Unknown")</f>
        <v>108.0</v>
      </c>
      <c r="H116" s="5">
        <f>IF(ISNUMBER(F116),ROUND(F116*'Reference data'!$B$2,0),"Unknown")</f>
        <v>123.0</v>
      </c>
      <c r="K116" s="4" t="s">
        <v>111</v>
      </c>
    </row>
    <row r="117" spans="1:13" s="4" customFormat="1" ht="24" customHeight="1">
      <c r="B117" s="4">
        <v>1</v>
      </c>
      <c r="C117" s="4" t="s">
        <v>127</v>
      </c>
      <c r="K117" s="4" t="s">
        <v>111</v>
      </c>
      <c r="M117" s="4" t="s">
        <v>156</v>
      </c>
    </row>
    <row r="118" spans="1:13" ht="60" customHeight="1">
      <c r="B118">
        <v>1</v>
      </c>
      <c r="C118" t="s">
        <v>114</v>
      </c>
      <c r="I118" s="6" t="s">
        <v>157</v>
      </c>
    </row>
    <row r="119" spans="1:13" ht="24" customHeight="1">
      <c r="B119">
        <v>1</v>
      </c>
      <c r="C119" t="s">
        <v>116</v>
      </c>
      <c r="I119" s="6" t="s">
        <v>137</v>
      </c>
    </row>
    <row r="120" spans="1:13" s="4" customFormat="1" ht="24" customHeight="1">
      <c r="A120" s="4" t="s">
        <v>158</v>
      </c>
      <c r="B120" s="4">
        <v>1</v>
      </c>
      <c r="C120" s="4" t="s">
        <v>94</v>
      </c>
      <c r="D120" s="4">
        <v>3823</v>
      </c>
      <c r="J120" s="4" t="s">
        <v>95</v>
      </c>
      <c r="M120" s="4" t="s">
        <v>159</v>
      </c>
    </row>
    <row r="121" spans="1:13" ht="24" customHeight="1">
      <c r="A121" t="s">
        <v>158</v>
      </c>
      <c r="B121">
        <v>1</v>
      </c>
      <c r="C121" t="s">
        <v>123</v>
      </c>
      <c r="D121" s="5">
        <v>2842</v>
      </c>
      <c r="E121" s="2">
        <f>IF(AND(ISNUMBER(F121),ISNUMBER('Reference data'!$B$3)),F121*'Reference data'!$B$3,"Unknown")</f>
        <v>4.9811734e-05</v>
      </c>
      <c r="F121" s="2">
        <f>IF(D121=0,0,IF(ISNUMBER('Reference data'!C17),D121*'Reference data'!C17/1000000,"Unknown"))</f>
        <v>5.684e-05</v>
      </c>
      <c r="G121" s="5">
        <f>IF(ISNUMBER(E121),ROUND(E121*'Reference data'!$B$2,0),"Unknown")</f>
        <v>5.0</v>
      </c>
      <c r="H121" s="5">
        <f>IF(ISNUMBER(F121),ROUND(F121*'Reference data'!$B$2,0),"Unknown")</f>
        <v>6.0</v>
      </c>
    </row>
    <row r="122" spans="1:13" ht="24" customHeight="1">
      <c r="A122" t="s">
        <v>158</v>
      </c>
      <c r="B122">
        <v>1</v>
      </c>
      <c r="C122" t="s">
        <v>97</v>
      </c>
      <c r="D122" s="5">
        <v>3</v>
      </c>
      <c r="E122" s="2">
        <f>IF(AND(ISNUMBER(F122),ISNUMBER('Reference data'!$B$3)),F122*'Reference data'!$B$3,"Unknown")</f>
        <v>5.2581e-07</v>
      </c>
      <c r="F122" s="2">
        <f>IF(D122=0,0,IF(ISNUMBER('Reference data'!B17),D122*'Reference data'!B17/1000000,"Unknown"))</f>
        <v>6e-07</v>
      </c>
      <c r="G122" s="5">
        <f>IF(ISNUMBER(E122),ROUND(E122*'Reference data'!$B$2,0),"Unknown")</f>
        <v>0.0</v>
      </c>
      <c r="H122" s="5">
        <f>IF(ISNUMBER(F122),ROUND(F122*'Reference data'!$B$2,0),"Unknown")</f>
        <v>0.0</v>
      </c>
    </row>
    <row r="123" spans="1:13" ht="24" customHeight="1">
      <c r="A123" t="s">
        <v>158</v>
      </c>
      <c r="B123">
        <v>1</v>
      </c>
      <c r="C123" t="s">
        <v>124</v>
      </c>
      <c r="I123" s="6" t="s">
        <v>137</v>
      </c>
    </row>
    <row r="124" spans="1:13" ht="24" customHeight="1">
      <c r="A124" t="s">
        <v>158</v>
      </c>
      <c r="B124">
        <v>1</v>
      </c>
      <c r="C124" t="s">
        <v>103</v>
      </c>
      <c r="D124" s="5">
        <v>978</v>
      </c>
      <c r="E124" s="2">
        <f>IF(AND(ISNUMBER(F124),ISNUMBER('Reference data'!$B$3)),F124*'Reference data'!$B$3,"Unknown")</f>
        <v>0.000214267575</v>
      </c>
      <c r="F124" s="2">
        <f>IF(D124=0,0,IF(ISNUMBER('Reference data'!D17),D124*'Reference data'!D17/1000000,"Unknown"))</f>
        <v>0.0002445</v>
      </c>
      <c r="G124" s="5">
        <f>IF(ISNUMBER(E124),ROUND(E124*'Reference data'!$B$2,0),"Unknown")</f>
        <v>21.0</v>
      </c>
      <c r="H124" s="5">
        <f>IF(ISNUMBER(F124),ROUND(F124*'Reference data'!$B$2,0),"Unknown")</f>
        <v>24.0</v>
      </c>
    </row>
    <row r="125" spans="1:13" ht="24" customHeight="1">
      <c r="A125" t="s">
        <v>158</v>
      </c>
      <c r="B125">
        <v>1</v>
      </c>
      <c r="C125" t="s">
        <v>104</v>
      </c>
    </row>
    <row r="126" spans="1:13" s="4" customFormat="1" ht="24" customHeight="1">
      <c r="A126" s="4" t="s">
        <v>158</v>
      </c>
      <c r="B126" s="4">
        <v>1</v>
      </c>
      <c r="C126" s="4" t="s">
        <v>105</v>
      </c>
      <c r="D126" s="4">
        <v>38</v>
      </c>
    </row>
    <row r="127" spans="1:13" ht="24" customHeight="1">
      <c r="A127" t="s">
        <v>158</v>
      </c>
      <c r="B127">
        <v>1</v>
      </c>
      <c r="C127" t="s">
        <v>106</v>
      </c>
      <c r="D127" s="5">
        <v>7</v>
      </c>
      <c r="E127" s="2">
        <f>IF(AND(ISNUMBER(F127),ISNUMBER('Reference data'!$B$3)),F127*'Reference data'!$B$3,"Unknown")</f>
        <v>7.36134e-06</v>
      </c>
      <c r="F127" s="2">
        <f>IF(D127=0,0,IF(ISNUMBER('Reference data'!F17),D127*'Reference data'!F17/1000000,"Unknown"))</f>
        <v>8.4e-06</v>
      </c>
      <c r="G127" s="5">
        <f>IF(ISNUMBER(E127),ROUND(E127*'Reference data'!$B$2,0),"Unknown")</f>
        <v>1.0</v>
      </c>
      <c r="H127" s="5">
        <f>IF(ISNUMBER(F127),ROUND(F127*'Reference data'!$B$2,0),"Unknown")</f>
        <v>1.0</v>
      </c>
    </row>
    <row r="128" spans="1:13" ht="24" customHeight="1">
      <c r="A128" t="s">
        <v>158</v>
      </c>
      <c r="B128">
        <v>1</v>
      </c>
      <c r="C128" t="s">
        <v>107</v>
      </c>
      <c r="D128" s="5">
        <v>31</v>
      </c>
      <c r="E128" s="2">
        <f>IF(AND(ISNUMBER(F128),ISNUMBER('Reference data'!$B$3)),F128*'Reference data'!$B$3,"Unknown")</f>
        <v>3.260022e-05</v>
      </c>
      <c r="F128" s="2">
        <f>IF(D128=0,0,IF(ISNUMBER('Reference data'!E17),D128*'Reference data'!E17/1000000,"Unknown"))</f>
        <v>3.72e-05</v>
      </c>
      <c r="G128" s="5">
        <f>IF(ISNUMBER(E128),ROUND(E128*'Reference data'!$B$2,0),"Unknown")</f>
        <v>3.0</v>
      </c>
      <c r="H128" s="5">
        <f>IF(ISNUMBER(F128),ROUND(F128*'Reference data'!$B$2,0),"Unknown")</f>
        <v>4.0</v>
      </c>
    </row>
    <row r="129" spans="1:13" ht="281" customHeight="1">
      <c r="A129" t="s">
        <v>158</v>
      </c>
      <c r="B129">
        <v>1</v>
      </c>
      <c r="C129" t="s">
        <v>108</v>
      </c>
      <c r="I129" s="6" t="s">
        <v>160</v>
      </c>
    </row>
    <row r="130" spans="1:13" ht="24" customHeight="1">
      <c r="A130" t="s">
        <v>158</v>
      </c>
      <c r="B130">
        <v>1</v>
      </c>
      <c r="C130" t="s">
        <v>103</v>
      </c>
    </row>
    <row r="131" spans="1:13" ht="24" customHeight="1">
      <c r="A131" t="s">
        <v>158</v>
      </c>
      <c r="B131">
        <v>1</v>
      </c>
      <c r="C131" t="s">
        <v>104</v>
      </c>
    </row>
    <row r="132" spans="1:13" s="4" customFormat="1" ht="24" customHeight="1">
      <c r="A132" s="4" t="s">
        <v>158</v>
      </c>
      <c r="B132" s="4">
        <v>1</v>
      </c>
      <c r="C132" s="4" t="s">
        <v>110</v>
      </c>
      <c r="E132" s="2">
        <f>IF(COUNT('Turns'!E121,'Turns'!E122,'Turns'!E124,'Turns'!E127,'Turns'!E128)=5,SUM('Turns'!E121,'Turns'!E122,'Turns'!E124,'Turns'!E127,'Turns'!E128),"Unknown")</f>
        <v>0.000304566679</v>
      </c>
      <c r="F132" s="2">
        <f>IF(COUNT('Turns'!F121,'Turns'!F122,'Turns'!F124,'Turns'!F127,'Turns'!F128)=5,SUM('Turns'!F121,'Turns'!F122,'Turns'!F124,'Turns'!F127,'Turns'!F128),"Unknown")</f>
        <v>0.00034754</v>
      </c>
      <c r="G132" s="5">
        <f>IF(ISNUMBER(E132),ROUND(E132*'Reference data'!$B$2,0),"Unknown")</f>
        <v>30.0</v>
      </c>
      <c r="H132" s="5">
        <f>IF(ISNUMBER(F132),ROUND(F132*'Reference data'!$B$2,0),"Unknown")</f>
        <v>35.0</v>
      </c>
      <c r="K132" s="4" t="s">
        <v>111</v>
      </c>
    </row>
    <row r="133" spans="1:13" s="4" customFormat="1" ht="24" customHeight="1">
      <c r="B133" s="4">
        <v>1</v>
      </c>
      <c r="C133" s="4" t="s">
        <v>112</v>
      </c>
      <c r="K133" s="4" t="s">
        <v>111</v>
      </c>
      <c r="M133" s="4" t="s">
        <v>161</v>
      </c>
    </row>
    <row r="134" spans="1:13" ht="24" customHeight="1">
      <c r="B134">
        <v>1</v>
      </c>
      <c r="C134" t="s">
        <v>114</v>
      </c>
      <c r="I134" s="6" t="s">
        <v>119</v>
      </c>
    </row>
    <row r="135" spans="1:13" ht="320" customHeight="1">
      <c r="B135">
        <v>1</v>
      </c>
      <c r="C135" t="s">
        <v>116</v>
      </c>
      <c r="I135" s="6" t="s">
        <v>162</v>
      </c>
    </row>
    <row r="136" spans="1:13" s="4" customFormat="1" ht="24" customHeight="1">
      <c r="A136" s="4" t="s">
        <v>163</v>
      </c>
      <c r="B136" s="4">
        <v>1</v>
      </c>
      <c r="C136" s="4" t="s">
        <v>94</v>
      </c>
      <c r="D136" s="4">
        <v>3971</v>
      </c>
      <c r="J136" s="4" t="s">
        <v>95</v>
      </c>
      <c r="M136" s="4" t="s">
        <v>164</v>
      </c>
    </row>
    <row r="137" spans="1:13" ht="24" customHeight="1">
      <c r="A137" t="s">
        <v>163</v>
      </c>
      <c r="B137">
        <v>1</v>
      </c>
      <c r="C137" t="s">
        <v>123</v>
      </c>
      <c r="D137" s="5">
        <v>3820</v>
      </c>
      <c r="E137" s="2">
        <f>IF(AND(ISNUMBER(F137),ISNUMBER('Reference data'!$B$3)),F137*'Reference data'!$B$3,"Unknown")</f>
        <v>6.695314e-05</v>
      </c>
      <c r="F137" s="2">
        <f>IF(D137=0,0,IF(ISNUMBER('Reference data'!C17),D137*'Reference data'!C17/1000000,"Unknown"))</f>
        <v>7.64e-05</v>
      </c>
      <c r="G137" s="5">
        <f>IF(ISNUMBER(E137),ROUND(E137*'Reference data'!$B$2,0),"Unknown")</f>
        <v>7.0</v>
      </c>
      <c r="H137" s="5">
        <f>IF(ISNUMBER(F137),ROUND(F137*'Reference data'!$B$2,0),"Unknown")</f>
        <v>8.0</v>
      </c>
    </row>
    <row r="138" spans="1:13" ht="24" customHeight="1">
      <c r="A138" t="s">
        <v>163</v>
      </c>
      <c r="B138">
        <v>1</v>
      </c>
      <c r="C138" t="s">
        <v>97</v>
      </c>
      <c r="D138" s="5">
        <v>3</v>
      </c>
      <c r="E138" s="2">
        <f>IF(AND(ISNUMBER(F138),ISNUMBER('Reference data'!$B$3)),F138*'Reference data'!$B$3,"Unknown")</f>
        <v>5.2581e-07</v>
      </c>
      <c r="F138" s="2">
        <f>IF(D138=0,0,IF(ISNUMBER('Reference data'!B17),D138*'Reference data'!B17/1000000,"Unknown"))</f>
        <v>6e-07</v>
      </c>
      <c r="G138" s="5">
        <f>IF(ISNUMBER(E138),ROUND(E138*'Reference data'!$B$2,0),"Unknown")</f>
        <v>0.0</v>
      </c>
      <c r="H138" s="5">
        <f>IF(ISNUMBER(F138),ROUND(F138*'Reference data'!$B$2,0),"Unknown")</f>
        <v>0.0</v>
      </c>
    </row>
    <row r="139" spans="1:13" ht="320" customHeight="1">
      <c r="A139" t="s">
        <v>163</v>
      </c>
      <c r="B139">
        <v>1</v>
      </c>
      <c r="C139" t="s">
        <v>124</v>
      </c>
      <c r="I139" s="6" t="s">
        <v>162</v>
      </c>
    </row>
    <row r="140" spans="1:13" ht="24" customHeight="1">
      <c r="A140" t="s">
        <v>163</v>
      </c>
      <c r="B140">
        <v>1</v>
      </c>
      <c r="C140" t="s">
        <v>103</v>
      </c>
      <c r="D140" s="5">
        <v>148</v>
      </c>
      <c r="E140" s="2">
        <f>IF(AND(ISNUMBER(F140),ISNUMBER('Reference data'!$B$3)),F140*'Reference data'!$B$3,"Unknown")</f>
        <v>3.242495e-05</v>
      </c>
      <c r="F140" s="2">
        <f>IF(D140=0,0,IF(ISNUMBER('Reference data'!D17),D140*'Reference data'!D17/1000000,"Unknown"))</f>
        <v>3.7e-05</v>
      </c>
      <c r="G140" s="5">
        <f>IF(ISNUMBER(E140),ROUND(E140*'Reference data'!$B$2,0),"Unknown")</f>
        <v>3.0</v>
      </c>
      <c r="H140" s="5">
        <f>IF(ISNUMBER(F140),ROUND(F140*'Reference data'!$B$2,0),"Unknown")</f>
        <v>4.0</v>
      </c>
    </row>
    <row r="141" spans="1:13" ht="24" customHeight="1">
      <c r="A141" t="s">
        <v>163</v>
      </c>
      <c r="B141">
        <v>1</v>
      </c>
      <c r="C141" t="s">
        <v>104</v>
      </c>
    </row>
    <row r="142" spans="1:13" s="4" customFormat="1" ht="24" customHeight="1">
      <c r="A142" s="4" t="s">
        <v>163</v>
      </c>
      <c r="B142" s="4">
        <v>1</v>
      </c>
      <c r="C142" s="4" t="s">
        <v>105</v>
      </c>
      <c r="D142" s="4">
        <v>16</v>
      </c>
    </row>
    <row r="143" spans="1:13" ht="24" customHeight="1">
      <c r="A143" t="s">
        <v>163</v>
      </c>
      <c r="B143">
        <v>1</v>
      </c>
      <c r="C143" t="s">
        <v>107</v>
      </c>
      <c r="D143" s="5">
        <v>16</v>
      </c>
      <c r="E143" s="2">
        <f>IF(AND(ISNUMBER(F143),ISNUMBER('Reference data'!$B$3)),F143*'Reference data'!$B$3,"Unknown")</f>
        <v>1.682592e-05</v>
      </c>
      <c r="F143" s="2">
        <f>IF(D143=0,0,IF(ISNUMBER('Reference data'!E17),D143*'Reference data'!E17/1000000,"Unknown"))</f>
        <v>1.92e-05</v>
      </c>
      <c r="G143" s="5">
        <f>IF(ISNUMBER(E143),ROUND(E143*'Reference data'!$B$2,0),"Unknown")</f>
        <v>2.0</v>
      </c>
      <c r="H143" s="5">
        <f>IF(ISNUMBER(F143),ROUND(F143*'Reference data'!$B$2,0),"Unknown")</f>
        <v>2.0</v>
      </c>
    </row>
    <row r="144" spans="1:13" ht="47" customHeight="1">
      <c r="A144" t="s">
        <v>163</v>
      </c>
      <c r="B144">
        <v>1</v>
      </c>
      <c r="C144" t="s">
        <v>108</v>
      </c>
      <c r="I144" s="6" t="s">
        <v>165</v>
      </c>
    </row>
    <row r="145" spans="1:11" ht="24" customHeight="1">
      <c r="A145" t="s">
        <v>163</v>
      </c>
      <c r="B145">
        <v>1</v>
      </c>
      <c r="C145" t="s">
        <v>103</v>
      </c>
    </row>
    <row r="146" spans="1:11" ht="24" customHeight="1">
      <c r="A146" t="s">
        <v>163</v>
      </c>
      <c r="B146">
        <v>1</v>
      </c>
      <c r="C146" t="s">
        <v>104</v>
      </c>
    </row>
    <row r="147" spans="1:11" s="4" customFormat="1" ht="24" customHeight="1">
      <c r="A147" s="4" t="s">
        <v>163</v>
      </c>
      <c r="B147" s="4">
        <v>1</v>
      </c>
      <c r="C147" s="4" t="s">
        <v>110</v>
      </c>
      <c r="E147" s="2">
        <f>IF(COUNT('Turns'!E137,'Turns'!E138,'Turns'!E140,'Turns'!E143)=4,SUM('Turns'!E137,'Turns'!E138,'Turns'!E140,'Turns'!E143),"Unknown")</f>
        <v>0.00011672982</v>
      </c>
      <c r="F147" s="2">
        <f>IF(COUNT('Turns'!F137,'Turns'!F138,'Turns'!F140,'Turns'!F143)=4,SUM('Turns'!F137,'Turns'!F138,'Turns'!F140,'Turns'!F143),"Unknown")</f>
        <v>0.0001332</v>
      </c>
      <c r="G147" s="5">
        <f>IF(ISNUMBER(E147),ROUND(E147*'Reference data'!$B$2,0),"Unknown")</f>
        <v>12.0</v>
      </c>
      <c r="H147" s="5">
        <f>IF(ISNUMBER(F147),ROUND(F147*'Reference data'!$B$2,0),"Unknown")</f>
        <v>13.0</v>
      </c>
      <c r="K147" s="4" t="s">
        <v>111</v>
      </c>
    </row>
  </sheetData>
  <conditionalFormatting sqref="A2:AE147">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4"/>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166</v>
      </c>
      <c r="B2" s="1">
        <v>0</v>
      </c>
      <c r="C2" s="1" t="s">
        <v>167</v>
      </c>
      <c r="D2" s="1" t="s">
        <v>47</v>
      </c>
      <c r="E2" s="1" t="s">
        <v>111</v>
      </c>
      <c r="G2" s="6" t="s">
        <v>168</v>
      </c>
      <c r="H2" t="s">
        <v>49</v>
      </c>
      <c r="J2" s="2">
        <f>IF(COUNT('Turns'!D5,'Turns'!D26)=2,SUM('Turns'!D5,'Turns'!D26),"Unknown")</f>
        <v>891.0</v>
      </c>
      <c r="K2" s="2">
        <f>IF(COUNT('Turns'!E5,'Turns'!E26)=2,SUM('Turns'!E5,'Turns'!E26),"Unknown")</f>
        <v>0.00015616557</v>
      </c>
      <c r="L2" s="2">
        <f>IF(COUNT('Turns'!F5,'Turns'!F26)=2,SUM('Turns'!F5,'Turns'!F26),"Unknown")</f>
        <v>0.0001782</v>
      </c>
      <c r="M2" s="2">
        <f>IF(COUNT('Turns'!D25)=1,SUM('Turns'!D25),"Unknown")</f>
        <v>0.0</v>
      </c>
      <c r="N2" s="2">
        <f>IF(COUNT('Turns'!E25)=1,SUM('Turns'!E25),"Unknown")</f>
        <v>0.0</v>
      </c>
      <c r="O2" s="2">
        <f>IF(COUNT('Turns'!F25)=1,SUM('Turns'!F25),"Unknown")</f>
        <v>0.0</v>
      </c>
      <c r="P2" s="2">
        <f>IF(COUNT('Turns'!D28)=1,SUM('Turns'!D28),"Unknown")</f>
        <v>1107.0</v>
      </c>
      <c r="Q2" s="2">
        <f>IF(COUNT('Turns'!E28)=1,SUM('Turns'!E28),"Unknown")</f>
        <v>0.0002425298625</v>
      </c>
      <c r="R2" s="2">
        <f>IF(COUNT('Turns'!F28)=1,SUM('Turns'!F28),"Unknown")</f>
        <v>0.00027675</v>
      </c>
      <c r="S2" s="2">
        <f>IF(COUNT('Turns'!D13,'Turns'!D32)=2,SUM('Turns'!D13,'Turns'!D32),"Unknown")</f>
        <v>148.0</v>
      </c>
      <c r="T2" s="2">
        <f>IF(COUNT('Turns'!E13,'Turns'!E32)=2,SUM('Turns'!E13,'Turns'!E32),"Unknown")</f>
        <v>0.00015563976</v>
      </c>
      <c r="U2" s="2">
        <f>IF(COUNT('Turns'!F13,'Turns'!F32)=2,SUM('Turns'!F13,'Turns'!F32),"Unknown")</f>
        <v>0.0001776</v>
      </c>
      <c r="V2" s="2">
        <f>IF(COUNT('Turns'!D12,'Turns'!D31)=2,SUM('Turns'!D12,'Turns'!D31),"Unknown")</f>
        <v>388.0</v>
      </c>
      <c r="W2" s="2">
        <f>IF(COUNT('Turns'!E12,'Turns'!E31)=2,SUM('Turns'!E12,'Turns'!E31),"Unknown")</f>
        <v>0.00040802856</v>
      </c>
      <c r="X2" s="2">
        <f>IF(COUNT('Turns'!F12,'Turns'!F31)=2,SUM('Turns'!F12,'Turns'!F31),"Unknown")</f>
        <v>0.0004656</v>
      </c>
      <c r="Y2" s="2">
        <f>IF(COUNT('Turns'!E17,'Turns'!E36)=2,SUM('Turns'!E17,'Turns'!E36),"Unknown")</f>
        <v>0.0009623637525</v>
      </c>
      <c r="Z2" s="2">
        <f>IF(COUNT('Turns'!F17,'Turns'!F36)=2,SUM('Turns'!F17,'Turns'!F36),"Unknown")</f>
        <v>0.00109815</v>
      </c>
      <c r="AA2" s="5">
        <f>IF(ISNUMBER(Y2),ROUND(Y2*'Reference data'!$B$2,0),"Unknown")</f>
        <v>96.0</v>
      </c>
      <c r="AB2" s="5">
        <f>IF(ISNUMBER(Z2),ROUND(Z2*'Reference data'!$B$2,0),"Unknown")</f>
        <v>110.0</v>
      </c>
      <c r="AD2" s="1">
        <v>7489.244</v>
      </c>
      <c r="AE2" s="1" t="s">
        <v>169</v>
      </c>
    </row>
    <row r="3" spans="1:31" ht="54" customHeight="1">
      <c r="A3" s="6" t="s">
        <v>170</v>
      </c>
      <c r="B3" s="1">
        <v>1</v>
      </c>
      <c r="C3" s="1" t="s">
        <v>167</v>
      </c>
      <c r="D3" s="1" t="s">
        <v>47</v>
      </c>
      <c r="E3" s="1" t="s">
        <v>111</v>
      </c>
      <c r="G3" s="6" t="s">
        <v>171</v>
      </c>
      <c r="H3" t="s">
        <v>172</v>
      </c>
      <c r="I3" t="s">
        <v>49</v>
      </c>
      <c r="AD3" s="1">
        <v>0.599</v>
      </c>
      <c r="AE3" s="1" t="s">
        <v>173</v>
      </c>
    </row>
    <row r="4" spans="1:31" ht="54" customHeight="1">
      <c r="A4" s="6" t="s">
        <v>174</v>
      </c>
      <c r="B4" s="1">
        <v>1</v>
      </c>
      <c r="C4" s="1" t="s">
        <v>167</v>
      </c>
      <c r="D4" s="1" t="s">
        <v>47</v>
      </c>
      <c r="E4" s="1" t="s">
        <v>111</v>
      </c>
      <c r="G4" s="6" t="s">
        <v>175</v>
      </c>
      <c r="H4" t="s">
        <v>176</v>
      </c>
      <c r="I4" t="s">
        <v>49</v>
      </c>
      <c r="J4" s="2">
        <f>IF(COUNT('Turns'!D5)=1,SUM('Turns'!D5),"Unknown")</f>
        <v>888.0</v>
      </c>
      <c r="K4" s="2">
        <f>IF(COUNT('Turns'!E5)=1,SUM('Turns'!E5),"Unknown")</f>
        <v>0.00015563976</v>
      </c>
      <c r="L4" s="2">
        <f>IF(COUNT('Turns'!F5)=1,SUM('Turns'!F5),"Unknown")</f>
        <v>0.0001776</v>
      </c>
      <c r="M4" s="2">
        <v>0</v>
      </c>
      <c r="N4" s="2">
        <v>0</v>
      </c>
      <c r="O4" s="2">
        <v>0</v>
      </c>
      <c r="P4" s="2">
        <v>0</v>
      </c>
      <c r="Q4" s="2">
        <v>0</v>
      </c>
      <c r="R4" s="2">
        <v>0</v>
      </c>
      <c r="S4" s="2">
        <f>IF(COUNT('Turns'!D13)=1,SUM('Turns'!D13),"Unknown")</f>
        <v>72.0</v>
      </c>
      <c r="T4" s="2">
        <f>IF(COUNT('Turns'!E13)=1,SUM('Turns'!E13),"Unknown")</f>
        <v>7.571664e-05</v>
      </c>
      <c r="U4" s="2">
        <f>IF(COUNT('Turns'!F13)=1,SUM('Turns'!F13),"Unknown")</f>
        <v>8.64e-05</v>
      </c>
      <c r="V4" s="2">
        <f>IF(COUNT('Turns'!D12)=1,SUM('Turns'!D12),"Unknown")</f>
        <v>23.0</v>
      </c>
      <c r="W4" s="2">
        <f>IF(COUNT('Turns'!E12)=1,SUM('Turns'!E12),"Unknown")</f>
        <v>2.418726e-05</v>
      </c>
      <c r="X4" s="2">
        <f>IF(COUNT('Turns'!F12)=1,SUM('Turns'!F12),"Unknown")</f>
        <v>2.76e-05</v>
      </c>
      <c r="Y4" s="2">
        <f>IF(COUNT('Turns'!E17)=1,SUM('Turns'!E17),"Unknown")</f>
        <v>0.00025554366</v>
      </c>
      <c r="Z4" s="2">
        <f>IF(COUNT('Turns'!F17)=1,SUM('Turns'!F17),"Unknown")</f>
        <v>0.0002916</v>
      </c>
      <c r="AA4" s="5">
        <f>IF(ISNUMBER(Y4),ROUND(Y4*'Reference data'!$B$2,0),"Unknown")</f>
        <v>26.0</v>
      </c>
      <c r="AB4" s="5">
        <f>IF(ISNUMBER(Z4),ROUND(Z4*'Reference data'!$B$2,0),"Unknown")</f>
        <v>29.0</v>
      </c>
      <c r="AD4" s="1">
        <v>1877.927</v>
      </c>
      <c r="AE4" s="1" t="s">
        <v>169</v>
      </c>
    </row>
    <row r="5" spans="1:31" ht="54" customHeight="1">
      <c r="A5" s="6" t="s">
        <v>177</v>
      </c>
      <c r="B5" s="1">
        <v>2</v>
      </c>
      <c r="C5" s="1" t="s">
        <v>178</v>
      </c>
      <c r="D5" s="1" t="s">
        <v>95</v>
      </c>
      <c r="E5" s="1" t="s">
        <v>111</v>
      </c>
      <c r="F5" s="1">
        <v>888</v>
      </c>
      <c r="G5" s="6" t="s">
        <v>179</v>
      </c>
      <c r="H5" t="s">
        <v>96</v>
      </c>
      <c r="I5" t="s">
        <v>176</v>
      </c>
      <c r="J5" s="2">
        <f>IF(COUNT('Turns'!D5)=1,SUM('Turns'!D5),"Unknown")</f>
        <v>888.0</v>
      </c>
      <c r="K5" s="2">
        <f>IF(COUNT('Turns'!E5)=1,SUM('Turns'!E5),"Unknown")</f>
        <v>0.00015563976</v>
      </c>
      <c r="L5" s="2">
        <f>IF(COUNT('Turns'!F5)=1,SUM('Turns'!F5),"Unknown")</f>
        <v>0.0001776</v>
      </c>
      <c r="M5" s="2">
        <v>0</v>
      </c>
      <c r="N5" s="2">
        <v>0</v>
      </c>
      <c r="O5" s="2">
        <v>0</v>
      </c>
      <c r="P5" s="2">
        <v>0</v>
      </c>
      <c r="Q5" s="2">
        <v>0</v>
      </c>
      <c r="R5" s="2">
        <v>0</v>
      </c>
      <c r="S5" s="2">
        <f>IF(COUNT('Turns'!D13)=1,SUM('Turns'!D13),"Unknown")</f>
        <v>72.0</v>
      </c>
      <c r="T5" s="2">
        <f>IF(COUNT('Turns'!E13)=1,SUM('Turns'!E13),"Unknown")</f>
        <v>7.571664e-05</v>
      </c>
      <c r="U5" s="2">
        <f>IF(COUNT('Turns'!F13)=1,SUM('Turns'!F13),"Unknown")</f>
        <v>8.64e-05</v>
      </c>
      <c r="V5" s="2">
        <f>IF(COUNT('Turns'!D12)=1,SUM('Turns'!D12),"Unknown")</f>
        <v>23.0</v>
      </c>
      <c r="W5" s="2">
        <f>IF(COUNT('Turns'!E12)=1,SUM('Turns'!E12),"Unknown")</f>
        <v>2.418726e-05</v>
      </c>
      <c r="X5" s="2">
        <f>IF(COUNT('Turns'!F12)=1,SUM('Turns'!F12),"Unknown")</f>
        <v>2.76e-05</v>
      </c>
      <c r="Y5" s="2">
        <f>IF(COUNT('Turns'!E17)=1,SUM('Turns'!E17),"Unknown")</f>
        <v>0.00025554366</v>
      </c>
      <c r="Z5" s="2">
        <f>IF(COUNT('Turns'!F17)=1,SUM('Turns'!F17),"Unknown")</f>
        <v>0.0002916</v>
      </c>
      <c r="AA5" s="5">
        <f>IF(ISNUMBER(Y5),ROUND(Y5*'Reference data'!$B$2,0),"Unknown")</f>
        <v>26.0</v>
      </c>
      <c r="AB5" s="5">
        <f>IF(ISNUMBER(Z5),ROUND(Z5*'Reference data'!$B$2,0),"Unknown")</f>
        <v>29.0</v>
      </c>
      <c r="AC5" s="1" t="s">
        <v>93</v>
      </c>
      <c r="AD5" s="1">
        <v>1788.199</v>
      </c>
      <c r="AE5" s="1" t="s">
        <v>180</v>
      </c>
    </row>
    <row r="6" spans="1:31" ht="54" customHeight="1">
      <c r="A6" s="6" t="s">
        <v>181</v>
      </c>
      <c r="B6" s="1">
        <v>1</v>
      </c>
      <c r="C6" s="1" t="s">
        <v>167</v>
      </c>
      <c r="D6" s="1" t="s">
        <v>47</v>
      </c>
      <c r="E6" s="1" t="s">
        <v>111</v>
      </c>
      <c r="G6" s="6" t="s">
        <v>182</v>
      </c>
      <c r="H6" t="s">
        <v>183</v>
      </c>
      <c r="I6" t="s">
        <v>49</v>
      </c>
      <c r="AD6" s="1">
        <v>0.404</v>
      </c>
      <c r="AE6" s="1" t="s">
        <v>173</v>
      </c>
    </row>
    <row r="7" spans="1:31" ht="54" customHeight="1">
      <c r="A7" s="6" t="s">
        <v>184</v>
      </c>
      <c r="B7" s="1">
        <v>1</v>
      </c>
      <c r="C7" s="1" t="s">
        <v>167</v>
      </c>
      <c r="D7" s="1" t="s">
        <v>47</v>
      </c>
      <c r="E7" s="1" t="s">
        <v>111</v>
      </c>
      <c r="G7" s="6" t="s">
        <v>185</v>
      </c>
      <c r="H7" t="s">
        <v>186</v>
      </c>
      <c r="I7" t="s">
        <v>49</v>
      </c>
      <c r="AD7" s="1">
        <v>3.702</v>
      </c>
      <c r="AE7" s="1" t="s">
        <v>173</v>
      </c>
    </row>
    <row r="8" spans="1:31" ht="54" customHeight="1">
      <c r="A8" s="6" t="s">
        <v>187</v>
      </c>
      <c r="B8" s="1">
        <v>2</v>
      </c>
      <c r="C8" s="1" t="s">
        <v>188</v>
      </c>
      <c r="D8" s="1" t="s">
        <v>47</v>
      </c>
      <c r="E8" s="1" t="s">
        <v>111</v>
      </c>
      <c r="G8" s="6" t="s">
        <v>189</v>
      </c>
      <c r="H8" t="s">
        <v>113</v>
      </c>
      <c r="I8" t="s">
        <v>186</v>
      </c>
      <c r="AD8" s="1">
        <v>1.184</v>
      </c>
      <c r="AE8" s="1" t="s">
        <v>173</v>
      </c>
    </row>
    <row r="9" spans="1:31" ht="54" customHeight="1">
      <c r="A9" s="6" t="s">
        <v>184</v>
      </c>
      <c r="B9" s="1">
        <v>1</v>
      </c>
      <c r="C9" s="1" t="s">
        <v>167</v>
      </c>
      <c r="D9" s="1" t="s">
        <v>47</v>
      </c>
      <c r="E9" s="1" t="s">
        <v>111</v>
      </c>
      <c r="G9" s="6" t="s">
        <v>185</v>
      </c>
      <c r="H9" t="s">
        <v>190</v>
      </c>
      <c r="I9" t="s">
        <v>49</v>
      </c>
      <c r="AD9" s="1">
        <v>3.477</v>
      </c>
      <c r="AE9" s="1" t="s">
        <v>173</v>
      </c>
    </row>
    <row r="10" spans="1:31" ht="54" customHeight="1">
      <c r="A10" s="6" t="s">
        <v>187</v>
      </c>
      <c r="B10" s="1">
        <v>2</v>
      </c>
      <c r="C10" s="1" t="s">
        <v>188</v>
      </c>
      <c r="D10" s="1" t="s">
        <v>47</v>
      </c>
      <c r="E10" s="1" t="s">
        <v>111</v>
      </c>
      <c r="G10" s="6" t="s">
        <v>189</v>
      </c>
      <c r="H10" t="s">
        <v>118</v>
      </c>
      <c r="I10" t="s">
        <v>190</v>
      </c>
      <c r="AD10" s="1">
        <v>1.001</v>
      </c>
      <c r="AE10" s="1" t="s">
        <v>173</v>
      </c>
    </row>
    <row r="11" spans="1:31" ht="54" customHeight="1">
      <c r="A11" s="6" t="s">
        <v>170</v>
      </c>
      <c r="B11" s="1">
        <v>1</v>
      </c>
      <c r="C11" s="1" t="s">
        <v>167</v>
      </c>
      <c r="D11" s="1" t="s">
        <v>47</v>
      </c>
      <c r="E11" s="1" t="s">
        <v>111</v>
      </c>
      <c r="G11" s="6" t="s">
        <v>171</v>
      </c>
      <c r="H11" t="s">
        <v>191</v>
      </c>
      <c r="I11" t="s">
        <v>49</v>
      </c>
      <c r="AD11" s="1">
        <v>0.275</v>
      </c>
      <c r="AE11" s="1" t="s">
        <v>173</v>
      </c>
    </row>
    <row r="12" spans="1:31" ht="54" customHeight="1">
      <c r="A12" s="6" t="s">
        <v>174</v>
      </c>
      <c r="B12" s="1">
        <v>1</v>
      </c>
      <c r="C12" s="1" t="s">
        <v>167</v>
      </c>
      <c r="D12" s="1" t="s">
        <v>47</v>
      </c>
      <c r="E12" s="1" t="s">
        <v>111</v>
      </c>
      <c r="G12" s="6" t="s">
        <v>175</v>
      </c>
      <c r="H12" t="s">
        <v>192</v>
      </c>
      <c r="I12" t="s">
        <v>49</v>
      </c>
      <c r="J12" s="2">
        <f>IF(COUNT('Turns'!D26)=1,SUM('Turns'!D26),"Unknown")</f>
        <v>3.0</v>
      </c>
      <c r="K12" s="2">
        <f>IF(COUNT('Turns'!E26)=1,SUM('Turns'!E26),"Unknown")</f>
        <v>5.2581e-07</v>
      </c>
      <c r="L12" s="2">
        <f>IF(COUNT('Turns'!F26)=1,SUM('Turns'!F26),"Unknown")</f>
        <v>6e-07</v>
      </c>
      <c r="M12" s="2">
        <f>IF(COUNT('Turns'!D25)=1,SUM('Turns'!D25),"Unknown")</f>
        <v>0.0</v>
      </c>
      <c r="N12" s="2">
        <f>IF(COUNT('Turns'!E25)=1,SUM('Turns'!E25),"Unknown")</f>
        <v>0.0</v>
      </c>
      <c r="O12" s="2">
        <f>IF(COUNT('Turns'!F25)=1,SUM('Turns'!F25),"Unknown")</f>
        <v>0.0</v>
      </c>
      <c r="P12" s="2">
        <f>IF(COUNT('Turns'!D28)=1,SUM('Turns'!D28),"Unknown")</f>
        <v>1107.0</v>
      </c>
      <c r="Q12" s="2">
        <f>IF(COUNT('Turns'!E28)=1,SUM('Turns'!E28),"Unknown")</f>
        <v>0.0002425298625</v>
      </c>
      <c r="R12" s="2">
        <f>IF(COUNT('Turns'!F28)=1,SUM('Turns'!F28),"Unknown")</f>
        <v>0.00027675</v>
      </c>
      <c r="S12" s="2">
        <f>IF(COUNT('Turns'!D32)=1,SUM('Turns'!D32),"Unknown")</f>
        <v>76.0</v>
      </c>
      <c r="T12" s="2">
        <f>IF(COUNT('Turns'!E32)=1,SUM('Turns'!E32),"Unknown")</f>
        <v>7.992312e-05</v>
      </c>
      <c r="U12" s="2">
        <f>IF(COUNT('Turns'!F32)=1,SUM('Turns'!F32),"Unknown")</f>
        <v>9.12e-05</v>
      </c>
      <c r="V12" s="2">
        <f>IF(COUNT('Turns'!D31)=1,SUM('Turns'!D31),"Unknown")</f>
        <v>365.0</v>
      </c>
      <c r="W12" s="2">
        <f>IF(COUNT('Turns'!E31)=1,SUM('Turns'!E31),"Unknown")</f>
        <v>0.0003838413</v>
      </c>
      <c r="X12" s="2">
        <f>IF(COUNT('Turns'!F31)=1,SUM('Turns'!F31),"Unknown")</f>
        <v>0.000438</v>
      </c>
      <c r="Y12" s="2">
        <f>IF(COUNT('Turns'!E36)=1,SUM('Turns'!E36),"Unknown")</f>
        <v>0.0007068200925</v>
      </c>
      <c r="Z12" s="2">
        <f>IF(COUNT('Turns'!F36)=1,SUM('Turns'!F36),"Unknown")</f>
        <v>0.00080655</v>
      </c>
      <c r="AA12" s="5">
        <f>IF(ISNUMBER(Y12),ROUND(Y12*'Reference data'!$B$2,0),"Unknown")</f>
        <v>71.0</v>
      </c>
      <c r="AB12" s="5">
        <f>IF(ISNUMBER(Z12),ROUND(Z12*'Reference data'!$B$2,0),"Unknown")</f>
        <v>81.0</v>
      </c>
      <c r="AD12" s="1">
        <v>5598.299</v>
      </c>
      <c r="AE12" s="1" t="s">
        <v>169</v>
      </c>
    </row>
    <row r="13" spans="1:31" ht="54" customHeight="1">
      <c r="A13" s="6" t="s">
        <v>177</v>
      </c>
      <c r="B13" s="1">
        <v>2</v>
      </c>
      <c r="C13" s="1" t="s">
        <v>178</v>
      </c>
      <c r="D13" s="1" t="s">
        <v>95</v>
      </c>
      <c r="E13" s="1" t="s">
        <v>111</v>
      </c>
      <c r="F13" s="1">
        <v>1110</v>
      </c>
      <c r="G13" s="6" t="s">
        <v>179</v>
      </c>
      <c r="H13" t="s">
        <v>122</v>
      </c>
      <c r="I13" t="s">
        <v>192</v>
      </c>
      <c r="J13" s="2">
        <f>IF(COUNT('Turns'!D26)=1,SUM('Turns'!D26),"Unknown")</f>
        <v>3.0</v>
      </c>
      <c r="K13" s="2">
        <f>IF(COUNT('Turns'!E26)=1,SUM('Turns'!E26),"Unknown")</f>
        <v>5.2581e-07</v>
      </c>
      <c r="L13" s="2">
        <f>IF(COUNT('Turns'!F26)=1,SUM('Turns'!F26),"Unknown")</f>
        <v>6e-07</v>
      </c>
      <c r="M13" s="2">
        <f>IF(COUNT('Turns'!D25)=1,SUM('Turns'!D25),"Unknown")</f>
        <v>0.0</v>
      </c>
      <c r="N13" s="2">
        <f>IF(COUNT('Turns'!E25)=1,SUM('Turns'!E25),"Unknown")</f>
        <v>0.0</v>
      </c>
      <c r="O13" s="2">
        <f>IF(COUNT('Turns'!F25)=1,SUM('Turns'!F25),"Unknown")</f>
        <v>0.0</v>
      </c>
      <c r="P13" s="2">
        <f>IF(COUNT('Turns'!D28)=1,SUM('Turns'!D28),"Unknown")</f>
        <v>1107.0</v>
      </c>
      <c r="Q13" s="2">
        <f>IF(COUNT('Turns'!E28)=1,SUM('Turns'!E28),"Unknown")</f>
        <v>0.0002425298625</v>
      </c>
      <c r="R13" s="2">
        <f>IF(COUNT('Turns'!F28)=1,SUM('Turns'!F28),"Unknown")</f>
        <v>0.00027675</v>
      </c>
      <c r="S13" s="2">
        <f>IF(COUNT('Turns'!D32)=1,SUM('Turns'!D32),"Unknown")</f>
        <v>76.0</v>
      </c>
      <c r="T13" s="2">
        <f>IF(COUNT('Turns'!E32)=1,SUM('Turns'!E32),"Unknown")</f>
        <v>7.992312e-05</v>
      </c>
      <c r="U13" s="2">
        <f>IF(COUNT('Turns'!F32)=1,SUM('Turns'!F32),"Unknown")</f>
        <v>9.12e-05</v>
      </c>
      <c r="V13" s="2">
        <f>IF(COUNT('Turns'!D31)=1,SUM('Turns'!D31),"Unknown")</f>
        <v>365.0</v>
      </c>
      <c r="W13" s="2">
        <f>IF(COUNT('Turns'!E31)=1,SUM('Turns'!E31),"Unknown")</f>
        <v>0.0003838413</v>
      </c>
      <c r="X13" s="2">
        <f>IF(COUNT('Turns'!F31)=1,SUM('Turns'!F31),"Unknown")</f>
        <v>0.000438</v>
      </c>
      <c r="Y13" s="2">
        <f>IF(COUNT('Turns'!E36)=1,SUM('Turns'!E36),"Unknown")</f>
        <v>0.0007068200925</v>
      </c>
      <c r="Z13" s="2">
        <f>IF(COUNT('Turns'!F36)=1,SUM('Turns'!F36),"Unknown")</f>
        <v>0.00080655</v>
      </c>
      <c r="AA13" s="5">
        <f>IF(ISNUMBER(Y13),ROUND(Y13*'Reference data'!$B$2,0),"Unknown")</f>
        <v>71.0</v>
      </c>
      <c r="AB13" s="5">
        <f>IF(ISNUMBER(Z13),ROUND(Z13*'Reference data'!$B$2,0),"Unknown")</f>
        <v>81.0</v>
      </c>
      <c r="AC13" s="1" t="s">
        <v>121</v>
      </c>
      <c r="AD13" s="1">
        <v>5596.845</v>
      </c>
      <c r="AE13" s="1" t="s">
        <v>180</v>
      </c>
    </row>
    <row r="14" spans="1:31" ht="54" customHeight="1">
      <c r="A14" s="6" t="s">
        <v>181</v>
      </c>
      <c r="B14" s="1">
        <v>1</v>
      </c>
      <c r="C14" s="1" t="s">
        <v>167</v>
      </c>
      <c r="D14" s="1" t="s">
        <v>47</v>
      </c>
      <c r="E14" s="1" t="s">
        <v>193</v>
      </c>
      <c r="G14" s="6" t="s">
        <v>182</v>
      </c>
      <c r="H14" t="s">
        <v>194</v>
      </c>
      <c r="I14" t="s">
        <v>49</v>
      </c>
      <c r="AD14" s="1">
        <v>0.31</v>
      </c>
      <c r="AE14" s="1" t="s">
        <v>173</v>
      </c>
    </row>
    <row r="15" spans="1:31" ht="54" customHeight="1">
      <c r="A15" s="6" t="s">
        <v>166</v>
      </c>
      <c r="B15" s="1">
        <v>0</v>
      </c>
      <c r="C15" s="1" t="s">
        <v>167</v>
      </c>
      <c r="D15" s="1" t="s">
        <v>47</v>
      </c>
      <c r="E15" s="1" t="s">
        <v>111</v>
      </c>
      <c r="G15" s="6" t="s">
        <v>168</v>
      </c>
      <c r="H15" t="s">
        <v>195</v>
      </c>
      <c r="J15" s="2">
        <f>IF(COUNT('Turns'!D42)=1,SUM('Turns'!D42),"Unknown")</f>
        <v>3.0</v>
      </c>
      <c r="K15" s="2">
        <f>IF(COUNT('Turns'!E42)=1,SUM('Turns'!E42),"Unknown")</f>
        <v>5.2581e-07</v>
      </c>
      <c r="L15" s="2">
        <f>IF(COUNT('Turns'!F42)=1,SUM('Turns'!F42),"Unknown")</f>
        <v>6e-07</v>
      </c>
      <c r="M15" s="2">
        <f>IF(COUNT('Turns'!D41)=1,SUM('Turns'!D41),"Unknown")</f>
        <v>1107.0</v>
      </c>
      <c r="N15" s="2">
        <f>IF(COUNT('Turns'!E41)=1,SUM('Turns'!E41),"Unknown")</f>
        <v>1.9402389e-05</v>
      </c>
      <c r="O15" s="2">
        <f>IF(COUNT('Turns'!F41)=1,SUM('Turns'!F41),"Unknown")</f>
        <v>2.214e-05</v>
      </c>
      <c r="P15" s="2">
        <f>IF(COUNT('Turns'!D44)=1,SUM('Turns'!D44),"Unknown")</f>
        <v>496.0</v>
      </c>
      <c r="Q15" s="2">
        <f>IF(COUNT('Turns'!E44)=1,SUM('Turns'!E44),"Unknown")</f>
        <v>0.0001086674</v>
      </c>
      <c r="R15" s="2">
        <f>IF(COUNT('Turns'!F44)=1,SUM('Turns'!F44),"Unknown")</f>
        <v>0.000124</v>
      </c>
      <c r="S15" s="2">
        <f>IF(COUNT('Turns'!D48)=1,SUM('Turns'!D48),"Unknown")</f>
        <v>110.0</v>
      </c>
      <c r="T15" s="2">
        <f>IF(COUNT('Turns'!E48)=1,SUM('Turns'!E48),"Unknown")</f>
        <v>0.0001156782</v>
      </c>
      <c r="U15" s="2">
        <f>IF(COUNT('Turns'!F48)=1,SUM('Turns'!F48),"Unknown")</f>
        <v>0.000132</v>
      </c>
      <c r="V15" s="2">
        <f>IF(COUNT('Turns'!D47)=1,SUM('Turns'!D47),"Unknown")</f>
        <v>210.0</v>
      </c>
      <c r="W15" s="2">
        <f>IF(COUNT('Turns'!E47)=1,SUM('Turns'!E47),"Unknown")</f>
        <v>0.0002208402</v>
      </c>
      <c r="X15" s="2">
        <f>IF(COUNT('Turns'!F47)=1,SUM('Turns'!F47),"Unknown")</f>
        <v>0.000252</v>
      </c>
      <c r="Y15" s="2">
        <f>IF(COUNT('Turns'!E52)=1,SUM('Turns'!E52),"Unknown")</f>
        <v>0.000465113999</v>
      </c>
      <c r="Z15" s="2">
        <f>IF(COUNT('Turns'!F52)=1,SUM('Turns'!F52),"Unknown")</f>
        <v>0.00053074</v>
      </c>
      <c r="AA15" s="5">
        <f>IF(ISNUMBER(Y15),ROUND(Y15*'Reference data'!$B$2,0),"Unknown")</f>
        <v>47.0</v>
      </c>
      <c r="AB15" s="5">
        <f>IF(ISNUMBER(Z15),ROUND(Z15*'Reference data'!$B$2,0),"Unknown")</f>
        <v>53.0</v>
      </c>
      <c r="AD15" s="1">
        <v>5797.066</v>
      </c>
      <c r="AE15" s="1" t="s">
        <v>169</v>
      </c>
    </row>
    <row r="16" spans="1:31" ht="54" customHeight="1">
      <c r="A16" s="6" t="s">
        <v>181</v>
      </c>
      <c r="B16" s="1">
        <v>1</v>
      </c>
      <c r="C16" s="1" t="s">
        <v>167</v>
      </c>
      <c r="D16" s="1" t="s">
        <v>47</v>
      </c>
      <c r="E16" s="1" t="s">
        <v>111</v>
      </c>
      <c r="G16" s="6" t="s">
        <v>182</v>
      </c>
      <c r="H16" t="s">
        <v>196</v>
      </c>
      <c r="I16" t="s">
        <v>195</v>
      </c>
      <c r="AD16" s="1">
        <v>0.359</v>
      </c>
      <c r="AE16" s="1" t="s">
        <v>173</v>
      </c>
    </row>
    <row r="17" spans="1:31" ht="54" customHeight="1">
      <c r="A17" s="6" t="s">
        <v>184</v>
      </c>
      <c r="B17" s="1">
        <v>1</v>
      </c>
      <c r="C17" s="1" t="s">
        <v>167</v>
      </c>
      <c r="D17" s="1" t="s">
        <v>47</v>
      </c>
      <c r="E17" s="1" t="s">
        <v>111</v>
      </c>
      <c r="G17" s="6" t="s">
        <v>185</v>
      </c>
      <c r="H17" t="s">
        <v>197</v>
      </c>
      <c r="I17" t="s">
        <v>195</v>
      </c>
      <c r="AD17" s="1">
        <v>2.636</v>
      </c>
      <c r="AE17" s="1" t="s">
        <v>173</v>
      </c>
    </row>
    <row r="18" spans="1:31" ht="54" customHeight="1">
      <c r="A18" s="6" t="s">
        <v>198</v>
      </c>
      <c r="B18" s="1">
        <v>2</v>
      </c>
      <c r="C18" s="1" t="s">
        <v>188</v>
      </c>
      <c r="D18" s="1" t="s">
        <v>47</v>
      </c>
      <c r="E18" s="1" t="s">
        <v>128</v>
      </c>
      <c r="G18" s="6" t="s">
        <v>199</v>
      </c>
      <c r="H18" t="s">
        <v>129</v>
      </c>
      <c r="I18" t="s">
        <v>197</v>
      </c>
      <c r="AD18" s="1">
        <v>0.659</v>
      </c>
      <c r="AE18" s="1" t="s">
        <v>173</v>
      </c>
    </row>
    <row r="19" spans="1:31" ht="54" customHeight="1">
      <c r="A19" s="6" t="s">
        <v>170</v>
      </c>
      <c r="B19" s="1">
        <v>1</v>
      </c>
      <c r="C19" s="1" t="s">
        <v>167</v>
      </c>
      <c r="D19" s="1" t="s">
        <v>47</v>
      </c>
      <c r="E19" s="1" t="s">
        <v>111</v>
      </c>
      <c r="G19" s="6" t="s">
        <v>171</v>
      </c>
      <c r="H19" t="s">
        <v>200</v>
      </c>
      <c r="I19" t="s">
        <v>195</v>
      </c>
      <c r="AD19" s="1">
        <v>0.276</v>
      </c>
      <c r="AE19" s="1" t="s">
        <v>173</v>
      </c>
    </row>
    <row r="20" spans="1:31" ht="54" customHeight="1">
      <c r="A20" s="6" t="s">
        <v>174</v>
      </c>
      <c r="B20" s="1">
        <v>1</v>
      </c>
      <c r="C20" s="1" t="s">
        <v>167</v>
      </c>
      <c r="D20" s="1" t="s">
        <v>47</v>
      </c>
      <c r="E20" s="1" t="s">
        <v>111</v>
      </c>
      <c r="G20" s="6" t="s">
        <v>175</v>
      </c>
      <c r="H20" t="s">
        <v>201</v>
      </c>
      <c r="I20" t="s">
        <v>195</v>
      </c>
      <c r="J20" s="2">
        <f>IF(COUNT('Turns'!D42)=1,SUM('Turns'!D42),"Unknown")</f>
        <v>3.0</v>
      </c>
      <c r="K20" s="2">
        <f>IF(COUNT('Turns'!E42)=1,SUM('Turns'!E42),"Unknown")</f>
        <v>5.2581e-07</v>
      </c>
      <c r="L20" s="2">
        <f>IF(COUNT('Turns'!F42)=1,SUM('Turns'!F42),"Unknown")</f>
        <v>6e-07</v>
      </c>
      <c r="M20" s="2">
        <f>IF(COUNT('Turns'!D41)=1,SUM('Turns'!D41),"Unknown")</f>
        <v>1107.0</v>
      </c>
      <c r="N20" s="2">
        <f>IF(COUNT('Turns'!E41)=1,SUM('Turns'!E41),"Unknown")</f>
        <v>1.9402389e-05</v>
      </c>
      <c r="O20" s="2">
        <f>IF(COUNT('Turns'!F41)=1,SUM('Turns'!F41),"Unknown")</f>
        <v>2.214e-05</v>
      </c>
      <c r="P20" s="2">
        <f>IF(COUNT('Turns'!D44)=1,SUM('Turns'!D44),"Unknown")</f>
        <v>496.0</v>
      </c>
      <c r="Q20" s="2">
        <f>IF(COUNT('Turns'!E44)=1,SUM('Turns'!E44),"Unknown")</f>
        <v>0.0001086674</v>
      </c>
      <c r="R20" s="2">
        <f>IF(COUNT('Turns'!F44)=1,SUM('Turns'!F44),"Unknown")</f>
        <v>0.000124</v>
      </c>
      <c r="S20" s="2">
        <f>IF(COUNT('Turns'!D48)=1,SUM('Turns'!D48),"Unknown")</f>
        <v>110.0</v>
      </c>
      <c r="T20" s="2">
        <f>IF(COUNT('Turns'!E48)=1,SUM('Turns'!E48),"Unknown")</f>
        <v>0.0001156782</v>
      </c>
      <c r="U20" s="2">
        <f>IF(COUNT('Turns'!F48)=1,SUM('Turns'!F48),"Unknown")</f>
        <v>0.000132</v>
      </c>
      <c r="V20" s="2">
        <f>IF(COUNT('Turns'!D47)=1,SUM('Turns'!D47),"Unknown")</f>
        <v>210.0</v>
      </c>
      <c r="W20" s="2">
        <f>IF(COUNT('Turns'!E47)=1,SUM('Turns'!E47),"Unknown")</f>
        <v>0.0002208402</v>
      </c>
      <c r="X20" s="2">
        <f>IF(COUNT('Turns'!F47)=1,SUM('Turns'!F47),"Unknown")</f>
        <v>0.000252</v>
      </c>
      <c r="Y20" s="2">
        <f>IF(COUNT('Turns'!E52)=1,SUM('Turns'!E52),"Unknown")</f>
        <v>0.000465113999</v>
      </c>
      <c r="Z20" s="2">
        <f>IF(COUNT('Turns'!F52)=1,SUM('Turns'!F52),"Unknown")</f>
        <v>0.00053074</v>
      </c>
      <c r="AA20" s="5">
        <f>IF(ISNUMBER(Y20),ROUND(Y20*'Reference data'!$B$2,0),"Unknown")</f>
        <v>47.0</v>
      </c>
      <c r="AB20" s="5">
        <f>IF(ISNUMBER(Z20),ROUND(Z20*'Reference data'!$B$2,0),"Unknown")</f>
        <v>53.0</v>
      </c>
      <c r="AD20" s="1">
        <v>5787.399</v>
      </c>
      <c r="AE20" s="1" t="s">
        <v>169</v>
      </c>
    </row>
    <row r="21" spans="1:31" ht="54" customHeight="1">
      <c r="A21" s="6" t="s">
        <v>177</v>
      </c>
      <c r="B21" s="1">
        <v>2</v>
      </c>
      <c r="C21" s="1" t="s">
        <v>178</v>
      </c>
      <c r="D21" s="1" t="s">
        <v>95</v>
      </c>
      <c r="E21" s="1" t="s">
        <v>111</v>
      </c>
      <c r="F21" s="1">
        <v>1606</v>
      </c>
      <c r="G21" s="6" t="s">
        <v>179</v>
      </c>
      <c r="H21" t="s">
        <v>133</v>
      </c>
      <c r="I21" t="s">
        <v>201</v>
      </c>
      <c r="J21" s="2">
        <f>IF(COUNT('Turns'!D42)=1,SUM('Turns'!D42),"Unknown")</f>
        <v>3.0</v>
      </c>
      <c r="K21" s="2">
        <f>IF(COUNT('Turns'!E42)=1,SUM('Turns'!E42),"Unknown")</f>
        <v>5.2581e-07</v>
      </c>
      <c r="L21" s="2">
        <f>IF(COUNT('Turns'!F42)=1,SUM('Turns'!F42),"Unknown")</f>
        <v>6e-07</v>
      </c>
      <c r="M21" s="2">
        <f>IF(COUNT('Turns'!D41)=1,SUM('Turns'!D41),"Unknown")</f>
        <v>1107.0</v>
      </c>
      <c r="N21" s="2">
        <f>IF(COUNT('Turns'!E41)=1,SUM('Turns'!E41),"Unknown")</f>
        <v>1.9402389e-05</v>
      </c>
      <c r="O21" s="2">
        <f>IF(COUNT('Turns'!F41)=1,SUM('Turns'!F41),"Unknown")</f>
        <v>2.214e-05</v>
      </c>
      <c r="P21" s="2">
        <f>IF(COUNT('Turns'!D44)=1,SUM('Turns'!D44),"Unknown")</f>
        <v>496.0</v>
      </c>
      <c r="Q21" s="2">
        <f>IF(COUNT('Turns'!E44)=1,SUM('Turns'!E44),"Unknown")</f>
        <v>0.0001086674</v>
      </c>
      <c r="R21" s="2">
        <f>IF(COUNT('Turns'!F44)=1,SUM('Turns'!F44),"Unknown")</f>
        <v>0.000124</v>
      </c>
      <c r="S21" s="2">
        <f>IF(COUNT('Turns'!D48)=1,SUM('Turns'!D48),"Unknown")</f>
        <v>110.0</v>
      </c>
      <c r="T21" s="2">
        <f>IF(COUNT('Turns'!E48)=1,SUM('Turns'!E48),"Unknown")</f>
        <v>0.0001156782</v>
      </c>
      <c r="U21" s="2">
        <f>IF(COUNT('Turns'!F48)=1,SUM('Turns'!F48),"Unknown")</f>
        <v>0.000132</v>
      </c>
      <c r="V21" s="2">
        <f>IF(COUNT('Turns'!D47)=1,SUM('Turns'!D47),"Unknown")</f>
        <v>210.0</v>
      </c>
      <c r="W21" s="2">
        <f>IF(COUNT('Turns'!E47)=1,SUM('Turns'!E47),"Unknown")</f>
        <v>0.0002208402</v>
      </c>
      <c r="X21" s="2">
        <f>IF(COUNT('Turns'!F47)=1,SUM('Turns'!F47),"Unknown")</f>
        <v>0.000252</v>
      </c>
      <c r="Y21" s="2">
        <f>IF(COUNT('Turns'!E52)=1,SUM('Turns'!E52),"Unknown")</f>
        <v>0.000465113999</v>
      </c>
      <c r="Z21" s="2">
        <f>IF(COUNT('Turns'!F52)=1,SUM('Turns'!F52),"Unknown")</f>
        <v>0.00053074</v>
      </c>
      <c r="AA21" s="5">
        <f>IF(ISNUMBER(Y21),ROUND(Y21*'Reference data'!$B$2,0),"Unknown")</f>
        <v>47.0</v>
      </c>
      <c r="AB21" s="5">
        <f>IF(ISNUMBER(Z21),ROUND(Z21*'Reference data'!$B$2,0),"Unknown")</f>
        <v>53.0</v>
      </c>
      <c r="AC21" s="1" t="s">
        <v>132</v>
      </c>
      <c r="AD21" s="1">
        <v>5784.355</v>
      </c>
      <c r="AE21" s="1" t="s">
        <v>180</v>
      </c>
    </row>
    <row r="22" spans="1:31" ht="54" customHeight="1">
      <c r="A22" s="6" t="s">
        <v>181</v>
      </c>
      <c r="B22" s="1">
        <v>1</v>
      </c>
      <c r="C22" s="1" t="s">
        <v>167</v>
      </c>
      <c r="D22" s="1" t="s">
        <v>47</v>
      </c>
      <c r="E22" s="1" t="s">
        <v>193</v>
      </c>
      <c r="G22" s="6" t="s">
        <v>182</v>
      </c>
      <c r="H22" t="s">
        <v>202</v>
      </c>
      <c r="I22" t="s">
        <v>195</v>
      </c>
      <c r="AD22" s="1">
        <v>0.657</v>
      </c>
      <c r="AE22" s="1" t="s">
        <v>173</v>
      </c>
    </row>
    <row r="23" spans="1:31" ht="54" customHeight="1">
      <c r="A23" s="6" t="s">
        <v>166</v>
      </c>
      <c r="B23" s="1">
        <v>0</v>
      </c>
      <c r="C23" s="1" t="s">
        <v>167</v>
      </c>
      <c r="D23" s="1" t="s">
        <v>47</v>
      </c>
      <c r="E23" s="1" t="s">
        <v>111</v>
      </c>
      <c r="G23" s="6" t="s">
        <v>168</v>
      </c>
      <c r="H23" t="s">
        <v>203</v>
      </c>
      <c r="J23" s="2">
        <f>IF(COUNT('Turns'!D58,'Turns'!D74)=2,SUM('Turns'!D58,'Turns'!D74),"Unknown")</f>
        <v>6.0</v>
      </c>
      <c r="K23" s="2">
        <f>IF(COUNT('Turns'!E58,'Turns'!E74)=2,SUM('Turns'!E58,'Turns'!E74),"Unknown")</f>
        <v>1.05162e-06</v>
      </c>
      <c r="L23" s="2">
        <f>IF(COUNT('Turns'!F58,'Turns'!F74)=2,SUM('Turns'!F58,'Turns'!F74),"Unknown")</f>
        <v>1.2e-06</v>
      </c>
      <c r="M23" s="2">
        <f>IF(COUNT('Turns'!D57,'Turns'!D73)=2,SUM('Turns'!D57,'Turns'!D73),"Unknown")</f>
        <v>3552.0</v>
      </c>
      <c r="N23" s="2">
        <f>IF(COUNT('Turns'!E57,'Turns'!E73)=2,SUM('Turns'!E57,'Turns'!E73),"Unknown")</f>
        <v>6.2255904e-05</v>
      </c>
      <c r="O23" s="2">
        <f>IF(COUNT('Turns'!F57,'Turns'!F73)=2,SUM('Turns'!F57,'Turns'!F73),"Unknown")</f>
        <v>7.104e-05</v>
      </c>
      <c r="P23" s="2">
        <f>IF(COUNT('Turns'!D60,'Turns'!D76)=2,SUM('Turns'!D60,'Turns'!D76),"Unknown")</f>
        <v>487.0</v>
      </c>
      <c r="Q23" s="2">
        <f>IF(COUNT('Turns'!E60,'Turns'!E76)=2,SUM('Turns'!E60,'Turns'!E76),"Unknown")</f>
        <v>0.0001066956125</v>
      </c>
      <c r="R23" s="2">
        <f>IF(COUNT('Turns'!F60,'Turns'!F76)=2,SUM('Turns'!F60,'Turns'!F76),"Unknown")</f>
        <v>0.00012175</v>
      </c>
      <c r="S23" s="2">
        <f>IF(COUNT('Turns'!D64,'Turns'!D80)=2,SUM('Turns'!D64,'Turns'!D80),"Unknown")</f>
        <v>142.0</v>
      </c>
      <c r="T23" s="2">
        <f>IF(COUNT('Turns'!E64,'Turns'!E80)=2,SUM('Turns'!E64,'Turns'!E80),"Unknown")</f>
        <v>0.00014933004</v>
      </c>
      <c r="U23" s="2">
        <f>IF(COUNT('Turns'!F64,'Turns'!F80)=2,SUM('Turns'!F64,'Turns'!F80),"Unknown")</f>
        <v>0.0001704</v>
      </c>
      <c r="V23" s="2">
        <f>IF(COUNT('Turns'!D63,'Turns'!D79)=2,SUM('Turns'!D63,'Turns'!D79),"Unknown")</f>
        <v>474.0</v>
      </c>
      <c r="W23" s="2">
        <f>IF(COUNT('Turns'!E63,'Turns'!E79)=2,SUM('Turns'!E63,'Turns'!E79),"Unknown")</f>
        <v>0.00049846788</v>
      </c>
      <c r="X23" s="2">
        <f>IF(COUNT('Turns'!F63,'Turns'!F79)=2,SUM('Turns'!F63,'Turns'!F79),"Unknown")</f>
        <v>0.0005688</v>
      </c>
      <c r="Y23" s="2">
        <f>IF(COUNT('Turns'!E68,'Turns'!E84)=2,SUM('Turns'!E68,'Turns'!E84),"Unknown")</f>
        <v>0.0008178010565</v>
      </c>
      <c r="Z23" s="2">
        <f>IF(COUNT('Turns'!F68,'Turns'!F84)=2,SUM('Turns'!F68,'Turns'!F84),"Unknown")</f>
        <v>0.00093319</v>
      </c>
      <c r="AA23" s="5">
        <f>IF(ISNUMBER(Y23),ROUND(Y23*'Reference data'!$B$2,0),"Unknown")</f>
        <v>82.0</v>
      </c>
      <c r="AB23" s="5">
        <f>IF(ISNUMBER(Z23),ROUND(Z23*'Reference data'!$B$2,0),"Unknown")</f>
        <v>93.0</v>
      </c>
      <c r="AD23" s="1">
        <v>8673.907999999999</v>
      </c>
      <c r="AE23" s="1" t="s">
        <v>169</v>
      </c>
    </row>
    <row r="24" spans="1:31" ht="54" customHeight="1">
      <c r="A24" s="6" t="s">
        <v>181</v>
      </c>
      <c r="B24" s="1">
        <v>1</v>
      </c>
      <c r="C24" s="1" t="s">
        <v>167</v>
      </c>
      <c r="D24" s="1" t="s">
        <v>47</v>
      </c>
      <c r="E24" s="1" t="s">
        <v>111</v>
      </c>
      <c r="G24" s="6" t="s">
        <v>182</v>
      </c>
      <c r="H24" t="s">
        <v>204</v>
      </c>
      <c r="I24" t="s">
        <v>203</v>
      </c>
      <c r="AD24" s="1">
        <v>0.573</v>
      </c>
      <c r="AE24" s="1" t="s">
        <v>173</v>
      </c>
    </row>
    <row r="25" spans="1:31" ht="54" customHeight="1">
      <c r="A25" s="6" t="s">
        <v>184</v>
      </c>
      <c r="B25" s="1">
        <v>1</v>
      </c>
      <c r="C25" s="1" t="s">
        <v>167</v>
      </c>
      <c r="D25" s="1" t="s">
        <v>47</v>
      </c>
      <c r="E25" s="1" t="s">
        <v>111</v>
      </c>
      <c r="G25" s="6" t="s">
        <v>185</v>
      </c>
      <c r="H25" t="s">
        <v>205</v>
      </c>
      <c r="I25" t="s">
        <v>203</v>
      </c>
      <c r="AD25" s="1">
        <v>4.014</v>
      </c>
      <c r="AE25" s="1" t="s">
        <v>173</v>
      </c>
    </row>
    <row r="26" spans="1:31" ht="54" customHeight="1">
      <c r="A26" s="6" t="s">
        <v>198</v>
      </c>
      <c r="B26" s="1">
        <v>2</v>
      </c>
      <c r="C26" s="1" t="s">
        <v>188</v>
      </c>
      <c r="D26" s="1" t="s">
        <v>47</v>
      </c>
      <c r="E26" s="1" t="s">
        <v>111</v>
      </c>
      <c r="G26" s="6" t="s">
        <v>199</v>
      </c>
      <c r="H26" t="s">
        <v>135</v>
      </c>
      <c r="I26" t="s">
        <v>205</v>
      </c>
      <c r="AD26" s="1">
        <v>1.943</v>
      </c>
      <c r="AE26" s="1" t="s">
        <v>173</v>
      </c>
    </row>
    <row r="27" spans="1:31" ht="54" customHeight="1">
      <c r="A27" s="6" t="s">
        <v>170</v>
      </c>
      <c r="B27" s="1">
        <v>1</v>
      </c>
      <c r="C27" s="1" t="s">
        <v>167</v>
      </c>
      <c r="D27" s="1" t="s">
        <v>47</v>
      </c>
      <c r="E27" s="1" t="s">
        <v>111</v>
      </c>
      <c r="G27" s="6" t="s">
        <v>171</v>
      </c>
      <c r="H27" t="s">
        <v>206</v>
      </c>
      <c r="I27" t="s">
        <v>203</v>
      </c>
      <c r="AD27" s="1">
        <v>0.407</v>
      </c>
      <c r="AE27" s="1" t="s">
        <v>173</v>
      </c>
    </row>
    <row r="28" spans="1:31" ht="54" customHeight="1">
      <c r="A28" s="6" t="s">
        <v>174</v>
      </c>
      <c r="B28" s="1">
        <v>1</v>
      </c>
      <c r="C28" s="1" t="s">
        <v>167</v>
      </c>
      <c r="D28" s="1" t="s">
        <v>47</v>
      </c>
      <c r="E28" s="1" t="s">
        <v>111</v>
      </c>
      <c r="G28" s="6" t="s">
        <v>175</v>
      </c>
      <c r="H28" t="s">
        <v>207</v>
      </c>
      <c r="I28" t="s">
        <v>203</v>
      </c>
      <c r="J28" s="2">
        <f>IF(COUNT('Turns'!D58)=1,SUM('Turns'!D58),"Unknown")</f>
        <v>3.0</v>
      </c>
      <c r="K28" s="2">
        <f>IF(COUNT('Turns'!E58)=1,SUM('Turns'!E58),"Unknown")</f>
        <v>5.2581e-07</v>
      </c>
      <c r="L28" s="2">
        <f>IF(COUNT('Turns'!F58)=1,SUM('Turns'!F58),"Unknown")</f>
        <v>6e-07</v>
      </c>
      <c r="M28" s="2">
        <f>IF(COUNT('Turns'!D57)=1,SUM('Turns'!D57),"Unknown")</f>
        <v>1603.0</v>
      </c>
      <c r="N28" s="2">
        <f>IF(COUNT('Turns'!E57)=1,SUM('Turns'!E57),"Unknown")</f>
        <v>2.8095781e-05</v>
      </c>
      <c r="O28" s="2">
        <f>IF(COUNT('Turns'!F57)=1,SUM('Turns'!F57),"Unknown")</f>
        <v>3.206e-05</v>
      </c>
      <c r="P28" s="2">
        <f>IF(COUNT('Turns'!D60)=1,SUM('Turns'!D60),"Unknown")</f>
        <v>346.0</v>
      </c>
      <c r="Q28" s="2">
        <f>IF(COUNT('Turns'!E60)=1,SUM('Turns'!E60),"Unknown")</f>
        <v>7.5804275e-05</v>
      </c>
      <c r="R28" s="2">
        <f>IF(COUNT('Turns'!F60)=1,SUM('Turns'!F60),"Unknown")</f>
        <v>8.65e-05</v>
      </c>
      <c r="S28" s="2">
        <f>IF(COUNT('Turns'!D64)=1,SUM('Turns'!D64),"Unknown")</f>
        <v>31.0</v>
      </c>
      <c r="T28" s="2">
        <f>IF(COUNT('Turns'!E64)=1,SUM('Turns'!E64),"Unknown")</f>
        <v>3.260022e-05</v>
      </c>
      <c r="U28" s="2">
        <f>IF(COUNT('Turns'!F64)=1,SUM('Turns'!F64),"Unknown")</f>
        <v>3.72e-05</v>
      </c>
      <c r="V28" s="2">
        <f>IF(COUNT('Turns'!D63)=1,SUM('Turns'!D63),"Unknown")</f>
        <v>7.0</v>
      </c>
      <c r="W28" s="2">
        <f>IF(COUNT('Turns'!E63)=1,SUM('Turns'!E63),"Unknown")</f>
        <v>7.36134e-06</v>
      </c>
      <c r="X28" s="2">
        <f>IF(COUNT('Turns'!F63)=1,SUM('Turns'!F63),"Unknown")</f>
        <v>8.4e-06</v>
      </c>
      <c r="Y28" s="2">
        <f>IF(COUNT('Turns'!E68)=1,SUM('Turns'!E68),"Unknown")</f>
        <v>0.000144387426</v>
      </c>
      <c r="Z28" s="2">
        <f>IF(COUNT('Turns'!F68)=1,SUM('Turns'!F68),"Unknown")</f>
        <v>0.00016476</v>
      </c>
      <c r="AA28" s="5">
        <f>IF(ISNUMBER(Y28),ROUND(Y28*'Reference data'!$B$2,0),"Unknown")</f>
        <v>14.0</v>
      </c>
      <c r="AB28" s="5">
        <f>IF(ISNUMBER(Z28),ROUND(Z28*'Reference data'!$B$2,0),"Unknown")</f>
        <v>16.0</v>
      </c>
      <c r="AD28" s="1">
        <v>1465.083</v>
      </c>
      <c r="AE28" s="1" t="s">
        <v>169</v>
      </c>
    </row>
    <row r="29" spans="1:31" ht="54" customHeight="1">
      <c r="A29" s="6" t="s">
        <v>177</v>
      </c>
      <c r="B29" s="1">
        <v>2</v>
      </c>
      <c r="C29" s="1" t="s">
        <v>178</v>
      </c>
      <c r="D29" s="1" t="s">
        <v>95</v>
      </c>
      <c r="E29" s="1" t="s">
        <v>111</v>
      </c>
      <c r="F29" s="1">
        <v>1952</v>
      </c>
      <c r="G29" s="6" t="s">
        <v>179</v>
      </c>
      <c r="H29" t="s">
        <v>139</v>
      </c>
      <c r="I29" t="s">
        <v>207</v>
      </c>
      <c r="J29" s="2">
        <f>IF(COUNT('Turns'!D58)=1,SUM('Turns'!D58),"Unknown")</f>
        <v>3.0</v>
      </c>
      <c r="K29" s="2">
        <f>IF(COUNT('Turns'!E58)=1,SUM('Turns'!E58),"Unknown")</f>
        <v>5.2581e-07</v>
      </c>
      <c r="L29" s="2">
        <f>IF(COUNT('Turns'!F58)=1,SUM('Turns'!F58),"Unknown")</f>
        <v>6e-07</v>
      </c>
      <c r="M29" s="2">
        <f>IF(COUNT('Turns'!D57)=1,SUM('Turns'!D57),"Unknown")</f>
        <v>1603.0</v>
      </c>
      <c r="N29" s="2">
        <f>IF(COUNT('Turns'!E57)=1,SUM('Turns'!E57),"Unknown")</f>
        <v>2.8095781e-05</v>
      </c>
      <c r="O29" s="2">
        <f>IF(COUNT('Turns'!F57)=1,SUM('Turns'!F57),"Unknown")</f>
        <v>3.206e-05</v>
      </c>
      <c r="P29" s="2">
        <f>IF(COUNT('Turns'!D60)=1,SUM('Turns'!D60),"Unknown")</f>
        <v>346.0</v>
      </c>
      <c r="Q29" s="2">
        <f>IF(COUNT('Turns'!E60)=1,SUM('Turns'!E60),"Unknown")</f>
        <v>7.5804275e-05</v>
      </c>
      <c r="R29" s="2">
        <f>IF(COUNT('Turns'!F60)=1,SUM('Turns'!F60),"Unknown")</f>
        <v>8.65e-05</v>
      </c>
      <c r="S29" s="2">
        <f>IF(COUNT('Turns'!D64)=1,SUM('Turns'!D64),"Unknown")</f>
        <v>31.0</v>
      </c>
      <c r="T29" s="2">
        <f>IF(COUNT('Turns'!E64)=1,SUM('Turns'!E64),"Unknown")</f>
        <v>3.260022e-05</v>
      </c>
      <c r="U29" s="2">
        <f>IF(COUNT('Turns'!F64)=1,SUM('Turns'!F64),"Unknown")</f>
        <v>3.72e-05</v>
      </c>
      <c r="V29" s="2">
        <f>IF(COUNT('Turns'!D63)=1,SUM('Turns'!D63),"Unknown")</f>
        <v>7.0</v>
      </c>
      <c r="W29" s="2">
        <f>IF(COUNT('Turns'!E63)=1,SUM('Turns'!E63),"Unknown")</f>
        <v>7.36134e-06</v>
      </c>
      <c r="X29" s="2">
        <f>IF(COUNT('Turns'!F63)=1,SUM('Turns'!F63),"Unknown")</f>
        <v>8.4e-06</v>
      </c>
      <c r="Y29" s="2">
        <f>IF(COUNT('Turns'!E68)=1,SUM('Turns'!E68),"Unknown")</f>
        <v>0.000144387426</v>
      </c>
      <c r="Z29" s="2">
        <f>IF(COUNT('Turns'!F68)=1,SUM('Turns'!F68),"Unknown")</f>
        <v>0.00016476</v>
      </c>
      <c r="AA29" s="5">
        <f>IF(ISNUMBER(Y29),ROUND(Y29*'Reference data'!$B$2,0),"Unknown")</f>
        <v>14.0</v>
      </c>
      <c r="AB29" s="5">
        <f>IF(ISNUMBER(Z29),ROUND(Z29*'Reference data'!$B$2,0),"Unknown")</f>
        <v>16.0</v>
      </c>
      <c r="AC29" s="1" t="s">
        <v>138</v>
      </c>
      <c r="AD29" s="1">
        <v>1463.083</v>
      </c>
      <c r="AE29" s="1" t="s">
        <v>180</v>
      </c>
    </row>
    <row r="30" spans="1:31" ht="54" customHeight="1">
      <c r="A30" s="6" t="s">
        <v>181</v>
      </c>
      <c r="B30" s="1">
        <v>1</v>
      </c>
      <c r="C30" s="1" t="s">
        <v>167</v>
      </c>
      <c r="D30" s="1" t="s">
        <v>47</v>
      </c>
      <c r="E30" s="1" t="s">
        <v>111</v>
      </c>
      <c r="G30" s="6" t="s">
        <v>182</v>
      </c>
      <c r="H30" t="s">
        <v>208</v>
      </c>
      <c r="I30" t="s">
        <v>203</v>
      </c>
      <c r="AD30" s="1">
        <v>0.466</v>
      </c>
      <c r="AE30" s="1" t="s">
        <v>173</v>
      </c>
    </row>
    <row r="31" spans="1:31" ht="54" customHeight="1">
      <c r="A31" s="6" t="s">
        <v>184</v>
      </c>
      <c r="B31" s="1">
        <v>1</v>
      </c>
      <c r="C31" s="1" t="s">
        <v>167</v>
      </c>
      <c r="D31" s="1" t="s">
        <v>47</v>
      </c>
      <c r="E31" s="1" t="s">
        <v>111</v>
      </c>
      <c r="G31" s="6" t="s">
        <v>185</v>
      </c>
      <c r="H31" t="s">
        <v>209</v>
      </c>
      <c r="I31" t="s">
        <v>203</v>
      </c>
      <c r="AD31" s="1">
        <v>3.977</v>
      </c>
      <c r="AE31" s="1" t="s">
        <v>173</v>
      </c>
    </row>
    <row r="32" spans="1:31" ht="54" customHeight="1">
      <c r="A32" s="6" t="s">
        <v>187</v>
      </c>
      <c r="B32" s="1">
        <v>2</v>
      </c>
      <c r="C32" s="1" t="s">
        <v>188</v>
      </c>
      <c r="D32" s="1" t="s">
        <v>47</v>
      </c>
      <c r="E32" s="1" t="s">
        <v>111</v>
      </c>
      <c r="G32" s="6" t="s">
        <v>189</v>
      </c>
      <c r="H32" t="s">
        <v>141</v>
      </c>
      <c r="I32" t="s">
        <v>209</v>
      </c>
      <c r="AD32" s="1">
        <v>0.897</v>
      </c>
      <c r="AE32" s="1" t="s">
        <v>173</v>
      </c>
    </row>
    <row r="33" spans="1:31" ht="54" customHeight="1">
      <c r="A33" s="6" t="s">
        <v>170</v>
      </c>
      <c r="B33" s="1">
        <v>1</v>
      </c>
      <c r="C33" s="1" t="s">
        <v>167</v>
      </c>
      <c r="D33" s="1" t="s">
        <v>47</v>
      </c>
      <c r="E33" s="1" t="s">
        <v>111</v>
      </c>
      <c r="G33" s="6" t="s">
        <v>171</v>
      </c>
      <c r="H33" t="s">
        <v>210</v>
      </c>
      <c r="I33" t="s">
        <v>203</v>
      </c>
      <c r="AD33" s="1">
        <v>0.584</v>
      </c>
      <c r="AE33" s="1" t="s">
        <v>173</v>
      </c>
    </row>
    <row r="34" spans="1:31" ht="54" customHeight="1">
      <c r="A34" s="6" t="s">
        <v>174</v>
      </c>
      <c r="B34" s="1">
        <v>1</v>
      </c>
      <c r="C34" s="1" t="s">
        <v>167</v>
      </c>
      <c r="D34" s="1" t="s">
        <v>47</v>
      </c>
      <c r="E34" s="1" t="s">
        <v>111</v>
      </c>
      <c r="G34" s="6" t="s">
        <v>175</v>
      </c>
      <c r="H34" t="s">
        <v>211</v>
      </c>
      <c r="I34" t="s">
        <v>203</v>
      </c>
      <c r="J34" s="2">
        <f>IF(COUNT('Turns'!D74)=1,SUM('Turns'!D74),"Unknown")</f>
        <v>3.0</v>
      </c>
      <c r="K34" s="2">
        <f>IF(COUNT('Turns'!E74)=1,SUM('Turns'!E74),"Unknown")</f>
        <v>5.2581e-07</v>
      </c>
      <c r="L34" s="2">
        <f>IF(COUNT('Turns'!F74)=1,SUM('Turns'!F74),"Unknown")</f>
        <v>6e-07</v>
      </c>
      <c r="M34" s="2">
        <f>IF(COUNT('Turns'!D73)=1,SUM('Turns'!D73),"Unknown")</f>
        <v>1949.0</v>
      </c>
      <c r="N34" s="2">
        <f>IF(COUNT('Turns'!E73)=1,SUM('Turns'!E73),"Unknown")</f>
        <v>3.4160123e-05</v>
      </c>
      <c r="O34" s="2">
        <f>IF(COUNT('Turns'!F73)=1,SUM('Turns'!F73),"Unknown")</f>
        <v>3.898e-05</v>
      </c>
      <c r="P34" s="2">
        <f>IF(COUNT('Turns'!D76)=1,SUM('Turns'!D76),"Unknown")</f>
        <v>141.0</v>
      </c>
      <c r="Q34" s="2">
        <f>IF(COUNT('Turns'!E76)=1,SUM('Turns'!E76),"Unknown")</f>
        <v>3.08913375e-05</v>
      </c>
      <c r="R34" s="2">
        <f>IF(COUNT('Turns'!F76)=1,SUM('Turns'!F76),"Unknown")</f>
        <v>3.525e-05</v>
      </c>
      <c r="S34" s="2">
        <f>IF(COUNT('Turns'!D80)=1,SUM('Turns'!D80),"Unknown")</f>
        <v>111.0</v>
      </c>
      <c r="T34" s="2">
        <f>IF(COUNT('Turns'!E80)=1,SUM('Turns'!E80),"Unknown")</f>
        <v>0.00011672982</v>
      </c>
      <c r="U34" s="2">
        <f>IF(COUNT('Turns'!F80)=1,SUM('Turns'!F80),"Unknown")</f>
        <v>0.0001332</v>
      </c>
      <c r="V34" s="2">
        <f>IF(COUNT('Turns'!D79)=1,SUM('Turns'!D79),"Unknown")</f>
        <v>467.0</v>
      </c>
      <c r="W34" s="2">
        <f>IF(COUNT('Turns'!E79)=1,SUM('Turns'!E79),"Unknown")</f>
        <v>0.00049110654</v>
      </c>
      <c r="X34" s="2">
        <f>IF(COUNT('Turns'!F79)=1,SUM('Turns'!F79),"Unknown")</f>
        <v>0.0005604</v>
      </c>
      <c r="Y34" s="2">
        <f>IF(COUNT('Turns'!E84)=1,SUM('Turns'!E84),"Unknown")</f>
        <v>0.0006734136305</v>
      </c>
      <c r="Z34" s="2">
        <f>IF(COUNT('Turns'!F84)=1,SUM('Turns'!F84),"Unknown")</f>
        <v>0.00076843</v>
      </c>
      <c r="AA34" s="5">
        <f>IF(ISNUMBER(Y34),ROUND(Y34*'Reference data'!$B$2,0),"Unknown")</f>
        <v>67.0</v>
      </c>
      <c r="AB34" s="5">
        <f>IF(ISNUMBER(Z34),ROUND(Z34*'Reference data'!$B$2,0),"Unknown")</f>
        <v>77.0</v>
      </c>
      <c r="AD34" s="1">
        <v>7186.948</v>
      </c>
      <c r="AE34" s="1" t="s">
        <v>169</v>
      </c>
    </row>
    <row r="35" spans="1:31" ht="54" customHeight="1">
      <c r="A35" s="6" t="s">
        <v>177</v>
      </c>
      <c r="B35" s="1">
        <v>2</v>
      </c>
      <c r="C35" s="1" t="s">
        <v>178</v>
      </c>
      <c r="D35" s="1" t="s">
        <v>95</v>
      </c>
      <c r="E35" s="1" t="s">
        <v>111</v>
      </c>
      <c r="F35" s="1">
        <v>2093</v>
      </c>
      <c r="G35" s="6" t="s">
        <v>179</v>
      </c>
      <c r="H35" t="s">
        <v>144</v>
      </c>
      <c r="I35" t="s">
        <v>211</v>
      </c>
      <c r="J35" s="2">
        <f>IF(COUNT('Turns'!D74)=1,SUM('Turns'!D74),"Unknown")</f>
        <v>3.0</v>
      </c>
      <c r="K35" s="2">
        <f>IF(COUNT('Turns'!E74)=1,SUM('Turns'!E74),"Unknown")</f>
        <v>5.2581e-07</v>
      </c>
      <c r="L35" s="2">
        <f>IF(COUNT('Turns'!F74)=1,SUM('Turns'!F74),"Unknown")</f>
        <v>6e-07</v>
      </c>
      <c r="M35" s="2">
        <f>IF(COUNT('Turns'!D73)=1,SUM('Turns'!D73),"Unknown")</f>
        <v>1949.0</v>
      </c>
      <c r="N35" s="2">
        <f>IF(COUNT('Turns'!E73)=1,SUM('Turns'!E73),"Unknown")</f>
        <v>3.4160123e-05</v>
      </c>
      <c r="O35" s="2">
        <f>IF(COUNT('Turns'!F73)=1,SUM('Turns'!F73),"Unknown")</f>
        <v>3.898e-05</v>
      </c>
      <c r="P35" s="2">
        <f>IF(COUNT('Turns'!D76)=1,SUM('Turns'!D76),"Unknown")</f>
        <v>141.0</v>
      </c>
      <c r="Q35" s="2">
        <f>IF(COUNT('Turns'!E76)=1,SUM('Turns'!E76),"Unknown")</f>
        <v>3.08913375e-05</v>
      </c>
      <c r="R35" s="2">
        <f>IF(COUNT('Turns'!F76)=1,SUM('Turns'!F76),"Unknown")</f>
        <v>3.525e-05</v>
      </c>
      <c r="S35" s="2">
        <f>IF(COUNT('Turns'!D80)=1,SUM('Turns'!D80),"Unknown")</f>
        <v>111.0</v>
      </c>
      <c r="T35" s="2">
        <f>IF(COUNT('Turns'!E80)=1,SUM('Turns'!E80),"Unknown")</f>
        <v>0.00011672982</v>
      </c>
      <c r="U35" s="2">
        <f>IF(COUNT('Turns'!F80)=1,SUM('Turns'!F80),"Unknown")</f>
        <v>0.0001332</v>
      </c>
      <c r="V35" s="2">
        <f>IF(COUNT('Turns'!D79)=1,SUM('Turns'!D79),"Unknown")</f>
        <v>467.0</v>
      </c>
      <c r="W35" s="2">
        <f>IF(COUNT('Turns'!E79)=1,SUM('Turns'!E79),"Unknown")</f>
        <v>0.00049110654</v>
      </c>
      <c r="X35" s="2">
        <f>IF(COUNT('Turns'!F79)=1,SUM('Turns'!F79),"Unknown")</f>
        <v>0.0005604</v>
      </c>
      <c r="Y35" s="2">
        <f>IF(COUNT('Turns'!E84)=1,SUM('Turns'!E84),"Unknown")</f>
        <v>0.0006734136305</v>
      </c>
      <c r="Z35" s="2">
        <f>IF(COUNT('Turns'!F84)=1,SUM('Turns'!F84),"Unknown")</f>
        <v>0.00076843</v>
      </c>
      <c r="AA35" s="5">
        <f>IF(ISNUMBER(Y35),ROUND(Y35*'Reference data'!$B$2,0),"Unknown")</f>
        <v>67.0</v>
      </c>
      <c r="AB35" s="5">
        <f>IF(ISNUMBER(Z35),ROUND(Z35*'Reference data'!$B$2,0),"Unknown")</f>
        <v>77.0</v>
      </c>
      <c r="AC35" s="1" t="s">
        <v>143</v>
      </c>
      <c r="AD35" s="1">
        <v>7183.92</v>
      </c>
      <c r="AE35" s="1" t="s">
        <v>180</v>
      </c>
    </row>
    <row r="36" spans="1:31" ht="54" customHeight="1">
      <c r="A36" s="6" t="s">
        <v>181</v>
      </c>
      <c r="B36" s="1">
        <v>1</v>
      </c>
      <c r="C36" s="1" t="s">
        <v>167</v>
      </c>
      <c r="D36" s="1" t="s">
        <v>47</v>
      </c>
      <c r="E36" s="1" t="s">
        <v>193</v>
      </c>
      <c r="G36" s="6" t="s">
        <v>182</v>
      </c>
      <c r="H36" t="s">
        <v>212</v>
      </c>
      <c r="I36" t="s">
        <v>203</v>
      </c>
      <c r="AD36" s="1">
        <v>0.665</v>
      </c>
      <c r="AE36" s="1" t="s">
        <v>173</v>
      </c>
    </row>
    <row r="37" spans="1:31" ht="54" customHeight="1">
      <c r="A37" s="6" t="s">
        <v>166</v>
      </c>
      <c r="B37" s="1">
        <v>0</v>
      </c>
      <c r="C37" s="1" t="s">
        <v>167</v>
      </c>
      <c r="D37" s="1" t="s">
        <v>47</v>
      </c>
      <c r="E37" s="1" t="s">
        <v>111</v>
      </c>
      <c r="G37" s="6" t="s">
        <v>168</v>
      </c>
      <c r="H37" t="s">
        <v>213</v>
      </c>
      <c r="J37" s="2">
        <f>IF(COUNT('Turns'!D90,'Turns'!D106)=2,SUM('Turns'!D90,'Turns'!D106),"Unknown")</f>
        <v>6.0</v>
      </c>
      <c r="K37" s="2">
        <f>IF(COUNT('Turns'!E90,'Turns'!E106)=2,SUM('Turns'!E90,'Turns'!E106),"Unknown")</f>
        <v>1.05162e-06</v>
      </c>
      <c r="L37" s="2">
        <f>IF(COUNT('Turns'!F90,'Turns'!F106)=2,SUM('Turns'!F90,'Turns'!F106),"Unknown")</f>
        <v>1.2e-06</v>
      </c>
      <c r="M37" s="2">
        <f>IF(COUNT('Turns'!D89,'Turns'!D105)=2,SUM('Turns'!D89,'Turns'!D105),"Unknown")</f>
        <v>4784.0</v>
      </c>
      <c r="N37" s="2">
        <f>IF(COUNT('Turns'!E89,'Turns'!E105)=2,SUM('Turns'!E89,'Turns'!E105),"Unknown")</f>
        <v>8.3849168e-05</v>
      </c>
      <c r="O37" s="2">
        <f>IF(COUNT('Turns'!F89,'Turns'!F105)=2,SUM('Turns'!F89,'Turns'!F105),"Unknown")</f>
        <v>9.568e-05</v>
      </c>
      <c r="P37" s="2">
        <f>IF(COUNT('Turns'!D92,'Turns'!D108)=2,SUM('Turns'!D92,'Turns'!D108),"Unknown")</f>
        <v>752.0</v>
      </c>
      <c r="Q37" s="2">
        <f>IF(COUNT('Turns'!E92,'Turns'!E108)=2,SUM('Turns'!E92,'Turns'!E108),"Unknown")</f>
        <v>0.0001647538</v>
      </c>
      <c r="R37" s="2">
        <f>IF(COUNT('Turns'!F92,'Turns'!F108)=2,SUM('Turns'!F92,'Turns'!F108),"Unknown")</f>
        <v>0.000188</v>
      </c>
      <c r="S37" s="2">
        <f>IF(COUNT('Turns'!D96,'Turns'!D112)=2,SUM('Turns'!D96,'Turns'!D112),"Unknown")</f>
        <v>133.0</v>
      </c>
      <c r="T37" s="2">
        <f>IF(COUNT('Turns'!E96,'Turns'!E112)=2,SUM('Turns'!E96,'Turns'!E112),"Unknown")</f>
        <v>0.00013986546</v>
      </c>
      <c r="U37" s="2">
        <f>IF(COUNT('Turns'!F96,'Turns'!F112)=2,SUM('Turns'!F96,'Turns'!F112),"Unknown")</f>
        <v>0.0001596</v>
      </c>
      <c r="V37" s="2">
        <f>IF(COUNT('Turns'!D95,'Turns'!D111)=2,SUM('Turns'!D95,'Turns'!D111),"Unknown")</f>
        <v>857.0</v>
      </c>
      <c r="W37" s="2">
        <f>IF(COUNT('Turns'!E95,'Turns'!E111)=2,SUM('Turns'!E95,'Turns'!E111),"Unknown")</f>
        <v>0.00090123834</v>
      </c>
      <c r="X37" s="2">
        <f>IF(COUNT('Turns'!F95,'Turns'!F111)=2,SUM('Turns'!F95,'Turns'!F111),"Unknown")</f>
        <v>0.0010284</v>
      </c>
      <c r="Y37" s="2">
        <f>IF(COUNT('Turns'!E100,'Turns'!E116)=2,SUM('Turns'!E100,'Turns'!E116),"Unknown")</f>
        <v>0.001290758388</v>
      </c>
      <c r="Z37" s="2">
        <f>IF(COUNT('Turns'!F100,'Turns'!F116)=2,SUM('Turns'!F100,'Turns'!F116),"Unknown")</f>
        <v>0.00147288</v>
      </c>
      <c r="AA37" s="5">
        <f>IF(ISNUMBER(Y37),ROUND(Y37*'Reference data'!$B$2,0),"Unknown")</f>
        <v>129.0</v>
      </c>
      <c r="AB37" s="5">
        <f>IF(ISNUMBER(Z37),ROUND(Z37*'Reference data'!$B$2,0),"Unknown")</f>
        <v>147.0</v>
      </c>
      <c r="AD37" s="1">
        <v>15275.325</v>
      </c>
      <c r="AE37" s="1" t="s">
        <v>169</v>
      </c>
    </row>
    <row r="38" spans="1:31" ht="54" customHeight="1">
      <c r="A38" s="6" t="s">
        <v>181</v>
      </c>
      <c r="B38" s="1">
        <v>1</v>
      </c>
      <c r="C38" s="1" t="s">
        <v>167</v>
      </c>
      <c r="D38" s="1" t="s">
        <v>47</v>
      </c>
      <c r="E38" s="1" t="s">
        <v>111</v>
      </c>
      <c r="G38" s="6" t="s">
        <v>182</v>
      </c>
      <c r="H38" t="s">
        <v>214</v>
      </c>
      <c r="I38" t="s">
        <v>213</v>
      </c>
      <c r="AD38" s="1">
        <v>0.546</v>
      </c>
      <c r="AE38" s="1" t="s">
        <v>173</v>
      </c>
    </row>
    <row r="39" spans="1:31" ht="54" customHeight="1">
      <c r="A39" s="6" t="s">
        <v>184</v>
      </c>
      <c r="B39" s="1">
        <v>1</v>
      </c>
      <c r="C39" s="1" t="s">
        <v>167</v>
      </c>
      <c r="D39" s="1" t="s">
        <v>47</v>
      </c>
      <c r="E39" s="1" t="s">
        <v>111</v>
      </c>
      <c r="G39" s="6" t="s">
        <v>185</v>
      </c>
      <c r="H39" t="s">
        <v>215</v>
      </c>
      <c r="I39" t="s">
        <v>213</v>
      </c>
      <c r="AD39" s="1">
        <v>3.347</v>
      </c>
      <c r="AE39" s="1" t="s">
        <v>173</v>
      </c>
    </row>
    <row r="40" spans="1:31" ht="54" customHeight="1">
      <c r="A40" s="6" t="s">
        <v>198</v>
      </c>
      <c r="B40" s="1">
        <v>2</v>
      </c>
      <c r="C40" s="1" t="s">
        <v>188</v>
      </c>
      <c r="D40" s="1" t="s">
        <v>47</v>
      </c>
      <c r="E40" s="1" t="s">
        <v>111</v>
      </c>
      <c r="G40" s="6" t="s">
        <v>199</v>
      </c>
      <c r="H40" t="s">
        <v>146</v>
      </c>
      <c r="I40" t="s">
        <v>215</v>
      </c>
      <c r="AD40" s="1">
        <v>1.144</v>
      </c>
      <c r="AE40" s="1" t="s">
        <v>173</v>
      </c>
    </row>
    <row r="41" spans="1:31" ht="54" customHeight="1">
      <c r="A41" s="6" t="s">
        <v>170</v>
      </c>
      <c r="B41" s="1">
        <v>1</v>
      </c>
      <c r="C41" s="1" t="s">
        <v>167</v>
      </c>
      <c r="D41" s="1" t="s">
        <v>47</v>
      </c>
      <c r="E41" s="1" t="s">
        <v>111</v>
      </c>
      <c r="G41" s="6" t="s">
        <v>171</v>
      </c>
      <c r="H41" t="s">
        <v>216</v>
      </c>
      <c r="I41" t="s">
        <v>213</v>
      </c>
      <c r="AD41" s="1">
        <v>0.346</v>
      </c>
      <c r="AE41" s="1" t="s">
        <v>173</v>
      </c>
    </row>
    <row r="42" spans="1:31" ht="54" customHeight="1">
      <c r="A42" s="6" t="s">
        <v>174</v>
      </c>
      <c r="B42" s="1">
        <v>1</v>
      </c>
      <c r="C42" s="1" t="s">
        <v>167</v>
      </c>
      <c r="D42" s="1" t="s">
        <v>47</v>
      </c>
      <c r="E42" s="1" t="s">
        <v>111</v>
      </c>
      <c r="G42" s="6" t="s">
        <v>175</v>
      </c>
      <c r="H42" t="s">
        <v>217</v>
      </c>
      <c r="I42" t="s">
        <v>213</v>
      </c>
      <c r="J42" s="2">
        <f>IF(COUNT('Turns'!D90)=1,SUM('Turns'!D90),"Unknown")</f>
        <v>3.0</v>
      </c>
      <c r="K42" s="2">
        <f>IF(COUNT('Turns'!E90)=1,SUM('Turns'!E90),"Unknown")</f>
        <v>5.2581e-07</v>
      </c>
      <c r="L42" s="2">
        <f>IF(COUNT('Turns'!F90)=1,SUM('Turns'!F90),"Unknown")</f>
        <v>6e-07</v>
      </c>
      <c r="M42" s="2">
        <f>IF(COUNT('Turns'!D89)=1,SUM('Turns'!D89),"Unknown")</f>
        <v>2090.0</v>
      </c>
      <c r="N42" s="2">
        <f>IF(COUNT('Turns'!E89)=1,SUM('Turns'!E89),"Unknown")</f>
        <v>3.663143e-05</v>
      </c>
      <c r="O42" s="2">
        <f>IF(COUNT('Turns'!F89)=1,SUM('Turns'!F89),"Unknown")</f>
        <v>4.18e-05</v>
      </c>
      <c r="P42" s="2">
        <f>IF(COUNT('Turns'!D92)=1,SUM('Turns'!D92),"Unknown")</f>
        <v>604.0</v>
      </c>
      <c r="Q42" s="2">
        <f>IF(COUNT('Turns'!E92)=1,SUM('Turns'!E92),"Unknown")</f>
        <v>0.00013232885</v>
      </c>
      <c r="R42" s="2">
        <f>IF(COUNT('Turns'!F92)=1,SUM('Turns'!F92),"Unknown")</f>
        <v>0.000151</v>
      </c>
      <c r="S42" s="2">
        <f>IF(COUNT('Turns'!D96)=1,SUM('Turns'!D96),"Unknown")</f>
        <v>31.0</v>
      </c>
      <c r="T42" s="2">
        <f>IF(COUNT('Turns'!E96)=1,SUM('Turns'!E96),"Unknown")</f>
        <v>3.260022e-05</v>
      </c>
      <c r="U42" s="2">
        <f>IF(COUNT('Turns'!F96)=1,SUM('Turns'!F96),"Unknown")</f>
        <v>3.72e-05</v>
      </c>
      <c r="V42" s="2">
        <f>IF(COUNT('Turns'!D95)=1,SUM('Turns'!D95),"Unknown")</f>
        <v>7.0</v>
      </c>
      <c r="W42" s="2">
        <f>IF(COUNT('Turns'!E95)=1,SUM('Turns'!E95),"Unknown")</f>
        <v>7.36134e-06</v>
      </c>
      <c r="X42" s="2">
        <f>IF(COUNT('Turns'!F95)=1,SUM('Turns'!F95),"Unknown")</f>
        <v>8.4e-06</v>
      </c>
      <c r="Y42" s="2">
        <f>IF(COUNT('Turns'!E100)=1,SUM('Turns'!E100),"Unknown")</f>
        <v>0.00020944765</v>
      </c>
      <c r="Z42" s="2">
        <f>IF(COUNT('Turns'!F100)=1,SUM('Turns'!F100),"Unknown")</f>
        <v>0.000239</v>
      </c>
      <c r="AA42" s="5">
        <f>IF(ISNUMBER(Y42),ROUND(Y42*'Reference data'!$B$2,0),"Unknown")</f>
        <v>21.0</v>
      </c>
      <c r="AB42" s="5">
        <f>IF(ISNUMBER(Z42),ROUND(Z42*'Reference data'!$B$2,0),"Unknown")</f>
        <v>24.0</v>
      </c>
      <c r="AD42" s="1">
        <v>1686.641</v>
      </c>
      <c r="AE42" s="1" t="s">
        <v>169</v>
      </c>
    </row>
    <row r="43" spans="1:31" ht="54" customHeight="1">
      <c r="A43" s="6" t="s">
        <v>177</v>
      </c>
      <c r="B43" s="1">
        <v>2</v>
      </c>
      <c r="C43" s="1" t="s">
        <v>178</v>
      </c>
      <c r="D43" s="1" t="s">
        <v>95</v>
      </c>
      <c r="E43" s="1" t="s">
        <v>111</v>
      </c>
      <c r="F43" s="1">
        <v>2697</v>
      </c>
      <c r="G43" s="6" t="s">
        <v>179</v>
      </c>
      <c r="H43" t="s">
        <v>149</v>
      </c>
      <c r="I43" t="s">
        <v>217</v>
      </c>
      <c r="J43" s="2">
        <f>IF(COUNT('Turns'!D90)=1,SUM('Turns'!D90),"Unknown")</f>
        <v>3.0</v>
      </c>
      <c r="K43" s="2">
        <f>IF(COUNT('Turns'!E90)=1,SUM('Turns'!E90),"Unknown")</f>
        <v>5.2581e-07</v>
      </c>
      <c r="L43" s="2">
        <f>IF(COUNT('Turns'!F90)=1,SUM('Turns'!F90),"Unknown")</f>
        <v>6e-07</v>
      </c>
      <c r="M43" s="2">
        <f>IF(COUNT('Turns'!D89)=1,SUM('Turns'!D89),"Unknown")</f>
        <v>2090.0</v>
      </c>
      <c r="N43" s="2">
        <f>IF(COUNT('Turns'!E89)=1,SUM('Turns'!E89),"Unknown")</f>
        <v>3.663143e-05</v>
      </c>
      <c r="O43" s="2">
        <f>IF(COUNT('Turns'!F89)=1,SUM('Turns'!F89),"Unknown")</f>
        <v>4.18e-05</v>
      </c>
      <c r="P43" s="2">
        <f>IF(COUNT('Turns'!D92)=1,SUM('Turns'!D92),"Unknown")</f>
        <v>604.0</v>
      </c>
      <c r="Q43" s="2">
        <f>IF(COUNT('Turns'!E92)=1,SUM('Turns'!E92),"Unknown")</f>
        <v>0.00013232885</v>
      </c>
      <c r="R43" s="2">
        <f>IF(COUNT('Turns'!F92)=1,SUM('Turns'!F92),"Unknown")</f>
        <v>0.000151</v>
      </c>
      <c r="S43" s="2">
        <f>IF(COUNT('Turns'!D96)=1,SUM('Turns'!D96),"Unknown")</f>
        <v>31.0</v>
      </c>
      <c r="T43" s="2">
        <f>IF(COUNT('Turns'!E96)=1,SUM('Turns'!E96),"Unknown")</f>
        <v>3.260022e-05</v>
      </c>
      <c r="U43" s="2">
        <f>IF(COUNT('Turns'!F96)=1,SUM('Turns'!F96),"Unknown")</f>
        <v>3.72e-05</v>
      </c>
      <c r="V43" s="2">
        <f>IF(COUNT('Turns'!D95)=1,SUM('Turns'!D95),"Unknown")</f>
        <v>7.0</v>
      </c>
      <c r="W43" s="2">
        <f>IF(COUNT('Turns'!E95)=1,SUM('Turns'!E95),"Unknown")</f>
        <v>7.36134e-06</v>
      </c>
      <c r="X43" s="2">
        <f>IF(COUNT('Turns'!F95)=1,SUM('Turns'!F95),"Unknown")</f>
        <v>8.4e-06</v>
      </c>
      <c r="Y43" s="2">
        <f>IF(COUNT('Turns'!E100)=1,SUM('Turns'!E100),"Unknown")</f>
        <v>0.00020944765</v>
      </c>
      <c r="Z43" s="2">
        <f>IF(COUNT('Turns'!F100)=1,SUM('Turns'!F100),"Unknown")</f>
        <v>0.000239</v>
      </c>
      <c r="AA43" s="5">
        <f>IF(ISNUMBER(Y43),ROUND(Y43*'Reference data'!$B$2,0),"Unknown")</f>
        <v>21.0</v>
      </c>
      <c r="AB43" s="5">
        <f>IF(ISNUMBER(Z43),ROUND(Z43*'Reference data'!$B$2,0),"Unknown")</f>
        <v>24.0</v>
      </c>
      <c r="AC43" s="1" t="s">
        <v>148</v>
      </c>
      <c r="AD43" s="1">
        <v>1685.019</v>
      </c>
      <c r="AE43" s="1" t="s">
        <v>180</v>
      </c>
    </row>
    <row r="44" spans="1:31" ht="54" customHeight="1">
      <c r="A44" s="6" t="s">
        <v>181</v>
      </c>
      <c r="B44" s="1">
        <v>1</v>
      </c>
      <c r="C44" s="1" t="s">
        <v>167</v>
      </c>
      <c r="D44" s="1" t="s">
        <v>47</v>
      </c>
      <c r="E44" s="1" t="s">
        <v>111</v>
      </c>
      <c r="G44" s="6" t="s">
        <v>182</v>
      </c>
      <c r="H44" t="s">
        <v>218</v>
      </c>
      <c r="I44" t="s">
        <v>213</v>
      </c>
      <c r="AD44" s="1">
        <v>0.369</v>
      </c>
      <c r="AE44" s="1" t="s">
        <v>173</v>
      </c>
    </row>
    <row r="45" spans="1:31" ht="54" customHeight="1">
      <c r="A45" s="6" t="s">
        <v>184</v>
      </c>
      <c r="B45" s="1">
        <v>1</v>
      </c>
      <c r="C45" s="1" t="s">
        <v>167</v>
      </c>
      <c r="D45" s="1" t="s">
        <v>47</v>
      </c>
      <c r="E45" s="1" t="s">
        <v>111</v>
      </c>
      <c r="G45" s="6" t="s">
        <v>185</v>
      </c>
      <c r="H45" t="s">
        <v>219</v>
      </c>
      <c r="I45" t="s">
        <v>213</v>
      </c>
      <c r="AD45" s="1">
        <v>3.645</v>
      </c>
      <c r="AE45" s="1" t="s">
        <v>173</v>
      </c>
    </row>
    <row r="46" spans="1:31" ht="54" customHeight="1">
      <c r="A46" s="6" t="s">
        <v>187</v>
      </c>
      <c r="B46" s="1">
        <v>2</v>
      </c>
      <c r="C46" s="1" t="s">
        <v>188</v>
      </c>
      <c r="D46" s="1" t="s">
        <v>47</v>
      </c>
      <c r="E46" s="1" t="s">
        <v>111</v>
      </c>
      <c r="G46" s="6" t="s">
        <v>189</v>
      </c>
      <c r="H46" t="s">
        <v>151</v>
      </c>
      <c r="I46" t="s">
        <v>219</v>
      </c>
      <c r="AD46" s="1">
        <v>0.671</v>
      </c>
      <c r="AE46" s="1" t="s">
        <v>173</v>
      </c>
    </row>
    <row r="47" spans="1:31" ht="54" customHeight="1">
      <c r="A47" s="6" t="s">
        <v>170</v>
      </c>
      <c r="B47" s="1">
        <v>1</v>
      </c>
      <c r="C47" s="1" t="s">
        <v>167</v>
      </c>
      <c r="D47" s="1" t="s">
        <v>47</v>
      </c>
      <c r="E47" s="1" t="s">
        <v>111</v>
      </c>
      <c r="G47" s="6" t="s">
        <v>171</v>
      </c>
      <c r="H47" t="s">
        <v>220</v>
      </c>
      <c r="I47" t="s">
        <v>213</v>
      </c>
      <c r="AD47" s="1">
        <v>0.272</v>
      </c>
      <c r="AE47" s="1" t="s">
        <v>173</v>
      </c>
    </row>
    <row r="48" spans="1:31" ht="54" customHeight="1">
      <c r="A48" s="6" t="s">
        <v>174</v>
      </c>
      <c r="B48" s="1">
        <v>1</v>
      </c>
      <c r="C48" s="1" t="s">
        <v>167</v>
      </c>
      <c r="D48" s="1" t="s">
        <v>47</v>
      </c>
      <c r="E48" s="1" t="s">
        <v>111</v>
      </c>
      <c r="G48" s="6" t="s">
        <v>175</v>
      </c>
      <c r="H48" t="s">
        <v>221</v>
      </c>
      <c r="I48" t="s">
        <v>213</v>
      </c>
      <c r="J48" s="2">
        <f>IF(COUNT('Turns'!D106)=1,SUM('Turns'!D106),"Unknown")</f>
        <v>3.0</v>
      </c>
      <c r="K48" s="2">
        <f>IF(COUNT('Turns'!E106)=1,SUM('Turns'!E106),"Unknown")</f>
        <v>5.2581e-07</v>
      </c>
      <c r="L48" s="2">
        <f>IF(COUNT('Turns'!F106)=1,SUM('Turns'!F106),"Unknown")</f>
        <v>6e-07</v>
      </c>
      <c r="M48" s="2">
        <f>IF(COUNT('Turns'!D105)=1,SUM('Turns'!D105),"Unknown")</f>
        <v>2694.0</v>
      </c>
      <c r="N48" s="2">
        <f>IF(COUNT('Turns'!E105)=1,SUM('Turns'!E105),"Unknown")</f>
        <v>4.7217738e-05</v>
      </c>
      <c r="O48" s="2">
        <f>IF(COUNT('Turns'!F105)=1,SUM('Turns'!F105),"Unknown")</f>
        <v>5.388e-05</v>
      </c>
      <c r="P48" s="2">
        <f>IF(COUNT('Turns'!D108)=1,SUM('Turns'!D108),"Unknown")</f>
        <v>148.0</v>
      </c>
      <c r="Q48" s="2">
        <f>IF(COUNT('Turns'!E108)=1,SUM('Turns'!E108),"Unknown")</f>
        <v>3.242495e-05</v>
      </c>
      <c r="R48" s="2">
        <f>IF(COUNT('Turns'!F108)=1,SUM('Turns'!F108),"Unknown")</f>
        <v>3.7e-05</v>
      </c>
      <c r="S48" s="2">
        <f>IF(COUNT('Turns'!D112)=1,SUM('Turns'!D112),"Unknown")</f>
        <v>102.0</v>
      </c>
      <c r="T48" s="2">
        <f>IF(COUNT('Turns'!E112)=1,SUM('Turns'!E112),"Unknown")</f>
        <v>0.00010726524</v>
      </c>
      <c r="U48" s="2">
        <f>IF(COUNT('Turns'!F112)=1,SUM('Turns'!F112),"Unknown")</f>
        <v>0.0001224</v>
      </c>
      <c r="V48" s="2">
        <f>IF(COUNT('Turns'!D111)=1,SUM('Turns'!D111),"Unknown")</f>
        <v>850.0</v>
      </c>
      <c r="W48" s="2">
        <f>IF(COUNT('Turns'!E111)=1,SUM('Turns'!E111),"Unknown")</f>
        <v>0.000893877</v>
      </c>
      <c r="X48" s="2">
        <f>IF(COUNT('Turns'!F111)=1,SUM('Turns'!F111),"Unknown")</f>
        <v>0.00102</v>
      </c>
      <c r="Y48" s="2">
        <f>IF(COUNT('Turns'!E116)=1,SUM('Turns'!E116),"Unknown")</f>
        <v>0.001081310738</v>
      </c>
      <c r="Z48" s="2">
        <f>IF(COUNT('Turns'!F116)=1,SUM('Turns'!F116),"Unknown")</f>
        <v>0.00123388</v>
      </c>
      <c r="AA48" s="5">
        <f>IF(ISNUMBER(Y48),ROUND(Y48*'Reference data'!$B$2,0),"Unknown")</f>
        <v>108.0</v>
      </c>
      <c r="AB48" s="5">
        <f>IF(ISNUMBER(Z48),ROUND(Z48*'Reference data'!$B$2,0),"Unknown")</f>
        <v>123.0</v>
      </c>
      <c r="AD48" s="1">
        <v>13570.259</v>
      </c>
      <c r="AE48" s="1" t="s">
        <v>169</v>
      </c>
    </row>
    <row r="49" spans="1:31" ht="54" customHeight="1">
      <c r="A49" s="6" t="s">
        <v>177</v>
      </c>
      <c r="B49" s="1">
        <v>2</v>
      </c>
      <c r="C49" s="1" t="s">
        <v>178</v>
      </c>
      <c r="D49" s="1" t="s">
        <v>95</v>
      </c>
      <c r="E49" s="1" t="s">
        <v>111</v>
      </c>
      <c r="F49" s="1">
        <v>2845</v>
      </c>
      <c r="G49" s="6" t="s">
        <v>179</v>
      </c>
      <c r="H49" t="s">
        <v>154</v>
      </c>
      <c r="I49" t="s">
        <v>221</v>
      </c>
      <c r="J49" s="2">
        <f>IF(COUNT('Turns'!D106)=1,SUM('Turns'!D106),"Unknown")</f>
        <v>3.0</v>
      </c>
      <c r="K49" s="2">
        <f>IF(COUNT('Turns'!E106)=1,SUM('Turns'!E106),"Unknown")</f>
        <v>5.2581e-07</v>
      </c>
      <c r="L49" s="2">
        <f>IF(COUNT('Turns'!F106)=1,SUM('Turns'!F106),"Unknown")</f>
        <v>6e-07</v>
      </c>
      <c r="M49" s="2">
        <f>IF(COUNT('Turns'!D105)=1,SUM('Turns'!D105),"Unknown")</f>
        <v>2694.0</v>
      </c>
      <c r="N49" s="2">
        <f>IF(COUNT('Turns'!E105)=1,SUM('Turns'!E105),"Unknown")</f>
        <v>4.7217738e-05</v>
      </c>
      <c r="O49" s="2">
        <f>IF(COUNT('Turns'!F105)=1,SUM('Turns'!F105),"Unknown")</f>
        <v>5.388e-05</v>
      </c>
      <c r="P49" s="2">
        <f>IF(COUNT('Turns'!D108)=1,SUM('Turns'!D108),"Unknown")</f>
        <v>148.0</v>
      </c>
      <c r="Q49" s="2">
        <f>IF(COUNT('Turns'!E108)=1,SUM('Turns'!E108),"Unknown")</f>
        <v>3.242495e-05</v>
      </c>
      <c r="R49" s="2">
        <f>IF(COUNT('Turns'!F108)=1,SUM('Turns'!F108),"Unknown")</f>
        <v>3.7e-05</v>
      </c>
      <c r="S49" s="2">
        <f>IF(COUNT('Turns'!D112)=1,SUM('Turns'!D112),"Unknown")</f>
        <v>102.0</v>
      </c>
      <c r="T49" s="2">
        <f>IF(COUNT('Turns'!E112)=1,SUM('Turns'!E112),"Unknown")</f>
        <v>0.00010726524</v>
      </c>
      <c r="U49" s="2">
        <f>IF(COUNT('Turns'!F112)=1,SUM('Turns'!F112),"Unknown")</f>
        <v>0.0001224</v>
      </c>
      <c r="V49" s="2">
        <f>IF(COUNT('Turns'!D111)=1,SUM('Turns'!D111),"Unknown")</f>
        <v>850.0</v>
      </c>
      <c r="W49" s="2">
        <f>IF(COUNT('Turns'!E111)=1,SUM('Turns'!E111),"Unknown")</f>
        <v>0.000893877</v>
      </c>
      <c r="X49" s="2">
        <f>IF(COUNT('Turns'!F111)=1,SUM('Turns'!F111),"Unknown")</f>
        <v>0.00102</v>
      </c>
      <c r="Y49" s="2">
        <f>IF(COUNT('Turns'!E116)=1,SUM('Turns'!E116),"Unknown")</f>
        <v>0.001081310738</v>
      </c>
      <c r="Z49" s="2">
        <f>IF(COUNT('Turns'!F116)=1,SUM('Turns'!F116),"Unknown")</f>
        <v>0.00123388</v>
      </c>
      <c r="AA49" s="5">
        <f>IF(ISNUMBER(Y49),ROUND(Y49*'Reference data'!$B$2,0),"Unknown")</f>
        <v>108.0</v>
      </c>
      <c r="AB49" s="5">
        <f>IF(ISNUMBER(Z49),ROUND(Z49*'Reference data'!$B$2,0),"Unknown")</f>
        <v>123.0</v>
      </c>
      <c r="AC49" s="1" t="s">
        <v>153</v>
      </c>
      <c r="AD49" s="1">
        <v>13566.758</v>
      </c>
      <c r="AE49" s="1" t="s">
        <v>180</v>
      </c>
    </row>
    <row r="50" spans="1:31" ht="54" customHeight="1">
      <c r="A50" s="6" t="s">
        <v>181</v>
      </c>
      <c r="B50" s="1">
        <v>1</v>
      </c>
      <c r="C50" s="1" t="s">
        <v>167</v>
      </c>
      <c r="D50" s="1" t="s">
        <v>47</v>
      </c>
      <c r="E50" s="1" t="s">
        <v>193</v>
      </c>
      <c r="G50" s="6" t="s">
        <v>182</v>
      </c>
      <c r="H50" t="s">
        <v>222</v>
      </c>
      <c r="I50" t="s">
        <v>213</v>
      </c>
      <c r="AD50" s="1">
        <v>0.639</v>
      </c>
      <c r="AE50" s="1" t="s">
        <v>173</v>
      </c>
    </row>
    <row r="51" spans="1:31" ht="54" customHeight="1">
      <c r="A51" s="6" t="s">
        <v>166</v>
      </c>
      <c r="B51" s="1">
        <v>0</v>
      </c>
      <c r="C51" s="1" t="s">
        <v>167</v>
      </c>
      <c r="D51" s="1" t="s">
        <v>47</v>
      </c>
      <c r="E51" s="1" t="s">
        <v>111</v>
      </c>
      <c r="G51" s="6" t="s">
        <v>168</v>
      </c>
      <c r="H51" t="s">
        <v>223</v>
      </c>
      <c r="J51" s="2">
        <f>IF(COUNT('Turns'!D122,'Turns'!D138)=2,SUM('Turns'!D122,'Turns'!D138),"Unknown")</f>
        <v>6.0</v>
      </c>
      <c r="K51" s="2">
        <f>IF(COUNT('Turns'!E122,'Turns'!E138)=2,SUM('Turns'!E122,'Turns'!E138),"Unknown")</f>
        <v>1.05162e-06</v>
      </c>
      <c r="L51" s="2">
        <f>IF(COUNT('Turns'!F122,'Turns'!F138)=2,SUM('Turns'!F122,'Turns'!F138),"Unknown")</f>
        <v>1.2e-06</v>
      </c>
      <c r="M51" s="2">
        <f>IF(COUNT('Turns'!D121,'Turns'!D137)=2,SUM('Turns'!D121,'Turns'!D137),"Unknown")</f>
        <v>6662.0</v>
      </c>
      <c r="N51" s="2">
        <f>IF(COUNT('Turns'!E121,'Turns'!E137)=2,SUM('Turns'!E121,'Turns'!E137),"Unknown")</f>
        <v>0.000116764874</v>
      </c>
      <c r="O51" s="2">
        <f>IF(COUNT('Turns'!F121,'Turns'!F137)=2,SUM('Turns'!F121,'Turns'!F137),"Unknown")</f>
        <v>0.00013324</v>
      </c>
      <c r="P51" s="2">
        <f>IF(COUNT('Turns'!D124,'Turns'!D140)=2,SUM('Turns'!D124,'Turns'!D140),"Unknown")</f>
        <v>1126.0</v>
      </c>
      <c r="Q51" s="2">
        <f>IF(COUNT('Turns'!E124,'Turns'!E140)=2,SUM('Turns'!E124,'Turns'!E140),"Unknown")</f>
        <v>0.000246692525</v>
      </c>
      <c r="R51" s="2">
        <f>IF(COUNT('Turns'!F124,'Turns'!F140)=2,SUM('Turns'!F124,'Turns'!F140),"Unknown")</f>
        <v>0.0002815</v>
      </c>
      <c r="S51" s="2">
        <f>IF(COUNT('Turns'!D128,'Turns'!D143)=2,SUM('Turns'!D128,'Turns'!D143),"Unknown")</f>
        <v>47.0</v>
      </c>
      <c r="T51" s="2">
        <f>IF(COUNT('Turns'!E128,'Turns'!E143)=2,SUM('Turns'!E128,'Turns'!E143),"Unknown")</f>
        <v>4.942614e-05</v>
      </c>
      <c r="U51" s="2">
        <f>IF(COUNT('Turns'!F128,'Turns'!F143)=2,SUM('Turns'!F128,'Turns'!F143),"Unknown")</f>
        <v>5.64e-05</v>
      </c>
      <c r="V51" s="2">
        <f>IF(COUNT('Turns'!D127)=1,SUM('Turns'!D127),"Unknown")</f>
        <v>7.0</v>
      </c>
      <c r="W51" s="2">
        <f>IF(COUNT('Turns'!E127)=1,SUM('Turns'!E127),"Unknown")</f>
        <v>7.36134e-06</v>
      </c>
      <c r="X51" s="2">
        <f>IF(COUNT('Turns'!F127)=1,SUM('Turns'!F127),"Unknown")</f>
        <v>8.4e-06</v>
      </c>
      <c r="Y51" s="2">
        <f>IF(COUNT('Turns'!E132,'Turns'!E147)=2,SUM('Turns'!E132,'Turns'!E147),"Unknown")</f>
        <v>0.000421296499</v>
      </c>
      <c r="Z51" s="2">
        <f>IF(COUNT('Turns'!F132,'Turns'!F147)=2,SUM('Turns'!F132,'Turns'!F147),"Unknown")</f>
        <v>0.00048074</v>
      </c>
      <c r="AA51" s="5">
        <f>IF(ISNUMBER(Y51),ROUND(Y51*'Reference data'!$B$2,0),"Unknown")</f>
        <v>42.0</v>
      </c>
      <c r="AB51" s="5">
        <f>IF(ISNUMBER(Z51),ROUND(Z51*'Reference data'!$B$2,0),"Unknown")</f>
        <v>48.0</v>
      </c>
      <c r="AD51" s="1">
        <v>3303.082</v>
      </c>
      <c r="AE51" s="1" t="s">
        <v>169</v>
      </c>
    </row>
    <row r="52" spans="1:31" ht="54" customHeight="1">
      <c r="A52" s="6" t="s">
        <v>181</v>
      </c>
      <c r="B52" s="1">
        <v>1</v>
      </c>
      <c r="C52" s="1" t="s">
        <v>167</v>
      </c>
      <c r="D52" s="1" t="s">
        <v>47</v>
      </c>
      <c r="E52" s="1" t="s">
        <v>111</v>
      </c>
      <c r="G52" s="6" t="s">
        <v>182</v>
      </c>
      <c r="H52" t="s">
        <v>224</v>
      </c>
      <c r="I52" t="s">
        <v>223</v>
      </c>
      <c r="AD52" s="1">
        <v>0.522</v>
      </c>
      <c r="AE52" s="1" t="s">
        <v>173</v>
      </c>
    </row>
    <row r="53" spans="1:31" ht="54" customHeight="1">
      <c r="A53" s="6" t="s">
        <v>184</v>
      </c>
      <c r="B53" s="1">
        <v>1</v>
      </c>
      <c r="C53" s="1" t="s">
        <v>167</v>
      </c>
      <c r="D53" s="1" t="s">
        <v>47</v>
      </c>
      <c r="E53" s="1" t="s">
        <v>111</v>
      </c>
      <c r="G53" s="6" t="s">
        <v>185</v>
      </c>
      <c r="H53" t="s">
        <v>225</v>
      </c>
      <c r="I53" t="s">
        <v>223</v>
      </c>
      <c r="AD53" s="1">
        <v>3.172</v>
      </c>
      <c r="AE53" s="1" t="s">
        <v>173</v>
      </c>
    </row>
    <row r="54" spans="1:31" ht="54" customHeight="1">
      <c r="A54" s="6" t="s">
        <v>198</v>
      </c>
      <c r="B54" s="1">
        <v>2</v>
      </c>
      <c r="C54" s="1" t="s">
        <v>188</v>
      </c>
      <c r="D54" s="1" t="s">
        <v>47</v>
      </c>
      <c r="E54" s="1" t="s">
        <v>111</v>
      </c>
      <c r="G54" s="6" t="s">
        <v>199</v>
      </c>
      <c r="H54" t="s">
        <v>156</v>
      </c>
      <c r="I54" t="s">
        <v>225</v>
      </c>
      <c r="AD54" s="1">
        <v>1.274</v>
      </c>
      <c r="AE54" s="1" t="s">
        <v>173</v>
      </c>
    </row>
    <row r="55" spans="1:31" ht="54" customHeight="1">
      <c r="A55" s="6" t="s">
        <v>170</v>
      </c>
      <c r="B55" s="1">
        <v>1</v>
      </c>
      <c r="C55" s="1" t="s">
        <v>167</v>
      </c>
      <c r="D55" s="1" t="s">
        <v>47</v>
      </c>
      <c r="E55" s="1" t="s">
        <v>111</v>
      </c>
      <c r="G55" s="6" t="s">
        <v>171</v>
      </c>
      <c r="H55" t="s">
        <v>226</v>
      </c>
      <c r="I55" t="s">
        <v>223</v>
      </c>
      <c r="AD55" s="1">
        <v>0.353</v>
      </c>
      <c r="AE55" s="1" t="s">
        <v>173</v>
      </c>
    </row>
    <row r="56" spans="1:31" ht="54" customHeight="1">
      <c r="A56" s="6" t="s">
        <v>174</v>
      </c>
      <c r="B56" s="1">
        <v>1</v>
      </c>
      <c r="C56" s="1" t="s">
        <v>167</v>
      </c>
      <c r="D56" s="1" t="s">
        <v>47</v>
      </c>
      <c r="E56" s="1" t="s">
        <v>111</v>
      </c>
      <c r="G56" s="6" t="s">
        <v>175</v>
      </c>
      <c r="H56" t="s">
        <v>227</v>
      </c>
      <c r="I56" t="s">
        <v>223</v>
      </c>
      <c r="J56" s="2">
        <f>IF(COUNT('Turns'!D122)=1,SUM('Turns'!D122),"Unknown")</f>
        <v>3.0</v>
      </c>
      <c r="K56" s="2">
        <f>IF(COUNT('Turns'!E122)=1,SUM('Turns'!E122),"Unknown")</f>
        <v>5.2581e-07</v>
      </c>
      <c r="L56" s="2">
        <f>IF(COUNT('Turns'!F122)=1,SUM('Turns'!F122),"Unknown")</f>
        <v>6e-07</v>
      </c>
      <c r="M56" s="2">
        <f>IF(COUNT('Turns'!D121)=1,SUM('Turns'!D121),"Unknown")</f>
        <v>2842.0</v>
      </c>
      <c r="N56" s="2">
        <f>IF(COUNT('Turns'!E121)=1,SUM('Turns'!E121),"Unknown")</f>
        <v>4.9811734e-05</v>
      </c>
      <c r="O56" s="2">
        <f>IF(COUNT('Turns'!F121)=1,SUM('Turns'!F121),"Unknown")</f>
        <v>5.684e-05</v>
      </c>
      <c r="P56" s="2">
        <f>IF(COUNT('Turns'!D124)=1,SUM('Turns'!D124),"Unknown")</f>
        <v>978.0</v>
      </c>
      <c r="Q56" s="2">
        <f>IF(COUNT('Turns'!E124)=1,SUM('Turns'!E124),"Unknown")</f>
        <v>0.000214267575</v>
      </c>
      <c r="R56" s="2">
        <f>IF(COUNT('Turns'!F124)=1,SUM('Turns'!F124),"Unknown")</f>
        <v>0.0002445</v>
      </c>
      <c r="S56" s="2">
        <f>IF(COUNT('Turns'!D128)=1,SUM('Turns'!D128),"Unknown")</f>
        <v>31.0</v>
      </c>
      <c r="T56" s="2">
        <f>IF(COUNT('Turns'!E128)=1,SUM('Turns'!E128),"Unknown")</f>
        <v>3.260022e-05</v>
      </c>
      <c r="U56" s="2">
        <f>IF(COUNT('Turns'!F128)=1,SUM('Turns'!F128),"Unknown")</f>
        <v>3.72e-05</v>
      </c>
      <c r="V56" s="2">
        <f>IF(COUNT('Turns'!D127)=1,SUM('Turns'!D127),"Unknown")</f>
        <v>7.0</v>
      </c>
      <c r="W56" s="2">
        <f>IF(COUNT('Turns'!E127)=1,SUM('Turns'!E127),"Unknown")</f>
        <v>7.36134e-06</v>
      </c>
      <c r="X56" s="2">
        <f>IF(COUNT('Turns'!F127)=1,SUM('Turns'!F127),"Unknown")</f>
        <v>8.4e-06</v>
      </c>
      <c r="Y56" s="2">
        <f>IF(COUNT('Turns'!E132)=1,SUM('Turns'!E132),"Unknown")</f>
        <v>0.000304566679</v>
      </c>
      <c r="Z56" s="2">
        <f>IF(COUNT('Turns'!F132)=1,SUM('Turns'!F132),"Unknown")</f>
        <v>0.00034754</v>
      </c>
      <c r="AA56" s="5">
        <f>IF(ISNUMBER(Y56),ROUND(Y56*'Reference data'!$B$2,0),"Unknown")</f>
        <v>30.0</v>
      </c>
      <c r="AB56" s="5">
        <f>IF(ISNUMBER(Z56),ROUND(Z56*'Reference data'!$B$2,0),"Unknown")</f>
        <v>35.0</v>
      </c>
      <c r="AD56" s="1">
        <v>1942.237</v>
      </c>
      <c r="AE56" s="1" t="s">
        <v>169</v>
      </c>
    </row>
    <row r="57" spans="1:31" ht="54" customHeight="1">
      <c r="A57" s="6" t="s">
        <v>177</v>
      </c>
      <c r="B57" s="1">
        <v>2</v>
      </c>
      <c r="C57" s="1" t="s">
        <v>178</v>
      </c>
      <c r="D57" s="1" t="s">
        <v>95</v>
      </c>
      <c r="E57" s="1" t="s">
        <v>111</v>
      </c>
      <c r="F57" s="1">
        <v>3823</v>
      </c>
      <c r="G57" s="6" t="s">
        <v>179</v>
      </c>
      <c r="H57" t="s">
        <v>159</v>
      </c>
      <c r="I57" t="s">
        <v>227</v>
      </c>
      <c r="J57" s="2">
        <f>IF(COUNT('Turns'!D122)=1,SUM('Turns'!D122),"Unknown")</f>
        <v>3.0</v>
      </c>
      <c r="K57" s="2">
        <f>IF(COUNT('Turns'!E122)=1,SUM('Turns'!E122),"Unknown")</f>
        <v>5.2581e-07</v>
      </c>
      <c r="L57" s="2">
        <f>IF(COUNT('Turns'!F122)=1,SUM('Turns'!F122),"Unknown")</f>
        <v>6e-07</v>
      </c>
      <c r="M57" s="2">
        <f>IF(COUNT('Turns'!D121)=1,SUM('Turns'!D121),"Unknown")</f>
        <v>2842.0</v>
      </c>
      <c r="N57" s="2">
        <f>IF(COUNT('Turns'!E121)=1,SUM('Turns'!E121),"Unknown")</f>
        <v>4.9811734e-05</v>
      </c>
      <c r="O57" s="2">
        <f>IF(COUNT('Turns'!F121)=1,SUM('Turns'!F121),"Unknown")</f>
        <v>5.684e-05</v>
      </c>
      <c r="P57" s="2">
        <f>IF(COUNT('Turns'!D124)=1,SUM('Turns'!D124),"Unknown")</f>
        <v>978.0</v>
      </c>
      <c r="Q57" s="2">
        <f>IF(COUNT('Turns'!E124)=1,SUM('Turns'!E124),"Unknown")</f>
        <v>0.000214267575</v>
      </c>
      <c r="R57" s="2">
        <f>IF(COUNT('Turns'!F124)=1,SUM('Turns'!F124),"Unknown")</f>
        <v>0.0002445</v>
      </c>
      <c r="S57" s="2">
        <f>IF(COUNT('Turns'!D128)=1,SUM('Turns'!D128),"Unknown")</f>
        <v>31.0</v>
      </c>
      <c r="T57" s="2">
        <f>IF(COUNT('Turns'!E128)=1,SUM('Turns'!E128),"Unknown")</f>
        <v>3.260022e-05</v>
      </c>
      <c r="U57" s="2">
        <f>IF(COUNT('Turns'!F128)=1,SUM('Turns'!F128),"Unknown")</f>
        <v>3.72e-05</v>
      </c>
      <c r="V57" s="2">
        <f>IF(COUNT('Turns'!D127)=1,SUM('Turns'!D127),"Unknown")</f>
        <v>7.0</v>
      </c>
      <c r="W57" s="2">
        <f>IF(COUNT('Turns'!E127)=1,SUM('Turns'!E127),"Unknown")</f>
        <v>7.36134e-06</v>
      </c>
      <c r="X57" s="2">
        <f>IF(COUNT('Turns'!F127)=1,SUM('Turns'!F127),"Unknown")</f>
        <v>8.4e-06</v>
      </c>
      <c r="Y57" s="2">
        <f>IF(COUNT('Turns'!E132)=1,SUM('Turns'!E132),"Unknown")</f>
        <v>0.000304566679</v>
      </c>
      <c r="Z57" s="2">
        <f>IF(COUNT('Turns'!F132)=1,SUM('Turns'!F132),"Unknown")</f>
        <v>0.00034754</v>
      </c>
      <c r="AA57" s="5">
        <f>IF(ISNUMBER(Y57),ROUND(Y57*'Reference data'!$B$2,0),"Unknown")</f>
        <v>30.0</v>
      </c>
      <c r="AB57" s="5">
        <f>IF(ISNUMBER(Z57),ROUND(Z57*'Reference data'!$B$2,0),"Unknown")</f>
        <v>35.0</v>
      </c>
      <c r="AC57" s="1" t="s">
        <v>158</v>
      </c>
      <c r="AD57" s="1">
        <v>1939.813</v>
      </c>
      <c r="AE57" s="1" t="s">
        <v>180</v>
      </c>
    </row>
    <row r="58" spans="1:31" ht="54" customHeight="1">
      <c r="A58" s="6" t="s">
        <v>181</v>
      </c>
      <c r="B58" s="1">
        <v>1</v>
      </c>
      <c r="C58" s="1" t="s">
        <v>167</v>
      </c>
      <c r="D58" s="1" t="s">
        <v>47</v>
      </c>
      <c r="E58" s="1" t="s">
        <v>111</v>
      </c>
      <c r="G58" s="6" t="s">
        <v>182</v>
      </c>
      <c r="H58" t="s">
        <v>228</v>
      </c>
      <c r="I58" t="s">
        <v>223</v>
      </c>
      <c r="AD58" s="1">
        <v>0.73</v>
      </c>
      <c r="AE58" s="1" t="s">
        <v>173</v>
      </c>
    </row>
    <row r="59" spans="1:31" ht="54" customHeight="1">
      <c r="A59" s="6" t="s">
        <v>184</v>
      </c>
      <c r="B59" s="1">
        <v>1</v>
      </c>
      <c r="C59" s="1" t="s">
        <v>167</v>
      </c>
      <c r="D59" s="1" t="s">
        <v>47</v>
      </c>
      <c r="E59" s="1" t="s">
        <v>111</v>
      </c>
      <c r="G59" s="6" t="s">
        <v>185</v>
      </c>
      <c r="H59" t="s">
        <v>229</v>
      </c>
      <c r="I59" t="s">
        <v>223</v>
      </c>
      <c r="AD59" s="1">
        <v>5.563</v>
      </c>
      <c r="AE59" s="1" t="s">
        <v>173</v>
      </c>
    </row>
    <row r="60" spans="1:31" ht="54" customHeight="1">
      <c r="A60" s="6" t="s">
        <v>187</v>
      </c>
      <c r="B60" s="1">
        <v>2</v>
      </c>
      <c r="C60" s="1" t="s">
        <v>188</v>
      </c>
      <c r="D60" s="1" t="s">
        <v>47</v>
      </c>
      <c r="E60" s="1" t="s">
        <v>111</v>
      </c>
      <c r="G60" s="6" t="s">
        <v>189</v>
      </c>
      <c r="H60" t="s">
        <v>161</v>
      </c>
      <c r="I60" t="s">
        <v>229</v>
      </c>
      <c r="AD60" s="1">
        <v>1.433</v>
      </c>
      <c r="AE60" s="1" t="s">
        <v>173</v>
      </c>
    </row>
    <row r="61" spans="1:31" ht="54" customHeight="1">
      <c r="A61" s="6" t="s">
        <v>170</v>
      </c>
      <c r="B61" s="1">
        <v>1</v>
      </c>
      <c r="C61" s="1" t="s">
        <v>167</v>
      </c>
      <c r="D61" s="1" t="s">
        <v>47</v>
      </c>
      <c r="E61" s="1" t="s">
        <v>111</v>
      </c>
      <c r="G61" s="6" t="s">
        <v>171</v>
      </c>
      <c r="H61" t="s">
        <v>230</v>
      </c>
      <c r="I61" t="s">
        <v>223</v>
      </c>
      <c r="AD61" s="1">
        <v>0.579</v>
      </c>
      <c r="AE61" s="1" t="s">
        <v>173</v>
      </c>
    </row>
    <row r="62" spans="1:31" ht="54" customHeight="1">
      <c r="A62" s="6" t="s">
        <v>174</v>
      </c>
      <c r="B62" s="1">
        <v>1</v>
      </c>
      <c r="C62" s="1" t="s">
        <v>167</v>
      </c>
      <c r="D62" s="1" t="s">
        <v>47</v>
      </c>
      <c r="E62" s="1" t="s">
        <v>111</v>
      </c>
      <c r="G62" s="6" t="s">
        <v>175</v>
      </c>
      <c r="H62" t="s">
        <v>231</v>
      </c>
      <c r="I62" t="s">
        <v>223</v>
      </c>
      <c r="J62" s="2">
        <f>IF(COUNT('Turns'!D138)=1,SUM('Turns'!D138),"Unknown")</f>
        <v>3.0</v>
      </c>
      <c r="K62" s="2">
        <f>IF(COUNT('Turns'!E138)=1,SUM('Turns'!E138),"Unknown")</f>
        <v>5.2581e-07</v>
      </c>
      <c r="L62" s="2">
        <f>IF(COUNT('Turns'!F138)=1,SUM('Turns'!F138),"Unknown")</f>
        <v>6e-07</v>
      </c>
      <c r="M62" s="2">
        <f>IF(COUNT('Turns'!D137)=1,SUM('Turns'!D137),"Unknown")</f>
        <v>3820.0</v>
      </c>
      <c r="N62" s="2">
        <f>IF(COUNT('Turns'!E137)=1,SUM('Turns'!E137),"Unknown")</f>
        <v>6.695314e-05</v>
      </c>
      <c r="O62" s="2">
        <f>IF(COUNT('Turns'!F137)=1,SUM('Turns'!F137),"Unknown")</f>
        <v>7.64e-05</v>
      </c>
      <c r="P62" s="2">
        <f>IF(COUNT('Turns'!D140)=1,SUM('Turns'!D140),"Unknown")</f>
        <v>148.0</v>
      </c>
      <c r="Q62" s="2">
        <f>IF(COUNT('Turns'!E140)=1,SUM('Turns'!E140),"Unknown")</f>
        <v>3.242495e-05</v>
      </c>
      <c r="R62" s="2">
        <f>IF(COUNT('Turns'!F140)=1,SUM('Turns'!F140),"Unknown")</f>
        <v>3.7e-05</v>
      </c>
      <c r="S62" s="2">
        <f>IF(COUNT('Turns'!D143)=1,SUM('Turns'!D143),"Unknown")</f>
        <v>16.0</v>
      </c>
      <c r="T62" s="2">
        <f>IF(COUNT('Turns'!E143)=1,SUM('Turns'!E143),"Unknown")</f>
        <v>1.682592e-05</v>
      </c>
      <c r="U62" s="2">
        <f>IF(COUNT('Turns'!F143)=1,SUM('Turns'!F143),"Unknown")</f>
        <v>1.92e-05</v>
      </c>
      <c r="V62" s="2">
        <v>0</v>
      </c>
      <c r="W62" s="2">
        <v>0</v>
      </c>
      <c r="X62" s="2">
        <v>0</v>
      </c>
      <c r="Y62" s="2">
        <f>IF(COUNT('Turns'!E147)=1,SUM('Turns'!E147),"Unknown")</f>
        <v>0.00011672982</v>
      </c>
      <c r="Z62" s="2">
        <f>IF(COUNT('Turns'!F147)=1,SUM('Turns'!F147),"Unknown")</f>
        <v>0.0001332</v>
      </c>
      <c r="AA62" s="5">
        <f>IF(ISNUMBER(Y62),ROUND(Y62*'Reference data'!$B$2,0),"Unknown")</f>
        <v>12.0</v>
      </c>
      <c r="AB62" s="5">
        <f>IF(ISNUMBER(Z62),ROUND(Z62*'Reference data'!$B$2,0),"Unknown")</f>
        <v>13.0</v>
      </c>
      <c r="AD62" s="1">
        <v>1336.344</v>
      </c>
      <c r="AE62" s="1" t="s">
        <v>169</v>
      </c>
    </row>
    <row r="63" spans="1:31" ht="54" customHeight="1">
      <c r="A63" s="6" t="s">
        <v>177</v>
      </c>
      <c r="B63" s="1">
        <v>2</v>
      </c>
      <c r="C63" s="1" t="s">
        <v>178</v>
      </c>
      <c r="D63" s="1" t="s">
        <v>95</v>
      </c>
      <c r="E63" s="1" t="s">
        <v>111</v>
      </c>
      <c r="F63" s="1">
        <v>3971</v>
      </c>
      <c r="G63" s="6" t="s">
        <v>179</v>
      </c>
      <c r="H63" t="s">
        <v>164</v>
      </c>
      <c r="I63" t="s">
        <v>231</v>
      </c>
      <c r="J63" s="2">
        <f>IF(COUNT('Turns'!D138)=1,SUM('Turns'!D138),"Unknown")</f>
        <v>3.0</v>
      </c>
      <c r="K63" s="2">
        <f>IF(COUNT('Turns'!E138)=1,SUM('Turns'!E138),"Unknown")</f>
        <v>5.2581e-07</v>
      </c>
      <c r="L63" s="2">
        <f>IF(COUNT('Turns'!F138)=1,SUM('Turns'!F138),"Unknown")</f>
        <v>6e-07</v>
      </c>
      <c r="M63" s="2">
        <f>IF(COUNT('Turns'!D137)=1,SUM('Turns'!D137),"Unknown")</f>
        <v>3820.0</v>
      </c>
      <c r="N63" s="2">
        <f>IF(COUNT('Turns'!E137)=1,SUM('Turns'!E137),"Unknown")</f>
        <v>6.695314e-05</v>
      </c>
      <c r="O63" s="2">
        <f>IF(COUNT('Turns'!F137)=1,SUM('Turns'!F137),"Unknown")</f>
        <v>7.64e-05</v>
      </c>
      <c r="P63" s="2">
        <f>IF(COUNT('Turns'!D140)=1,SUM('Turns'!D140),"Unknown")</f>
        <v>148.0</v>
      </c>
      <c r="Q63" s="2">
        <f>IF(COUNT('Turns'!E140)=1,SUM('Turns'!E140),"Unknown")</f>
        <v>3.242495e-05</v>
      </c>
      <c r="R63" s="2">
        <f>IF(COUNT('Turns'!F140)=1,SUM('Turns'!F140),"Unknown")</f>
        <v>3.7e-05</v>
      </c>
      <c r="S63" s="2">
        <f>IF(COUNT('Turns'!D143)=1,SUM('Turns'!D143),"Unknown")</f>
        <v>16.0</v>
      </c>
      <c r="T63" s="2">
        <f>IF(COUNT('Turns'!E143)=1,SUM('Turns'!E143),"Unknown")</f>
        <v>1.682592e-05</v>
      </c>
      <c r="U63" s="2">
        <f>IF(COUNT('Turns'!F143)=1,SUM('Turns'!F143),"Unknown")</f>
        <v>1.92e-05</v>
      </c>
      <c r="V63" s="2">
        <v>0</v>
      </c>
      <c r="W63" s="2">
        <v>0</v>
      </c>
      <c r="X63" s="2">
        <v>0</v>
      </c>
      <c r="Y63" s="2">
        <f>IF(COUNT('Turns'!E147)=1,SUM('Turns'!E147),"Unknown")</f>
        <v>0.00011672982</v>
      </c>
      <c r="Z63" s="2">
        <f>IF(COUNT('Turns'!F147)=1,SUM('Turns'!F147),"Unknown")</f>
        <v>0.0001332</v>
      </c>
      <c r="AA63" s="5">
        <f>IF(ISNUMBER(Y63),ROUND(Y63*'Reference data'!$B$2,0),"Unknown")</f>
        <v>12.0</v>
      </c>
      <c r="AB63" s="5">
        <f>IF(ISNUMBER(Z63),ROUND(Z63*'Reference data'!$B$2,0),"Unknown")</f>
        <v>13.0</v>
      </c>
      <c r="AC63" s="1" t="s">
        <v>163</v>
      </c>
      <c r="AD63" s="1">
        <v>1333.261</v>
      </c>
      <c r="AE63" s="1" t="s">
        <v>180</v>
      </c>
    </row>
    <row r="64" spans="1:31" ht="54" customHeight="1">
      <c r="A64" s="6" t="s">
        <v>181</v>
      </c>
      <c r="B64" s="1">
        <v>1</v>
      </c>
      <c r="C64" s="1" t="s">
        <v>167</v>
      </c>
      <c r="D64" s="1" t="s">
        <v>47</v>
      </c>
      <c r="E64" s="1" t="s">
        <v>111</v>
      </c>
      <c r="G64" s="6" t="s">
        <v>182</v>
      </c>
      <c r="H64" t="s">
        <v>232</v>
      </c>
      <c r="I64" t="s">
        <v>223</v>
      </c>
      <c r="AD64" s="1">
        <v>0.781</v>
      </c>
      <c r="AE64" s="1" t="s">
        <v>173</v>
      </c>
    </row>
  </sheetData>
  <conditionalFormatting sqref="A2:AE64">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2026-09-24T02:14:19Z</dcterms:created>
  <dcterms:modified xsi:type="dcterms:W3CDTF">2026-09-24T02:14:19Z</dcterms:modified>
</cp:coreProperties>
</file>
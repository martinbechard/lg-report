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df0f6496c44e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urns" sheetId="1" r:id="R114b1fa3986f47cc"/>
    <x:sheet xmlns:r="http://schemas.openxmlformats.org/officeDocument/2006/relationships" name="Execution tree" sheetId="2" r:id="R12d4822430a04058"/>
    <x:sheet xmlns:r="http://schemas.openxmlformats.org/officeDocument/2006/relationships" name="Reference data" sheetId="3" r:id="R5e45421b26f248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###############;-0.###############;0"/>
    <x:numFmt numFmtId="202" formatCode="yyyy-mm-dd"/>
    <x:numFmt numFmtId="203" formatCode="yyyy-mm-dd hh:mm:ss"/>
    <x:numFmt numFmtId="204" formatCode="0.00"/>
  </x:numFmts>
  <x:fonts count="5">
    <x:font>
      <x:sz val="11"/>
      <x:name val="Carlito"/>
    </x:font>
    <x:font>
      <x:sz val="10"/>
      <x:color rgb="FF193E42"/>
      <x:name val="Arial"/>
    </x:font>
    <x:font>
      <x:b/>
      <x:sz val="10"/>
      <x:color rgb="FFFFFFFF"/>
      <x:name val="Arial"/>
    </x:font>
    <x:font>
      <x:b/>
      <x:sz val="10"/>
      <x:color rgb="FF173B70"/>
      <x:name val="Arial"/>
    </x:font>
    <x:font>
      <x:b/>
      <x:sz val="10"/>
      <x:color rgb="FF193E42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73B70"/>
      </x:patternFill>
    </x:fill>
    <x:fill>
      <x:patternFill patternType="solid">
        <x:fgColor rgb="FFFFF1B8"/>
      </x:patternFill>
    </x:fill>
    <x:fill>
      <x:patternFill patternType="solid">
        <x:fgColor rgb="FFDBE5F1"/>
      </x:patternFill>
    </x:fill>
    <x:fill>
      <x:patternFill patternType="solid">
        <x:fgColor rgb="FFF0F5FC"/>
      </x:patternFill>
    </x:fill>
    <x:fill>
      <x:patternFill patternType="solid">
        <x:fgColor rgb="FFF4F4F4"/>
      </x:patternFill>
    </x:fill>
    <x:fill>
      <x:patternFill patternType="solid">
        <x:fgColor rgb="FFE8EEF7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4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/>
    </x:xf>
    <x:xf numFmtId="200" fontId="3" fillId="3" borderId="0" xfId="0" applyNumberFormat="1" applyFont="1" applyFill="1" applyBorder="1" applyAlignment="1">
      <x:alignment vertical="top"/>
    </x:xf>
    <x:xf numFmtId="201" fontId="1" fillId="0" borderId="0" xfId="0" applyNumberFormat="1" applyFont="1" applyFill="1" applyBorder="1" applyAlignment="1">
      <x:alignment vertical="top"/>
    </x:xf>
    <x:xf numFmtId="202" fontId="1" fillId="0" borderId="0" xfId="0" applyNumberFormat="1" applyFont="1" applyFill="1" applyBorder="1" applyAlignment="1">
      <x:alignment vertical="top"/>
    </x:xf>
    <x:xf numFmtId="203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203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/>
    </x:xf>
    <x:xf numFmtId="0" fontId="1" fillId="5" borderId="0" xfId="0" applyNumberFormat="1" applyFont="1" applyFill="1" applyBorder="1" applyAlignment="1">
      <x:alignment vertical="top"/>
    </x:xf>
    <x:xf numFmtId="0" fontId="3" fillId="5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/>
    </x:xf>
    <x:xf numFmtId="0" fontId="1" fillId="6" borderId="0" xfId="0" applyNumberFormat="1" applyFont="1" applyFill="1" applyBorder="1" applyAlignment="1">
      <x:alignment vertical="top"/>
    </x:xf>
    <x:xf numFmtId="0" fontId="4" fillId="6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201" fontId="3" fillId="4" borderId="0" xfId="0" applyNumberFormat="1" applyFont="1" applyFill="1" applyBorder="1" applyAlignment="1">
      <x:alignment vertical="top"/>
    </x:xf>
    <x:xf numFmtId="201" fontId="3" fillId="5" borderId="0" xfId="0" applyNumberFormat="1" applyFont="1" applyFill="1" applyBorder="1" applyAlignment="1">
      <x:alignment vertical="top"/>
    </x:xf>
    <x:xf numFmtId="201" fontId="4" fillId="6" borderId="0" xfId="0" applyNumberFormat="1" applyFont="1" applyFill="1" applyBorder="1" applyAlignment="1">
      <x:alignment vertical="top"/>
    </x:xf>
    <x:xf numFmtId="200" fontId="3" fillId="4" borderId="0" xfId="0" applyNumberFormat="1" applyFont="1" applyFill="1" applyBorder="1" applyAlignment="1">
      <x:alignment vertical="top"/>
    </x:xf>
    <x:xf numFmtId="200" fontId="3" fillId="5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/>
    </x:xf>
    <x:xf numFmtId="200" fontId="4" fillId="6" borderId="0" xfId="0" applyNumberFormat="1" applyFont="1" applyFill="1" applyBorder="1" applyAlignment="1">
      <x:alignment vertical="top"/>
    </x:xf>
    <x:xf numFmtId="0" fontId="1" fillId="7" borderId="0" xfId="0" applyNumberFormat="1" applyFont="1" applyFill="1" applyBorder="1" applyAlignment="1">
      <x:alignment vertical="top"/>
    </x:xf>
    <x:xf numFmtId="0" fontId="1" fillId="8" borderId="0" xfId="0" applyNumberFormat="1" applyFont="1" applyFill="1" applyBorder="1" applyAlignment="1">
      <x:alignment vertical="top"/>
    </x:xf>
    <x:xf numFmtId="200" fontId="1" fillId="7" borderId="0" xfId="0" applyNumberFormat="1" applyFont="1" applyFill="1" applyBorder="1" applyAlignment="1">
      <x:alignment vertical="top"/>
    </x:xf>
    <x:xf numFmtId="200" fontId="1" fillId="8" borderId="0" xfId="0" applyNumberFormat="1" applyFont="1" applyFill="1" applyBorder="1" applyAlignment="1">
      <x:alignment vertical="top"/>
    </x:xf>
    <x:xf numFmtId="200" fontId="1" fillId="5" borderId="0" xfId="0" applyNumberFormat="1" applyFont="1" applyFill="1" applyBorder="1" applyAlignment="1">
      <x:alignment vertical="top"/>
    </x:xf>
    <x:xf numFmtId="0" fontId="1" fillId="7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204" fontId="1" fillId="0" borderId="0" xfId="0" applyNumberFormat="1" applyFont="1" applyFill="1" applyBorder="1" applyAlignment="1">
      <x:alignment vertical="top"/>
    </x:xf>
  </x:cellXfs>
  <x:cellStyles count="1">
    <x:cellStyle name="Normal" xfId="0"/>
  </x:cellStyles>
  <x:dxfs count="4">
    <x:dxf>
      <x:font>
        <x:color rgb="FF8B1010"/>
      </x:font>
      <x:fill>
        <x:patternFill patternType="solid">
          <x:bgColor rgb="FFFFD3D3"/>
        </x:patternFill>
      </x:fill>
    </x:dxf>
    <x:dxf>
      <x:font>
        <x:color rgb="FF8B1010"/>
      </x:font>
      <x:fill>
        <x:patternFill patternType="solid">
          <x:bgColor rgb="FFFFD3D3"/>
        </x:patternFill>
      </x:fill>
    </x:dxf>
    <x:dxf>
      <x:font>
        <x:color rgb="FF8B1010"/>
      </x:font>
      <x:fill>
        <x:patternFill patternType="solid">
          <x:bgColor rgb="FFFFD3D3"/>
        </x:patternFill>
      </x:fill>
    </x:dxf>
    <x:dxf>
      <x:font>
        <x:color rgb="FF8B1010"/>
      </x:font>
      <x:fill>
        <x:patternFill patternType="solid">
          <x:bgColor rgb="FFFFD3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5e50b0d06c4a20" /><Relationship Type="http://schemas.openxmlformats.org/officeDocument/2006/relationships/theme" Target="/xl/theme/theme1.xml" Id="R72967c81cf464592" /><Relationship Type="http://schemas.openxmlformats.org/officeDocument/2006/relationships/sharedStrings" Target="/xl/sharedStrings.xml" Id="R87646693111f4cf5" /><Relationship Type="http://schemas.openxmlformats.org/officeDocument/2006/relationships/worksheet" Target="/xl/worksheets/sheet1.xml" Id="R114b1fa3986f47cc" /><Relationship Type="http://schemas.openxmlformats.org/officeDocument/2006/relationships/worksheet" Target="/xl/worksheets/sheet2.xml" Id="R12d4822430a04058" /><Relationship Type="http://schemas.openxmlformats.org/officeDocument/2006/relationships/worksheet" Target="/xl/worksheets/sheet3.xml" Id="R5e45421b26f248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B70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0" hidden="0" customWidth="1"/>
    <x:col min="2" max="2" width="10" hidden="0" customWidth="1"/>
    <x:col min="3" max="3" width="38" hidden="0" customWidth="1"/>
    <x:col min="4" max="4" width="14" hidden="0" customWidth="1"/>
    <x:col min="5" max="5" width="22" hidden="0" customWidth="1"/>
    <x:col min="6" max="6" width="22" hidden="0" customWidth="1"/>
    <x:col min="7" max="7" width="18" hidden="0" customWidth="1"/>
    <x:col min="8" max="8" width="18" hidden="0" customWidth="1"/>
    <x:col min="9" max="9" width="100" hidden="0" customWidth="1"/>
    <x:col min="10" max="10" width="26" hidden="0" customWidth="1"/>
    <x:col min="11" max="11" width="18" hidden="0" customWidth="1"/>
    <x:col min="12" max="12" width="18" hidden="0" customWidth="1"/>
    <x:col min="13" max="13" width="38" hidden="0" customWidth="1"/>
  </x:cols>
  <x:sheetData>
    <x:row r="1" ht="44" customHeight="1">
      <x:c r="A1" s="7" t="str">
        <x:v>Request</x:v>
      </x:c>
      <x:c r="B1" s="7" t="str">
        <x:v>Turn</x:v>
      </x:c>
      <x:c r="C1" s="7" t="str">
        <x:v>Sequence</x:v>
      </x:c>
      <x:c r="D1" s="7" t="str">
        <x:v>Tokens</x:v>
      </x:c>
      <x:c r="E1" s="7" t="str">
        <x:v>EUR / execution</x:v>
      </x:c>
      <x:c r="F1" s="7" t="str">
        <x:v>USD / execution</x:v>
      </x:c>
      <x:c r="G1" s="7" t="str">
        <x:v>Projected EUR</x:v>
      </x:c>
      <x:c r="H1" s="7" t="str">
        <x:v>Projected USD</x:v>
      </x:c>
      <x:c r="I1" s="7" t="str">
        <x:v>Content</x:v>
      </x:c>
      <x:c r="J1" s="7" t="str">
        <x:v>Model · effort</x:v>
      </x:c>
      <x:c r="K1" s="7" t="str">
        <x:v>Status</x:v>
      </x:c>
      <x:c r="L1" s="7" t="str">
        <x:v>Context total tokens</x:v>
      </x:c>
      <x:c r="M1" s="7" t="str">
        <x:v>Span ID</x:v>
      </x:c>
    </x:row>
    <x:row r="2" ht="24" customHeight="1">
      <x:c r="A2" s="19"/>
      <x:c r="B2" s="19"/>
      <x:c r="C2" s="19" t="str">
        <x:v>Run total</x:v>
      </x:c>
      <x:c r="D2" s="31"/>
      <x:c r="E2" s="28" t="n">
        <x:f>IF(COUNT(E17,E36,E51,E66,E82,E97)=6,SUM(E17,E36,E51,E66,E82,E97),"Unknown")</x:f>
        <x:v>0.00121622988</x:v>
      </x:c>
      <x:c r="F2" s="28" t="n">
        <x:f>IF(COUNT(F17,F36,F51,F66,F82,F97)=6,SUM(F17,F36,F51,F66,F82,F97),"Unknown")</x:f>
        <x:v>0.0013938</x:v>
      </x:c>
      <x:c r="G2" s="31" t="n">
        <x:f>IF(ISNUMBER(E2),ROUND(E2*'Reference data'!$B$2,0),"Unknown")</x:f>
        <x:v>122</x:v>
      </x:c>
      <x:c r="H2" s="31" t="n">
        <x:f>IF(ISNUMBER(F2),ROUND(F2*'Reference data'!$B$2,0),"Unknown")</x:f>
        <x:v>139</x:v>
      </x:c>
      <x:c r="I2" s="25"/>
      <x:c r="J2" s="19"/>
      <x:c r="K2" s="19"/>
      <x:c r="L2" s="31"/>
      <x:c r="M2" s="19"/>
    </x:row>
    <x:row r="3" ht="24" customHeight="1">
      <x:c r="A3" s="19"/>
      <x:c r="B3" s="19" t="n">
        <x:v>1</x:v>
      </x:c>
      <x:c r="C3" s="19" t="str">
        <x:v>Turn 1</x:v>
      </x:c>
      <x:c r="D3" s="31"/>
      <x:c r="E3" s="28" t="n">
        <x:f>IF(COUNT(E17,E36,E51,E66,E82,E97)=6,SUM(E17,E36,E51,E66,E82,E97),"Unknown")</x:f>
        <x:v>0.00121622988</x:v>
      </x:c>
      <x:c r="F3" s="28" t="n">
        <x:f>IF(COUNT(F17,F36,F51,F66,F82,F97)=6,SUM(F17,F36,F51,F66,F82,F97),"Unknown")</x:f>
        <x:v>0.0013938</x:v>
      </x:c>
      <x:c r="G3" s="31" t="n">
        <x:f>IF(ISNUMBER(E3),ROUND(E3*'Reference data'!$B$2,0),"Unknown")</x:f>
        <x:v>122</x:v>
      </x:c>
      <x:c r="H3" s="31" t="n">
        <x:f>IF(ISNUMBER(F3),ROUND(F3*'Reference data'!$B$2,0),"Unknown")</x:f>
        <x:v>139</x:v>
      </x:c>
      <x:c r="I3" s="25"/>
      <x:c r="J3" s="19"/>
      <x:c r="K3" s="19"/>
      <x:c r="L3" s="31"/>
      <x:c r="M3" s="19"/>
    </x:row>
    <x:row r="4" ht="24" customHeight="1">
      <x:c r="A4" s="21" t="str">
        <x:v>R1</x:v>
      </x:c>
      <x:c r="B4" s="21" t="n">
        <x:v>1</x:v>
      </x:c>
      <x:c r="C4" s="21" t="str">
        <x:v>LLM request</x:v>
      </x:c>
      <x:c r="D4" s="32" t="n">
        <x:v>278</x:v>
      </x:c>
      <x:c r="E4" s="29"/>
      <x:c r="F4" s="29"/>
      <x:c r="G4" s="32"/>
      <x:c r="H4" s="32"/>
      <x:c r="I4" s="26"/>
      <x:c r="J4" s="21" t="str">
        <x:v>gpt-5.6-luna</x:v>
      </x:c>
      <x:c r="K4" s="21"/>
      <x:c r="L4" s="32"/>
      <x:c r="M4" s="21" t="str">
        <x:v>01a0c410-e7cf-79a0-b847-f3bbbd51105b</x:v>
      </x:c>
    </x:row>
    <x:row r="5" ht="24" customHeight="1">
      <x:c r="A5" s="2" t="str">
        <x:v>R1</x:v>
      </x:c>
      <x:c r="B5" s="2" t="n">
        <x:v>1</x:v>
      </x:c>
      <x:c r="C5" s="22" t="str">
        <x:v>Fresh input</x:v>
      </x:c>
      <x:c r="D5" s="33" t="n">
        <x:v>278</x:v>
      </x:c>
      <x:c r="E5" s="11" t="n">
        <x:f>IF(AND(ISNUMBER(F5),ISNUMBER('Reference data'!$B$3)),F5*'Reference data'!$B$3,"Unknown")</x:f>
        <x:v>0.000048516560000000006</x:v>
      </x:c>
      <x:c r="F5" s="11" t="n">
        <x:f>IF(D5=0,0,IF(ISNUMBER('Reference data'!B17),D5*'Reference data'!B17/1000000,"Unknown"))</x:f>
        <x:v>0.0000556</x:v>
      </x:c>
      <x:c r="G5" s="33" t="n">
        <x:f>IF(ISNUMBER(E5),ROUND(E5*'Reference data'!$B$2,0),"Unknown")</x:f>
        <x:v>5</x:v>
      </x:c>
      <x:c r="H5" s="33" t="n">
        <x:f>IF(ISNUMBER(F5),ROUND(F5*'Reference data'!$B$2,0),"Unknown")</x:f>
        <x:v>6</x:v>
      </x:c>
      <x:c r="I5" s="14"/>
      <x:c r="J5" s="2"/>
      <x:c r="K5" s="2"/>
      <x:c r="L5" s="33"/>
      <x:c r="M5" s="2"/>
    </x:row>
    <x:row r="6" ht="24" customHeight="1">
      <x:c r="A6" s="2" t="str">
        <x:v>R1</x:v>
      </x:c>
      <x:c r="B6" s="2" t="n">
        <x:v>1</x:v>
      </x:c>
      <x:c r="C6" s="2" t="str">
        <x:v>    Tool definitions</x:v>
      </x:c>
      <x:c r="D6" s="33"/>
      <x:c r="E6" s="11"/>
      <x:c r="F6" s="11"/>
      <x:c r="G6" s="33"/>
      <x:c r="H6" s="33"/>
      <x:c r="I6" s="14"/>
      <x:c r="J6" s="2"/>
      <x:c r="K6" s="2"/>
      <x:c r="L6" s="33"/>
      <x:c r="M6" s="2"/>
    </x:row>
    <x:row r="7" ht="151" customHeight="1">
      <x:c r="A7" s="2" t="str">
        <x:v>R1</x:v>
      </x:c>
      <x:c r="B7" s="2" t="n">
        <x:v>1</x:v>
      </x:c>
      <x:c r="C7" s="2" t="str">
        <x:v>    System prompt</x:v>
      </x:c>
      <x:c r="D7" s="33"/>
      <x:c r="E7" s="11"/>
      <x:c r="F7" s="11"/>
      <x:c r="G7" s="33"/>
      <x:c r="H7" s="33"/>
      <x:c r="I7" s="14" t="str">
        <x:v>You edit a UTF-8 document according to the human's request.
Use read_file to inspect the source and target as needed. If the target exists,
preserve its current content unless the human requests replacement; otherwise
use the source as the starting document. Make each requested change separately,
with one write_file call at a time. Supply the complete resulting content and
the exact expected_content from the latest target observation (null if absent).
After each write outcome, read the target again before proposing the next change.
A rejected tool call did not execute: do not retry or reintroduce that change.
Report only changes confirmed by tool results. Tool execution policy is enforced
by the harness; do not ask for permission in prose or invent approval results.
</x:v>
      </x:c>
      <x:c r="J7" s="2"/>
      <x:c r="K7" s="2"/>
      <x:c r="L7" s="33"/>
      <x:c r="M7" s="2"/>
    </x:row>
    <x:row r="8" ht="34" customHeight="1">
      <x:c r="A8" s="2" t="str">
        <x:v>R1</x:v>
      </x:c>
      <x:c r="B8" s="2" t="n">
        <x:v>1</x:v>
      </x:c>
      <x:c r="C8" s="2" t="str">
        <x:v>    User prompt</x:v>
      </x:c>
      <x:c r="D8" s="33"/>
      <x:c r="E8" s="11"/>
      <x:c r="F8" s="11"/>
      <x:c r="G8" s="33"/>
      <x:c r="H8" s="33"/>
      <x:c r="I8" s="14" t="str">
        <x:v>Append each of these sentences as a separate change: ['\nReviewed by the project team.\n', 'Next step: request a quote.\n']</x:v>
      </x:c>
      <x:c r="J8" s="2"/>
      <x:c r="K8" s="2"/>
      <x:c r="L8" s="33"/>
      <x:c r="M8" s="2"/>
    </x:row>
    <x:row r="9" ht="24" customHeight="1">
      <x:c r="A9" s="2" t="str">
        <x:v>R1</x:v>
      </x:c>
      <x:c r="B9" s="2" t="n">
        <x:v>1</x:v>
      </x:c>
      <x:c r="C9" s="2" t="str">
        <x:v>Cache write</x:v>
      </x:c>
      <x:c r="D9" s="33"/>
      <x:c r="E9" s="11"/>
      <x:c r="F9" s="11"/>
      <x:c r="G9" s="33"/>
      <x:c r="H9" s="33"/>
      <x:c r="I9" s="14"/>
      <x:c r="J9" s="2"/>
      <x:c r="K9" s="2"/>
      <x:c r="L9" s="33"/>
      <x:c r="M9" s="2"/>
    </x:row>
    <x:row r="10" ht="24" customHeight="1">
      <x:c r="A10" s="2" t="str">
        <x:v>R1</x:v>
      </x:c>
      <x:c r="B10" s="2" t="n">
        <x:v>1</x:v>
      </x:c>
      <x:c r="C10" s="2" t="str">
        <x:v>Context · added / total</x:v>
      </x:c>
      <x:c r="D10" s="33"/>
      <x:c r="E10" s="11"/>
      <x:c r="F10" s="11"/>
      <x:c r="G10" s="33"/>
      <x:c r="H10" s="33"/>
      <x:c r="I10" s="14"/>
      <x:c r="J10" s="2"/>
      <x:c r="K10" s="2"/>
      <x:c r="L10" s="33"/>
      <x:c r="M10" s="2"/>
    </x:row>
    <x:row r="11" ht="24" customHeight="1">
      <x:c r="A11" s="21" t="str">
        <x:v>R1</x:v>
      </x:c>
      <x:c r="B11" s="21" t="n">
        <x:v>1</x:v>
      </x:c>
      <x:c r="C11" s="21" t="str">
        <x:v>LLM response</x:v>
      </x:c>
      <x:c r="D11" s="32" t="n">
        <x:v>68</x:v>
      </x:c>
      <x:c r="E11" s="29"/>
      <x:c r="F11" s="29"/>
      <x:c r="G11" s="32"/>
      <x:c r="H11" s="32"/>
      <x:c r="I11" s="26"/>
      <x:c r="J11" s="21"/>
      <x:c r="K11" s="21"/>
      <x:c r="L11" s="32"/>
      <x:c r="M11" s="21"/>
    </x:row>
    <x:row r="12" ht="24" customHeight="1">
      <x:c r="A12" s="2" t="str">
        <x:v>R1</x:v>
      </x:c>
      <x:c r="B12" s="2" t="n">
        <x:v>1</x:v>
      </x:c>
      <x:c r="C12" s="22" t="str">
        <x:v>Reasoning</x:v>
      </x:c>
      <x:c r="D12" s="33" t="n">
        <x:v>18</x:v>
      </x:c>
      <x:c r="E12" s="11" t="n">
        <x:f>IF(AND(ISNUMBER(F12),ISNUMBER('Reference data'!$B$3)),F12*'Reference data'!$B$3,"Unknown")</x:f>
        <x:v>0.000018848159999999997</x:v>
      </x:c>
      <x:c r="F12" s="11" t="n">
        <x:f>IF(D12=0,0,IF(ISNUMBER('Reference data'!F17),D12*'Reference data'!F17/1000000,"Unknown"))</x:f>
        <x:v>0.000021599999999999996</x:v>
      </x:c>
      <x:c r="G12" s="33" t="n">
        <x:f>IF(ISNUMBER(E12),ROUND(E12*'Reference data'!$B$2,0),"Unknown")</x:f>
        <x:v>2</x:v>
      </x:c>
      <x:c r="H12" s="33" t="n">
        <x:f>IF(ISNUMBER(F12),ROUND(F12*'Reference data'!$B$2,0),"Unknown")</x:f>
        <x:v>2</x:v>
      </x:c>
      <x:c r="I12" s="14"/>
      <x:c r="J12" s="2"/>
      <x:c r="K12" s="2"/>
      <x:c r="L12" s="33"/>
      <x:c r="M12" s="2"/>
    </x:row>
    <x:row r="13" ht="24" customHeight="1">
      <x:c r="A13" s="2" t="str">
        <x:v>R1</x:v>
      </x:c>
      <x:c r="B13" s="2" t="n">
        <x:v>1</x:v>
      </x:c>
      <x:c r="C13" s="22" t="str">
        <x:v>Output</x:v>
      </x:c>
      <x:c r="D13" s="33" t="n">
        <x:v>50</x:v>
      </x:c>
      <x:c r="E13" s="11" t="n">
        <x:f>IF(AND(ISNUMBER(F13),ISNUMBER('Reference data'!$B$3)),F13*'Reference data'!$B$3,"Unknown")</x:f>
        <x:v>0.000052356000000000005</x:v>
      </x:c>
      <x:c r="F13" s="11" t="n">
        <x:f>IF(D13=0,0,IF(ISNUMBER('Reference data'!E17),D13*'Reference data'!E17/1000000,"Unknown"))</x:f>
        <x:v>0.00006</x:v>
      </x:c>
      <x:c r="G13" s="33" t="n">
        <x:f>IF(ISNUMBER(E13),ROUND(E13*'Reference data'!$B$2,0),"Unknown")</x:f>
        <x:v>5</x:v>
      </x:c>
      <x:c r="H13" s="33" t="n">
        <x:f>IF(ISNUMBER(F13),ROUND(F13*'Reference data'!$B$2,0),"Unknown")</x:f>
        <x:v>6</x:v>
      </x:c>
      <x:c r="I13" s="14"/>
      <x:c r="J13" s="2"/>
      <x:c r="K13" s="2"/>
      <x:c r="L13" s="33"/>
      <x:c r="M13" s="2"/>
    </x:row>
    <x:row r="14" ht="346" customHeight="1">
      <x:c r="A14" s="2" t="str">
        <x:v>R1</x:v>
      </x:c>
      <x:c r="B14" s="2" t="n">
        <x:v>1</x:v>
      </x:c>
      <x:c r="C14" s="2" t="str">
        <x:v>    Output content</x:v>
      </x:c>
      <x:c r="D14" s="33"/>
      <x:c r="E14" s="11"/>
      <x:c r="F14" s="11"/>
      <x:c r="G14" s="33"/>
      <x:c r="H14" s="33"/>
      <x:c r="I14" s="14" t="str">
        <x:v>[{"id":"rs_02fbc37f694deedf006ab12b3e5c0087d2a8c743973bfa6c7c","summary":[],"type":"reasoning","content":[],"index":0,"encrypted_content":"gAAAAABqsSs_xMzyQt9KlDkEhoWJBLQGA_GYDBDRTAcApadSP8mlCE_QPmHwpjxiiP-t7rX6hLMTWK4DK3RrTp-8jmj0hHXHzAusJhwtQzimZuIRiR5MtLc7tsflc7LIasiDHKygOwadNYVR9FNciAlpp55L-M99HghSI7cOoc6Z4dcrIC6VUz_LtQNoMJJXs1mykTm9G29D4gRDycnANzyo6v6knSz1ffuOiT5zgRFjm7IQhOziZp11sxZZZQCeNKLsTvdbe60XdVOuEN2xUxkyQgx83xio-aqYDqHY2OuIPiR5fHp-bC5rmMxWY_OznYGEe7400QqcsjS5x5_4pzi4yJWQBsxwKm08EQaq3JYrrMDjb4pcBJ42v3WjYKr5-o3gbpXelNQByLNQWkPhnjSN7tJjWehzF3ncGO_RH0WUIacURTPopdEAw8H1HVvlvQHD9tc8XCzrerGoBisuq1Nmw3zcUQNvBBemtpUCVmo9kuKNd5eAFtXCX5jD7ce9keDUMxVSjUh8J6GXd9tI_HAWXPnGObYg1fm2zYBQMgUfS9Drn2cnb14ZA5k4TFXMLQ4kP6Y5c3PRBNxEZZ_iYgFDFGLTI46bEUKMiEPn7OrK9uqQtH4YBpkCT_cszs_aWtqBhy_BonrUcik4HP4CkPgo4JjjlcbwlHcie-6I2kQAVnk7dlVSlv-3wkMbpOAERNCFFfBYI537u5tWgzM0N6vnkOiyH_xibHu5NnZqajlO4tnDIaRdzJFW43rShnbjREgPM-yg81efcKI7tW6sxyj01jm9ypowidAwIR7MKR4eJe-H-n8LpcsmSvvMFfSvEjAfUtfQICdIFVZe1OJU02iJpoNFIRFwzfg-nOsyTHIh4j1I30ug2vqbx8MOosJtA2_mLC62-is-vzoyr-jGLDFefxFY4OmuPgz9nWdZt2h2F5XELSGQnkNKygtjo39OO9jPo3LhVQ0FX6Knlp0922tf-szQyOW5pkofWozLMwZyHIZjB2oifHTCdHnhoarclBVdkrizjcRE8DQ0WOaFCKVM7y6H7_s46Yyo_DCn86F3UkXOso_tQv6O9z-_z8A8QvNsuBrpmo_Xos69mJSuLRiDD5CGjvETlJH30Jnsc8BXWDTX_P4X5RAeww9C0HDIpFsmhqUiEUfbkE-pwJyLwqCIJ0Zye_BQ8hqo59cNuVbtBBcs3S89f-dTBvLZwZ5jEyabxeW75bxi4jGv1vYd6vhjAge8m5h1WsfUrb2s3ubnzL-qD3Bxs48NPBTZBCHRqOWr60dcjLpsWgu8Z9_GsucsglOmCj89cA=="},{"type":"function_call","name":"read_file","arguments":"{\"document\":\"source\"}","call_id":"call_2xQQVqFxMuOiXKFo6RVCHfqE","id":"fc_02fbc37f694deedf006ab12b3f16a087d2b0fd0aa7d0827d8f","index":1},{"type":"function_call","name":"read_file","arguments":"{\"document\":\"target\"}","call_id":"call_0olejKKvYpbXd44bId2wpd21","id":"fc_02fbc37f694deedf006ab12b3f16b087d2918b7c22735ab048","index":2}]
{"name":"read_file","args":{"document":"source"},"id":"call_2xQQVqFxMuOiXKFo6RVCHfqE","type":"tool_call"}
{"name":"read_file","args":{"document":"target"},"id":"call_0olejKKvYpbXd44bId2wpd21","type":"tool_call"}</x:v>
      </x:c>
      <x:c r="J14" s="2"/>
      <x:c r="K14" s="2"/>
      <x:c r="L14" s="33"/>
      <x:c r="M14" s="2"/>
    </x:row>
    <x:row r="15" ht="24" customHeight="1">
      <x:c r="A15" s="2" t="str">
        <x:v>R1</x:v>
      </x:c>
      <x:c r="B15" s="2" t="n">
        <x:v>1</x:v>
      </x:c>
      <x:c r="C15" s="2" t="str">
        <x:v>Cache write</x:v>
      </x:c>
      <x:c r="D15" s="33"/>
      <x:c r="E15" s="11"/>
      <x:c r="F15" s="11"/>
      <x:c r="G15" s="33"/>
      <x:c r="H15" s="33"/>
      <x:c r="I15" s="14"/>
      <x:c r="J15" s="2"/>
      <x:c r="K15" s="2"/>
      <x:c r="L15" s="33"/>
      <x:c r="M15" s="2"/>
    </x:row>
    <x:row r="16" ht="24" customHeight="1">
      <x:c r="A16" s="2" t="str">
        <x:v>R1</x:v>
      </x:c>
      <x:c r="B16" s="2" t="n">
        <x:v>1</x:v>
      </x:c>
      <x:c r="C16" s="2" t="str">
        <x:v>Context · added / total</x:v>
      </x:c>
      <x:c r="D16" s="33"/>
      <x:c r="E16" s="11"/>
      <x:c r="F16" s="11"/>
      <x:c r="G16" s="33"/>
      <x:c r="H16" s="33"/>
      <x:c r="I16" s="14"/>
      <x:c r="J16" s="2"/>
      <x:c r="K16" s="2"/>
      <x:c r="L16" s="33"/>
      <x:c r="M16" s="2"/>
    </x:row>
    <x:row r="17" ht="24" customHeight="1">
      <x:c r="A17" s="21" t="str">
        <x:v>R1</x:v>
      </x:c>
      <x:c r="B17" s="21" t="n">
        <x:v>1</x:v>
      </x:c>
      <x:c r="C17" s="21" t="str">
        <x:v>Call total</x:v>
      </x:c>
      <x:c r="D17" s="32"/>
      <x:c r="E17" s="29" t="n">
        <x:f>IF(COUNT(E5,E12,E13)=3,SUM(E5,E12,E13),"Unknown")</x:f>
        <x:v>0.00011972072000000002</x:v>
      </x:c>
      <x:c r="F17" s="29" t="n">
        <x:f>IF(COUNT(F5,F12,F13)=3,SUM(F5,F12,F13),"Unknown")</x:f>
        <x:v>0.0001372</x:v>
      </x:c>
      <x:c r="G17" s="32" t="n">
        <x:f>IF(ISNUMBER(E17),ROUND(E17*'Reference data'!$B$2,0),"Unknown")</x:f>
        <x:v>12</x:v>
      </x:c>
      <x:c r="H17" s="32" t="n">
        <x:f>IF(ISNUMBER(F17),ROUND(F17*'Reference data'!$B$2,0),"Unknown")</x:f>
        <x:v>14</x:v>
      </x:c>
      <x:c r="I17" s="26"/>
      <x:c r="J17" s="21"/>
      <x:c r="K17" s="21" t="str">
        <x:v>ok</x:v>
      </x:c>
      <x:c r="L17" s="32"/>
      <x:c r="M17" s="21"/>
    </x:row>
    <x:row r="18" ht="24" customHeight="1">
      <x:c r="A18" s="24"/>
      <x:c r="B18" s="24" t="n">
        <x:v>1</x:v>
      </x:c>
      <x:c r="C18" s="24" t="str">
        <x:v>Tool · read_file</x:v>
      </x:c>
      <x:c r="D18" s="34"/>
      <x:c r="E18" s="30"/>
      <x:c r="F18" s="30"/>
      <x:c r="G18" s="34"/>
      <x:c r="H18" s="34"/>
      <x:c r="I18" s="27"/>
      <x:c r="J18" s="24"/>
      <x:c r="K18" s="24" t="str">
        <x:v>ok</x:v>
      </x:c>
      <x:c r="L18" s="34"/>
      <x:c r="M18" s="24" t="str">
        <x:v>01a0c410-ef49-7fc0-a3af-53a49a4dc082</x:v>
      </x:c>
    </x:row>
    <x:row r="19" ht="24" customHeight="1">
      <x:c r="A19" s="2"/>
      <x:c r="B19" s="2" t="n">
        <x:v>1</x:v>
      </x:c>
      <x:c r="C19" s="2" t="str">
        <x:v>    Arguments</x:v>
      </x:c>
      <x:c r="D19" s="33"/>
      <x:c r="E19" s="11"/>
      <x:c r="F19" s="11"/>
      <x:c r="G19" s="33"/>
      <x:c r="H19" s="33"/>
      <x:c r="I19" s="14" t="str">
        <x:v>{'document': 'source'}</x:v>
      </x:c>
      <x:c r="J19" s="2"/>
      <x:c r="K19" s="2"/>
      <x:c r="L19" s="33"/>
      <x:c r="M19" s="2"/>
    </x:row>
    <x:row r="20" ht="34" customHeight="1">
      <x:c r="A20" s="2"/>
      <x:c r="B20" s="2" t="n">
        <x:v>1</x:v>
      </x:c>
      <x:c r="C20" s="2" t="str">
        <x:v>    Result</x:v>
      </x:c>
      <x:c r="D20" s="33"/>
      <x:c r="E20" s="11"/>
      <x:c r="F20" s="11"/>
      <x:c r="G20" s="33"/>
      <x:c r="H20" s="33"/>
      <x:c r="I20" s="14" t="str">
        <x:v>{"document": "source", "content": "Project summary\nWe prepare clear, practical reports.\n"}</x:v>
      </x:c>
      <x:c r="J20" s="2"/>
      <x:c r="K20" s="2"/>
      <x:c r="L20" s="33"/>
      <x:c r="M20" s="2"/>
    </x:row>
    <x:row r="21" ht="24" customHeight="1">
      <x:c r="A21" s="24"/>
      <x:c r="B21" s="24" t="n">
        <x:v>1</x:v>
      </x:c>
      <x:c r="C21" s="24" t="str">
        <x:v>Tool · read_file</x:v>
      </x:c>
      <x:c r="D21" s="34"/>
      <x:c r="E21" s="30"/>
      <x:c r="F21" s="30"/>
      <x:c r="G21" s="34"/>
      <x:c r="H21" s="34"/>
      <x:c r="I21" s="27"/>
      <x:c r="J21" s="24"/>
      <x:c r="K21" s="24" t="str">
        <x:v>ok</x:v>
      </x:c>
      <x:c r="L21" s="34"/>
      <x:c r="M21" s="24" t="str">
        <x:v>01a0c410-ef49-7fc0-a3af-53bd81fa3db2</x:v>
      </x:c>
    </x:row>
    <x:row r="22" ht="24" customHeight="1">
      <x:c r="A22" s="2"/>
      <x:c r="B22" s="2" t="n">
        <x:v>1</x:v>
      </x:c>
      <x:c r="C22" s="2" t="str">
        <x:v>    Arguments</x:v>
      </x:c>
      <x:c r="D22" s="33"/>
      <x:c r="E22" s="11"/>
      <x:c r="F22" s="11"/>
      <x:c r="G22" s="33"/>
      <x:c r="H22" s="33"/>
      <x:c r="I22" s="14" t="str">
        <x:v>{'document': 'target'}</x:v>
      </x:c>
      <x:c r="J22" s="2"/>
      <x:c r="K22" s="2"/>
      <x:c r="L22" s="33"/>
      <x:c r="M22" s="2"/>
    </x:row>
    <x:row r="23" ht="34" customHeight="1">
      <x:c r="A23" s="2"/>
      <x:c r="B23" s="2" t="n">
        <x:v>1</x:v>
      </x:c>
      <x:c r="C23" s="2" t="str">
        <x:v>    Result</x:v>
      </x:c>
      <x:c r="D23" s="33"/>
      <x:c r="E23" s="11"/>
      <x:c r="F23" s="11"/>
      <x:c r="G23" s="33"/>
      <x:c r="H23" s="33"/>
      <x:c r="I23" s="14" t="str">
        <x:v>{"document": "target", "content": "Project summary\nWe prepare clear, practical reports.\n\nReviewed by the project team.\nNext step: request a quote.\n"}</x:v>
      </x:c>
      <x:c r="J23" s="2"/>
      <x:c r="K23" s="2"/>
      <x:c r="L23" s="33"/>
      <x:c r="M23" s="2"/>
    </x:row>
    <x:row r="24" ht="24" customHeight="1">
      <x:c r="A24" s="21" t="str">
        <x:v>R2</x:v>
      </x:c>
      <x:c r="B24" s="21" t="n">
        <x:v>1</x:v>
      </x:c>
      <x:c r="C24" s="21" t="str">
        <x:v>LLM request</x:v>
      </x:c>
      <x:c r="D24" s="32" t="n">
        <x:v>426</x:v>
      </x:c>
      <x:c r="E24" s="29"/>
      <x:c r="F24" s="29"/>
      <x:c r="G24" s="32"/>
      <x:c r="H24" s="32"/>
      <x:c r="I24" s="26"/>
      <x:c r="J24" s="21" t="str">
        <x:v>gpt-5.6-luna</x:v>
      </x:c>
      <x:c r="K24" s="21"/>
      <x:c r="L24" s="32"/>
      <x:c r="M24" s="21" t="str">
        <x:v>01a0c410-ef50-71a0-ac90-e25553a03c16</x:v>
      </x:c>
    </x:row>
    <x:row r="25" ht="24" customHeight="1">
      <x:c r="A25" s="2" t="str">
        <x:v>R2</x:v>
      </x:c>
      <x:c r="B25" s="2" t="n">
        <x:v>1</x:v>
      </x:c>
      <x:c r="C25" s="22" t="str">
        <x:v>Conversation history · cache read</x:v>
      </x:c>
      <x:c r="D25" s="33" t="n">
        <x:v>0</x:v>
      </x:c>
      <x:c r="E25" s="11" t="n">
        <x:f>IF(AND(ISNUMBER(F25),ISNUMBER('Reference data'!$B$3)),F25*'Reference data'!$B$3,"Unknown")</x:f>
        <x:v>0</x:v>
      </x:c>
      <x:c r="F25" s="11" t="n">
        <x:f>IF(D25=0,0,IF(ISNUMBER('Reference data'!C17),D25*'Reference data'!C17/1000000,"Unknown"))</x:f>
        <x:v>0</x:v>
      </x:c>
      <x:c r="G25" s="33" t="n">
        <x:f>IF(ISNUMBER(E25),ROUND(E25*'Reference data'!$B$2,0),"Unknown")</x:f>
        <x:v>0</x:v>
      </x:c>
      <x:c r="H25" s="33" t="n">
        <x:f>IF(ISNUMBER(F25),ROUND(F25*'Reference data'!$B$2,0),"Unknown")</x:f>
        <x:v>0</x:v>
      </x:c>
      <x:c r="I25" s="14"/>
      <x:c r="J25" s="2"/>
      <x:c r="K25" s="2"/>
      <x:c r="L25" s="33"/>
      <x:c r="M25" s="2"/>
    </x:row>
    <x:row r="26" ht="24" customHeight="1">
      <x:c r="A26" s="2" t="str">
        <x:v>R2</x:v>
      </x:c>
      <x:c r="B26" s="2" t="n">
        <x:v>1</x:v>
      </x:c>
      <x:c r="C26" s="22" t="str">
        <x:v>Fresh input</x:v>
      </x:c>
      <x:c r="D26" s="33" t="n">
        <x:v>426</x:v>
      </x:c>
      <x:c r="E26" s="11" t="n">
        <x:f>IF(AND(ISNUMBER(F26),ISNUMBER('Reference data'!$B$3)),F26*'Reference data'!$B$3,"Unknown")</x:f>
        <x:v>0.00007434552</x:v>
      </x:c>
      <x:c r="F26" s="11" t="n">
        <x:f>IF(D26=0,0,IF(ISNUMBER('Reference data'!B17),D26*'Reference data'!B17/1000000,"Unknown"))</x:f>
        <x:v>0.0000852</x:v>
      </x:c>
      <x:c r="G26" s="33" t="n">
        <x:f>IF(ISNUMBER(E26),ROUND(E26*'Reference data'!$B$2,0),"Unknown")</x:f>
        <x:v>7</x:v>
      </x:c>
      <x:c r="H26" s="33" t="n">
        <x:f>IF(ISNUMBER(F26),ROUND(F26*'Reference data'!$B$2,0),"Unknown")</x:f>
        <x:v>9</x:v>
      </x:c>
      <x:c r="I26" s="14"/>
      <x:c r="J26" s="2"/>
      <x:c r="K26" s="2"/>
      <x:c r="L26" s="33"/>
      <x:c r="M26" s="2"/>
    </x:row>
    <x:row r="27" ht="60" customHeight="1">
      <x:c r="A27" s="2" t="str">
        <x:v>R2</x:v>
      </x:c>
      <x:c r="B27" s="2" t="n">
        <x:v>1</x:v>
      </x:c>
      <x:c r="C27" s="2" t="str">
        <x:v>    Tool result</x:v>
      </x:c>
      <x:c r="D27" s="33"/>
      <x:c r="E27" s="11"/>
      <x:c r="F27" s="11"/>
      <x:c r="G27" s="33"/>
      <x:c r="H27" s="33"/>
      <x:c r="I27" s="14" t="str">
        <x:v>{"document": "source", "content": "Project summary\nWe prepare clear, practical reports.\n"}
{"document": "target", "content": "Project summary\nWe prepare clear, practical reports.\n\nReviewed by the project team.\nNext step: request a quote.\n"}</x:v>
      </x:c>
      <x:c r="J27" s="2"/>
      <x:c r="K27" s="2"/>
      <x:c r="L27" s="33"/>
      <x:c r="M27" s="2"/>
    </x:row>
    <x:row r="28" ht="24" customHeight="1">
      <x:c r="A28" s="2" t="str">
        <x:v>R2</x:v>
      </x:c>
      <x:c r="B28" s="2" t="n">
        <x:v>1</x:v>
      </x:c>
      <x:c r="C28" s="2" t="str">
        <x:v>Cache write</x:v>
      </x:c>
      <x:c r="D28" s="33"/>
      <x:c r="E28" s="11"/>
      <x:c r="F28" s="11"/>
      <x:c r="G28" s="33"/>
      <x:c r="H28" s="33"/>
      <x:c r="I28" s="14"/>
      <x:c r="J28" s="2"/>
      <x:c r="K28" s="2"/>
      <x:c r="L28" s="33"/>
      <x:c r="M28" s="2"/>
    </x:row>
    <x:row r="29" ht="24" customHeight="1">
      <x:c r="A29" s="2" t="str">
        <x:v>R2</x:v>
      </x:c>
      <x:c r="B29" s="2" t="n">
        <x:v>1</x:v>
      </x:c>
      <x:c r="C29" s="2" t="str">
        <x:v>Context · added / total</x:v>
      </x:c>
      <x:c r="D29" s="33"/>
      <x:c r="E29" s="11"/>
      <x:c r="F29" s="11"/>
      <x:c r="G29" s="33"/>
      <x:c r="H29" s="33"/>
      <x:c r="I29" s="14"/>
      <x:c r="J29" s="2"/>
      <x:c r="K29" s="2"/>
      <x:c r="L29" s="33"/>
      <x:c r="M29" s="2"/>
    </x:row>
    <x:row r="30" ht="24" customHeight="1">
      <x:c r="A30" s="21" t="str">
        <x:v>R2</x:v>
      </x:c>
      <x:c r="B30" s="21" t="n">
        <x:v>1</x:v>
      </x:c>
      <x:c r="C30" s="21" t="str">
        <x:v>LLM response</x:v>
      </x:c>
      <x:c r="D30" s="32" t="n">
        <x:v>234</x:v>
      </x:c>
      <x:c r="E30" s="29"/>
      <x:c r="F30" s="29"/>
      <x:c r="G30" s="32"/>
      <x:c r="H30" s="32"/>
      <x:c r="I30" s="26"/>
      <x:c r="J30" s="21"/>
      <x:c r="K30" s="21"/>
      <x:c r="L30" s="32"/>
      <x:c r="M30" s="21"/>
    </x:row>
    <x:row r="31" ht="24" customHeight="1">
      <x:c r="A31" s="2" t="str">
        <x:v>R2</x:v>
      </x:c>
      <x:c r="B31" s="2" t="n">
        <x:v>1</x:v>
      </x:c>
      <x:c r="C31" s="22" t="str">
        <x:v>Reasoning</x:v>
      </x:c>
      <x:c r="D31" s="33" t="n">
        <x:v>149</x:v>
      </x:c>
      <x:c r="E31" s="11" t="n">
        <x:f>IF(AND(ISNUMBER(F31),ISNUMBER('Reference data'!$B$3)),F31*'Reference data'!$B$3,"Unknown")</x:f>
        <x:v>0.00015602088</x:v>
      </x:c>
      <x:c r="F31" s="11" t="n">
        <x:f>IF(D31=0,0,IF(ISNUMBER('Reference data'!F17),D31*'Reference data'!F17/1000000,"Unknown"))</x:f>
        <x:v>0.00017879999999999998</x:v>
      </x:c>
      <x:c r="G31" s="33" t="n">
        <x:f>IF(ISNUMBER(E31),ROUND(E31*'Reference data'!$B$2,0),"Unknown")</x:f>
        <x:v>16</x:v>
      </x:c>
      <x:c r="H31" s="33" t="n">
        <x:f>IF(ISNUMBER(F31),ROUND(F31*'Reference data'!$B$2,0),"Unknown")</x:f>
        <x:v>18</x:v>
      </x:c>
      <x:c r="I31" s="14"/>
      <x:c r="J31" s="2"/>
      <x:c r="K31" s="2"/>
      <x:c r="L31" s="33"/>
      <x:c r="M31" s="2"/>
    </x:row>
    <x:row r="32" ht="24" customHeight="1">
      <x:c r="A32" s="2" t="str">
        <x:v>R2</x:v>
      </x:c>
      <x:c r="B32" s="2" t="n">
        <x:v>1</x:v>
      </x:c>
      <x:c r="C32" s="22" t="str">
        <x:v>Output</x:v>
      </x:c>
      <x:c r="D32" s="33" t="n">
        <x:v>85</x:v>
      </x:c>
      <x:c r="E32" s="11" t="n">
        <x:f>IF(AND(ISNUMBER(F32),ISNUMBER('Reference data'!$B$3)),F32*'Reference data'!$B$3,"Unknown")</x:f>
        <x:v>0.0000890052</x:v>
      </x:c>
      <x:c r="F32" s="11" t="n">
        <x:f>IF(D32=0,0,IF(ISNUMBER('Reference data'!E17),D32*'Reference data'!E17/1000000,"Unknown"))</x:f>
        <x:v>0.000102</x:v>
      </x:c>
      <x:c r="G32" s="33" t="n">
        <x:f>IF(ISNUMBER(E32),ROUND(E32*'Reference data'!$B$2,0),"Unknown")</x:f>
        <x:v>9</x:v>
      </x:c>
      <x:c r="H32" s="33" t="n">
        <x:f>IF(ISNUMBER(F32),ROUND(F32*'Reference data'!$B$2,0),"Unknown")</x:f>
        <x:v>10</x:v>
      </x:c>
      <x:c r="I32" s="14"/>
      <x:c r="J32" s="2"/>
      <x:c r="K32" s="2"/>
      <x:c r="L32" s="33"/>
      <x:c r="M32" s="2"/>
    </x:row>
    <x:row r="33" ht="515" customHeight="1">
      <x:c r="A33" s="2" t="str">
        <x:v>R2</x:v>
      </x:c>
      <x:c r="B33" s="2" t="n">
        <x:v>1</x:v>
      </x:c>
      <x:c r="C33" s="2" t="str">
        <x:v>    Output content</x:v>
      </x:c>
      <x:c r="D33" s="33"/>
      <x:c r="E33" s="11"/>
      <x:c r="F33" s="11"/>
      <x:c r="G33" s="33"/>
      <x:c r="H33" s="33"/>
      <x:c r="I33" s="14" t="str">
        <x:v>[{"id":"rs_02fbc37f694deedf006ab12b3ff68c87d286f814f79cc66ac1","summary":[],"type":"reasoning","content":[],"index":0,"encrypted_content":"gAAAAABqsStCwVlTU43bn9EXQxRsg6flyxywqbltXLzY3Z9uNXpr_DBBA0Z1TbC8HKCRdUJyhYvHo8XVaRoziIPKwp7VACGjf9VsA7194HPHc1FJP9ya58YxzGuS86xsm4LLixzpwL4bAwIXvOv9-g6CW2C5G-LRK9Y_AuFL7C7YGDHCHB_jjlQR-mEV5PFQ_Gp3wBVQoNlPcHnFNBaqXYbfC52RxyaxMqIkooIgXaOztYvgqSc-IWfe_uMfcI4NOPgMLTX6htoV2w4J5UuzJPwA2rTfDEQN_gz0J_li1aq6B_aXbjzV1CjzTFko4Y9jBbB96PPC_G9_7YM0Tl_WD0uvgvnYsCQAjHMUmIgjjKwS7kpn4trP3ErGh4OebwpdTJ9yaZy-5anAZxmhg0H9mTQzzCM-sXL5Xz19nYurrtLzdVhFJ1miYVw3q1DCeWXGm5idd1oKI0EWHsrfjELBRNkzwh5pf6v7xRdOR3VctIC__MNDxxStnz4yGNrxkmjJY1ht8CQhNbaLJTlMxT1WxGhtTbH-fKxTVwhYcWymN2mMF2MmHxseTpKMyyogdkzPi8R0HMSBIvlQH3V7w65ShCfF5KOO1QbmH1iuswm6pkCQQRjPLA6dvlhYPm0tNK5YdvtE5JPYMHHTlzSaO0pskhaQHYyxLipMsDqDAIl-ZwozUQw3iV7vnTMl4_vqjAG5i4aLNLu7zTEgxBVSqqBE0t0_Ba4p2KXaMr4rC67Wc_WsDqE8oIxFrZYQ5GzNGMmy4eCJLaZ4XmHURsU2_bJsQromvC2B4v5jzTkJcre7Xl_OtMVbuo9kVv5qgXyT-aEHkfFdFdog80IQX8HWGGLemxusXj1_4OlTXa9LvIGHKLbY1qKA5Sz6EYJWKmMDdm3_izkT-8iBiM968yprNwi4b5079QxQCqMUiikt8zBS8GhSYOmd121DGIHopxEaKi_e_kd5tLLAf45APcB05oiZRgfIyx7lnP8BUpOuo73in4Zv7I0rdWYzAPvNR2aA0siPhJgsIwLkyxrO_AhsmaYrLPCecyaIXXhRg7-7Gp7kwnJOZYF2aPnISc8sIHz3PtccEqfwBMKxC-PPfHBkWaG_BLFN_SsTaqPGX5W3NeygjAnB4Ib-TF2ydmQ1DAnudvQW4LUwWBNYUZr2blHLjs03HxyDU4hJYjOHOfTox3NR5E_vMHZFPEyBdnj1s-Ro2F4UXQtLtJGo2yFRY2dBfR3OjMkd8cVHMQaSRxV_GcQiTsO3wgnOLLt1TMVcmalh8JW2QBE6eYR1UELRXrsU6GF7YmhCm_h32NPjcdEHjWe6MLX_6Y8vkypwqbG4mbyn-xb2R8sODXSKcEY9NNFKYfAsS7ZAd1hsLOS6p1Ylr9M6r3JrJ6jmpmgJ2CSKQuRRoPe6pntMZR2VbheGE0acl9WnkhhIWYHFQVj1EDQDxNiDBChjT9ekc1FwCb1HBk6syYkmZH26ITDEciCVsbw05HUve8pza5dmHNnFn4eCvgNKfWJkSfuGl2fc1uKG-HK1CkqzvayrE80XTRVpyHsfrqWD9fMnJhr7C-Q9vRq5t9J91HO3jRxUyg5jOpW0yZ2cAbprEANh0HtPpYoGou72k29Vk-IotTgGbGq0b4RLvTb8UEosj7XwDuuwIXTZq7SkxEwbrJceEyFTZ8gAiq-N07-LuTGkhSLZ-b2HdfvoEiGA_OH4PhjC6qUUzvz4PuZ4jFIyoYQr3wltDawW6YPqY4wjPTUfeW59MjXokY-SLdHZxr-Xi5Bpto7tH7TZr30pNlGzVqD17TWlQuw0XKl8ZIczzlT0l64uAVobWo5BHjtFXovFN-PufOWkDbgkxGHP57alDzVcwTTF3v-pj8FGRCr50aLmZtIe43hE3KGnSJJZMY3BgdVliZTih6HZ3f4zJawmBVNvBtUf4H6lskHsLYvfFi5eTJRJXw3q4rALqc2j0CK37NgMR2k6xR8APvRNDwLVbD7ttU4LjSfrVMFmZRxZ1ZnlNEkNda9Z6hFBloSGquAL9l4K8TMW2gua61okz3AbOHD_TPcQTfXqqUkN2_bf_ONnq9uyxyLKFTlfbb2zOnGEIcqyN0AHeQKZjPFOCFsYNdaG-zgblT-wqG-hgwNxza3JNjkn93yDptjRMk1lsFBZeWEia0-2drOVjTqivvwIyW8obDx3cVztruyAbjb-zUJpzjWMiK73mqSi7qHcwNuCV-QTiEVcEZcWpxvcpSBT__8CZLNf73pnOMfem4aU5je-x_JdP8neKg=="},{"type":"function_call","name":"write_file","arguments":"{\"content\":\"Project summary\\nWe prepare clear, practical reports.\\n\\nReviewed by the project team.\\nNext step: request a quote.\\n\\nReviewed by the project team.\\n\",\"expected_content\":\"Project summary\\nWe prepare clear, practical reports.\\n\\nReviewed by the project team.\\nNext step: request a quote.\\n\"}","call_id":"call_CUFJwnPL2YbjDDkhIdyXBdh5","id":"fc_02fbc37f694deedf006ab12b42435087d29ecdf7871d8f0355","index":1}]
{"name":"write_file","args":{"content":"Project summary\nWe prepare clear, practical reports.\n\nReviewed by the project team.\nNext step: request a quote.\n\nReviewed by the project team.\n","expected_content":"Project summary\nWe prepare clear, practical reports.\n\nReviewed by the project team.\nNext step: request a quote.\n"},"id":"call_CUFJwnPL2YbjDDkhIdyXBdh5","type":"tool_call"}</x:v>
      </x:c>
      <x:c r="J33" s="2"/>
      <x:c r="K33" s="2"/>
      <x:c r="L33" s="33"/>
      <x:c r="M33" s="2"/>
    </x:row>
    <x:row r="34" ht="24" customHeight="1">
      <x:c r="A34" s="2" t="str">
        <x:v>R2</x:v>
      </x:c>
      <x:c r="B34" s="2" t="n">
        <x:v>1</x:v>
      </x:c>
      <x:c r="C34" s="2" t="str">
        <x:v>Cache write</x:v>
      </x:c>
      <x:c r="D34" s="33"/>
      <x:c r="E34" s="11"/>
      <x:c r="F34" s="11"/>
      <x:c r="G34" s="33"/>
      <x:c r="H34" s="33"/>
      <x:c r="I34" s="14"/>
      <x:c r="J34" s="2"/>
      <x:c r="K34" s="2"/>
      <x:c r="L34" s="33"/>
      <x:c r="M34" s="2"/>
    </x:row>
    <x:row r="35" ht="24" customHeight="1">
      <x:c r="A35" s="2" t="str">
        <x:v>R2</x:v>
      </x:c>
      <x:c r="B35" s="2" t="n">
        <x:v>1</x:v>
      </x:c>
      <x:c r="C35" s="2" t="str">
        <x:v>Context · added / total</x:v>
      </x:c>
      <x:c r="D35" s="33"/>
      <x:c r="E35" s="11"/>
      <x:c r="F35" s="11"/>
      <x:c r="G35" s="33"/>
      <x:c r="H35" s="33"/>
      <x:c r="I35" s="14"/>
      <x:c r="J35" s="2"/>
      <x:c r="K35" s="2"/>
      <x:c r="L35" s="33"/>
      <x:c r="M35" s="2"/>
    </x:row>
    <x:row r="36" ht="24" customHeight="1">
      <x:c r="A36" s="21" t="str">
        <x:v>R2</x:v>
      </x:c>
      <x:c r="B36" s="21" t="n">
        <x:v>1</x:v>
      </x:c>
      <x:c r="C36" s="21" t="str">
        <x:v>Call total</x:v>
      </x:c>
      <x:c r="D36" s="32"/>
      <x:c r="E36" s="29" t="n">
        <x:f>IF(COUNT(E25,E26,E31,E32)=4,SUM(E25,E26,E31,E32),"Unknown")</x:f>
        <x:v>0.00031937160000000003</x:v>
      </x:c>
      <x:c r="F36" s="29" t="n">
        <x:f>IF(COUNT(F25,F26,F31,F32)=4,SUM(F25,F26,F31,F32),"Unknown")</x:f>
        <x:v>0.00036599999999999995</x:v>
      </x:c>
      <x:c r="G36" s="32" t="n">
        <x:f>IF(ISNUMBER(E36),ROUND(E36*'Reference data'!$B$2,0),"Unknown")</x:f>
        <x:v>32</x:v>
      </x:c>
      <x:c r="H36" s="32" t="n">
        <x:f>IF(ISNUMBER(F36),ROUND(F36*'Reference data'!$B$2,0),"Unknown")</x:f>
        <x:v>37</x:v>
      </x:c>
      <x:c r="I36" s="26"/>
      <x:c r="J36" s="21"/>
      <x:c r="K36" s="21" t="str">
        <x:v>ok</x:v>
      </x:c>
      <x:c r="L36" s="32"/>
      <x:c r="M36" s="21"/>
    </x:row>
    <x:row r="37" ht="24" customHeight="1">
      <x:c r="A37" s="24"/>
      <x:c r="B37" s="24" t="n">
        <x:v>1</x:v>
      </x:c>
      <x:c r="C37" s="24" t="str">
        <x:v>Tool · write_file</x:v>
      </x:c>
      <x:c r="D37" s="34"/>
      <x:c r="E37" s="30"/>
      <x:c r="F37" s="30"/>
      <x:c r="G37" s="34"/>
      <x:c r="H37" s="34"/>
      <x:c r="I37" s="27"/>
      <x:c r="J37" s="24"/>
      <x:c r="K37" s="24" t="str">
        <x:v>ok</x:v>
      </x:c>
      <x:c r="L37" s="34"/>
      <x:c r="M37" s="24" t="str">
        <x:v>01a0c410-fe3b-7ac3-b17f-381abf6998e8</x:v>
      </x:c>
    </x:row>
    <x:row r="38" ht="60" customHeight="1">
      <x:c r="A38" s="2"/>
      <x:c r="B38" s="2" t="n">
        <x:v>1</x:v>
      </x:c>
      <x:c r="C38" s="2" t="str">
        <x:v>    Arguments</x:v>
      </x:c>
      <x:c r="D38" s="33"/>
      <x:c r="E38" s="11"/>
      <x:c r="F38" s="11"/>
      <x:c r="G38" s="33"/>
      <x:c r="H38" s="33"/>
      <x:c r="I38" s="14" t="str">
        <x:v>{'content': 'Project summary\nWe prepare clear, practical reports.\n\nReviewed by the project team.\nNext step: request a quote.\n\nReviewed by the project team.\n', 'expected_content': 'Project summary\nWe prepare clear, practical reports.\n\nReviewed by the project team.\nNext step: request a quote.\n'}</x:v>
      </x:c>
      <x:c r="J38" s="2"/>
      <x:c r="K38" s="2"/>
      <x:c r="L38" s="33"/>
      <x:c r="M38" s="2"/>
    </x:row>
    <x:row r="39" ht="24" customHeight="1">
      <x:c r="A39" s="2"/>
      <x:c r="B39" s="2" t="n">
        <x:v>1</x:v>
      </x:c>
      <x:c r="C39" s="2" t="str">
        <x:v>    Result</x:v>
      </x:c>
      <x:c r="D39" s="33"/>
      <x:c r="E39" s="11"/>
      <x:c r="F39" s="11"/>
      <x:c r="G39" s="33"/>
      <x:c r="H39" s="33"/>
      <x:c r="I39" s="14" t="str">
        <x:v>Target written successfully.</x:v>
      </x:c>
      <x:c r="J39" s="2"/>
      <x:c r="K39" s="2"/>
      <x:c r="L39" s="33"/>
      <x:c r="M39" s="2"/>
    </x:row>
    <x:row r="40" ht="24" customHeight="1">
      <x:c r="A40" s="21" t="str">
        <x:v>R3</x:v>
      </x:c>
      <x:c r="B40" s="21" t="n">
        <x:v>1</x:v>
      </x:c>
      <x:c r="C40" s="21" t="str">
        <x:v>LLM request</x:v>
      </x:c>
      <x:c r="D40" s="32" t="n">
        <x:v>675</x:v>
      </x:c>
      <x:c r="E40" s="29"/>
      <x:c r="F40" s="29"/>
      <x:c r="G40" s="32"/>
      <x:c r="H40" s="32"/>
      <x:c r="I40" s="26"/>
      <x:c r="J40" s="21" t="str">
        <x:v>gpt-5.6-luna</x:v>
      </x:c>
      <x:c r="K40" s="21"/>
      <x:c r="L40" s="32"/>
      <x:c r="M40" s="21" t="str">
        <x:v>01a0c410-fe3f-7673-9f4f-7bcefe0a912f</x:v>
      </x:c>
    </x:row>
    <x:row r="41" ht="24" customHeight="1">
      <x:c r="A41" s="2" t="str">
        <x:v>R3</x:v>
      </x:c>
      <x:c r="B41" s="2" t="n">
        <x:v>1</x:v>
      </x:c>
      <x:c r="C41" s="22" t="str">
        <x:v>Conversation history · cache read</x:v>
      </x:c>
      <x:c r="D41" s="33" t="n">
        <x:v>0</x:v>
      </x:c>
      <x:c r="E41" s="11" t="n">
        <x:f>IF(AND(ISNUMBER(F41),ISNUMBER('Reference data'!$B$3)),F41*'Reference data'!$B$3,"Unknown")</x:f>
        <x:v>0</x:v>
      </x:c>
      <x:c r="F41" s="11" t="n">
        <x:f>IF(D41=0,0,IF(ISNUMBER('Reference data'!C17),D41*'Reference data'!C17/1000000,"Unknown"))</x:f>
        <x:v>0</x:v>
      </x:c>
      <x:c r="G41" s="33" t="n">
        <x:f>IF(ISNUMBER(E41),ROUND(E41*'Reference data'!$B$2,0),"Unknown")</x:f>
        <x:v>0</x:v>
      </x:c>
      <x:c r="H41" s="33" t="n">
        <x:f>IF(ISNUMBER(F41),ROUND(F41*'Reference data'!$B$2,0),"Unknown")</x:f>
        <x:v>0</x:v>
      </x:c>
      <x:c r="I41" s="14"/>
      <x:c r="J41" s="2"/>
      <x:c r="K41" s="2"/>
      <x:c r="L41" s="33"/>
      <x:c r="M41" s="2"/>
    </x:row>
    <x:row r="42" ht="24" customHeight="1">
      <x:c r="A42" s="2" t="str">
        <x:v>R3</x:v>
      </x:c>
      <x:c r="B42" s="2" t="n">
        <x:v>1</x:v>
      </x:c>
      <x:c r="C42" s="22" t="str">
        <x:v>Fresh input</x:v>
      </x:c>
      <x:c r="D42" s="33" t="n">
        <x:v>675</x:v>
      </x:c>
      <x:c r="E42" s="11" t="n">
        <x:f>IF(AND(ISNUMBER(F42),ISNUMBER('Reference data'!$B$3)),F42*'Reference data'!$B$3,"Unknown")</x:f>
        <x:v>0.000117801</x:v>
      </x:c>
      <x:c r="F42" s="11" t="n">
        <x:f>IF(D42=0,0,IF(ISNUMBER('Reference data'!B17),D42*'Reference data'!B17/1000000,"Unknown"))</x:f>
        <x:v>0.000135</x:v>
      </x:c>
      <x:c r="G42" s="33" t="n">
        <x:f>IF(ISNUMBER(E42),ROUND(E42*'Reference data'!$B$2,0),"Unknown")</x:f>
        <x:v>12</x:v>
      </x:c>
      <x:c r="H42" s="33" t="n">
        <x:f>IF(ISNUMBER(F42),ROUND(F42*'Reference data'!$B$2,0),"Unknown")</x:f>
        <x:v>14</x:v>
      </x:c>
      <x:c r="I42" s="14"/>
      <x:c r="J42" s="2"/>
      <x:c r="K42" s="2"/>
      <x:c r="L42" s="33"/>
      <x:c r="M42" s="2"/>
    </x:row>
    <x:row r="43" ht="24" customHeight="1">
      <x:c r="A43" s="2" t="str">
        <x:v>R3</x:v>
      </x:c>
      <x:c r="B43" s="2" t="n">
        <x:v>1</x:v>
      </x:c>
      <x:c r="C43" s="2" t="str">
        <x:v>    Tool result</x:v>
      </x:c>
      <x:c r="D43" s="33"/>
      <x:c r="E43" s="11"/>
      <x:c r="F43" s="11"/>
      <x:c r="G43" s="33"/>
      <x:c r="H43" s="33"/>
      <x:c r="I43" s="14" t="str">
        <x:v>Target written successfully.</x:v>
      </x:c>
      <x:c r="J43" s="2"/>
      <x:c r="K43" s="2"/>
      <x:c r="L43" s="33"/>
      <x:c r="M43" s="2"/>
    </x:row>
    <x:row r="44" ht="24" customHeight="1">
      <x:c r="A44" s="2" t="str">
        <x:v>R3</x:v>
      </x:c>
      <x:c r="B44" s="2" t="n">
        <x:v>1</x:v>
      </x:c>
      <x:c r="C44" s="2" t="str">
        <x:v>Cache write</x:v>
      </x:c>
      <x:c r="D44" s="33"/>
      <x:c r="E44" s="11"/>
      <x:c r="F44" s="11"/>
      <x:c r="G44" s="33"/>
      <x:c r="H44" s="33"/>
      <x:c r="I44" s="14"/>
      <x:c r="J44" s="2"/>
      <x:c r="K44" s="2"/>
      <x:c r="L44" s="33"/>
      <x:c r="M44" s="2"/>
    </x:row>
    <x:row r="45" ht="24" customHeight="1">
      <x:c r="A45" s="2" t="str">
        <x:v>R3</x:v>
      </x:c>
      <x:c r="B45" s="2" t="n">
        <x:v>1</x:v>
      </x:c>
      <x:c r="C45" s="2" t="str">
        <x:v>Context · added / total</x:v>
      </x:c>
      <x:c r="D45" s="33"/>
      <x:c r="E45" s="11"/>
      <x:c r="F45" s="11"/>
      <x:c r="G45" s="33"/>
      <x:c r="H45" s="33"/>
      <x:c r="I45" s="14"/>
      <x:c r="J45" s="2"/>
      <x:c r="K45" s="2"/>
      <x:c r="L45" s="33"/>
      <x:c r="M45" s="2"/>
    </x:row>
    <x:row r="46" ht="24" customHeight="1">
      <x:c r="A46" s="21" t="str">
        <x:v>R3</x:v>
      </x:c>
      <x:c r="B46" s="21" t="n">
        <x:v>1</x:v>
      </x:c>
      <x:c r="C46" s="21" t="str">
        <x:v>LLM response</x:v>
      </x:c>
      <x:c r="D46" s="32" t="n">
        <x:v>18</x:v>
      </x:c>
      <x:c r="E46" s="29"/>
      <x:c r="F46" s="29"/>
      <x:c r="G46" s="32"/>
      <x:c r="H46" s="32"/>
      <x:c r="I46" s="26"/>
      <x:c r="J46" s="21"/>
      <x:c r="K46" s="21"/>
      <x:c r="L46" s="32"/>
      <x:c r="M46" s="21"/>
    </x:row>
    <x:row r="47" ht="24" customHeight="1">
      <x:c r="A47" s="2" t="str">
        <x:v>R3</x:v>
      </x:c>
      <x:c r="B47" s="2" t="n">
        <x:v>1</x:v>
      </x:c>
      <x:c r="C47" s="22" t="str">
        <x:v>Output</x:v>
      </x:c>
      <x:c r="D47" s="33" t="n">
        <x:v>18</x:v>
      </x:c>
      <x:c r="E47" s="11" t="n">
        <x:f>IF(AND(ISNUMBER(F47),ISNUMBER('Reference data'!$B$3)),F47*'Reference data'!$B$3,"Unknown")</x:f>
        <x:v>0.000018848159999999997</x:v>
      </x:c>
      <x:c r="F47" s="11" t="n">
        <x:f>IF(D47=0,0,IF(ISNUMBER('Reference data'!E17),D47*'Reference data'!E17/1000000,"Unknown"))</x:f>
        <x:v>0.000021599999999999996</x:v>
      </x:c>
      <x:c r="G47" s="33" t="n">
        <x:f>IF(ISNUMBER(E47),ROUND(E47*'Reference data'!$B$2,0),"Unknown")</x:f>
        <x:v>2</x:v>
      </x:c>
      <x:c r="H47" s="33" t="n">
        <x:f>IF(ISNUMBER(F47),ROUND(F47*'Reference data'!$B$2,0),"Unknown")</x:f>
        <x:v>2</x:v>
      </x:c>
      <x:c r="I47" s="14"/>
      <x:c r="J47" s="2"/>
      <x:c r="K47" s="2"/>
      <x:c r="L47" s="33"/>
      <x:c r="M47" s="2"/>
    </x:row>
    <x:row r="48" ht="73" customHeight="1">
      <x:c r="A48" s="2" t="str">
        <x:v>R3</x:v>
      </x:c>
      <x:c r="B48" s="2" t="n">
        <x:v>1</x:v>
      </x:c>
      <x:c r="C48" s="2" t="str">
        <x:v>    Output content</x:v>
      </x:c>
      <x:c r="D48" s="33"/>
      <x:c r="E48" s="11"/>
      <x:c r="F48" s="11"/>
      <x:c r="G48" s="33"/>
      <x:c r="H48" s="33"/>
      <x:c r="I48" s="14" t="str">
        <x:v>[{"type":"function_call","name":"read_file","arguments":"{\"document\":\"target\"}","call_id":"call_eYazGlJt60Ch3Ra9VcS96Xvu","id":"fc_02fbc37f694deedf006ab12b43d5dc87d2b1702af50e4048f3","index":0}]
{"name":"read_file","args":{"document":"target"},"id":"call_eYazGlJt60Ch3Ra9VcS96Xvu","type":"tool_call"}</x:v>
      </x:c>
      <x:c r="J48" s="2"/>
      <x:c r="K48" s="2"/>
      <x:c r="L48" s="33"/>
      <x:c r="M48" s="2"/>
    </x:row>
    <x:row r="49" ht="24" customHeight="1">
      <x:c r="A49" s="2" t="str">
        <x:v>R3</x:v>
      </x:c>
      <x:c r="B49" s="2" t="n">
        <x:v>1</x:v>
      </x:c>
      <x:c r="C49" s="2" t="str">
        <x:v>Cache write</x:v>
      </x:c>
      <x:c r="D49" s="33"/>
      <x:c r="E49" s="11"/>
      <x:c r="F49" s="11"/>
      <x:c r="G49" s="33"/>
      <x:c r="H49" s="33"/>
      <x:c r="I49" s="14"/>
      <x:c r="J49" s="2"/>
      <x:c r="K49" s="2"/>
      <x:c r="L49" s="33"/>
      <x:c r="M49" s="2"/>
    </x:row>
    <x:row r="50" ht="24" customHeight="1">
      <x:c r="A50" s="2" t="str">
        <x:v>R3</x:v>
      </x:c>
      <x:c r="B50" s="2" t="n">
        <x:v>1</x:v>
      </x:c>
      <x:c r="C50" s="2" t="str">
        <x:v>Context · added / total</x:v>
      </x:c>
      <x:c r="D50" s="33"/>
      <x:c r="E50" s="11"/>
      <x:c r="F50" s="11"/>
      <x:c r="G50" s="33"/>
      <x:c r="H50" s="33"/>
      <x:c r="I50" s="14"/>
      <x:c r="J50" s="2"/>
      <x:c r="K50" s="2"/>
      <x:c r="L50" s="33"/>
      <x:c r="M50" s="2"/>
    </x:row>
    <x:row r="51" ht="24" customHeight="1">
      <x:c r="A51" s="21" t="str">
        <x:v>R3</x:v>
      </x:c>
      <x:c r="B51" s="21" t="n">
        <x:v>1</x:v>
      </x:c>
      <x:c r="C51" s="21" t="str">
        <x:v>Call total</x:v>
      </x:c>
      <x:c r="D51" s="32"/>
      <x:c r="E51" s="29" t="n">
        <x:f>IF(COUNT(E41,E42,E47)=3,SUM(E41,E42,E47),"Unknown")</x:f>
        <x:v>0.00013664916</x:v>
      </x:c>
      <x:c r="F51" s="29" t="n">
        <x:f>IF(COUNT(F41,F42,F47)=3,SUM(F41,F42,F47),"Unknown")</x:f>
        <x:v>0.0001566</x:v>
      </x:c>
      <x:c r="G51" s="32" t="n">
        <x:f>IF(ISNUMBER(E51),ROUND(E51*'Reference data'!$B$2,0),"Unknown")</x:f>
        <x:v>14</x:v>
      </x:c>
      <x:c r="H51" s="32" t="n">
        <x:f>IF(ISNUMBER(F51),ROUND(F51*'Reference data'!$B$2,0),"Unknown")</x:f>
        <x:v>16</x:v>
      </x:c>
      <x:c r="I51" s="26"/>
      <x:c r="J51" s="21"/>
      <x:c r="K51" s="21" t="str">
        <x:v>ok</x:v>
      </x:c>
      <x:c r="L51" s="32"/>
      <x:c r="M51" s="21"/>
    </x:row>
    <x:row r="52" ht="24" customHeight="1">
      <x:c r="A52" s="24"/>
      <x:c r="B52" s="24" t="n">
        <x:v>1</x:v>
      </x:c>
      <x:c r="C52" s="24" t="str">
        <x:v>Tool · read_file</x:v>
      </x:c>
      <x:c r="D52" s="34"/>
      <x:c r="E52" s="30"/>
      <x:c r="F52" s="30"/>
      <x:c r="G52" s="34"/>
      <x:c r="H52" s="34"/>
      <x:c r="I52" s="27"/>
      <x:c r="J52" s="24"/>
      <x:c r="K52" s="24" t="str">
        <x:v>ok</x:v>
      </x:c>
      <x:c r="L52" s="34"/>
      <x:c r="M52" s="24" t="str">
        <x:v>01a0c411-022a-7ed0-8daa-e2ea6f39fb71</x:v>
      </x:c>
    </x:row>
    <x:row r="53" ht="24" customHeight="1">
      <x:c r="A53" s="2"/>
      <x:c r="B53" s="2" t="n">
        <x:v>1</x:v>
      </x:c>
      <x:c r="C53" s="2" t="str">
        <x:v>    Arguments</x:v>
      </x:c>
      <x:c r="D53" s="33"/>
      <x:c r="E53" s="11"/>
      <x:c r="F53" s="11"/>
      <x:c r="G53" s="33"/>
      <x:c r="H53" s="33"/>
      <x:c r="I53" s="14" t="str">
        <x:v>{'document': 'target'}</x:v>
      </x:c>
      <x:c r="J53" s="2"/>
      <x:c r="K53" s="2"/>
      <x:c r="L53" s="33"/>
      <x:c r="M53" s="2"/>
    </x:row>
    <x:row r="54" ht="47" customHeight="1">
      <x:c r="A54" s="2"/>
      <x:c r="B54" s="2" t="n">
        <x:v>1</x:v>
      </x:c>
      <x:c r="C54" s="2" t="str">
        <x:v>    Result</x:v>
      </x:c>
      <x:c r="D54" s="33"/>
      <x:c r="E54" s="11"/>
      <x:c r="F54" s="11"/>
      <x:c r="G54" s="33"/>
      <x:c r="H54" s="33"/>
      <x:c r="I54" s="14" t="str">
        <x:v>{"document": "target", "content": "Project summary\nWe prepare clear, practical reports.\n\nReviewed by the project team.\nNext step: request a quote.\n\nReviewed by the project team.\n"}</x:v>
      </x:c>
      <x:c r="J54" s="2"/>
      <x:c r="K54" s="2"/>
      <x:c r="L54" s="33"/>
      <x:c r="M54" s="2"/>
    </x:row>
    <x:row r="55" ht="24" customHeight="1">
      <x:c r="A55" s="21" t="str">
        <x:v>R4</x:v>
      </x:c>
      <x:c r="B55" s="21" t="n">
        <x:v>1</x:v>
      </x:c>
      <x:c r="C55" s="21" t="str">
        <x:v>LLM request</x:v>
      </x:c>
      <x:c r="D55" s="32" t="n">
        <x:v>750</x:v>
      </x:c>
      <x:c r="E55" s="29"/>
      <x:c r="F55" s="29"/>
      <x:c r="G55" s="32"/>
      <x:c r="H55" s="32"/>
      <x:c r="I55" s="26"/>
      <x:c r="J55" s="21" t="str">
        <x:v>gpt-5.6-luna</x:v>
      </x:c>
      <x:c r="K55" s="21"/>
      <x:c r="L55" s="32"/>
      <x:c r="M55" s="21" t="str">
        <x:v>01a0c411-022d-7992-bcff-32339dd3e4f7</x:v>
      </x:c>
    </x:row>
    <x:row r="56" ht="24" customHeight="1">
      <x:c r="A56" s="2" t="str">
        <x:v>R4</x:v>
      </x:c>
      <x:c r="B56" s="2" t="n">
        <x:v>1</x:v>
      </x:c>
      <x:c r="C56" s="22" t="str">
        <x:v>Conversation history · cache read</x:v>
      </x:c>
      <x:c r="D56" s="33" t="n">
        <x:v>0</x:v>
      </x:c>
      <x:c r="E56" s="11" t="n">
        <x:f>IF(AND(ISNUMBER(F56),ISNUMBER('Reference data'!$B$3)),F56*'Reference data'!$B$3,"Unknown")</x:f>
        <x:v>0</x:v>
      </x:c>
      <x:c r="F56" s="11" t="n">
        <x:f>IF(D56=0,0,IF(ISNUMBER('Reference data'!C17),D56*'Reference data'!C17/1000000,"Unknown"))</x:f>
        <x:v>0</x:v>
      </x:c>
      <x:c r="G56" s="33" t="n">
        <x:f>IF(ISNUMBER(E56),ROUND(E56*'Reference data'!$B$2,0),"Unknown")</x:f>
        <x:v>0</x:v>
      </x:c>
      <x:c r="H56" s="33" t="n">
        <x:f>IF(ISNUMBER(F56),ROUND(F56*'Reference data'!$B$2,0),"Unknown")</x:f>
        <x:v>0</x:v>
      </x:c>
      <x:c r="I56" s="14"/>
      <x:c r="J56" s="2"/>
      <x:c r="K56" s="2"/>
      <x:c r="L56" s="33"/>
      <x:c r="M56" s="2"/>
    </x:row>
    <x:row r="57" ht="24" customHeight="1">
      <x:c r="A57" s="2" t="str">
        <x:v>R4</x:v>
      </x:c>
      <x:c r="B57" s="2" t="n">
        <x:v>1</x:v>
      </x:c>
      <x:c r="C57" s="22" t="str">
        <x:v>Fresh input</x:v>
      </x:c>
      <x:c r="D57" s="33" t="n">
        <x:v>750</x:v>
      </x:c>
      <x:c r="E57" s="11" t="n">
        <x:f>IF(AND(ISNUMBER(F57),ISNUMBER('Reference data'!$B$3)),F57*'Reference data'!$B$3,"Unknown")</x:f>
        <x:v>0.00013089</x:v>
      </x:c>
      <x:c r="F57" s="11" t="n">
        <x:f>IF(D57=0,0,IF(ISNUMBER('Reference data'!B17),D57*'Reference data'!B17/1000000,"Unknown"))</x:f>
        <x:v>0.00015</x:v>
      </x:c>
      <x:c r="G57" s="33" t="n">
        <x:f>IF(ISNUMBER(E57),ROUND(E57*'Reference data'!$B$2,0),"Unknown")</x:f>
        <x:v>13</x:v>
      </x:c>
      <x:c r="H57" s="33" t="n">
        <x:f>IF(ISNUMBER(F57),ROUND(F57*'Reference data'!$B$2,0),"Unknown")</x:f>
        <x:v>15</x:v>
      </x:c>
      <x:c r="I57" s="14"/>
      <x:c r="J57" s="2"/>
      <x:c r="K57" s="2"/>
      <x:c r="L57" s="33"/>
      <x:c r="M57" s="2"/>
    </x:row>
    <x:row r="58" ht="47" customHeight="1">
      <x:c r="A58" s="2" t="str">
        <x:v>R4</x:v>
      </x:c>
      <x:c r="B58" s="2" t="n">
        <x:v>1</x:v>
      </x:c>
      <x:c r="C58" s="2" t="str">
        <x:v>    Tool result</x:v>
      </x:c>
      <x:c r="D58" s="33"/>
      <x:c r="E58" s="11"/>
      <x:c r="F58" s="11"/>
      <x:c r="G58" s="33"/>
      <x:c r="H58" s="33"/>
      <x:c r="I58" s="14" t="str">
        <x:v>{"document": "target", "content": "Project summary\nWe prepare clear, practical reports.\n\nReviewed by the project team.\nNext step: request a quote.\n\nReviewed by the project team.\n"}</x:v>
      </x:c>
      <x:c r="J58" s="2"/>
      <x:c r="K58" s="2"/>
      <x:c r="L58" s="33"/>
      <x:c r="M58" s="2"/>
    </x:row>
    <x:row r="59" ht="24" customHeight="1">
      <x:c r="A59" s="2" t="str">
        <x:v>R4</x:v>
      </x:c>
      <x:c r="B59" s="2" t="n">
        <x:v>1</x:v>
      </x:c>
      <x:c r="C59" s="2" t="str">
        <x:v>Cache write</x:v>
      </x:c>
      <x:c r="D59" s="33"/>
      <x:c r="E59" s="11"/>
      <x:c r="F59" s="11"/>
      <x:c r="G59" s="33"/>
      <x:c r="H59" s="33"/>
      <x:c r="I59" s="14"/>
      <x:c r="J59" s="2"/>
      <x:c r="K59" s="2"/>
      <x:c r="L59" s="33"/>
      <x:c r="M59" s="2"/>
    </x:row>
    <x:row r="60" ht="24" customHeight="1">
      <x:c r="A60" s="2" t="str">
        <x:v>R4</x:v>
      </x:c>
      <x:c r="B60" s="2" t="n">
        <x:v>1</x:v>
      </x:c>
      <x:c r="C60" s="2" t="str">
        <x:v>Context · added / total</x:v>
      </x:c>
      <x:c r="D60" s="33"/>
      <x:c r="E60" s="11"/>
      <x:c r="F60" s="11"/>
      <x:c r="G60" s="33"/>
      <x:c r="H60" s="33"/>
      <x:c r="I60" s="14"/>
      <x:c r="J60" s="2"/>
      <x:c r="K60" s="2"/>
      <x:c r="L60" s="33"/>
      <x:c r="M60" s="2"/>
    </x:row>
    <x:row r="61" ht="24" customHeight="1">
      <x:c r="A61" s="21" t="str">
        <x:v>R4</x:v>
      </x:c>
      <x:c r="B61" s="21" t="n">
        <x:v>1</x:v>
      </x:c>
      <x:c r="C61" s="21" t="str">
        <x:v>LLM response</x:v>
      </x:c>
      <x:c r="D61" s="32" t="n">
        <x:v>99</x:v>
      </x:c>
      <x:c r="E61" s="29"/>
      <x:c r="F61" s="29"/>
      <x:c r="G61" s="32"/>
      <x:c r="H61" s="32"/>
      <x:c r="I61" s="26"/>
      <x:c r="J61" s="21"/>
      <x:c r="K61" s="21"/>
      <x:c r="L61" s="32"/>
      <x:c r="M61" s="21"/>
    </x:row>
    <x:row r="62" ht="24" customHeight="1">
      <x:c r="A62" s="2" t="str">
        <x:v>R4</x:v>
      </x:c>
      <x:c r="B62" s="2" t="n">
        <x:v>1</x:v>
      </x:c>
      <x:c r="C62" s="22" t="str">
        <x:v>Output</x:v>
      </x:c>
      <x:c r="D62" s="33" t="n">
        <x:v>99</x:v>
      </x:c>
      <x:c r="E62" s="11" t="n">
        <x:f>IF(AND(ISNUMBER(F62),ISNUMBER('Reference data'!$B$3)),F62*'Reference data'!$B$3,"Unknown")</x:f>
        <x:v>0.00010366488000000001</x:v>
      </x:c>
      <x:c r="F62" s="11" t="n">
        <x:f>IF(D62=0,0,IF(ISNUMBER('Reference data'!E17),D62*'Reference data'!E17/1000000,"Unknown"))</x:f>
        <x:v>0.0001188</x:v>
      </x:c>
      <x:c r="G62" s="33" t="n">
        <x:f>IF(ISNUMBER(E62),ROUND(E62*'Reference data'!$B$2,0),"Unknown")</x:f>
        <x:v>10</x:v>
      </x:c>
      <x:c r="H62" s="33" t="n">
        <x:f>IF(ISNUMBER(F62),ROUND(F62*'Reference data'!$B$2,0),"Unknown")</x:f>
        <x:v>12</x:v>
      </x:c>
      <x:c r="I62" s="14"/>
      <x:c r="J62" s="2"/>
      <x:c r="K62" s="2"/>
      <x:c r="L62" s="33"/>
      <x:c r="M62" s="2"/>
    </x:row>
    <x:row r="63" ht="177" customHeight="1">
      <x:c r="A63" s="2" t="str">
        <x:v>R4</x:v>
      </x:c>
      <x:c r="B63" s="2" t="n">
        <x:v>1</x:v>
      </x:c>
      <x:c r="C63" s="2" t="str">
        <x:v>    Output content</x:v>
      </x:c>
      <x:c r="D63" s="33"/>
      <x:c r="E63" s="11"/>
      <x:c r="F63" s="11"/>
      <x:c r="G63" s="33"/>
      <x:c r="H63" s="33"/>
      <x:c r="I63" s="14" t="str">
        <x:v>[{"type":"function_call","name":"write_file","arguments":"{\"content\":\"Project summary\\nWe prepare clear, practical reports.\\n\\nReviewed by the project team.\\nNext step: request a quote.\\n\\nReviewed by the project team.\\nNext step: request a quote.\\n\",\"expected_content\":\"Project summary\\nWe prepare clear, practical reports.\\n\\nReviewed by the project team.\\nNext step: request a quote.\\n\\nReviewed by the project team.\\n\"}","call_id":"call_WGGKB0bGiGxlEMJBhr18KFut","id":"fc_02fbc37f694deedf006ab12b456fb087d2b7764b9df1fe3eba","index":0}]
{"name":"write_file","args":{"content":"Project summary\nWe prepare clear, practical reports.\n\nReviewed by the project team.\nNext step: request a quote.\n\nReviewed by the project team.\nNext step: request a quote.\n","expected_content":"Project summary\nWe prepare clear, practical reports.\n\nReviewed by the project team.\nNext step: request a quote.\n\nReviewed by the project team.\n"},"id":"call_WGGKB0bGiGxlEMJBhr18KFut","type":"tool_call"}</x:v>
      </x:c>
      <x:c r="J63" s="2"/>
      <x:c r="K63" s="2"/>
      <x:c r="L63" s="33"/>
      <x:c r="M63" s="2"/>
    </x:row>
    <x:row r="64" ht="24" customHeight="1">
      <x:c r="A64" s="2" t="str">
        <x:v>R4</x:v>
      </x:c>
      <x:c r="B64" s="2" t="n">
        <x:v>1</x:v>
      </x:c>
      <x:c r="C64" s="2" t="str">
        <x:v>Cache write</x:v>
      </x:c>
      <x:c r="D64" s="33"/>
      <x:c r="E64" s="11"/>
      <x:c r="F64" s="11"/>
      <x:c r="G64" s="33"/>
      <x:c r="H64" s="33"/>
      <x:c r="I64" s="14"/>
      <x:c r="J64" s="2"/>
      <x:c r="K64" s="2"/>
      <x:c r="L64" s="33"/>
      <x:c r="M64" s="2"/>
    </x:row>
    <x:row r="65" ht="24" customHeight="1">
      <x:c r="A65" s="2" t="str">
        <x:v>R4</x:v>
      </x:c>
      <x:c r="B65" s="2" t="n">
        <x:v>1</x:v>
      </x:c>
      <x:c r="C65" s="2" t="str">
        <x:v>Context · added / total</x:v>
      </x:c>
      <x:c r="D65" s="33"/>
      <x:c r="E65" s="11"/>
      <x:c r="F65" s="11"/>
      <x:c r="G65" s="33"/>
      <x:c r="H65" s="33"/>
      <x:c r="I65" s="14"/>
      <x:c r="J65" s="2"/>
      <x:c r="K65" s="2"/>
      <x:c r="L65" s="33"/>
      <x:c r="M65" s="2"/>
    </x:row>
    <x:row r="66" ht="24" customHeight="1">
      <x:c r="A66" s="21" t="str">
        <x:v>R4</x:v>
      </x:c>
      <x:c r="B66" s="21" t="n">
        <x:v>1</x:v>
      </x:c>
      <x:c r="C66" s="21" t="str">
        <x:v>Call total</x:v>
      </x:c>
      <x:c r="D66" s="32"/>
      <x:c r="E66" s="29" t="n">
        <x:f>IF(COUNT(E56,E57,E62)=3,SUM(E56,E57,E62),"Unknown")</x:f>
        <x:v>0.00023455488</x:v>
      </x:c>
      <x:c r="F66" s="29" t="n">
        <x:f>IF(COUNT(F56,F57,F62)=3,SUM(F56,F57,F62),"Unknown")</x:f>
        <x:v>0.0002688</x:v>
      </x:c>
      <x:c r="G66" s="32" t="n">
        <x:f>IF(ISNUMBER(E66),ROUND(E66*'Reference data'!$B$2,0),"Unknown")</x:f>
        <x:v>23</x:v>
      </x:c>
      <x:c r="H66" s="32" t="n">
        <x:f>IF(ISNUMBER(F66),ROUND(F66*'Reference data'!$B$2,0),"Unknown")</x:f>
        <x:v>27</x:v>
      </x:c>
      <x:c r="I66" s="26"/>
      <x:c r="J66" s="21"/>
      <x:c r="K66" s="21" t="str">
        <x:v>ok</x:v>
      </x:c>
      <x:c r="L66" s="32"/>
      <x:c r="M66" s="21"/>
    </x:row>
    <x:row r="67" ht="24" customHeight="1">
      <x:c r="A67" s="24"/>
      <x:c r="B67" s="24" t="n">
        <x:v>1</x:v>
      </x:c>
      <x:c r="C67" s="24" t="str">
        <x:v>Tool · write_file</x:v>
      </x:c>
      <x:c r="D67" s="34"/>
      <x:c r="E67" s="30"/>
      <x:c r="F67" s="30"/>
      <x:c r="G67" s="34"/>
      <x:c r="H67" s="34"/>
      <x:c r="I67" s="27"/>
      <x:c r="J67" s="24"/>
      <x:c r="K67" s="24" t="str">
        <x:v>ok</x:v>
      </x:c>
      <x:c r="L67" s="34"/>
      <x:c r="M67" s="24" t="str">
        <x:v>01a0c411-0b03-7892-ab78-9235ffdd63f3</x:v>
      </x:c>
    </x:row>
    <x:row r="68" ht="73" customHeight="1">
      <x:c r="A68" s="2"/>
      <x:c r="B68" s="2" t="n">
        <x:v>1</x:v>
      </x:c>
      <x:c r="C68" s="2" t="str">
        <x:v>    Arguments</x:v>
      </x:c>
      <x:c r="D68" s="33"/>
      <x:c r="E68" s="11"/>
      <x:c r="F68" s="11"/>
      <x:c r="G68" s="33"/>
      <x:c r="H68" s="33"/>
      <x:c r="I68" s="14" t="str">
        <x:v>{'content': 'Project summary\nWe prepare clear, practical reports.\n\nReviewed by the project team.\nNext step: request a quote.\n\nReviewed by the project team.\nNext step: request a quote.\n', 'expected_content': 'Project summary\nWe prepare clear, practical reports.\n\nReviewed by the project team.\nNext step: request a quote.\n\nReviewed by the project team.\n'}</x:v>
      </x:c>
      <x:c r="J68" s="2"/>
      <x:c r="K68" s="2"/>
      <x:c r="L68" s="33"/>
      <x:c r="M68" s="2"/>
    </x:row>
    <x:row r="69" ht="24" customHeight="1">
      <x:c r="A69" s="2"/>
      <x:c r="B69" s="2" t="n">
        <x:v>1</x:v>
      </x:c>
      <x:c r="C69" s="2" t="str">
        <x:v>    Result</x:v>
      </x:c>
      <x:c r="D69" s="33"/>
      <x:c r="E69" s="11"/>
      <x:c r="F69" s="11"/>
      <x:c r="G69" s="33"/>
      <x:c r="H69" s="33"/>
      <x:c r="I69" s="14" t="str">
        <x:v>Target written successfully.</x:v>
      </x:c>
      <x:c r="J69" s="2"/>
      <x:c r="K69" s="2"/>
      <x:c r="L69" s="33"/>
      <x:c r="M69" s="2"/>
    </x:row>
    <x:row r="70" ht="24" customHeight="1">
      <x:c r="A70" s="21" t="str">
        <x:v>R5</x:v>
      </x:c>
      <x:c r="B70" s="21" t="n">
        <x:v>1</x:v>
      </x:c>
      <x:c r="C70" s="21" t="str">
        <x:v>LLM request</x:v>
      </x:c>
      <x:c r="D70" s="32" t="n">
        <x:v>864</x:v>
      </x:c>
      <x:c r="E70" s="29"/>
      <x:c r="F70" s="29"/>
      <x:c r="G70" s="32"/>
      <x:c r="H70" s="32"/>
      <x:c r="I70" s="26"/>
      <x:c r="J70" s="21" t="str">
        <x:v>gpt-5.6-luna</x:v>
      </x:c>
      <x:c r="K70" s="21"/>
      <x:c r="L70" s="32"/>
      <x:c r="M70" s="21" t="str">
        <x:v>01a0c411-0b06-7043-a413-d5bee5da6d4a</x:v>
      </x:c>
    </x:row>
    <x:row r="71" ht="24" customHeight="1">
      <x:c r="A71" s="2" t="str">
        <x:v>R5</x:v>
      </x:c>
      <x:c r="B71" s="2" t="n">
        <x:v>1</x:v>
      </x:c>
      <x:c r="C71" s="22" t="str">
        <x:v>Conversation history · cache read</x:v>
      </x:c>
      <x:c r="D71" s="33" t="n">
        <x:v>0</x:v>
      </x:c>
      <x:c r="E71" s="11" t="n">
        <x:f>IF(AND(ISNUMBER(F71),ISNUMBER('Reference data'!$B$3)),F71*'Reference data'!$B$3,"Unknown")</x:f>
        <x:v>0</x:v>
      </x:c>
      <x:c r="F71" s="11" t="n">
        <x:f>IF(D71=0,0,IF(ISNUMBER('Reference data'!C17),D71*'Reference data'!C17/1000000,"Unknown"))</x:f>
        <x:v>0</x:v>
      </x:c>
      <x:c r="G71" s="33" t="n">
        <x:f>IF(ISNUMBER(E71),ROUND(E71*'Reference data'!$B$2,0),"Unknown")</x:f>
        <x:v>0</x:v>
      </x:c>
      <x:c r="H71" s="33" t="n">
        <x:f>IF(ISNUMBER(F71),ROUND(F71*'Reference data'!$B$2,0),"Unknown")</x:f>
        <x:v>0</x:v>
      </x:c>
      <x:c r="I71" s="14"/>
      <x:c r="J71" s="2"/>
      <x:c r="K71" s="2"/>
      <x:c r="L71" s="33"/>
      <x:c r="M71" s="2"/>
    </x:row>
    <x:row r="72" ht="24" customHeight="1">
      <x:c r="A72" s="2" t="str">
        <x:v>R5</x:v>
      </x:c>
      <x:c r="B72" s="2" t="n">
        <x:v>1</x:v>
      </x:c>
      <x:c r="C72" s="22" t="str">
        <x:v>Fresh input</x:v>
      </x:c>
      <x:c r="D72" s="33" t="n">
        <x:v>864</x:v>
      </x:c>
      <x:c r="E72" s="11" t="n">
        <x:f>IF(AND(ISNUMBER(F72),ISNUMBER('Reference data'!$B$3)),F72*'Reference data'!$B$3,"Unknown")</x:f>
        <x:v>0.00015078528</x:v>
      </x:c>
      <x:c r="F72" s="11" t="n">
        <x:f>IF(D72=0,0,IF(ISNUMBER('Reference data'!B17),D72*'Reference data'!B17/1000000,"Unknown"))</x:f>
        <x:v>0.0001728</x:v>
      </x:c>
      <x:c r="G72" s="33" t="n">
        <x:f>IF(ISNUMBER(E72),ROUND(E72*'Reference data'!$B$2,0),"Unknown")</x:f>
        <x:v>15</x:v>
      </x:c>
      <x:c r="H72" s="33" t="n">
        <x:f>IF(ISNUMBER(F72),ROUND(F72*'Reference data'!$B$2,0),"Unknown")</x:f>
        <x:v>17</x:v>
      </x:c>
      <x:c r="I72" s="14"/>
      <x:c r="J72" s="2"/>
      <x:c r="K72" s="2"/>
      <x:c r="L72" s="33"/>
      <x:c r="M72" s="2"/>
    </x:row>
    <x:row r="73" ht="24" customHeight="1">
      <x:c r="A73" s="2" t="str">
        <x:v>R5</x:v>
      </x:c>
      <x:c r="B73" s="2" t="n">
        <x:v>1</x:v>
      </x:c>
      <x:c r="C73" s="2" t="str">
        <x:v>    Tool result</x:v>
      </x:c>
      <x:c r="D73" s="33"/>
      <x:c r="E73" s="11"/>
      <x:c r="F73" s="11"/>
      <x:c r="G73" s="33"/>
      <x:c r="H73" s="33"/>
      <x:c r="I73" s="14" t="str">
        <x:v>Target written successfully.</x:v>
      </x:c>
      <x:c r="J73" s="2"/>
      <x:c r="K73" s="2"/>
      <x:c r="L73" s="33"/>
      <x:c r="M73" s="2"/>
    </x:row>
    <x:row r="74" ht="24" customHeight="1">
      <x:c r="A74" s="2" t="str">
        <x:v>R5</x:v>
      </x:c>
      <x:c r="B74" s="2" t="n">
        <x:v>1</x:v>
      </x:c>
      <x:c r="C74" s="2" t="str">
        <x:v>Cache write</x:v>
      </x:c>
      <x:c r="D74" s="33"/>
      <x:c r="E74" s="11"/>
      <x:c r="F74" s="11"/>
      <x:c r="G74" s="33"/>
      <x:c r="H74" s="33"/>
      <x:c r="I74" s="14"/>
      <x:c r="J74" s="2"/>
      <x:c r="K74" s="2"/>
      <x:c r="L74" s="33"/>
      <x:c r="M74" s="2"/>
    </x:row>
    <x:row r="75" ht="24" customHeight="1">
      <x:c r="A75" s="2" t="str">
        <x:v>R5</x:v>
      </x:c>
      <x:c r="B75" s="2" t="n">
        <x:v>1</x:v>
      </x:c>
      <x:c r="C75" s="2" t="str">
        <x:v>Context · added / total</x:v>
      </x:c>
      <x:c r="D75" s="33"/>
      <x:c r="E75" s="11"/>
      <x:c r="F75" s="11"/>
      <x:c r="G75" s="33"/>
      <x:c r="H75" s="33"/>
      <x:c r="I75" s="14"/>
      <x:c r="J75" s="2"/>
      <x:c r="K75" s="2"/>
      <x:c r="L75" s="33"/>
      <x:c r="M75" s="2"/>
    </x:row>
    <x:row r="76" ht="24" customHeight="1">
      <x:c r="A76" s="21" t="str">
        <x:v>R5</x:v>
      </x:c>
      <x:c r="B76" s="21" t="n">
        <x:v>1</x:v>
      </x:c>
      <x:c r="C76" s="21" t="str">
        <x:v>LLM response</x:v>
      </x:c>
      <x:c r="D76" s="32" t="n">
        <x:v>65</x:v>
      </x:c>
      <x:c r="E76" s="29"/>
      <x:c r="F76" s="29"/>
      <x:c r="G76" s="32"/>
      <x:c r="H76" s="32"/>
      <x:c r="I76" s="26"/>
      <x:c r="J76" s="21"/>
      <x:c r="K76" s="21"/>
      <x:c r="L76" s="32"/>
      <x:c r="M76" s="21"/>
    </x:row>
    <x:row r="77" ht="24" customHeight="1">
      <x:c r="A77" s="2" t="str">
        <x:v>R5</x:v>
      </x:c>
      <x:c r="B77" s="2" t="n">
        <x:v>1</x:v>
      </x:c>
      <x:c r="C77" s="22" t="str">
        <x:v>Reasoning</x:v>
      </x:c>
      <x:c r="D77" s="33" t="n">
        <x:v>45</x:v>
      </x:c>
      <x:c r="E77" s="11" t="n">
        <x:f>IF(AND(ISNUMBER(F77),ISNUMBER('Reference data'!$B$3)),F77*'Reference data'!$B$3,"Unknown")</x:f>
        <x:v>0.000047120400000000004</x:v>
      </x:c>
      <x:c r="F77" s="11" t="n">
        <x:f>IF(D77=0,0,IF(ISNUMBER('Reference data'!F17),D77*'Reference data'!F17/1000000,"Unknown"))</x:f>
        <x:v>0.000054</x:v>
      </x:c>
      <x:c r="G77" s="33" t="n">
        <x:f>IF(ISNUMBER(E77),ROUND(E77*'Reference data'!$B$2,0),"Unknown")</x:f>
        <x:v>5</x:v>
      </x:c>
      <x:c r="H77" s="33" t="n">
        <x:f>IF(ISNUMBER(F77),ROUND(F77*'Reference data'!$B$2,0),"Unknown")</x:f>
        <x:v>5</x:v>
      </x:c>
      <x:c r="I77" s="14"/>
      <x:c r="J77" s="2"/>
      <x:c r="K77" s="2"/>
      <x:c r="L77" s="33"/>
      <x:c r="M77" s="2"/>
    </x:row>
    <x:row r="78" ht="24" customHeight="1">
      <x:c r="A78" s="2" t="str">
        <x:v>R5</x:v>
      </x:c>
      <x:c r="B78" s="2" t="n">
        <x:v>1</x:v>
      </x:c>
      <x:c r="C78" s="22" t="str">
        <x:v>Output</x:v>
      </x:c>
      <x:c r="D78" s="33" t="n">
        <x:v>20</x:v>
      </x:c>
      <x:c r="E78" s="11" t="n">
        <x:f>IF(AND(ISNUMBER(F78),ISNUMBER('Reference data'!$B$3)),F78*'Reference data'!$B$3,"Unknown")</x:f>
        <x:v>0.0000209424</x:v>
      </x:c>
      <x:c r="F78" s="11" t="n">
        <x:f>IF(D78=0,0,IF(ISNUMBER('Reference data'!E17),D78*'Reference data'!E17/1000000,"Unknown"))</x:f>
        <x:v>0.000024</x:v>
      </x:c>
      <x:c r="G78" s="33" t="n">
        <x:f>IF(ISNUMBER(E78),ROUND(E78*'Reference data'!$B$2,0),"Unknown")</x:f>
        <x:v>2</x:v>
      </x:c>
      <x:c r="H78" s="33" t="n">
        <x:f>IF(ISNUMBER(F78),ROUND(F78*'Reference data'!$B$2,0),"Unknown")</x:f>
        <x:v>2</x:v>
      </x:c>
      <x:c r="I78" s="14"/>
      <x:c r="J78" s="2"/>
      <x:c r="K78" s="2"/>
      <x:c r="L78" s="33"/>
      <x:c r="M78" s="2"/>
    </x:row>
    <x:row r="79" ht="307" customHeight="1">
      <x:c r="A79" s="2" t="str">
        <x:v>R5</x:v>
      </x:c>
      <x:c r="B79" s="2" t="n">
        <x:v>1</x:v>
      </x:c>
      <x:c r="C79" s="2" t="str">
        <x:v>    Output content</x:v>
      </x:c>
      <x:c r="D79" s="33"/>
      <x:c r="E79" s="11"/>
      <x:c r="F79" s="11"/>
      <x:c r="G79" s="33"/>
      <x:c r="H79" s="33"/>
      <x:c r="I79" s="14" t="str">
        <x:v>[{"id":"rs_02fbc37f694deedf006ab12b47e8e087d2b3946dc7bf0f39c7","summary":[],"type":"reasoning","content":[],"index":0,"encrypted_content":"gAAAAABqsStIvz8Yh6zkiZYT3d9qmyVoVbNCeIDc67JRGZL8UsJ04W3_C8hmtnX8dAq-r5dn8g07QtapxRZbUbjY5-3zq6n6M25Kzo0B8QnavsFQwd4IfcQ-Hp5F_0Bhly4yaWhMqUNahtPH-L4KNxAJq3Jsv__WbY11h8J7S7bXaMV7vqJpl4glr8s0E2AMbbxiWhfg9ZUq-0trI_x3KpWYPm9Vu11Az5HAt5Mtxqhv7F7YKtVh1yfI7q3z7c0u0T4Tv1wPCykq4u-fGjF5Khq3ockcXkDsBfimy2xbwXknvAhQp8ik_c9f5kuTI8tMBTsbrteGdysAKN99OQEbGYmtoL0Jrjh6f83KnFuSEgvjK475d2i3eN8SAJxD-dNFf3opvB-cIRgA4150K_8GGmfir473Pwbc2I68o0rl2CSQQQ8w3Ap0uUD-gJqxmtTZ6CC-e0OP3pVOQZAQ4B8m-WnOOfRg-KcwvcUJa0e-y440q2Ez1WNmyBmF2eNn51gO9JVzczkrH9w9bLCxL1dSuNP_RdsDsGXSkyqHfurGDcQLspqWWfJEBphdi_AQL2PjBe4xFuJPd5rY201GGORdYS_cvS7QaYA2I0VAugmGpd6p3DPUjAJ9-PD2jlA8dzQF-UzTaNBpzNMrMnCotWRF9SuKXCKDYS0iT-p7uht5gz_pO-qKlDR5Z-wEtf4PP9VDrfidKaqtowguQPxa4-mnWvfc97fsE_YxfsOeg-QiDRUm0uNd_TttEH0e76kZTrGNsS6oixqh1tOVTjOLgpGJQisiTd17UZroJjPdPwVCfbjMoejE-4oW9OpgVWxouDhBIoW6MrHfpOhcCRY_7VSleBQeGPKFq9wIX6Y_EXsTR32BHtYVS4i1o6FZEFYZ9VCpp5DSYbw6s9EX-ZnPItQIXrbZREHYeikzZWA9RUkpjAguU3OgNUZkhExBpburqLApGt281Y_jkIpk0l1CN2v0MAEpj5hMbnQNx3s4dcLUHeJyBv9u7YD4OvGxidHnYsBtpeksXNBUOTfyov8WaL1U7Ode7nuhrtOocNoSjSHLoWE5JbzC9QBJdnPuWCcvgmDGEwrUhiPvbYRMdn_35zCccSXFG_7zBT2jj97YVcl4yZuN9dVlgo-9cauytd9MM6MyWpaet6-uJuvn_RSuiwVtXi00dGtos8Pz67bGBCnHcSr7Vdi5fHIKvBz82ELoVZV76dlFYqm9xqNVwa9_AEMhnrAnczgyJuDJmqjmGY7nsCRFCXzqLE0MvkXBdBO7PaegX2nbOxxIc-l22j2jUmaybCfW9lh50IUqVRR5oJHP0XISL3jN_5vFAHahzJSidlGiE23dr48dbNyQpoFI7V1y9Ejy6xCWHhauLRJ0ph0kXDtXIP3w-eHMjf2cvuspziTfgDMn1qMyZntcbITcSOd8uEMuWd8nI2p0Bn3tMHO0FxAaEAclNY8PyjQXVdzXbvmKc042L-K7w70J"},{"type":"function_call","name":"read_file","arguments":"{\"document\":\"target\"}","call_id":"call_8ikBtv9Opxuy7DdbQ1RTFJYL","id":"fc_02fbc37f694deedf006ab12b488ba887d2bc4b40d971d86d09","index":1}]
{"name":"read_file","args":{"document":"target"},"id":"call_8ikBtv9Opxuy7DdbQ1RTFJYL","type":"tool_call"}</x:v>
      </x:c>
      <x:c r="J79" s="2"/>
      <x:c r="K79" s="2"/>
      <x:c r="L79" s="33"/>
      <x:c r="M79" s="2"/>
    </x:row>
    <x:row r="80" ht="24" customHeight="1">
      <x:c r="A80" s="2" t="str">
        <x:v>R5</x:v>
      </x:c>
      <x:c r="B80" s="2" t="n">
        <x:v>1</x:v>
      </x:c>
      <x:c r="C80" s="2" t="str">
        <x:v>Cache write</x:v>
      </x:c>
      <x:c r="D80" s="33"/>
      <x:c r="E80" s="11"/>
      <x:c r="F80" s="11"/>
      <x:c r="G80" s="33"/>
      <x:c r="H80" s="33"/>
      <x:c r="I80" s="14"/>
      <x:c r="J80" s="2"/>
      <x:c r="K80" s="2"/>
      <x:c r="L80" s="33"/>
      <x:c r="M80" s="2"/>
    </x:row>
    <x:row r="81" ht="24" customHeight="1">
      <x:c r="A81" s="2" t="str">
        <x:v>R5</x:v>
      </x:c>
      <x:c r="B81" s="2" t="n">
        <x:v>1</x:v>
      </x:c>
      <x:c r="C81" s="2" t="str">
        <x:v>Context · added / total</x:v>
      </x:c>
      <x:c r="D81" s="33"/>
      <x:c r="E81" s="11"/>
      <x:c r="F81" s="11"/>
      <x:c r="G81" s="33"/>
      <x:c r="H81" s="33"/>
      <x:c r="I81" s="14"/>
      <x:c r="J81" s="2"/>
      <x:c r="K81" s="2"/>
      <x:c r="L81" s="33"/>
      <x:c r="M81" s="2"/>
    </x:row>
    <x:row r="82" ht="24" customHeight="1">
      <x:c r="A82" s="21" t="str">
        <x:v>R5</x:v>
      </x:c>
      <x:c r="B82" s="21" t="n">
        <x:v>1</x:v>
      </x:c>
      <x:c r="C82" s="21" t="str">
        <x:v>Call total</x:v>
      </x:c>
      <x:c r="D82" s="32"/>
      <x:c r="E82" s="29" t="n">
        <x:f>IF(COUNT(E71,E72,E77,E78)=4,SUM(E71,E72,E77,E78),"Unknown")</x:f>
        <x:v>0.00021884808</x:v>
      </x:c>
      <x:c r="F82" s="29" t="n">
        <x:f>IF(COUNT(F71,F72,F77,F78)=4,SUM(F71,F72,F77,F78),"Unknown")</x:f>
        <x:v>0.00025079999999999997</x:v>
      </x:c>
      <x:c r="G82" s="32" t="n">
        <x:f>IF(ISNUMBER(E82),ROUND(E82*'Reference data'!$B$2,0),"Unknown")</x:f>
        <x:v>22</x:v>
      </x:c>
      <x:c r="H82" s="32" t="n">
        <x:f>IF(ISNUMBER(F82),ROUND(F82*'Reference data'!$B$2,0),"Unknown")</x:f>
        <x:v>25</x:v>
      </x:c>
      <x:c r="I82" s="26"/>
      <x:c r="J82" s="21"/>
      <x:c r="K82" s="21" t="str">
        <x:v>ok</x:v>
      </x:c>
      <x:c r="L82" s="32"/>
      <x:c r="M82" s="21"/>
    </x:row>
    <x:row r="83" ht="24" customHeight="1">
      <x:c r="A83" s="24"/>
      <x:c r="B83" s="24" t="n">
        <x:v>1</x:v>
      </x:c>
      <x:c r="C83" s="24" t="str">
        <x:v>Tool · read_file</x:v>
      </x:c>
      <x:c r="D83" s="34"/>
      <x:c r="E83" s="30"/>
      <x:c r="F83" s="30"/>
      <x:c r="G83" s="34"/>
      <x:c r="H83" s="34"/>
      <x:c r="I83" s="27"/>
      <x:c r="J83" s="24"/>
      <x:c r="K83" s="24" t="str">
        <x:v>ok</x:v>
      </x:c>
      <x:c r="L83" s="34"/>
      <x:c r="M83" s="24" t="str">
        <x:v>01a0c411-158e-7f80-8b5b-93b62ba315f3</x:v>
      </x:c>
    </x:row>
    <x:row r="84" ht="24" customHeight="1">
      <x:c r="A84" s="2"/>
      <x:c r="B84" s="2" t="n">
        <x:v>1</x:v>
      </x:c>
      <x:c r="C84" s="2" t="str">
        <x:v>    Arguments</x:v>
      </x:c>
      <x:c r="D84" s="33"/>
      <x:c r="E84" s="11"/>
      <x:c r="F84" s="11"/>
      <x:c r="G84" s="33"/>
      <x:c r="H84" s="33"/>
      <x:c r="I84" s="14" t="str">
        <x:v>{'document': 'target'}</x:v>
      </x:c>
      <x:c r="J84" s="2"/>
      <x:c r="K84" s="2"/>
      <x:c r="L84" s="33"/>
      <x:c r="M84" s="2"/>
    </x:row>
    <x:row r="85" ht="47" customHeight="1">
      <x:c r="A85" s="2"/>
      <x:c r="B85" s="2" t="n">
        <x:v>1</x:v>
      </x:c>
      <x:c r="C85" s="2" t="str">
        <x:v>    Result</x:v>
      </x:c>
      <x:c r="D85" s="33"/>
      <x:c r="E85" s="11"/>
      <x:c r="F85" s="11"/>
      <x:c r="G85" s="33"/>
      <x:c r="H85" s="33"/>
      <x:c r="I85" s="14" t="str">
        <x:v>{"document": "target", "content": "Project summary\nWe prepare clear, practical reports.\n\nReviewed by the project team.\nNext step: request a quote.\n\nReviewed by the project team.\nNext step: request a quote.\n"}</x:v>
      </x:c>
      <x:c r="J85" s="2"/>
      <x:c r="K85" s="2"/>
      <x:c r="L85" s="33"/>
      <x:c r="M85" s="2"/>
    </x:row>
    <x:row r="86" ht="24" customHeight="1">
      <x:c r="A86" s="21" t="str">
        <x:v>R6</x:v>
      </x:c>
      <x:c r="B86" s="21" t="n">
        <x:v>1</x:v>
      </x:c>
      <x:c r="C86" s="21" t="str">
        <x:v>LLM request</x:v>
      </x:c>
      <x:c r="D86" s="32" t="n">
        <x:v>994</x:v>
      </x:c>
      <x:c r="E86" s="29"/>
      <x:c r="F86" s="29"/>
      <x:c r="G86" s="32"/>
      <x:c r="H86" s="32"/>
      <x:c r="I86" s="26"/>
      <x:c r="J86" s="21" t="str">
        <x:v>gpt-5.6-luna</x:v>
      </x:c>
      <x:c r="K86" s="21"/>
      <x:c r="L86" s="32"/>
      <x:c r="M86" s="21" t="str">
        <x:v>01a0c411-1595-7572-9ab4-60bca8d1632a</x:v>
      </x:c>
    </x:row>
    <x:row r="87" ht="24" customHeight="1">
      <x:c r="A87" s="2" t="str">
        <x:v>R6</x:v>
      </x:c>
      <x:c r="B87" s="2" t="n">
        <x:v>1</x:v>
      </x:c>
      <x:c r="C87" s="22" t="str">
        <x:v>Conversation history · cache read</x:v>
      </x:c>
      <x:c r="D87" s="33" t="n">
        <x:v>0</x:v>
      </x:c>
      <x:c r="E87" s="11" t="n">
        <x:f>IF(AND(ISNUMBER(F87),ISNUMBER('Reference data'!$B$3)),F87*'Reference data'!$B$3,"Unknown")</x:f>
        <x:v>0</x:v>
      </x:c>
      <x:c r="F87" s="11" t="n">
        <x:f>IF(D87=0,0,IF(ISNUMBER('Reference data'!C17),D87*'Reference data'!C17/1000000,"Unknown"))</x:f>
        <x:v>0</x:v>
      </x:c>
      <x:c r="G87" s="33" t="n">
        <x:f>IF(ISNUMBER(E87),ROUND(E87*'Reference data'!$B$2,0),"Unknown")</x:f>
        <x:v>0</x:v>
      </x:c>
      <x:c r="H87" s="33" t="n">
        <x:f>IF(ISNUMBER(F87),ROUND(F87*'Reference data'!$B$2,0),"Unknown")</x:f>
        <x:v>0</x:v>
      </x:c>
      <x:c r="I87" s="14"/>
      <x:c r="J87" s="2"/>
      <x:c r="K87" s="2"/>
      <x:c r="L87" s="33"/>
      <x:c r="M87" s="2"/>
    </x:row>
    <x:row r="88" ht="24" customHeight="1">
      <x:c r="A88" s="2" t="str">
        <x:v>R6</x:v>
      </x:c>
      <x:c r="B88" s="2" t="n">
        <x:v>1</x:v>
      </x:c>
      <x:c r="C88" s="22" t="str">
        <x:v>Fresh input</x:v>
      </x:c>
      <x:c r="D88" s="33" t="n">
        <x:v>994</x:v>
      </x:c>
      <x:c r="E88" s="11" t="n">
        <x:f>IF(AND(ISNUMBER(F88),ISNUMBER('Reference data'!$B$3)),F88*'Reference data'!$B$3,"Unknown")</x:f>
        <x:v>0.00017347288000000002</x:v>
      </x:c>
      <x:c r="F88" s="11" t="n">
        <x:f>IF(D88=0,0,IF(ISNUMBER('Reference data'!B17),D88*'Reference data'!B17/1000000,"Unknown"))</x:f>
        <x:v>0.0001988</x:v>
      </x:c>
      <x:c r="G88" s="33" t="n">
        <x:f>IF(ISNUMBER(E88),ROUND(E88*'Reference data'!$B$2,0),"Unknown")</x:f>
        <x:v>17</x:v>
      </x:c>
      <x:c r="H88" s="33" t="n">
        <x:f>IF(ISNUMBER(F88),ROUND(F88*'Reference data'!$B$2,0),"Unknown")</x:f>
        <x:v>20</x:v>
      </x:c>
      <x:c r="I88" s="14"/>
      <x:c r="J88" s="2"/>
      <x:c r="K88" s="2"/>
      <x:c r="L88" s="33"/>
      <x:c r="M88" s="2"/>
    </x:row>
    <x:row r="89" ht="47" customHeight="1">
      <x:c r="A89" s="2" t="str">
        <x:v>R6</x:v>
      </x:c>
      <x:c r="B89" s="2" t="n">
        <x:v>1</x:v>
      </x:c>
      <x:c r="C89" s="2" t="str">
        <x:v>    Tool result</x:v>
      </x:c>
      <x:c r="D89" s="33"/>
      <x:c r="E89" s="11"/>
      <x:c r="F89" s="11"/>
      <x:c r="G89" s="33"/>
      <x:c r="H89" s="33"/>
      <x:c r="I89" s="14" t="str">
        <x:v>{"document": "target", "content": "Project summary\nWe prepare clear, practical reports.\n\nReviewed by the project team.\nNext step: request a quote.\n\nReviewed by the project team.\nNext step: request a quote.\n"}</x:v>
      </x:c>
      <x:c r="J89" s="2"/>
      <x:c r="K89" s="2"/>
      <x:c r="L89" s="33"/>
      <x:c r="M89" s="2"/>
    </x:row>
    <x:row r="90" ht="24" customHeight="1">
      <x:c r="A90" s="2" t="str">
        <x:v>R6</x:v>
      </x:c>
      <x:c r="B90" s="2" t="n">
        <x:v>1</x:v>
      </x:c>
      <x:c r="C90" s="2" t="str">
        <x:v>Cache write</x:v>
      </x:c>
      <x:c r="D90" s="33"/>
      <x:c r="E90" s="11"/>
      <x:c r="F90" s="11"/>
      <x:c r="G90" s="33"/>
      <x:c r="H90" s="33"/>
      <x:c r="I90" s="14"/>
      <x:c r="J90" s="2"/>
      <x:c r="K90" s="2"/>
      <x:c r="L90" s="33"/>
      <x:c r="M90" s="2"/>
    </x:row>
    <x:row r="91" ht="24" customHeight="1">
      <x:c r="A91" s="2" t="str">
        <x:v>R6</x:v>
      </x:c>
      <x:c r="B91" s="2" t="n">
        <x:v>1</x:v>
      </x:c>
      <x:c r="C91" s="2" t="str">
        <x:v>Context · added / total</x:v>
      </x:c>
      <x:c r="D91" s="33"/>
      <x:c r="E91" s="11"/>
      <x:c r="F91" s="11"/>
      <x:c r="G91" s="33"/>
      <x:c r="H91" s="33"/>
      <x:c r="I91" s="14"/>
      <x:c r="J91" s="2"/>
      <x:c r="K91" s="2"/>
      <x:c r="L91" s="33"/>
      <x:c r="M91" s="2"/>
    </x:row>
    <x:row r="92" ht="24" customHeight="1">
      <x:c r="A92" s="21" t="str">
        <x:v>R6</x:v>
      </x:c>
      <x:c r="B92" s="21" t="n">
        <x:v>1</x:v>
      </x:c>
      <x:c r="C92" s="21" t="str">
        <x:v>LLM response</x:v>
      </x:c>
      <x:c r="D92" s="32" t="n">
        <x:v>13</x:v>
      </x:c>
      <x:c r="E92" s="29"/>
      <x:c r="F92" s="29"/>
      <x:c r="G92" s="32"/>
      <x:c r="H92" s="32"/>
      <x:c r="I92" s="26"/>
      <x:c r="J92" s="21"/>
      <x:c r="K92" s="21"/>
      <x:c r="L92" s="32"/>
      <x:c r="M92" s="21"/>
    </x:row>
    <x:row r="93" ht="24" customHeight="1">
      <x:c r="A93" s="2" t="str">
        <x:v>R6</x:v>
      </x:c>
      <x:c r="B93" s="2" t="n">
        <x:v>1</x:v>
      </x:c>
      <x:c r="C93" s="22" t="str">
        <x:v>Output</x:v>
      </x:c>
      <x:c r="D93" s="33" t="n">
        <x:v>13</x:v>
      </x:c>
      <x:c r="E93" s="11" t="n">
        <x:f>IF(AND(ISNUMBER(F93),ISNUMBER('Reference data'!$B$3)),F93*'Reference data'!$B$3,"Unknown")</x:f>
        <x:v>0.00001361256</x:v>
      </x:c>
      <x:c r="F93" s="11" t="n">
        <x:f>IF(D93=0,0,IF(ISNUMBER('Reference data'!E17),D93*'Reference data'!E17/1000000,"Unknown"))</x:f>
        <x:v>0.0000156</x:v>
      </x:c>
      <x:c r="G93" s="33" t="n">
        <x:f>IF(ISNUMBER(E93),ROUND(E93*'Reference data'!$B$2,0),"Unknown")</x:f>
        <x:v>1</x:v>
      </x:c>
      <x:c r="H93" s="33" t="n">
        <x:f>IF(ISNUMBER(F93),ROUND(F93*'Reference data'!$B$2,0),"Unknown")</x:f>
        <x:v>2</x:v>
      </x:c>
      <x:c r="I93" s="14"/>
      <x:c r="J93" s="2"/>
      <x:c r="K93" s="2"/>
      <x:c r="L93" s="33"/>
      <x:c r="M93" s="2"/>
    </x:row>
    <x:row r="94" ht="34" customHeight="1">
      <x:c r="A94" s="2" t="str">
        <x:v>R6</x:v>
      </x:c>
      <x:c r="B94" s="2" t="n">
        <x:v>1</x:v>
      </x:c>
      <x:c r="C94" s="2" t="str">
        <x:v>    Output content</x:v>
      </x:c>
      <x:c r="D94" s="33"/>
      <x:c r="E94" s="11"/>
      <x:c r="F94" s="11"/>
      <x:c r="G94" s="33"/>
      <x:c r="H94" s="33"/>
      <x:c r="I94" s="14" t="str">
        <x:v>[{"type":"text","text":"Appended the two sentences as separate changes.","phase":"final_answer","index":0,"id":"msg_02fbc37f694deedf006ab12b4a6c6087d2a6c5b1b2fdcf1101"}]</x:v>
      </x:c>
      <x:c r="J94" s="2"/>
      <x:c r="K94" s="2"/>
      <x:c r="L94" s="33"/>
      <x:c r="M94" s="2"/>
    </x:row>
    <x:row r="95" ht="24" customHeight="1">
      <x:c r="A95" s="2" t="str">
        <x:v>R6</x:v>
      </x:c>
      <x:c r="B95" s="2" t="n">
        <x:v>1</x:v>
      </x:c>
      <x:c r="C95" s="2" t="str">
        <x:v>Cache write</x:v>
      </x:c>
      <x:c r="D95" s="33"/>
      <x:c r="E95" s="11"/>
      <x:c r="F95" s="11"/>
      <x:c r="G95" s="33"/>
      <x:c r="H95" s="33"/>
      <x:c r="I95" s="14"/>
      <x:c r="J95" s="2"/>
      <x:c r="K95" s="2"/>
      <x:c r="L95" s="33"/>
      <x:c r="M95" s="2"/>
    </x:row>
    <x:row r="96" ht="24" customHeight="1">
      <x:c r="A96" s="2" t="str">
        <x:v>R6</x:v>
      </x:c>
      <x:c r="B96" s="2" t="n">
        <x:v>1</x:v>
      </x:c>
      <x:c r="C96" s="2" t="str">
        <x:v>Context · added / total</x:v>
      </x:c>
      <x:c r="D96" s="33"/>
      <x:c r="E96" s="11"/>
      <x:c r="F96" s="11"/>
      <x:c r="G96" s="33"/>
      <x:c r="H96" s="33"/>
      <x:c r="I96" s="14"/>
      <x:c r="J96" s="2"/>
      <x:c r="K96" s="2"/>
      <x:c r="L96" s="33"/>
      <x:c r="M96" s="2"/>
    </x:row>
    <x:row r="97" ht="24" customHeight="1">
      <x:c r="A97" s="21" t="str">
        <x:v>R6</x:v>
      </x:c>
      <x:c r="B97" s="21" t="n">
        <x:v>1</x:v>
      </x:c>
      <x:c r="C97" s="21" t="str">
        <x:v>Call total</x:v>
      </x:c>
      <x:c r="D97" s="32"/>
      <x:c r="E97" s="29" t="n">
        <x:f>IF(COUNT(E87,E88,E93)=3,SUM(E87,E88,E93),"Unknown")</x:f>
        <x:v>0.00018708544</x:v>
      </x:c>
      <x:c r="F97" s="29" t="n">
        <x:f>IF(COUNT(F87,F88,F93)=3,SUM(F87,F88,F93),"Unknown")</x:f>
        <x:v>0.0002144</x:v>
      </x:c>
      <x:c r="G97" s="32" t="n">
        <x:f>IF(ISNUMBER(E97),ROUND(E97*'Reference data'!$B$2,0),"Unknown")</x:f>
        <x:v>19</x:v>
      </x:c>
      <x:c r="H97" s="32" t="n">
        <x:f>IF(ISNUMBER(F97),ROUND(F97*'Reference data'!$B$2,0),"Unknown")</x:f>
        <x:v>21</x:v>
      </x:c>
      <x:c r="I97" s="26"/>
      <x:c r="J97" s="21"/>
      <x:c r="K97" s="21" t="str">
        <x:v>ok</x:v>
      </x:c>
      <x:c r="L97" s="32"/>
      <x:c r="M97" s="21"/>
    </x:row>
  </x:sheetData>
  <x:conditionalFormatting sqref="A2:M97">
    <x:cfRule type="expression" dxfId="2" priority="1">
      <x:formula>$K2="error"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3B70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8" hidden="0" customWidth="1"/>
    <x:col min="2" max="2" width="12" hidden="0" customWidth="1"/>
    <x:col min="3" max="3" width="12" hidden="0" customWidth="1"/>
    <x:col min="4" max="4" width="26" hidden="0" customWidth="1"/>
    <x:col min="5" max="5" width="18" hidden="0" customWidth="1"/>
    <x:col min="6" max="6" width="18" hidden="0" customWidth="1"/>
    <x:col min="7" max="7" width="62" hidden="0" customWidth="1"/>
    <x:col min="8" max="8" width="38" hidden="0" customWidth="1"/>
    <x:col min="9" max="9" width="3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</x:cols>
  <x:sheetData>
    <x:row r="1" ht="44" customHeight="1">
      <x:c r="A1" s="7" t="str">
        <x:v>Operation</x:v>
      </x:c>
      <x:c r="B1" s="7" t="str">
        <x:v>Depth</x:v>
      </x:c>
      <x:c r="C1" s="7" t="str">
        <x:v>Type</x:v>
      </x:c>
      <x:c r="D1" s="7" t="str">
        <x:v>Model · effort</x:v>
      </x:c>
      <x:c r="E1" s="7" t="str">
        <x:v>Status</x:v>
      </x:c>
      <x:c r="F1" s="7" t="str">
        <x:v>Input context tokens</x:v>
      </x:c>
      <x:c r="G1" s="7" t="str">
        <x:v>Description</x:v>
      </x:c>
      <x:c r="H1" s="7" t="str">
        <x:v>Span ID</x:v>
      </x:c>
      <x:c r="I1" s="7" t="str">
        <x:v>Parent ID</x:v>
      </x:c>
      <x:c r="J1" s="7" t="str">
        <x:v>Fresh input tokens</x:v>
      </x:c>
      <x:c r="K1" s="7" t="str">
        <x:v>Fresh input EUR</x:v>
      </x:c>
      <x:c r="L1" s="7" t="str">
        <x:v>Fresh input USD</x:v>
      </x:c>
      <x:c r="M1" s="7" t="str">
        <x:v>Cache read tokens</x:v>
      </x:c>
      <x:c r="N1" s="7" t="str">
        <x:v>Cache read EUR</x:v>
      </x:c>
      <x:c r="O1" s="7" t="str">
        <x:v>Cache read USD</x:v>
      </x:c>
      <x:c r="P1" s="7" t="str">
        <x:v>Cache write tokens</x:v>
      </x:c>
      <x:c r="Q1" s="7" t="str">
        <x:v>Cache write EUR</x:v>
      </x:c>
      <x:c r="R1" s="7" t="str">
        <x:v>Cache write USD</x:v>
      </x:c>
      <x:c r="S1" s="7" t="str">
        <x:v>Output (non-reasoning) tokens</x:v>
      </x:c>
      <x:c r="T1" s="7" t="str">
        <x:v>Output (non-reasoning) EUR</x:v>
      </x:c>
      <x:c r="U1" s="7" t="str">
        <x:v>Output (non-reasoning) USD</x:v>
      </x:c>
      <x:c r="V1" s="7" t="str">
        <x:v>Reasoning tokens</x:v>
      </x:c>
      <x:c r="W1" s="7" t="str">
        <x:v>Reasoning EUR</x:v>
      </x:c>
      <x:c r="X1" s="7" t="str">
        <x:v>Reasoning USD</x:v>
      </x:c>
      <x:c r="Y1" s="7" t="str">
        <x:v>Total EUR</x:v>
      </x:c>
      <x:c r="Z1" s="7" t="str">
        <x:v>Total USD</x:v>
      </x:c>
      <x:c r="AA1" s="7" t="str">
        <x:v>Projected EUR</x:v>
      </x:c>
      <x:c r="AB1" s="7" t="str">
        <x:v>Projected USD</x:v>
      </x:c>
      <x:c r="AC1" s="7" t="str">
        <x:v>Request</x:v>
      </x:c>
      <x:c r="AD1" s="7" t="str">
        <x:v>Elapsed ms</x:v>
      </x:c>
      <x:c r="AE1" s="7" t="str">
        <x:v>Accounting</x:v>
      </x:c>
    </x:row>
    <x:row r="2" ht="54" customHeight="1">
      <x:c r="A2" s="40" t="str">
        <x:v>file_editor</x:v>
      </x:c>
      <x:c r="B2" s="35" t="n">
        <x:v>0</x:v>
      </x:c>
      <x:c r="C2" s="35" t="str">
        <x:v>workflow</x:v>
      </x:c>
      <x:c r="D2" s="35" t="str"/>
      <x:c r="E2" s="35" t="str">
        <x:v>ok</x:v>
      </x:c>
      <x:c r="F2" s="37"/>
      <x:c r="G2" s="40" t="str">
        <x:v>Execute the file_editor workflow operation and pass its result to the next graph step.</x:v>
      </x:c>
      <x:c r="H2" s="35" t="str">
        <x:v>01a0c410-e7cb-79f0-a41b-0c24b54e5453</x:v>
      </x:c>
      <x:c r="I2" s="35"/>
      <x:c r="J2" s="33" t="n">
        <x:f>IF(COUNT('Turns'!D5,'Turns'!D26)=2,SUM('Turns'!D5,'Turns'!D26),"Unknown")</x:f>
        <x:v>704</x:v>
      </x:c>
      <x:c r="K2" s="11" t="n">
        <x:f>IF(COUNT('Turns'!E5,'Turns'!E26)=2,SUM('Turns'!E5,'Turns'!E26),"Unknown")</x:f>
        <x:v>0.00012286208</x:v>
      </x:c>
      <x:c r="L2" s="11" t="n">
        <x:f>IF(COUNT('Turns'!F5,'Turns'!F26)=2,SUM('Turns'!F5,'Turns'!F26),"Unknown")</x:f>
        <x:v>0.0001408</x:v>
      </x:c>
      <x:c r="M2" s="33" t="n">
        <x:f>IF(COUNT('Turns'!D25)=1,SUM('Turns'!D25),"Unknown")</x:f>
        <x:v>0</x:v>
      </x:c>
      <x:c r="N2" s="11" t="n">
        <x:f>IF(COUNT('Turns'!E25)=1,SUM('Turns'!E25),"Unknown")</x:f>
        <x:v>0</x:v>
      </x:c>
      <x:c r="O2" s="11" t="n">
        <x:f>IF(COUNT('Turns'!F25)=1,SUM('Turns'!F25),"Unknown")</x:f>
        <x:v>0</x:v>
      </x:c>
      <x:c r="P2" s="33" t="n">
        <x:v>0</x:v>
      </x:c>
      <x:c r="Q2" s="11" t="n">
        <x:v>0</x:v>
      </x:c>
      <x:c r="R2" s="11" t="n">
        <x:v>0</x:v>
      </x:c>
      <x:c r="S2" s="33" t="n">
        <x:f>IF(COUNT('Turns'!D13,'Turns'!D32)=2,SUM('Turns'!D13,'Turns'!D32),"Unknown")</x:f>
        <x:v>135</x:v>
      </x:c>
      <x:c r="T2" s="11" t="n">
        <x:f>IF(COUNT('Turns'!E13,'Turns'!E32)=2,SUM('Turns'!E13,'Turns'!E32),"Unknown")</x:f>
        <x:v>0.00014136120000000002</x:v>
      </x:c>
      <x:c r="U2" s="11" t="n">
        <x:f>IF(COUNT('Turns'!F13,'Turns'!F32)=2,SUM('Turns'!F13,'Turns'!F32),"Unknown")</x:f>
        <x:v>0.000162</x:v>
      </x:c>
      <x:c r="V2" s="33" t="n">
        <x:f>IF(COUNT('Turns'!D12,'Turns'!D31)=2,SUM('Turns'!D12,'Turns'!D31),"Unknown")</x:f>
        <x:v>167</x:v>
      </x:c>
      <x:c r="W2" s="11" t="n">
        <x:f>IF(COUNT('Turns'!E12,'Turns'!E31)=2,SUM('Turns'!E12,'Turns'!E31),"Unknown")</x:f>
        <x:v>0.00017486904</x:v>
      </x:c>
      <x:c r="X2" s="11" t="n">
        <x:f>IF(COUNT('Turns'!F12,'Turns'!F31)=2,SUM('Turns'!F12,'Turns'!F31),"Unknown")</x:f>
        <x:v>0.0002004</x:v>
      </x:c>
      <x:c r="Y2" s="11" t="n">
        <x:f>IF(COUNT('Turns'!E17,'Turns'!E36)=2,SUM('Turns'!E17,'Turns'!E36),"Unknown")</x:f>
        <x:v>0.00043909232000000005</x:v>
      </x:c>
      <x:c r="Z2" s="11" t="n">
        <x:f>IF(COUNT('Turns'!F17,'Turns'!F36)=2,SUM('Turns'!F17,'Turns'!F36),"Unknown")</x:f>
        <x:v>0.0005032</x:v>
      </x:c>
      <x:c r="AA2" s="33" t="n">
        <x:f>IF(ISNUMBER(Y2),ROUND(Y2*'Reference data'!$B$2,0),"Unknown")</x:f>
        <x:v>44</x:v>
      </x:c>
      <x:c r="AB2" s="33" t="n">
        <x:f>IF(ISNUMBER(Z2),ROUND(Z2*'Reference data'!$B$2,0),"Unknown")</x:f>
        <x:v>50</x:v>
      </x:c>
      <x:c r="AC2" s="2"/>
      <x:c r="AD2" s="43" t="n">
        <x:v>5704.287232</x:v>
      </x:c>
      <x:c r="AE2" s="2" t="str">
        <x:v>Subtree total</x:v>
      </x:c>
    </x:row>
    <x:row r="3" ht="54" customHeight="1">
      <x:c r="A3" s="41" t="str">
        <x:v>    model</x:v>
      </x:c>
      <x:c r="B3" s="36" t="n">
        <x:v>1</x:v>
      </x:c>
      <x:c r="C3" s="36" t="str">
        <x:v>workflow</x:v>
      </x:c>
      <x:c r="D3" s="36" t="str"/>
      <x:c r="E3" s="36" t="str">
        <x:v>ok</x:v>
      </x:c>
      <x:c r="F3" s="38"/>
      <x:c r="G3" s="41" t="str">
        <x:v>Prepare the current conversation, run model middleware, and invoke the chat model.</x:v>
      </x:c>
      <x:c r="H3" s="36" t="str">
        <x:v>01a0c410-e7ce-7102-b348-1c54b1874184</x:v>
      </x:c>
      <x:c r="I3" s="36" t="str">
        <x:v>01a0c410-e7cb-79f0-a41b-0c24b54e5453</x:v>
      </x:c>
      <x:c r="J3" s="33" t="n">
        <x:f>IF(COUNT('Turns'!D5)=1,SUM('Turns'!D5),"Unknown")</x:f>
        <x:v>278</x:v>
      </x:c>
      <x:c r="K3" s="11" t="n">
        <x:f>IF(COUNT('Turns'!E5)=1,SUM('Turns'!E5),"Unknown")</x:f>
        <x:v>0.000048516560000000006</x:v>
      </x:c>
      <x:c r="L3" s="11" t="n">
        <x:f>IF(COUNT('Turns'!F5)=1,SUM('Turns'!F5),"Unknown")</x:f>
        <x:v>0.0000556</x:v>
      </x:c>
      <x:c r="M3" s="33" t="n">
        <x:v>0</x:v>
      </x:c>
      <x:c r="N3" s="11" t="n">
        <x:v>0</x:v>
      </x:c>
      <x:c r="O3" s="11" t="n">
        <x:v>0</x:v>
      </x:c>
      <x:c r="P3" s="33" t="n">
        <x:v>0</x:v>
      </x:c>
      <x:c r="Q3" s="11" t="n">
        <x:v>0</x:v>
      </x:c>
      <x:c r="R3" s="11" t="n">
        <x:v>0</x:v>
      </x:c>
      <x:c r="S3" s="33" t="n">
        <x:f>IF(COUNT('Turns'!D13)=1,SUM('Turns'!D13),"Unknown")</x:f>
        <x:v>50</x:v>
      </x:c>
      <x:c r="T3" s="11" t="n">
        <x:f>IF(COUNT('Turns'!E13)=1,SUM('Turns'!E13),"Unknown")</x:f>
        <x:v>0.000052356000000000005</x:v>
      </x:c>
      <x:c r="U3" s="11" t="n">
        <x:f>IF(COUNT('Turns'!F13)=1,SUM('Turns'!F13),"Unknown")</x:f>
        <x:v>0.00006</x:v>
      </x:c>
      <x:c r="V3" s="33" t="n">
        <x:f>IF(COUNT('Turns'!D12)=1,SUM('Turns'!D12),"Unknown")</x:f>
        <x:v>18</x:v>
      </x:c>
      <x:c r="W3" s="11" t="n">
        <x:f>IF(COUNT('Turns'!E12)=1,SUM('Turns'!E12),"Unknown")</x:f>
        <x:v>0.000018848159999999997</x:v>
      </x:c>
      <x:c r="X3" s="11" t="n">
        <x:f>IF(COUNT('Turns'!F12)=1,SUM('Turns'!F12),"Unknown")</x:f>
        <x:v>0.000021599999999999996</x:v>
      </x:c>
      <x:c r="Y3" s="11" t="n">
        <x:f>IF(COUNT('Turns'!E17)=1,SUM('Turns'!E17),"Unknown")</x:f>
        <x:v>0.00011972072000000002</x:v>
      </x:c>
      <x:c r="Z3" s="11" t="n">
        <x:f>IF(COUNT('Turns'!F17)=1,SUM('Turns'!F17),"Unknown")</x:f>
        <x:v>0.0001372</x:v>
      </x:c>
      <x:c r="AA3" s="33" t="n">
        <x:f>IF(ISNUMBER(Y3),ROUND(Y3*'Reference data'!$B$2,0),"Unknown")</x:f>
        <x:v>12</x:v>
      </x:c>
      <x:c r="AB3" s="33" t="n">
        <x:f>IF(ISNUMBER(Z3),ROUND(Z3*'Reference data'!$B$2,0),"Unknown")</x:f>
        <x:v>14</x:v>
      </x:c>
      <x:c r="AC3" s="2"/>
      <x:c r="AD3" s="43" t="n">
        <x:v>1910.714112</x:v>
      </x:c>
      <x:c r="AE3" s="2" t="str">
        <x:v>Subtree total</x:v>
      </x:c>
    </x:row>
    <x:row r="4" ht="54" customHeight="1">
      <x:c r="A4" s="42" t="str">
        <x:v>        ChatOpenAI</x:v>
      </x:c>
      <x:c r="B4" s="20" t="n">
        <x:v>2</x:v>
      </x:c>
      <x:c r="C4" s="20" t="str">
        <x:v>model</x:v>
      </x:c>
      <x:c r="D4" s="20" t="str">
        <x:v>gpt-5.6-luna</x:v>
      </x:c>
      <x:c r="E4" s="20" t="str">
        <x:v>ok</x:v>
      </x:c>
      <x:c r="F4" s="39" t="n">
        <x:v>278</x:v>
      </x:c>
      <x:c r="G4" s="42" t="str">
        <x:v>Generate the next assistant message or tool request from the current conversation.</x:v>
      </x:c>
      <x:c r="H4" s="20" t="str">
        <x:v>01a0c410-e7cf-79a0-b847-f3bbbd51105b</x:v>
      </x:c>
      <x:c r="I4" s="20" t="str">
        <x:v>01a0c410-e7ce-7102-b348-1c54b1874184</x:v>
      </x:c>
      <x:c r="J4" s="33" t="n">
        <x:f>IF(COUNT('Turns'!D5)=1,SUM('Turns'!D5),"Unknown")</x:f>
        <x:v>278</x:v>
      </x:c>
      <x:c r="K4" s="11" t="n">
        <x:f>IF(COUNT('Turns'!E5)=1,SUM('Turns'!E5),"Unknown")</x:f>
        <x:v>0.000048516560000000006</x:v>
      </x:c>
      <x:c r="L4" s="11" t="n">
        <x:f>IF(COUNT('Turns'!F5)=1,SUM('Turns'!F5),"Unknown")</x:f>
        <x:v>0.0000556</x:v>
      </x:c>
      <x:c r="M4" s="33" t="n">
        <x:v>0</x:v>
      </x:c>
      <x:c r="N4" s="11" t="n">
        <x:v>0</x:v>
      </x:c>
      <x:c r="O4" s="11" t="n">
        <x:v>0</x:v>
      </x:c>
      <x:c r="P4" s="33" t="n">
        <x:v>0</x:v>
      </x:c>
      <x:c r="Q4" s="11" t="n">
        <x:v>0</x:v>
      </x:c>
      <x:c r="R4" s="11" t="n">
        <x:v>0</x:v>
      </x:c>
      <x:c r="S4" s="33" t="n">
        <x:f>IF(COUNT('Turns'!D13)=1,SUM('Turns'!D13),"Unknown")</x:f>
        <x:v>50</x:v>
      </x:c>
      <x:c r="T4" s="11" t="n">
        <x:f>IF(COUNT('Turns'!E13)=1,SUM('Turns'!E13),"Unknown")</x:f>
        <x:v>0.000052356000000000005</x:v>
      </x:c>
      <x:c r="U4" s="11" t="n">
        <x:f>IF(COUNT('Turns'!F13)=1,SUM('Turns'!F13),"Unknown")</x:f>
        <x:v>0.00006</x:v>
      </x:c>
      <x:c r="V4" s="33" t="n">
        <x:f>IF(COUNT('Turns'!D12)=1,SUM('Turns'!D12),"Unknown")</x:f>
        <x:v>18</x:v>
      </x:c>
      <x:c r="W4" s="11" t="n">
        <x:f>IF(COUNT('Turns'!E12)=1,SUM('Turns'!E12),"Unknown")</x:f>
        <x:v>0.000018848159999999997</x:v>
      </x:c>
      <x:c r="X4" s="11" t="n">
        <x:f>IF(COUNT('Turns'!F12)=1,SUM('Turns'!F12),"Unknown")</x:f>
        <x:v>0.000021599999999999996</x:v>
      </x:c>
      <x:c r="Y4" s="11" t="n">
        <x:f>IF(COUNT('Turns'!E17)=1,SUM('Turns'!E17),"Unknown")</x:f>
        <x:v>0.00011972072000000002</x:v>
      </x:c>
      <x:c r="Z4" s="11" t="n">
        <x:f>IF(COUNT('Turns'!F17)=1,SUM('Turns'!F17),"Unknown")</x:f>
        <x:v>0.0001372</x:v>
      </x:c>
      <x:c r="AA4" s="33" t="n">
        <x:f>IF(ISNUMBER(Y4),ROUND(Y4*'Reference data'!$B$2,0),"Unknown")</x:f>
        <x:v>12</x:v>
      </x:c>
      <x:c r="AB4" s="33" t="n">
        <x:f>IF(ISNUMBER(Z4),ROUND(Z4*'Reference data'!$B$2,0),"Unknown")</x:f>
        <x:v>14</x:v>
      </x:c>
      <x:c r="AC4" s="2" t="str">
        <x:v>R1</x:v>
      </x:c>
      <x:c r="AD4" s="43" t="n">
        <x:v>1908.519168</x:v>
      </x:c>
      <x:c r="AE4" s="2" t="str">
        <x:v>Own call</x:v>
      </x:c>
    </x:row>
    <x:row r="5" ht="54" customHeight="1">
      <x:c r="A5" s="41" t="str">
        <x:v>    RestrictedToolApproval.after_model</x:v>
      </x:c>
      <x:c r="B5" s="36" t="n">
        <x:v>1</x:v>
      </x:c>
      <x:c r="C5" s="36" t="str">
        <x:v>workflow</x:v>
      </x:c>
      <x:c r="D5" s="36" t="str"/>
      <x:c r="E5" s="36" t="str">
        <x:v>ok</x:v>
      </x:c>
      <x:c r="F5" s="38"/>
      <x:c r="G5" s="41" t="str">
        <x:v>Execute the RestrictedToolApproval.after_model workflow operation and pass its result to the next graph step.</x:v>
      </x:c>
      <x:c r="H5" s="36" t="str">
        <x:v>01a0c410-ef46-7ce2-b1d9-a5e88e266ea8</x:v>
      </x:c>
      <x:c r="I5" s="36" t="str">
        <x:v>01a0c410-e7cb-79f0-a41b-0c24b54e5453</x:v>
      </x:c>
      <x:c r="J5" s="33"/>
      <x:c r="K5" s="11"/>
      <x:c r="L5" s="11"/>
      <x:c r="M5" s="33"/>
      <x:c r="N5" s="11"/>
      <x:c r="O5" s="11"/>
      <x:c r="P5" s="33"/>
      <x:c r="Q5" s="11"/>
      <x:c r="R5" s="11"/>
      <x:c r="S5" s="33"/>
      <x:c r="T5" s="11"/>
      <x:c r="U5" s="11"/>
      <x:c r="V5" s="33"/>
      <x:c r="W5" s="11"/>
      <x:c r="X5" s="11"/>
      <x:c r="Y5" s="11"/>
      <x:c r="Z5" s="11"/>
      <x:c r="AA5" s="33"/>
      <x:c r="AB5" s="33"/>
      <x:c r="AC5" s="2"/>
      <x:c r="AD5" s="43" t="n">
        <x:v>0.46592</x:v>
      </x:c>
      <x:c r="AE5" s="2" t="str">
        <x:v>No model charge</x:v>
      </x:c>
    </x:row>
    <x:row r="6" ht="54" customHeight="1">
      <x:c r="A6" s="41" t="str">
        <x:v>    tools</x:v>
      </x:c>
      <x:c r="B6" s="36" t="n">
        <x:v>1</x:v>
      </x:c>
      <x:c r="C6" s="36" t="str">
        <x:v>workflow</x:v>
      </x:c>
      <x:c r="D6" s="36" t="str"/>
      <x:c r="E6" s="36" t="str">
        <x:v>ok</x:v>
      </x:c>
      <x:c r="F6" s="38"/>
      <x:c r="G6" s="41" t="str">
        <x:v>Execute tool calls requested by the preceding model response and return their observations.</x:v>
      </x:c>
      <x:c r="H6" s="36" t="str">
        <x:v>01a0c410-ef48-7f43-bdcf-2b954249c570</x:v>
      </x:c>
      <x:c r="I6" s="36" t="str">
        <x:v>01a0c410-e7cb-79f0-a41b-0c24b54e5453</x:v>
      </x:c>
      <x:c r="J6" s="33"/>
      <x:c r="K6" s="11"/>
      <x:c r="L6" s="11"/>
      <x:c r="M6" s="33"/>
      <x:c r="N6" s="11"/>
      <x:c r="O6" s="11"/>
      <x:c r="P6" s="33"/>
      <x:c r="Q6" s="11"/>
      <x:c r="R6" s="11"/>
      <x:c r="S6" s="33"/>
      <x:c r="T6" s="11"/>
      <x:c r="U6" s="11"/>
      <x:c r="V6" s="33"/>
      <x:c r="W6" s="11"/>
      <x:c r="X6" s="11"/>
      <x:c r="Y6" s="11"/>
      <x:c r="Z6" s="11"/>
      <x:c r="AA6" s="33"/>
      <x:c r="AB6" s="33"/>
      <x:c r="AC6" s="2"/>
      <x:c r="AD6" s="43" t="n">
        <x:v>3.394816</x:v>
      </x:c>
      <x:c r="AE6" s="2" t="str">
        <x:v>No model charge</x:v>
      </x:c>
    </x:row>
    <x:row r="7" ht="54" customHeight="1">
      <x:c r="A7" s="41" t="str">
        <x:v>        read_file</x:v>
      </x:c>
      <x:c r="B7" s="36" t="n">
        <x:v>2</x:v>
      </x:c>
      <x:c r="C7" s="36" t="str">
        <x:v>tool</x:v>
      </x:c>
      <x:c r="D7" s="36" t="str"/>
      <x:c r="E7" s="36" t="str">
        <x:v>ok</x:v>
      </x:c>
      <x:c r="F7" s="38"/>
      <x:c r="G7" s="41" t="str">
        <x:v>Read source or target; return content, or null for a missing target.</x:v>
      </x:c>
      <x:c r="H7" s="36" t="str">
        <x:v>01a0c410-ef49-7fc0-a3af-53a49a4dc082</x:v>
      </x:c>
      <x:c r="I7" s="36" t="str">
        <x:v>01a0c410-ef48-7f43-bdcf-2b954249c570</x:v>
      </x:c>
      <x:c r="J7" s="33"/>
      <x:c r="K7" s="11"/>
      <x:c r="L7" s="11"/>
      <x:c r="M7" s="33"/>
      <x:c r="N7" s="11"/>
      <x:c r="O7" s="11"/>
      <x:c r="P7" s="33"/>
      <x:c r="Q7" s="11"/>
      <x:c r="R7" s="11"/>
      <x:c r="S7" s="33"/>
      <x:c r="T7" s="11"/>
      <x:c r="U7" s="11"/>
      <x:c r="V7" s="33"/>
      <x:c r="W7" s="11"/>
      <x:c r="X7" s="11"/>
      <x:c r="Y7" s="11"/>
      <x:c r="Z7" s="11"/>
      <x:c r="AA7" s="33"/>
      <x:c r="AB7" s="33"/>
      <x:c r="AC7" s="2"/>
      <x:c r="AD7" s="43" t="n">
        <x:v>2.066176</x:v>
      </x:c>
      <x:c r="AE7" s="2" t="str">
        <x:v>No model charge</x:v>
      </x:c>
    </x:row>
    <x:row r="8" ht="54" customHeight="1">
      <x:c r="A8" s="41" t="str">
        <x:v>    tools</x:v>
      </x:c>
      <x:c r="B8" s="36" t="n">
        <x:v>1</x:v>
      </x:c>
      <x:c r="C8" s="36" t="str">
        <x:v>workflow</x:v>
      </x:c>
      <x:c r="D8" s="36" t="str"/>
      <x:c r="E8" s="36" t="str">
        <x:v>ok</x:v>
      </x:c>
      <x:c r="F8" s="38"/>
      <x:c r="G8" s="41" t="str">
        <x:v>Execute tool calls requested by the preceding model response and return their observations.</x:v>
      </x:c>
      <x:c r="H8" s="36" t="str">
        <x:v>01a0c410-ef48-7f43-bdcf-2ba94dd37384</x:v>
      </x:c>
      <x:c r="I8" s="36" t="str">
        <x:v>01a0c410-e7cb-79f0-a41b-0c24b54e5453</x:v>
      </x:c>
      <x:c r="J8" s="33"/>
      <x:c r="K8" s="11"/>
      <x:c r="L8" s="11"/>
      <x:c r="M8" s="33"/>
      <x:c r="N8" s="11"/>
      <x:c r="O8" s="11"/>
      <x:c r="P8" s="33"/>
      <x:c r="Q8" s="11"/>
      <x:c r="R8" s="11"/>
      <x:c r="S8" s="33"/>
      <x:c r="T8" s="11"/>
      <x:c r="U8" s="11"/>
      <x:c r="V8" s="33"/>
      <x:c r="W8" s="11"/>
      <x:c r="X8" s="11"/>
      <x:c r="Y8" s="11"/>
      <x:c r="Z8" s="11"/>
      <x:c r="AA8" s="33"/>
      <x:c r="AB8" s="33"/>
      <x:c r="AC8" s="2"/>
      <x:c r="AD8" s="43" t="n">
        <x:v>6.4</x:v>
      </x:c>
      <x:c r="AE8" s="2" t="str">
        <x:v>No model charge</x:v>
      </x:c>
    </x:row>
    <x:row r="9" ht="54" customHeight="1">
      <x:c r="A9" s="41" t="str">
        <x:v>        read_file</x:v>
      </x:c>
      <x:c r="B9" s="36" t="n">
        <x:v>2</x:v>
      </x:c>
      <x:c r="C9" s="36" t="str">
        <x:v>tool</x:v>
      </x:c>
      <x:c r="D9" s="36" t="str"/>
      <x:c r="E9" s="36" t="str">
        <x:v>ok</x:v>
      </x:c>
      <x:c r="F9" s="38"/>
      <x:c r="G9" s="41" t="str">
        <x:v>Read source or target; return content, or null for a missing target.</x:v>
      </x:c>
      <x:c r="H9" s="36" t="str">
        <x:v>01a0c410-ef49-7fc0-a3af-53bd81fa3db2</x:v>
      </x:c>
      <x:c r="I9" s="36" t="str">
        <x:v>01a0c410-ef48-7f43-bdcf-2ba94dd37384</x:v>
      </x:c>
      <x:c r="J9" s="33"/>
      <x:c r="K9" s="11"/>
      <x:c r="L9" s="11"/>
      <x:c r="M9" s="33"/>
      <x:c r="N9" s="11"/>
      <x:c r="O9" s="11"/>
      <x:c r="P9" s="33"/>
      <x:c r="Q9" s="11"/>
      <x:c r="R9" s="11"/>
      <x:c r="S9" s="33"/>
      <x:c r="T9" s="11"/>
      <x:c r="U9" s="11"/>
      <x:c r="V9" s="33"/>
      <x:c r="W9" s="11"/>
      <x:c r="X9" s="11"/>
      <x:c r="Y9" s="11"/>
      <x:c r="Z9" s="11"/>
      <x:c r="AA9" s="33"/>
      <x:c r="AB9" s="33"/>
      <x:c r="AC9" s="2"/>
      <x:c r="AD9" s="43" t="n">
        <x:v>4.956928</x:v>
      </x:c>
      <x:c r="AE9" s="2" t="str">
        <x:v>No model charge</x:v>
      </x:c>
    </x:row>
    <x:row r="10" ht="54" customHeight="1">
      <x:c r="A10" s="41" t="str">
        <x:v>    model</x:v>
      </x:c>
      <x:c r="B10" s="36" t="n">
        <x:v>1</x:v>
      </x:c>
      <x:c r="C10" s="36" t="str">
        <x:v>workflow</x:v>
      </x:c>
      <x:c r="D10" s="36" t="str"/>
      <x:c r="E10" s="36" t="str">
        <x:v>ok</x:v>
      </x:c>
      <x:c r="F10" s="38"/>
      <x:c r="G10" s="41" t="str">
        <x:v>Prepare the current conversation, run model middleware, and invoke the chat model.</x:v>
      </x:c>
      <x:c r="H10" s="36" t="str">
        <x:v>01a0c410-ef4f-7450-a11b-10ad681d6da2</x:v>
      </x:c>
      <x:c r="I10" s="36" t="str">
        <x:v>01a0c410-e7cb-79f0-a41b-0c24b54e5453</x:v>
      </x:c>
      <x:c r="J10" s="33" t="n">
        <x:f>IF(COUNT('Turns'!D26)=1,SUM('Turns'!D26),"Unknown")</x:f>
        <x:v>426</x:v>
      </x:c>
      <x:c r="K10" s="11" t="n">
        <x:f>IF(COUNT('Turns'!E26)=1,SUM('Turns'!E26),"Unknown")</x:f>
        <x:v>0.00007434552</x:v>
      </x:c>
      <x:c r="L10" s="11" t="n">
        <x:f>IF(COUNT('Turns'!F26)=1,SUM('Turns'!F26),"Unknown")</x:f>
        <x:v>0.0000852</x:v>
      </x:c>
      <x:c r="M10" s="33" t="n">
        <x:f>IF(COUNT('Turns'!D25)=1,SUM('Turns'!D25),"Unknown")</x:f>
        <x:v>0</x:v>
      </x:c>
      <x:c r="N10" s="11" t="n">
        <x:f>IF(COUNT('Turns'!E25)=1,SUM('Turns'!E25),"Unknown")</x:f>
        <x:v>0</x:v>
      </x:c>
      <x:c r="O10" s="11" t="n">
        <x:f>IF(COUNT('Turns'!F25)=1,SUM('Turns'!F25),"Unknown")</x:f>
        <x:v>0</x:v>
      </x:c>
      <x:c r="P10" s="33" t="n">
        <x:v>0</x:v>
      </x:c>
      <x:c r="Q10" s="11" t="n">
        <x:v>0</x:v>
      </x:c>
      <x:c r="R10" s="11" t="n">
        <x:v>0</x:v>
      </x:c>
      <x:c r="S10" s="33" t="n">
        <x:f>IF(COUNT('Turns'!D32)=1,SUM('Turns'!D32),"Unknown")</x:f>
        <x:v>85</x:v>
      </x:c>
      <x:c r="T10" s="11" t="n">
        <x:f>IF(COUNT('Turns'!E32)=1,SUM('Turns'!E32),"Unknown")</x:f>
        <x:v>0.0000890052</x:v>
      </x:c>
      <x:c r="U10" s="11" t="n">
        <x:f>IF(COUNT('Turns'!F32)=1,SUM('Turns'!F32),"Unknown")</x:f>
        <x:v>0.000102</x:v>
      </x:c>
      <x:c r="V10" s="33" t="n">
        <x:f>IF(COUNT('Turns'!D31)=1,SUM('Turns'!D31),"Unknown")</x:f>
        <x:v>149</x:v>
      </x:c>
      <x:c r="W10" s="11" t="n">
        <x:f>IF(COUNT('Turns'!E31)=1,SUM('Turns'!E31),"Unknown")</x:f>
        <x:v>0.00015602088</x:v>
      </x:c>
      <x:c r="X10" s="11" t="n">
        <x:f>IF(COUNT('Turns'!F31)=1,SUM('Turns'!F31),"Unknown")</x:f>
        <x:v>0.00017879999999999998</x:v>
      </x:c>
      <x:c r="Y10" s="11" t="n">
        <x:f>IF(COUNT('Turns'!E36)=1,SUM('Turns'!E36),"Unknown")</x:f>
        <x:v>0.00031937160000000003</x:v>
      </x:c>
      <x:c r="Z10" s="11" t="n">
        <x:f>IF(COUNT('Turns'!F36)=1,SUM('Turns'!F36),"Unknown")</x:f>
        <x:v>0.00036599999999999995</x:v>
      </x:c>
      <x:c r="AA10" s="33" t="n">
        <x:f>IF(ISNUMBER(Y10),ROUND(Y10*'Reference data'!$B$2,0),"Unknown")</x:f>
        <x:v>32</x:v>
      </x:c>
      <x:c r="AB10" s="33" t="n">
        <x:f>IF(ISNUMBER(Z10),ROUND(Z10*'Reference data'!$B$2,0),"Unknown")</x:f>
        <x:v>37</x:v>
      </x:c>
      <x:c r="AC10" s="2"/>
      <x:c r="AD10" s="43" t="n">
        <x:v>3777.12896</x:v>
      </x:c>
      <x:c r="AE10" s="2" t="str">
        <x:v>Subtree total</x:v>
      </x:c>
    </x:row>
    <x:row r="11" ht="54" customHeight="1">
      <x:c r="A11" s="42" t="str">
        <x:v>        ChatOpenAI</x:v>
      </x:c>
      <x:c r="B11" s="20" t="n">
        <x:v>2</x:v>
      </x:c>
      <x:c r="C11" s="20" t="str">
        <x:v>model</x:v>
      </x:c>
      <x:c r="D11" s="20" t="str">
        <x:v>gpt-5.6-luna</x:v>
      </x:c>
      <x:c r="E11" s="20" t="str">
        <x:v>ok</x:v>
      </x:c>
      <x:c r="F11" s="39" t="n">
        <x:v>426</x:v>
      </x:c>
      <x:c r="G11" s="42" t="str">
        <x:v>Generate the next assistant message or tool request from the current conversation.</x:v>
      </x:c>
      <x:c r="H11" s="20" t="str">
        <x:v>01a0c410-ef50-71a0-ac90-e25553a03c16</x:v>
      </x:c>
      <x:c r="I11" s="20" t="str">
        <x:v>01a0c410-ef4f-7450-a11b-10ad681d6da2</x:v>
      </x:c>
      <x:c r="J11" s="33" t="n">
        <x:f>IF(COUNT('Turns'!D26)=1,SUM('Turns'!D26),"Unknown")</x:f>
        <x:v>426</x:v>
      </x:c>
      <x:c r="K11" s="11" t="n">
        <x:f>IF(COUNT('Turns'!E26)=1,SUM('Turns'!E26),"Unknown")</x:f>
        <x:v>0.00007434552</x:v>
      </x:c>
      <x:c r="L11" s="11" t="n">
        <x:f>IF(COUNT('Turns'!F26)=1,SUM('Turns'!F26),"Unknown")</x:f>
        <x:v>0.0000852</x:v>
      </x:c>
      <x:c r="M11" s="33" t="n">
        <x:f>IF(COUNT('Turns'!D25)=1,SUM('Turns'!D25),"Unknown")</x:f>
        <x:v>0</x:v>
      </x:c>
      <x:c r="N11" s="11" t="n">
        <x:f>IF(COUNT('Turns'!E25)=1,SUM('Turns'!E25),"Unknown")</x:f>
        <x:v>0</x:v>
      </x:c>
      <x:c r="O11" s="11" t="n">
        <x:f>IF(COUNT('Turns'!F25)=1,SUM('Turns'!F25),"Unknown")</x:f>
        <x:v>0</x:v>
      </x:c>
      <x:c r="P11" s="33" t="n">
        <x:v>0</x:v>
      </x:c>
      <x:c r="Q11" s="11" t="n">
        <x:v>0</x:v>
      </x:c>
      <x:c r="R11" s="11" t="n">
        <x:v>0</x:v>
      </x:c>
      <x:c r="S11" s="33" t="n">
        <x:f>IF(COUNT('Turns'!D32)=1,SUM('Turns'!D32),"Unknown")</x:f>
        <x:v>85</x:v>
      </x:c>
      <x:c r="T11" s="11" t="n">
        <x:f>IF(COUNT('Turns'!E32)=1,SUM('Turns'!E32),"Unknown")</x:f>
        <x:v>0.0000890052</x:v>
      </x:c>
      <x:c r="U11" s="11" t="n">
        <x:f>IF(COUNT('Turns'!F32)=1,SUM('Turns'!F32),"Unknown")</x:f>
        <x:v>0.000102</x:v>
      </x:c>
      <x:c r="V11" s="33" t="n">
        <x:f>IF(COUNT('Turns'!D31)=1,SUM('Turns'!D31),"Unknown")</x:f>
        <x:v>149</x:v>
      </x:c>
      <x:c r="W11" s="11" t="n">
        <x:f>IF(COUNT('Turns'!E31)=1,SUM('Turns'!E31),"Unknown")</x:f>
        <x:v>0.00015602088</x:v>
      </x:c>
      <x:c r="X11" s="11" t="n">
        <x:f>IF(COUNT('Turns'!F31)=1,SUM('Turns'!F31),"Unknown")</x:f>
        <x:v>0.00017879999999999998</x:v>
      </x:c>
      <x:c r="Y11" s="11" t="n">
        <x:f>IF(COUNT('Turns'!E36)=1,SUM('Turns'!E36),"Unknown")</x:f>
        <x:v>0.00031937160000000003</x:v>
      </x:c>
      <x:c r="Z11" s="11" t="n">
        <x:f>IF(COUNT('Turns'!F36)=1,SUM('Turns'!F36),"Unknown")</x:f>
        <x:v>0.00036599999999999995</x:v>
      </x:c>
      <x:c r="AA11" s="33" t="n">
        <x:f>IF(ISNUMBER(Y11),ROUND(Y11*'Reference data'!$B$2,0),"Unknown")</x:f>
        <x:v>32</x:v>
      </x:c>
      <x:c r="AB11" s="33" t="n">
        <x:f>IF(ISNUMBER(Z11),ROUND(Z11*'Reference data'!$B$2,0),"Unknown")</x:f>
        <x:v>37</x:v>
      </x:c>
      <x:c r="AC11" s="2" t="str">
        <x:v>R2</x:v>
      </x:c>
      <x:c r="AD11" s="43" t="n">
        <x:v>3774.692864</x:v>
      </x:c>
      <x:c r="AE11" s="2" t="str">
        <x:v>Own call</x:v>
      </x:c>
    </x:row>
    <x:row r="12" ht="54" customHeight="1">
      <x:c r="A12" s="41" t="str">
        <x:v>    RestrictedToolApproval.after_model</x:v>
      </x:c>
      <x:c r="B12" s="36" t="n">
        <x:v>1</x:v>
      </x:c>
      <x:c r="C12" s="36" t="str">
        <x:v>workflow</x:v>
      </x:c>
      <x:c r="D12" s="36" t="str"/>
      <x:c r="E12" s="36" t="str">
        <x:v>interrupted</x:v>
      </x:c>
      <x:c r="F12" s="38"/>
      <x:c r="G12" s="41" t="str">
        <x:v>Execute the RestrictedToolApproval.after_model workflow operation and pass its result to the next graph step.</x:v>
      </x:c>
      <x:c r="H12" s="36" t="str">
        <x:v>01a0c410-fe12-7743-af5e-dc2d4a9680f1</x:v>
      </x:c>
      <x:c r="I12" s="36" t="str">
        <x:v>01a0c410-e7cb-79f0-a41b-0c24b54e5453</x:v>
      </x:c>
      <x:c r="J12" s="33"/>
      <x:c r="K12" s="11"/>
      <x:c r="L12" s="11"/>
      <x:c r="M12" s="33"/>
      <x:c r="N12" s="11"/>
      <x:c r="O12" s="11"/>
      <x:c r="P12" s="33"/>
      <x:c r="Q12" s="11"/>
      <x:c r="R12" s="11"/>
      <x:c r="S12" s="33"/>
      <x:c r="T12" s="11"/>
      <x:c r="U12" s="11"/>
      <x:c r="V12" s="33"/>
      <x:c r="W12" s="11"/>
      <x:c r="X12" s="11"/>
      <x:c r="Y12" s="11"/>
      <x:c r="Z12" s="11"/>
      <x:c r="AA12" s="33"/>
      <x:c r="AB12" s="33"/>
      <x:c r="AC12" s="2"/>
      <x:c r="AD12" s="43" t="n">
        <x:v>0.854016</x:v>
      </x:c>
      <x:c r="AE12" s="2" t="str">
        <x:v>No model charge</x:v>
      </x:c>
    </x:row>
    <x:row r="13" ht="54" customHeight="1">
      <x:c r="A13" s="40" t="str">
        <x:v>file_editor</x:v>
      </x:c>
      <x:c r="B13" s="35" t="n">
        <x:v>0</x:v>
      </x:c>
      <x:c r="C13" s="35" t="str">
        <x:v>workflow</x:v>
      </x:c>
      <x:c r="D13" s="35" t="str"/>
      <x:c r="E13" s="35" t="str">
        <x:v>ok</x:v>
      </x:c>
      <x:c r="F13" s="37"/>
      <x:c r="G13" s="40" t="str">
        <x:v>Execute the file_editor workflow operation and pass its result to the next graph step.</x:v>
      </x:c>
      <x:c r="H13" s="35" t="str">
        <x:v>01a0c410-fe37-7373-8d1b-787f98a12f91</x:v>
      </x:c>
      <x:c r="I13" s="35"/>
      <x:c r="J13" s="33" t="n">
        <x:f>IF(COUNT('Turns'!D42,'Turns'!D57)=2,SUM('Turns'!D42,'Turns'!D57),"Unknown")</x:f>
        <x:v>1425</x:v>
      </x:c>
      <x:c r="K13" s="11" t="n">
        <x:f>IF(COUNT('Turns'!E42,'Turns'!E57)=2,SUM('Turns'!E42,'Turns'!E57),"Unknown")</x:f>
        <x:v>0.000248691</x:v>
      </x:c>
      <x:c r="L13" s="11" t="n">
        <x:f>IF(COUNT('Turns'!F42,'Turns'!F57)=2,SUM('Turns'!F42,'Turns'!F57),"Unknown")</x:f>
        <x:v>0.000285</x:v>
      </x:c>
      <x:c r="M13" s="33" t="n">
        <x:f>IF(COUNT('Turns'!D41,'Turns'!D56)=2,SUM('Turns'!D41,'Turns'!D56),"Unknown")</x:f>
        <x:v>0</x:v>
      </x:c>
      <x:c r="N13" s="11" t="n">
        <x:f>IF(COUNT('Turns'!E41,'Turns'!E56)=2,SUM('Turns'!E41,'Turns'!E56),"Unknown")</x:f>
        <x:v>0</x:v>
      </x:c>
      <x:c r="O13" s="11" t="n">
        <x:f>IF(COUNT('Turns'!F41,'Turns'!F56)=2,SUM('Turns'!F41,'Turns'!F56),"Unknown")</x:f>
        <x:v>0</x:v>
      </x:c>
      <x:c r="P13" s="33" t="n">
        <x:v>0</x:v>
      </x:c>
      <x:c r="Q13" s="11" t="n">
        <x:v>0</x:v>
      </x:c>
      <x:c r="R13" s="11" t="n">
        <x:v>0</x:v>
      </x:c>
      <x:c r="S13" s="33" t="n">
        <x:f>IF(COUNT('Turns'!D47,'Turns'!D62)=2,SUM('Turns'!D47,'Turns'!D62),"Unknown")</x:f>
        <x:v>117</x:v>
      </x:c>
      <x:c r="T13" s="11" t="n">
        <x:f>IF(COUNT('Turns'!E47,'Turns'!E62)=2,SUM('Turns'!E47,'Turns'!E62),"Unknown")</x:f>
        <x:v>0.00012251304000000001</x:v>
      </x:c>
      <x:c r="U13" s="11" t="n">
        <x:f>IF(COUNT('Turns'!F47,'Turns'!F62)=2,SUM('Turns'!F47,'Turns'!F62),"Unknown")</x:f>
        <x:v>0.0001404</x:v>
      </x:c>
      <x:c r="V13" s="33" t="n">
        <x:v>0</x:v>
      </x:c>
      <x:c r="W13" s="11" t="n">
        <x:v>0</x:v>
      </x:c>
      <x:c r="X13" s="11" t="n">
        <x:v>0</x:v>
      </x:c>
      <x:c r="Y13" s="11" t="n">
        <x:f>IF(COUNT('Turns'!E51,'Turns'!E66)=2,SUM('Turns'!E51,'Turns'!E66),"Unknown")</x:f>
        <x:v>0.00037120404000000004</x:v>
      </x:c>
      <x:c r="Z13" s="11" t="n">
        <x:f>IF(COUNT('Turns'!F51,'Turns'!F66)=2,SUM('Turns'!F51,'Turns'!F66),"Unknown")</x:f>
        <x:v>0.0004254</x:v>
      </x:c>
      <x:c r="AA13" s="33" t="n">
        <x:f>IF(ISNUMBER(Y13),ROUND(Y13*'Reference data'!$B$2,0),"Unknown")</x:f>
        <x:v>37</x:v>
      </x:c>
      <x:c r="AB13" s="33" t="n">
        <x:f>IF(ISNUMBER(Z13),ROUND(Z13*'Reference data'!$B$2,0),"Unknown")</x:f>
        <x:v>43</x:v>
      </x:c>
      <x:c r="AC13" s="2"/>
      <x:c r="AD13" s="43" t="n">
        <x:v>3235.355904</x:v>
      </x:c>
      <x:c r="AE13" s="2" t="str">
        <x:v>Subtree total</x:v>
      </x:c>
    </x:row>
    <x:row r="14" ht="54" customHeight="1">
      <x:c r="A14" s="41" t="str">
        <x:v>    RestrictedToolApproval.after_model</x:v>
      </x:c>
      <x:c r="B14" s="36" t="n">
        <x:v>1</x:v>
      </x:c>
      <x:c r="C14" s="36" t="str">
        <x:v>workflow</x:v>
      </x:c>
      <x:c r="D14" s="36" t="str"/>
      <x:c r="E14" s="36" t="str">
        <x:v>ok</x:v>
      </x:c>
      <x:c r="F14" s="38"/>
      <x:c r="G14" s="41" t="str">
        <x:v>Execute the RestrictedToolApproval.after_model workflow operation and pass its result to the next graph step.</x:v>
      </x:c>
      <x:c r="H14" s="36" t="str">
        <x:v>01a0c410-fe39-7993-85e5-bade8d0764ab</x:v>
      </x:c>
      <x:c r="I14" s="36" t="str">
        <x:v>01a0c410-fe37-7373-8d1b-787f98a12f91</x:v>
      </x:c>
      <x:c r="J14" s="33"/>
      <x:c r="K14" s="11"/>
      <x:c r="L14" s="11"/>
      <x:c r="M14" s="33"/>
      <x:c r="N14" s="11"/>
      <x:c r="O14" s="11"/>
      <x:c r="P14" s="33"/>
      <x:c r="Q14" s="11"/>
      <x:c r="R14" s="11"/>
      <x:c r="S14" s="33"/>
      <x:c r="T14" s="11"/>
      <x:c r="U14" s="11"/>
      <x:c r="V14" s="33"/>
      <x:c r="W14" s="11"/>
      <x:c r="X14" s="11"/>
      <x:c r="Y14" s="11"/>
      <x:c r="Z14" s="11"/>
      <x:c r="AA14" s="33"/>
      <x:c r="AB14" s="33"/>
      <x:c r="AC14" s="2"/>
      <x:c r="AD14" s="43" t="n">
        <x:v>0.513024</x:v>
      </x:c>
      <x:c r="AE14" s="2" t="str">
        <x:v>No model charge</x:v>
      </x:c>
    </x:row>
    <x:row r="15" ht="54" customHeight="1">
      <x:c r="A15" s="41" t="str">
        <x:v>    tools</x:v>
      </x:c>
      <x:c r="B15" s="36" t="n">
        <x:v>1</x:v>
      </x:c>
      <x:c r="C15" s="36" t="str">
        <x:v>workflow</x:v>
      </x:c>
      <x:c r="D15" s="36" t="str"/>
      <x:c r="E15" s="36" t="str">
        <x:v>ok</x:v>
      </x:c>
      <x:c r="F15" s="38"/>
      <x:c r="G15" s="41" t="str">
        <x:v>Execute tool calls requested by the preceding model response and return their observations.</x:v>
      </x:c>
      <x:c r="H15" s="36" t="str">
        <x:v>01a0c410-fe3a-7123-adfa-88d3e3ae31ff</x:v>
      </x:c>
      <x:c r="I15" s="36" t="str">
        <x:v>01a0c410-fe37-7373-8d1b-787f98a12f91</x:v>
      </x:c>
      <x:c r="J15" s="33"/>
      <x:c r="K15" s="11"/>
      <x:c r="L15" s="11"/>
      <x:c r="M15" s="33"/>
      <x:c r="N15" s="11"/>
      <x:c r="O15" s="11"/>
      <x:c r="P15" s="33"/>
      <x:c r="Q15" s="11"/>
      <x:c r="R15" s="11"/>
      <x:c r="S15" s="33"/>
      <x:c r="T15" s="11"/>
      <x:c r="U15" s="11"/>
      <x:c r="V15" s="33"/>
      <x:c r="W15" s="11"/>
      <x:c r="X15" s="11"/>
      <x:c r="Y15" s="11"/>
      <x:c r="Z15" s="11"/>
      <x:c r="AA15" s="33"/>
      <x:c r="AB15" s="33"/>
      <x:c r="AC15" s="2"/>
      <x:c r="AD15" s="43" t="n">
        <x:v>2.981888</x:v>
      </x:c>
      <x:c r="AE15" s="2" t="str">
        <x:v>No model charge</x:v>
      </x:c>
    </x:row>
    <x:row r="16" ht="54" customHeight="1">
      <x:c r="A16" s="41" t="str">
        <x:v>        write_file</x:v>
      </x:c>
      <x:c r="B16" s="36" t="n">
        <x:v>2</x:v>
      </x:c>
      <x:c r="C16" s="36" t="str">
        <x:v>tool</x:v>
      </x:c>
      <x:c r="D16" s="36" t="str"/>
      <x:c r="E16" s="36" t="str">
        <x:v>ok</x:v>
      </x:c>
      <x:c r="F16" s="38"/>
      <x:c r="G16" s="41" t="str">
        <x:v>Replace the target if it still matches expected_content; null means absent.</x:v>
      </x:c>
      <x:c r="H16" s="36" t="str">
        <x:v>01a0c410-fe3b-7ac3-b17f-381abf6998e8</x:v>
      </x:c>
      <x:c r="I16" s="36" t="str">
        <x:v>01a0c410-fe3a-7123-adfa-88d3e3ae31ff</x:v>
      </x:c>
      <x:c r="J16" s="33"/>
      <x:c r="K16" s="11"/>
      <x:c r="L16" s="11"/>
      <x:c r="M16" s="33"/>
      <x:c r="N16" s="11"/>
      <x:c r="O16" s="11"/>
      <x:c r="P16" s="33"/>
      <x:c r="Q16" s="11"/>
      <x:c r="R16" s="11"/>
      <x:c r="S16" s="33"/>
      <x:c r="T16" s="11"/>
      <x:c r="U16" s="11"/>
      <x:c r="V16" s="33"/>
      <x:c r="W16" s="11"/>
      <x:c r="X16" s="11"/>
      <x:c r="Y16" s="11"/>
      <x:c r="Z16" s="11"/>
      <x:c r="AA16" s="33"/>
      <x:c r="AB16" s="33"/>
      <x:c r="AC16" s="2"/>
      <x:c r="AD16" s="43" t="n">
        <x:v>1.491968</x:v>
      </x:c>
      <x:c r="AE16" s="2" t="str">
        <x:v>No model charge</x:v>
      </x:c>
    </x:row>
    <x:row r="17" ht="54" customHeight="1">
      <x:c r="A17" s="41" t="str">
        <x:v>    model</x:v>
      </x:c>
      <x:c r="B17" s="36" t="n">
        <x:v>1</x:v>
      </x:c>
      <x:c r="C17" s="36" t="str">
        <x:v>workflow</x:v>
      </x:c>
      <x:c r="D17" s="36" t="str"/>
      <x:c r="E17" s="36" t="str">
        <x:v>ok</x:v>
      </x:c>
      <x:c r="F17" s="38"/>
      <x:c r="G17" s="41" t="str">
        <x:v>Prepare the current conversation, run model middleware, and invoke the chat model.</x:v>
      </x:c>
      <x:c r="H17" s="36" t="str">
        <x:v>01a0c410-fe3e-7a62-b8c6-adda27d605d6</x:v>
      </x:c>
      <x:c r="I17" s="36" t="str">
        <x:v>01a0c410-fe37-7373-8d1b-787f98a12f91</x:v>
      </x:c>
      <x:c r="J17" s="33" t="n">
        <x:f>IF(COUNT('Turns'!D42)=1,SUM('Turns'!D42),"Unknown")</x:f>
        <x:v>675</x:v>
      </x:c>
      <x:c r="K17" s="11" t="n">
        <x:f>IF(COUNT('Turns'!E42)=1,SUM('Turns'!E42),"Unknown")</x:f>
        <x:v>0.000117801</x:v>
      </x:c>
      <x:c r="L17" s="11" t="n">
        <x:f>IF(COUNT('Turns'!F42)=1,SUM('Turns'!F42),"Unknown")</x:f>
        <x:v>0.000135</x:v>
      </x:c>
      <x:c r="M17" s="33" t="n">
        <x:f>IF(COUNT('Turns'!D41)=1,SUM('Turns'!D41),"Unknown")</x:f>
        <x:v>0</x:v>
      </x:c>
      <x:c r="N17" s="11" t="n">
        <x:f>IF(COUNT('Turns'!E41)=1,SUM('Turns'!E41),"Unknown")</x:f>
        <x:v>0</x:v>
      </x:c>
      <x:c r="O17" s="11" t="n">
        <x:f>IF(COUNT('Turns'!F41)=1,SUM('Turns'!F41),"Unknown")</x:f>
        <x:v>0</x:v>
      </x:c>
      <x:c r="P17" s="33" t="n">
        <x:v>0</x:v>
      </x:c>
      <x:c r="Q17" s="11" t="n">
        <x:v>0</x:v>
      </x:c>
      <x:c r="R17" s="11" t="n">
        <x:v>0</x:v>
      </x:c>
      <x:c r="S17" s="33" t="n">
        <x:f>IF(COUNT('Turns'!D47)=1,SUM('Turns'!D47),"Unknown")</x:f>
        <x:v>18</x:v>
      </x:c>
      <x:c r="T17" s="11" t="n">
        <x:f>IF(COUNT('Turns'!E47)=1,SUM('Turns'!E47),"Unknown")</x:f>
        <x:v>0.000018848159999999997</x:v>
      </x:c>
      <x:c r="U17" s="11" t="n">
        <x:f>IF(COUNT('Turns'!F47)=1,SUM('Turns'!F47),"Unknown")</x:f>
        <x:v>0.000021599999999999996</x:v>
      </x:c>
      <x:c r="V17" s="33" t="n">
        <x:v>0</x:v>
      </x:c>
      <x:c r="W17" s="11" t="n">
        <x:v>0</x:v>
      </x:c>
      <x:c r="X17" s="11" t="n">
        <x:v>0</x:v>
      </x:c>
      <x:c r="Y17" s="11" t="n">
        <x:f>IF(COUNT('Turns'!E51)=1,SUM('Turns'!E51),"Unknown")</x:f>
        <x:v>0.00013664916</x:v>
      </x:c>
      <x:c r="Z17" s="11" t="n">
        <x:f>IF(COUNT('Turns'!F51)=1,SUM('Turns'!F51),"Unknown")</x:f>
        <x:v>0.0001566</x:v>
      </x:c>
      <x:c r="AA17" s="33" t="n">
        <x:f>IF(ISNUMBER(Y17),ROUND(Y17*'Reference data'!$B$2,0),"Unknown")</x:f>
        <x:v>14</x:v>
      </x:c>
      <x:c r="AB17" s="33" t="n">
        <x:f>IF(ISNUMBER(Z17),ROUND(Z17*'Reference data'!$B$2,0),"Unknown")</x:f>
        <x:v>16</x:v>
      </x:c>
      <x:c r="AC17" s="2"/>
      <x:c r="AD17" s="43" t="n">
        <x:v>998.393088</x:v>
      </x:c>
      <x:c r="AE17" s="2" t="str">
        <x:v>Subtree total</x:v>
      </x:c>
    </x:row>
    <x:row r="18" ht="54" customHeight="1">
      <x:c r="A18" s="42" t="str">
        <x:v>        ChatOpenAI</x:v>
      </x:c>
      <x:c r="B18" s="20" t="n">
        <x:v>2</x:v>
      </x:c>
      <x:c r="C18" s="20" t="str">
        <x:v>model</x:v>
      </x:c>
      <x:c r="D18" s="20" t="str">
        <x:v>gpt-5.6-luna</x:v>
      </x:c>
      <x:c r="E18" s="20" t="str">
        <x:v>ok</x:v>
      </x:c>
      <x:c r="F18" s="39" t="n">
        <x:v>675</x:v>
      </x:c>
      <x:c r="G18" s="42" t="str">
        <x:v>Generate the next assistant message or tool request from the current conversation.</x:v>
      </x:c>
      <x:c r="H18" s="20" t="str">
        <x:v>01a0c410-fe3f-7673-9f4f-7bcefe0a912f</x:v>
      </x:c>
      <x:c r="I18" s="20" t="str">
        <x:v>01a0c410-fe3e-7a62-b8c6-adda27d605d6</x:v>
      </x:c>
      <x:c r="J18" s="33" t="n">
        <x:f>IF(COUNT('Turns'!D42)=1,SUM('Turns'!D42),"Unknown")</x:f>
        <x:v>675</x:v>
      </x:c>
      <x:c r="K18" s="11" t="n">
        <x:f>IF(COUNT('Turns'!E42)=1,SUM('Turns'!E42),"Unknown")</x:f>
        <x:v>0.000117801</x:v>
      </x:c>
      <x:c r="L18" s="11" t="n">
        <x:f>IF(COUNT('Turns'!F42)=1,SUM('Turns'!F42),"Unknown")</x:f>
        <x:v>0.000135</x:v>
      </x:c>
      <x:c r="M18" s="33" t="n">
        <x:f>IF(COUNT('Turns'!D41)=1,SUM('Turns'!D41),"Unknown")</x:f>
        <x:v>0</x:v>
      </x:c>
      <x:c r="N18" s="11" t="n">
        <x:f>IF(COUNT('Turns'!E41)=1,SUM('Turns'!E41),"Unknown")</x:f>
        <x:v>0</x:v>
      </x:c>
      <x:c r="O18" s="11" t="n">
        <x:f>IF(COUNT('Turns'!F41)=1,SUM('Turns'!F41),"Unknown")</x:f>
        <x:v>0</x:v>
      </x:c>
      <x:c r="P18" s="33" t="n">
        <x:v>0</x:v>
      </x:c>
      <x:c r="Q18" s="11" t="n">
        <x:v>0</x:v>
      </x:c>
      <x:c r="R18" s="11" t="n">
        <x:v>0</x:v>
      </x:c>
      <x:c r="S18" s="33" t="n">
        <x:f>IF(COUNT('Turns'!D47)=1,SUM('Turns'!D47),"Unknown")</x:f>
        <x:v>18</x:v>
      </x:c>
      <x:c r="T18" s="11" t="n">
        <x:f>IF(COUNT('Turns'!E47)=1,SUM('Turns'!E47),"Unknown")</x:f>
        <x:v>0.000018848159999999997</x:v>
      </x:c>
      <x:c r="U18" s="11" t="n">
        <x:f>IF(COUNT('Turns'!F47)=1,SUM('Turns'!F47),"Unknown")</x:f>
        <x:v>0.000021599999999999996</x:v>
      </x:c>
      <x:c r="V18" s="33" t="n">
        <x:v>0</x:v>
      </x:c>
      <x:c r="W18" s="11" t="n">
        <x:v>0</x:v>
      </x:c>
      <x:c r="X18" s="11" t="n">
        <x:v>0</x:v>
      </x:c>
      <x:c r="Y18" s="11" t="n">
        <x:f>IF(COUNT('Turns'!E51)=1,SUM('Turns'!E51),"Unknown")</x:f>
        <x:v>0.00013664916</x:v>
      </x:c>
      <x:c r="Z18" s="11" t="n">
        <x:f>IF(COUNT('Turns'!F51)=1,SUM('Turns'!F51),"Unknown")</x:f>
        <x:v>0.0001566</x:v>
      </x:c>
      <x:c r="AA18" s="33" t="n">
        <x:f>IF(ISNUMBER(Y18),ROUND(Y18*'Reference data'!$B$2,0),"Unknown")</x:f>
        <x:v>14</x:v>
      </x:c>
      <x:c r="AB18" s="33" t="n">
        <x:f>IF(ISNUMBER(Z18),ROUND(Z18*'Reference data'!$B$2,0),"Unknown")</x:f>
        <x:v>16</x:v>
      </x:c>
      <x:c r="AC18" s="2" t="str">
        <x:v>R3</x:v>
      </x:c>
      <x:c r="AD18" s="43" t="n">
        <x:v>996.16</x:v>
      </x:c>
      <x:c r="AE18" s="2" t="str">
        <x:v>Own call</x:v>
      </x:c>
    </x:row>
    <x:row r="19" ht="54" customHeight="1">
      <x:c r="A19" s="41" t="str">
        <x:v>    RestrictedToolApproval.after_model</x:v>
      </x:c>
      <x:c r="B19" s="36" t="n">
        <x:v>1</x:v>
      </x:c>
      <x:c r="C19" s="36" t="str">
        <x:v>workflow</x:v>
      </x:c>
      <x:c r="D19" s="36" t="str"/>
      <x:c r="E19" s="36" t="str">
        <x:v>ok</x:v>
      </x:c>
      <x:c r="F19" s="38"/>
      <x:c r="G19" s="41" t="str">
        <x:v>Execute the RestrictedToolApproval.after_model workflow operation and pass its result to the next graph step.</x:v>
      </x:c>
      <x:c r="H19" s="36" t="str">
        <x:v>01a0c411-0226-7903-9de2-83c2167fac59</x:v>
      </x:c>
      <x:c r="I19" s="36" t="str">
        <x:v>01a0c410-fe37-7373-8d1b-787f98a12f91</x:v>
      </x:c>
      <x:c r="J19" s="33"/>
      <x:c r="K19" s="11"/>
      <x:c r="L19" s="11"/>
      <x:c r="M19" s="33"/>
      <x:c r="N19" s="11"/>
      <x:c r="O19" s="11"/>
      <x:c r="P19" s="33"/>
      <x:c r="Q19" s="11"/>
      <x:c r="R19" s="11"/>
      <x:c r="S19" s="33"/>
      <x:c r="T19" s="11"/>
      <x:c r="U19" s="11"/>
      <x:c r="V19" s="33"/>
      <x:c r="W19" s="11"/>
      <x:c r="X19" s="11"/>
      <x:c r="Y19" s="11"/>
      <x:c r="Z19" s="11"/>
      <x:c r="AA19" s="33"/>
      <x:c r="AB19" s="33"/>
      <x:c r="AC19" s="2"/>
      <x:c r="AD19" s="43" t="n">
        <x:v>0.886016</x:v>
      </x:c>
      <x:c r="AE19" s="2" t="str">
        <x:v>No model charge</x:v>
      </x:c>
    </x:row>
    <x:row r="20" ht="54" customHeight="1">
      <x:c r="A20" s="41" t="str">
        <x:v>    tools</x:v>
      </x:c>
      <x:c r="B20" s="36" t="n">
        <x:v>1</x:v>
      </x:c>
      <x:c r="C20" s="36" t="str">
        <x:v>workflow</x:v>
      </x:c>
      <x:c r="D20" s="36" t="str"/>
      <x:c r="E20" s="36" t="str">
        <x:v>ok</x:v>
      </x:c>
      <x:c r="F20" s="38"/>
      <x:c r="G20" s="41" t="str">
        <x:v>Execute tool calls requested by the preceding model response and return their observations.</x:v>
      </x:c>
      <x:c r="H20" s="36" t="str">
        <x:v>01a0c411-0229-7032-857b-dc045113d474</x:v>
      </x:c>
      <x:c r="I20" s="36" t="str">
        <x:v>01a0c410-fe37-7373-8d1b-787f98a12f91</x:v>
      </x:c>
      <x:c r="J20" s="33"/>
      <x:c r="K20" s="11"/>
      <x:c r="L20" s="11"/>
      <x:c r="M20" s="33"/>
      <x:c r="N20" s="11"/>
      <x:c r="O20" s="11"/>
      <x:c r="P20" s="33"/>
      <x:c r="Q20" s="11"/>
      <x:c r="R20" s="11"/>
      <x:c r="S20" s="33"/>
      <x:c r="T20" s="11"/>
      <x:c r="U20" s="11"/>
      <x:c r="V20" s="33"/>
      <x:c r="W20" s="11"/>
      <x:c r="X20" s="11"/>
      <x:c r="Y20" s="11"/>
      <x:c r="Z20" s="11"/>
      <x:c r="AA20" s="33"/>
      <x:c r="AB20" s="33"/>
      <x:c r="AC20" s="2"/>
      <x:c r="AD20" s="43" t="n">
        <x:v>2.858752</x:v>
      </x:c>
      <x:c r="AE20" s="2" t="str">
        <x:v>No model charge</x:v>
      </x:c>
    </x:row>
    <x:row r="21" ht="54" customHeight="1">
      <x:c r="A21" s="41" t="str">
        <x:v>        read_file</x:v>
      </x:c>
      <x:c r="B21" s="36" t="n">
        <x:v>2</x:v>
      </x:c>
      <x:c r="C21" s="36" t="str">
        <x:v>tool</x:v>
      </x:c>
      <x:c r="D21" s="36" t="str"/>
      <x:c r="E21" s="36" t="str">
        <x:v>ok</x:v>
      </x:c>
      <x:c r="F21" s="38"/>
      <x:c r="G21" s="41" t="str">
        <x:v>Read source or target; return content, or null for a missing target.</x:v>
      </x:c>
      <x:c r="H21" s="36" t="str">
        <x:v>01a0c411-022a-7ed0-8daa-e2ea6f39fb71</x:v>
      </x:c>
      <x:c r="I21" s="36" t="str">
        <x:v>01a0c411-0229-7032-857b-dc045113d474</x:v>
      </x:c>
      <x:c r="J21" s="33"/>
      <x:c r="K21" s="11"/>
      <x:c r="L21" s="11"/>
      <x:c r="M21" s="33"/>
      <x:c r="N21" s="11"/>
      <x:c r="O21" s="11"/>
      <x:c r="P21" s="33"/>
      <x:c r="Q21" s="11"/>
      <x:c r="R21" s="11"/>
      <x:c r="S21" s="33"/>
      <x:c r="T21" s="11"/>
      <x:c r="U21" s="11"/>
      <x:c r="V21" s="33"/>
      <x:c r="W21" s="11"/>
      <x:c r="X21" s="11"/>
      <x:c r="Y21" s="11"/>
      <x:c r="Z21" s="11"/>
      <x:c r="AA21" s="33"/>
      <x:c r="AB21" s="33"/>
      <x:c r="AC21" s="2"/>
      <x:c r="AD21" s="43" t="n">
        <x:v>1.680896</x:v>
      </x:c>
      <x:c r="AE21" s="2" t="str">
        <x:v>No model charge</x:v>
      </x:c>
    </x:row>
    <x:row r="22" ht="54" customHeight="1">
      <x:c r="A22" s="41" t="str">
        <x:v>    model</x:v>
      </x:c>
      <x:c r="B22" s="36" t="n">
        <x:v>1</x:v>
      </x:c>
      <x:c r="C22" s="36" t="str">
        <x:v>workflow</x:v>
      </x:c>
      <x:c r="D22" s="36" t="str"/>
      <x:c r="E22" s="36" t="str">
        <x:v>ok</x:v>
      </x:c>
      <x:c r="F22" s="38"/>
      <x:c r="G22" s="41" t="str">
        <x:v>Prepare the current conversation, run model middleware, and invoke the chat model.</x:v>
      </x:c>
      <x:c r="H22" s="36" t="str">
        <x:v>01a0c411-022d-7992-bcff-3222a79277e3</x:v>
      </x:c>
      <x:c r="I22" s="36" t="str">
        <x:v>01a0c410-fe37-7373-8d1b-787f98a12f91</x:v>
      </x:c>
      <x:c r="J22" s="33" t="n">
        <x:f>IF(COUNT('Turns'!D57)=1,SUM('Turns'!D57),"Unknown")</x:f>
        <x:v>750</x:v>
      </x:c>
      <x:c r="K22" s="11" t="n">
        <x:f>IF(COUNT('Turns'!E57)=1,SUM('Turns'!E57),"Unknown")</x:f>
        <x:v>0.00013089</x:v>
      </x:c>
      <x:c r="L22" s="11" t="n">
        <x:f>IF(COUNT('Turns'!F57)=1,SUM('Turns'!F57),"Unknown")</x:f>
        <x:v>0.00015</x:v>
      </x:c>
      <x:c r="M22" s="33" t="n">
        <x:f>IF(COUNT('Turns'!D56)=1,SUM('Turns'!D56),"Unknown")</x:f>
        <x:v>0</x:v>
      </x:c>
      <x:c r="N22" s="11" t="n">
        <x:f>IF(COUNT('Turns'!E56)=1,SUM('Turns'!E56),"Unknown")</x:f>
        <x:v>0</x:v>
      </x:c>
      <x:c r="O22" s="11" t="n">
        <x:f>IF(COUNT('Turns'!F56)=1,SUM('Turns'!F56),"Unknown")</x:f>
        <x:v>0</x:v>
      </x:c>
      <x:c r="P22" s="33" t="n">
        <x:v>0</x:v>
      </x:c>
      <x:c r="Q22" s="11" t="n">
        <x:v>0</x:v>
      </x:c>
      <x:c r="R22" s="11" t="n">
        <x:v>0</x:v>
      </x:c>
      <x:c r="S22" s="33" t="n">
        <x:f>IF(COUNT('Turns'!D62)=1,SUM('Turns'!D62),"Unknown")</x:f>
        <x:v>99</x:v>
      </x:c>
      <x:c r="T22" s="11" t="n">
        <x:f>IF(COUNT('Turns'!E62)=1,SUM('Turns'!E62),"Unknown")</x:f>
        <x:v>0.00010366488000000001</x:v>
      </x:c>
      <x:c r="U22" s="11" t="n">
        <x:f>IF(COUNT('Turns'!F62)=1,SUM('Turns'!F62),"Unknown")</x:f>
        <x:v>0.0001188</x:v>
      </x:c>
      <x:c r="V22" s="33" t="n">
        <x:v>0</x:v>
      </x:c>
      <x:c r="W22" s="11" t="n">
        <x:v>0</x:v>
      </x:c>
      <x:c r="X22" s="11" t="n">
        <x:v>0</x:v>
      </x:c>
      <x:c r="Y22" s="11" t="n">
        <x:f>IF(COUNT('Turns'!E66)=1,SUM('Turns'!E66),"Unknown")</x:f>
        <x:v>0.00023455488</x:v>
      </x:c>
      <x:c r="Z22" s="11" t="n">
        <x:f>IF(COUNT('Turns'!F66)=1,SUM('Turns'!F66),"Unknown")</x:f>
        <x:v>0.0002688</x:v>
      </x:c>
      <x:c r="AA22" s="33" t="n">
        <x:f>IF(ISNUMBER(Y22),ROUND(Y22*'Reference data'!$B$2,0),"Unknown")</x:f>
        <x:v>23</x:v>
      </x:c>
      <x:c r="AB22" s="33" t="n">
        <x:f>IF(ISNUMBER(Z22),ROUND(Z22*'Reference data'!$B$2,0),"Unknown")</x:f>
        <x:v>27</x:v>
      </x:c>
      <x:c r="AC22" s="2"/>
      <x:c r="AD22" s="43" t="n">
        <x:v>2218.550016</x:v>
      </x:c>
      <x:c r="AE22" s="2" t="str">
        <x:v>Subtree total</x:v>
      </x:c>
    </x:row>
    <x:row r="23" ht="54" customHeight="1">
      <x:c r="A23" s="42" t="str">
        <x:v>        ChatOpenAI</x:v>
      </x:c>
      <x:c r="B23" s="20" t="n">
        <x:v>2</x:v>
      </x:c>
      <x:c r="C23" s="20" t="str">
        <x:v>model</x:v>
      </x:c>
      <x:c r="D23" s="20" t="str">
        <x:v>gpt-5.6-luna</x:v>
      </x:c>
      <x:c r="E23" s="20" t="str">
        <x:v>ok</x:v>
      </x:c>
      <x:c r="F23" s="39" t="n">
        <x:v>750</x:v>
      </x:c>
      <x:c r="G23" s="42" t="str">
        <x:v>Generate the next assistant message or tool request from the current conversation.</x:v>
      </x:c>
      <x:c r="H23" s="20" t="str">
        <x:v>01a0c411-022d-7992-bcff-32339dd3e4f7</x:v>
      </x:c>
      <x:c r="I23" s="20" t="str">
        <x:v>01a0c411-022d-7992-bcff-3222a79277e3</x:v>
      </x:c>
      <x:c r="J23" s="33" t="n">
        <x:f>IF(COUNT('Turns'!D57)=1,SUM('Turns'!D57),"Unknown")</x:f>
        <x:v>750</x:v>
      </x:c>
      <x:c r="K23" s="11" t="n">
        <x:f>IF(COUNT('Turns'!E57)=1,SUM('Turns'!E57),"Unknown")</x:f>
        <x:v>0.00013089</x:v>
      </x:c>
      <x:c r="L23" s="11" t="n">
        <x:f>IF(COUNT('Turns'!F57)=1,SUM('Turns'!F57),"Unknown")</x:f>
        <x:v>0.00015</x:v>
      </x:c>
      <x:c r="M23" s="33" t="n">
        <x:f>IF(COUNT('Turns'!D56)=1,SUM('Turns'!D56),"Unknown")</x:f>
        <x:v>0</x:v>
      </x:c>
      <x:c r="N23" s="11" t="n">
        <x:f>IF(COUNT('Turns'!E56)=1,SUM('Turns'!E56),"Unknown")</x:f>
        <x:v>0</x:v>
      </x:c>
      <x:c r="O23" s="11" t="n">
        <x:f>IF(COUNT('Turns'!F56)=1,SUM('Turns'!F56),"Unknown")</x:f>
        <x:v>0</x:v>
      </x:c>
      <x:c r="P23" s="33" t="n">
        <x:v>0</x:v>
      </x:c>
      <x:c r="Q23" s="11" t="n">
        <x:v>0</x:v>
      </x:c>
      <x:c r="R23" s="11" t="n">
        <x:v>0</x:v>
      </x:c>
      <x:c r="S23" s="33" t="n">
        <x:f>IF(COUNT('Turns'!D62)=1,SUM('Turns'!D62),"Unknown")</x:f>
        <x:v>99</x:v>
      </x:c>
      <x:c r="T23" s="11" t="n">
        <x:f>IF(COUNT('Turns'!E62)=1,SUM('Turns'!E62),"Unknown")</x:f>
        <x:v>0.00010366488000000001</x:v>
      </x:c>
      <x:c r="U23" s="11" t="n">
        <x:f>IF(COUNT('Turns'!F62)=1,SUM('Turns'!F62),"Unknown")</x:f>
        <x:v>0.0001188</x:v>
      </x:c>
      <x:c r="V23" s="33" t="n">
        <x:v>0</x:v>
      </x:c>
      <x:c r="W23" s="11" t="n">
        <x:v>0</x:v>
      </x:c>
      <x:c r="X23" s="11" t="n">
        <x:v>0</x:v>
      </x:c>
      <x:c r="Y23" s="11" t="n">
        <x:f>IF(COUNT('Turns'!E66)=1,SUM('Turns'!E66),"Unknown")</x:f>
        <x:v>0.00023455488</x:v>
      </x:c>
      <x:c r="Z23" s="11" t="n">
        <x:f>IF(COUNT('Turns'!F66)=1,SUM('Turns'!F66),"Unknown")</x:f>
        <x:v>0.0002688</x:v>
      </x:c>
      <x:c r="AA23" s="33" t="n">
        <x:f>IF(ISNUMBER(Y23),ROUND(Y23*'Reference data'!$B$2,0),"Unknown")</x:f>
        <x:v>23</x:v>
      </x:c>
      <x:c r="AB23" s="33" t="n">
        <x:f>IF(ISNUMBER(Z23),ROUND(Z23*'Reference data'!$B$2,0),"Unknown")</x:f>
        <x:v>27</x:v>
      </x:c>
      <x:c r="AC23" s="2" t="str">
        <x:v>R4</x:v>
      </x:c>
      <x:c r="AD23" s="43" t="n">
        <x:v>2216.464896</x:v>
      </x:c>
      <x:c r="AE23" s="2" t="str">
        <x:v>Own call</x:v>
      </x:c>
    </x:row>
    <x:row r="24" ht="54" customHeight="1">
      <x:c r="A24" s="41" t="str">
        <x:v>    RestrictedToolApproval.after_model</x:v>
      </x:c>
      <x:c r="B24" s="36" t="n">
        <x:v>1</x:v>
      </x:c>
      <x:c r="C24" s="36" t="str">
        <x:v>workflow</x:v>
      </x:c>
      <x:c r="D24" s="36" t="str"/>
      <x:c r="E24" s="36" t="str">
        <x:v>interrupted</x:v>
      </x:c>
      <x:c r="F24" s="38"/>
      <x:c r="G24" s="41" t="str">
        <x:v>Execute the RestrictedToolApproval.after_model workflow operation and pass its result to the next graph step.</x:v>
      </x:c>
      <x:c r="H24" s="36" t="str">
        <x:v>01a0c411-0ad9-7763-bf87-98b661e5a608</x:v>
      </x:c>
      <x:c r="I24" s="36" t="str">
        <x:v>01a0c410-fe37-7373-8d1b-787f98a12f91</x:v>
      </x:c>
      <x:c r="J24" s="33"/>
      <x:c r="K24" s="11"/>
      <x:c r="L24" s="11"/>
      <x:c r="M24" s="33"/>
      <x:c r="N24" s="11"/>
      <x:c r="O24" s="11"/>
      <x:c r="P24" s="33"/>
      <x:c r="Q24" s="11"/>
      <x:c r="R24" s="11"/>
      <x:c r="S24" s="33"/>
      <x:c r="T24" s="11"/>
      <x:c r="U24" s="11"/>
      <x:c r="V24" s="33"/>
      <x:c r="W24" s="11"/>
      <x:c r="X24" s="11"/>
      <x:c r="Y24" s="11"/>
      <x:c r="Z24" s="11"/>
      <x:c r="AA24" s="33"/>
      <x:c r="AB24" s="33"/>
      <x:c r="AC24" s="2"/>
      <x:c r="AD24" s="43" t="n">
        <x:v>0.734208</x:v>
      </x:c>
      <x:c r="AE24" s="2" t="str">
        <x:v>No model charge</x:v>
      </x:c>
    </x:row>
    <x:row r="25" ht="54" customHeight="1">
      <x:c r="A25" s="40" t="str">
        <x:v>file_editor</x:v>
      </x:c>
      <x:c r="B25" s="35" t="n">
        <x:v>0</x:v>
      </x:c>
      <x:c r="C25" s="35" t="str">
        <x:v>workflow</x:v>
      </x:c>
      <x:c r="D25" s="35" t="str"/>
      <x:c r="E25" s="35" t="str">
        <x:v>ok</x:v>
      </x:c>
      <x:c r="F25" s="37"/>
      <x:c r="G25" s="40" t="str">
        <x:v>Execute the file_editor workflow operation and pass its result to the next graph step.</x:v>
      </x:c>
      <x:c r="H25" s="35" t="str">
        <x:v>01a0c411-0aff-77a1-b3d8-a3fab2a89eac</x:v>
      </x:c>
      <x:c r="I25" s="35"/>
      <x:c r="J25" s="33" t="n">
        <x:f>IF(COUNT('Turns'!D72,'Turns'!D88)=2,SUM('Turns'!D72,'Turns'!D88),"Unknown")</x:f>
        <x:v>1858</x:v>
      </x:c>
      <x:c r="K25" s="11" t="n">
        <x:f>IF(COUNT('Turns'!E72,'Turns'!E88)=2,SUM('Turns'!E72,'Turns'!E88),"Unknown")</x:f>
        <x:v>0.00032425816</x:v>
      </x:c>
      <x:c r="L25" s="11" t="n">
        <x:f>IF(COUNT('Turns'!F72,'Turns'!F88)=2,SUM('Turns'!F72,'Turns'!F88),"Unknown")</x:f>
        <x:v>0.00037160000000000003</x:v>
      </x:c>
      <x:c r="M25" s="33" t="n">
        <x:f>IF(COUNT('Turns'!D71,'Turns'!D87)=2,SUM('Turns'!D71,'Turns'!D87),"Unknown")</x:f>
        <x:v>0</x:v>
      </x:c>
      <x:c r="N25" s="11" t="n">
        <x:f>IF(COUNT('Turns'!E71,'Turns'!E87)=2,SUM('Turns'!E71,'Turns'!E87),"Unknown")</x:f>
        <x:v>0</x:v>
      </x:c>
      <x:c r="O25" s="11" t="n">
        <x:f>IF(COUNT('Turns'!F71,'Turns'!F87)=2,SUM('Turns'!F71,'Turns'!F87),"Unknown")</x:f>
        <x:v>0</x:v>
      </x:c>
      <x:c r="P25" s="33" t="n">
        <x:v>0</x:v>
      </x:c>
      <x:c r="Q25" s="11" t="n">
        <x:v>0</x:v>
      </x:c>
      <x:c r="R25" s="11" t="n">
        <x:v>0</x:v>
      </x:c>
      <x:c r="S25" s="33" t="n">
        <x:f>IF(COUNT('Turns'!D78,'Turns'!D93)=2,SUM('Turns'!D78,'Turns'!D93),"Unknown")</x:f>
        <x:v>33</x:v>
      </x:c>
      <x:c r="T25" s="11" t="n">
        <x:f>IF(COUNT('Turns'!E78,'Turns'!E93)=2,SUM('Turns'!E78,'Turns'!E93),"Unknown")</x:f>
        <x:v>0.00003455496</x:v>
      </x:c>
      <x:c r="U25" s="11" t="n">
        <x:f>IF(COUNT('Turns'!F78,'Turns'!F93)=2,SUM('Turns'!F78,'Turns'!F93),"Unknown")</x:f>
        <x:v>0.0000396</x:v>
      </x:c>
      <x:c r="V25" s="33" t="n">
        <x:f>IF(COUNT('Turns'!D77)=1,SUM('Turns'!D77),"Unknown")</x:f>
        <x:v>45</x:v>
      </x:c>
      <x:c r="W25" s="11" t="n">
        <x:f>IF(COUNT('Turns'!E77)=1,SUM('Turns'!E77),"Unknown")</x:f>
        <x:v>0.000047120400000000004</x:v>
      </x:c>
      <x:c r="X25" s="11" t="n">
        <x:f>IF(COUNT('Turns'!F77)=1,SUM('Turns'!F77),"Unknown")</x:f>
        <x:v>0.000054</x:v>
      </x:c>
      <x:c r="Y25" s="11" t="n">
        <x:f>IF(COUNT('Turns'!E82,'Turns'!E97)=2,SUM('Turns'!E82,'Turns'!E97),"Unknown")</x:f>
        <x:v>0.00040593352</x:v>
      </x:c>
      <x:c r="Z25" s="11" t="n">
        <x:f>IF(COUNT('Turns'!F82,'Turns'!F97)=2,SUM('Turns'!F82,'Turns'!F97),"Unknown")</x:f>
        <x:v>0.0004652</x:v>
      </x:c>
      <x:c r="AA25" s="33" t="n">
        <x:f>IF(ISNUMBER(Y25),ROUND(Y25*'Reference data'!$B$2,0),"Unknown")</x:f>
        <x:v>41</x:v>
      </x:c>
      <x:c r="AB25" s="33" t="n">
        <x:f>IF(ISNUMBER(Z25),ROUND(Z25*'Reference data'!$B$2,0),"Unknown")</x:f>
        <x:v>47</x:v>
      </x:c>
      <x:c r="AC25" s="2"/>
      <x:c r="AD25" s="43" t="n">
        <x:v>4544.125184</x:v>
      </x:c>
      <x:c r="AE25" s="2" t="str">
        <x:v>Subtree total</x:v>
      </x:c>
    </x:row>
    <x:row r="26" ht="54" customHeight="1">
      <x:c r="A26" s="41" t="str">
        <x:v>    RestrictedToolApproval.after_model</x:v>
      </x:c>
      <x:c r="B26" s="36" t="n">
        <x:v>1</x:v>
      </x:c>
      <x:c r="C26" s="36" t="str">
        <x:v>workflow</x:v>
      </x:c>
      <x:c r="D26" s="36" t="str"/>
      <x:c r="E26" s="36" t="str">
        <x:v>ok</x:v>
      </x:c>
      <x:c r="F26" s="38"/>
      <x:c r="G26" s="41" t="str">
        <x:v>Execute the RestrictedToolApproval.after_model workflow operation and pass its result to the next graph step.</x:v>
      </x:c>
      <x:c r="H26" s="36" t="str">
        <x:v>01a0c411-0b00-7d82-9b9b-41b1dd057cb9</x:v>
      </x:c>
      <x:c r="I26" s="36" t="str">
        <x:v>01a0c411-0aff-77a1-b3d8-a3fab2a89eac</x:v>
      </x:c>
      <x:c r="J26" s="33"/>
      <x:c r="K26" s="11"/>
      <x:c r="L26" s="11"/>
      <x:c r="M26" s="33"/>
      <x:c r="N26" s="11"/>
      <x:c r="O26" s="11"/>
      <x:c r="P26" s="33"/>
      <x:c r="Q26" s="11"/>
      <x:c r="R26" s="11"/>
      <x:c r="S26" s="33"/>
      <x:c r="T26" s="11"/>
      <x:c r="U26" s="11"/>
      <x:c r="V26" s="33"/>
      <x:c r="W26" s="11"/>
      <x:c r="X26" s="11"/>
      <x:c r="Y26" s="11"/>
      <x:c r="Z26" s="11"/>
      <x:c r="AA26" s="33"/>
      <x:c r="AB26" s="33"/>
      <x:c r="AC26" s="2"/>
      <x:c r="AD26" s="43" t="n">
        <x:v>0.592128</x:v>
      </x:c>
      <x:c r="AE26" s="2" t="str">
        <x:v>No model charge</x:v>
      </x:c>
    </x:row>
    <x:row r="27" ht="54" customHeight="1">
      <x:c r="A27" s="41" t="str">
        <x:v>    tools</x:v>
      </x:c>
      <x:c r="B27" s="36" t="n">
        <x:v>1</x:v>
      </x:c>
      <x:c r="C27" s="36" t="str">
        <x:v>workflow</x:v>
      </x:c>
      <x:c r="D27" s="36" t="str"/>
      <x:c r="E27" s="36" t="str">
        <x:v>ok</x:v>
      </x:c>
      <x:c r="F27" s="38"/>
      <x:c r="G27" s="41" t="str">
        <x:v>Execute tool calls requested by the preceding model response and return their observations.</x:v>
      </x:c>
      <x:c r="H27" s="36" t="str">
        <x:v>01a0c411-0b02-7f22-ba2d-ce222a7868e7</x:v>
      </x:c>
      <x:c r="I27" s="36" t="str">
        <x:v>01a0c411-0aff-77a1-b3d8-a3fab2a89eac</x:v>
      </x:c>
      <x:c r="J27" s="33"/>
      <x:c r="K27" s="11"/>
      <x:c r="L27" s="11"/>
      <x:c r="M27" s="33"/>
      <x:c r="N27" s="11"/>
      <x:c r="O27" s="11"/>
      <x:c r="P27" s="33"/>
      <x:c r="Q27" s="11"/>
      <x:c r="R27" s="11"/>
      <x:c r="S27" s="33"/>
      <x:c r="T27" s="11"/>
      <x:c r="U27" s="11"/>
      <x:c r="V27" s="33"/>
      <x:c r="W27" s="11"/>
      <x:c r="X27" s="11"/>
      <x:c r="Y27" s="11"/>
      <x:c r="Z27" s="11"/>
      <x:c r="AA27" s="33"/>
      <x:c r="AB27" s="33"/>
      <x:c r="AC27" s="2"/>
      <x:c r="AD27" s="43" t="n">
        <x:v>2.535936</x:v>
      </x:c>
      <x:c r="AE27" s="2" t="str">
        <x:v>No model charge</x:v>
      </x:c>
    </x:row>
    <x:row r="28" ht="54" customHeight="1">
      <x:c r="A28" s="41" t="str">
        <x:v>        write_file</x:v>
      </x:c>
      <x:c r="B28" s="36" t="n">
        <x:v>2</x:v>
      </x:c>
      <x:c r="C28" s="36" t="str">
        <x:v>tool</x:v>
      </x:c>
      <x:c r="D28" s="36" t="str"/>
      <x:c r="E28" s="36" t="str">
        <x:v>ok</x:v>
      </x:c>
      <x:c r="F28" s="38"/>
      <x:c r="G28" s="41" t="str">
        <x:v>Replace the target if it still matches expected_content; null means absent.</x:v>
      </x:c>
      <x:c r="H28" s="36" t="str">
        <x:v>01a0c411-0b03-7892-ab78-9235ffdd63f3</x:v>
      </x:c>
      <x:c r="I28" s="36" t="str">
        <x:v>01a0c411-0b02-7f22-ba2d-ce222a7868e7</x:v>
      </x:c>
      <x:c r="J28" s="33"/>
      <x:c r="K28" s="11"/>
      <x:c r="L28" s="11"/>
      <x:c r="M28" s="33"/>
      <x:c r="N28" s="11"/>
      <x:c r="O28" s="11"/>
      <x:c r="P28" s="33"/>
      <x:c r="Q28" s="11"/>
      <x:c r="R28" s="11"/>
      <x:c r="S28" s="33"/>
      <x:c r="T28" s="11"/>
      <x:c r="U28" s="11"/>
      <x:c r="V28" s="33"/>
      <x:c r="W28" s="11"/>
      <x:c r="X28" s="11"/>
      <x:c r="Y28" s="11"/>
      <x:c r="Z28" s="11"/>
      <x:c r="AA28" s="33"/>
      <x:c r="AB28" s="33"/>
      <x:c r="AC28" s="2"/>
      <x:c r="AD28" s="43" t="n">
        <x:v>1.053952</x:v>
      </x:c>
      <x:c r="AE28" s="2" t="str">
        <x:v>No model charge</x:v>
      </x:c>
    </x:row>
    <x:row r="29" ht="54" customHeight="1">
      <x:c r="A29" s="41" t="str">
        <x:v>    model</x:v>
      </x:c>
      <x:c r="B29" s="36" t="n">
        <x:v>1</x:v>
      </x:c>
      <x:c r="C29" s="36" t="str">
        <x:v>workflow</x:v>
      </x:c>
      <x:c r="D29" s="36" t="str"/>
      <x:c r="E29" s="36" t="str">
        <x:v>ok</x:v>
      </x:c>
      <x:c r="F29" s="38"/>
      <x:c r="G29" s="41" t="str">
        <x:v>Prepare the current conversation, run model middleware, and invoke the chat model.</x:v>
      </x:c>
      <x:c r="H29" s="36" t="str">
        <x:v>01a0c411-0b06-7043-a413-d5a47b32523a</x:v>
      </x:c>
      <x:c r="I29" s="36" t="str">
        <x:v>01a0c411-0aff-77a1-b3d8-a3fab2a89eac</x:v>
      </x:c>
      <x:c r="J29" s="33" t="n">
        <x:f>IF(COUNT('Turns'!D72)=1,SUM('Turns'!D72),"Unknown")</x:f>
        <x:v>864</x:v>
      </x:c>
      <x:c r="K29" s="11" t="n">
        <x:f>IF(COUNT('Turns'!E72)=1,SUM('Turns'!E72),"Unknown")</x:f>
        <x:v>0.00015078528</x:v>
      </x:c>
      <x:c r="L29" s="11" t="n">
        <x:f>IF(COUNT('Turns'!F72)=1,SUM('Turns'!F72),"Unknown")</x:f>
        <x:v>0.0001728</x:v>
      </x:c>
      <x:c r="M29" s="33" t="n">
        <x:f>IF(COUNT('Turns'!D71)=1,SUM('Turns'!D71),"Unknown")</x:f>
        <x:v>0</x:v>
      </x:c>
      <x:c r="N29" s="11" t="n">
        <x:f>IF(COUNT('Turns'!E71)=1,SUM('Turns'!E71),"Unknown")</x:f>
        <x:v>0</x:v>
      </x:c>
      <x:c r="O29" s="11" t="n">
        <x:f>IF(COUNT('Turns'!F71)=1,SUM('Turns'!F71),"Unknown")</x:f>
        <x:v>0</x:v>
      </x:c>
      <x:c r="P29" s="33" t="n">
        <x:v>0</x:v>
      </x:c>
      <x:c r="Q29" s="11" t="n">
        <x:v>0</x:v>
      </x:c>
      <x:c r="R29" s="11" t="n">
        <x:v>0</x:v>
      </x:c>
      <x:c r="S29" s="33" t="n">
        <x:f>IF(COUNT('Turns'!D78)=1,SUM('Turns'!D78),"Unknown")</x:f>
        <x:v>20</x:v>
      </x:c>
      <x:c r="T29" s="11" t="n">
        <x:f>IF(COUNT('Turns'!E78)=1,SUM('Turns'!E78),"Unknown")</x:f>
        <x:v>0.0000209424</x:v>
      </x:c>
      <x:c r="U29" s="11" t="n">
        <x:f>IF(COUNT('Turns'!F78)=1,SUM('Turns'!F78),"Unknown")</x:f>
        <x:v>0.000024</x:v>
      </x:c>
      <x:c r="V29" s="33" t="n">
        <x:f>IF(COUNT('Turns'!D77)=1,SUM('Turns'!D77),"Unknown")</x:f>
        <x:v>45</x:v>
      </x:c>
      <x:c r="W29" s="11" t="n">
        <x:f>IF(COUNT('Turns'!E77)=1,SUM('Turns'!E77),"Unknown")</x:f>
        <x:v>0.000047120400000000004</x:v>
      </x:c>
      <x:c r="X29" s="11" t="n">
        <x:f>IF(COUNT('Turns'!F77)=1,SUM('Turns'!F77),"Unknown")</x:f>
        <x:v>0.000054</x:v>
      </x:c>
      <x:c r="Y29" s="11" t="n">
        <x:f>IF(COUNT('Turns'!E82)=1,SUM('Turns'!E82),"Unknown")</x:f>
        <x:v>0.00021884808</x:v>
      </x:c>
      <x:c r="Z29" s="11" t="n">
        <x:f>IF(COUNT('Turns'!F82)=1,SUM('Turns'!F82),"Unknown")</x:f>
        <x:v>0.00025079999999999997</x:v>
      </x:c>
      <x:c r="AA29" s="33" t="n">
        <x:f>IF(ISNUMBER(Y29),ROUND(Y29*'Reference data'!$B$2,0),"Unknown")</x:f>
        <x:v>22</x:v>
      </x:c>
      <x:c r="AB29" s="33" t="n">
        <x:f>IF(ISNUMBER(Z29),ROUND(Z29*'Reference data'!$B$2,0),"Unknown")</x:f>
        <x:v>25</x:v>
      </x:c>
      <x:c r="AC29" s="2"/>
      <x:c r="AD29" s="43" t="n">
        <x:v>2689.668096</x:v>
      </x:c>
      <x:c r="AE29" s="2" t="str">
        <x:v>Subtree total</x:v>
      </x:c>
    </x:row>
    <x:row r="30" ht="54" customHeight="1">
      <x:c r="A30" s="42" t="str">
        <x:v>        ChatOpenAI</x:v>
      </x:c>
      <x:c r="B30" s="20" t="n">
        <x:v>2</x:v>
      </x:c>
      <x:c r="C30" s="20" t="str">
        <x:v>model</x:v>
      </x:c>
      <x:c r="D30" s="20" t="str">
        <x:v>gpt-5.6-luna</x:v>
      </x:c>
      <x:c r="E30" s="20" t="str">
        <x:v>ok</x:v>
      </x:c>
      <x:c r="F30" s="39" t="n">
        <x:v>864</x:v>
      </x:c>
      <x:c r="G30" s="42" t="str">
        <x:v>Generate the next assistant message or tool request from the current conversation.</x:v>
      </x:c>
      <x:c r="H30" s="20" t="str">
        <x:v>01a0c411-0b06-7043-a413-d5bee5da6d4a</x:v>
      </x:c>
      <x:c r="I30" s="20" t="str">
        <x:v>01a0c411-0b06-7043-a413-d5a47b32523a</x:v>
      </x:c>
      <x:c r="J30" s="33" t="n">
        <x:f>IF(COUNT('Turns'!D72)=1,SUM('Turns'!D72),"Unknown")</x:f>
        <x:v>864</x:v>
      </x:c>
      <x:c r="K30" s="11" t="n">
        <x:f>IF(COUNT('Turns'!E72)=1,SUM('Turns'!E72),"Unknown")</x:f>
        <x:v>0.00015078528</x:v>
      </x:c>
      <x:c r="L30" s="11" t="n">
        <x:f>IF(COUNT('Turns'!F72)=1,SUM('Turns'!F72),"Unknown")</x:f>
        <x:v>0.0001728</x:v>
      </x:c>
      <x:c r="M30" s="33" t="n">
        <x:f>IF(COUNT('Turns'!D71)=1,SUM('Turns'!D71),"Unknown")</x:f>
        <x:v>0</x:v>
      </x:c>
      <x:c r="N30" s="11" t="n">
        <x:f>IF(COUNT('Turns'!E71)=1,SUM('Turns'!E71),"Unknown")</x:f>
        <x:v>0</x:v>
      </x:c>
      <x:c r="O30" s="11" t="n">
        <x:f>IF(COUNT('Turns'!F71)=1,SUM('Turns'!F71),"Unknown")</x:f>
        <x:v>0</x:v>
      </x:c>
      <x:c r="P30" s="33" t="n">
        <x:v>0</x:v>
      </x:c>
      <x:c r="Q30" s="11" t="n">
        <x:v>0</x:v>
      </x:c>
      <x:c r="R30" s="11" t="n">
        <x:v>0</x:v>
      </x:c>
      <x:c r="S30" s="33" t="n">
        <x:f>IF(COUNT('Turns'!D78)=1,SUM('Turns'!D78),"Unknown")</x:f>
        <x:v>20</x:v>
      </x:c>
      <x:c r="T30" s="11" t="n">
        <x:f>IF(COUNT('Turns'!E78)=1,SUM('Turns'!E78),"Unknown")</x:f>
        <x:v>0.0000209424</x:v>
      </x:c>
      <x:c r="U30" s="11" t="n">
        <x:f>IF(COUNT('Turns'!F78)=1,SUM('Turns'!F78),"Unknown")</x:f>
        <x:v>0.000024</x:v>
      </x:c>
      <x:c r="V30" s="33" t="n">
        <x:f>IF(COUNT('Turns'!D77)=1,SUM('Turns'!D77),"Unknown")</x:f>
        <x:v>45</x:v>
      </x:c>
      <x:c r="W30" s="11" t="n">
        <x:f>IF(COUNT('Turns'!E77)=1,SUM('Turns'!E77),"Unknown")</x:f>
        <x:v>0.000047120400000000004</x:v>
      </x:c>
      <x:c r="X30" s="11" t="n">
        <x:f>IF(COUNT('Turns'!F77)=1,SUM('Turns'!F77),"Unknown")</x:f>
        <x:v>0.000054</x:v>
      </x:c>
      <x:c r="Y30" s="11" t="n">
        <x:f>IF(COUNT('Turns'!E82)=1,SUM('Turns'!E82),"Unknown")</x:f>
        <x:v>0.00021884808</x:v>
      </x:c>
      <x:c r="Z30" s="11" t="n">
        <x:f>IF(COUNT('Turns'!F82)=1,SUM('Turns'!F82),"Unknown")</x:f>
        <x:v>0.00025079999999999997</x:v>
      </x:c>
      <x:c r="AA30" s="33" t="n">
        <x:f>IF(ISNUMBER(Y30),ROUND(Y30*'Reference data'!$B$2,0),"Unknown")</x:f>
        <x:v>22</x:v>
      </x:c>
      <x:c r="AB30" s="33" t="n">
        <x:f>IF(ISNUMBER(Z30),ROUND(Z30*'Reference data'!$B$2,0),"Unknown")</x:f>
        <x:v>25</x:v>
      </x:c>
      <x:c r="AC30" s="2" t="str">
        <x:v>R5</x:v>
      </x:c>
      <x:c r="AD30" s="43" t="n">
        <x:v>2686.958848</x:v>
      </x:c>
      <x:c r="AE30" s="2" t="str">
        <x:v>Own call</x:v>
      </x:c>
    </x:row>
    <x:row r="31" ht="54" customHeight="1">
      <x:c r="A31" s="41" t="str">
        <x:v>    RestrictedToolApproval.after_model</x:v>
      </x:c>
      <x:c r="B31" s="36" t="n">
        <x:v>1</x:v>
      </x:c>
      <x:c r="C31" s="36" t="str">
        <x:v>workflow</x:v>
      </x:c>
      <x:c r="D31" s="36" t="str"/>
      <x:c r="E31" s="36" t="str">
        <x:v>ok</x:v>
      </x:c>
      <x:c r="F31" s="38"/>
      <x:c r="G31" s="41" t="str">
        <x:v>Execute the RestrictedToolApproval.after_model workflow operation and pass its result to the next graph step.</x:v>
      </x:c>
      <x:c r="H31" s="36" t="str">
        <x:v>01a0c411-158a-7913-91c0-2f4050809ef4</x:v>
      </x:c>
      <x:c r="I31" s="36" t="str">
        <x:v>01a0c411-0aff-77a1-b3d8-a3fab2a89eac</x:v>
      </x:c>
      <x:c r="J31" s="33"/>
      <x:c r="K31" s="11"/>
      <x:c r="L31" s="11"/>
      <x:c r="M31" s="33"/>
      <x:c r="N31" s="11"/>
      <x:c r="O31" s="11"/>
      <x:c r="P31" s="33"/>
      <x:c r="Q31" s="11"/>
      <x:c r="R31" s="11"/>
      <x:c r="S31" s="33"/>
      <x:c r="T31" s="11"/>
      <x:c r="U31" s="11"/>
      <x:c r="V31" s="33"/>
      <x:c r="W31" s="11"/>
      <x:c r="X31" s="11"/>
      <x:c r="Y31" s="11"/>
      <x:c r="Z31" s="11"/>
      <x:c r="AA31" s="33"/>
      <x:c r="AB31" s="33"/>
      <x:c r="AC31" s="2"/>
      <x:c r="AD31" s="43" t="n">
        <x:v>0.950016</x:v>
      </x:c>
      <x:c r="AE31" s="2" t="str">
        <x:v>No model charge</x:v>
      </x:c>
    </x:row>
    <x:row r="32" ht="54" customHeight="1">
      <x:c r="A32" s="41" t="str">
        <x:v>    tools</x:v>
      </x:c>
      <x:c r="B32" s="36" t="n">
        <x:v>1</x:v>
      </x:c>
      <x:c r="C32" s="36" t="str">
        <x:v>workflow</x:v>
      </x:c>
      <x:c r="D32" s="36" t="str"/>
      <x:c r="E32" s="36" t="str">
        <x:v>ok</x:v>
      </x:c>
      <x:c r="F32" s="38"/>
      <x:c r="G32" s="41" t="str">
        <x:v>Execute tool calls requested by the preceding model response and return their observations.</x:v>
      </x:c>
      <x:c r="H32" s="36" t="str">
        <x:v>01a0c411-158d-71f3-9401-0d3f7e69d558</x:v>
      </x:c>
      <x:c r="I32" s="36" t="str">
        <x:v>01a0c411-0aff-77a1-b3d8-a3fab2a89eac</x:v>
      </x:c>
      <x:c r="J32" s="33"/>
      <x:c r="K32" s="11"/>
      <x:c r="L32" s="11"/>
      <x:c r="M32" s="33"/>
      <x:c r="N32" s="11"/>
      <x:c r="O32" s="11"/>
      <x:c r="P32" s="33"/>
      <x:c r="Q32" s="11"/>
      <x:c r="R32" s="11"/>
      <x:c r="S32" s="33"/>
      <x:c r="T32" s="11"/>
      <x:c r="U32" s="11"/>
      <x:c r="V32" s="33"/>
      <x:c r="W32" s="11"/>
      <x:c r="X32" s="11"/>
      <x:c r="Y32" s="11"/>
      <x:c r="Z32" s="11"/>
      <x:c r="AA32" s="33"/>
      <x:c r="AB32" s="33"/>
      <x:c r="AC32" s="2"/>
      <x:c r="AD32" s="43" t="n">
        <x:v>5.122048</x:v>
      </x:c>
      <x:c r="AE32" s="2" t="str">
        <x:v>No model charge</x:v>
      </x:c>
    </x:row>
    <x:row r="33" ht="54" customHeight="1">
      <x:c r="A33" s="41" t="str">
        <x:v>        read_file</x:v>
      </x:c>
      <x:c r="B33" s="36" t="n">
        <x:v>2</x:v>
      </x:c>
      <x:c r="C33" s="36" t="str">
        <x:v>tool</x:v>
      </x:c>
      <x:c r="D33" s="36" t="str"/>
      <x:c r="E33" s="36" t="str">
        <x:v>ok</x:v>
      </x:c>
      <x:c r="F33" s="38"/>
      <x:c r="G33" s="41" t="str">
        <x:v>Read source or target; return content, or null for a missing target.</x:v>
      </x:c>
      <x:c r="H33" s="36" t="str">
        <x:v>01a0c411-158e-7f80-8b5b-93b62ba315f3</x:v>
      </x:c>
      <x:c r="I33" s="36" t="str">
        <x:v>01a0c411-158d-71f3-9401-0d3f7e69d558</x:v>
      </x:c>
      <x:c r="J33" s="33"/>
      <x:c r="K33" s="11"/>
      <x:c r="L33" s="11"/>
      <x:c r="M33" s="33"/>
      <x:c r="N33" s="11"/>
      <x:c r="O33" s="11"/>
      <x:c r="P33" s="33"/>
      <x:c r="Q33" s="11"/>
      <x:c r="R33" s="11"/>
      <x:c r="S33" s="33"/>
      <x:c r="T33" s="11"/>
      <x:c r="U33" s="11"/>
      <x:c r="V33" s="33"/>
      <x:c r="W33" s="11"/>
      <x:c r="X33" s="11"/>
      <x:c r="Y33" s="11"/>
      <x:c r="Z33" s="11"/>
      <x:c r="AA33" s="33"/>
      <x:c r="AB33" s="33"/>
      <x:c r="AC33" s="2"/>
      <x:c r="AD33" s="43" t="n">
        <x:v>2.60096</x:v>
      </x:c>
      <x:c r="AE33" s="2" t="str">
        <x:v>No model charge</x:v>
      </x:c>
    </x:row>
    <x:row r="34" ht="54" customHeight="1">
      <x:c r="A34" s="41" t="str">
        <x:v>    model</x:v>
      </x:c>
      <x:c r="B34" s="36" t="n">
        <x:v>1</x:v>
      </x:c>
      <x:c r="C34" s="36" t="str">
        <x:v>workflow</x:v>
      </x:c>
      <x:c r="D34" s="36" t="str"/>
      <x:c r="E34" s="36" t="str">
        <x:v>ok</x:v>
      </x:c>
      <x:c r="F34" s="38"/>
      <x:c r="G34" s="41" t="str">
        <x:v>Prepare the current conversation, run model middleware, and invoke the chat model.</x:v>
      </x:c>
      <x:c r="H34" s="36" t="str">
        <x:v>01a0c411-1594-7573-9f3d-16638005687d</x:v>
      </x:c>
      <x:c r="I34" s="36" t="str">
        <x:v>01a0c411-0aff-77a1-b3d8-a3fab2a89eac</x:v>
      </x:c>
      <x:c r="J34" s="33" t="n">
        <x:f>IF(COUNT('Turns'!D88)=1,SUM('Turns'!D88),"Unknown")</x:f>
        <x:v>994</x:v>
      </x:c>
      <x:c r="K34" s="11" t="n">
        <x:f>IF(COUNT('Turns'!E88)=1,SUM('Turns'!E88),"Unknown")</x:f>
        <x:v>0.00017347288000000002</x:v>
      </x:c>
      <x:c r="L34" s="11" t="n">
        <x:f>IF(COUNT('Turns'!F88)=1,SUM('Turns'!F88),"Unknown")</x:f>
        <x:v>0.0001988</x:v>
      </x:c>
      <x:c r="M34" s="33" t="n">
        <x:f>IF(COUNT('Turns'!D87)=1,SUM('Turns'!D87),"Unknown")</x:f>
        <x:v>0</x:v>
      </x:c>
      <x:c r="N34" s="11" t="n">
        <x:f>IF(COUNT('Turns'!E87)=1,SUM('Turns'!E87),"Unknown")</x:f>
        <x:v>0</x:v>
      </x:c>
      <x:c r="O34" s="11" t="n">
        <x:f>IF(COUNT('Turns'!F87)=1,SUM('Turns'!F87),"Unknown")</x:f>
        <x:v>0</x:v>
      </x:c>
      <x:c r="P34" s="33" t="n">
        <x:v>0</x:v>
      </x:c>
      <x:c r="Q34" s="11" t="n">
        <x:v>0</x:v>
      </x:c>
      <x:c r="R34" s="11" t="n">
        <x:v>0</x:v>
      </x:c>
      <x:c r="S34" s="33" t="n">
        <x:f>IF(COUNT('Turns'!D93)=1,SUM('Turns'!D93),"Unknown")</x:f>
        <x:v>13</x:v>
      </x:c>
      <x:c r="T34" s="11" t="n">
        <x:f>IF(COUNT('Turns'!E93)=1,SUM('Turns'!E93),"Unknown")</x:f>
        <x:v>0.00001361256</x:v>
      </x:c>
      <x:c r="U34" s="11" t="n">
        <x:f>IF(COUNT('Turns'!F93)=1,SUM('Turns'!F93),"Unknown")</x:f>
        <x:v>0.0000156</x:v>
      </x:c>
      <x:c r="V34" s="33" t="n">
        <x:v>0</x:v>
      </x:c>
      <x:c r="W34" s="11" t="n">
        <x:v>0</x:v>
      </x:c>
      <x:c r="X34" s="11" t="n">
        <x:v>0</x:v>
      </x:c>
      <x:c r="Y34" s="11" t="n">
        <x:f>IF(COUNT('Turns'!E97)=1,SUM('Turns'!E97),"Unknown")</x:f>
        <x:v>0.00018708544</x:v>
      </x:c>
      <x:c r="Z34" s="11" t="n">
        <x:f>IF(COUNT('Turns'!F97)=1,SUM('Turns'!F97),"Unknown")</x:f>
        <x:v>0.0002144</x:v>
      </x:c>
      <x:c r="AA34" s="33" t="n">
        <x:f>IF(ISNUMBER(Y34),ROUND(Y34*'Reference data'!$B$2,0),"Unknown")</x:f>
        <x:v>19</x:v>
      </x:c>
      <x:c r="AB34" s="33" t="n">
        <x:f>IF(ISNUMBER(Z34),ROUND(Z34*'Reference data'!$B$2,0),"Unknown")</x:f>
        <x:v>21</x:v>
      </x:c>
      <x:c r="AC34" s="2"/>
      <x:c r="AD34" s="43" t="n">
        <x:v>1831.835904</x:v>
      </x:c>
      <x:c r="AE34" s="2" t="str">
        <x:v>Subtree total</x:v>
      </x:c>
    </x:row>
    <x:row r="35" ht="54" customHeight="1">
      <x:c r="A35" s="42" t="str">
        <x:v>        ChatOpenAI</x:v>
      </x:c>
      <x:c r="B35" s="20" t="n">
        <x:v>2</x:v>
      </x:c>
      <x:c r="C35" s="20" t="str">
        <x:v>model</x:v>
      </x:c>
      <x:c r="D35" s="20" t="str">
        <x:v>gpt-5.6-luna</x:v>
      </x:c>
      <x:c r="E35" s="20" t="str">
        <x:v>ok</x:v>
      </x:c>
      <x:c r="F35" s="39" t="n">
        <x:v>994</x:v>
      </x:c>
      <x:c r="G35" s="42" t="str">
        <x:v>Generate the next assistant message or tool request from the current conversation.</x:v>
      </x:c>
      <x:c r="H35" s="20" t="str">
        <x:v>01a0c411-1595-7572-9ab4-60bca8d1632a</x:v>
      </x:c>
      <x:c r="I35" s="20" t="str">
        <x:v>01a0c411-1594-7573-9f3d-16638005687d</x:v>
      </x:c>
      <x:c r="J35" s="33" t="n">
        <x:f>IF(COUNT('Turns'!D88)=1,SUM('Turns'!D88),"Unknown")</x:f>
        <x:v>994</x:v>
      </x:c>
      <x:c r="K35" s="11" t="n">
        <x:f>IF(COUNT('Turns'!E88)=1,SUM('Turns'!E88),"Unknown")</x:f>
        <x:v>0.00017347288000000002</x:v>
      </x:c>
      <x:c r="L35" s="11" t="n">
        <x:f>IF(COUNT('Turns'!F88)=1,SUM('Turns'!F88),"Unknown")</x:f>
        <x:v>0.0001988</x:v>
      </x:c>
      <x:c r="M35" s="33" t="n">
        <x:f>IF(COUNT('Turns'!D87)=1,SUM('Turns'!D87),"Unknown")</x:f>
        <x:v>0</x:v>
      </x:c>
      <x:c r="N35" s="11" t="n">
        <x:f>IF(COUNT('Turns'!E87)=1,SUM('Turns'!E87),"Unknown")</x:f>
        <x:v>0</x:v>
      </x:c>
      <x:c r="O35" s="11" t="n">
        <x:f>IF(COUNT('Turns'!F87)=1,SUM('Turns'!F87),"Unknown")</x:f>
        <x:v>0</x:v>
      </x:c>
      <x:c r="P35" s="33" t="n">
        <x:v>0</x:v>
      </x:c>
      <x:c r="Q35" s="11" t="n">
        <x:v>0</x:v>
      </x:c>
      <x:c r="R35" s="11" t="n">
        <x:v>0</x:v>
      </x:c>
      <x:c r="S35" s="33" t="n">
        <x:f>IF(COUNT('Turns'!D93)=1,SUM('Turns'!D93),"Unknown")</x:f>
        <x:v>13</x:v>
      </x:c>
      <x:c r="T35" s="11" t="n">
        <x:f>IF(COUNT('Turns'!E93)=1,SUM('Turns'!E93),"Unknown")</x:f>
        <x:v>0.00001361256</x:v>
      </x:c>
      <x:c r="U35" s="11" t="n">
        <x:f>IF(COUNT('Turns'!F93)=1,SUM('Turns'!F93),"Unknown")</x:f>
        <x:v>0.0000156</x:v>
      </x:c>
      <x:c r="V35" s="33" t="n">
        <x:v>0</x:v>
      </x:c>
      <x:c r="W35" s="11" t="n">
        <x:v>0</x:v>
      </x:c>
      <x:c r="X35" s="11" t="n">
        <x:v>0</x:v>
      </x:c>
      <x:c r="Y35" s="11" t="n">
        <x:f>IF(COUNT('Turns'!E97)=1,SUM('Turns'!E97),"Unknown")</x:f>
        <x:v>0.00018708544</x:v>
      </x:c>
      <x:c r="Z35" s="11" t="n">
        <x:f>IF(COUNT('Turns'!F97)=1,SUM('Turns'!F97),"Unknown")</x:f>
        <x:v>0.0002144</x:v>
      </x:c>
      <x:c r="AA35" s="33" t="n">
        <x:f>IF(ISNUMBER(Y35),ROUND(Y35*'Reference data'!$B$2,0),"Unknown")</x:f>
        <x:v>19</x:v>
      </x:c>
      <x:c r="AB35" s="33" t="n">
        <x:f>IF(ISNUMBER(Z35),ROUND(Z35*'Reference data'!$B$2,0),"Unknown")</x:f>
        <x:v>21</x:v>
      </x:c>
      <x:c r="AC35" s="2" t="str">
        <x:v>R6</x:v>
      </x:c>
      <x:c r="AD35" s="43" t="n">
        <x:v>1829.607936</x:v>
      </x:c>
      <x:c r="AE35" s="2" t="str">
        <x:v>Own call</x:v>
      </x:c>
    </x:row>
    <x:row r="36" ht="54" customHeight="1">
      <x:c r="A36" s="41" t="str">
        <x:v>    RestrictedToolApproval.after_model</x:v>
      </x:c>
      <x:c r="B36" s="36" t="n">
        <x:v>1</x:v>
      </x:c>
      <x:c r="C36" s="36" t="str">
        <x:v>workflow</x:v>
      </x:c>
      <x:c r="D36" s="36" t="str"/>
      <x:c r="E36" s="36" t="str">
        <x:v>ok</x:v>
      </x:c>
      <x:c r="F36" s="38"/>
      <x:c r="G36" s="41" t="str">
        <x:v>Execute the RestrictedToolApproval.after_model workflow operation and pass its result to the next graph step.</x:v>
      </x:c>
      <x:c r="H36" s="36" t="str">
        <x:v>01a0c411-1cbd-7343-86a0-a19f434b1685</x:v>
      </x:c>
      <x:c r="I36" s="36" t="str">
        <x:v>01a0c411-0aff-77a1-b3d8-a3fab2a89eac</x:v>
      </x:c>
      <x:c r="J36" s="33"/>
      <x:c r="K36" s="11"/>
      <x:c r="L36" s="11"/>
      <x:c r="M36" s="33"/>
      <x:c r="N36" s="11"/>
      <x:c r="O36" s="11"/>
      <x:c r="P36" s="33"/>
      <x:c r="Q36" s="11"/>
      <x:c r="R36" s="11"/>
      <x:c r="S36" s="33"/>
      <x:c r="T36" s="11"/>
      <x:c r="U36" s="11"/>
      <x:c r="V36" s="33"/>
      <x:c r="W36" s="11"/>
      <x:c r="X36" s="11"/>
      <x:c r="Y36" s="11"/>
      <x:c r="Z36" s="11"/>
      <x:c r="AA36" s="33"/>
      <x:c r="AB36" s="33"/>
      <x:c r="AC36" s="2"/>
      <x:c r="AD36" s="43" t="n">
        <x:v>0.824064</x:v>
      </x:c>
      <x:c r="AE36" s="2" t="str">
        <x:v>No model charge</x:v>
      </x:c>
    </x:row>
  </x:sheetData>
  <x:conditionalFormatting sqref="A2:AE36">
    <x:cfRule type="expression" dxfId="3" priority="1">
      <x:formula>$E2="error"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73B70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4" hidden="0" customWidth="1"/>
    <x:col min="2" max="2" width="5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65" hidden="0" customWidth="1"/>
    <x:col min="9" max="9" width="40" hidden="0" customWidth="1"/>
  </x:cols>
  <x:sheetData>
    <x:row r="1" ht="44" customHeight="1">
      <x:c r="A1" s="7" t="str">
        <x:v>Parameter</x:v>
      </x:c>
      <x:c r="B1" s="7" t="str">
        <x:v>Value</x:v>
      </x:c>
      <x:c r="C1" s="7" t="str">
        <x:v>Unit</x:v>
      </x:c>
      <x:c r="D1" s="7" t="str"/>
      <x:c r="E1" s="7" t="str"/>
      <x:c r="F1" s="7" t="str"/>
      <x:c r="G1" s="7" t="str"/>
      <x:c r="H1" s="7" t="str"/>
      <x:c r="I1" s="7" t="str"/>
    </x:row>
    <x:row r="2" ht="24" customHeight="1">
      <x:c r="A2" s="2" t="str">
        <x:v>Number of executions</x:v>
      </x:c>
      <x:c r="B2" s="10" t="n">
        <x:v>100000</x:v>
      </x:c>
      <x:c r="C2" s="2" t="str">
        <x:v>executions</x:v>
      </x:c>
      <x:c r="D2" s="2"/>
      <x:c r="E2" s="2"/>
      <x:c r="F2" s="2"/>
      <x:c r="G2" s="2"/>
      <x:c r="H2" s="2"/>
      <x:c r="I2" s="2"/>
    </x:row>
    <x:row r="3" ht="24" customHeight="1">
      <x:c r="A3" s="2" t="str">
        <x:v>USD → EUR</x:v>
      </x:c>
      <x:c r="B3" s="11" t="n">
        <x:v>0.8726</x:v>
      </x:c>
      <x:c r="C3" s="2" t="str">
        <x:v>EUR per USD</x:v>
      </x:c>
      <x:c r="D3" s="2"/>
      <x:c r="E3" s="2"/>
      <x:c r="F3" s="2"/>
      <x:c r="G3" s="2"/>
      <x:c r="H3" s="2"/>
      <x:c r="I3" s="2"/>
    </x:row>
    <x:row r="4" ht="24" customHeight="1">
      <x:c r="A4" s="2" t="str">
        <x:v>Cache duration</x:v>
      </x:c>
      <x:c r="B4" s="2" t="str">
        <x:v>5m</x:v>
      </x:c>
      <x:c r="C4" s="2" t="str"/>
      <x:c r="D4" s="2"/>
      <x:c r="E4" s="2"/>
      <x:c r="F4" s="2"/>
      <x:c r="G4" s="2"/>
      <x:c r="H4" s="2"/>
      <x:c r="I4" s="2"/>
    </x:row>
    <x:row r="5" ht="28" customHeight="1">
      <x:c r="A5" s="2" t="str">
        <x:v>Run ID</x:v>
      </x:c>
      <x:c r="B5" s="14" t="str">
        <x:v>01a0c410-e7cb-79f0-a41b-0c24b54e5453</x:v>
      </x:c>
      <x:c r="C5" s="2" t="str"/>
      <x:c r="D5" s="2"/>
      <x:c r="E5" s="2"/>
      <x:c r="F5" s="2"/>
      <x:c r="G5" s="2"/>
      <x:c r="H5" s="2"/>
      <x:c r="I5" s="2"/>
    </x:row>
    <x:row r="6" ht="28" customHeight="1">
      <x:c r="A6" s="2" t="str">
        <x:v>Recording</x:v>
      </x:c>
      <x:c r="B6" s="14" t="str">
        <x:v>Provider trace</x:v>
      </x:c>
      <x:c r="C6" s="2" t="str"/>
      <x:c r="D6" s="2"/>
      <x:c r="E6" s="2"/>
      <x:c r="F6" s="2"/>
      <x:c r="G6" s="2"/>
      <x:c r="H6" s="2"/>
      <x:c r="I6" s="2"/>
    </x:row>
    <x:row r="7" ht="28" customHeight="1">
      <x:c r="A7" s="2" t="str">
        <x:v>FX reference date</x:v>
      </x:c>
      <x:c r="B7" s="15" t="n">
        <x:v>46283</x:v>
      </x:c>
      <x:c r="C7" s="2" t="str"/>
      <x:c r="D7" s="2"/>
      <x:c r="E7" s="2"/>
      <x:c r="F7" s="2"/>
      <x:c r="G7" s="2"/>
      <x:c r="H7" s="2"/>
      <x:c r="I7" s="2"/>
    </x:row>
    <x:row r="8" ht="28" customHeight="1">
      <x:c r="A8" s="2" t="str">
        <x:v>FX fetched at</x:v>
      </x:c>
      <x:c r="B8" s="16" t="n">
        <x:v>46286.544387905094</x:v>
      </x:c>
      <x:c r="C8" s="2" t="str">
        <x:v>UTC</x:v>
      </x:c>
      <x:c r="D8" s="2"/>
      <x:c r="E8" s="2"/>
      <x:c r="F8" s="2"/>
      <x:c r="G8" s="2"/>
      <x:c r="H8" s="2"/>
      <x:c r="I8" s="2"/>
    </x:row>
    <x:row r="9" ht="56" customHeight="1">
      <x:c r="A9" s="2" t="str">
        <x:v>FX source</x:v>
      </x:c>
      <x:c r="B9" s="14" t="str">
        <x:v>https://api.frankfurter.dev/v2/rate/usd/eur?providers=ecb</x:v>
      </x:c>
      <x:c r="C9" s="2" t="str"/>
      <x:c r="D9" s="2"/>
      <x:c r="E9" s="2"/>
      <x:c r="F9" s="2"/>
      <x:c r="G9" s="2"/>
      <x:c r="H9" s="2"/>
      <x:c r="I9" s="2"/>
    </x:row>
    <x:row r="10" ht="56" customHeight="1">
      <x:c r="A10" s="2" t="str">
        <x:v>Rounding</x:v>
      </x:c>
      <x:c r="B10" s="14" t="str">
        <x:v>Only projected costs: ROUND(cost × executions, 0)</x:v>
      </x:c>
      <x:c r="C10" s="2" t="str"/>
      <x:c r="D10" s="2"/>
      <x:c r="E10" s="2"/>
      <x:c r="F10" s="2"/>
      <x:c r="G10" s="2"/>
      <x:c r="H10" s="2"/>
      <x:c r="I10" s="2"/>
    </x:row>
    <x:row r="11" ht="56" customHeight="1">
      <x:c r="A11" s="2" t="str">
        <x:v>Tree totals</x:v>
      </x:c>
      <x:c r="B11" s="14" t="str">
        <x:v>Parent rows include descendants; do not sum all tree rows.</x:v>
      </x:c>
      <x:c r="C11" s="2" t="str"/>
      <x:c r="D11" s="2"/>
      <x:c r="E11" s="2"/>
      <x:c r="F11" s="2"/>
      <x:c r="G11" s="2"/>
      <x:c r="H11" s="2"/>
      <x:c r="I11" s="2"/>
    </x:row>
    <x:row r="12" ht="56" customHeight="1">
      <x:c r="A12" s="2" t="str">
        <x:v>Cache writes</x:v>
      </x:c>
      <x:c r="B12" s="14" t="str">
        <x:v>Simulation cache movements are shown separately from provider-billed writes.</x:v>
      </x:c>
      <x:c r="C12" s="2" t="str"/>
      <x:c r="D12" s="2"/>
      <x:c r="E12" s="2"/>
      <x:c r="F12" s="2"/>
      <x:c r="G12" s="2"/>
      <x:c r="H12" s="2"/>
      <x:c r="I12" s="2"/>
    </x:row>
    <x:row r="13" ht="56" customHeight="1">
      <x:c r="A13" s="2" t="str">
        <x:v>Pricing scope</x:v>
      </x:c>
      <x:c r="B13" s="14" t="str">
        <x:v>Standard online token rates. Verify rates and model access before use. Cache writes with unspecified lifetime use the 5-minute rate unless an explicit cache_write rate is configured. No batch, regional, long-context, tool, or negotiated pricing adjustments are applied.</x:v>
      </x:c>
      <x:c r="C13" s="2" t="str"/>
      <x:c r="D13" s="2"/>
      <x:c r="E13" s="2"/>
      <x:c r="F13" s="2"/>
      <x:c r="G13" s="2"/>
      <x:c r="H13" s="2"/>
      <x:c r="I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</x:row>
    <x:row r="15" ht="44" customHeight="1">
      <x:c r="A15" s="5" t="str">
        <x:v>Model</x:v>
      </x:c>
      <x:c r="B15" s="5" t="str">
        <x:v>Input USD / 1M tokens</x:v>
      </x:c>
      <x:c r="C15" s="5" t="str">
        <x:v>Cache read USD / 1M tokens</x:v>
      </x:c>
      <x:c r="D15" s="5" t="str">
        <x:v>Cache write USD / 1M tokens</x:v>
      </x:c>
      <x:c r="E15" s="5" t="str">
        <x:v>Output USD / 1M tokens</x:v>
      </x:c>
      <x:c r="F15" s="5" t="str">
        <x:v>Reasoning USD / 1M tokens</x:v>
      </x:c>
      <x:c r="G15" s="5" t="str">
        <x:v>Verified date</x:v>
      </x:c>
      <x:c r="H15" s="5" t="str">
        <x:v>Source</x:v>
      </x:c>
      <x:c r="I15" s="5" t="str">
        <x:v>Notes</x:v>
      </x:c>
    </x:row>
    <x:row r="16" ht="72" customHeight="1">
      <x:c r="A16" s="14" t="str">
        <x:v>openai:gpt-5.5</x:v>
      </x:c>
      <x:c r="B16" s="17" t="n">
        <x:v>5</x:v>
      </x:c>
      <x:c r="C16" s="17" t="n">
        <x:v>0.5</x:v>
      </x:c>
      <x:c r="D16" s="17"/>
      <x:c r="E16" s="17" t="n">
        <x:v>30</x:v>
      </x:c>
      <x:c r="F16" s="17" t="n">
        <x:v>30</x:v>
      </x:c>
      <x:c r="G16" s="15" t="n">
        <x:v>46283</x:v>
      </x:c>
      <x:c r="H16" s="14" t="str">
        <x:v>https://developers.openai.com/api/docs/models/gpt-5.5.md</x:v>
      </x:c>
      <x:c r="I16" s="14" t="str">
        <x:v>Cache write assumes 5m when unspecified</x:v>
      </x:c>
    </x:row>
    <x:row r="17" ht="72" customHeight="1">
      <x:c r="A17" s="14" t="str">
        <x:v>openai:gpt-5.6-luna</x:v>
      </x:c>
      <x:c r="B17" s="17" t="n">
        <x:v>0.2</x:v>
      </x:c>
      <x:c r="C17" s="17" t="n">
        <x:v>0.02</x:v>
      </x:c>
      <x:c r="D17" s="17" t="n">
        <x:v>0.25</x:v>
      </x:c>
      <x:c r="E17" s="17" t="n">
        <x:v>1.2</x:v>
      </x:c>
      <x:c r="F17" s="17" t="n">
        <x:v>1.2</x:v>
      </x:c>
      <x:c r="G17" s="15" t="n">
        <x:v>46283</x:v>
      </x:c>
      <x:c r="H17" s="14" t="str">
        <x:v>https://developers.openai.com/api/docs/models/gpt-5.6-luna.md</x:v>
      </x:c>
      <x:c r="I17" s="14" t="str">
        <x:v>Cache write assumes 5m when unspecified</x:v>
      </x:c>
    </x:row>
    <x:row r="18" ht="72" customHeight="1">
      <x:c r="A18" s="14" t="str">
        <x:v>openai:gpt-5.6-sol</x:v>
      </x:c>
      <x:c r="B18" s="17" t="n">
        <x:v>4</x:v>
      </x:c>
      <x:c r="C18" s="17" t="n">
        <x:v>0.4</x:v>
      </x:c>
      <x:c r="D18" s="17" t="n">
        <x:v>5</x:v>
      </x:c>
      <x:c r="E18" s="17" t="n">
        <x:v>20</x:v>
      </x:c>
      <x:c r="F18" s="17" t="n">
        <x:v>20</x:v>
      </x:c>
      <x:c r="G18" s="15" t="n">
        <x:v>46283</x:v>
      </x:c>
      <x:c r="H18" s="14" t="str">
        <x:v>https://developers.openai.com/api/docs/models/gpt-5.6-sol.md</x:v>
      </x:c>
      <x:c r="I18" s="14" t="str">
        <x:v>Cache write assumes 5m when unspecified</x:v>
      </x:c>
    </x:row>
    <x:row r="19" ht="72" customHeight="1">
      <x:c r="A19" s="14" t="str">
        <x:v>anthropic:claude-sonnet-5</x:v>
      </x:c>
      <x:c r="B19" s="17" t="n">
        <x:v>2</x:v>
      </x:c>
      <x:c r="C19" s="17" t="n">
        <x:v>0.2</x:v>
      </x:c>
      <x:c r="D19" s="17" t="n">
        <x:v>2.5</x:v>
      </x:c>
      <x:c r="E19" s="17" t="n">
        <x:v>10</x:v>
      </x:c>
      <x:c r="F19" s="17" t="n">
        <x:v>10</x:v>
      </x:c>
      <x:c r="G19" s="15" t="n">
        <x:v>46283</x:v>
      </x:c>
      <x:c r="H19" s="14" t="str">
        <x:v>https://platform.claude.com/docs/en/about-claude/pricing</x:v>
      </x:c>
      <x:c r="I19" s="14" t="str">
        <x:v>Cache write assumes 5m when unspecified</x:v>
      </x:c>
    </x:row>
    <x:row r="20" ht="72" customHeight="1">
      <x:c r="A20" s="14" t="str">
        <x:v>anthropic:claude-opus-4-8</x:v>
      </x:c>
      <x:c r="B20" s="17" t="n">
        <x:v>5</x:v>
      </x:c>
      <x:c r="C20" s="17" t="n">
        <x:v>0.5</x:v>
      </x:c>
      <x:c r="D20" s="17" t="n">
        <x:v>6.25</x:v>
      </x:c>
      <x:c r="E20" s="17" t="n">
        <x:v>25</x:v>
      </x:c>
      <x:c r="F20" s="17" t="n">
        <x:v>25</x:v>
      </x:c>
      <x:c r="G20" s="15" t="n">
        <x:v>46283</x:v>
      </x:c>
      <x:c r="H20" s="14" t="str">
        <x:v>https://platform.claude.com/docs/en/about-claude/pricing</x:v>
      </x:c>
      <x:c r="I20" s="14" t="str">
        <x:v>Cache write assumes 5m when unspecified</x:v>
      </x:c>
    </x:row>
    <x:row r="21" ht="72" customHeight="1">
      <x:c r="A21" s="14" t="str">
        <x:v>anthropic:claude-fable-5-1</x:v>
      </x:c>
      <x:c r="B21" s="17" t="n">
        <x:v>10</x:v>
      </x:c>
      <x:c r="C21" s="17" t="n">
        <x:v>0.25</x:v>
      </x:c>
      <x:c r="D21" s="17" t="n">
        <x:v>12.5</x:v>
      </x:c>
      <x:c r="E21" s="17" t="n">
        <x:v>50</x:v>
      </x:c>
      <x:c r="F21" s="17" t="n">
        <x:v>50</x:v>
      </x:c>
      <x:c r="G21" s="15" t="n">
        <x:v>46283</x:v>
      </x:c>
      <x:c r="H21" s="14" t="str">
        <x:v>https://platform.claude.com/docs/en/about-claude/pricing</x:v>
      </x:c>
      <x:c r="I21" s="14" t="str">
        <x:v>Cache write assumes 5m when unspecified</x:v>
      </x:c>
    </x:row>
    <x:row r="22" ht="72" customHeight="1">
      <x:c r="A22" s="14" t="str">
        <x:v>demo:scripted-chat</x:v>
      </x:c>
      <x:c r="B22" s="17" t="n">
        <x:v>0.2</x:v>
      </x:c>
      <x:c r="C22" s="17" t="n">
        <x:v>0.02</x:v>
      </x:c>
      <x:c r="D22" s="17" t="n">
        <x:v>0.25</x:v>
      </x:c>
      <x:c r="E22" s="17" t="n">
        <x:v>1.2</x:v>
      </x:c>
      <x:c r="F22" s="17" t="n">
        <x:v>1.2</x:v>
      </x:c>
      <x:c r="G22" s="15" t="n">
        <x:v>46283</x:v>
      </x:c>
      <x:c r="H22" s="14" t="str">
        <x:v>Illustrative demo rates based on openai:gpt-5.6-luna; no provider billing</x:v>
      </x:c>
      <x:c r="I22" s="14" t="str">
        <x:v>Cache write assumes 5m when unspecified</x:v>
      </x:c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</x:row>
  </x:sheetData>
  <x:conditionalFormatting sqref="G16:G22">
    <x:cfRule type="expression" dxfId="0" priority="1">
      <x:formula>G16&lt;TODAY()</x:formula>
    </x:cfRule>
  </x:conditionalFormatting>
  <x:conditionalFormatting sqref="B7:B7">
    <x:cfRule type="expression" dxfId="1" priority="2">
      <x:formula>B7&lt;TODAY()</x:formula>
    </x:cfRule>
  </x:conditionalFormatting>
  <x:dataValidations count="1">
    <x:dataValidation type="whole" operator="greaterThanOrEqual" sqref="B2">
      <x:formula1>0</x:formula1>
    </x:dataValidation>
  </x:dataValidations>
  <x:pageMargins left="0.7" right="0.7" top="0.75" bottom="0.75" header="0.3" footer="0.3"/>
</x:worksheet>
</file>
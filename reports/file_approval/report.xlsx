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<sst xmlns="http://schemas.openxmlformats.org/spreadsheetml/2006/main" count="783" uniqueCount="213">
  <si>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</si>
  <si>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</si>
  <si>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</si>
  <si>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</si>
  <si>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</si>
  <si>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</si>
  <si>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</si>
  <si>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</si>
  <si>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</si>
  <si>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</si>
  <si>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</si>
  <si>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</si>
  <si>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</si>
  <si>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</si>
  <si>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</si>
  <si>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</si>
  <si>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</si>
  <si>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</si>
  <si>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</si>
  <si>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</si>
  <si>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</si>
  <si>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</si>
  <si>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</si>
  <si>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</si>
  <si>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</si>
  <si>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</si>
  <si>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</si>
  <si>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</si>
  <si>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</si>
  <si>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</si>
  <si>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</si>
  <si>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</si>
  <si>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</si>
  <si>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</si>
  <si>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</si>
  <si>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</si>
  <si>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</si>
  <si>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</si>
  <si>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</si>
  <si>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</si>
  <si>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</si>
  <si>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</si>
  <si>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</si>
  <si>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</si>
  <si>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</si>
  <si>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</si>
  <si>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</si>
  <si>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</si>
  <si>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</si>
  <si>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01a0cce0-bc30-7871-9658-56d600af9884</t>
  </si>
  <si>
    <t>Recording</t>
  </si>
  <si>
    <t>Provider trace</t>
  </si>
  <si>
    <t>FX reference date</t>
  </si>
  <si>
    <t>2026-09-22</t>
  </si>
  <si>
    <t>FX fetched at</t>
  </si>
  <si>
    <t>2026-09-23T06:06:28.037095Z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</si>
  <si>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</si>
  <si>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</si>
  <si>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</si>
  <si>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</si>
  <si>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</si>
  <si>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</si>
  <si>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</si>
  <si>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</si>
  <si>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</si>
  <si>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</si>
  <si>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</si>
  <si>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</si>
  <si>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</si>
  <si>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</si>
  <si>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</si>
  <si>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</si>
  <si>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</si>
  <si>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</si>
  <si>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</si>
  <si>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</si>
  <si>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</si>
  <si>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</si>
  <si>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</si>
  <si>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</si>
  <si>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</si>
  <si>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</si>
  <si>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</si>
  <si>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</si>
  <si>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</si>
  <si>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</si>
  <si>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</si>
  <si>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</si>
  <si>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</si>
  <si>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</si>
  <si>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</si>
  <si>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</si>
  <si>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</si>
  <si>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</si>
  <si>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</si>
  <si>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</si>
  <si>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01a0cce0-bc37-7fd3-bc0c-f454386957f0</t>
  </si>
  <si>
    <t>Fresh input</t>
  </si>
  <si>
    <t xml:space="preserve">    Tool definitions</t>
  </si>
  <si>
    <t xml:space="preserve">    System prompt</t>
  </si>
  <si>
    <t xml:space="preserve">You edit a UTF-8 document according to the human's request.
Use read_file to inspect /source.txt and /target.txt as needed. If the target exists,
preserve its current content unless the human requests replacement; otherwise
use the source as the starting document. Make each requested change separately,
with one write_file or edit_file call at a time, always on /target.txt.
Use write_file for new documents and edit_file for targeted replacements.
A missing target is normal: use the source to create it. Read results contain
pagination headers; these are display annotations, not document content.
After each write outcome, read the target again before proposing the next change.
A rejected tool call did not execute: do not retry or reintroduce that change.
Report only changes confirmed by tool results. Tool execution policy is enforced
by the harness; do not ask for permission in prose or invent approval results.
</t>
  </si>
  <si>
    <t xml:space="preserve">    User prompt</t>
  </si>
  <si>
    <t>Append each of these sentences as a separate change: ['\nReviewed by the project team.\n', 'Next step: request a quote.\n']</t>
  </si>
  <si>
    <t>Cache write</t>
  </si>
  <si>
    <t>Context · added / total</t>
  </si>
  <si>
    <t>LLM response</t>
  </si>
  <si>
    <t>Reasoning</t>
  </si>
  <si>
    <t>Output</t>
  </si>
  <si>
    <t xml:space="preserve">    Output content</t>
  </si>
  <si>
    <t>[{"id": "rs_0be63b89bf4dc92a006ab36cbc7a7087d2a1d7d74fa055e1af", "summary": [], "type": "reasoning", "content": [], "index": 0, "encrypted_content": "gAAAAABqs2y9XDRLSkVTrLY5v91PlOqHPv504476Ch61y59qcC5WeZzNEU4hsksRNaapJYk7EZvEJldQ3O6ppVx3kZh0TS_aHmegwEvu7_maiQIvHUk_yL23q7FdTFAhi7mSxJdUFBoaa00u_D1AWIVjUJrZMkfjI7Xb0KzAhufCbkgcdywGkh7HK9WFn6fJeM6hb_iU_kySbeqEZEwh1ZIdhS2uLFy5I2TJ25C5Dw8CYTsG2WlDzIqp6-ZFAS84fb1utr_qrGy-xnwcF_Zo33gCUsRa7EUntxJSRryYo34k69LgqnnP0paIlzNwYQmtsRDCwvmiMaHel0_Y3hkdeSq2BUn81E6CHtYaBQdl9mgGmMdF289Ves4JzL8gpBvuAmjTQK8J6vvo3K3RdrUYf_9w7z50A-F0JxagnR04Fcq8EYFU5BIuHUgzvrfqDpb3QuGQCJeZG23sHr8GFjVNUWgfbQavZOpya-zLWHVyyiNOk-TIe_D0-m1bnzEgLsWKkK5UDDle7-0lfMYIoAWLoXnqKpThPowSTIslrByIJk7-Hc_nUOemXP8qWaCWA0rjHW1o_4m9wH-e7by9a4kYCRp9lRaOB_zOhYCx_lk68Eyjnf2ULn1N1GxvMDsyf6bBkrZkS05nHBGGmXbkmMqUuxSIGtY1-CI5WYpl5O3cDpU4c0YMAUztzZmtEI6p1zNVqiV0og_AQzzsbXHzu4pQlp00sWbc8DbbpIsQN6fXklLR0AKCC0jQUACyCdQ-yQcRw2Z77L5ZKyfI-U_6F65Gv1_KBh9-u2h7AfsBn52R2gM9X6AzAxSOMD4T80l-WYtAyc0T-vuelwkPSsHdWCwjXCKHWrq70dA5qR1Y2kgA0b03pus9_Y64UjSF0wyz4wZt0Eo1yeIAVWhlJGfePTB5vtVQU-dBP2-HrY7QdSbLUNysuh2d-271UozfvH9P4r7wtEEFIIl8J-v1Cke2YZxF3qWqwuO_UhBywqV0iASV-d1fEceKBbHzXuGGcbuHxa9K_gV4HqNhiqOc2W-bJ2Kx4bMgerhzOE4J4ZkKEUuh-W3SSmKxIdzzvTAVCO777QdoRQRa1kVz-XhQO3t_KYcBTEfYAWyAJWna0-7k_0IpDQNcNG_ulC6VK0rK2Zdap4mxeasP4DuyA_ZH-_0JJdsFBwWaUEvDg60qqNVIVnEfTdDTenRjMMFCnXV8V1MPODnKpODVB648terbMOXu5t3_OTJvaHEI7wxtO1dWXtBW0ksHEytfPFkUJVvSJOxMTg2MZMmZhEDYpW6Sg9djqACu5HAlt26UTzZqmdVC74wPLKgmiaezq5EkbB4="}, {"type": "function_call", "name": "read_file", "arguments": "{\"file_path\":\"/source.txt\",\"offset\":0,\"limit\":100}", "call_id": "call_ymjhEvEzLR32bCmpdnAVgwsg", "id": "fc_0be63b89bf4dc92a006ab36cbda66487d2b5060e5c92d6d6d1", "index": 1}, {"type": "function_call", "name": "read_file", "arguments": "{\"file_path\":\"/target.txt\",\"offset\":0,\"limit\":100}", "call_id": "call_J0P3mDBwugsB5VQBS6x7sN9t", "id": "fc_0be63b89bf4dc92a006ab36cbda67c87d2a2812f7792d543b7", "index": 2}]
{"name": "read_file", "args": {"file_path": "/source.txt", "offset": 0, "limit": 100}, "id": "call_ymjhEvEzLR32bCmpdnAVgwsg", "type": "tool_call"}
{"name": "read_file", "args": {"file_path": "/target.txt", "offset": 0, "limit": 100}, "id": "call_J0P3mDBwugsB5VQBS6x7sN9t", "type": "tool_call"}</t>
  </si>
  <si>
    <t>Call total</t>
  </si>
  <si>
    <t>ok</t>
  </si>
  <si>
    <t>Tool · read_file</t>
  </si>
  <si>
    <t>01a0cce0-c65d-7f22-a15a-af95c767fec7</t>
  </si>
  <si>
    <t xml:space="preserve">    Arguments</t>
  </si>
  <si>
    <t>{'file_path': '/source.txt', 'offset': 0, 'limit': 100}</t>
  </si>
  <si>
    <t xml:space="preserve">    Result</t>
  </si>
  <si>
    <t>@@ lines 1-2 of 2 @@
Project summary
We prepare clear, practical reports.</t>
  </si>
  <si>
    <t>01a0cce0-c65d-7f22-a15a-afa233874ea3</t>
  </si>
  <si>
    <t>{'file_path': '/target.txt', 'offset': 0, 'limit': 100}</t>
  </si>
  <si>
    <t>@@ lines 1-11 of 11 @@
Project summary
We prepare clear, practical reports.
Reviewed by the project team.
Next step: request a quote.
Reviewed by the project team.
Next step: request a quote.
Reviewed by the project team.
Next step: request a quote.</t>
  </si>
  <si>
    <t>R2</t>
  </si>
  <si>
    <t>01a0cce0-c663-7853-b277-58aa59dc1391</t>
  </si>
  <si>
    <t>Conversation history · cache read</t>
  </si>
  <si>
    <t xml:space="preserve">    Tool result</t>
  </si>
  <si>
    <t>@@ lines 1-2 of 2 @@
Project summary
We prepare clear, practical reports.
@@ lines 1-11 of 11 @@
Project summary
We prepare clear, practical reports.
Reviewed by the project team.
Next step: request a quote.
Reviewed by the project team.
Next step: request a quote.
Reviewed by the project team.
Next step: request a quote.</t>
  </si>
  <si>
    <t>[{"id": "rs_0be63b89bf4dc92a006ab36cbf2ce887d2a2d601fa43cd44fb", "summary": [], "type": "reasoning", "content": [], "index": 0, "encrypted_content": "gAAAAABqs2zEUa9kR18wRU5tKGaIOa8m_QT6fADG0bwGziTXXbMC33Hch_pup4QXlAnN29_eZ41zESludwXHUfdlVbVC615AF0GDtm2uXBZLSSd62NCqZSXia5r1GVZsJlw4PrxC0f6R800g10CNoyfVdp1pjf06gJLSNFej0wiVWe2vPWUpScGAJs4g8nb3-Uu5AqF_mTKyB2VLDvuaftJh_UNGTUQcHjZNCRXWB63cyb2lt6PBkcSgInjHDlrO5AdCOLlPghIou0qqaGpQ_zuQhY6TRwmctjGqAkXGQjM8BK09oeTBiCumNcmjKJ_i4WVI9BeFL4zwl-iBgJUMh49M_HIilL_PnQGRM0YgLXhbYAlkbTkRjIfrZC_XYy98k4CnYkC10v2jgpozAMS6lh2T46XDLyooe1CvsMSR2A7EPNzBIJFkM_dV4ay7X7CnvUmA04A2zJAAOzvLtpbN-ufwHbdcbjEj7IjkTq2jbhWLQh3Fba4KPpGV8s8GjXHgci-eTipVAsRcUzldQ3le6o6BSJbeqKfmMd7OEAEY_516FK8c1proyAcYqEvKvgRxcRsWu1CalUVCMpXdWjYEiZgFFmb1cVhlRm8qpUTUDTuRlj8kiULK5VPD5mPSF4SL-aWxfjp8PNOWBLAc4bvBZzyU15H9UjKHkQ0xGzJGOnf9uNMi37ukJY8Dm-lwloLIuRMhDkdn7z09NHCKj4lQe9Yz6DauWWDD0GWOBwU3VFP2N1qtELC5HqaI79aw4DShALT6aMUN58lVwkCdY5Yw42GJfRBcffyMsZWWwod-kJhspQoPdHpgZ1iMz_k3S4l9JLOkHyW1sRrfRJg084q5BEP3qlGjqel8izuSmzwZ-aYO29R2ELaoi-6zSbos4PRuK5zGUHMmLg_8IGJo7swHtMTuUH0cgN3OY9v2-fE5JeR0KTtRHys-qslQZKTzJGYXxxOnWmaFEzziO-yD0y7B1PCc2bf35r5wTIuhmm20Ca7IU0kiDvi2tKN7-2xlCijpdXkr4BXA0usJMy-Ch-Z9Lj7PMJXMk-rNLVJCQ8emD3qG16YgUpXs81xXidfvo2R5Skr5-U2438Bse9khOouEjJFZjpIPqaNzNUZPdMW_Ob0F-PKXx1Yp2HCbQPi4RnwwT0o68VtDuZytdWtO_rmZbx7du7Tz9LeAIrsGxJuTfZY7f0V1Y1D3gSjsbj8VHRKxcPjyDyo601yYlON-wTsIRwuNvPH-hY1S1qEMrvcXe8F_yTkIkVXcYZQvqs4U9HeYTQrdNp_a9LhsW3XZQv0bJfyznOuYp4tGachYlByHbFceVhlLuJZ51nbTeDO4E3agL5TuuQxaKGNwiLD0bflvkQ0BR-c9Dvky3EUobRAxs2cJU_vMbCCTi9eccO5uBDwhBH5pEhlW4mJ9_hOZlKu1Hq1Z1-FNpeRjb3jIR-r_cid5486b4gLDgDKdJF8JVppKivCZjRkt-qR_q3tBiDSJmzdImzglQmmWkIAooRs8_vV7dA_txiXAwvE7cU-ckkVu5G6ZoJq3shpWDtx50kmLf-Wnt3S3PZmYZk9_pTltJe_6wQ6f-FQA0zWJbNQQR_N8g0f41f2T5f81PSC5AVEn0SVpALqhNZvxaRtlXc0lFVZm7kpkvt95NhlQ2D6KsnBP2UUHP-_XgL1WXFImTdIToHILfEt2QL_MXu7K_p5OpGbWbHEHwxF99_JDmqWadUd0LyEisuRbMWwkJZ_JRl7l0HwVvKiknDTA6U-ZwgDQ7P6dOlQKcxZ6BLUQu8xF6KwBO4n5M2iOajnA1i6ajPTYw6_PAKYrZ5a7vTaw21LX7mlxgB_KInABuR0UXAFyhU5RsDWBaxrkbww8rixOSCzWEKKaExyNKxBmRBpW2jhX_oiA84E37B2dLQeJLqVGVewUP9JDTywp4Rk2DKb42_c1An78EcGoJK2FTYQ64cIXryTgTFE0bInni4S5_WKV279Z-rdK_H8IGWFX3BdQvfGyGQjwwv4AKD19XYLdJEgWSzdOefnRNYXmTkCU3rWpowM0ndLM8_bohuwOTtsJiAvqdAYaGI2Uei2IN4gUsdy2kqdaXn2XI9HRyf-wd-IRvF5c8Ktq9LwAdCXmHHurvjECAI3iUgz4XxZ_Il4xdpGS-ILF60i1cth_gS5h4tWS4rtKpF0c4pkC6vM0u-gUeRf7GNYMUXuZJf3MuuXEAHIfRJZ4LV1RqoFYc57dEm-KIo71yQ5Swl1LhKio5ALS1dsUbWAbr-lLjAkhvZPTw8kp1iZStLWOiLmmsltDZY-WjEKZVO-F40slNeM5mD6ukgoZ2azghvsWuKBdXTRc-JudB6Y5EhqpxnqrJkX0JXT2XVsSE1G_KI7HjSt8OPlrcOryizwwj7UTpVr5MkxZIDx_BOIH_hVpK9NH-iw65JcftMz1HUdogaWiei8XjwQFLw9eme9nk5e61NWYkH6xlU1v0Bej5TF9Su6X_Wll8c8qr2G9w8tws1hYQTwud6rxEPNM92EU3XFXQrAo4sT04DLppbicysJxuWMXltsbXJvU5OqmrE2MtouPllc9oq-atIzrh7VbeID2t1YbBjrrTRIfcuDMKH6zsirb1XYkUj4b8D5OOptQdoZd-AfvEnzVGGWD_Yym0xOjdBXE0MkFt6GTvaUwlfqbwTo2Aeh8SUhSEg-TcOVw_QvnntOw6oybvzVFuImVac7tvwkgPc-Qz5OZTYThKJ8ySjsSypM2xPnySaezD58DsLWY6eloY4aGbmAFjBcz8X98sJebmaY7NVvzqbs02g35O_iB0xPaCOZytXzlabES9510ltgjEZVye-RaaELc5-KbftVDz6zPmCEbO2u_BEEXV10uSY1oJX9sIU1QHbwZw31LYL8VF4K8A4VjQthkvA4YeFmMKimsQu_1wlZgtntxm1eKr7A="}, {"type": "function_call", "name": "edit_file", "arguments": "{\"file_path\":\"/target.txt\",\"old_string\":\"Project summary\\nWe prepare clear, practical reports.\\n\\nReviewed by the project team.\\nNext step: request a quote.\\n\\nReviewed by the project team.\\nNext step: request a quote.\\n\\nReviewed by the project team.\\nNext step: request a quote.\",\"new_string\":\"Project summary\\nWe prepare clear, practical reports.\\n\\nReviewed by the project team.\\nNext step: request a quote.\\n\\nReviewed by the project team.\\nNext step: request a quote.\\n\\nReviewed by the project team.\\nNext step: request a quote.\\n\\nReviewed by the project team.\\n\",\"replace_all\":false}", "call_id": "call_vHsVsy2o9mAHYkwuQzWden0t", "id": "fc_0be63b89bf4dc92a006ab36cc477f887d2bc267f66d01c1675", "index": 1}]
{"name": "edit_file", "args": {"file_path": "/target.txt", "old_string": "Project summary\nWe prepare clear, practical reports.\n\nReviewed by the project team.\nNext step: request a quote.\n\nReviewed by the project team.\nNext step: request a quote.\n\nReviewed by the project team.\nNext step: request a quote.", "new_string": "Project summary\nWe prepare clear, practical reports.\n\nReviewed by the project team.\nNext step: request a quote.\n\nReviewed by the project team.\nNext step: request a quote.\n\nReviewed by the project team.\nNext step: request a quote.\n\nReviewed by the project team.\n", "replace_all": false}, "id": "call_vHsVsy2o9mAHYkwuQzWden0t", "type": "tool_call"}</t>
  </si>
  <si>
    <t>Tool · edit_file</t>
  </si>
  <si>
    <t>01a0cce0-e58a-74d1-86cc-653d85029ab5</t>
  </si>
  <si>
    <t>{'file_path': '/target.txt', 'old_string': 'Project summary\nWe prepare clear, practical reports.\n\nReviewed by the project team.\nNext step: request a quote.\n\nReviewed by the project team.\nNext step: request a quote.\n\nReviewed by the project team.\nNext step: request a quote.', 'new_string': 'Project summary\nWe prepare clear, practical reports.\n\nReviewed by the project team.\nNext step: request a quote.\n\nReviewed by the project team.\nNext step: request a quote.\n\nReviewed by the project team.\nNext step: request a quote.\n\nReviewed by the project team.\n', 'replace_all': False}</t>
  </si>
  <si>
    <t>Successfully replaced 1 instance(s) of the string in '/target.txt'</t>
  </si>
  <si>
    <t>R3</t>
  </si>
  <si>
    <t>01a0cce0-e591-7600-87a9-e502f1a6ebc2</t>
  </si>
  <si>
    <t>[{"id": "rs_0be63b89bf4dc92a006ab36cc6da6c87d286f8aad93fedeb65", "summary": [], "type": "reasoning", "content": [], "index": 0, "encrypted_content": "gAAAAABqs2zHKTg4fQx-VMPwtLLOp-eUM7GxOcfLqwxVg5QnA32DWcbP2C0QkLEZm73G--WX5pwdGN1a6Edn8Fb7DzGKlU4W4gfC2ASBJ8Ishmkr5j71KaaquofSr0R-VxHhGATy3rb13Gw9zoM01IyQB1fslFz0TQ7yI-aJfGVuDXvCixSpcZfrnopqu5FecI0MNU1Llrvh5NkYkTcxrWYJoHzxFDayjCH8FKIwYOUXjh583kkKhcGm09t_DpXhQbThotYnb7y2bweI8G8A_NJ4XxvSldJybYeXe1NHikP4onvyjNwiymcHoKUBcf_nkAS6nQ9J5SNl1wMwXPoxBnNpdfUq-xUxnPuoyWEtnfqtIYWj9gF3HtKXyTIp2si4wK0ZzhwyprYNXGnblyLp4TRt43LRL9CcwyQC2cNoTSPglzQvIHACFpi9W9mXLVMWhIeRhkbA9rmlaVHX57_DTueY2HkEj1nHG81uWQjaXfI4UeAbym9NvocYH90UM86zeXKqr7Szi9ppWTkTNFKp4zVYeSK_kd125K_FjChSegIYUD6Tq-_-1vCPf58Hem-7lJ76HHZIpoyNUXciThIKGOsKzTpeFIXMbk6KWibaNy1MBB7QhNwFi2gc-OV1I9iXwOd-Xl3jMY4JKBWulXTLZd38C0pyPf2zz51T8LzwI1IC_0BVVZeug1pmly4YVBJfbrIR6CjlUHVoDLqS5J4Xvz6xBlN3vCXEcK4aWbXz6meMdW7UvBVMq5DkSDigUu0i7z65IXuZ8pXv92njkQqys7QFZuuSe3BZ5HE3O5PcvWIbfSumaG1lOo7TofE8RoC_eFiBuqr4SUplNkdKtdNAPv7e4frCfU67qnIFGo80dkhoml8t5EcwoVXpAsJsknV435aqADHl5Zy2LXZgu65dA5mdf_Ozm-75elzoPiv9Xr4u0Cfj5sc0xSzaSNm3HJ49iVqF4qDITMtCa-I979ZHSg_3mWYDtOaPrWCWt8Ke6msa1o3c_g68uCGstMS4W5BwFzAkOb3AXRGceHyiqG-SQxTf_kj1N5SlVE7_5m4Hls5D6QOOcuDzkbqF9KjlcdX3mAe221ll7VxmK8u5fhV8oh9QSmclSOwzOom6qjL4TjLPAxAYvN3ii-h473A48gNr_5RSDjlpuLRjWqz1EQuW1b4B7hY75TkcmU4TqFLf9fP54lqM6OZuatZxpo6iWzITFDgV5ZxX1tHB3AtB3iFcyszeegx5Z7QYEGKanMrt3yYiEq2lnvmv-o6x9t6kphUqa6QGGy-1g1e589RTxzO9W-xAyT4oGGe33hrKtq5vRVTXuGBzWbhBkzA="}, {"type": "function_call", "name": "read_file", "arguments": "{\"file_path\":\"/target.txt\",\"offset\":0,\"limit\":100}", "call_id": "call_Uh7wTF1aLj2DBW5qc2Gn9of2", "id": "fc_0be63b89bf4dc92a006ab36cc7781887d290a36597813ef5ed", "index": 1}]
{"name": "read_file", "args": {"file_path": "/target.txt", "offset": 0, "limit": 100}, "id": "call_Uh7wTF1aLj2DBW5qc2Gn9of2", "type": "tool_call"}</t>
  </si>
  <si>
    <t>01a0cce0-ecaa-7e70-8bbb-da40a697a8fe</t>
  </si>
  <si>
    <t xml:space="preserve">@@ lines 1-14 of 14 @@
Project summary
We prepare clear, practical reports.
Reviewed by the project team.
Next step: request a quote.
Reviewed by the project team.
Next step: request a quote.
Reviewed by the project team.
Next step: request a quote.
Reviewed by the project team.
</t>
  </si>
  <si>
    <t>R4</t>
  </si>
  <si>
    <t>01a0cce0-ecaf-7a30-a098-7ddc12630e0d</t>
  </si>
  <si>
    <t>[{"id": "rs_0be63b89bf4dc92a006ab36cc8dcb887d2b2bf0dd6103ef5d0", "summary": [], "type": "reasoning", "content": [], "index": 0, "encrypted_content": "gAAAAABqs2zMUtdm2ObzIhhK3EZf8KUrdJC2w9KYfD_xQrJL0WbghAibhIVGPBM3GnZ19bXAPsquUt2507UQeWS022V0ExhbktCwJHdokmWchO5upBdsRp0eM9IKDM2XvDKY_6eNX8dNZjbINsNzrETAsBZxO_lC1U01rWHwv-vWMCCcoUaeY8wrCWNK8TDnfhAkYSSXvc816tYZ8PheQeJFpj4iTdcacrcSL9hbMEauWlIoHd3Vby9FO-ypTr5GpqUUsuvfUnJMzt3WLCz7mhkC4jrvnuUwr4cXvBh3cgTIpS4reRV9xd9kp7OaO0hPBAFAZU5juUKu7gtXogjDzfVA1Wor1y3dhAfyPrm4VE2H0HP4uliCAFpyw3B6ytx9lWTF38NsngaeNsSy3z9UaQjZv1BI9acoyz0QlIhGF9hcSdYAYFkHOJAIZv2DY7cJbC81YnHO4nEiPBiwtpQInhhWn6yy-G58lgex-x96Ul-9XX8Rf_anG4HgFAKCZnZ9sIlGi0vLKG_uEon8Xxy0-WvUgj9NAnnru8NeSZMMmm7fOB0yTKstP-iFIrpUuXd2vG5jookyfvCn6QLNcgx3zpb6SuUarsaTWlCG91IlmYhejZXqta7B5h94qIxvAu4aB_PRiWKuB43fmAGSmmBGUzPo7tKWkESRXNSwrAEAD2uOuqioC171ZW3l3N5h3Y8JZ4ia9RTsGSq0QDAkdKzPQSGf2wbmQ9TDzoZZl2WI2Unsip43YZnFD8DkhUx8EVzFoAU4P4pj6_w419G26kOJNtO1WvwIQ3P95y36D29CcizCz-zabbB4m-eHvHa9FlSUh5c6ck4JAvLjlcDq5ykA0RCAcA6-2nb2Ww111eMUGSETv-nD_9nUWGjE2ZMscfqhrEsBI-cx3DPctofCAXEH4vHB15SMRhWyQsghhCN9rsdlsWs7AtmS-rRv0dvIAIhITqWXS862aOMb9NW1JRKg4ltbRi6yjnTswUnzYIMzg7UA2inrbANHZOXOQ-X4zEUSf1RNM5RsKrwUUjBDPdbP-Zac8o7469wZT87PbgeN6xjKy0Mu5xD62DQOBvblK1f8wfFBFCA_wyvSNadi4mj17K69DP6zO-Ib-WJxmIjrse3iBDZ2WIxMBFqEJuoj653OK-Ows6_JXk2PdySO3vd1x7yz3p74Uf97mQjYD-CFAP6ZHVg_dXlp-gZwjtev96D3IaEH9REpnmeTSoFOeHVgjXronmUidzRr_fVX3ceZU67Y8j98BEsBw0UhdMeZUusBjmVHSLqsqsBwSnHgxfidpn0O4xx1r2ygVcOpqp2QSJNgE5MIc-4Bip-tgXCZEgkZq6T9YTG0uHOcny4_nQ8Aq_kz_kfGSZawfDupAiRyH8XS2mMtazTyOVrsjjEOB6O7nf9P2dBaDQphjO4PFD91M3t_yIvSaicwYGeR4udT_n7klYjiTWU5QmSljz-7TWynQuev1iTN0_UOXThrHtNYiSLNfxkqmobgLlzYH_K6l185yX-_gRauPE89snDmDBnXsSOeh02-2JLWn-NUBtxfNVyKGL5Qz6gNepy6tRNeGTRx3cw5zBA5Y6_Z8eNYuZDQ2D7lrGKiFjyxUooTsLITxHqsXbwHz1GB0ruw1kqUTZXLH5_Zpa5zsTGnhXCOjys-gGxE_OiX75sN9jjaxE9yPqkPwFP9RFM-wjuWeQ9uIDTq_FvbRre85nhNqfKqRbRwYlN2inqvGmzoi3Gu-MrW1aEJY2fqXSjZVIzBrtpKnUp1XlRgU9Jx_4CTcd-8ERQNLGaFU394W87k3k_cO8cmRtLpGxjsybnCCbRkq03WZRJkl0LLAV838woFd9QuOyhgREvFJQfDHJlBtxiXCb0u2Kh9tDKvgafCKy64tB1FtAdxwV-FIr95haY2WyP49fx9m11dwPXO02jRqC-amRJgCGftNcePyzYjoYTEr1no3kx7ZLOE3hALcqdaNh6OxmXaO8JwGtEBu7j4_k10XFWFlITFTGs7WgJBvxwD2GLzjvH635TiJYvgQvC_st5EAjj37d2RouFoBZTWrRgVGPvzstqeCAqvn42_t9Fj2I9uVExH89HJm0D1HKRjm36ov4HolODDpGvy7KbJ3WtwHIpQa_g0-78M8c0fZlrITo5a25n8c4KWWp0La4XYAJlSMVF5CCSVg_IssWGkG8U-DPfeRRxEWbV9xQxtNAkDBCjokHGpGVG4wtOd3BSSTx_OtCFS9nAhXuln_t26DX9f0B__iIsKDcqezb6jhZeB-y1KkFOSL6mDOy4vi-z1208nfe9D74Khr5_KyhYKswu_nLLtKre_qSksZg2YoXGdVmNl4xB6WEOEhZ9V6cSE9S2fVZLm4noOLXHnlk-1_GPEBmZ4np0s5VrphTnoxBGKQQD5c86wbWT6g7-X6_rFZ9AYhkIc0HKqLYRPdY9M"}, {"type": "function_call", "name": "edit_file", "arguments": "{\"file_path\":\"/target.txt\",\"old_string\":\"Next step: request a quote.\\n\\nReviewed by the project team.\\n\",\"new_string\":\"Next step: request a quote.\\n\\nReviewed by the project team.\\n\\nNext step: request a quote.\\n\",\"replace_all\":false}", "call_id": "call_xmGfNb5cXbcibuRLSEUUxD04", "id": "fc_0be63b89bf4dc92a006ab36cccc4e087d2821a22465e980e87", "index": 1}]
{"name": "edit_file", "args": {"file_path": "/target.txt", "old_string": "Next step: request a quote.\n\nReviewed by the project team.\n", "new_string": "Next step: request a quote.\n\nReviewed by the project team.\n\nNext step: request a quote.\n", "replace_all": false}, "id": "call_xmGfNb5cXbcibuRLSEUUxD04", "type": "tool_call"}</t>
  </si>
  <si>
    <t>error</t>
  </si>
  <si>
    <t>01a0cce1-0357-7193-a5f9-000e06bf8228</t>
  </si>
  <si>
    <t>{'file_path': '/target.txt', 'old_string': 'Next step: request a quote.\n\nReviewed by the project team.\n', 'new_string': 'Next step: request a quote.\n\nReviewed by the project team.\n\nNext step: request a quote.\n', 'replace_all': False}</t>
  </si>
  <si>
    <t>Error: String 'Next step: request a quote.
Reviewed by the project team.
' appears 3 times in file. Use replace_all=True to replace all instances, or provide a more specific string with surrounding context.</t>
  </si>
  <si>
    <t>R5</t>
  </si>
  <si>
    <t>01a0cce1-035b-7d43-8fa7-46141fd220ff</t>
  </si>
  <si>
    <t>[{"id": "rs_0be63b89bf4dc92a006ab36ccea80087d2a3ed827cee0d2b27", "summary": [], "type": "reasoning", "content": [], "index": 0, "encrypted_content": "gAAAAABqs2zQTUuKw10VnA2dZ6EEBYCmAeQO01hfOeMSGetZt4szW5jOtJHkNhID2sHs_wrUgWiuAxmSEo745KfGJuH_3Z5Az-Sl_avtXJOEWsc6b-dtpXSr93-hwiW4LquyD7KRLHVj0kiJxXJtYTzWo2SxZIaQzcf-fFIXPi98vJWelKelFHRKlRuSoRZ0zLh-N2KTxlxWM04DxWyJ5NFUuJlnUO4rSYqOyeN33DlJ-jy-v8lDQlm_vvsXRcmv0bU24wMs6hgQ1ezKzMmlWwP5b0BgYc8Hbmct6GTFwXsk1nmFbEqObQjUJ25tl6NXQnGQh7d9tBB3_2KOYFggLWhmtCJmcIZZgatXEhEFL_YWfBjU4-l73nXTy8K2paTypIycqiykqJfrM62RLH8ceorx7ofpGibvic0iLhBI-Fc5z_a2L4kD97TRyeWb-rOtEswTeWu-ukkDf3ybe0vyz8iTufMDag8DkDUO5jbPd5JM2qhQXCQZ-vslfEZort5P1o4LHTjiRY3ogoCrhTwmro-VTaN-xjRbV3MV-GzwdVyQY2wdak5pXt5flg4zOQmMQVk6Eknt2IrckxiMPuhR4DYw97Mz86yIIi5aS-fR9YJEfHFbw77ebzGeN4JoV4KRZLMYX4OevnxvDQCAaKYBxRgQzy7_r4QpnTRJfM6Wp7yL6R3hcejxdtl7uy0zfnrC4RbDVMHWCoFm6q9qN35gLgdCAeY9LIZnDWCCbAaOosfMJ1LAjGTWuG0VuWkKGfTsNXZEyKyqmRolldjv-y51hnb2vRHJ0AKeYklA-uXk_yH4hn6uA7JTbs0hf1Eh4ZB8L3pEcZIBkov7GmDrmplm2NztUsQ9TdIbzhI6WEEH2EgpnKqAz2xtZbjlnV_gE1SzZAW_yq6YlIiSJwkaxKveZiOpxuKqqJV7rRjSBUloh0IcVMKVwOt54prT6NqAdMRBRtUh-5A0UwVpXY-VJxym_x97ATgtlQgqbpSU834Sou1epmFM6u7WbeC6pv8mOvX2uSMpFEaZAYfzrRE2nCxnJgdMf9mJsT0WlNF-9QXCImgZkPrujUQD3UXahEjoXd5B3XIb70_uQaIteS74Fn_uqxgq7NoGntSkiihDCbx9-Bj3gnWuca6E2GXy1rxAZOQsCuR5yDt845e3RdMSfB-e6sEtmT0xRTUQUwL72zYuP1XYMAVJLkVxa8WlPk3CYQ-yuois-m_WwFzp0lpUlfSbfpJDjP4HGVUlI2BCJe4HItCWVycVRK0DpR_P1hL6DqWKDIdjygZaUxd7WMW_UfV7T0D-X-PnQ54bcDG22XRn76nL-NnKWigeI8YWSxikFpARtLJ8xDuF_r1mmex73B5Tf6waeaIrjIkhBnPbjY7xWJloBqnUvWJ3qMm83K7ir_Kl-lvzWmLnSurGs_Oy249uOLVaaVNxlI_dqYMEW8vfj21TEMZLAYyqXtMOPnmUZGCIDbbb3fkVcCoR2a39PpQtJwRmMNrfpPuD2KbgHE9_T5emfPwM04_aJdpsHGc-mAFjlAVpmypK10_H38OXb68NF85OaCT71-c6wglqyo04afH1cm50wTFXZFCdiYp22GpN79yfwEDeDQEEN-DlxLiW5fbDZ3FzL8Uvv0N1TD9mM9u9xwLA_1pKriDsDHlzKS3C04e7NKNGZyIDvzDBT0nT0o2J8eOWtxogacCZE338HZx1ZWz45PWkuhOVChI6X7U7A9Ra-6MmSfIbRHksI-mIHUhlBJJgipe3DubpiE8aL2jiN9d3indqpCQLFLiivgUhZhQIeUMdGneGxNU0CAM3doTnnThAI5P6bX4Bar-xD6iSVNFY79fpjUbX8yDVZBtBo1M1jtlx85MB"}, {"type": "function_call", "name": "edit_file", "arguments": "{\"file_path\":\"/target.txt\",\"old_string\":\"Project summary\\nWe prepare clear, practical reports.\\n\\nReviewed by the project team.\\nNext step: request a quote.\\n\\nReviewed by the project team.\\nNext step: request a quote.\\n\\nReviewed by the project team.\\nNext step: request a quote.\\n\\nReviewed by the project team.\\n\",\"new_string\":\"Project summary\\nWe prepare clear, practical reports.\\n\\nReviewed by the project team.\\nNext step: request a quote.\\n\\nReviewed by the project team.\\nNext step: request a quote.\\n\\nReviewed by the project team.\\nNext step: request a quote.\\n\\nReviewed by the project team.\\n\\nNext step: request a quote.\\n\",\"replace_all\":false}", "call_id": "call_Y6Wa99qdOi8UzJbYBOnvPG3c", "id": "fc_0be63b89bf4dc92a006ab36cd07f8087d2b28e7018839137a9", "index": 1}]
{"name": "edit_file", "args": {"file_path": "/target.txt", "old_string": "Project summary\nWe prepare clear, practical reports.\n\nReviewed by the project team.\nNext step: request a quote.\n\nReviewed by the project team.\nNext step: request a quote.\n\nReviewed by the project team.\nNext step: request a quote.\n\nReviewed by the project team.\n", "new_string": "Project summary\nWe prepare clear, practical reports.\n\nReviewed by the project team.\nNext step: request a quote.\n\nReviewed by the project team.\nNext step: request a quote.\n\nReviewed by the project team.\nNext step: request a quote.\n\nReviewed by the project team.\n\nNext step: request a quote.\n", "replace_all": false}, "id": "call_Y6Wa99qdOi8UzJbYBOnvPG3c", "type": "tool_call"}</t>
  </si>
  <si>
    <t>01a0cce1-14c8-7592-bebd-2358da5aa44e</t>
  </si>
  <si>
    <t>{'file_path': '/target.txt', 'old_string': 'Project summary\nWe prepare clear, practical reports.\n\nReviewed by the project team.\nNext step: request a quote.\n\nReviewed by the project team.\nNext step: request a quote.\n\nReviewed by the project team.\nNext step: request a quote.\n\nReviewed by the project team.\n', 'new_string': 'Project summary\nWe prepare clear, practical reports.\n\nReviewed by the project team.\nNext step: request a quote.\n\nReviewed by the project team.\nNext step: request a quote.\n\nReviewed by the project team.\nNext step: request a quote.\n\nReviewed by the project team.\n\nNext step: request a quote.\n', 'replace_all': False}</t>
  </si>
  <si>
    <t>R6</t>
  </si>
  <si>
    <t>01a0cce1-14cd-7082-99be-5e5b03bda314</t>
  </si>
  <si>
    <t>[{"id": "rs_0be63b89bf4dc92a006ab36cd3142087d28a43c44455603cad", "summary": [], "type": "reasoning", "content": [], "index": 0, "encrypted_content": "gAAAAABqs2zTPxmham_cuR4Gc1XV7ptAqvLLmmk3vSPepJfPd2SxnkfS7sBlVQ9EKaZFPaxEoUoEo3XGV3VTicCn6EFZzvIxl5f9kKKiN28FNfCh1AgkYA-38z4eqfxMQHlEqD-9Z9oCrdtD9wnnccpun9GT4vKcuSxZzuzpXWLV8jVuEc-2xQnwmnlDnJOKi1UUz7vJd6yzOXJxaZEdv3jPsTh_8tL_6Fs6iOdIHA3k6RCOpXnBuZa-oawlKKT28WSDMdJP44kUaWo8svfL0lmKWHBt5xEKVJOPZrzCp9BGKEh9uHA_8ATNKf0xnd3gZG_fyemu1knJyWPwU1yGdOY0z8l9WYKHYpaEv3UnRWGJ7qgMOfzy6reanBFfi2qwTt2fN3Igs6cZOA3lTTK8t8o1tQvcCkKtfRbFqq5LdhnVPeaYOyM90ZQ3sqMz2Lhnfr1zn5H9ro6D63FGnrP7aHSPNCveMtaN8h5yGB6OtrlTn8cwHykD2l-WkTJ_uRnWVGjJtz5OSWgBNR1eJzF7iGN1nzhKGRD3HzGrC_vy9Gs03y6bduiDUrtM1aap5WkfzKcJT-gg3bzq90aAVk1DcZQldKwZPd-_lUciz9tS_3LF4HUS7NZ-GIirUAazEK-QeNh-pVdtf4R5ryj7tIveDVIE9wgf9kZm2wSaUuhJvzs61XU-HMR7zSCSZJbnp9QK5Z7KvDNVp_E2-djKeZJP56PzsHMMkwu5fcI1DPONPRMmdk3c6HwZ2RvdO3O-zqekUvCdgdijeUYDI460WGX3minKDvf8sFPYTNBkxuKif6-pDanwLvUbwW_-XfJAaVTuD-ObhvMR9POIDKFp2PCN_k3UQSF6bAAz08eWS2azeGFqlTBKemeWkRvTa81rSA7Oyvywq1boz5dh95mtVEUgbm2h40A21ItQywAcHblBctgbn62XKbj2Yax6VZbSqnODhz2u3c5LeevT_9ECeJogIpVSDGjUq8XYnXEsROAlmaP8FCIOK9z-qtusGqvwBaQ3PoLRps7qSJx7AR-OZTWz_HOguSYdg2ri8IcRhw89UnubF6kmv72G5c8FjEF83er3yZdqdYjY_QnI-xlwqVVPj5eX0pU_EJYs1GdrDkTPu6fFPRGoIVedOhuCvXZhScoeE80AbKWjhtV6oIBBriYOj1qOkLy3FZewHpjKwJmheyXcAmurQHmjQuo="}, {"type": "function_call", "name": "read_file", "arguments": "{\"file_path\":\"/target.txt\",\"offset\":0,\"limit\":100}", "call_id": "call_pXwFpExgHp1ByUyFdXXe1MBe", "id": "fc_0be63b89bf4dc92a006ab36cd3518087d2a6c907e70bbb2395", "index": 1}]
{"name": "read_file", "args": {"file_path": "/target.txt", "offset": 0, "limit": 100}, "id": "call_pXwFpExgHp1ByUyFdXXe1MBe", "type": "tool_call"}</t>
  </si>
  <si>
    <t>01a0cce1-1adc-71f1-98d8-be3a39d72496</t>
  </si>
  <si>
    <t xml:space="preserve">@@ lines 1-16 of 16 @@
Project summary
We prepare clear, practical reports.
Reviewed by the project team.
Next step: request a quote.
Reviewed by the project team.
Next step: request a quote.
Reviewed by the project team.
Next step: request a quote.
Reviewed by the project team.
Next step: request a quote.
</t>
  </si>
  <si>
    <t>R7</t>
  </si>
  <si>
    <t>01a0cce1-1ae1-7f00-9d83-5c140d10485c</t>
  </si>
  <si>
    <t>[{"type": "text", "text": "Appended both sentences to `/target.txt` as separate changes.", "phase": "final_answer", "index": 0, "id": "msg_0be63b89bf4dc92a006ab36cd461e887d2ae549e26ba5ed228"}]</t>
  </si>
  <si>
    <t>file_editor</t>
  </si>
  <si>
    <t>workflow</t>
  </si>
  <si>
    <t>Execute the file_editor workflow operation and pass its result to the next graph step.</t>
  </si>
  <si>
    <t>Subtree total</t>
  </si>
  <si>
    <t xml:space="preserve">    RestrictedToolApproval.before_model</t>
  </si>
  <si>
    <t>Execute the RestrictedToolApproval.before_model workflow operation and pass its result to the next graph step.</t>
  </si>
  <si>
    <t>01a0cce0-bc32-7003-b125-44ac8cc900ae</t>
  </si>
  <si>
    <t>No model charge</t>
  </si>
  <si>
    <t xml:space="preserve">    model</t>
  </si>
  <si>
    <t>Prepare the current conversation, run model middleware, and invoke the chat model.</t>
  </si>
  <si>
    <t>01a0cce0-bc35-7bf0-b538-86ea9a24066b</t>
  </si>
  <si>
    <t xml:space="preserve">        ChatOpenAI</t>
  </si>
  <si>
    <t>model</t>
  </si>
  <si>
    <t>Generate the next assistant message or tool request from the current conversation.</t>
  </si>
  <si>
    <t>Own call</t>
  </si>
  <si>
    <t xml:space="preserve">    RestrictedToolApproval.after_model</t>
  </si>
  <si>
    <t>Execute the RestrictedToolApproval.after_model workflow operation and pass its result to the next graph step.</t>
  </si>
  <si>
    <t>01a0cce0-c659-7871-908f-b1521d183f16</t>
  </si>
  <si>
    <t xml:space="preserve">    tools</t>
  </si>
  <si>
    <t>Execute tool calls requested by the preceding model response and return their observations.</t>
  </si>
  <si>
    <t>01a0cce0-c65b-7c10-be9a-fed7be5c68fd</t>
  </si>
  <si>
    <t xml:space="preserve">        read_file</t>
  </si>
  <si>
    <t>tool</t>
  </si>
  <si>
    <t>Reads a file from the filesystem. Assume any path the user provides is valid; reading a missing file returns an error.
Usage:
- By default, it reads up to 100 lines starting from the beginning of the file. Use `offset`/`limit` to page through large files instead of reading them whole.
- A status header, `@@ field | field | ... @@`, sits above the file content, and every line after it is verbatim file content. When content is truncated, there may be an explanation before the header. Never include the header when editing.
- Speculatively batch multiple `read_file` calls in one response when several files may be useful.
- An empty file returns a system-reminder warning in place of contents.
- Large tool results may be offloaded to a file; the tool message gives the path. Read that path here, paging with `offset`/`limit`.
- Images (`.png`, `.jpg`, etc.), audio, video, and PDFs return multimodal content blocks (https://docs.langchain.com/oss/python/langchain/messages#multimodal).
- For images and PDFs, pagination via `offset`/`limit` is text-only - supply `file_path` only
- Always read a file before editing it.</t>
  </si>
  <si>
    <t>01a0cce0-c65b-7c10-be9a-fee10c60ceb3</t>
  </si>
  <si>
    <t>01a0cce0-c661-7ee1-b643-c7ac6b487d9e</t>
  </si>
  <si>
    <t>01a0cce0-c662-7382-bf27-7180d5126953</t>
  </si>
  <si>
    <t>interrupted</t>
  </si>
  <si>
    <t>01a0cce0-e56c-7f50-ba17-fee13d85162c</t>
  </si>
  <si>
    <t>01a0cce0-e585-7b82-b6b0-024d4e55b3b5</t>
  </si>
  <si>
    <t>01a0cce0-e586-7a33-bf42-42a9b7d08b28</t>
  </si>
  <si>
    <t>01a0cce0-e588-77a1-9782-a7b399473d65</t>
  </si>
  <si>
    <t xml:space="preserve">        edit_file</t>
  </si>
  <si>
    <t>Performs exact string replacements in files.
Usage:
- You must read the file before editing; this tool errors otherwise.
- Preserve the exact source indentation from the read output, and never include the read status header in old_string or new_string.
- Prefer editing an existing file over creating a new one.
- Only use emojis if the user explicitly requests it.</t>
  </si>
  <si>
    <t>01a0cce0-e58d-7513-9f48-f3743a84eeac</t>
  </si>
  <si>
    <t>01a0cce0-e58f-7db2-9f40-40440aea8692</t>
  </si>
  <si>
    <t>01a0cce0-eca7-72f3-a473-f53c33ec2c02</t>
  </si>
  <si>
    <t>01a0cce0-eca8-7a50-8090-394c247047b4</t>
  </si>
  <si>
    <t>01a0cce0-ecad-7533-9010-89499336d0a7</t>
  </si>
  <si>
    <t>01a0cce0-ecae-75e0-9431-19509224642d</t>
  </si>
  <si>
    <t>01a0cce1-033e-73c2-ae91-e2eba3d7d098</t>
  </si>
  <si>
    <t>01a0cce1-0354-7b42-83a4-6040ba11231f</t>
  </si>
  <si>
    <t>01a0cce1-0355-7433-a6aa-8217870285aa</t>
  </si>
  <si>
    <t>01a0cce1-0356-7382-a298-74112364b53d</t>
  </si>
  <si>
    <t>01a0cce1-035a-7c42-9e0d-feff1a0b125e</t>
  </si>
  <si>
    <t>01a0cce1-035a-7c42-9e0d-ff01117ffb9e</t>
  </si>
  <si>
    <t>01a0cce1-14b1-7e42-ad43-69840d5b7301</t>
  </si>
  <si>
    <t>01a0cce1-14c4-7e92-b732-3a51284bf8f0</t>
  </si>
  <si>
    <t>01a0cce1-14c5-77a3-8025-ecb3efc1d856</t>
  </si>
  <si>
    <t>01a0cce1-14c6-7450-b467-0e072dadf26f</t>
  </si>
  <si>
    <t>01a0cce1-14cb-78c1-a853-6e1b4c45ab41</t>
  </si>
  <si>
    <t>01a0cce1-14cc-7d42-b663-8794ca39c99b</t>
  </si>
  <si>
    <t>01a0cce1-1ad1-7440-a89d-62cbbf18f362</t>
  </si>
  <si>
    <t>01a0cce1-1ad3-79a1-b434-3a4744ad4bd6</t>
  </si>
  <si>
    <t>01a0cce1-1adf-7821-9e77-3d628f439c18</t>
  </si>
  <si>
    <t>01a0cce1-1ae1-7f00-9d83-5c06f29af53d</t>
  </si>
  <si>
    <t>01a0cce1-1eef-7630-9396-4c6640f589be</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</si>
</sst>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115"/>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IF(COUNT('Turns'!E17,'Turns'!E36,'Turns'!E52,'Turns'!E68,'Turns'!E84,'Turns'!E100,'Turns'!E115)=7,SUM('Turns'!E17,'Turns'!E36,'Turns'!E52,'Turns'!E68,'Turns'!E84,'Turns'!E100,'Turns'!E115),"Unknown")</f>
        <v>0.0020831410467</v>
      </c>
      <c r="F2" s="2">
        <f>IF(COUNT('Turns'!F17,'Turns'!F36,'Turns'!F52,'Turns'!F68,'Turns'!F84,'Turns'!F100,'Turns'!F115)=7,SUM('Turns'!F17,'Turns'!F36,'Turns'!F52,'Turns'!F68,'Turns'!F84,'Turns'!F100,'Turns'!F115),"Unknown")</f>
        <v>0.00238791</v>
      </c>
      <c r="G2" s="5">
        <f>IF(ISNUMBER(E2),ROUND(E2*'Reference data'!$B$2,0),"Unknown")</f>
        <v>208.0</v>
      </c>
      <c r="H2" s="5">
        <f>IF(ISNUMBER(F2),ROUND(F2*'Reference data'!$B$2,0),"Unknown")</f>
        <v>239.0</v>
      </c>
    </row>
    <row r="3" spans="1:13" s="4" customFormat="1" ht="24" customHeight="1">
      <c r="B3" s="4">
        <v>1</v>
      </c>
      <c r="C3" s="4" t="s">
        <v>92</v>
      </c>
      <c r="E3" s="2">
        <f>IF(COUNT('Turns'!E17,'Turns'!E36,'Turns'!E52,'Turns'!E68,'Turns'!E84,'Turns'!E100,'Turns'!E115)=7,SUM('Turns'!E17,'Turns'!E36,'Turns'!E52,'Turns'!E68,'Turns'!E84,'Turns'!E100,'Turns'!E115),"Unknown")</f>
        <v>0.0020831410467</v>
      </c>
      <c r="F3" s="2">
        <f>IF(COUNT('Turns'!F17,'Turns'!F36,'Turns'!F52,'Turns'!F68,'Turns'!F84,'Turns'!F100,'Turns'!F115)=7,SUM('Turns'!F17,'Turns'!F36,'Turns'!F52,'Turns'!F68,'Turns'!F84,'Turns'!F100,'Turns'!F115),"Unknown")</f>
        <v>0.00238791</v>
      </c>
      <c r="G3" s="5">
        <f>IF(ISNUMBER(E3),ROUND(E3*'Reference data'!$B$2,0),"Unknown")</f>
        <v>208.0</v>
      </c>
      <c r="H3" s="5">
        <f>IF(ISNUMBER(F3),ROUND(F3*'Reference data'!$B$2,0),"Unknown")</f>
        <v>239.0</v>
      </c>
    </row>
    <row r="4" spans="1:13" s="4" customFormat="1" ht="24" customHeight="1">
      <c r="A4" s="4" t="s">
        <v>93</v>
      </c>
      <c r="B4" s="4">
        <v>1</v>
      </c>
      <c r="C4" s="4" t="s">
        <v>94</v>
      </c>
      <c r="D4" s="4">
        <v>888</v>
      </c>
      <c r="J4" s="4" t="s">
        <v>95</v>
      </c>
      <c r="M4" s="4" t="s">
        <v>96</v>
      </c>
    </row>
    <row r="5" spans="1:13" ht="24" customHeight="1">
      <c r="A5" t="s">
        <v>93</v>
      </c>
      <c r="B5">
        <v>1</v>
      </c>
      <c r="C5" t="s">
        <v>97</v>
      </c>
      <c r="D5" s="5">
        <v>888</v>
      </c>
      <c r="E5" s="2">
        <f>IF(AND(ISNUMBER(F5),ISNUMBER('Reference data'!$B$3)),F5*'Reference data'!$B$3,"Unknown")</f>
        <v>0.000154932912</v>
      </c>
      <c r="F5" s="2">
        <f>IF(D5=0,0,IF(ISNUMBER('Reference data'!B17),D5*'Reference data'!B17/1000000,"Unknown"))</f>
        <v>0.0001776</v>
      </c>
      <c r="G5" s="5">
        <f>IF(ISNUMBER(E5),ROUND(E5*'Reference data'!$B$2,0),"Unknown")</f>
        <v>15.0</v>
      </c>
      <c r="H5" s="5">
        <f>IF(ISNUMBER(F5),ROUND(F5*'Reference data'!$B$2,0),"Unknown")</f>
        <v>18.0</v>
      </c>
    </row>
    <row r="6" spans="1:13" ht="24" customHeight="1">
      <c r="A6" t="s">
        <v>93</v>
      </c>
      <c r="B6">
        <v>1</v>
      </c>
      <c r="C6" t="s">
        <v>98</v>
      </c>
    </row>
    <row r="7" spans="1:13" ht="164" customHeight="1">
      <c r="A7" t="s">
        <v>93</v>
      </c>
      <c r="B7">
        <v>1</v>
      </c>
      <c r="C7" t="s">
        <v>99</v>
      </c>
      <c r="I7" s="6" t="s">
        <v>100</v>
      </c>
    </row>
    <row r="8" spans="1:13" ht="3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99</v>
      </c>
    </row>
    <row r="12" spans="1:13" ht="24" customHeight="1">
      <c r="A12" t="s">
        <v>93</v>
      </c>
      <c r="B12">
        <v>1</v>
      </c>
      <c r="C12" t="s">
        <v>106</v>
      </c>
      <c r="D12" s="5">
        <v>27</v>
      </c>
      <c r="E12" s="2">
        <f>IF(AND(ISNUMBER(F12),ISNUMBER('Reference data'!$B$3)),F12*'Reference data'!$B$3,"Unknown")</f>
        <v>2.8264788e-05</v>
      </c>
      <c r="F12" s="2">
        <f>IF(D12=0,0,IF(ISNUMBER('Reference data'!F17),D12*'Reference data'!F17/1000000,"Unknown"))</f>
        <v>3.24e-05</v>
      </c>
      <c r="G12" s="5">
        <f>IF(ISNUMBER(E12),ROUND(E12*'Reference data'!$B$2,0),"Unknown")</f>
        <v>3.0</v>
      </c>
      <c r="H12" s="5">
        <f>IF(ISNUMBER(F12),ROUND(F12*'Reference data'!$B$2,0),"Unknown")</f>
        <v>3.0</v>
      </c>
    </row>
    <row r="13" spans="1:13" ht="24" customHeight="1">
      <c r="A13" t="s">
        <v>93</v>
      </c>
      <c r="B13">
        <v>1</v>
      </c>
      <c r="C13" t="s">
        <v>107</v>
      </c>
      <c r="D13" s="5">
        <v>72</v>
      </c>
      <c r="E13" s="2">
        <f>IF(AND(ISNUMBER(F13),ISNUMBER('Reference data'!$B$3)),F13*'Reference data'!$B$3,"Unknown")</f>
        <v>7.5372768e-05</v>
      </c>
      <c r="F13" s="2">
        <f>IF(D13=0,0,IF(ISNUMBER('Reference data'!E17),D13*'Reference data'!E17/1000000,"Unknown"))</f>
        <v>8.64e-05</v>
      </c>
      <c r="G13" s="5">
        <f>IF(ISNUMBER(E13),ROUND(E13*'Reference data'!$B$2,0),"Unknown")</f>
        <v>8.0</v>
      </c>
      <c r="H13" s="5">
        <f>IF(ISNUMBER(F13),ROUND(F13*'Reference data'!$B$2,0),"Unknown")</f>
        <v>9.0</v>
      </c>
    </row>
    <row r="14" spans="1:13" ht="359"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0.000258570468</v>
      </c>
      <c r="F17" s="2">
        <f>IF(COUNT('Turns'!F5,'Turns'!F12,'Turns'!F13)=3,SUM('Turns'!F5,'Turns'!F12,'Turns'!F13),"Unknown")</f>
        <v>0.0002964</v>
      </c>
      <c r="G17" s="5">
        <f>IF(ISNUMBER(E17),ROUND(E17*'Reference data'!$B$2,0),"Unknown")</f>
        <v>26.0</v>
      </c>
      <c r="H17" s="5">
        <f>IF(ISNUMBER(F17),ROUND(F17*'Reference data'!$B$2,0),"Unknown")</f>
        <v>30.0</v>
      </c>
      <c r="K17" s="4" t="s">
        <v>111</v>
      </c>
    </row>
    <row r="18" spans="1:13" s="4" customFormat="1" ht="24" customHeight="1">
      <c r="B18" s="4">
        <v>1</v>
      </c>
      <c r="C18" s="4" t="s">
        <v>112</v>
      </c>
      <c r="K18" s="4" t="s">
        <v>111</v>
      </c>
      <c r="M18" s="4" t="s">
        <v>113</v>
      </c>
    </row>
    <row r="19" spans="1:13" ht="24" customHeight="1">
      <c r="B19">
        <v>1</v>
      </c>
      <c r="C19" t="s">
        <v>114</v>
      </c>
      <c r="I19" s="6" t="s">
        <v>115</v>
      </c>
    </row>
    <row r="20" spans="1:13" ht="47" customHeight="1">
      <c r="B20">
        <v>1</v>
      </c>
      <c r="C20" t="s">
        <v>116</v>
      </c>
      <c r="I20" s="6" t="s">
        <v>117</v>
      </c>
    </row>
    <row r="21" spans="1:13" s="4" customFormat="1" ht="24" customHeight="1">
      <c r="B21" s="4">
        <v>1</v>
      </c>
      <c r="C21" s="4" t="s">
        <v>112</v>
      </c>
      <c r="K21" s="4" t="s">
        <v>111</v>
      </c>
      <c r="M21" s="4" t="s">
        <v>118</v>
      </c>
    </row>
    <row r="22" spans="1:13" ht="24" customHeight="1">
      <c r="B22">
        <v>1</v>
      </c>
      <c r="C22" t="s">
        <v>114</v>
      </c>
      <c r="I22" s="6" t="s">
        <v>119</v>
      </c>
    </row>
    <row r="23" spans="1:13" ht="164" customHeight="1">
      <c r="B23">
        <v>1</v>
      </c>
      <c r="C23" t="s">
        <v>116</v>
      </c>
      <c r="I23" s="6" t="s">
        <v>120</v>
      </c>
    </row>
    <row r="24" spans="1:13" s="4" customFormat="1" ht="24" customHeight="1">
      <c r="A24" s="4" t="s">
        <v>121</v>
      </c>
      <c r="B24" s="4">
        <v>1</v>
      </c>
      <c r="C24" s="4" t="s">
        <v>94</v>
      </c>
      <c r="D24" s="4">
        <v>1088</v>
      </c>
      <c r="J24" s="4" t="s">
        <v>95</v>
      </c>
      <c r="M24" s="4" t="s">
        <v>122</v>
      </c>
    </row>
    <row r="25" spans="1:13" ht="24" customHeight="1">
      <c r="A25" t="s">
        <v>121</v>
      </c>
      <c r="B25">
        <v>1</v>
      </c>
      <c r="C25" t="s">
        <v>123</v>
      </c>
      <c r="D25" s="5">
        <v>0</v>
      </c>
      <c r="E25" s="2">
        <f>IF(AND(ISNUMBER(F25),ISNUMBER('Reference data'!$B$3)),F25*'Reference data'!$B$3,"Unknown")</f>
        <v>0.0</v>
      </c>
      <c r="F25" s="2">
        <f>IF(D25=0,0,IF(ISNUMBER('Reference data'!C17),D25*'Reference data'!C17/1000000,"Unknown"))</f>
        <v>0.0</v>
      </c>
      <c r="G25" s="5">
        <f>IF(ISNUMBER(E25),ROUND(E25*'Reference data'!$B$2,0),"Unknown")</f>
        <v>0.0</v>
      </c>
      <c r="H25" s="5">
        <f>IF(ISNUMBER(F25),ROUND(F25*'Reference data'!$B$2,0),"Unknown")</f>
        <v>0.0</v>
      </c>
    </row>
    <row r="26" spans="1:13" ht="24" customHeight="1">
      <c r="A26" t="s">
        <v>121</v>
      </c>
      <c r="B26">
        <v>1</v>
      </c>
      <c r="C26" t="s">
        <v>97</v>
      </c>
      <c r="D26" s="5">
        <v>3</v>
      </c>
      <c r="E26" s="2">
        <f>IF(AND(ISNUMBER(F26),ISNUMBER('Reference data'!$B$3)),F26*'Reference data'!$B$3,"Unknown")</f>
        <v>5.23422e-07</v>
      </c>
      <c r="F26" s="2">
        <f>IF(D26=0,0,IF(ISNUMBER('Reference data'!B17),D26*'Reference data'!B17/1000000,"Unknown"))</f>
        <v>6e-07</v>
      </c>
      <c r="G26" s="5">
        <f>IF(ISNUMBER(E26),ROUND(E26*'Reference data'!$B$2,0),"Unknown")</f>
        <v>0.0</v>
      </c>
      <c r="H26" s="5">
        <f>IF(ISNUMBER(F26),ROUND(F26*'Reference data'!$B$2,0),"Unknown")</f>
        <v>0.0</v>
      </c>
    </row>
    <row r="27" spans="1:13" ht="203" customHeight="1">
      <c r="A27" t="s">
        <v>121</v>
      </c>
      <c r="B27">
        <v>1</v>
      </c>
      <c r="C27" t="s">
        <v>124</v>
      </c>
      <c r="I27" s="6" t="s">
        <v>125</v>
      </c>
    </row>
    <row r="28" spans="1:13" ht="24" customHeight="1">
      <c r="A28" t="s">
        <v>121</v>
      </c>
      <c r="B28">
        <v>1</v>
      </c>
      <c r="C28" t="s">
        <v>103</v>
      </c>
      <c r="D28" s="5">
        <v>1085</v>
      </c>
      <c r="E28" s="2">
        <f>IF(AND(ISNUMBER(F28),ISNUMBER('Reference data'!$B$3)),F28*'Reference data'!$B$3,"Unknown")</f>
        <v>0.0002366303625</v>
      </c>
      <c r="F28" s="2">
        <f>IF(D28=0,0,IF(ISNUMBER('Reference data'!D17),D28*'Reference data'!D17/1000000,"Unknown"))</f>
        <v>0.00027125</v>
      </c>
      <c r="G28" s="5">
        <f>IF(ISNUMBER(E28),ROUND(E28*'Reference data'!$B$2,0),"Unknown")</f>
        <v>24.0</v>
      </c>
      <c r="H28" s="5">
        <f>IF(ISNUMBER(F28),ROUND(F28*'Reference data'!$B$2,0),"Unknown")</f>
        <v>27.0</v>
      </c>
    </row>
    <row r="29" spans="1:13" ht="24" customHeight="1">
      <c r="A29" t="s">
        <v>121</v>
      </c>
      <c r="B29">
        <v>1</v>
      </c>
      <c r="C29" t="s">
        <v>104</v>
      </c>
    </row>
    <row r="30" spans="1:13" s="4" customFormat="1" ht="24" customHeight="1">
      <c r="A30" s="4" t="s">
        <v>121</v>
      </c>
      <c r="B30" s="4">
        <v>1</v>
      </c>
      <c r="C30" s="4" t="s">
        <v>105</v>
      </c>
      <c r="D30" s="4">
        <v>427</v>
      </c>
    </row>
    <row r="31" spans="1:13" ht="24" customHeight="1">
      <c r="A31" t="s">
        <v>121</v>
      </c>
      <c r="B31">
        <v>1</v>
      </c>
      <c r="C31" t="s">
        <v>106</v>
      </c>
      <c r="D31" s="5">
        <v>267</v>
      </c>
      <c r="E31" s="2">
        <f>IF(AND(ISNUMBER(F31),ISNUMBER('Reference data'!$B$3)),F31*'Reference data'!$B$3,"Unknown")</f>
        <v>0.000279507348</v>
      </c>
      <c r="F31" s="2">
        <f>IF(D31=0,0,IF(ISNUMBER('Reference data'!F17),D31*'Reference data'!F17/1000000,"Unknown"))</f>
        <v>0.0003204</v>
      </c>
      <c r="G31" s="5">
        <f>IF(ISNUMBER(E31),ROUND(E31*'Reference data'!$B$2,0),"Unknown")</f>
        <v>28.0</v>
      </c>
      <c r="H31" s="5">
        <f>IF(ISNUMBER(F31),ROUND(F31*'Reference data'!$B$2,0),"Unknown")</f>
        <v>32.0</v>
      </c>
    </row>
    <row r="32" spans="1:13" ht="24" customHeight="1">
      <c r="A32" t="s">
        <v>121</v>
      </c>
      <c r="B32">
        <v>1</v>
      </c>
      <c r="C32" t="s">
        <v>107</v>
      </c>
      <c r="D32" s="5">
        <v>160</v>
      </c>
      <c r="E32" s="2">
        <f>IF(AND(ISNUMBER(F32),ISNUMBER('Reference data'!$B$3)),F32*'Reference data'!$B$3,"Unknown")</f>
        <v>0.00016749504</v>
      </c>
      <c r="F32" s="2">
        <f>IF(D32=0,0,IF(ISNUMBER('Reference data'!E17),D32*'Reference data'!E17/1000000,"Unknown"))</f>
        <v>0.000192</v>
      </c>
      <c r="G32" s="5">
        <f>IF(ISNUMBER(E32),ROUND(E32*'Reference data'!$B$2,0),"Unknown")</f>
        <v>17.0</v>
      </c>
      <c r="H32" s="5">
        <f>IF(ISNUMBER(F32),ROUND(F32*'Reference data'!$B$2,0),"Unknown")</f>
        <v>19.0</v>
      </c>
    </row>
    <row r="33" spans="1:13" ht="409" customHeight="1">
      <c r="A33" t="s">
        <v>121</v>
      </c>
      <c r="B33">
        <v>1</v>
      </c>
      <c r="C33" t="s">
        <v>108</v>
      </c>
      <c r="I33" s="6" t="s">
        <v>126</v>
      </c>
    </row>
    <row r="34" spans="1:13" ht="24" customHeight="1">
      <c r="A34" t="s">
        <v>121</v>
      </c>
      <c r="B34">
        <v>1</v>
      </c>
      <c r="C34" t="s">
        <v>103</v>
      </c>
    </row>
    <row r="35" spans="1:13" ht="24" customHeight="1">
      <c r="A35" t="s">
        <v>121</v>
      </c>
      <c r="B35">
        <v>1</v>
      </c>
      <c r="C35" t="s">
        <v>104</v>
      </c>
    </row>
    <row r="36" spans="1:13" s="4" customFormat="1" ht="24" customHeight="1">
      <c r="A36" s="4" t="s">
        <v>121</v>
      </c>
      <c r="B36" s="4">
        <v>1</v>
      </c>
      <c r="C36" s="4" t="s">
        <v>110</v>
      </c>
      <c r="E36" s="2">
        <f>IF(COUNT('Turns'!E25,'Turns'!E26,'Turns'!E28,'Turns'!E31,'Turns'!E32)=5,SUM('Turns'!E25,'Turns'!E26,'Turns'!E28,'Turns'!E31,'Turns'!E32),"Unknown")</f>
        <v>0.0006841561725</v>
      </c>
      <c r="F36" s="2">
        <f>IF(COUNT('Turns'!F25,'Turns'!F26,'Turns'!F28,'Turns'!F31,'Turns'!F32)=5,SUM('Turns'!F25,'Turns'!F26,'Turns'!F28,'Turns'!F31,'Turns'!F32),"Unknown")</f>
        <v>0.00078425</v>
      </c>
      <c r="G36" s="5">
        <f>IF(ISNUMBER(E36),ROUND(E36*'Reference data'!$B$2,0),"Unknown")</f>
        <v>68.0</v>
      </c>
      <c r="H36" s="5">
        <f>IF(ISNUMBER(F36),ROUND(F36*'Reference data'!$B$2,0),"Unknown")</f>
        <v>78.0</v>
      </c>
      <c r="K36" s="4" t="s">
        <v>111</v>
      </c>
    </row>
    <row r="37" spans="1:13" s="4" customFormat="1" ht="24" customHeight="1">
      <c r="B37" s="4">
        <v>1</v>
      </c>
      <c r="C37" s="4" t="s">
        <v>127</v>
      </c>
      <c r="K37" s="4" t="s">
        <v>111</v>
      </c>
      <c r="M37" s="4" t="s">
        <v>128</v>
      </c>
    </row>
    <row r="38" spans="1:13" ht="99" customHeight="1">
      <c r="B38">
        <v>1</v>
      </c>
      <c r="C38" t="s">
        <v>114</v>
      </c>
      <c r="I38" s="6" t="s">
        <v>129</v>
      </c>
    </row>
    <row r="39" spans="1:13" ht="24" customHeight="1">
      <c r="B39">
        <v>1</v>
      </c>
      <c r="C39" t="s">
        <v>116</v>
      </c>
      <c r="I39" s="6" t="s">
        <v>130</v>
      </c>
    </row>
    <row r="40" spans="1:13" s="4" customFormat="1" ht="24" customHeight="1">
      <c r="A40" s="4" t="s">
        <v>131</v>
      </c>
      <c r="B40" s="4">
        <v>1</v>
      </c>
      <c r="C40" s="4" t="s">
        <v>94</v>
      </c>
      <c r="D40" s="4">
        <v>1541</v>
      </c>
      <c r="J40" s="4" t="s">
        <v>95</v>
      </c>
      <c r="M40" s="4" t="s">
        <v>132</v>
      </c>
    </row>
    <row r="41" spans="1:13" ht="24" customHeight="1">
      <c r="A41" t="s">
        <v>131</v>
      </c>
      <c r="B41">
        <v>1</v>
      </c>
      <c r="C41" t="s">
        <v>123</v>
      </c>
      <c r="D41" s="5">
        <v>1085</v>
      </c>
      <c r="E41" s="2">
        <f>IF(AND(ISNUMBER(F41),ISNUMBER('Reference data'!$B$3)),F41*'Reference data'!$B$3,"Unknown")</f>
        <v>1.8930429e-05</v>
      </c>
      <c r="F41" s="2">
        <f>IF(D41=0,0,IF(ISNUMBER('Reference data'!C17),D41*'Reference data'!C17/1000000,"Unknown"))</f>
        <v>2.17e-05</v>
      </c>
      <c r="G41" s="5">
        <f>IF(ISNUMBER(E41),ROUND(E41*'Reference data'!$B$2,0),"Unknown")</f>
        <v>2.0</v>
      </c>
      <c r="H41" s="5">
        <f>IF(ISNUMBER(F41),ROUND(F41*'Reference data'!$B$2,0),"Unknown")</f>
        <v>2.0</v>
      </c>
    </row>
    <row r="42" spans="1:13" ht="24" customHeight="1">
      <c r="A42" t="s">
        <v>131</v>
      </c>
      <c r="B42">
        <v>1</v>
      </c>
      <c r="C42" t="s">
        <v>97</v>
      </c>
      <c r="D42" s="5">
        <v>3</v>
      </c>
      <c r="E42" s="2">
        <f>IF(AND(ISNUMBER(F42),ISNUMBER('Reference data'!$B$3)),F42*'Reference data'!$B$3,"Unknown")</f>
        <v>5.23422e-07</v>
      </c>
      <c r="F42" s="2">
        <f>IF(D42=0,0,IF(ISNUMBER('Reference data'!B17),D42*'Reference data'!B17/1000000,"Unknown"))</f>
        <v>6e-07</v>
      </c>
      <c r="G42" s="5">
        <f>IF(ISNUMBER(E42),ROUND(E42*'Reference data'!$B$2,0),"Unknown")</f>
        <v>0.0</v>
      </c>
      <c r="H42" s="5">
        <f>IF(ISNUMBER(F42),ROUND(F42*'Reference data'!$B$2,0),"Unknown")</f>
        <v>0.0</v>
      </c>
    </row>
    <row r="43" spans="1:13" ht="24" customHeight="1">
      <c r="A43" t="s">
        <v>131</v>
      </c>
      <c r="B43">
        <v>1</v>
      </c>
      <c r="C43" t="s">
        <v>124</v>
      </c>
      <c r="I43" s="6" t="s">
        <v>130</v>
      </c>
    </row>
    <row r="44" spans="1:13" ht="24" customHeight="1">
      <c r="A44" t="s">
        <v>131</v>
      </c>
      <c r="B44">
        <v>1</v>
      </c>
      <c r="C44" t="s">
        <v>103</v>
      </c>
      <c r="D44" s="5">
        <v>453</v>
      </c>
      <c r="E44" s="2">
        <f>IF(AND(ISNUMBER(F44),ISNUMBER('Reference data'!$B$3)),F44*'Reference data'!$B$3,"Unknown")</f>
        <v>9.87959025e-05</v>
      </c>
      <c r="F44" s="2">
        <f>IF(D44=0,0,IF(ISNUMBER('Reference data'!D17),D44*'Reference data'!D17/1000000,"Unknown"))</f>
        <v>0.00011325</v>
      </c>
      <c r="G44" s="5">
        <f>IF(ISNUMBER(E44),ROUND(E44*'Reference data'!$B$2,0),"Unknown")</f>
        <v>10.0</v>
      </c>
      <c r="H44" s="5">
        <f>IF(ISNUMBER(F44),ROUND(F44*'Reference data'!$B$2,0),"Unknown")</f>
        <v>11.0</v>
      </c>
    </row>
    <row r="45" spans="1:13" ht="24" customHeight="1">
      <c r="A45" t="s">
        <v>131</v>
      </c>
      <c r="B45">
        <v>1</v>
      </c>
      <c r="C45" t="s">
        <v>104</v>
      </c>
    </row>
    <row r="46" spans="1:13" s="4" customFormat="1" ht="24" customHeight="1">
      <c r="A46" s="4" t="s">
        <v>131</v>
      </c>
      <c r="B46" s="4">
        <v>1</v>
      </c>
      <c r="C46" s="4" t="s">
        <v>105</v>
      </c>
      <c r="D46" s="4">
        <v>59</v>
      </c>
    </row>
    <row r="47" spans="1:13" ht="24" customHeight="1">
      <c r="A47" t="s">
        <v>131</v>
      </c>
      <c r="B47">
        <v>1</v>
      </c>
      <c r="C47" t="s">
        <v>106</v>
      </c>
      <c r="D47" s="5">
        <v>28</v>
      </c>
      <c r="E47" s="2">
        <f>IF(AND(ISNUMBER(F47),ISNUMBER('Reference data'!$B$3)),F47*'Reference data'!$B$3,"Unknown")</f>
        <v>2.9311632e-05</v>
      </c>
      <c r="F47" s="2">
        <f>IF(D47=0,0,IF(ISNUMBER('Reference data'!F17),D47*'Reference data'!F17/1000000,"Unknown"))</f>
        <v>3.36e-05</v>
      </c>
      <c r="G47" s="5">
        <f>IF(ISNUMBER(E47),ROUND(E47*'Reference data'!$B$2,0),"Unknown")</f>
        <v>3.0</v>
      </c>
      <c r="H47" s="5">
        <f>IF(ISNUMBER(F47),ROUND(F47*'Reference data'!$B$2,0),"Unknown")</f>
        <v>3.0</v>
      </c>
    </row>
    <row r="48" spans="1:13" ht="24" customHeight="1">
      <c r="A48" t="s">
        <v>131</v>
      </c>
      <c r="B48">
        <v>1</v>
      </c>
      <c r="C48" t="s">
        <v>107</v>
      </c>
      <c r="D48" s="5">
        <v>31</v>
      </c>
      <c r="E48" s="2">
        <f>IF(AND(ISNUMBER(F48),ISNUMBER('Reference data'!$B$3)),F48*'Reference data'!$B$3,"Unknown")</f>
        <v>3.2452164e-05</v>
      </c>
      <c r="F48" s="2">
        <f>IF(D48=0,0,IF(ISNUMBER('Reference data'!E17),D48*'Reference data'!E17/1000000,"Unknown"))</f>
        <v>3.72e-05</v>
      </c>
      <c r="G48" s="5">
        <f>IF(ISNUMBER(E48),ROUND(E48*'Reference data'!$B$2,0),"Unknown")</f>
        <v>3.0</v>
      </c>
      <c r="H48" s="5">
        <f>IF(ISNUMBER(F48),ROUND(F48*'Reference data'!$B$2,0),"Unknown")</f>
        <v>4.0</v>
      </c>
    </row>
    <row r="49" spans="1:13" ht="294" customHeight="1">
      <c r="A49" t="s">
        <v>131</v>
      </c>
      <c r="B49">
        <v>1</v>
      </c>
      <c r="C49" t="s">
        <v>108</v>
      </c>
      <c r="I49" s="6" t="s">
        <v>133</v>
      </c>
    </row>
    <row r="50" spans="1:13" ht="24" customHeight="1">
      <c r="A50" t="s">
        <v>131</v>
      </c>
      <c r="B50">
        <v>1</v>
      </c>
      <c r="C50" t="s">
        <v>103</v>
      </c>
    </row>
    <row r="51" spans="1:13" ht="24" customHeight="1">
      <c r="A51" t="s">
        <v>131</v>
      </c>
      <c r="B51">
        <v>1</v>
      </c>
      <c r="C51" t="s">
        <v>104</v>
      </c>
    </row>
    <row r="52" spans="1:13" s="4" customFormat="1" ht="24" customHeight="1">
      <c r="A52" s="4" t="s">
        <v>131</v>
      </c>
      <c r="B52" s="4">
        <v>1</v>
      </c>
      <c r="C52" s="4" t="s">
        <v>110</v>
      </c>
      <c r="E52" s="2">
        <f>IF(COUNT('Turns'!E41,'Turns'!E42,'Turns'!E44,'Turns'!E47,'Turns'!E48)=5,SUM('Turns'!E41,'Turns'!E42,'Turns'!E44,'Turns'!E47,'Turns'!E48),"Unknown")</f>
        <v>0.0001800135495</v>
      </c>
      <c r="F52" s="2">
        <f>IF(COUNT('Turns'!F41,'Turns'!F42,'Turns'!F44,'Turns'!F47,'Turns'!F48)=5,SUM('Turns'!F41,'Turns'!F42,'Turns'!F44,'Turns'!F47,'Turns'!F48),"Unknown")</f>
        <v>0.00020635</v>
      </c>
      <c r="G52" s="5">
        <f>IF(ISNUMBER(E52),ROUND(E52*'Reference data'!$B$2,0),"Unknown")</f>
        <v>18.0</v>
      </c>
      <c r="H52" s="5">
        <f>IF(ISNUMBER(F52),ROUND(F52*'Reference data'!$B$2,0),"Unknown")</f>
        <v>21.0</v>
      </c>
      <c r="K52" s="4" t="s">
        <v>111</v>
      </c>
    </row>
    <row r="53" spans="1:13" s="4" customFormat="1" ht="24" customHeight="1">
      <c r="B53" s="4">
        <v>1</v>
      </c>
      <c r="C53" s="4" t="s">
        <v>112</v>
      </c>
      <c r="K53" s="4" t="s">
        <v>111</v>
      </c>
      <c r="M53" s="4" t="s">
        <v>134</v>
      </c>
    </row>
    <row r="54" spans="1:13" ht="24" customHeight="1">
      <c r="B54">
        <v>1</v>
      </c>
      <c r="C54" t="s">
        <v>114</v>
      </c>
      <c r="I54" s="6" t="s">
        <v>119</v>
      </c>
    </row>
    <row r="55" spans="1:13" ht="190" customHeight="1">
      <c r="B55">
        <v>1</v>
      </c>
      <c r="C55" t="s">
        <v>116</v>
      </c>
      <c r="I55" s="6" t="s">
        <v>135</v>
      </c>
    </row>
    <row r="56" spans="1:13" s="4" customFormat="1" ht="24" customHeight="1">
      <c r="A56" s="4" t="s">
        <v>136</v>
      </c>
      <c r="B56" s="4">
        <v>1</v>
      </c>
      <c r="C56" s="4" t="s">
        <v>94</v>
      </c>
      <c r="D56" s="4">
        <v>1677</v>
      </c>
      <c r="J56" s="4" t="s">
        <v>95</v>
      </c>
      <c r="M56" s="4" t="s">
        <v>137</v>
      </c>
    </row>
    <row r="57" spans="1:13" ht="24" customHeight="1">
      <c r="A57" t="s">
        <v>136</v>
      </c>
      <c r="B57">
        <v>1</v>
      </c>
      <c r="C57" t="s">
        <v>123</v>
      </c>
      <c r="D57" s="5">
        <v>1538</v>
      </c>
      <c r="E57" s="2">
        <f>IF(AND(ISNUMBER(F57),ISNUMBER('Reference data'!$B$3)),F57*'Reference data'!$B$3,"Unknown")</f>
        <v>2.68341012e-05</v>
      </c>
      <c r="F57" s="2">
        <f>IF(D57=0,0,IF(ISNUMBER('Reference data'!C17),D57*'Reference data'!C17/1000000,"Unknown"))</f>
        <v>3.076e-05</v>
      </c>
      <c r="G57" s="5">
        <f>IF(ISNUMBER(E57),ROUND(E57*'Reference data'!$B$2,0),"Unknown")</f>
        <v>3.0</v>
      </c>
      <c r="H57" s="5">
        <f>IF(ISNUMBER(F57),ROUND(F57*'Reference data'!$B$2,0),"Unknown")</f>
        <v>3.0</v>
      </c>
    </row>
    <row r="58" spans="1:13" ht="24" customHeight="1">
      <c r="A58" t="s">
        <v>136</v>
      </c>
      <c r="B58">
        <v>1</v>
      </c>
      <c r="C58" t="s">
        <v>97</v>
      </c>
      <c r="D58" s="5">
        <v>3</v>
      </c>
      <c r="E58" s="2">
        <f>IF(AND(ISNUMBER(F58),ISNUMBER('Reference data'!$B$3)),F58*'Reference data'!$B$3,"Unknown")</f>
        <v>5.23422e-07</v>
      </c>
      <c r="F58" s="2">
        <f>IF(D58=0,0,IF(ISNUMBER('Reference data'!B17),D58*'Reference data'!B17/1000000,"Unknown"))</f>
        <v>6e-07</v>
      </c>
      <c r="G58" s="5">
        <f>IF(ISNUMBER(E58),ROUND(E58*'Reference data'!$B$2,0),"Unknown")</f>
        <v>0.0</v>
      </c>
      <c r="H58" s="5">
        <f>IF(ISNUMBER(F58),ROUND(F58*'Reference data'!$B$2,0),"Unknown")</f>
        <v>0.0</v>
      </c>
    </row>
    <row r="59" spans="1:13" ht="190" customHeight="1">
      <c r="A59" t="s">
        <v>136</v>
      </c>
      <c r="B59">
        <v>1</v>
      </c>
      <c r="C59" t="s">
        <v>124</v>
      </c>
      <c r="I59" s="6" t="s">
        <v>135</v>
      </c>
    </row>
    <row r="60" spans="1:13" ht="24" customHeight="1">
      <c r="A60" t="s">
        <v>136</v>
      </c>
      <c r="B60">
        <v>1</v>
      </c>
      <c r="C60" t="s">
        <v>103</v>
      </c>
      <c r="D60" s="5">
        <v>136</v>
      </c>
      <c r="E60" s="2">
        <f>IF(AND(ISNUMBER(F60),ISNUMBER('Reference data'!$B$3)),F60*'Reference data'!$B$3,"Unknown")</f>
        <v>2.966058e-05</v>
      </c>
      <c r="F60" s="2">
        <f>IF(D60=0,0,IF(ISNUMBER('Reference data'!D17),D60*'Reference data'!D17/1000000,"Unknown"))</f>
        <v>3.4e-05</v>
      </c>
      <c r="G60" s="5">
        <f>IF(ISNUMBER(E60),ROUND(E60*'Reference data'!$B$2,0),"Unknown")</f>
        <v>3.0</v>
      </c>
      <c r="H60" s="5">
        <f>IF(ISNUMBER(F60),ROUND(F60*'Reference data'!$B$2,0),"Unknown")</f>
        <v>3.0</v>
      </c>
    </row>
    <row r="61" spans="1:13" ht="24" customHeight="1">
      <c r="A61" t="s">
        <v>136</v>
      </c>
      <c r="B61">
        <v>1</v>
      </c>
      <c r="C61" t="s">
        <v>104</v>
      </c>
    </row>
    <row r="62" spans="1:13" s="4" customFormat="1" ht="24" customHeight="1">
      <c r="A62" s="4" t="s">
        <v>136</v>
      </c>
      <c r="B62" s="4">
        <v>1</v>
      </c>
      <c r="C62" s="4" t="s">
        <v>105</v>
      </c>
      <c r="D62" s="4">
        <v>268</v>
      </c>
    </row>
    <row r="63" spans="1:13" ht="24" customHeight="1">
      <c r="A63" t="s">
        <v>136</v>
      </c>
      <c r="B63">
        <v>1</v>
      </c>
      <c r="C63" t="s">
        <v>106</v>
      </c>
      <c r="D63" s="5">
        <v>191</v>
      </c>
      <c r="E63" s="2">
        <f>IF(AND(ISNUMBER(F63),ISNUMBER('Reference data'!$B$3)),F63*'Reference data'!$B$3,"Unknown")</f>
        <v>0.000199947204</v>
      </c>
      <c r="F63" s="2">
        <f>IF(D63=0,0,IF(ISNUMBER('Reference data'!F17),D63*'Reference data'!F17/1000000,"Unknown"))</f>
        <v>0.0002292</v>
      </c>
      <c r="G63" s="5">
        <f>IF(ISNUMBER(E63),ROUND(E63*'Reference data'!$B$2,0),"Unknown")</f>
        <v>20.0</v>
      </c>
      <c r="H63" s="5">
        <f>IF(ISNUMBER(F63),ROUND(F63*'Reference data'!$B$2,0),"Unknown")</f>
        <v>23.0</v>
      </c>
    </row>
    <row r="64" spans="1:13" ht="24" customHeight="1">
      <c r="A64" t="s">
        <v>136</v>
      </c>
      <c r="B64">
        <v>1</v>
      </c>
      <c r="C64" t="s">
        <v>107</v>
      </c>
      <c r="D64" s="5">
        <v>77</v>
      </c>
      <c r="E64" s="2">
        <f>IF(AND(ISNUMBER(F64),ISNUMBER('Reference data'!$B$3)),F64*'Reference data'!$B$3,"Unknown")</f>
        <v>8.0606988e-05</v>
      </c>
      <c r="F64" s="2">
        <f>IF(D64=0,0,IF(ISNUMBER('Reference data'!E17),D64*'Reference data'!E17/1000000,"Unknown"))</f>
        <v>9.24e-05</v>
      </c>
      <c r="G64" s="5">
        <f>IF(ISNUMBER(E64),ROUND(E64*'Reference data'!$B$2,0),"Unknown")</f>
        <v>8.0</v>
      </c>
      <c r="H64" s="5">
        <f>IF(ISNUMBER(F64),ROUND(F64*'Reference data'!$B$2,0),"Unknown")</f>
        <v>9.0</v>
      </c>
    </row>
    <row r="65" spans="1:13" ht="409" customHeight="1">
      <c r="A65" t="s">
        <v>136</v>
      </c>
      <c r="B65">
        <v>1</v>
      </c>
      <c r="C65" t="s">
        <v>108</v>
      </c>
      <c r="I65" s="6" t="s">
        <v>138</v>
      </c>
    </row>
    <row r="66" spans="1:13" ht="24" customHeight="1">
      <c r="A66" t="s">
        <v>136</v>
      </c>
      <c r="B66">
        <v>1</v>
      </c>
      <c r="C66" t="s">
        <v>103</v>
      </c>
    </row>
    <row r="67" spans="1:13" ht="24" customHeight="1">
      <c r="A67" t="s">
        <v>136</v>
      </c>
      <c r="B67">
        <v>1</v>
      </c>
      <c r="C67" t="s">
        <v>104</v>
      </c>
    </row>
    <row r="68" spans="1:13" s="4" customFormat="1" ht="24" customHeight="1">
      <c r="A68" s="4" t="s">
        <v>136</v>
      </c>
      <c r="B68" s="4">
        <v>1</v>
      </c>
      <c r="C68" s="4" t="s">
        <v>110</v>
      </c>
      <c r="E68" s="2">
        <f>IF(COUNT('Turns'!E57,'Turns'!E58,'Turns'!E60,'Turns'!E63,'Turns'!E64)=5,SUM('Turns'!E57,'Turns'!E58,'Turns'!E60,'Turns'!E63,'Turns'!E64),"Unknown")</f>
        <v>0.0003375722952</v>
      </c>
      <c r="F68" s="2">
        <f>IF(COUNT('Turns'!F57,'Turns'!F58,'Turns'!F60,'Turns'!F63,'Turns'!F64)=5,SUM('Turns'!F57,'Turns'!F58,'Turns'!F60,'Turns'!F63,'Turns'!F64),"Unknown")</f>
        <v>0.00038696</v>
      </c>
      <c r="G68" s="5">
        <f>IF(ISNUMBER(E68),ROUND(E68*'Reference data'!$B$2,0),"Unknown")</f>
        <v>34.0</v>
      </c>
      <c r="H68" s="5">
        <f>IF(ISNUMBER(F68),ROUND(F68*'Reference data'!$B$2,0),"Unknown")</f>
        <v>39.0</v>
      </c>
      <c r="K68" s="4" t="s">
        <v>111</v>
      </c>
    </row>
    <row r="69" spans="1:13" s="4" customFormat="1" ht="24" customHeight="1">
      <c r="B69" s="4">
        <v>1</v>
      </c>
      <c r="C69" s="4" t="s">
        <v>127</v>
      </c>
      <c r="K69" s="4" t="s">
        <v>139</v>
      </c>
      <c r="M69" s="4" t="s">
        <v>140</v>
      </c>
    </row>
    <row r="70" spans="1:13" ht="47" customHeight="1">
      <c r="B70">
        <v>1</v>
      </c>
      <c r="C70" t="s">
        <v>114</v>
      </c>
      <c r="I70" s="6" t="s">
        <v>141</v>
      </c>
    </row>
    <row r="71" spans="1:13" ht="73" customHeight="1">
      <c r="B71">
        <v>1</v>
      </c>
      <c r="C71" t="s">
        <v>116</v>
      </c>
      <c r="I71" s="6" t="s">
        <v>142</v>
      </c>
    </row>
    <row r="72" spans="1:13" s="4" customFormat="1" ht="24" customHeight="1">
      <c r="A72" s="4" t="s">
        <v>143</v>
      </c>
      <c r="B72" s="4">
        <v>1</v>
      </c>
      <c r="C72" s="4" t="s">
        <v>94</v>
      </c>
      <c r="D72" s="4">
        <v>2000</v>
      </c>
      <c r="J72" s="4" t="s">
        <v>95</v>
      </c>
      <c r="M72" s="4" t="s">
        <v>144</v>
      </c>
    </row>
    <row r="73" spans="1:13" ht="24" customHeight="1">
      <c r="A73" t="s">
        <v>143</v>
      </c>
      <c r="B73">
        <v>1</v>
      </c>
      <c r="C73" t="s">
        <v>123</v>
      </c>
      <c r="D73" s="5">
        <v>1674</v>
      </c>
      <c r="E73" s="2">
        <f>IF(AND(ISNUMBER(F73),ISNUMBER('Reference data'!$B$3)),F73*'Reference data'!$B$3,"Unknown")</f>
        <v>2.92069476e-05</v>
      </c>
      <c r="F73" s="2">
        <f>IF(D73=0,0,IF(ISNUMBER('Reference data'!C17),D73*'Reference data'!C17/1000000,"Unknown"))</f>
        <v>3.348e-05</v>
      </c>
      <c r="G73" s="5">
        <f>IF(ISNUMBER(E73),ROUND(E73*'Reference data'!$B$2,0),"Unknown")</f>
        <v>3.0</v>
      </c>
      <c r="H73" s="5">
        <f>IF(ISNUMBER(F73),ROUND(F73*'Reference data'!$B$2,0),"Unknown")</f>
        <v>3.0</v>
      </c>
    </row>
    <row r="74" spans="1:13" ht="24" customHeight="1">
      <c r="A74" t="s">
        <v>143</v>
      </c>
      <c r="B74">
        <v>1</v>
      </c>
      <c r="C74" t="s">
        <v>97</v>
      </c>
      <c r="D74" s="5">
        <v>3</v>
      </c>
      <c r="E74" s="2">
        <f>IF(AND(ISNUMBER(F74),ISNUMBER('Reference data'!$B$3)),F74*'Reference data'!$B$3,"Unknown")</f>
        <v>5.23422e-07</v>
      </c>
      <c r="F74" s="2">
        <f>IF(D74=0,0,IF(ISNUMBER('Reference data'!B17),D74*'Reference data'!B17/1000000,"Unknown"))</f>
        <v>6e-07</v>
      </c>
      <c r="G74" s="5">
        <f>IF(ISNUMBER(E74),ROUND(E74*'Reference data'!$B$2,0),"Unknown")</f>
        <v>0.0</v>
      </c>
      <c r="H74" s="5">
        <f>IF(ISNUMBER(F74),ROUND(F74*'Reference data'!$B$2,0),"Unknown")</f>
        <v>0.0</v>
      </c>
    </row>
    <row r="75" spans="1:13" ht="73" customHeight="1">
      <c r="A75" t="s">
        <v>143</v>
      </c>
      <c r="B75">
        <v>1</v>
      </c>
      <c r="C75" t="s">
        <v>124</v>
      </c>
      <c r="I75" s="6" t="s">
        <v>142</v>
      </c>
    </row>
    <row r="76" spans="1:13" ht="24" customHeight="1">
      <c r="A76" t="s">
        <v>143</v>
      </c>
      <c r="B76">
        <v>1</v>
      </c>
      <c r="C76" t="s">
        <v>103</v>
      </c>
      <c r="D76" s="5">
        <v>323</v>
      </c>
      <c r="E76" s="2">
        <f>IF(AND(ISNUMBER(F76),ISNUMBER('Reference data'!$B$3)),F76*'Reference data'!$B$3,"Unknown")</f>
        <v>7.04438775e-05</v>
      </c>
      <c r="F76" s="2">
        <f>IF(D76=0,0,IF(ISNUMBER('Reference data'!D17),D76*'Reference data'!D17/1000000,"Unknown"))</f>
        <v>8.075e-05</v>
      </c>
      <c r="G76" s="5">
        <f>IF(ISNUMBER(E76),ROUND(E76*'Reference data'!$B$2,0),"Unknown")</f>
        <v>7.0</v>
      </c>
      <c r="H76" s="5">
        <f>IF(ISNUMBER(F76),ROUND(F76*'Reference data'!$B$2,0),"Unknown")</f>
        <v>8.0</v>
      </c>
    </row>
    <row r="77" spans="1:13" ht="24" customHeight="1">
      <c r="A77" t="s">
        <v>143</v>
      </c>
      <c r="B77">
        <v>1</v>
      </c>
      <c r="C77" t="s">
        <v>104</v>
      </c>
    </row>
    <row r="78" spans="1:13" s="4" customFormat="1" ht="24" customHeight="1">
      <c r="A78" s="4" t="s">
        <v>143</v>
      </c>
      <c r="B78" s="4">
        <v>1</v>
      </c>
      <c r="C78" s="4" t="s">
        <v>105</v>
      </c>
      <c r="D78" s="4">
        <v>281</v>
      </c>
    </row>
    <row r="79" spans="1:13" ht="24" customHeight="1">
      <c r="A79" t="s">
        <v>143</v>
      </c>
      <c r="B79">
        <v>1</v>
      </c>
      <c r="C79" t="s">
        <v>106</v>
      </c>
      <c r="D79" s="5">
        <v>102</v>
      </c>
      <c r="E79" s="2">
        <f>IF(AND(ISNUMBER(F79),ISNUMBER('Reference data'!$B$3)),F79*'Reference data'!$B$3,"Unknown")</f>
        <v>0.000106778088</v>
      </c>
      <c r="F79" s="2">
        <f>IF(D79=0,0,IF(ISNUMBER('Reference data'!F17),D79*'Reference data'!F17/1000000,"Unknown"))</f>
        <v>0.0001224</v>
      </c>
      <c r="G79" s="5">
        <f>IF(ISNUMBER(E79),ROUND(E79*'Reference data'!$B$2,0),"Unknown")</f>
        <v>11.0</v>
      </c>
      <c r="H79" s="5">
        <f>IF(ISNUMBER(F79),ROUND(F79*'Reference data'!$B$2,0),"Unknown")</f>
        <v>12.0</v>
      </c>
    </row>
    <row r="80" spans="1:13" ht="24" customHeight="1">
      <c r="A80" t="s">
        <v>143</v>
      </c>
      <c r="B80">
        <v>1</v>
      </c>
      <c r="C80" t="s">
        <v>107</v>
      </c>
      <c r="D80" s="5">
        <v>179</v>
      </c>
      <c r="E80" s="2">
        <f>IF(AND(ISNUMBER(F80),ISNUMBER('Reference data'!$B$3)),F80*'Reference data'!$B$3,"Unknown")</f>
        <v>0.000187385076</v>
      </c>
      <c r="F80" s="2">
        <f>IF(D80=0,0,IF(ISNUMBER('Reference data'!E17),D80*'Reference data'!E17/1000000,"Unknown"))</f>
        <v>0.0002148</v>
      </c>
      <c r="G80" s="5">
        <f>IF(ISNUMBER(E80),ROUND(E80*'Reference data'!$B$2,0),"Unknown")</f>
        <v>19.0</v>
      </c>
      <c r="H80" s="5">
        <f>IF(ISNUMBER(F80),ROUND(F80*'Reference data'!$B$2,0),"Unknown")</f>
        <v>21.0</v>
      </c>
    </row>
    <row r="81" spans="1:13" ht="409" customHeight="1">
      <c r="A81" t="s">
        <v>143</v>
      </c>
      <c r="B81">
        <v>1</v>
      </c>
      <c r="C81" t="s">
        <v>108</v>
      </c>
      <c r="I81" s="6" t="s">
        <v>145</v>
      </c>
    </row>
    <row r="82" spans="1:13" ht="24" customHeight="1">
      <c r="A82" t="s">
        <v>143</v>
      </c>
      <c r="B82">
        <v>1</v>
      </c>
      <c r="C82" t="s">
        <v>103</v>
      </c>
    </row>
    <row r="83" spans="1:13" ht="24" customHeight="1">
      <c r="A83" t="s">
        <v>143</v>
      </c>
      <c r="B83">
        <v>1</v>
      </c>
      <c r="C83" t="s">
        <v>104</v>
      </c>
    </row>
    <row r="84" spans="1:13" s="4" customFormat="1" ht="24" customHeight="1">
      <c r="A84" s="4" t="s">
        <v>143</v>
      </c>
      <c r="B84" s="4">
        <v>1</v>
      </c>
      <c r="C84" s="4" t="s">
        <v>110</v>
      </c>
      <c r="E84" s="2">
        <f>IF(COUNT('Turns'!E73,'Turns'!E74,'Turns'!E76,'Turns'!E79,'Turns'!E80)=5,SUM('Turns'!E73,'Turns'!E74,'Turns'!E76,'Turns'!E79,'Turns'!E80),"Unknown")</f>
        <v>0.0003943374111</v>
      </c>
      <c r="F84" s="2">
        <f>IF(COUNT('Turns'!F73,'Turns'!F74,'Turns'!F76,'Turns'!F79,'Turns'!F80)=5,SUM('Turns'!F73,'Turns'!F74,'Turns'!F76,'Turns'!F79,'Turns'!F80),"Unknown")</f>
        <v>0.00045203</v>
      </c>
      <c r="G84" s="5">
        <f>IF(ISNUMBER(E84),ROUND(E84*'Reference data'!$B$2,0),"Unknown")</f>
        <v>39.0</v>
      </c>
      <c r="H84" s="5">
        <f>IF(ISNUMBER(F84),ROUND(F84*'Reference data'!$B$2,0),"Unknown")</f>
        <v>45.0</v>
      </c>
      <c r="K84" s="4" t="s">
        <v>111</v>
      </c>
    </row>
    <row r="85" spans="1:13" s="4" customFormat="1" ht="24" customHeight="1">
      <c r="B85" s="4">
        <v>1</v>
      </c>
      <c r="C85" s="4" t="s">
        <v>127</v>
      </c>
      <c r="K85" s="4" t="s">
        <v>111</v>
      </c>
      <c r="M85" s="4" t="s">
        <v>146</v>
      </c>
    </row>
    <row r="86" spans="1:13" ht="112" customHeight="1">
      <c r="B86">
        <v>1</v>
      </c>
      <c r="C86" t="s">
        <v>114</v>
      </c>
      <c r="I86" s="6" t="s">
        <v>147</v>
      </c>
    </row>
    <row r="87" spans="1:13" ht="24" customHeight="1">
      <c r="B87">
        <v>1</v>
      </c>
      <c r="C87" t="s">
        <v>116</v>
      </c>
      <c r="I87" s="6" t="s">
        <v>130</v>
      </c>
    </row>
    <row r="88" spans="1:13" s="4" customFormat="1" ht="24" customHeight="1">
      <c r="A88" s="4" t="s">
        <v>148</v>
      </c>
      <c r="B88" s="4">
        <v>1</v>
      </c>
      <c r="C88" s="4" t="s">
        <v>94</v>
      </c>
      <c r="D88" s="4">
        <v>2307</v>
      </c>
      <c r="J88" s="4" t="s">
        <v>95</v>
      </c>
      <c r="M88" s="4" t="s">
        <v>149</v>
      </c>
    </row>
    <row r="89" spans="1:13" ht="24" customHeight="1">
      <c r="A89" t="s">
        <v>148</v>
      </c>
      <c r="B89">
        <v>1</v>
      </c>
      <c r="C89" t="s">
        <v>123</v>
      </c>
      <c r="D89" s="5">
        <v>1997</v>
      </c>
      <c r="E89" s="2">
        <f>IF(AND(ISNUMBER(F89),ISNUMBER('Reference data'!$B$3)),F89*'Reference data'!$B$3,"Unknown")</f>
        <v>3.48424578e-05</v>
      </c>
      <c r="F89" s="2">
        <f>IF(D89=0,0,IF(ISNUMBER('Reference data'!C17),D89*'Reference data'!C17/1000000,"Unknown"))</f>
        <v>3.994e-05</v>
      </c>
      <c r="G89" s="5">
        <f>IF(ISNUMBER(E89),ROUND(E89*'Reference data'!$B$2,0),"Unknown")</f>
        <v>3.0</v>
      </c>
      <c r="H89" s="5">
        <f>IF(ISNUMBER(F89),ROUND(F89*'Reference data'!$B$2,0),"Unknown")</f>
        <v>4.0</v>
      </c>
    </row>
    <row r="90" spans="1:13" ht="24" customHeight="1">
      <c r="A90" t="s">
        <v>148</v>
      </c>
      <c r="B90">
        <v>1</v>
      </c>
      <c r="C90" t="s">
        <v>97</v>
      </c>
      <c r="D90" s="5">
        <v>3</v>
      </c>
      <c r="E90" s="2">
        <f>IF(AND(ISNUMBER(F90),ISNUMBER('Reference data'!$B$3)),F90*'Reference data'!$B$3,"Unknown")</f>
        <v>5.23422e-07</v>
      </c>
      <c r="F90" s="2">
        <f>IF(D90=0,0,IF(ISNUMBER('Reference data'!B17),D90*'Reference data'!B17/1000000,"Unknown"))</f>
        <v>6e-07</v>
      </c>
      <c r="G90" s="5">
        <f>IF(ISNUMBER(E90),ROUND(E90*'Reference data'!$B$2,0),"Unknown")</f>
        <v>0.0</v>
      </c>
      <c r="H90" s="5">
        <f>IF(ISNUMBER(F90),ROUND(F90*'Reference data'!$B$2,0),"Unknown")</f>
        <v>0.0</v>
      </c>
    </row>
    <row r="91" spans="1:13" ht="24" customHeight="1">
      <c r="A91" t="s">
        <v>148</v>
      </c>
      <c r="B91">
        <v>1</v>
      </c>
      <c r="C91" t="s">
        <v>124</v>
      </c>
      <c r="I91" s="6" t="s">
        <v>130</v>
      </c>
    </row>
    <row r="92" spans="1:13" ht="24" customHeight="1">
      <c r="A92" t="s">
        <v>148</v>
      </c>
      <c r="B92">
        <v>1</v>
      </c>
      <c r="C92" t="s">
        <v>103</v>
      </c>
      <c r="D92" s="5">
        <v>307</v>
      </c>
      <c r="E92" s="2">
        <f>IF(AND(ISNUMBER(F92),ISNUMBER('Reference data'!$B$3)),F92*'Reference data'!$B$3,"Unknown")</f>
        <v>6.69543975e-05</v>
      </c>
      <c r="F92" s="2">
        <f>IF(D92=0,0,IF(ISNUMBER('Reference data'!D17),D92*'Reference data'!D17/1000000,"Unknown"))</f>
        <v>7.675e-05</v>
      </c>
      <c r="G92" s="5">
        <f>IF(ISNUMBER(E92),ROUND(E92*'Reference data'!$B$2,0),"Unknown")</f>
        <v>7.0</v>
      </c>
      <c r="H92" s="5">
        <f>IF(ISNUMBER(F92),ROUND(F92*'Reference data'!$B$2,0),"Unknown")</f>
        <v>8.0</v>
      </c>
    </row>
    <row r="93" spans="1:13" ht="24" customHeight="1">
      <c r="A93" t="s">
        <v>148</v>
      </c>
      <c r="B93">
        <v>1</v>
      </c>
      <c r="C93" t="s">
        <v>104</v>
      </c>
    </row>
    <row r="94" spans="1:13" s="4" customFormat="1" ht="24" customHeight="1">
      <c r="A94" s="4" t="s">
        <v>148</v>
      </c>
      <c r="B94" s="4">
        <v>1</v>
      </c>
      <c r="C94" s="4" t="s">
        <v>105</v>
      </c>
      <c r="D94" s="4">
        <v>39</v>
      </c>
    </row>
    <row r="95" spans="1:13" ht="24" customHeight="1">
      <c r="A95" t="s">
        <v>148</v>
      </c>
      <c r="B95">
        <v>1</v>
      </c>
      <c r="C95" t="s">
        <v>106</v>
      </c>
      <c r="D95" s="5">
        <v>8</v>
      </c>
      <c r="E95" s="2">
        <f>IF(AND(ISNUMBER(F95),ISNUMBER('Reference data'!$B$3)),F95*'Reference data'!$B$3,"Unknown")</f>
        <v>8.374752e-06</v>
      </c>
      <c r="F95" s="2">
        <f>IF(D95=0,0,IF(ISNUMBER('Reference data'!F17),D95*'Reference data'!F17/1000000,"Unknown"))</f>
        <v>9.6e-06</v>
      </c>
      <c r="G95" s="5">
        <f>IF(ISNUMBER(E95),ROUND(E95*'Reference data'!$B$2,0),"Unknown")</f>
        <v>1.0</v>
      </c>
      <c r="H95" s="5">
        <f>IF(ISNUMBER(F95),ROUND(F95*'Reference data'!$B$2,0),"Unknown")</f>
        <v>1.0</v>
      </c>
    </row>
    <row r="96" spans="1:13" ht="24" customHeight="1">
      <c r="A96" t="s">
        <v>148</v>
      </c>
      <c r="B96">
        <v>1</v>
      </c>
      <c r="C96" t="s">
        <v>107</v>
      </c>
      <c r="D96" s="5">
        <v>31</v>
      </c>
      <c r="E96" s="2">
        <f>IF(AND(ISNUMBER(F96),ISNUMBER('Reference data'!$B$3)),F96*'Reference data'!$B$3,"Unknown")</f>
        <v>3.2452164e-05</v>
      </c>
      <c r="F96" s="2">
        <f>IF(D96=0,0,IF(ISNUMBER('Reference data'!E17),D96*'Reference data'!E17/1000000,"Unknown"))</f>
        <v>3.72e-05</v>
      </c>
      <c r="G96" s="5">
        <f>IF(ISNUMBER(E96),ROUND(E96*'Reference data'!$B$2,0),"Unknown")</f>
        <v>3.0</v>
      </c>
      <c r="H96" s="5">
        <f>IF(ISNUMBER(F96),ROUND(F96*'Reference data'!$B$2,0),"Unknown")</f>
        <v>4.0</v>
      </c>
    </row>
    <row r="97" spans="1:13" ht="281" customHeight="1">
      <c r="A97" t="s">
        <v>148</v>
      </c>
      <c r="B97">
        <v>1</v>
      </c>
      <c r="C97" t="s">
        <v>108</v>
      </c>
      <c r="I97" s="6" t="s">
        <v>150</v>
      </c>
    </row>
    <row r="98" spans="1:13" ht="24" customHeight="1">
      <c r="A98" t="s">
        <v>148</v>
      </c>
      <c r="B98">
        <v>1</v>
      </c>
      <c r="C98" t="s">
        <v>103</v>
      </c>
    </row>
    <row r="99" spans="1:13" ht="24" customHeight="1">
      <c r="A99" t="s">
        <v>148</v>
      </c>
      <c r="B99">
        <v>1</v>
      </c>
      <c r="C99" t="s">
        <v>104</v>
      </c>
    </row>
    <row r="100" spans="1:13" s="4" customFormat="1" ht="24" customHeight="1">
      <c r="A100" s="4" t="s">
        <v>148</v>
      </c>
      <c r="B100" s="4">
        <v>1</v>
      </c>
      <c r="C100" s="4" t="s">
        <v>110</v>
      </c>
      <c r="E100" s="2">
        <f>IF(COUNT('Turns'!E89,'Turns'!E90,'Turns'!E92,'Turns'!E95,'Turns'!E96)=5,SUM('Turns'!E89,'Turns'!E90,'Turns'!E92,'Turns'!E95,'Turns'!E96),"Unknown")</f>
        <v>0.0001431471933</v>
      </c>
      <c r="F100" s="2">
        <f>IF(COUNT('Turns'!F89,'Turns'!F90,'Turns'!F92,'Turns'!F95,'Turns'!F96)=5,SUM('Turns'!F89,'Turns'!F90,'Turns'!F92,'Turns'!F95,'Turns'!F96),"Unknown")</f>
        <v>0.00016409</v>
      </c>
      <c r="G100" s="5">
        <f>IF(ISNUMBER(E100),ROUND(E100*'Reference data'!$B$2,0),"Unknown")</f>
        <v>14.0</v>
      </c>
      <c r="H100" s="5">
        <f>IF(ISNUMBER(F100),ROUND(F100*'Reference data'!$B$2,0),"Unknown")</f>
        <v>16.0</v>
      </c>
      <c r="K100" s="4" t="s">
        <v>111</v>
      </c>
    </row>
    <row r="101" spans="1:13" s="4" customFormat="1" ht="24" customHeight="1">
      <c r="B101" s="4">
        <v>1</v>
      </c>
      <c r="C101" s="4" t="s">
        <v>112</v>
      </c>
      <c r="K101" s="4" t="s">
        <v>111</v>
      </c>
      <c r="M101" s="4" t="s">
        <v>151</v>
      </c>
    </row>
    <row r="102" spans="1:13" ht="24" customHeight="1">
      <c r="B102">
        <v>1</v>
      </c>
      <c r="C102" t="s">
        <v>114</v>
      </c>
      <c r="I102" s="6" t="s">
        <v>119</v>
      </c>
    </row>
    <row r="103" spans="1:13" ht="216" customHeight="1">
      <c r="B103">
        <v>1</v>
      </c>
      <c r="C103" t="s">
        <v>116</v>
      </c>
      <c r="I103" s="6" t="s">
        <v>152</v>
      </c>
    </row>
    <row r="104" spans="1:13" s="4" customFormat="1" ht="24" customHeight="1">
      <c r="A104" s="4" t="s">
        <v>153</v>
      </c>
      <c r="B104" s="4">
        <v>1</v>
      </c>
      <c r="C104" s="4" t="s">
        <v>94</v>
      </c>
      <c r="D104" s="4">
        <v>2430</v>
      </c>
      <c r="J104" s="4" t="s">
        <v>95</v>
      </c>
      <c r="M104" s="4" t="s">
        <v>154</v>
      </c>
    </row>
    <row r="105" spans="1:13" ht="24" customHeight="1">
      <c r="A105" t="s">
        <v>153</v>
      </c>
      <c r="B105">
        <v>1</v>
      </c>
      <c r="C105" t="s">
        <v>123</v>
      </c>
      <c r="D105" s="5">
        <v>2304</v>
      </c>
      <c r="E105" s="2">
        <f>IF(AND(ISNUMBER(F105),ISNUMBER('Reference data'!$B$3)),F105*'Reference data'!$B$3,"Unknown")</f>
        <v>4.01988096e-05</v>
      </c>
      <c r="F105" s="2">
        <f>IF(D105=0,0,IF(ISNUMBER('Reference data'!C17),D105*'Reference data'!C17/1000000,"Unknown"))</f>
        <v>4.608e-05</v>
      </c>
      <c r="G105" s="5">
        <f>IF(ISNUMBER(E105),ROUND(E105*'Reference data'!$B$2,0),"Unknown")</f>
        <v>4.0</v>
      </c>
      <c r="H105" s="5">
        <f>IF(ISNUMBER(F105),ROUND(F105*'Reference data'!$B$2,0),"Unknown")</f>
        <v>5.0</v>
      </c>
    </row>
    <row r="106" spans="1:13" ht="24" customHeight="1">
      <c r="A106" t="s">
        <v>153</v>
      </c>
      <c r="B106">
        <v>1</v>
      </c>
      <c r="C106" t="s">
        <v>97</v>
      </c>
      <c r="D106" s="5">
        <v>3</v>
      </c>
      <c r="E106" s="2">
        <f>IF(AND(ISNUMBER(F106),ISNUMBER('Reference data'!$B$3)),F106*'Reference data'!$B$3,"Unknown")</f>
        <v>5.23422e-07</v>
      </c>
      <c r="F106" s="2">
        <f>IF(D106=0,0,IF(ISNUMBER('Reference data'!B17),D106*'Reference data'!B17/1000000,"Unknown"))</f>
        <v>6e-07</v>
      </c>
      <c r="G106" s="5">
        <f>IF(ISNUMBER(E106),ROUND(E106*'Reference data'!$B$2,0),"Unknown")</f>
        <v>0.0</v>
      </c>
      <c r="H106" s="5">
        <f>IF(ISNUMBER(F106),ROUND(F106*'Reference data'!$B$2,0),"Unknown")</f>
        <v>0.0</v>
      </c>
    </row>
    <row r="107" spans="1:13" ht="216" customHeight="1">
      <c r="A107" t="s">
        <v>153</v>
      </c>
      <c r="B107">
        <v>1</v>
      </c>
      <c r="C107" t="s">
        <v>124</v>
      </c>
      <c r="I107" s="6" t="s">
        <v>152</v>
      </c>
    </row>
    <row r="108" spans="1:13" ht="24" customHeight="1">
      <c r="A108" t="s">
        <v>153</v>
      </c>
      <c r="B108">
        <v>1</v>
      </c>
      <c r="C108" t="s">
        <v>103</v>
      </c>
      <c r="D108" s="5">
        <v>123</v>
      </c>
      <c r="E108" s="2">
        <f>IF(AND(ISNUMBER(F108),ISNUMBER('Reference data'!$B$3)),F108*'Reference data'!$B$3,"Unknown")</f>
        <v>2.68253775e-05</v>
      </c>
      <c r="F108" s="2">
        <f>IF(D108=0,0,IF(ISNUMBER('Reference data'!D17),D108*'Reference data'!D17/1000000,"Unknown"))</f>
        <v>3.075e-05</v>
      </c>
      <c r="G108" s="5">
        <f>IF(ISNUMBER(E108),ROUND(E108*'Reference data'!$B$2,0),"Unknown")</f>
        <v>3.0</v>
      </c>
      <c r="H108" s="5">
        <f>IF(ISNUMBER(F108),ROUND(F108*'Reference data'!$B$2,0),"Unknown")</f>
        <v>3.0</v>
      </c>
    </row>
    <row r="109" spans="1:13" ht="24" customHeight="1">
      <c r="A109" t="s">
        <v>153</v>
      </c>
      <c r="B109">
        <v>1</v>
      </c>
      <c r="C109" t="s">
        <v>104</v>
      </c>
    </row>
    <row r="110" spans="1:13" s="4" customFormat="1" ht="24" customHeight="1">
      <c r="A110" s="4" t="s">
        <v>153</v>
      </c>
      <c r="B110" s="4">
        <v>1</v>
      </c>
      <c r="C110" s="4" t="s">
        <v>105</v>
      </c>
      <c r="D110" s="4">
        <v>17</v>
      </c>
    </row>
    <row r="111" spans="1:13" ht="24" customHeight="1">
      <c r="A111" t="s">
        <v>153</v>
      </c>
      <c r="B111">
        <v>1</v>
      </c>
      <c r="C111" t="s">
        <v>107</v>
      </c>
      <c r="D111" s="5">
        <v>17</v>
      </c>
      <c r="E111" s="2">
        <f>IF(AND(ISNUMBER(F111),ISNUMBER('Reference data'!$B$3)),F111*'Reference data'!$B$3,"Unknown")</f>
        <v>1.7796348e-05</v>
      </c>
      <c r="F111" s="2">
        <f>IF(D111=0,0,IF(ISNUMBER('Reference data'!E17),D111*'Reference data'!E17/1000000,"Unknown"))</f>
        <v>2.04e-05</v>
      </c>
      <c r="G111" s="5">
        <f>IF(ISNUMBER(E111),ROUND(E111*'Reference data'!$B$2,0),"Unknown")</f>
        <v>2.0</v>
      </c>
      <c r="H111" s="5">
        <f>IF(ISNUMBER(F111),ROUND(F111*'Reference data'!$B$2,0),"Unknown")</f>
        <v>2.0</v>
      </c>
    </row>
    <row r="112" spans="1:13" ht="47" customHeight="1">
      <c r="A112" t="s">
        <v>153</v>
      </c>
      <c r="B112">
        <v>1</v>
      </c>
      <c r="C112" t="s">
        <v>108</v>
      </c>
      <c r="I112" s="6" t="s">
        <v>155</v>
      </c>
    </row>
    <row r="113" spans="1:11" ht="24" customHeight="1">
      <c r="A113" t="s">
        <v>153</v>
      </c>
      <c r="B113">
        <v>1</v>
      </c>
      <c r="C113" t="s">
        <v>103</v>
      </c>
    </row>
    <row r="114" spans="1:11" ht="24" customHeight="1">
      <c r="A114" t="s">
        <v>153</v>
      </c>
      <c r="B114">
        <v>1</v>
      </c>
      <c r="C114" t="s">
        <v>104</v>
      </c>
    </row>
    <row r="115" spans="1:11" s="4" customFormat="1" ht="24" customHeight="1">
      <c r="A115" s="4" t="s">
        <v>153</v>
      </c>
      <c r="B115" s="4">
        <v>1</v>
      </c>
      <c r="C115" s="4" t="s">
        <v>110</v>
      </c>
      <c r="E115" s="2">
        <f>IF(COUNT('Turns'!E105,'Turns'!E106,'Turns'!E108,'Turns'!E111)=4,SUM('Turns'!E105,'Turns'!E106,'Turns'!E108,'Turns'!E111),"Unknown")</f>
        <v>8.53439571e-05</v>
      </c>
      <c r="F115" s="2">
        <f>IF(COUNT('Turns'!F105,'Turns'!F106,'Turns'!F108,'Turns'!F111)=4,SUM('Turns'!F105,'Turns'!F106,'Turns'!F108,'Turns'!F111),"Unknown")</f>
        <v>9.783e-05</v>
      </c>
      <c r="G115" s="5">
        <f>IF(ISNUMBER(E115),ROUND(E115*'Reference data'!$B$2,0),"Unknown")</f>
        <v>9.0</v>
      </c>
      <c r="H115" s="5">
        <f>IF(ISNUMBER(F115),ROUND(F115*'Reference data'!$B$2,0),"Unknown")</f>
        <v>10.0</v>
      </c>
      <c r="K115" s="4" t="s">
        <v>111</v>
      </c>
    </row>
  </sheetData>
  <conditionalFormatting sqref="A2:AE115">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50"/>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156</v>
      </c>
      <c r="B2" s="1">
        <v>0</v>
      </c>
      <c r="C2" s="1" t="s">
        <v>157</v>
      </c>
      <c r="D2" s="1" t="s">
        <v>47</v>
      </c>
      <c r="E2" s="1" t="s">
        <v>111</v>
      </c>
      <c r="G2" s="6" t="s">
        <v>158</v>
      </c>
      <c r="H2" t="s">
        <v>49</v>
      </c>
      <c r="J2" s="2">
        <f>IF(COUNT('Turns'!D5,'Turns'!D26)=2,SUM('Turns'!D5,'Turns'!D26),"Unknown")</f>
        <v>891.0</v>
      </c>
      <c r="K2" s="2">
        <f>IF(COUNT('Turns'!E5,'Turns'!E26)=2,SUM('Turns'!E5,'Turns'!E26),"Unknown")</f>
        <v>0.000155456334</v>
      </c>
      <c r="L2" s="2">
        <f>IF(COUNT('Turns'!F5,'Turns'!F26)=2,SUM('Turns'!F5,'Turns'!F26),"Unknown")</f>
        <v>0.0001782</v>
      </c>
      <c r="M2" s="2">
        <f>IF(COUNT('Turns'!D25)=1,SUM('Turns'!D25),"Unknown")</f>
        <v>0.0</v>
      </c>
      <c r="N2" s="2">
        <f>IF(COUNT('Turns'!E25)=1,SUM('Turns'!E25),"Unknown")</f>
        <v>0.0</v>
      </c>
      <c r="O2" s="2">
        <f>IF(COUNT('Turns'!F25)=1,SUM('Turns'!F25),"Unknown")</f>
        <v>0.0</v>
      </c>
      <c r="P2" s="2">
        <f>IF(COUNT('Turns'!D28)=1,SUM('Turns'!D28),"Unknown")</f>
        <v>1085.0</v>
      </c>
      <c r="Q2" s="2">
        <f>IF(COUNT('Turns'!E28)=1,SUM('Turns'!E28),"Unknown")</f>
        <v>0.0002366303625</v>
      </c>
      <c r="R2" s="2">
        <f>IF(COUNT('Turns'!F28)=1,SUM('Turns'!F28),"Unknown")</f>
        <v>0.00027125</v>
      </c>
      <c r="S2" s="2">
        <f>IF(COUNT('Turns'!D13,'Turns'!D32)=2,SUM('Turns'!D13,'Turns'!D32),"Unknown")</f>
        <v>232.0</v>
      </c>
      <c r="T2" s="2">
        <f>IF(COUNT('Turns'!E13,'Turns'!E32)=2,SUM('Turns'!E13,'Turns'!E32),"Unknown")</f>
        <v>0.000242867808</v>
      </c>
      <c r="U2" s="2">
        <f>IF(COUNT('Turns'!F13,'Turns'!F32)=2,SUM('Turns'!F13,'Turns'!F32),"Unknown")</f>
        <v>0.0002784</v>
      </c>
      <c r="V2" s="2">
        <f>IF(COUNT('Turns'!D12,'Turns'!D31)=2,SUM('Turns'!D12,'Turns'!D31),"Unknown")</f>
        <v>294.0</v>
      </c>
      <c r="W2" s="2">
        <f>IF(COUNT('Turns'!E12,'Turns'!E31)=2,SUM('Turns'!E12,'Turns'!E31),"Unknown")</f>
        <v>0.000307772136</v>
      </c>
      <c r="X2" s="2">
        <f>IF(COUNT('Turns'!F12,'Turns'!F31)=2,SUM('Turns'!F12,'Turns'!F31),"Unknown")</f>
        <v>0.0003528</v>
      </c>
      <c r="Y2" s="2">
        <f>IF(COUNT('Turns'!E17,'Turns'!E36)=2,SUM('Turns'!E17,'Turns'!E36),"Unknown")</f>
        <v>0.0009427266405</v>
      </c>
      <c r="Z2" s="2">
        <f>IF(COUNT('Turns'!F17,'Turns'!F36)=2,SUM('Turns'!F17,'Turns'!F36),"Unknown")</f>
        <v>0.00108065</v>
      </c>
      <c r="AA2" s="5">
        <f>IF(ISNUMBER(Y2),ROUND(Y2*'Reference data'!$B$2,0),"Unknown")</f>
        <v>94.0</v>
      </c>
      <c r="AB2" s="5">
        <f>IF(ISNUMBER(Z2),ROUND(Z2*'Reference data'!$B$2,0),"Unknown")</f>
        <v>108.0</v>
      </c>
      <c r="AD2" s="1">
        <v>10557.352</v>
      </c>
      <c r="AE2" s="1" t="s">
        <v>159</v>
      </c>
    </row>
    <row r="3" spans="1:31" ht="54" customHeight="1">
      <c r="A3" s="6" t="s">
        <v>160</v>
      </c>
      <c r="B3" s="1">
        <v>1</v>
      </c>
      <c r="C3" s="1" t="s">
        <v>157</v>
      </c>
      <c r="D3" s="1" t="s">
        <v>47</v>
      </c>
      <c r="E3" s="1" t="s">
        <v>111</v>
      </c>
      <c r="G3" s="6" t="s">
        <v>161</v>
      </c>
      <c r="H3" t="s">
        <v>162</v>
      </c>
      <c r="I3" t="s">
        <v>49</v>
      </c>
      <c r="AD3" s="1">
        <v>1.358</v>
      </c>
      <c r="AE3" s="1" t="s">
        <v>163</v>
      </c>
    </row>
    <row r="4" spans="1:31" ht="54" customHeight="1">
      <c r="A4" s="6" t="s">
        <v>164</v>
      </c>
      <c r="B4" s="1">
        <v>1</v>
      </c>
      <c r="C4" s="1" t="s">
        <v>157</v>
      </c>
      <c r="D4" s="1" t="s">
        <v>47</v>
      </c>
      <c r="E4" s="1" t="s">
        <v>111</v>
      </c>
      <c r="G4" s="6" t="s">
        <v>165</v>
      </c>
      <c r="H4" t="s">
        <v>166</v>
      </c>
      <c r="I4" t="s">
        <v>49</v>
      </c>
      <c r="J4" s="2">
        <f>IF(COUNT('Turns'!D5)=1,SUM('Turns'!D5),"Unknown")</f>
        <v>888.0</v>
      </c>
      <c r="K4" s="2">
        <f>IF(COUNT('Turns'!E5)=1,SUM('Turns'!E5),"Unknown")</f>
        <v>0.000154932912</v>
      </c>
      <c r="L4" s="2">
        <f>IF(COUNT('Turns'!F5)=1,SUM('Turns'!F5),"Unknown")</f>
        <v>0.0001776</v>
      </c>
      <c r="M4" s="2">
        <v>0</v>
      </c>
      <c r="N4" s="2">
        <v>0</v>
      </c>
      <c r="O4" s="2">
        <v>0</v>
      </c>
      <c r="P4" s="2">
        <v>0</v>
      </c>
      <c r="Q4" s="2">
        <v>0</v>
      </c>
      <c r="R4" s="2">
        <v>0</v>
      </c>
      <c r="S4" s="2">
        <f>IF(COUNT('Turns'!D13)=1,SUM('Turns'!D13),"Unknown")</f>
        <v>72.0</v>
      </c>
      <c r="T4" s="2">
        <f>IF(COUNT('Turns'!E13)=1,SUM('Turns'!E13),"Unknown")</f>
        <v>7.5372768e-05</v>
      </c>
      <c r="U4" s="2">
        <f>IF(COUNT('Turns'!F13)=1,SUM('Turns'!F13),"Unknown")</f>
        <v>8.64e-05</v>
      </c>
      <c r="V4" s="2">
        <f>IF(COUNT('Turns'!D12)=1,SUM('Turns'!D12),"Unknown")</f>
        <v>27.0</v>
      </c>
      <c r="W4" s="2">
        <f>IF(COUNT('Turns'!E12)=1,SUM('Turns'!E12),"Unknown")</f>
        <v>2.8264788e-05</v>
      </c>
      <c r="X4" s="2">
        <f>IF(COUNT('Turns'!F12)=1,SUM('Turns'!F12),"Unknown")</f>
        <v>3.24e-05</v>
      </c>
      <c r="Y4" s="2">
        <f>IF(COUNT('Turns'!E17)=1,SUM('Turns'!E17),"Unknown")</f>
        <v>0.000258570468</v>
      </c>
      <c r="Z4" s="2">
        <f>IF(COUNT('Turns'!F17)=1,SUM('Turns'!F17),"Unknown")</f>
        <v>0.0002964</v>
      </c>
      <c r="AA4" s="5">
        <f>IF(ISNUMBER(Y4),ROUND(Y4*'Reference data'!$B$2,0),"Unknown")</f>
        <v>26.0</v>
      </c>
      <c r="AB4" s="5">
        <f>IF(ISNUMBER(Z4),ROUND(Z4*'Reference data'!$B$2,0),"Unknown")</f>
        <v>30.0</v>
      </c>
      <c r="AD4" s="1">
        <v>2595.144</v>
      </c>
      <c r="AE4" s="1" t="s">
        <v>159</v>
      </c>
    </row>
    <row r="5" spans="1:31" ht="54" customHeight="1">
      <c r="A5" s="6" t="s">
        <v>167</v>
      </c>
      <c r="B5" s="1">
        <v>2</v>
      </c>
      <c r="C5" s="1" t="s">
        <v>168</v>
      </c>
      <c r="D5" s="1" t="s">
        <v>95</v>
      </c>
      <c r="E5" s="1" t="s">
        <v>111</v>
      </c>
      <c r="F5" s="1">
        <v>888</v>
      </c>
      <c r="G5" s="6" t="s">
        <v>169</v>
      </c>
      <c r="H5" t="s">
        <v>96</v>
      </c>
      <c r="I5" t="s">
        <v>166</v>
      </c>
      <c r="J5" s="2">
        <f>IF(COUNT('Turns'!D5)=1,SUM('Turns'!D5),"Unknown")</f>
        <v>888.0</v>
      </c>
      <c r="K5" s="2">
        <f>IF(COUNT('Turns'!E5)=1,SUM('Turns'!E5),"Unknown")</f>
        <v>0.000154932912</v>
      </c>
      <c r="L5" s="2">
        <f>IF(COUNT('Turns'!F5)=1,SUM('Turns'!F5),"Unknown")</f>
        <v>0.0001776</v>
      </c>
      <c r="M5" s="2">
        <v>0</v>
      </c>
      <c r="N5" s="2">
        <v>0</v>
      </c>
      <c r="O5" s="2">
        <v>0</v>
      </c>
      <c r="P5" s="2">
        <v>0</v>
      </c>
      <c r="Q5" s="2">
        <v>0</v>
      </c>
      <c r="R5" s="2">
        <v>0</v>
      </c>
      <c r="S5" s="2">
        <f>IF(COUNT('Turns'!D13)=1,SUM('Turns'!D13),"Unknown")</f>
        <v>72.0</v>
      </c>
      <c r="T5" s="2">
        <f>IF(COUNT('Turns'!E13)=1,SUM('Turns'!E13),"Unknown")</f>
        <v>7.5372768e-05</v>
      </c>
      <c r="U5" s="2">
        <f>IF(COUNT('Turns'!F13)=1,SUM('Turns'!F13),"Unknown")</f>
        <v>8.64e-05</v>
      </c>
      <c r="V5" s="2">
        <f>IF(COUNT('Turns'!D12)=1,SUM('Turns'!D12),"Unknown")</f>
        <v>27.0</v>
      </c>
      <c r="W5" s="2">
        <f>IF(COUNT('Turns'!E12)=1,SUM('Turns'!E12),"Unknown")</f>
        <v>2.8264788e-05</v>
      </c>
      <c r="X5" s="2">
        <f>IF(COUNT('Turns'!F12)=1,SUM('Turns'!F12),"Unknown")</f>
        <v>3.24e-05</v>
      </c>
      <c r="Y5" s="2">
        <f>IF(COUNT('Turns'!E17)=1,SUM('Turns'!E17),"Unknown")</f>
        <v>0.000258570468</v>
      </c>
      <c r="Z5" s="2">
        <f>IF(COUNT('Turns'!F17)=1,SUM('Turns'!F17),"Unknown")</f>
        <v>0.0002964</v>
      </c>
      <c r="AA5" s="5">
        <f>IF(ISNUMBER(Y5),ROUND(Y5*'Reference data'!$B$2,0),"Unknown")</f>
        <v>26.0</v>
      </c>
      <c r="AB5" s="5">
        <f>IF(ISNUMBER(Z5),ROUND(Z5*'Reference data'!$B$2,0),"Unknown")</f>
        <v>30.0</v>
      </c>
      <c r="AC5" s="1" t="s">
        <v>93</v>
      </c>
      <c r="AD5" s="1">
        <v>2590.657</v>
      </c>
      <c r="AE5" s="1" t="s">
        <v>170</v>
      </c>
    </row>
    <row r="6" spans="1:31" ht="54" customHeight="1">
      <c r="A6" s="6" t="s">
        <v>171</v>
      </c>
      <c r="B6" s="1">
        <v>1</v>
      </c>
      <c r="C6" s="1" t="s">
        <v>157</v>
      </c>
      <c r="D6" s="1" t="s">
        <v>47</v>
      </c>
      <c r="E6" s="1" t="s">
        <v>111</v>
      </c>
      <c r="G6" s="6" t="s">
        <v>172</v>
      </c>
      <c r="H6" t="s">
        <v>173</v>
      </c>
      <c r="I6" t="s">
        <v>49</v>
      </c>
      <c r="AD6" s="1">
        <v>0.482</v>
      </c>
      <c r="AE6" s="1" t="s">
        <v>163</v>
      </c>
    </row>
    <row r="7" spans="1:31" ht="54" customHeight="1">
      <c r="A7" s="6" t="s">
        <v>174</v>
      </c>
      <c r="B7" s="1">
        <v>1</v>
      </c>
      <c r="C7" s="1" t="s">
        <v>157</v>
      </c>
      <c r="D7" s="1" t="s">
        <v>47</v>
      </c>
      <c r="E7" s="1" t="s">
        <v>111</v>
      </c>
      <c r="G7" s="6" t="s">
        <v>175</v>
      </c>
      <c r="H7" t="s">
        <v>176</v>
      </c>
      <c r="I7" t="s">
        <v>49</v>
      </c>
      <c r="AD7" s="1">
        <v>5.189</v>
      </c>
      <c r="AE7" s="1" t="s">
        <v>163</v>
      </c>
    </row>
    <row r="8" spans="1:31" ht="54" customHeight="1">
      <c r="A8" s="6" t="s">
        <v>177</v>
      </c>
      <c r="B8" s="1">
        <v>2</v>
      </c>
      <c r="C8" s="1" t="s">
        <v>178</v>
      </c>
      <c r="D8" s="1" t="s">
        <v>47</v>
      </c>
      <c r="E8" s="1" t="s">
        <v>111</v>
      </c>
      <c r="G8" s="6" t="s">
        <v>179</v>
      </c>
      <c r="H8" t="s">
        <v>113</v>
      </c>
      <c r="I8" t="s">
        <v>176</v>
      </c>
      <c r="AD8" s="1">
        <v>2.67</v>
      </c>
      <c r="AE8" s="1" t="s">
        <v>163</v>
      </c>
    </row>
    <row r="9" spans="1:31" ht="54" customHeight="1">
      <c r="A9" s="6" t="s">
        <v>174</v>
      </c>
      <c r="B9" s="1">
        <v>1</v>
      </c>
      <c r="C9" s="1" t="s">
        <v>157</v>
      </c>
      <c r="D9" s="1" t="s">
        <v>47</v>
      </c>
      <c r="E9" s="1" t="s">
        <v>111</v>
      </c>
      <c r="G9" s="6" t="s">
        <v>175</v>
      </c>
      <c r="H9" t="s">
        <v>180</v>
      </c>
      <c r="I9" t="s">
        <v>49</v>
      </c>
      <c r="AD9" s="1">
        <v>3.745</v>
      </c>
      <c r="AE9" s="1" t="s">
        <v>163</v>
      </c>
    </row>
    <row r="10" spans="1:31" ht="54" customHeight="1">
      <c r="A10" s="6" t="s">
        <v>177</v>
      </c>
      <c r="B10" s="1">
        <v>2</v>
      </c>
      <c r="C10" s="1" t="s">
        <v>178</v>
      </c>
      <c r="D10" s="1" t="s">
        <v>47</v>
      </c>
      <c r="E10" s="1" t="s">
        <v>111</v>
      </c>
      <c r="G10" s="6" t="s">
        <v>179</v>
      </c>
      <c r="H10" t="s">
        <v>118</v>
      </c>
      <c r="I10" t="s">
        <v>180</v>
      </c>
      <c r="AD10" s="1">
        <v>1.107</v>
      </c>
      <c r="AE10" s="1" t="s">
        <v>163</v>
      </c>
    </row>
    <row r="11" spans="1:31" ht="54" customHeight="1">
      <c r="A11" s="6" t="s">
        <v>160</v>
      </c>
      <c r="B11" s="1">
        <v>1</v>
      </c>
      <c r="C11" s="1" t="s">
        <v>157</v>
      </c>
      <c r="D11" s="1" t="s">
        <v>47</v>
      </c>
      <c r="E11" s="1" t="s">
        <v>111</v>
      </c>
      <c r="G11" s="6" t="s">
        <v>161</v>
      </c>
      <c r="H11" t="s">
        <v>181</v>
      </c>
      <c r="I11" t="s">
        <v>49</v>
      </c>
      <c r="AD11" s="1">
        <v>0.308</v>
      </c>
      <c r="AE11" s="1" t="s">
        <v>163</v>
      </c>
    </row>
    <row r="12" spans="1:31" ht="54" customHeight="1">
      <c r="A12" s="6" t="s">
        <v>164</v>
      </c>
      <c r="B12" s="1">
        <v>1</v>
      </c>
      <c r="C12" s="1" t="s">
        <v>157</v>
      </c>
      <c r="D12" s="1" t="s">
        <v>47</v>
      </c>
      <c r="E12" s="1" t="s">
        <v>111</v>
      </c>
      <c r="G12" s="6" t="s">
        <v>165</v>
      </c>
      <c r="H12" t="s">
        <v>182</v>
      </c>
      <c r="I12" t="s">
        <v>49</v>
      </c>
      <c r="J12" s="2">
        <f>IF(COUNT('Turns'!D26)=1,SUM('Turns'!D26),"Unknown")</f>
        <v>3.0</v>
      </c>
      <c r="K12" s="2">
        <f>IF(COUNT('Turns'!E26)=1,SUM('Turns'!E26),"Unknown")</f>
        <v>5.23422e-07</v>
      </c>
      <c r="L12" s="2">
        <f>IF(COUNT('Turns'!F26)=1,SUM('Turns'!F26),"Unknown")</f>
        <v>6e-07</v>
      </c>
      <c r="M12" s="2">
        <f>IF(COUNT('Turns'!D25)=1,SUM('Turns'!D25),"Unknown")</f>
        <v>0.0</v>
      </c>
      <c r="N12" s="2">
        <f>IF(COUNT('Turns'!E25)=1,SUM('Turns'!E25),"Unknown")</f>
        <v>0.0</v>
      </c>
      <c r="O12" s="2">
        <f>IF(COUNT('Turns'!F25)=1,SUM('Turns'!F25),"Unknown")</f>
        <v>0.0</v>
      </c>
      <c r="P12" s="2">
        <f>IF(COUNT('Turns'!D28)=1,SUM('Turns'!D28),"Unknown")</f>
        <v>1085.0</v>
      </c>
      <c r="Q12" s="2">
        <f>IF(COUNT('Turns'!E28)=1,SUM('Turns'!E28),"Unknown")</f>
        <v>0.0002366303625</v>
      </c>
      <c r="R12" s="2">
        <f>IF(COUNT('Turns'!F28)=1,SUM('Turns'!F28),"Unknown")</f>
        <v>0.00027125</v>
      </c>
      <c r="S12" s="2">
        <f>IF(COUNT('Turns'!D32)=1,SUM('Turns'!D32),"Unknown")</f>
        <v>160.0</v>
      </c>
      <c r="T12" s="2">
        <f>IF(COUNT('Turns'!E32)=1,SUM('Turns'!E32),"Unknown")</f>
        <v>0.00016749504</v>
      </c>
      <c r="U12" s="2">
        <f>IF(COUNT('Turns'!F32)=1,SUM('Turns'!F32),"Unknown")</f>
        <v>0.000192</v>
      </c>
      <c r="V12" s="2">
        <f>IF(COUNT('Turns'!D31)=1,SUM('Turns'!D31),"Unknown")</f>
        <v>267.0</v>
      </c>
      <c r="W12" s="2">
        <f>IF(COUNT('Turns'!E31)=1,SUM('Turns'!E31),"Unknown")</f>
        <v>0.000279507348</v>
      </c>
      <c r="X12" s="2">
        <f>IF(COUNT('Turns'!F31)=1,SUM('Turns'!F31),"Unknown")</f>
        <v>0.0003204</v>
      </c>
      <c r="Y12" s="2">
        <f>IF(COUNT('Turns'!E36)=1,SUM('Turns'!E36),"Unknown")</f>
        <v>0.0006841561725</v>
      </c>
      <c r="Z12" s="2">
        <f>IF(COUNT('Turns'!F36)=1,SUM('Turns'!F36),"Unknown")</f>
        <v>0.00078425</v>
      </c>
      <c r="AA12" s="5">
        <f>IF(ISNUMBER(Y12),ROUND(Y12*'Reference data'!$B$2,0),"Unknown")</f>
        <v>68.0</v>
      </c>
      <c r="AB12" s="5">
        <f>IF(ISNUMBER(Z12),ROUND(Z12*'Reference data'!$B$2,0),"Unknown")</f>
        <v>78.0</v>
      </c>
      <c r="AD12" s="1">
        <v>7938.058</v>
      </c>
      <c r="AE12" s="1" t="s">
        <v>159</v>
      </c>
    </row>
    <row r="13" spans="1:31" ht="54" customHeight="1">
      <c r="A13" s="6" t="s">
        <v>167</v>
      </c>
      <c r="B13" s="1">
        <v>2</v>
      </c>
      <c r="C13" s="1" t="s">
        <v>168</v>
      </c>
      <c r="D13" s="1" t="s">
        <v>95</v>
      </c>
      <c r="E13" s="1" t="s">
        <v>111</v>
      </c>
      <c r="F13" s="1">
        <v>1088</v>
      </c>
      <c r="G13" s="6" t="s">
        <v>169</v>
      </c>
      <c r="H13" t="s">
        <v>122</v>
      </c>
      <c r="I13" t="s">
        <v>182</v>
      </c>
      <c r="J13" s="2">
        <f>IF(COUNT('Turns'!D26)=1,SUM('Turns'!D26),"Unknown")</f>
        <v>3.0</v>
      </c>
      <c r="K13" s="2">
        <f>IF(COUNT('Turns'!E26)=1,SUM('Turns'!E26),"Unknown")</f>
        <v>5.23422e-07</v>
      </c>
      <c r="L13" s="2">
        <f>IF(COUNT('Turns'!F26)=1,SUM('Turns'!F26),"Unknown")</f>
        <v>6e-07</v>
      </c>
      <c r="M13" s="2">
        <f>IF(COUNT('Turns'!D25)=1,SUM('Turns'!D25),"Unknown")</f>
        <v>0.0</v>
      </c>
      <c r="N13" s="2">
        <f>IF(COUNT('Turns'!E25)=1,SUM('Turns'!E25),"Unknown")</f>
        <v>0.0</v>
      </c>
      <c r="O13" s="2">
        <f>IF(COUNT('Turns'!F25)=1,SUM('Turns'!F25),"Unknown")</f>
        <v>0.0</v>
      </c>
      <c r="P13" s="2">
        <f>IF(COUNT('Turns'!D28)=1,SUM('Turns'!D28),"Unknown")</f>
        <v>1085.0</v>
      </c>
      <c r="Q13" s="2">
        <f>IF(COUNT('Turns'!E28)=1,SUM('Turns'!E28),"Unknown")</f>
        <v>0.0002366303625</v>
      </c>
      <c r="R13" s="2">
        <f>IF(COUNT('Turns'!F28)=1,SUM('Turns'!F28),"Unknown")</f>
        <v>0.00027125</v>
      </c>
      <c r="S13" s="2">
        <f>IF(COUNT('Turns'!D32)=1,SUM('Turns'!D32),"Unknown")</f>
        <v>160.0</v>
      </c>
      <c r="T13" s="2">
        <f>IF(COUNT('Turns'!E32)=1,SUM('Turns'!E32),"Unknown")</f>
        <v>0.00016749504</v>
      </c>
      <c r="U13" s="2">
        <f>IF(COUNT('Turns'!F32)=1,SUM('Turns'!F32),"Unknown")</f>
        <v>0.000192</v>
      </c>
      <c r="V13" s="2">
        <f>IF(COUNT('Turns'!D31)=1,SUM('Turns'!D31),"Unknown")</f>
        <v>267.0</v>
      </c>
      <c r="W13" s="2">
        <f>IF(COUNT('Turns'!E31)=1,SUM('Turns'!E31),"Unknown")</f>
        <v>0.000279507348</v>
      </c>
      <c r="X13" s="2">
        <f>IF(COUNT('Turns'!F31)=1,SUM('Turns'!F31),"Unknown")</f>
        <v>0.0003204</v>
      </c>
      <c r="Y13" s="2">
        <f>IF(COUNT('Turns'!E36)=1,SUM('Turns'!E36),"Unknown")</f>
        <v>0.0006841561725</v>
      </c>
      <c r="Z13" s="2">
        <f>IF(COUNT('Turns'!F36)=1,SUM('Turns'!F36),"Unknown")</f>
        <v>0.00078425</v>
      </c>
      <c r="AA13" s="5">
        <f>IF(ISNUMBER(Y13),ROUND(Y13*'Reference data'!$B$2,0),"Unknown")</f>
        <v>68.0</v>
      </c>
      <c r="AB13" s="5">
        <f>IF(ISNUMBER(Z13),ROUND(Z13*'Reference data'!$B$2,0),"Unknown")</f>
        <v>78.0</v>
      </c>
      <c r="AC13" s="1" t="s">
        <v>121</v>
      </c>
      <c r="AD13" s="1">
        <v>7932.653</v>
      </c>
      <c r="AE13" s="1" t="s">
        <v>170</v>
      </c>
    </row>
    <row r="14" spans="1:31" ht="54" customHeight="1">
      <c r="A14" s="6" t="s">
        <v>171</v>
      </c>
      <c r="B14" s="1">
        <v>1</v>
      </c>
      <c r="C14" s="1" t="s">
        <v>157</v>
      </c>
      <c r="D14" s="1" t="s">
        <v>47</v>
      </c>
      <c r="E14" s="1" t="s">
        <v>183</v>
      </c>
      <c r="G14" s="6" t="s">
        <v>172</v>
      </c>
      <c r="H14" t="s">
        <v>184</v>
      </c>
      <c r="I14" t="s">
        <v>49</v>
      </c>
      <c r="AD14" s="1">
        <v>0.577</v>
      </c>
      <c r="AE14" s="1" t="s">
        <v>163</v>
      </c>
    </row>
    <row r="15" spans="1:31" ht="54" customHeight="1">
      <c r="A15" s="6" t="s">
        <v>156</v>
      </c>
      <c r="B15" s="1">
        <v>0</v>
      </c>
      <c r="C15" s="1" t="s">
        <v>157</v>
      </c>
      <c r="D15" s="1" t="s">
        <v>47</v>
      </c>
      <c r="E15" s="1" t="s">
        <v>111</v>
      </c>
      <c r="G15" s="6" t="s">
        <v>158</v>
      </c>
      <c r="H15" t="s">
        <v>185</v>
      </c>
      <c r="J15" s="2">
        <f>IF(COUNT('Turns'!D42,'Turns'!D58)=2,SUM('Turns'!D42,'Turns'!D58),"Unknown")</f>
        <v>6.0</v>
      </c>
      <c r="K15" s="2">
        <f>IF(COUNT('Turns'!E42,'Turns'!E58)=2,SUM('Turns'!E42,'Turns'!E58),"Unknown")</f>
        <v>1.046844e-06</v>
      </c>
      <c r="L15" s="2">
        <f>IF(COUNT('Turns'!F42,'Turns'!F58)=2,SUM('Turns'!F42,'Turns'!F58),"Unknown")</f>
        <v>1.2e-06</v>
      </c>
      <c r="M15" s="2">
        <f>IF(COUNT('Turns'!D41,'Turns'!D57)=2,SUM('Turns'!D41,'Turns'!D57),"Unknown")</f>
        <v>2623.0</v>
      </c>
      <c r="N15" s="2">
        <f>IF(COUNT('Turns'!E41,'Turns'!E57)=2,SUM('Turns'!E41,'Turns'!E57),"Unknown")</f>
        <v>4.57645302e-05</v>
      </c>
      <c r="O15" s="2">
        <f>IF(COUNT('Turns'!F41,'Turns'!F57)=2,SUM('Turns'!F41,'Turns'!F57),"Unknown")</f>
        <v>5.246e-05</v>
      </c>
      <c r="P15" s="2">
        <f>IF(COUNT('Turns'!D44,'Turns'!D60)=2,SUM('Turns'!D44,'Turns'!D60),"Unknown")</f>
        <v>589.0</v>
      </c>
      <c r="Q15" s="2">
        <f>IF(COUNT('Turns'!E44,'Turns'!E60)=2,SUM('Turns'!E44,'Turns'!E60),"Unknown")</f>
        <v>0.0001284564825</v>
      </c>
      <c r="R15" s="2">
        <f>IF(COUNT('Turns'!F44,'Turns'!F60)=2,SUM('Turns'!F44,'Turns'!F60),"Unknown")</f>
        <v>0.00014725</v>
      </c>
      <c r="S15" s="2">
        <f>IF(COUNT('Turns'!D48,'Turns'!D64)=2,SUM('Turns'!D48,'Turns'!D64),"Unknown")</f>
        <v>108.0</v>
      </c>
      <c r="T15" s="2">
        <f>IF(COUNT('Turns'!E48,'Turns'!E64)=2,SUM('Turns'!E48,'Turns'!E64),"Unknown")</f>
        <v>0.000113059152</v>
      </c>
      <c r="U15" s="2">
        <f>IF(COUNT('Turns'!F48,'Turns'!F64)=2,SUM('Turns'!F48,'Turns'!F64),"Unknown")</f>
        <v>0.0001296</v>
      </c>
      <c r="V15" s="2">
        <f>IF(COUNT('Turns'!D47,'Turns'!D63)=2,SUM('Turns'!D47,'Turns'!D63),"Unknown")</f>
        <v>219.0</v>
      </c>
      <c r="W15" s="2">
        <f>IF(COUNT('Turns'!E47,'Turns'!E63)=2,SUM('Turns'!E47,'Turns'!E63),"Unknown")</f>
        <v>0.000229258836</v>
      </c>
      <c r="X15" s="2">
        <f>IF(COUNT('Turns'!F47,'Turns'!F63)=2,SUM('Turns'!F47,'Turns'!F63),"Unknown")</f>
        <v>0.0002628</v>
      </c>
      <c r="Y15" s="2">
        <f>IF(COUNT('Turns'!E52,'Turns'!E68)=2,SUM('Turns'!E52,'Turns'!E68),"Unknown")</f>
        <v>0.0005175858447</v>
      </c>
      <c r="Z15" s="2">
        <f>IF(COUNT('Turns'!F52,'Turns'!F68)=2,SUM('Turns'!F52,'Turns'!F68),"Unknown")</f>
        <v>0.00059331</v>
      </c>
      <c r="AA15" s="5">
        <f>IF(ISNUMBER(Y15),ROUND(Y15*'Reference data'!$B$2,0),"Unknown")</f>
        <v>52.0</v>
      </c>
      <c r="AB15" s="5">
        <f>IF(ISNUMBER(Z15),ROUND(Z15*'Reference data'!$B$2,0),"Unknown")</f>
        <v>59.0</v>
      </c>
      <c r="AD15" s="1">
        <v>7610.67</v>
      </c>
      <c r="AE15" s="1" t="s">
        <v>159</v>
      </c>
    </row>
    <row r="16" spans="1:31" ht="54" customHeight="1">
      <c r="A16" s="6" t="s">
        <v>171</v>
      </c>
      <c r="B16" s="1">
        <v>1</v>
      </c>
      <c r="C16" s="1" t="s">
        <v>157</v>
      </c>
      <c r="D16" s="1" t="s">
        <v>47</v>
      </c>
      <c r="E16" s="1" t="s">
        <v>111</v>
      </c>
      <c r="G16" s="6" t="s">
        <v>172</v>
      </c>
      <c r="H16" t="s">
        <v>186</v>
      </c>
      <c r="I16" t="s">
        <v>185</v>
      </c>
      <c r="AD16" s="1">
        <v>0.704</v>
      </c>
      <c r="AE16" s="1" t="s">
        <v>163</v>
      </c>
    </row>
    <row r="17" spans="1:31" ht="54" customHeight="1">
      <c r="A17" s="6" t="s">
        <v>174</v>
      </c>
      <c r="B17" s="1">
        <v>1</v>
      </c>
      <c r="C17" s="1" t="s">
        <v>157</v>
      </c>
      <c r="D17" s="1" t="s">
        <v>47</v>
      </c>
      <c r="E17" s="1" t="s">
        <v>111</v>
      </c>
      <c r="G17" s="6" t="s">
        <v>175</v>
      </c>
      <c r="H17" t="s">
        <v>187</v>
      </c>
      <c r="I17" t="s">
        <v>185</v>
      </c>
      <c r="AD17" s="1">
        <v>4.354</v>
      </c>
      <c r="AE17" s="1" t="s">
        <v>163</v>
      </c>
    </row>
    <row r="18" spans="1:31" ht="54" customHeight="1">
      <c r="A18" s="6" t="s">
        <v>188</v>
      </c>
      <c r="B18" s="1">
        <v>2</v>
      </c>
      <c r="C18" s="1" t="s">
        <v>178</v>
      </c>
      <c r="D18" s="1" t="s">
        <v>47</v>
      </c>
      <c r="E18" s="1" t="s">
        <v>111</v>
      </c>
      <c r="G18" s="6" t="s">
        <v>189</v>
      </c>
      <c r="H18" t="s">
        <v>128</v>
      </c>
      <c r="I18" t="s">
        <v>187</v>
      </c>
      <c r="AD18" s="1">
        <v>1.554</v>
      </c>
      <c r="AE18" s="1" t="s">
        <v>163</v>
      </c>
    </row>
    <row r="19" spans="1:31" ht="54" customHeight="1">
      <c r="A19" s="6" t="s">
        <v>160</v>
      </c>
      <c r="B19" s="1">
        <v>1</v>
      </c>
      <c r="C19" s="1" t="s">
        <v>157</v>
      </c>
      <c r="D19" s="1" t="s">
        <v>47</v>
      </c>
      <c r="E19" s="1" t="s">
        <v>111</v>
      </c>
      <c r="G19" s="6" t="s">
        <v>161</v>
      </c>
      <c r="H19" t="s">
        <v>190</v>
      </c>
      <c r="I19" t="s">
        <v>185</v>
      </c>
      <c r="AD19" s="1">
        <v>0.673</v>
      </c>
      <c r="AE19" s="1" t="s">
        <v>163</v>
      </c>
    </row>
    <row r="20" spans="1:31" ht="54" customHeight="1">
      <c r="A20" s="6" t="s">
        <v>164</v>
      </c>
      <c r="B20" s="1">
        <v>1</v>
      </c>
      <c r="C20" s="1" t="s">
        <v>157</v>
      </c>
      <c r="D20" s="1" t="s">
        <v>47</v>
      </c>
      <c r="E20" s="1" t="s">
        <v>111</v>
      </c>
      <c r="G20" s="6" t="s">
        <v>165</v>
      </c>
      <c r="H20" t="s">
        <v>191</v>
      </c>
      <c r="I20" t="s">
        <v>185</v>
      </c>
      <c r="J20" s="2">
        <f>IF(COUNT('Turns'!D42)=1,SUM('Turns'!D42),"Unknown")</f>
        <v>3.0</v>
      </c>
      <c r="K20" s="2">
        <f>IF(COUNT('Turns'!E42)=1,SUM('Turns'!E42),"Unknown")</f>
        <v>5.23422e-07</v>
      </c>
      <c r="L20" s="2">
        <f>IF(COUNT('Turns'!F42)=1,SUM('Turns'!F42),"Unknown")</f>
        <v>6e-07</v>
      </c>
      <c r="M20" s="2">
        <f>IF(COUNT('Turns'!D41)=1,SUM('Turns'!D41),"Unknown")</f>
        <v>1085.0</v>
      </c>
      <c r="N20" s="2">
        <f>IF(COUNT('Turns'!E41)=1,SUM('Turns'!E41),"Unknown")</f>
        <v>1.8930429e-05</v>
      </c>
      <c r="O20" s="2">
        <f>IF(COUNT('Turns'!F41)=1,SUM('Turns'!F41),"Unknown")</f>
        <v>2.17e-05</v>
      </c>
      <c r="P20" s="2">
        <f>IF(COUNT('Turns'!D44)=1,SUM('Turns'!D44),"Unknown")</f>
        <v>453.0</v>
      </c>
      <c r="Q20" s="2">
        <f>IF(COUNT('Turns'!E44)=1,SUM('Turns'!E44),"Unknown")</f>
        <v>9.87959025e-05</v>
      </c>
      <c r="R20" s="2">
        <f>IF(COUNT('Turns'!F44)=1,SUM('Turns'!F44),"Unknown")</f>
        <v>0.00011325</v>
      </c>
      <c r="S20" s="2">
        <f>IF(COUNT('Turns'!D48)=1,SUM('Turns'!D48),"Unknown")</f>
        <v>31.0</v>
      </c>
      <c r="T20" s="2">
        <f>IF(COUNT('Turns'!E48)=1,SUM('Turns'!E48),"Unknown")</f>
        <v>3.2452164e-05</v>
      </c>
      <c r="U20" s="2">
        <f>IF(COUNT('Turns'!F48)=1,SUM('Turns'!F48),"Unknown")</f>
        <v>3.72e-05</v>
      </c>
      <c r="V20" s="2">
        <f>IF(COUNT('Turns'!D47)=1,SUM('Turns'!D47),"Unknown")</f>
        <v>28.0</v>
      </c>
      <c r="W20" s="2">
        <f>IF(COUNT('Turns'!E47)=1,SUM('Turns'!E47),"Unknown")</f>
        <v>2.9311632e-05</v>
      </c>
      <c r="X20" s="2">
        <f>IF(COUNT('Turns'!F47)=1,SUM('Turns'!F47),"Unknown")</f>
        <v>3.36e-05</v>
      </c>
      <c r="Y20" s="2">
        <f>IF(COUNT('Turns'!E52)=1,SUM('Turns'!E52),"Unknown")</f>
        <v>0.0001800135495</v>
      </c>
      <c r="Z20" s="2">
        <f>IF(COUNT('Turns'!F52)=1,SUM('Turns'!F52),"Unknown")</f>
        <v>0.00020635</v>
      </c>
      <c r="AA20" s="5">
        <f>IF(ISNUMBER(Y20),ROUND(Y20*'Reference data'!$B$2,0),"Unknown")</f>
        <v>18.0</v>
      </c>
      <c r="AB20" s="5">
        <f>IF(ISNUMBER(Z20),ROUND(Z20*'Reference data'!$B$2,0),"Unknown")</f>
        <v>21.0</v>
      </c>
      <c r="AD20" s="1">
        <v>1814.838</v>
      </c>
      <c r="AE20" s="1" t="s">
        <v>159</v>
      </c>
    </row>
    <row r="21" spans="1:31" ht="54" customHeight="1">
      <c r="A21" s="6" t="s">
        <v>167</v>
      </c>
      <c r="B21" s="1">
        <v>2</v>
      </c>
      <c r="C21" s="1" t="s">
        <v>168</v>
      </c>
      <c r="D21" s="1" t="s">
        <v>95</v>
      </c>
      <c r="E21" s="1" t="s">
        <v>111</v>
      </c>
      <c r="F21" s="1">
        <v>1541</v>
      </c>
      <c r="G21" s="6" t="s">
        <v>169</v>
      </c>
      <c r="H21" t="s">
        <v>132</v>
      </c>
      <c r="I21" t="s">
        <v>191</v>
      </c>
      <c r="J21" s="2">
        <f>IF(COUNT('Turns'!D42)=1,SUM('Turns'!D42),"Unknown")</f>
        <v>3.0</v>
      </c>
      <c r="K21" s="2">
        <f>IF(COUNT('Turns'!E42)=1,SUM('Turns'!E42),"Unknown")</f>
        <v>5.23422e-07</v>
      </c>
      <c r="L21" s="2">
        <f>IF(COUNT('Turns'!F42)=1,SUM('Turns'!F42),"Unknown")</f>
        <v>6e-07</v>
      </c>
      <c r="M21" s="2">
        <f>IF(COUNT('Turns'!D41)=1,SUM('Turns'!D41),"Unknown")</f>
        <v>1085.0</v>
      </c>
      <c r="N21" s="2">
        <f>IF(COUNT('Turns'!E41)=1,SUM('Turns'!E41),"Unknown")</f>
        <v>1.8930429e-05</v>
      </c>
      <c r="O21" s="2">
        <f>IF(COUNT('Turns'!F41)=1,SUM('Turns'!F41),"Unknown")</f>
        <v>2.17e-05</v>
      </c>
      <c r="P21" s="2">
        <f>IF(COUNT('Turns'!D44)=1,SUM('Turns'!D44),"Unknown")</f>
        <v>453.0</v>
      </c>
      <c r="Q21" s="2">
        <f>IF(COUNT('Turns'!E44)=1,SUM('Turns'!E44),"Unknown")</f>
        <v>9.87959025e-05</v>
      </c>
      <c r="R21" s="2">
        <f>IF(COUNT('Turns'!F44)=1,SUM('Turns'!F44),"Unknown")</f>
        <v>0.00011325</v>
      </c>
      <c r="S21" s="2">
        <f>IF(COUNT('Turns'!D48)=1,SUM('Turns'!D48),"Unknown")</f>
        <v>31.0</v>
      </c>
      <c r="T21" s="2">
        <f>IF(COUNT('Turns'!E48)=1,SUM('Turns'!E48),"Unknown")</f>
        <v>3.2452164e-05</v>
      </c>
      <c r="U21" s="2">
        <f>IF(COUNT('Turns'!F48)=1,SUM('Turns'!F48),"Unknown")</f>
        <v>3.72e-05</v>
      </c>
      <c r="V21" s="2">
        <f>IF(COUNT('Turns'!D47)=1,SUM('Turns'!D47),"Unknown")</f>
        <v>28.0</v>
      </c>
      <c r="W21" s="2">
        <f>IF(COUNT('Turns'!E47)=1,SUM('Turns'!E47),"Unknown")</f>
        <v>2.9311632e-05</v>
      </c>
      <c r="X21" s="2">
        <f>IF(COUNT('Turns'!F47)=1,SUM('Turns'!F47),"Unknown")</f>
        <v>3.36e-05</v>
      </c>
      <c r="Y21" s="2">
        <f>IF(COUNT('Turns'!E52)=1,SUM('Turns'!E52),"Unknown")</f>
        <v>0.0001800135495</v>
      </c>
      <c r="Z21" s="2">
        <f>IF(COUNT('Turns'!F52)=1,SUM('Turns'!F52),"Unknown")</f>
        <v>0.00020635</v>
      </c>
      <c r="AA21" s="5">
        <f>IF(ISNUMBER(Y21),ROUND(Y21*'Reference data'!$B$2,0),"Unknown")</f>
        <v>18.0</v>
      </c>
      <c r="AB21" s="5">
        <f>IF(ISNUMBER(Z21),ROUND(Z21*'Reference data'!$B$2,0),"Unknown")</f>
        <v>21.0</v>
      </c>
      <c r="AC21" s="1" t="s">
        <v>131</v>
      </c>
      <c r="AD21" s="1">
        <v>1812.529</v>
      </c>
      <c r="AE21" s="1" t="s">
        <v>170</v>
      </c>
    </row>
    <row r="22" spans="1:31" ht="54" customHeight="1">
      <c r="A22" s="6" t="s">
        <v>171</v>
      </c>
      <c r="B22" s="1">
        <v>1</v>
      </c>
      <c r="C22" s="1" t="s">
        <v>157</v>
      </c>
      <c r="D22" s="1" t="s">
        <v>47</v>
      </c>
      <c r="E22" s="1" t="s">
        <v>111</v>
      </c>
      <c r="G22" s="6" t="s">
        <v>172</v>
      </c>
      <c r="H22" t="s">
        <v>192</v>
      </c>
      <c r="I22" t="s">
        <v>185</v>
      </c>
      <c r="AD22" s="1">
        <v>0.36</v>
      </c>
      <c r="AE22" s="1" t="s">
        <v>163</v>
      </c>
    </row>
    <row r="23" spans="1:31" ht="54" customHeight="1">
      <c r="A23" s="6" t="s">
        <v>174</v>
      </c>
      <c r="B23" s="1">
        <v>1</v>
      </c>
      <c r="C23" s="1" t="s">
        <v>157</v>
      </c>
      <c r="D23" s="1" t="s">
        <v>47</v>
      </c>
      <c r="E23" s="1" t="s">
        <v>111</v>
      </c>
      <c r="G23" s="6" t="s">
        <v>175</v>
      </c>
      <c r="H23" t="s">
        <v>193</v>
      </c>
      <c r="I23" t="s">
        <v>185</v>
      </c>
      <c r="AD23" s="1">
        <v>4.091</v>
      </c>
      <c r="AE23" s="1" t="s">
        <v>163</v>
      </c>
    </row>
    <row r="24" spans="1:31" ht="54" customHeight="1">
      <c r="A24" s="6" t="s">
        <v>177</v>
      </c>
      <c r="B24" s="1">
        <v>2</v>
      </c>
      <c r="C24" s="1" t="s">
        <v>178</v>
      </c>
      <c r="D24" s="1" t="s">
        <v>47</v>
      </c>
      <c r="E24" s="1" t="s">
        <v>111</v>
      </c>
      <c r="G24" s="6" t="s">
        <v>179</v>
      </c>
      <c r="H24" t="s">
        <v>134</v>
      </c>
      <c r="I24" t="s">
        <v>193</v>
      </c>
      <c r="AD24" s="1">
        <v>1.111</v>
      </c>
      <c r="AE24" s="1" t="s">
        <v>163</v>
      </c>
    </row>
    <row r="25" spans="1:31" ht="54" customHeight="1">
      <c r="A25" s="6" t="s">
        <v>160</v>
      </c>
      <c r="B25" s="1">
        <v>1</v>
      </c>
      <c r="C25" s="1" t="s">
        <v>157</v>
      </c>
      <c r="D25" s="1" t="s">
        <v>47</v>
      </c>
      <c r="E25" s="1" t="s">
        <v>111</v>
      </c>
      <c r="G25" s="6" t="s">
        <v>161</v>
      </c>
      <c r="H25" t="s">
        <v>194</v>
      </c>
      <c r="I25" t="s">
        <v>185</v>
      </c>
      <c r="AD25" s="1">
        <v>0.32</v>
      </c>
      <c r="AE25" s="1" t="s">
        <v>163</v>
      </c>
    </row>
    <row r="26" spans="1:31" ht="54" customHeight="1">
      <c r="A26" s="6" t="s">
        <v>164</v>
      </c>
      <c r="B26" s="1">
        <v>1</v>
      </c>
      <c r="C26" s="1" t="s">
        <v>157</v>
      </c>
      <c r="D26" s="1" t="s">
        <v>47</v>
      </c>
      <c r="E26" s="1" t="s">
        <v>111</v>
      </c>
      <c r="G26" s="6" t="s">
        <v>165</v>
      </c>
      <c r="H26" t="s">
        <v>195</v>
      </c>
      <c r="I26" t="s">
        <v>185</v>
      </c>
      <c r="J26" s="2">
        <f>IF(COUNT('Turns'!D58)=1,SUM('Turns'!D58),"Unknown")</f>
        <v>3.0</v>
      </c>
      <c r="K26" s="2">
        <f>IF(COUNT('Turns'!E58)=1,SUM('Turns'!E58),"Unknown")</f>
        <v>5.23422e-07</v>
      </c>
      <c r="L26" s="2">
        <f>IF(COUNT('Turns'!F58)=1,SUM('Turns'!F58),"Unknown")</f>
        <v>6e-07</v>
      </c>
      <c r="M26" s="2">
        <f>IF(COUNT('Turns'!D57)=1,SUM('Turns'!D57),"Unknown")</f>
        <v>1538.0</v>
      </c>
      <c r="N26" s="2">
        <f>IF(COUNT('Turns'!E57)=1,SUM('Turns'!E57),"Unknown")</f>
        <v>2.68341012e-05</v>
      </c>
      <c r="O26" s="2">
        <f>IF(COUNT('Turns'!F57)=1,SUM('Turns'!F57),"Unknown")</f>
        <v>3.076e-05</v>
      </c>
      <c r="P26" s="2">
        <f>IF(COUNT('Turns'!D60)=1,SUM('Turns'!D60),"Unknown")</f>
        <v>136.0</v>
      </c>
      <c r="Q26" s="2">
        <f>IF(COUNT('Turns'!E60)=1,SUM('Turns'!E60),"Unknown")</f>
        <v>2.966058e-05</v>
      </c>
      <c r="R26" s="2">
        <f>IF(COUNT('Turns'!F60)=1,SUM('Turns'!F60),"Unknown")</f>
        <v>3.4e-05</v>
      </c>
      <c r="S26" s="2">
        <f>IF(COUNT('Turns'!D64)=1,SUM('Turns'!D64),"Unknown")</f>
        <v>77.0</v>
      </c>
      <c r="T26" s="2">
        <f>IF(COUNT('Turns'!E64)=1,SUM('Turns'!E64),"Unknown")</f>
        <v>8.0606988e-05</v>
      </c>
      <c r="U26" s="2">
        <f>IF(COUNT('Turns'!F64)=1,SUM('Turns'!F64),"Unknown")</f>
        <v>9.24e-05</v>
      </c>
      <c r="V26" s="2">
        <f>IF(COUNT('Turns'!D63)=1,SUM('Turns'!D63),"Unknown")</f>
        <v>191.0</v>
      </c>
      <c r="W26" s="2">
        <f>IF(COUNT('Turns'!E63)=1,SUM('Turns'!E63),"Unknown")</f>
        <v>0.000199947204</v>
      </c>
      <c r="X26" s="2">
        <f>IF(COUNT('Turns'!F63)=1,SUM('Turns'!F63),"Unknown")</f>
        <v>0.0002292</v>
      </c>
      <c r="Y26" s="2">
        <f>IF(COUNT('Turns'!E68)=1,SUM('Turns'!E68),"Unknown")</f>
        <v>0.0003375722952</v>
      </c>
      <c r="Z26" s="2">
        <f>IF(COUNT('Turns'!F68)=1,SUM('Turns'!F68),"Unknown")</f>
        <v>0.00038696</v>
      </c>
      <c r="AA26" s="5">
        <f>IF(ISNUMBER(Y26),ROUND(Y26*'Reference data'!$B$2,0),"Unknown")</f>
        <v>34.0</v>
      </c>
      <c r="AB26" s="5">
        <f>IF(ISNUMBER(Z26),ROUND(Z26*'Reference data'!$B$2,0),"Unknown")</f>
        <v>39.0</v>
      </c>
      <c r="AD26" s="1">
        <v>5774.887</v>
      </c>
      <c r="AE26" s="1" t="s">
        <v>159</v>
      </c>
    </row>
    <row r="27" spans="1:31" ht="54" customHeight="1">
      <c r="A27" s="6" t="s">
        <v>167</v>
      </c>
      <c r="B27" s="1">
        <v>2</v>
      </c>
      <c r="C27" s="1" t="s">
        <v>168</v>
      </c>
      <c r="D27" s="1" t="s">
        <v>95</v>
      </c>
      <c r="E27" s="1" t="s">
        <v>111</v>
      </c>
      <c r="F27" s="1">
        <v>1677</v>
      </c>
      <c r="G27" s="6" t="s">
        <v>169</v>
      </c>
      <c r="H27" t="s">
        <v>137</v>
      </c>
      <c r="I27" t="s">
        <v>195</v>
      </c>
      <c r="J27" s="2">
        <f>IF(COUNT('Turns'!D58)=1,SUM('Turns'!D58),"Unknown")</f>
        <v>3.0</v>
      </c>
      <c r="K27" s="2">
        <f>IF(COUNT('Turns'!E58)=1,SUM('Turns'!E58),"Unknown")</f>
        <v>5.23422e-07</v>
      </c>
      <c r="L27" s="2">
        <f>IF(COUNT('Turns'!F58)=1,SUM('Turns'!F58),"Unknown")</f>
        <v>6e-07</v>
      </c>
      <c r="M27" s="2">
        <f>IF(COUNT('Turns'!D57)=1,SUM('Turns'!D57),"Unknown")</f>
        <v>1538.0</v>
      </c>
      <c r="N27" s="2">
        <f>IF(COUNT('Turns'!E57)=1,SUM('Turns'!E57),"Unknown")</f>
        <v>2.68341012e-05</v>
      </c>
      <c r="O27" s="2">
        <f>IF(COUNT('Turns'!F57)=1,SUM('Turns'!F57),"Unknown")</f>
        <v>3.076e-05</v>
      </c>
      <c r="P27" s="2">
        <f>IF(COUNT('Turns'!D60)=1,SUM('Turns'!D60),"Unknown")</f>
        <v>136.0</v>
      </c>
      <c r="Q27" s="2">
        <f>IF(COUNT('Turns'!E60)=1,SUM('Turns'!E60),"Unknown")</f>
        <v>2.966058e-05</v>
      </c>
      <c r="R27" s="2">
        <f>IF(COUNT('Turns'!F60)=1,SUM('Turns'!F60),"Unknown")</f>
        <v>3.4e-05</v>
      </c>
      <c r="S27" s="2">
        <f>IF(COUNT('Turns'!D64)=1,SUM('Turns'!D64),"Unknown")</f>
        <v>77.0</v>
      </c>
      <c r="T27" s="2">
        <f>IF(COUNT('Turns'!E64)=1,SUM('Turns'!E64),"Unknown")</f>
        <v>8.0606988e-05</v>
      </c>
      <c r="U27" s="2">
        <f>IF(COUNT('Turns'!F64)=1,SUM('Turns'!F64),"Unknown")</f>
        <v>9.24e-05</v>
      </c>
      <c r="V27" s="2">
        <f>IF(COUNT('Turns'!D63)=1,SUM('Turns'!D63),"Unknown")</f>
        <v>191.0</v>
      </c>
      <c r="W27" s="2">
        <f>IF(COUNT('Turns'!E63)=1,SUM('Turns'!E63),"Unknown")</f>
        <v>0.000199947204</v>
      </c>
      <c r="X27" s="2">
        <f>IF(COUNT('Turns'!F63)=1,SUM('Turns'!F63),"Unknown")</f>
        <v>0.0002292</v>
      </c>
      <c r="Y27" s="2">
        <f>IF(COUNT('Turns'!E68)=1,SUM('Turns'!E68),"Unknown")</f>
        <v>0.0003375722952</v>
      </c>
      <c r="Z27" s="2">
        <f>IF(COUNT('Turns'!F68)=1,SUM('Turns'!F68),"Unknown")</f>
        <v>0.00038696</v>
      </c>
      <c r="AA27" s="5">
        <f>IF(ISNUMBER(Y27),ROUND(Y27*'Reference data'!$B$2,0),"Unknown")</f>
        <v>34.0</v>
      </c>
      <c r="AB27" s="5">
        <f>IF(ISNUMBER(Z27),ROUND(Z27*'Reference data'!$B$2,0),"Unknown")</f>
        <v>39.0</v>
      </c>
      <c r="AC27" s="1" t="s">
        <v>136</v>
      </c>
      <c r="AD27" s="1">
        <v>5772.727</v>
      </c>
      <c r="AE27" s="1" t="s">
        <v>170</v>
      </c>
    </row>
    <row r="28" spans="1:31" ht="54" customHeight="1">
      <c r="A28" s="6" t="s">
        <v>171</v>
      </c>
      <c r="B28" s="1">
        <v>1</v>
      </c>
      <c r="C28" s="1" t="s">
        <v>157</v>
      </c>
      <c r="D28" s="1" t="s">
        <v>47</v>
      </c>
      <c r="E28" s="1" t="s">
        <v>183</v>
      </c>
      <c r="G28" s="6" t="s">
        <v>172</v>
      </c>
      <c r="H28" t="s">
        <v>196</v>
      </c>
      <c r="I28" t="s">
        <v>185</v>
      </c>
      <c r="AD28" s="1">
        <v>0.599</v>
      </c>
      <c r="AE28" s="1" t="s">
        <v>163</v>
      </c>
    </row>
    <row r="29" spans="1:31" ht="54" customHeight="1">
      <c r="A29" s="6" t="s">
        <v>156</v>
      </c>
      <c r="B29" s="1">
        <v>0</v>
      </c>
      <c r="C29" s="1" t="s">
        <v>157</v>
      </c>
      <c r="D29" s="1" t="s">
        <v>47</v>
      </c>
      <c r="E29" s="1" t="s">
        <v>111</v>
      </c>
      <c r="G29" s="6" t="s">
        <v>158</v>
      </c>
      <c r="H29" t="s">
        <v>197</v>
      </c>
      <c r="J29" s="2">
        <f>IF(COUNT('Turns'!D74)=1,SUM('Turns'!D74),"Unknown")</f>
        <v>3.0</v>
      </c>
      <c r="K29" s="2">
        <f>IF(COUNT('Turns'!E74)=1,SUM('Turns'!E74),"Unknown")</f>
        <v>5.23422e-07</v>
      </c>
      <c r="L29" s="2">
        <f>IF(COUNT('Turns'!F74)=1,SUM('Turns'!F74),"Unknown")</f>
        <v>6e-07</v>
      </c>
      <c r="M29" s="2">
        <f>IF(COUNT('Turns'!D73)=1,SUM('Turns'!D73),"Unknown")</f>
        <v>1674.0</v>
      </c>
      <c r="N29" s="2">
        <f>IF(COUNT('Turns'!E73)=1,SUM('Turns'!E73),"Unknown")</f>
        <v>2.92069476e-05</v>
      </c>
      <c r="O29" s="2">
        <f>IF(COUNT('Turns'!F73)=1,SUM('Turns'!F73),"Unknown")</f>
        <v>3.348e-05</v>
      </c>
      <c r="P29" s="2">
        <f>IF(COUNT('Turns'!D76)=1,SUM('Turns'!D76),"Unknown")</f>
        <v>323.0</v>
      </c>
      <c r="Q29" s="2">
        <f>IF(COUNT('Turns'!E76)=1,SUM('Turns'!E76),"Unknown")</f>
        <v>7.04438775e-05</v>
      </c>
      <c r="R29" s="2">
        <f>IF(COUNT('Turns'!F76)=1,SUM('Turns'!F76),"Unknown")</f>
        <v>8.075e-05</v>
      </c>
      <c r="S29" s="2">
        <f>IF(COUNT('Turns'!D80)=1,SUM('Turns'!D80),"Unknown")</f>
        <v>179.0</v>
      </c>
      <c r="T29" s="2">
        <f>IF(COUNT('Turns'!E80)=1,SUM('Turns'!E80),"Unknown")</f>
        <v>0.000187385076</v>
      </c>
      <c r="U29" s="2">
        <f>IF(COUNT('Turns'!F80)=1,SUM('Turns'!F80),"Unknown")</f>
        <v>0.0002148</v>
      </c>
      <c r="V29" s="2">
        <f>IF(COUNT('Turns'!D79)=1,SUM('Turns'!D79),"Unknown")</f>
        <v>102.0</v>
      </c>
      <c r="W29" s="2">
        <f>IF(COUNT('Turns'!E79)=1,SUM('Turns'!E79),"Unknown")</f>
        <v>0.000106778088</v>
      </c>
      <c r="X29" s="2">
        <f>IF(COUNT('Turns'!F79)=1,SUM('Turns'!F79),"Unknown")</f>
        <v>0.0001224</v>
      </c>
      <c r="Y29" s="2">
        <f>IF(COUNT('Turns'!E84)=1,SUM('Turns'!E84),"Unknown")</f>
        <v>0.0003943374111</v>
      </c>
      <c r="Z29" s="2">
        <f>IF(COUNT('Turns'!F84)=1,SUM('Turns'!F84),"Unknown")</f>
        <v>0.00045203</v>
      </c>
      <c r="AA29" s="5">
        <f>IF(ISNUMBER(Y29),ROUND(Y29*'Reference data'!$B$2,0),"Unknown")</f>
        <v>39.0</v>
      </c>
      <c r="AB29" s="5">
        <f>IF(ISNUMBER(Z29),ROUND(Z29*'Reference data'!$B$2,0),"Unknown")</f>
        <v>45.0</v>
      </c>
      <c r="AD29" s="1">
        <v>4446.082</v>
      </c>
      <c r="AE29" s="1" t="s">
        <v>159</v>
      </c>
    </row>
    <row r="30" spans="1:31" ht="54" customHeight="1">
      <c r="A30" s="6" t="s">
        <v>171</v>
      </c>
      <c r="B30" s="1">
        <v>1</v>
      </c>
      <c r="C30" s="1" t="s">
        <v>157</v>
      </c>
      <c r="D30" s="1" t="s">
        <v>47</v>
      </c>
      <c r="E30" s="1" t="s">
        <v>111</v>
      </c>
      <c r="G30" s="6" t="s">
        <v>172</v>
      </c>
      <c r="H30" t="s">
        <v>198</v>
      </c>
      <c r="I30" t="s">
        <v>197</v>
      </c>
      <c r="AD30" s="1">
        <v>0.395</v>
      </c>
      <c r="AE30" s="1" t="s">
        <v>163</v>
      </c>
    </row>
    <row r="31" spans="1:31" ht="54" customHeight="1">
      <c r="A31" s="6" t="s">
        <v>174</v>
      </c>
      <c r="B31" s="1">
        <v>1</v>
      </c>
      <c r="C31" s="1" t="s">
        <v>157</v>
      </c>
      <c r="D31" s="1" t="s">
        <v>47</v>
      </c>
      <c r="E31" s="1" t="s">
        <v>111</v>
      </c>
      <c r="G31" s="6" t="s">
        <v>175</v>
      </c>
      <c r="H31" t="s">
        <v>199</v>
      </c>
      <c r="I31" t="s">
        <v>197</v>
      </c>
      <c r="AD31" s="1">
        <v>3.047</v>
      </c>
      <c r="AE31" s="1" t="s">
        <v>163</v>
      </c>
    </row>
    <row r="32" spans="1:31" ht="54" customHeight="1">
      <c r="A32" s="6" t="s">
        <v>188</v>
      </c>
      <c r="B32" s="1">
        <v>2</v>
      </c>
      <c r="C32" s="1" t="s">
        <v>178</v>
      </c>
      <c r="D32" s="1" t="s">
        <v>47</v>
      </c>
      <c r="E32" s="1" t="s">
        <v>139</v>
      </c>
      <c r="G32" s="6" t="s">
        <v>189</v>
      </c>
      <c r="H32" t="s">
        <v>140</v>
      </c>
      <c r="I32" t="s">
        <v>199</v>
      </c>
      <c r="AD32" s="1">
        <v>0.93</v>
      </c>
      <c r="AE32" s="1" t="s">
        <v>163</v>
      </c>
    </row>
    <row r="33" spans="1:31" ht="54" customHeight="1">
      <c r="A33" s="6" t="s">
        <v>160</v>
      </c>
      <c r="B33" s="1">
        <v>1</v>
      </c>
      <c r="C33" s="1" t="s">
        <v>157</v>
      </c>
      <c r="D33" s="1" t="s">
        <v>47</v>
      </c>
      <c r="E33" s="1" t="s">
        <v>111</v>
      </c>
      <c r="G33" s="6" t="s">
        <v>161</v>
      </c>
      <c r="H33" t="s">
        <v>200</v>
      </c>
      <c r="I33" t="s">
        <v>197</v>
      </c>
      <c r="AD33" s="1">
        <v>0.297</v>
      </c>
      <c r="AE33" s="1" t="s">
        <v>163</v>
      </c>
    </row>
    <row r="34" spans="1:31" ht="54" customHeight="1">
      <c r="A34" s="6" t="s">
        <v>164</v>
      </c>
      <c r="B34" s="1">
        <v>1</v>
      </c>
      <c r="C34" s="1" t="s">
        <v>157</v>
      </c>
      <c r="D34" s="1" t="s">
        <v>47</v>
      </c>
      <c r="E34" s="1" t="s">
        <v>111</v>
      </c>
      <c r="G34" s="6" t="s">
        <v>165</v>
      </c>
      <c r="H34" t="s">
        <v>201</v>
      </c>
      <c r="I34" t="s">
        <v>197</v>
      </c>
      <c r="J34" s="2">
        <f>IF(COUNT('Turns'!D74)=1,SUM('Turns'!D74),"Unknown")</f>
        <v>3.0</v>
      </c>
      <c r="K34" s="2">
        <f>IF(COUNT('Turns'!E74)=1,SUM('Turns'!E74),"Unknown")</f>
        <v>5.23422e-07</v>
      </c>
      <c r="L34" s="2">
        <f>IF(COUNT('Turns'!F74)=1,SUM('Turns'!F74),"Unknown")</f>
        <v>6e-07</v>
      </c>
      <c r="M34" s="2">
        <f>IF(COUNT('Turns'!D73)=1,SUM('Turns'!D73),"Unknown")</f>
        <v>1674.0</v>
      </c>
      <c r="N34" s="2">
        <f>IF(COUNT('Turns'!E73)=1,SUM('Turns'!E73),"Unknown")</f>
        <v>2.92069476e-05</v>
      </c>
      <c r="O34" s="2">
        <f>IF(COUNT('Turns'!F73)=1,SUM('Turns'!F73),"Unknown")</f>
        <v>3.348e-05</v>
      </c>
      <c r="P34" s="2">
        <f>IF(COUNT('Turns'!D76)=1,SUM('Turns'!D76),"Unknown")</f>
        <v>323.0</v>
      </c>
      <c r="Q34" s="2">
        <f>IF(COUNT('Turns'!E76)=1,SUM('Turns'!E76),"Unknown")</f>
        <v>7.04438775e-05</v>
      </c>
      <c r="R34" s="2">
        <f>IF(COUNT('Turns'!F76)=1,SUM('Turns'!F76),"Unknown")</f>
        <v>8.075e-05</v>
      </c>
      <c r="S34" s="2">
        <f>IF(COUNT('Turns'!D80)=1,SUM('Turns'!D80),"Unknown")</f>
        <v>179.0</v>
      </c>
      <c r="T34" s="2">
        <f>IF(COUNT('Turns'!E80)=1,SUM('Turns'!E80),"Unknown")</f>
        <v>0.000187385076</v>
      </c>
      <c r="U34" s="2">
        <f>IF(COUNT('Turns'!F80)=1,SUM('Turns'!F80),"Unknown")</f>
        <v>0.0002148</v>
      </c>
      <c r="V34" s="2">
        <f>IF(COUNT('Turns'!D79)=1,SUM('Turns'!D79),"Unknown")</f>
        <v>102.0</v>
      </c>
      <c r="W34" s="2">
        <f>IF(COUNT('Turns'!E79)=1,SUM('Turns'!E79),"Unknown")</f>
        <v>0.000106778088</v>
      </c>
      <c r="X34" s="2">
        <f>IF(COUNT('Turns'!F79)=1,SUM('Turns'!F79),"Unknown")</f>
        <v>0.0001224</v>
      </c>
      <c r="Y34" s="2">
        <f>IF(COUNT('Turns'!E84)=1,SUM('Turns'!E84),"Unknown")</f>
        <v>0.0003943374111</v>
      </c>
      <c r="Z34" s="2">
        <f>IF(COUNT('Turns'!F84)=1,SUM('Turns'!F84),"Unknown")</f>
        <v>0.00045203</v>
      </c>
      <c r="AA34" s="5">
        <f>IF(ISNUMBER(Y34),ROUND(Y34*'Reference data'!$B$2,0),"Unknown")</f>
        <v>39.0</v>
      </c>
      <c r="AB34" s="5">
        <f>IF(ISNUMBER(Z34),ROUND(Z34*'Reference data'!$B$2,0),"Unknown")</f>
        <v>45.0</v>
      </c>
      <c r="AD34" s="1">
        <v>4437.396</v>
      </c>
      <c r="AE34" s="1" t="s">
        <v>159</v>
      </c>
    </row>
    <row r="35" spans="1:31" ht="54" customHeight="1">
      <c r="A35" s="6" t="s">
        <v>167</v>
      </c>
      <c r="B35" s="1">
        <v>2</v>
      </c>
      <c r="C35" s="1" t="s">
        <v>168</v>
      </c>
      <c r="D35" s="1" t="s">
        <v>95</v>
      </c>
      <c r="E35" s="1" t="s">
        <v>111</v>
      </c>
      <c r="F35" s="1">
        <v>2000</v>
      </c>
      <c r="G35" s="6" t="s">
        <v>169</v>
      </c>
      <c r="H35" t="s">
        <v>144</v>
      </c>
      <c r="I35" t="s">
        <v>201</v>
      </c>
      <c r="J35" s="2">
        <f>IF(COUNT('Turns'!D74)=1,SUM('Turns'!D74),"Unknown")</f>
        <v>3.0</v>
      </c>
      <c r="K35" s="2">
        <f>IF(COUNT('Turns'!E74)=1,SUM('Turns'!E74),"Unknown")</f>
        <v>5.23422e-07</v>
      </c>
      <c r="L35" s="2">
        <f>IF(COUNT('Turns'!F74)=1,SUM('Turns'!F74),"Unknown")</f>
        <v>6e-07</v>
      </c>
      <c r="M35" s="2">
        <f>IF(COUNT('Turns'!D73)=1,SUM('Turns'!D73),"Unknown")</f>
        <v>1674.0</v>
      </c>
      <c r="N35" s="2">
        <f>IF(COUNT('Turns'!E73)=1,SUM('Turns'!E73),"Unknown")</f>
        <v>2.92069476e-05</v>
      </c>
      <c r="O35" s="2">
        <f>IF(COUNT('Turns'!F73)=1,SUM('Turns'!F73),"Unknown")</f>
        <v>3.348e-05</v>
      </c>
      <c r="P35" s="2">
        <f>IF(COUNT('Turns'!D76)=1,SUM('Turns'!D76),"Unknown")</f>
        <v>323.0</v>
      </c>
      <c r="Q35" s="2">
        <f>IF(COUNT('Turns'!E76)=1,SUM('Turns'!E76),"Unknown")</f>
        <v>7.04438775e-05</v>
      </c>
      <c r="R35" s="2">
        <f>IF(COUNT('Turns'!F76)=1,SUM('Turns'!F76),"Unknown")</f>
        <v>8.075e-05</v>
      </c>
      <c r="S35" s="2">
        <f>IF(COUNT('Turns'!D80)=1,SUM('Turns'!D80),"Unknown")</f>
        <v>179.0</v>
      </c>
      <c r="T35" s="2">
        <f>IF(COUNT('Turns'!E80)=1,SUM('Turns'!E80),"Unknown")</f>
        <v>0.000187385076</v>
      </c>
      <c r="U35" s="2">
        <f>IF(COUNT('Turns'!F80)=1,SUM('Turns'!F80),"Unknown")</f>
        <v>0.0002148</v>
      </c>
      <c r="V35" s="2">
        <f>IF(COUNT('Turns'!D79)=1,SUM('Turns'!D79),"Unknown")</f>
        <v>102.0</v>
      </c>
      <c r="W35" s="2">
        <f>IF(COUNT('Turns'!E79)=1,SUM('Turns'!E79),"Unknown")</f>
        <v>0.000106778088</v>
      </c>
      <c r="X35" s="2">
        <f>IF(COUNT('Turns'!F79)=1,SUM('Turns'!F79),"Unknown")</f>
        <v>0.0001224</v>
      </c>
      <c r="Y35" s="2">
        <f>IF(COUNT('Turns'!E84)=1,SUM('Turns'!E84),"Unknown")</f>
        <v>0.0003943374111</v>
      </c>
      <c r="Z35" s="2">
        <f>IF(COUNT('Turns'!F84)=1,SUM('Turns'!F84),"Unknown")</f>
        <v>0.00045203</v>
      </c>
      <c r="AA35" s="5">
        <f>IF(ISNUMBER(Y35),ROUND(Y35*'Reference data'!$B$2,0),"Unknown")</f>
        <v>39.0</v>
      </c>
      <c r="AB35" s="5">
        <f>IF(ISNUMBER(Z35),ROUND(Z35*'Reference data'!$B$2,0),"Unknown")</f>
        <v>45.0</v>
      </c>
      <c r="AC35" s="1" t="s">
        <v>143</v>
      </c>
      <c r="AD35" s="1">
        <v>4435.348</v>
      </c>
      <c r="AE35" s="1" t="s">
        <v>170</v>
      </c>
    </row>
    <row r="36" spans="1:31" ht="54" customHeight="1">
      <c r="A36" s="6" t="s">
        <v>171</v>
      </c>
      <c r="B36" s="1">
        <v>1</v>
      </c>
      <c r="C36" s="1" t="s">
        <v>157</v>
      </c>
      <c r="D36" s="1" t="s">
        <v>47</v>
      </c>
      <c r="E36" s="1" t="s">
        <v>183</v>
      </c>
      <c r="G36" s="6" t="s">
        <v>172</v>
      </c>
      <c r="H36" t="s">
        <v>202</v>
      </c>
      <c r="I36" t="s">
        <v>197</v>
      </c>
      <c r="AD36" s="1">
        <v>0.344</v>
      </c>
      <c r="AE36" s="1" t="s">
        <v>163</v>
      </c>
    </row>
    <row r="37" spans="1:31" ht="54" customHeight="1">
      <c r="A37" s="6" t="s">
        <v>156</v>
      </c>
      <c r="B37" s="1">
        <v>0</v>
      </c>
      <c r="C37" s="1" t="s">
        <v>157</v>
      </c>
      <c r="D37" s="1" t="s">
        <v>47</v>
      </c>
      <c r="E37" s="1" t="s">
        <v>111</v>
      </c>
      <c r="G37" s="6" t="s">
        <v>158</v>
      </c>
      <c r="H37" t="s">
        <v>203</v>
      </c>
      <c r="J37" s="2">
        <f>IF(COUNT('Turns'!D90,'Turns'!D106)=2,SUM('Turns'!D90,'Turns'!D106),"Unknown")</f>
        <v>6.0</v>
      </c>
      <c r="K37" s="2">
        <f>IF(COUNT('Turns'!E90,'Turns'!E106)=2,SUM('Turns'!E90,'Turns'!E106),"Unknown")</f>
        <v>1.046844e-06</v>
      </c>
      <c r="L37" s="2">
        <f>IF(COUNT('Turns'!F90,'Turns'!F106)=2,SUM('Turns'!F90,'Turns'!F106),"Unknown")</f>
        <v>1.2e-06</v>
      </c>
      <c r="M37" s="2">
        <f>IF(COUNT('Turns'!D89,'Turns'!D105)=2,SUM('Turns'!D89,'Turns'!D105),"Unknown")</f>
        <v>4301.0</v>
      </c>
      <c r="N37" s="2">
        <f>IF(COUNT('Turns'!E89,'Turns'!E105)=2,SUM('Turns'!E89,'Turns'!E105),"Unknown")</f>
        <v>7.50412674e-05</v>
      </c>
      <c r="O37" s="2">
        <f>IF(COUNT('Turns'!F89,'Turns'!F105)=2,SUM('Turns'!F89,'Turns'!F105),"Unknown")</f>
        <v>8.602e-05</v>
      </c>
      <c r="P37" s="2">
        <f>IF(COUNT('Turns'!D92,'Turns'!D108)=2,SUM('Turns'!D92,'Turns'!D108),"Unknown")</f>
        <v>430.0</v>
      </c>
      <c r="Q37" s="2">
        <f>IF(COUNT('Turns'!E92,'Turns'!E108)=2,SUM('Turns'!E92,'Turns'!E108),"Unknown")</f>
        <v>9.3779775e-05</v>
      </c>
      <c r="R37" s="2">
        <f>IF(COUNT('Turns'!F92,'Turns'!F108)=2,SUM('Turns'!F92,'Turns'!F108),"Unknown")</f>
        <v>0.0001075</v>
      </c>
      <c r="S37" s="2">
        <f>IF(COUNT('Turns'!D96,'Turns'!D111)=2,SUM('Turns'!D96,'Turns'!D111),"Unknown")</f>
        <v>48.0</v>
      </c>
      <c r="T37" s="2">
        <f>IF(COUNT('Turns'!E96,'Turns'!E111)=2,SUM('Turns'!E96,'Turns'!E111),"Unknown")</f>
        <v>5.0248512e-05</v>
      </c>
      <c r="U37" s="2">
        <f>IF(COUNT('Turns'!F96,'Turns'!F111)=2,SUM('Turns'!F96,'Turns'!F111),"Unknown")</f>
        <v>5.76e-05</v>
      </c>
      <c r="V37" s="2">
        <f>IF(COUNT('Turns'!D95)=1,SUM('Turns'!D95),"Unknown")</f>
        <v>8.0</v>
      </c>
      <c r="W37" s="2">
        <f>IF(COUNT('Turns'!E95)=1,SUM('Turns'!E95),"Unknown")</f>
        <v>8.374752e-06</v>
      </c>
      <c r="X37" s="2">
        <f>IF(COUNT('Turns'!F95)=1,SUM('Turns'!F95),"Unknown")</f>
        <v>9.6e-06</v>
      </c>
      <c r="Y37" s="2">
        <f>IF(COUNT('Turns'!E100,'Turns'!E115)=2,SUM('Turns'!E100,'Turns'!E115),"Unknown")</f>
        <v>0.0002284911504</v>
      </c>
      <c r="Z37" s="2">
        <f>IF(COUNT('Turns'!F100,'Turns'!F115)=2,SUM('Turns'!F100,'Turns'!F115),"Unknown")</f>
        <v>0.00026192</v>
      </c>
      <c r="AA37" s="5">
        <f>IF(ISNUMBER(Y37),ROUND(Y37*'Reference data'!$B$2,0),"Unknown")</f>
        <v>23.0</v>
      </c>
      <c r="AB37" s="5">
        <f>IF(ISNUMBER(Z37),ROUND(Z37*'Reference data'!$B$2,0),"Unknown")</f>
        <v>26.0</v>
      </c>
      <c r="AD37" s="1">
        <v>2603.93</v>
      </c>
      <c r="AE37" s="1" t="s">
        <v>159</v>
      </c>
    </row>
    <row r="38" spans="1:31" ht="54" customHeight="1">
      <c r="A38" s="6" t="s">
        <v>171</v>
      </c>
      <c r="B38" s="1">
        <v>1</v>
      </c>
      <c r="C38" s="1" t="s">
        <v>157</v>
      </c>
      <c r="D38" s="1" t="s">
        <v>47</v>
      </c>
      <c r="E38" s="1" t="s">
        <v>111</v>
      </c>
      <c r="G38" s="6" t="s">
        <v>172</v>
      </c>
      <c r="H38" t="s">
        <v>204</v>
      </c>
      <c r="I38" t="s">
        <v>203</v>
      </c>
      <c r="AD38" s="1">
        <v>0.426</v>
      </c>
      <c r="AE38" s="1" t="s">
        <v>163</v>
      </c>
    </row>
    <row r="39" spans="1:31" ht="54" customHeight="1">
      <c r="A39" s="6" t="s">
        <v>174</v>
      </c>
      <c r="B39" s="1">
        <v>1</v>
      </c>
      <c r="C39" s="1" t="s">
        <v>157</v>
      </c>
      <c r="D39" s="1" t="s">
        <v>47</v>
      </c>
      <c r="E39" s="1" t="s">
        <v>111</v>
      </c>
      <c r="G39" s="6" t="s">
        <v>175</v>
      </c>
      <c r="H39" t="s">
        <v>205</v>
      </c>
      <c r="I39" t="s">
        <v>203</v>
      </c>
      <c r="AD39" s="1">
        <v>3.827</v>
      </c>
      <c r="AE39" s="1" t="s">
        <v>163</v>
      </c>
    </row>
    <row r="40" spans="1:31" ht="54" customHeight="1">
      <c r="A40" s="6" t="s">
        <v>188</v>
      </c>
      <c r="B40" s="1">
        <v>2</v>
      </c>
      <c r="C40" s="1" t="s">
        <v>178</v>
      </c>
      <c r="D40" s="1" t="s">
        <v>47</v>
      </c>
      <c r="E40" s="1" t="s">
        <v>111</v>
      </c>
      <c r="G40" s="6" t="s">
        <v>189</v>
      </c>
      <c r="H40" t="s">
        <v>146</v>
      </c>
      <c r="I40" t="s">
        <v>205</v>
      </c>
      <c r="AD40" s="1">
        <v>1.289</v>
      </c>
      <c r="AE40" s="1" t="s">
        <v>163</v>
      </c>
    </row>
    <row r="41" spans="1:31" ht="54" customHeight="1">
      <c r="A41" s="6" t="s">
        <v>160</v>
      </c>
      <c r="B41" s="1">
        <v>1</v>
      </c>
      <c r="C41" s="1" t="s">
        <v>157</v>
      </c>
      <c r="D41" s="1" t="s">
        <v>47</v>
      </c>
      <c r="E41" s="1" t="s">
        <v>111</v>
      </c>
      <c r="G41" s="6" t="s">
        <v>161</v>
      </c>
      <c r="H41" t="s">
        <v>206</v>
      </c>
      <c r="I41" t="s">
        <v>203</v>
      </c>
      <c r="AD41" s="1">
        <v>0.323</v>
      </c>
      <c r="AE41" s="1" t="s">
        <v>163</v>
      </c>
    </row>
    <row r="42" spans="1:31" ht="54" customHeight="1">
      <c r="A42" s="6" t="s">
        <v>164</v>
      </c>
      <c r="B42" s="1">
        <v>1</v>
      </c>
      <c r="C42" s="1" t="s">
        <v>157</v>
      </c>
      <c r="D42" s="1" t="s">
        <v>47</v>
      </c>
      <c r="E42" s="1" t="s">
        <v>111</v>
      </c>
      <c r="G42" s="6" t="s">
        <v>165</v>
      </c>
      <c r="H42" t="s">
        <v>207</v>
      </c>
      <c r="I42" t="s">
        <v>203</v>
      </c>
      <c r="J42" s="2">
        <f>IF(COUNT('Turns'!D90)=1,SUM('Turns'!D90),"Unknown")</f>
        <v>3.0</v>
      </c>
      <c r="K42" s="2">
        <f>IF(COUNT('Turns'!E90)=1,SUM('Turns'!E90),"Unknown")</f>
        <v>5.23422e-07</v>
      </c>
      <c r="L42" s="2">
        <f>IF(COUNT('Turns'!F90)=1,SUM('Turns'!F90),"Unknown")</f>
        <v>6e-07</v>
      </c>
      <c r="M42" s="2">
        <f>IF(COUNT('Turns'!D89)=1,SUM('Turns'!D89),"Unknown")</f>
        <v>1997.0</v>
      </c>
      <c r="N42" s="2">
        <f>IF(COUNT('Turns'!E89)=1,SUM('Turns'!E89),"Unknown")</f>
        <v>3.48424578e-05</v>
      </c>
      <c r="O42" s="2">
        <f>IF(COUNT('Turns'!F89)=1,SUM('Turns'!F89),"Unknown")</f>
        <v>3.994e-05</v>
      </c>
      <c r="P42" s="2">
        <f>IF(COUNT('Turns'!D92)=1,SUM('Turns'!D92),"Unknown")</f>
        <v>307.0</v>
      </c>
      <c r="Q42" s="2">
        <f>IF(COUNT('Turns'!E92)=1,SUM('Turns'!E92),"Unknown")</f>
        <v>6.69543975e-05</v>
      </c>
      <c r="R42" s="2">
        <f>IF(COUNT('Turns'!F92)=1,SUM('Turns'!F92),"Unknown")</f>
        <v>7.675e-05</v>
      </c>
      <c r="S42" s="2">
        <f>IF(COUNT('Turns'!D96)=1,SUM('Turns'!D96),"Unknown")</f>
        <v>31.0</v>
      </c>
      <c r="T42" s="2">
        <f>IF(COUNT('Turns'!E96)=1,SUM('Turns'!E96),"Unknown")</f>
        <v>3.2452164e-05</v>
      </c>
      <c r="U42" s="2">
        <f>IF(COUNT('Turns'!F96)=1,SUM('Turns'!F96),"Unknown")</f>
        <v>3.72e-05</v>
      </c>
      <c r="V42" s="2">
        <f>IF(COUNT('Turns'!D95)=1,SUM('Turns'!D95),"Unknown")</f>
        <v>8.0</v>
      </c>
      <c r="W42" s="2">
        <f>IF(COUNT('Turns'!E95)=1,SUM('Turns'!E95),"Unknown")</f>
        <v>8.374752e-06</v>
      </c>
      <c r="X42" s="2">
        <f>IF(COUNT('Turns'!F95)=1,SUM('Turns'!F95),"Unknown")</f>
        <v>9.6e-06</v>
      </c>
      <c r="Y42" s="2">
        <f>IF(COUNT('Turns'!E100)=1,SUM('Turns'!E100),"Unknown")</f>
        <v>0.0001431471933</v>
      </c>
      <c r="Z42" s="2">
        <f>IF(COUNT('Turns'!F100)=1,SUM('Turns'!F100),"Unknown")</f>
        <v>0.00016409</v>
      </c>
      <c r="AA42" s="5">
        <f>IF(ISNUMBER(Y42),ROUND(Y42*'Reference data'!$B$2,0),"Unknown")</f>
        <v>14.0</v>
      </c>
      <c r="AB42" s="5">
        <f>IF(ISNUMBER(Z42),ROUND(Z42*'Reference data'!$B$2,0),"Unknown")</f>
        <v>16.0</v>
      </c>
      <c r="AD42" s="1">
        <v>1539.551</v>
      </c>
      <c r="AE42" s="1" t="s">
        <v>159</v>
      </c>
    </row>
    <row r="43" spans="1:31" ht="54" customHeight="1">
      <c r="A43" s="6" t="s">
        <v>167</v>
      </c>
      <c r="B43" s="1">
        <v>2</v>
      </c>
      <c r="C43" s="1" t="s">
        <v>168</v>
      </c>
      <c r="D43" s="1" t="s">
        <v>95</v>
      </c>
      <c r="E43" s="1" t="s">
        <v>111</v>
      </c>
      <c r="F43" s="1">
        <v>2307</v>
      </c>
      <c r="G43" s="6" t="s">
        <v>169</v>
      </c>
      <c r="H43" t="s">
        <v>149</v>
      </c>
      <c r="I43" t="s">
        <v>207</v>
      </c>
      <c r="J43" s="2">
        <f>IF(COUNT('Turns'!D90)=1,SUM('Turns'!D90),"Unknown")</f>
        <v>3.0</v>
      </c>
      <c r="K43" s="2">
        <f>IF(COUNT('Turns'!E90)=1,SUM('Turns'!E90),"Unknown")</f>
        <v>5.23422e-07</v>
      </c>
      <c r="L43" s="2">
        <f>IF(COUNT('Turns'!F90)=1,SUM('Turns'!F90),"Unknown")</f>
        <v>6e-07</v>
      </c>
      <c r="M43" s="2">
        <f>IF(COUNT('Turns'!D89)=1,SUM('Turns'!D89),"Unknown")</f>
        <v>1997.0</v>
      </c>
      <c r="N43" s="2">
        <f>IF(COUNT('Turns'!E89)=1,SUM('Turns'!E89),"Unknown")</f>
        <v>3.48424578e-05</v>
      </c>
      <c r="O43" s="2">
        <f>IF(COUNT('Turns'!F89)=1,SUM('Turns'!F89),"Unknown")</f>
        <v>3.994e-05</v>
      </c>
      <c r="P43" s="2">
        <f>IF(COUNT('Turns'!D92)=1,SUM('Turns'!D92),"Unknown")</f>
        <v>307.0</v>
      </c>
      <c r="Q43" s="2">
        <f>IF(COUNT('Turns'!E92)=1,SUM('Turns'!E92),"Unknown")</f>
        <v>6.69543975e-05</v>
      </c>
      <c r="R43" s="2">
        <f>IF(COUNT('Turns'!F92)=1,SUM('Turns'!F92),"Unknown")</f>
        <v>7.675e-05</v>
      </c>
      <c r="S43" s="2">
        <f>IF(COUNT('Turns'!D96)=1,SUM('Turns'!D96),"Unknown")</f>
        <v>31.0</v>
      </c>
      <c r="T43" s="2">
        <f>IF(COUNT('Turns'!E96)=1,SUM('Turns'!E96),"Unknown")</f>
        <v>3.2452164e-05</v>
      </c>
      <c r="U43" s="2">
        <f>IF(COUNT('Turns'!F96)=1,SUM('Turns'!F96),"Unknown")</f>
        <v>3.72e-05</v>
      </c>
      <c r="V43" s="2">
        <f>IF(COUNT('Turns'!D95)=1,SUM('Turns'!D95),"Unknown")</f>
        <v>8.0</v>
      </c>
      <c r="W43" s="2">
        <f>IF(COUNT('Turns'!E95)=1,SUM('Turns'!E95),"Unknown")</f>
        <v>8.374752e-06</v>
      </c>
      <c r="X43" s="2">
        <f>IF(COUNT('Turns'!F95)=1,SUM('Turns'!F95),"Unknown")</f>
        <v>9.6e-06</v>
      </c>
      <c r="Y43" s="2">
        <f>IF(COUNT('Turns'!E100)=1,SUM('Turns'!E100),"Unknown")</f>
        <v>0.0001431471933</v>
      </c>
      <c r="Z43" s="2">
        <f>IF(COUNT('Turns'!F100)=1,SUM('Turns'!F100),"Unknown")</f>
        <v>0.00016409</v>
      </c>
      <c r="AA43" s="5">
        <f>IF(ISNUMBER(Y43),ROUND(Y43*'Reference data'!$B$2,0),"Unknown")</f>
        <v>14.0</v>
      </c>
      <c r="AB43" s="5">
        <f>IF(ISNUMBER(Z43),ROUND(Z43*'Reference data'!$B$2,0),"Unknown")</f>
        <v>16.0</v>
      </c>
      <c r="AC43" s="1" t="s">
        <v>148</v>
      </c>
      <c r="AD43" s="1">
        <v>1537.501</v>
      </c>
      <c r="AE43" s="1" t="s">
        <v>170</v>
      </c>
    </row>
    <row r="44" spans="1:31" ht="54" customHeight="1">
      <c r="A44" s="6" t="s">
        <v>171</v>
      </c>
      <c r="B44" s="1">
        <v>1</v>
      </c>
      <c r="C44" s="1" t="s">
        <v>157</v>
      </c>
      <c r="D44" s="1" t="s">
        <v>47</v>
      </c>
      <c r="E44" s="1" t="s">
        <v>111</v>
      </c>
      <c r="G44" s="6" t="s">
        <v>172</v>
      </c>
      <c r="H44" t="s">
        <v>208</v>
      </c>
      <c r="I44" t="s">
        <v>203</v>
      </c>
      <c r="AD44" s="1">
        <v>0.536</v>
      </c>
      <c r="AE44" s="1" t="s">
        <v>163</v>
      </c>
    </row>
    <row r="45" spans="1:31" ht="54" customHeight="1">
      <c r="A45" s="6" t="s">
        <v>174</v>
      </c>
      <c r="B45" s="1">
        <v>1</v>
      </c>
      <c r="C45" s="1" t="s">
        <v>157</v>
      </c>
      <c r="D45" s="1" t="s">
        <v>47</v>
      </c>
      <c r="E45" s="1" t="s">
        <v>111</v>
      </c>
      <c r="G45" s="6" t="s">
        <v>175</v>
      </c>
      <c r="H45" t="s">
        <v>209</v>
      </c>
      <c r="I45" t="s">
        <v>203</v>
      </c>
      <c r="AD45" s="1">
        <v>11.007</v>
      </c>
      <c r="AE45" s="1" t="s">
        <v>163</v>
      </c>
    </row>
    <row r="46" spans="1:31" ht="54" customHeight="1">
      <c r="A46" s="6" t="s">
        <v>177</v>
      </c>
      <c r="B46" s="1">
        <v>2</v>
      </c>
      <c r="C46" s="1" t="s">
        <v>178</v>
      </c>
      <c r="D46" s="1" t="s">
        <v>47</v>
      </c>
      <c r="E46" s="1" t="s">
        <v>111</v>
      </c>
      <c r="G46" s="6" t="s">
        <v>179</v>
      </c>
      <c r="H46" t="s">
        <v>151</v>
      </c>
      <c r="I46" t="s">
        <v>209</v>
      </c>
      <c r="AD46" s="1">
        <v>1.052</v>
      </c>
      <c r="AE46" s="1" t="s">
        <v>163</v>
      </c>
    </row>
    <row r="47" spans="1:31" ht="54" customHeight="1">
      <c r="A47" s="6" t="s">
        <v>160</v>
      </c>
      <c r="B47" s="1">
        <v>1</v>
      </c>
      <c r="C47" s="1" t="s">
        <v>157</v>
      </c>
      <c r="D47" s="1" t="s">
        <v>47</v>
      </c>
      <c r="E47" s="1" t="s">
        <v>111</v>
      </c>
      <c r="G47" s="6" t="s">
        <v>161</v>
      </c>
      <c r="H47" t="s">
        <v>210</v>
      </c>
      <c r="I47" t="s">
        <v>203</v>
      </c>
      <c r="AD47" s="1">
        <v>0.367</v>
      </c>
      <c r="AE47" s="1" t="s">
        <v>163</v>
      </c>
    </row>
    <row r="48" spans="1:31" ht="54" customHeight="1">
      <c r="A48" s="6" t="s">
        <v>164</v>
      </c>
      <c r="B48" s="1">
        <v>1</v>
      </c>
      <c r="C48" s="1" t="s">
        <v>157</v>
      </c>
      <c r="D48" s="1" t="s">
        <v>47</v>
      </c>
      <c r="E48" s="1" t="s">
        <v>111</v>
      </c>
      <c r="G48" s="6" t="s">
        <v>165</v>
      </c>
      <c r="H48" t="s">
        <v>211</v>
      </c>
      <c r="I48" t="s">
        <v>203</v>
      </c>
      <c r="J48" s="2">
        <f>IF(COUNT('Turns'!D106)=1,SUM('Turns'!D106),"Unknown")</f>
        <v>3.0</v>
      </c>
      <c r="K48" s="2">
        <f>IF(COUNT('Turns'!E106)=1,SUM('Turns'!E106),"Unknown")</f>
        <v>5.23422e-07</v>
      </c>
      <c r="L48" s="2">
        <f>IF(COUNT('Turns'!F106)=1,SUM('Turns'!F106),"Unknown")</f>
        <v>6e-07</v>
      </c>
      <c r="M48" s="2">
        <f>IF(COUNT('Turns'!D105)=1,SUM('Turns'!D105),"Unknown")</f>
        <v>2304.0</v>
      </c>
      <c r="N48" s="2">
        <f>IF(COUNT('Turns'!E105)=1,SUM('Turns'!E105),"Unknown")</f>
        <v>4.01988096e-05</v>
      </c>
      <c r="O48" s="2">
        <f>IF(COUNT('Turns'!F105)=1,SUM('Turns'!F105),"Unknown")</f>
        <v>4.608e-05</v>
      </c>
      <c r="P48" s="2">
        <f>IF(COUNT('Turns'!D108)=1,SUM('Turns'!D108),"Unknown")</f>
        <v>123.0</v>
      </c>
      <c r="Q48" s="2">
        <f>IF(COUNT('Turns'!E108)=1,SUM('Turns'!E108),"Unknown")</f>
        <v>2.68253775e-05</v>
      </c>
      <c r="R48" s="2">
        <f>IF(COUNT('Turns'!F108)=1,SUM('Turns'!F108),"Unknown")</f>
        <v>3.075e-05</v>
      </c>
      <c r="S48" s="2">
        <f>IF(COUNT('Turns'!D111)=1,SUM('Turns'!D111),"Unknown")</f>
        <v>17.0</v>
      </c>
      <c r="T48" s="2">
        <f>IF(COUNT('Turns'!E111)=1,SUM('Turns'!E111),"Unknown")</f>
        <v>1.7796348e-05</v>
      </c>
      <c r="U48" s="2">
        <f>IF(COUNT('Turns'!F111)=1,SUM('Turns'!F111),"Unknown")</f>
        <v>2.04e-05</v>
      </c>
      <c r="V48" s="2">
        <v>0</v>
      </c>
      <c r="W48" s="2">
        <v>0</v>
      </c>
      <c r="X48" s="2">
        <v>0</v>
      </c>
      <c r="Y48" s="2">
        <f>IF(COUNT('Turns'!E115)=1,SUM('Turns'!E115),"Unknown")</f>
        <v>8.53439571e-05</v>
      </c>
      <c r="Z48" s="2">
        <f>IF(COUNT('Turns'!F115)=1,SUM('Turns'!F115),"Unknown")</f>
        <v>9.783e-05</v>
      </c>
      <c r="AA48" s="5">
        <f>IF(ISNUMBER(Y48),ROUND(Y48*'Reference data'!$B$2,0),"Unknown")</f>
        <v>9.0</v>
      </c>
      <c r="AB48" s="5">
        <f>IF(ISNUMBER(Z48),ROUND(Z48*'Reference data'!$B$2,0),"Unknown")</f>
        <v>10.0</v>
      </c>
      <c r="AD48" s="1">
        <v>1038.006</v>
      </c>
      <c r="AE48" s="1" t="s">
        <v>159</v>
      </c>
    </row>
    <row r="49" spans="1:31" ht="54" customHeight="1">
      <c r="A49" s="6" t="s">
        <v>167</v>
      </c>
      <c r="B49" s="1">
        <v>2</v>
      </c>
      <c r="C49" s="1" t="s">
        <v>168</v>
      </c>
      <c r="D49" s="1" t="s">
        <v>95</v>
      </c>
      <c r="E49" s="1" t="s">
        <v>111</v>
      </c>
      <c r="F49" s="1">
        <v>2430</v>
      </c>
      <c r="G49" s="6" t="s">
        <v>169</v>
      </c>
      <c r="H49" t="s">
        <v>154</v>
      </c>
      <c r="I49" t="s">
        <v>211</v>
      </c>
      <c r="J49" s="2">
        <f>IF(COUNT('Turns'!D106)=1,SUM('Turns'!D106),"Unknown")</f>
        <v>3.0</v>
      </c>
      <c r="K49" s="2">
        <f>IF(COUNT('Turns'!E106)=1,SUM('Turns'!E106),"Unknown")</f>
        <v>5.23422e-07</v>
      </c>
      <c r="L49" s="2">
        <f>IF(COUNT('Turns'!F106)=1,SUM('Turns'!F106),"Unknown")</f>
        <v>6e-07</v>
      </c>
      <c r="M49" s="2">
        <f>IF(COUNT('Turns'!D105)=1,SUM('Turns'!D105),"Unknown")</f>
        <v>2304.0</v>
      </c>
      <c r="N49" s="2">
        <f>IF(COUNT('Turns'!E105)=1,SUM('Turns'!E105),"Unknown")</f>
        <v>4.01988096e-05</v>
      </c>
      <c r="O49" s="2">
        <f>IF(COUNT('Turns'!F105)=1,SUM('Turns'!F105),"Unknown")</f>
        <v>4.608e-05</v>
      </c>
      <c r="P49" s="2">
        <f>IF(COUNT('Turns'!D108)=1,SUM('Turns'!D108),"Unknown")</f>
        <v>123.0</v>
      </c>
      <c r="Q49" s="2">
        <f>IF(COUNT('Turns'!E108)=1,SUM('Turns'!E108),"Unknown")</f>
        <v>2.68253775e-05</v>
      </c>
      <c r="R49" s="2">
        <f>IF(COUNT('Turns'!F108)=1,SUM('Turns'!F108),"Unknown")</f>
        <v>3.075e-05</v>
      </c>
      <c r="S49" s="2">
        <f>IF(COUNT('Turns'!D111)=1,SUM('Turns'!D111),"Unknown")</f>
        <v>17.0</v>
      </c>
      <c r="T49" s="2">
        <f>IF(COUNT('Turns'!E111)=1,SUM('Turns'!E111),"Unknown")</f>
        <v>1.7796348e-05</v>
      </c>
      <c r="U49" s="2">
        <f>IF(COUNT('Turns'!F111)=1,SUM('Turns'!F111),"Unknown")</f>
        <v>2.04e-05</v>
      </c>
      <c r="V49" s="2">
        <v>0</v>
      </c>
      <c r="W49" s="2">
        <v>0</v>
      </c>
      <c r="X49" s="2">
        <v>0</v>
      </c>
      <c r="Y49" s="2">
        <f>IF(COUNT('Turns'!E115)=1,SUM('Turns'!E115),"Unknown")</f>
        <v>8.53439571e-05</v>
      </c>
      <c r="Z49" s="2">
        <f>IF(COUNT('Turns'!F115)=1,SUM('Turns'!F115),"Unknown")</f>
        <v>9.783e-05</v>
      </c>
      <c r="AA49" s="5">
        <f>IF(ISNUMBER(Y49),ROUND(Y49*'Reference data'!$B$2,0),"Unknown")</f>
        <v>9.0</v>
      </c>
      <c r="AB49" s="5">
        <f>IF(ISNUMBER(Z49),ROUND(Z49*'Reference data'!$B$2,0),"Unknown")</f>
        <v>10.0</v>
      </c>
      <c r="AC49" s="1" t="s">
        <v>153</v>
      </c>
      <c r="AD49" s="1">
        <v>1036.489</v>
      </c>
      <c r="AE49" s="1" t="s">
        <v>170</v>
      </c>
    </row>
    <row r="50" spans="1:31" ht="54" customHeight="1">
      <c r="A50" s="6" t="s">
        <v>171</v>
      </c>
      <c r="B50" s="1">
        <v>1</v>
      </c>
      <c r="C50" s="1" t="s">
        <v>157</v>
      </c>
      <c r="D50" s="1" t="s">
        <v>47</v>
      </c>
      <c r="E50" s="1" t="s">
        <v>111</v>
      </c>
      <c r="G50" s="6" t="s">
        <v>172</v>
      </c>
      <c r="H50" t="s">
        <v>212</v>
      </c>
      <c r="I50" t="s">
        <v>203</v>
      </c>
      <c r="AD50" s="1">
        <v>0.365</v>
      </c>
      <c r="AE50" s="1" t="s">
        <v>163</v>
      </c>
    </row>
  </sheetData>
  <conditionalFormatting sqref="A2:AE50">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2026-09-23T06:08:21Z</dcterms:created>
  <dcterms:modified xsi:type="dcterms:W3CDTF">2026-09-23T06:08:21Z</dcterms:modified>
</cp:coreProperties>
</file>
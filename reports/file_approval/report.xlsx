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<sst xmlns="http://schemas.openxmlformats.org/spreadsheetml/2006/main" count="681" uniqueCount="200">
  <si>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</si>
  <si>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</si>
  <si>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</si>
  <si>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</si>
  <si>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</si>
  <si>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</si>
  <si>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</si>
  <si>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</si>
  <si>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</si>
  <si>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</si>
  <si>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</si>
  <si>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</si>
  <si>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</si>
  <si>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</si>
  <si>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</si>
  <si>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</si>
  <si>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</si>
  <si>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</si>
  <si>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</si>
  <si>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Input at standard rate tokens</t>
  </si>
  <si>
    <t>Input at standard rate EUR</t>
  </si>
  <si>
    <t>Input at standard rate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</si>
  <si>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</si>
  <si>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</si>
  <si>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</si>
  <si>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</si>
  <si>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</si>
  <si>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</si>
  <si>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</si>
  <si>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</si>
  <si>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</si>
  <si>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</si>
  <si>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</si>
  <si>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</si>
  <si>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</si>
  <si>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</si>
  <si>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</si>
  <si>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</si>
  <si>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</si>
  <si>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</si>
  <si>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</si>
  <si>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</si>
  <si>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</si>
  <si>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</si>
  <si>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</si>
  <si>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</si>
  <si>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</si>
  <si>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</si>
  <si>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</si>
  <si>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01a0d584-97f5-7b91-9174-923e6ed969d2</t>
  </si>
  <si>
    <t>Recording</t>
  </si>
  <si>
    <t>Provider trace</t>
  </si>
  <si>
    <t>FX reference date</t>
  </si>
  <si>
    <t>2026-09-24</t>
  </si>
  <si>
    <t>FX fetched at</t>
  </si>
  <si>
    <t>2026-09-24T22:21:31.719587Z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</si>
  <si>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</si>
  <si>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</si>
  <si>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</si>
  <si>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</si>
  <si>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</si>
  <si>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</si>
  <si>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</si>
  <si>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</si>
  <si>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</si>
  <si>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</si>
  <si>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</si>
  <si>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</si>
  <si>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</si>
  <si>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</si>
  <si>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</si>
  <si>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</si>
  <si>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</si>
  <si>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</si>
  <si>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</si>
  <si>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</si>
  <si>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</si>
  <si>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</si>
  <si>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</si>
  <si>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</si>
  <si>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</si>
  <si>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</si>
  <si>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</si>
  <si>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</si>
  <si>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</si>
  <si>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</si>
  <si>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</si>
  <si>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</si>
  <si>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</si>
  <si>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</si>
  <si>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</si>
  <si>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</si>
  <si>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</si>
  <si>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</si>
  <si>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</si>
  <si>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gpt-5.6-luna</t>
  </si>
  <si>
    <t>01a0d584-97ff-7a70-b756-172cd54c9249</t>
  </si>
  <si>
    <t>Input at standard rate</t>
  </si>
  <si>
    <t xml:space="preserve">    Tool definitions</t>
  </si>
  <si>
    <t xml:space="preserve">    System prompt</t>
  </si>
  <si>
    <t xml:space="preserve">You edit a UTF-8 document according to the human's request.
Use read_file to inspect /source.txt and /target.txt as needed. If the target exists,
preserve its current content unless the human requests replacement; otherwise
use the source as the starting document. Make each requested change separately,
with one write_file or edit_file call at a time, always on /target.txt.
Use write_file for new documents and edit_file for targeted replacements.
A missing target is normal: use the source to create it. Read results contain
pagination headers; these are display annotations, not document content.
After each write outcome, read the target again before proposing the next change.
A rejected tool call did not execute: do not retry or reintroduce that change.
Report only changes confirmed by tool results. Tool execution policy is enforced
by the harness; do not ask for permission in prose or invent approval results.
</t>
  </si>
  <si>
    <t xml:space="preserve">    User prompt</t>
  </si>
  <si>
    <t>Append each of these sentences as a separate change: ['\nReviewed by the project team.\n', 'Next step: request a quote.\n']</t>
  </si>
  <si>
    <t>Cache write</t>
  </si>
  <si>
    <t>Context · added / total</t>
  </si>
  <si>
    <t>LLM response</t>
  </si>
  <si>
    <t>Reasoning</t>
  </si>
  <si>
    <t>Output</t>
  </si>
  <si>
    <t xml:space="preserve">    Output content</t>
  </si>
  <si>
    <t>[{"id": "rs_079598387a6ba76d006ab5a2f8ad2c87d28b93d7429f3814ec", "summary": [], "type": "reasoning", "content": [], "index": 0, "encrypted_content": "gAAAAABqtaL53HTntsSZ2ylpSNakhMFCT0-I-yqu2goDSqmAbCMX57xcIW1wZgAYfkkhy62S-Nj0QSy6IUfSdXPPD7EL1pCeno4Nu1Te_c2-24rNhrZyaI7kckE2Zm-HVttcd2CleBo-8EvYpkTAiPtxG6ORkLl-S0aj7CIqKuYseS26KbtzDWNrnRXYxZ082vecmmkqc1uUw1Cl4_HLH0JlfnaCGmoIn87Rcp02wGVAPTNSACoArd6cpywM61ZQgmhO78IaJWVjzmhNbVFMEE4okwLfYCMB0_KM9ckpljqpf7r9f5eNaBbXss0HrJFLbvCDU-5WVNoHwW0z5i3QAtTsSmqzwZqrpFiqid4wuQYcAvQuKBZ-MD2WPY0QQ-U0fE2SAFBv0bLnzX8sNGug6ZFvKT5LxEELvAgzPnp3fW3kCVyDHTBmaD-ntbT0C-aZXLQMWOB2xYV0u3M23Px8gGISu5dsuuW4G1o2xaqGGbdYk6UVLUbd5nvHk_Y1WylMUqCcN4qiDZ_mX09hZ0hsPnDTzrNiNe0Z4ioDNEP89L6gBMgXsImSxSMzt0GpDnFHme-aKezjFg5uNrFyyTjfj4tfZE5U_aJnO8MPZGnnC7gPHqcVVL8aGWNy-SEdOjxbnyu2LVpHef8j_g39WGAtT28g9rVUuVdpOWQsGHTOlauop9QD1eBZVSinZm2U-A3jDWS36cq3KKQSnArhjmlxRfwroPLhKrJwKa8hqaONss49t3BqWWq0LyVLZwz2bGTX_N-PjlDr6SvrSmhekNFXSl-q8Qv6IJZ0oWhf3F0QGkteUzhsQtXLEt_xmu1AZ4vbf1W4uDT6Fudk7nAZ4rSQxElGilJA2t3E6YVVTNI4e1uUE1nki7YqX6VCD_N60GV-_yNVlMOiFie7Omc_g0jkS_W-GuEs2w6K-28qfnL2pVKvjkgXXlZGa45kNH4WNWjnVa86olsm3i83DqCFmyvoit2EO3zqxEZhr6W7vfQj_hsCnxMysPiLKvdP-YXrsKfND_RUJlcWNt4FsgABXHmnep5pII-TdESL8T7HQecOjG7TUwHtEZMPaXp497eWYBRtobwveQ5XEIXkjaK76vI9RP69JsPpOEjwRsNJo7LW05PlO-I_ueiiwxuvkPRBKyVu2zN5jX5NSIbM--P_VciXS4SpKCTcR5OOGAeZpJS0peR3d6Iw_8BCwt_KUeEI_pi_frslnP3cm1kJd0aHoJHBYveF69owRNQMO3UauqrMgVo9qpHZdeU_qcI="}, {"type": "function_call", "name": "read_file", "arguments": "{\"file_path\":\"/source.txt\",\"offset\":0,\"limit\":100}", "call_id": "call_IMRPXvy70jiSfAhlOkCdrc39", "id": "fc_079598387a6ba76d006ab5a2f930dc87d2819970aada0067f1", "index": 1}, {"type": "function_call", "name": "read_file", "arguments": "{\"file_path\":\"/target.txt\",\"offset\":0,\"limit\":100}", "call_id": "call_ykIvJkeuTFl02bF5g42oMqCL", "id": "fc_079598387a6ba76d006ab5a2f930f087d2be3bc63011ec3163", "index": 2}]
{"name": "read_file", "args": {"file_path": "/source.txt", "offset": 0, "limit": 100}, "id": "call_IMRPXvy70jiSfAhlOkCdrc39", "type": "tool_call"}
{"name": "read_file", "args": {"file_path": "/target.txt", "offset": 0, "limit": 100}, "id": "call_ykIvJkeuTFl02bF5g42oMqCL", "type": "tool_call"}</t>
  </si>
  <si>
    <t>Call total</t>
  </si>
  <si>
    <t>ok</t>
  </si>
  <si>
    <t>Tool · read_file</t>
  </si>
  <si>
    <t>01a0d584-9e5d-7331-bfbb-839f45a62020</t>
  </si>
  <si>
    <t xml:space="preserve">    Arguments</t>
  </si>
  <si>
    <t>{'file_path': '/source.txt', 'offset': 0, 'limit': 100}</t>
  </si>
  <si>
    <t xml:space="preserve">    Result</t>
  </si>
  <si>
    <t>@@ lines 1-2 of 2 @@
Project summary
We prepare clear, practical reports.</t>
  </si>
  <si>
    <t>01a0d584-9e5e-7ca2-92cb-408344d24951</t>
  </si>
  <si>
    <t>{'file_path': '/target.txt', 'offset': 0, 'limit': 100}</t>
  </si>
  <si>
    <t xml:space="preserve">@@ lines 1-24 of 24 @@
Project summary
We prepare clear, practical reports.
Reviewed by the project team.
Next step: request a quote.
Reviewed by the project team.
Next step: request a quote.
Reviewed by the project team.
Next step: request a quote.
Reviewed by the project team.
Next step: request a quote.
Reviewed by the project team.
Next step: request a quote.
Reviewed by the project team.
Next step: request a quote.
</t>
  </si>
  <si>
    <t>R2</t>
  </si>
  <si>
    <t>01a0d584-9e68-7362-99cf-6878e7868b98</t>
  </si>
  <si>
    <t>Conversation history · cache read</t>
  </si>
  <si>
    <t xml:space="preserve">    Tool result</t>
  </si>
  <si>
    <t xml:space="preserve">@@ lines 1-2 of 2 @@
Project summary
We prepare clear, practical reports.
@@ lines 1-24 of 24 @@
Project summary
We prepare clear, practical reports.
Reviewed by the project team.
Next step: request a quote.
Reviewed by the project team.
Next step: request a quote.
Reviewed by the project team.
Next step: request a quote.
Reviewed by the project team.
Next step: request a quote.
Reviewed by the project team.
Next step: request a quote.
Reviewed by the project team.
Next step: request a quote.
</t>
  </si>
  <si>
    <t>[{"id": "rs_079598387a6ba76d006ab5a2fa12d487d286ae57253d66c1b7", "summary": [], "type": "reasoning", "content": [], "index": 0, "encrypted_content": "gAAAAABqtaL82RIYzW41MZgrA0Py6R0enZqk1erbb-xhcOvZNMF3Ag36T6La-CZVf4TTwvTY2MMc_LcQVZfEykH-UY0uh6jdm94DveAQAQf_TN08V3ut-PoGdbTB4T9kleHczdE0SngsCYw5qd_i34djhKQ95IUL6WMfaYdZNIUhI77leSfFN_bOcAUgCYgFAOhfz552dsBMkLMYPdFjY98N42I_haIg7ZWwoyzZWJZ6kFEDGtyIiAsk8N7PAjuDB7PXQNHsIEfteekSzCVyo1C1m9bDrSELflWZa_LwIs2turByPCnARcDAeob4EI2P-Dxm0fHKKgEBqvtERyVzWAaPJxk_YgmGlFFp9KSBs-xv5RhGui1VxSVxunvY84BZEAQ0_WtL1HWd2fagx5vX0gjQyxQ1WubZ3no0eysNsANsepLqSSF4rsZ12RY4gTVZGmKQaXAIVkU_APobC9ssdmdW43oX_XPztW0pwFJR7XPQsTgQFxGDTZqvST7Z3DOUq4lJOMCezNWzN1sfT2LJUo-NZa4n5q0FGsTq5jL7O47lMYjOG0Gx-q5Jp8kP8hOLJijUQp7x09_kiMOPy5MH6MsXrIYeGEkQwethvUSE6t8n3xYGAb2wBHIGVJMGzsplybbz0lAVxGsCrAdEQ5TPMfjm9yRbAcsromnL9lLbsCV25Qj25XIIJR0rOErZi4k3y8JqS-dZXmz3Mq6ItLna4w4yERjnQ_XNgQhV_-ED2-L5yi5g9FRwlyfyuoKgTMQ8p2GIrCcQCo1roOJTagea8Crb9bwtUTRGIJZfsQZaslMkWS_J1GRnx63alukpzYaD1IgPMDPMN7PoIniFIyd6rtOgonAE45A7B3jpwAZgbJznhJLUTBWQJtOz70YEKy-umGoTlDR3mx4unz3ElkZaAPAlCF_Xc7HvmufUukg2xcf-m8L0t33MhXvYsVClVJo6JDP8mAtTcumOll5xkqzLRn6ohI9uRk7TqqjwjdCY7rC_TvuQ-ihPJ5WFKNZO-SgPePGzNFnp0ov9k1GRxfoCTlVsIw9NeUGAQGAgspABvvFlq3lHl8F2VDD7Alj8hbT9wcQ5RoU97GN-67CPlhHibwcAGoHYsmYE6l-v8yW9R6Ar0yBwgs5yu7GCNjEzUU1av43Z5G7sAK9bcxNkMIKmxkUhn95m8jAhh2MHhoHc7iZSyyZ6si8qJP4IoMTh92bgW6CCWfkqWGD0z50NknrVmaZAWuWRqU1piTQAhdNeb-_RZ1rwqSff-9gm2TdzAW0cQy10rFSSQrWCtGgfgWFD-L0kN49z3rpvaPYg5b0dJZ4h3HrALWsLWZ9u2xXHtKXDuu0KMO6wEW8kNNAa8dAYJ5pu00391e4pHv8ISy81RaMnsGVWYVVMWMeoJtbMEYOZtLtXt3l0nMMdLWA4qJ1If4T5ixT33zdVpz-_NTttk2wSjGNjnFRjHx2v8Snc8mwGrf1TBD_qPE4SXFqHFoOtUg7fbiaEfQnfcOr_kRXycTI_BCCu3c5y_tj5lTWkRsK1XNZOMou1ide4ejqSXnzg-na3dm8dZ6pXuCCdQIxTPK3C9A17L4T8guJG8TKFc7L9mA1uLynFFukveetmOfPjt9CGwGIB9T9VNJkQa8IrtQ6SaeOjvRkN1qxgedGYoOXQ0Cbu1EWlZEvUe4q9yeKc84OgEcZQ9w-ZuaIMXrGkiNJUs_AbU-nShy-bm1IqjmsmJ0pzMpGnLGiBh_dyTmFihiR1K3Qhi8DHAqxpiKHi_WcgZPr-83zWOtZqwsZ_cVKAYhJB0yWyqO73ay9jeTEYnSffCC8AcBp86-c_W22IHF_Rcr3lY5UQVnGggjBs9z32AMmltmPgDaatPP94pcMJksWs82h2HdxEse3rjDh3myZWeAKrE4KydnBnhnYARtewp4h3Z7uENGM4DrxjF0aiV1BEYVeJs0g4Lv3jAYIF1aYJGbX8k1VA6_nr9HJuWhUa1x0E_lRA1H5-XP5JtYtLEBngQbVfHF9ySwBG4G2GR_veo-YlT6vqZc_siMsAmn7xgphdUDGoxeIKRZ1EEIdZe9bgEaiTxij-v8dReBkvWbxT9zYJuJ1pNf3VrygFLZx5bKuhEgBnmmvCXBR_y2u2_kMbbdcLPk2mczy6HvkJoo6WmcJFSxKPI3P_k0EQn0kULXwxBxOI85QGg6tLhBqcAS3QMXin6xrdfEOlw2lvLLPPayUicQEpeKm3PNyDKEvvTwOfOfvoHK157lWbpjv4D6_-QhHdw93zQcrSER5548eC9ZhXToHnZuTXUANSkFptzZeldPnlu4520BdZHWPXnD0GLY-obTVJZIak3APliIxm_smZ9SQiMKL1hsTaS_I9cmX2q8PRUCGN-7K-5r4miZzz8R88CKXR3XO44i8u0HbPCLk_437QMm3MlxFXZLXilY5eJHfZHDoZMBN_Yvao0Kf2RAJgvHlHWmXZcJUNmsIKuwS-UIEPu-dcaWdOojxAHUQ_YLXnkWtsAc5w2lTuSo_uInJEZh0NFDfTk5oEtw6ro7pYl-QuuzDnrfLDR7rWFCVozmLI60C_pO4x6UaPf3YwBxlfeqcYxYVAsxtQSFDZ3o-XK1oLNvcYzVy4TI1xxsX3qeLFttgG9OvX1tlBLELQzEaNvgCOpYHv6kDFFeWCbtCo0cDDlVVDS5YLWzE_5a2DfxRd5osJEEK2-XKCFEXx7uss_DXOT-w-FsOyOCkIo8vCbGm-HS7VypGlMnqhwDapvF9etC40pLfwLaqoBryELFMwWoZJHKmfd38UB7cIZ1XD9c_e0w4="}, {"type": "function_call", "name": "edit_file", "arguments": "{\"file_path\":\"/target.txt\",\"old_string\":\"Project summary\\nWe prepare clear, practical reports.\\n\\nReviewed by the project team.\\nNext step: request a quote.\\n\\nReviewed by the project team.\\nNext step: request a quote.\\n\\nReviewed by the project team.\\nNext step: request a quote.\\n\\nReviewed by the project team.\\n\\nNext step: request a quote.\\n\\nReviewed by the project team.\\n\\nNext step: request a quote.\\n\\nReviewed by the project team.\\n\\nNext step: request a quote.\\n\",\"new_string\":\"Project summary\\nWe prepare clear, practical reports.\\n\\nReviewed by the project team.\\nNext step: request a quote.\\n\\nReviewed by the project team.\\nNext step: request a quote.\\n\\nReviewed by the project team.\\nNext step: request a quote.\\n\\nReviewed by the project team.\\n\\nNext step: request a quote.\\n\\nReviewed by the project team.\\n\\nNext step: request a quote.\\n\\nReviewed by the project team.\\n\\nNext step: request a quote.\\n\\nReviewed by the project team.\\n\",\"replace_all\":false}", "call_id": "call_VYYS6J2FMTFhW0KejPCjRgGd", "id": "fc_079598387a6ba76d006ab5a2fc853087d28c58bd83be62dc11", "index": 1}]
{"name": "edit_file", "args": {"file_path": "/target.txt", "old_string": "Project summary\nWe prepare clear, practical reports.\n\nReviewed by the project team.\nNext step: request a quote.\n\nReviewed by the project team.\nNext step: request a quote.\n\nReviewed by the project team.\nNext step: request a quote.\n\nReviewed by the project team.\n\nNext step: request a quote.\n\nReviewed by the project team.\n\nNext step: request a quote.\n\nReviewed by the project team.\n\nNext step: request a quote.\n", "new_string": "Project summary\nWe prepare clear, practical reports.\n\nReviewed by the project team.\nNext step: request a quote.\n\nReviewed by the project team.\nNext step: request a quote.\n\nReviewed by the project team.\nNext step: request a quote.\n\nReviewed by the project team.\n\nNext step: request a quote.\n\nReviewed by the project team.\n\nNext step: request a quote.\n\nReviewed by the project team.\n\nNext step: request a quote.\n\nReviewed by the project team.\n", "replace_all": false}, "id": "call_VYYS6J2FMTFhW0KejPCjRgGd", "type": "tool_call"}</t>
  </si>
  <si>
    <t>Tool · edit_file</t>
  </si>
  <si>
    <t>01a0d584-b099-7c43-8b18-4f9252cd4ad1</t>
  </si>
  <si>
    <t>{'file_path': '/target.txt', 'old_string': 'Project summary\nWe prepare clear, practical reports.\n\nReviewed by the project team.\nNext step: request a quote.\n\nReviewed by the project team.\nNext step: request a quote.\n\nReviewed by the project team.\nNext step: request a quote.\n\nReviewed by the project team.\n\nNext step: request a quote.\n\nReviewed by the project team.\n\nNext step: request a quote.\n\nReviewed by the project team.\n\nNext step: request a quote.\n', 'new_string': 'Project summary\nWe prepare clear, practical reports.\n\nReviewed by the project team.\nNext step: request a quote.\n\nReviewed by the project team.\nNext step: request a quote.\n\nReviewed by the project team.\nNext step: request a quote.\n\nReviewed by the project team.\n\nNext step: request a quote.\n\nReviewed by the project team.\n\nNext step: request a quote.\n\nReviewed by the project team.\n\nNext step: request a quote.\n\nReviewed by the project team.\n', 'replace_all': False}</t>
  </si>
  <si>
    <t>Successfully replaced 1 instance(s) of the string in '/target.txt'</t>
  </si>
  <si>
    <t>R3</t>
  </si>
  <si>
    <t>01a0d584-b0a0-7d71-8189-c6a238d510e6</t>
  </si>
  <si>
    <t>[{"id": "rs_079598387a6ba76d006ab5a2fea61087d282af123ed014b137", "summary": [], "type": "reasoning", "content": [], "index": 0, "encrypted_content": "gAAAAABqtaL-yB-ts6k24JbpUYRju2EVzC3VFewiy1NiKPDfaPdR5fw4cWctTWDzvL67MYry6jJsyOkKiG_4gEYnHrMqYocqo_IyZPzmCCNbJ3MK9WXf25JGTFlM60SGwP-k483j-h3J5xL7LWqJXSKoz0S069W67tH-vuhvTyAGtxvJRRp9F3tBZ88ggoYyt4y_BUbnXeyJnyiBrLPQeayQgLEO5yfwYp1WY2u2Vxu22-Q_19Hw-RPjLzmn5nVFqhEssNBB8IGcnOAD6FogFWfqVkzypE1QWHagZ7Oj0HVX3SAAZ4mImucDgg4pBrQq5QSKJLLih8eVZgTyU2gRl-0gEFPmtc7LPO16qTQ3YjqvTVryY8K2pxQmYFHPNK5_ku1xGweRCc6RqBORIeG0Uzd63IOw3Hj6h7LYB3HK2MYzJk_MjKFVtCCurEzClZrh2VeuiJ11za7hlMTbbd3NimdZU1dAPugM_8rnCPnhNHCCIjrcDveXtW-4Jh-EyA27wV_o88ZfmDEmsyvXmvcLCL-17oOf1iB7ydczxS9rKzSUBRTHFhWr_WFDZFSThJPMRK1rpoq7tS6uA9u--d9wZTIsn1l42GYJNa9DeDlpgbF-SJoGdyOYHZMqtR3euA-3cm4hSv1Blwdk7chje9uC0s_DfaGIpKrQYoMfULsoCHSYDes4pvSkupHatN2ze9ulOqZMLwNvfee_IjWsBPncBIouR-41kqdxcM0TSgWVPLd9TmcjjJqb-UZY28fc0MvBzzRWHXTqDuuteZyNwfsizxHH7y-vt7VwoFGLdADf0l5s1usS06bYvhMtZ2PIXJc835YHGYywvK3dP6_xL7cd93ZIcWeGEFcvOmLG0YPUNKnh0qNKNqzOM4H-mlY6bHS-8czdAocmmUI0qSFpITyKYO4gNvEvilgefCHrhGg8ae-feuwTNzTTa88HVRUjzBB-lauYewBu2EX7wfauXo5D00TGtPgVTSxzrS7j9pSVb6ScesAIyPXLTHvH_OHhnifz-r9NwSvPV-LHlGKLuu5BXqmoahosarrBW4rbMoCssyl5RNd2pXwOChU7IAFLgCAO2ZMSMNyW-CmhqVOfafsa297n9fUPxr_0ck2d23TUzmurxKtGMnAbu0qV4jaWBkf1iS2jPIBlHbl0WEGofzjd5CXa99ycCoY9RRal8qvUM2hXyYTPtc-GbQ-c0YVT1dNzmd5mTTVq6SJF"}, {"type": "function_call", "name": "read_file", "arguments": "{\"file_path\":\"/target.txt\",\"offset\":0,\"limit\":100}", "call_id": "call_MqDh5MoklYs4fkQzTsBNOj9Y", "id": "fc_079598387a6ba76d006ab5a2fed2d887d2a72761027c12e5a6", "index": 1}]
{"name": "read_file", "args": {"file_path": "/target.txt", "offset": 0, "limit": 100}, "id": "call_MqDh5MoklYs4fkQzTsBNOj9Y", "type": "tool_call"}</t>
  </si>
  <si>
    <t>01a0d584-b43f-7a41-aeb2-c280c2f3f32d</t>
  </si>
  <si>
    <t xml:space="preserve">@@ lines 1-26 of 26 @@
Project summary
We prepare clear, practical reports.
Reviewed by the project team.
Next step: request a quote.
Reviewed by the project team.
Next step: request a quote.
Reviewed by the project team.
Next step: request a quote.
Reviewed by the project team.
Next step: request a quote.
Reviewed by the project team.
Next step: request a quote.
Reviewed by the project team.
Next step: request a quote.
Reviewed by the project team.
</t>
  </si>
  <si>
    <t>R4</t>
  </si>
  <si>
    <t>01a0d584-b446-70d3-9c38-ca717edc16bc</t>
  </si>
  <si>
    <t>[{"id": "rs_079598387a6ba76d006ab5a2ffb24487d2a12d0ebd38c0a8bc", "summary": [], "type": "reasoning", "content": [], "index": 0, "encrypted_content": "gAAAAABqtaMAKPlwtys--nsHS0SX_SxQ-vlJp_2beKtw4ia6YTc2UxbPx5XvAn3rUfE5JozgIfVGQD64Zj3f3uk6yrWaB5dvHZYfsXnDyk7060p5RKN5Uw7uWRjFKvPx8yHPNEJycoX5BQOIKlW6MzRXfq0WrG5jYoZNsuRTt3DxYYm4KBux70jqMHnZpVpbzHemgmuuBDbCcIST9X-pPB_f0TgEzoUhvlr-BZxOzIJZJcYfViK1CvU9xUB0-0K-yc8ylwgJdukWCEKvy4lPR2MGuuHp7ME9rXVA3Ydk8HH9b_H_8TF9AgkcZPzzEmbvpr7SE54GeMf8u_DyNTwX-wRcbWNma8loQBC7q7TcqkWIyh_FTAd5eTXdm1hIbA9o_ZHW376SrCVbz3ck98UeXPUvEsXbRpMF_gQbpKXXkqLc--4OOCrHWNlTup7YFbQGb4zGeXvk_1l6kVmvk8Na1xvPshiyVUCkR_V-lZ088VlUSGuCNNvfmEEbSvwPfCrfDRs5UI5kbSgpH_eb6oiLPzk-WI8HQn9Q92Y135HIdvljtrF83TVbUgPkwNfv7PFkAVz8pPgb-AUDd_aSUZNpYXeI2ljAd7bKjSprDDaG_R5otCm8Ffp7X7UPkxy8yDf6CUINdLkTU1MbKaCohJw_bnKl3oTgsFkAOoEXn-axEiIaaUhhbXbkU9-S_i6wVoBL-WJjTb5M1HrpmEbWYfQSOro2qcfc-jk7Fc6OLnxT8TcjA3V0iG8CI3NfL5HuxcKFZ6UJP3WBk1iOAb4lbyAj11SNwN0BUhqcn1J1ALqOMMM-hOtu_h5DvC36nyDxyXsT_ui4ORPY5dJ3kuqhYtcDsE5uaS7klktDyAMVRTQ9EoSv_j7pzeweKur6RNNENNCBk7Qbi5IGZJo42BzJfZUColFcSXdGzTH9nDQ9YrhlY6Ycv8ubVPMWxyeJ5vki7N-AKTMv4tqMFF9VYFuoEOvPS_A4W79Pysft457kNwz_f0hQU3fQE_ls54abZneJ20Uubkl2_9Ev9X2Rlvv6VRAgFvcerIncQcuJX_k5DaXFewEtEDciH6HIV4g2LvAqF4UZ7dWO3muZsKLszVMgRyHbBKCwxF-G7Lyu1UmIz4VV9LSdGO4fPGfZS46qFLCfWjxWLrEj1bWcRl81qOmptVVzDKoQIprj_w193rJDwQK6l4a97OY4Rlsr6UNFUBHv0kZvqlUZjtVAq9ispHI9EheopY5yyCoje9L_Zu2fECM_TQZphogowPWDs54GpcZZpwtBhNPyywqaFeJi6OZ4PJjlQnVHwHbAWaPs1YeK8F3wejjzcBIBq_uUiMBPaBdQYNwYXSvetNoEkr01"}, {"type": "function_call", "name": "edit_file", "arguments": "{\"file_path\":\"/target.txt\",\"old_string\":\"Project summary\\nWe prepare clear, practical reports.\\n\\nReviewed by the project team.\\nNext step: request a quote.\\n\\nReviewed by the project team.\\nNext step: request a quote.\\n\\nReviewed by the project team.\\nNext step: request a quote.\\n\\nReviewed by the project team.\\n\\nNext step: request a quote.\\n\\nReviewed by the project team.\\n\\nNext step: request a quote.\\n\\nReviewed by the project team.\\n\\nNext step: request a quote.\\n\\nReviewed by the project team.\\n\",\"new_string\":\"Project summary\\nWe prepare clear, practical reports.\\n\\nReviewed by the project team.\\nNext step: request a quote.\\n\\nReviewed by the project team.\\nNext step: request a quote.\\n\\nReviewed by the project team.\\nNext step: request a quote.\\n\\nReviewed by the project team.\\n\\nNext step: request a quote.\\n\\nReviewed by the project team.\\n\\nNext step: request a quote.\\n\\nReviewed by the project team.\\n\\nNext step: request a quote.\\n\\nReviewed by the project team.\\n\\nNext step: request a quote.\\n\",\"replace_all\":false}", "call_id": "call_HqwNjwnlvQowtNsm9V7wugg4", "id": "fc_079598387a6ba76d006ab5a3000a8c87d2afd06e7a8fdd4391", "index": 1}]
{"name": "edit_file", "args": {"file_path": "/target.txt", "old_string": "Project summary\nWe prepare clear, practical reports.\n\nReviewed by the project team.\nNext step: request a quote.\n\nReviewed by the project team.\nNext step: request a quote.\n\nReviewed by the project team.\nNext step: request a quote.\n\nReviewed by the project team.\n\nNext step: request a quote.\n\nReviewed by the project team.\n\nNext step: request a quote.\n\nReviewed by the project team.\n\nNext step: request a quote.\n\nReviewed by the project team.\n", "new_string": "Project summary\nWe prepare clear, practical reports.\n\nReviewed by the project team.\nNext step: request a quote.\n\nReviewed by the project team.\nNext step: request a quote.\n\nReviewed by the project team.\nNext step: request a quote.\n\nReviewed by the project team.\n\nNext step: request a quote.\n\nReviewed by the project team.\n\nNext step: request a quote.\n\nReviewed by the project team.\n\nNext step: request a quote.\n\nReviewed by the project team.\n\nNext step: request a quote.\n", "replace_all": false}, "id": "call_HqwNjwnlvQowtNsm9V7wugg4", "type": "tool_call"}</t>
  </si>
  <si>
    <t>01a0d584-bd8e-70c1-85db-6bc07c7b6a1b</t>
  </si>
  <si>
    <t>{'file_path': '/target.txt', 'old_string': 'Project summary\nWe prepare clear, practical reports.\n\nReviewed by the project team.\nNext step: request a quote.\n\nReviewed by the project team.\nNext step: request a quote.\n\nReviewed by the project team.\nNext step: request a quote.\n\nReviewed by the project team.\n\nNext step: request a quote.\n\nReviewed by the project team.\n\nNext step: request a quote.\n\nReviewed by the project team.\n\nNext step: request a quote.\n\nReviewed by the project team.\n', 'new_string': 'Project summary\nWe prepare clear, practical reports.\n\nReviewed by the project team.\nNext step: request a quote.\n\nReviewed by the project team.\nNext step: request a quote.\n\nReviewed by the project team.\nNext step: request a quote.\n\nReviewed by the project team.\n\nNext step: request a quote.\n\nReviewed by the project team.\n\nNext step: request a quote.\n\nReviewed by the project team.\n\nNext step: request a quote.\n\nReviewed by the project team.\n\nNext step: request a quote.\n', 'replace_all': False}</t>
  </si>
  <si>
    <t>R5</t>
  </si>
  <si>
    <t>01a0d584-bd94-7ae0-9dcc-5d526209ea8a</t>
  </si>
  <si>
    <t>[{"id": "rs_079598387a6ba76d006ab5a30207a487d29a2ca2d1d1c46dc3", "summary": [], "type": "reasoning", "content": [], "index": 0, "encrypted_content": "gAAAAABqtaMCXuGc77GXwZjpvfh_GAhYnA7snfN9IhQ827i1g0ZVVwmKuxktw7clcBHxkEQVblH73tuGNYNSJTZVYnPq9tlCSqQTKooAVBI0afojDBNTBV1_0aDC2-eVh9uxMWzH_T6F8Uiy--R69lNtDm3SQorNLs7dlig5aukYV4BaHUFqNOxmnbGq-P42pGNW1PZj9ahwxOucxcXLhUzGpTb7yoTATxaqWrJLnhvUmKYCk00U16jRZJZd3TCQvKaDgaFZ067ct-v2HjwpY4NLxOy2VQGnQ4HqDlNYJjtMM_s37VIugVTFZqYZTg2R864LJZz79oVYAC1MdQ7eheATaMC-8za6U45ArP7htnSIGOxABKfklbzJsD-n_ZfvvyQSzY_reymXubUK7WzZLFd2aK6WJ_V2ABORpVGt97Vvzj7w6yiN892r54BrtAF78wLjkU4B5XmYHTazdMh0f3EbR81Qov1crzlHs3pv92MZ6zH5Gnftoef6l0blXU1pDnuxHVmlIue0R1xdsx0YjSYZ-yMqPohDgDxmfb4hQmnmg343MmaDQules6UWVVT7sgClTPGh0SYJ5crHfnTJ7E8O3heKRH3WwlWuEXnoX0QeEd3yW8ZW9bJKMsnEQ_nyewqaqihiIwTd103FO2wNATyD7xPPD1jMyCAmrIWlWICuQW7m1BwHU42JZIPQbTxvzqhKuVN70aaRmJ_rq-Rlumqh1YtuW_gSMqU1bdd4ns7mY2D3cdNePJFscqdPCzXF6xzWCVxS3JjL-bz-iTuvQByoygt4NT0pf5XkbdJiuCwXC8OD_DAMAJUrPCEK6dUGl3k98nL4VmWM8vxg27vEAK9En80eq6sg1E7BimRKnMBnrlPFcswm6LTE0Kg3_pA3j7eaJFjOMrBJt1HYBQZAgsUAnjfwkSdasslTM3naAApjTp-_HYa_xNB5W-gbxsJ4VXb9PcxDi22_R-iUSH91e124zYs3zS4beB6nrTJeY2B3NfCCPW-Z5hzXM3b6Zq5VdOTvg_10DC-AXFTv1qEvve3zcSRpwpG7PFXzh-IRsvFXgYfp-wrYkwpir-J2FVJVp8rBlBZU4mX2ClIvdM0w4--A1uT9EYcdOcKu7g_EBZ3grOwsQ4L0Gz0HKlpy05GgQuFMNzrEFr72B6yS1TRuDIid-BbuEzSU7Jysd1H6UUXgYvc79EU8AtKeT4uPasNjgU4LnUynzwoaS2PFWG_DZM0XxEkEKx6MIqJrIvDWmXvtseysZhs9ciiDGXw-bLV6I0n4xyHWbT0s3iJaualA1zIA-UFUVTUu7A=="}, {"type": "function_call", "name": "read_file", "arguments": "{\"file_path\":\"/target.txt\",\"offset\":0,\"limit\":100}", "call_id": "call_ue7UpFal0FFQmyTYltskPAIV", "id": "fc_079598387a6ba76d006ab5a3024a6887d298593133e5ef8019", "index": 1}]
{"name": "read_file", "args": {"file_path": "/target.txt", "offset": 0, "limit": 100}, "id": "call_ue7UpFal0FFQmyTYltskPAIV", "type": "tool_call"}</t>
  </si>
  <si>
    <t>01a0d584-c1d7-7f40-ab26-4998532b81df</t>
  </si>
  <si>
    <t xml:space="preserve">@@ lines 1-28 of 28 @@
Project summary
We prepare clear, practical reports.
Reviewed by the project team.
Next step: request a quote.
Reviewed by the project team.
Next step: request a quote.
Reviewed by the project team.
Next step: request a quote.
Reviewed by the project team.
Next step: request a quote.
Reviewed by the project team.
Next step: request a quote.
Reviewed by the project team.
Next step: request a quote.
Reviewed by the project team.
Next step: request a quote.
</t>
  </si>
  <si>
    <t>R6</t>
  </si>
  <si>
    <t>01a0d584-c1df-7731-959a-5bdf56550d1c</t>
  </si>
  <si>
    <t>[{"type": "text", "text": "Appended separately to `/target.txt`:\n\n1. `Reviewed by the project team.`\n2. `Next step: request a quote.`", "phase": "final_answer", "index": 0, "id": "msg_079598387a6ba76d006ab5a3033fc487d2932f8db3d1e16945"}]</t>
  </si>
  <si>
    <t>file_editor</t>
  </si>
  <si>
    <t>workflow</t>
  </si>
  <si>
    <t>Execute the file_editor workflow operation and pass its result to the next graph step.</t>
  </si>
  <si>
    <t>Subtree total</t>
  </si>
  <si>
    <t xml:space="preserve">    RestrictedToolApproval.before_model</t>
  </si>
  <si>
    <t>Execute the RestrictedToolApproval.before_model workflow operation and pass its result to the next graph step.</t>
  </si>
  <si>
    <t>01a0d584-97f8-7cb2-bc9a-343f233811e7</t>
  </si>
  <si>
    <t>No model charge</t>
  </si>
  <si>
    <t xml:space="preserve">    model</t>
  </si>
  <si>
    <t>Prepare the current conversation, run model middleware, and invoke the chat model.</t>
  </si>
  <si>
    <t>01a0d584-97fb-7cb0-be73-462e45ce8d69</t>
  </si>
  <si>
    <t xml:space="preserve">        ChatOpenAI</t>
  </si>
  <si>
    <t>model</t>
  </si>
  <si>
    <t>Generate the next assistant message or tool request from the current conversation.</t>
  </si>
  <si>
    <t>Own call</t>
  </si>
  <si>
    <t xml:space="preserve">    RestrictedToolApproval.after_model</t>
  </si>
  <si>
    <t>Execute the RestrictedToolApproval.after_model workflow operation and pass its result to the next graph step.</t>
  </si>
  <si>
    <t>01a0d584-9e58-7c23-ae0d-64fa75215735</t>
  </si>
  <si>
    <t xml:space="preserve">    tools</t>
  </si>
  <si>
    <t>Execute tool calls requested by the preceding model response and return their observations.</t>
  </si>
  <si>
    <t>01a0d584-9e5b-7341-8f44-1bc642f325dd</t>
  </si>
  <si>
    <t xml:space="preserve">        read_file</t>
  </si>
  <si>
    <t>tool</t>
  </si>
  <si>
    <t>Reads a file from the filesystem. Assume any path the user provides is valid; reading a missing file returns an error.
Usage:
- By default, it reads up to 100 lines starting from the beginning of the file. Use `offset`/`limit` to page through large files instead of reading them whole.
- A status header, `@@ field | field | ... @@`, sits above the file content, and every line after it is verbatim file content. When content is truncated, there may be an explanation before the header. Never include the header when editing.
- Speculatively batch multiple `read_file` calls in one response when several files may be useful.
- An empty file returns a system-reminder warning in place of contents.
- Large tool results may be offloaded to a file; the tool message gives the path. Read that path here, paging with `offset`/`limit`.
- Images (`.png`, `.jpg`, etc.), audio, video, and PDFs return multimodal content blocks (https://docs.langchain.com/oss/python/langchain/messages#multimodal).
- For images and PDFs, pagination via `offset`/`limit` is text-only - supply `file_path` only
- Always read a file before editing it.</t>
  </si>
  <si>
    <t>01a0d584-9e5b-7341-8f44-1bdcfd616b98</t>
  </si>
  <si>
    <t>01a0d584-9e65-7621-9638-fc77a5e73d03</t>
  </si>
  <si>
    <t>01a0d584-9e67-73a3-9e06-8268bc73b9a8</t>
  </si>
  <si>
    <t>interrupted</t>
  </si>
  <si>
    <t>01a0d584-b068-7c91-a7f8-03c81c7c5ad2</t>
  </si>
  <si>
    <t>01a0d584-b093-7943-b1d1-cb0b430754ef</t>
  </si>
  <si>
    <t>01a0d584-b094-7853-9254-abdf50cf696e</t>
  </si>
  <si>
    <t>01a0d584-b097-7a80-9d4d-6d4501f77a3c</t>
  </si>
  <si>
    <t xml:space="preserve">        edit_file</t>
  </si>
  <si>
    <t>Performs exact string replacements in files.
Usage:
- You must read the file before editing; this tool errors otherwise.
- Preserve the exact source indentation from the read output, and never include the read status header in old_string or new_string.
- Prefer editing an existing file over creating a new one.
- Only use emojis if the user explicitly requests it.</t>
  </si>
  <si>
    <t>01a0d584-b09d-7b10-8c3b-c44c8efe30dc</t>
  </si>
  <si>
    <t>01a0d584-b09f-7620-bb92-a38747c20eba</t>
  </si>
  <si>
    <t>01a0d584-b43b-74e0-904e-bee13038c100</t>
  </si>
  <si>
    <t>01a0d584-b43d-7802-89ab-6ecd788151a4</t>
  </si>
  <si>
    <t>01a0d584-b443-70d0-951b-05f4fe3efbd6</t>
  </si>
  <si>
    <t>01a0d584-b445-7c32-a4cd-2f464fb8b3eb</t>
  </si>
  <si>
    <t>01a0d584-bd72-7230-b838-3f31c394086e</t>
  </si>
  <si>
    <t>01a0d584-bd89-77b1-ad50-a619d414860c</t>
  </si>
  <si>
    <t>01a0d584-bd8a-74e0-8f47-081c5b21262a</t>
  </si>
  <si>
    <t>01a0d584-bd8c-74c3-90fd-69435071b077</t>
  </si>
  <si>
    <t>01a0d584-bd91-7d12-a39a-0fea1fefdf38</t>
  </si>
  <si>
    <t>01a0d584-bd93-7b22-a479-8c839e363bc9</t>
  </si>
  <si>
    <t>01a0d584-c1d2-7612-a2ab-9623e97ab516</t>
  </si>
  <si>
    <t>01a0d584-c1d5-7dc2-bd3d-89271b55eac8</t>
  </si>
  <si>
    <t>01a0d584-c1da-7862-a6d0-5e1f469b97cb</t>
  </si>
  <si>
    <t>01a0d584-c1dd-7890-a17a-b2ecea917653</t>
  </si>
  <si>
    <t>01a0d584-c5d8-78d0-938d-6dd9d48a3fae</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</si>
</sst>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99"/>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IF(COUNT('Turns'!E17,'Turns'!E36,'Turns'!E52,'Turns'!E68,'Turns'!E84,'Turns'!E99)=6,SUM('Turns'!E17,'Turns'!E36,'Turns'!E52,'Turns'!E68,'Turns'!E84,'Turns'!E99),"Unknown")</f>
        <v>0.0018622248346</v>
      </c>
      <c r="F2" s="2">
        <f>IF(COUNT('Turns'!F17,'Turns'!F36,'Turns'!F52,'Turns'!F68,'Turns'!F84,'Turns'!F99)=6,SUM('Turns'!F17,'Turns'!F36,'Turns'!F52,'Turns'!F68,'Turns'!F84,'Turns'!F99),"Unknown")</f>
        <v>0.00211679</v>
      </c>
      <c r="G2" s="5">
        <f>IF(ISNUMBER(E2),ROUND(E2*'Reference data'!$B$2,0),"Unknown")</f>
        <v>186.0</v>
      </c>
      <c r="H2" s="5">
        <f>IF(ISNUMBER(F2),ROUND(F2*'Reference data'!$B$2,0),"Unknown")</f>
        <v>212.0</v>
      </c>
    </row>
    <row r="3" spans="1:13" s="4" customFormat="1" ht="24" customHeight="1">
      <c r="B3" s="4">
        <v>1</v>
      </c>
      <c r="C3" s="4" t="s">
        <v>92</v>
      </c>
      <c r="E3" s="2">
        <f>IF(COUNT('Turns'!E17,'Turns'!E36,'Turns'!E52,'Turns'!E68,'Turns'!E84,'Turns'!E99)=6,SUM('Turns'!E17,'Turns'!E36,'Turns'!E52,'Turns'!E68,'Turns'!E84,'Turns'!E99),"Unknown")</f>
        <v>0.0018622248346</v>
      </c>
      <c r="F3" s="2">
        <f>IF(COUNT('Turns'!F17,'Turns'!F36,'Turns'!F52,'Turns'!F68,'Turns'!F84,'Turns'!F99)=6,SUM('Turns'!F17,'Turns'!F36,'Turns'!F52,'Turns'!F68,'Turns'!F84,'Turns'!F99),"Unknown")</f>
        <v>0.00211679</v>
      </c>
      <c r="G3" s="5">
        <f>IF(ISNUMBER(E3),ROUND(E3*'Reference data'!$B$2,0),"Unknown")</f>
        <v>186.0</v>
      </c>
      <c r="H3" s="5">
        <f>IF(ISNUMBER(F3),ROUND(F3*'Reference data'!$B$2,0),"Unknown")</f>
        <v>212.0</v>
      </c>
    </row>
    <row r="4" spans="1:13" s="4" customFormat="1" ht="24" customHeight="1">
      <c r="A4" s="4" t="s">
        <v>93</v>
      </c>
      <c r="B4" s="4">
        <v>1</v>
      </c>
      <c r="C4" s="4" t="s">
        <v>94</v>
      </c>
      <c r="D4" s="4">
        <v>888</v>
      </c>
      <c r="J4" s="4" t="s">
        <v>95</v>
      </c>
      <c r="M4" s="4" t="s">
        <v>96</v>
      </c>
    </row>
    <row r="5" spans="1:13" ht="24" customHeight="1">
      <c r="A5" t="s">
        <v>93</v>
      </c>
      <c r="B5">
        <v>1</v>
      </c>
      <c r="C5" t="s">
        <v>97</v>
      </c>
      <c r="D5" s="5">
        <v>888</v>
      </c>
      <c r="E5" s="2">
        <f>IF(AND(ISNUMBER(F5),ISNUMBER('Reference data'!$B$3)),F5*'Reference data'!$B$3,"Unknown")</f>
        <v>0.000156241824</v>
      </c>
      <c r="F5" s="2">
        <f>IF(D5=0,0,IF(ISNUMBER('Reference data'!B17),D5*'Reference data'!B17/1000000,"Unknown"))</f>
        <v>0.0001776</v>
      </c>
      <c r="G5" s="5">
        <f>IF(ISNUMBER(E5),ROUND(E5*'Reference data'!$B$2,0),"Unknown")</f>
        <v>16.0</v>
      </c>
      <c r="H5" s="5">
        <f>IF(ISNUMBER(F5),ROUND(F5*'Reference data'!$B$2,0),"Unknown")</f>
        <v>18.0</v>
      </c>
    </row>
    <row r="6" spans="1:13" ht="24" customHeight="1">
      <c r="A6" t="s">
        <v>93</v>
      </c>
      <c r="B6">
        <v>1</v>
      </c>
      <c r="C6" t="s">
        <v>98</v>
      </c>
    </row>
    <row r="7" spans="1:13" ht="164" customHeight="1">
      <c r="A7" t="s">
        <v>93</v>
      </c>
      <c r="B7">
        <v>1</v>
      </c>
      <c r="C7" t="s">
        <v>99</v>
      </c>
      <c r="I7" s="6" t="s">
        <v>100</v>
      </c>
    </row>
    <row r="8" spans="1:13" ht="34" customHeight="1">
      <c r="A8" t="s">
        <v>93</v>
      </c>
      <c r="B8">
        <v>1</v>
      </c>
      <c r="C8" t="s">
        <v>101</v>
      </c>
      <c r="I8" s="6" t="s">
        <v>102</v>
      </c>
    </row>
    <row r="9" spans="1:13" ht="24" customHeight="1">
      <c r="A9" t="s">
        <v>93</v>
      </c>
      <c r="B9">
        <v>1</v>
      </c>
      <c r="C9" t="s">
        <v>103</v>
      </c>
    </row>
    <row r="10" spans="1:13" ht="24" customHeight="1">
      <c r="A10" t="s">
        <v>93</v>
      </c>
      <c r="B10">
        <v>1</v>
      </c>
      <c r="C10" t="s">
        <v>104</v>
      </c>
    </row>
    <row r="11" spans="1:13" s="4" customFormat="1" ht="24" customHeight="1">
      <c r="A11" s="4" t="s">
        <v>93</v>
      </c>
      <c r="B11" s="4">
        <v>1</v>
      </c>
      <c r="C11" s="4" t="s">
        <v>105</v>
      </c>
      <c r="D11" s="4">
        <v>87</v>
      </c>
    </row>
    <row r="12" spans="1:13" ht="24" customHeight="1">
      <c r="A12" t="s">
        <v>93</v>
      </c>
      <c r="B12">
        <v>1</v>
      </c>
      <c r="C12" t="s">
        <v>106</v>
      </c>
      <c r="D12" s="5">
        <v>15</v>
      </c>
      <c r="E12" s="2">
        <f>IF(AND(ISNUMBER(F12),ISNUMBER('Reference data'!$B$3)),F12*'Reference data'!$B$3,"Unknown")</f>
        <v>1.583532e-05</v>
      </c>
      <c r="F12" s="2">
        <f>IF(D12=0,0,IF(ISNUMBER('Reference data'!F17),D12*'Reference data'!F17/1000000,"Unknown"))</f>
        <v>1.8e-05</v>
      </c>
      <c r="G12" s="5">
        <f>IF(ISNUMBER(E12),ROUND(E12*'Reference data'!$B$2,0),"Unknown")</f>
        <v>2.0</v>
      </c>
      <c r="H12" s="5">
        <f>IF(ISNUMBER(F12),ROUND(F12*'Reference data'!$B$2,0),"Unknown")</f>
        <v>2.0</v>
      </c>
    </row>
    <row r="13" spans="1:13" ht="24" customHeight="1">
      <c r="A13" t="s">
        <v>93</v>
      </c>
      <c r="B13">
        <v>1</v>
      </c>
      <c r="C13" t="s">
        <v>107</v>
      </c>
      <c r="D13" s="5">
        <v>72</v>
      </c>
      <c r="E13" s="2">
        <f>IF(AND(ISNUMBER(F13),ISNUMBER('Reference data'!$B$3)),F13*'Reference data'!$B$3,"Unknown")</f>
        <v>7.6009536e-05</v>
      </c>
      <c r="F13" s="2">
        <f>IF(D13=0,0,IF(ISNUMBER('Reference data'!E17),D13*'Reference data'!E17/1000000,"Unknown"))</f>
        <v>8.64e-05</v>
      </c>
      <c r="G13" s="5">
        <f>IF(ISNUMBER(E13),ROUND(E13*'Reference data'!$B$2,0),"Unknown")</f>
        <v>8.0</v>
      </c>
      <c r="H13" s="5">
        <f>IF(ISNUMBER(F13),ROUND(F13*'Reference data'!$B$2,0),"Unknown")</f>
        <v>9.0</v>
      </c>
    </row>
    <row r="14" spans="1:13" ht="346" customHeight="1">
      <c r="A14" t="s">
        <v>93</v>
      </c>
      <c r="B14">
        <v>1</v>
      </c>
      <c r="C14" t="s">
        <v>108</v>
      </c>
      <c r="I14" s="6" t="s">
        <v>109</v>
      </c>
    </row>
    <row r="15" spans="1:13" ht="24" customHeight="1">
      <c r="A15" t="s">
        <v>93</v>
      </c>
      <c r="B15">
        <v>1</v>
      </c>
      <c r="C15" t="s">
        <v>103</v>
      </c>
    </row>
    <row r="16" spans="1:13" ht="24" customHeight="1">
      <c r="A16" t="s">
        <v>93</v>
      </c>
      <c r="B16">
        <v>1</v>
      </c>
      <c r="C16" t="s">
        <v>104</v>
      </c>
    </row>
    <row r="17" spans="1:13" s="4" customFormat="1" ht="24" customHeight="1">
      <c r="A17" s="4" t="s">
        <v>93</v>
      </c>
      <c r="B17" s="4">
        <v>1</v>
      </c>
      <c r="C17" s="4" t="s">
        <v>110</v>
      </c>
      <c r="E17" s="2">
        <f>IF(COUNT('Turns'!E5,'Turns'!E12,'Turns'!E13)=3,SUM('Turns'!E5,'Turns'!E12,'Turns'!E13),"Unknown")</f>
        <v>0.00024808668</v>
      </c>
      <c r="F17" s="2">
        <f>IF(COUNT('Turns'!F5,'Turns'!F12,'Turns'!F13)=3,SUM('Turns'!F5,'Turns'!F12,'Turns'!F13),"Unknown")</f>
        <v>0.000282</v>
      </c>
      <c r="G17" s="5">
        <f>IF(ISNUMBER(E17),ROUND(E17*'Reference data'!$B$2,0),"Unknown")</f>
        <v>25.0</v>
      </c>
      <c r="H17" s="5">
        <f>IF(ISNUMBER(F17),ROUND(F17*'Reference data'!$B$2,0),"Unknown")</f>
        <v>28.0</v>
      </c>
      <c r="K17" s="4" t="s">
        <v>111</v>
      </c>
    </row>
    <row r="18" spans="1:13" s="4" customFormat="1" ht="24" customHeight="1">
      <c r="B18" s="4">
        <v>1</v>
      </c>
      <c r="C18" s="4" t="s">
        <v>112</v>
      </c>
      <c r="K18" s="4" t="s">
        <v>111</v>
      </c>
      <c r="M18" s="4" t="s">
        <v>113</v>
      </c>
    </row>
    <row r="19" spans="1:13" ht="24" customHeight="1">
      <c r="B19">
        <v>1</v>
      </c>
      <c r="C19" t="s">
        <v>114</v>
      </c>
      <c r="I19" s="6" t="s">
        <v>115</v>
      </c>
    </row>
    <row r="20" spans="1:13" ht="47" customHeight="1">
      <c r="B20">
        <v>1</v>
      </c>
      <c r="C20" t="s">
        <v>116</v>
      </c>
      <c r="I20" s="6" t="s">
        <v>117</v>
      </c>
    </row>
    <row r="21" spans="1:13" s="4" customFormat="1" ht="24" customHeight="1">
      <c r="B21" s="4">
        <v>1</v>
      </c>
      <c r="C21" s="4" t="s">
        <v>112</v>
      </c>
      <c r="K21" s="4" t="s">
        <v>111</v>
      </c>
      <c r="M21" s="4" t="s">
        <v>118</v>
      </c>
    </row>
    <row r="22" spans="1:13" ht="24" customHeight="1">
      <c r="B22">
        <v>1</v>
      </c>
      <c r="C22" t="s">
        <v>114</v>
      </c>
      <c r="I22" s="6" t="s">
        <v>119</v>
      </c>
    </row>
    <row r="23" spans="1:13" ht="320" customHeight="1">
      <c r="B23">
        <v>1</v>
      </c>
      <c r="C23" t="s">
        <v>116</v>
      </c>
      <c r="I23" s="6" t="s">
        <v>120</v>
      </c>
    </row>
    <row r="24" spans="1:13" s="4" customFormat="1" ht="24" customHeight="1">
      <c r="A24" s="4" t="s">
        <v>121</v>
      </c>
      <c r="B24" s="4">
        <v>1</v>
      </c>
      <c r="C24" s="4" t="s">
        <v>94</v>
      </c>
      <c r="D24" s="4">
        <v>1115</v>
      </c>
      <c r="J24" s="4" t="s">
        <v>95</v>
      </c>
      <c r="M24" s="4" t="s">
        <v>122</v>
      </c>
    </row>
    <row r="25" spans="1:13" ht="24" customHeight="1">
      <c r="A25" t="s">
        <v>121</v>
      </c>
      <c r="B25">
        <v>1</v>
      </c>
      <c r="C25" t="s">
        <v>123</v>
      </c>
      <c r="D25" s="5">
        <v>0</v>
      </c>
      <c r="E25" s="2">
        <f>IF(AND(ISNUMBER(F25),ISNUMBER('Reference data'!$B$3)),F25*'Reference data'!$B$3,"Unknown")</f>
        <v>0.0</v>
      </c>
      <c r="F25" s="2">
        <f>IF(D25=0,0,IF(ISNUMBER('Reference data'!C17),D25*'Reference data'!C17/1000000,"Unknown"))</f>
        <v>0.0</v>
      </c>
      <c r="G25" s="5">
        <f>IF(ISNUMBER(E25),ROUND(E25*'Reference data'!$B$2,0),"Unknown")</f>
        <v>0.0</v>
      </c>
      <c r="H25" s="5">
        <f>IF(ISNUMBER(F25),ROUND(F25*'Reference data'!$B$2,0),"Unknown")</f>
        <v>0.0</v>
      </c>
    </row>
    <row r="26" spans="1:13" ht="24" customHeight="1">
      <c r="A26" t="s">
        <v>121</v>
      </c>
      <c r="B26">
        <v>1</v>
      </c>
      <c r="C26" t="s">
        <v>97</v>
      </c>
      <c r="D26" s="5">
        <v>3</v>
      </c>
      <c r="E26" s="2">
        <f>IF(AND(ISNUMBER(F26),ISNUMBER('Reference data'!$B$3)),F26*'Reference data'!$B$3,"Unknown")</f>
        <v>5.27844e-07</v>
      </c>
      <c r="F26" s="2">
        <f>IF(D26=0,0,IF(ISNUMBER('Reference data'!B17),D26*'Reference data'!B17/1000000,"Unknown"))</f>
        <v>6e-07</v>
      </c>
      <c r="G26" s="5">
        <f>IF(ISNUMBER(E26),ROUND(E26*'Reference data'!$B$2,0),"Unknown")</f>
        <v>0.0</v>
      </c>
      <c r="H26" s="5">
        <f>IF(ISNUMBER(F26),ROUND(F26*'Reference data'!$B$2,0),"Unknown")</f>
        <v>0.0</v>
      </c>
    </row>
    <row r="27" spans="1:13" ht="359" customHeight="1">
      <c r="A27" t="s">
        <v>121</v>
      </c>
      <c r="B27">
        <v>1</v>
      </c>
      <c r="C27" t="s">
        <v>124</v>
      </c>
      <c r="I27" s="6" t="s">
        <v>125</v>
      </c>
    </row>
    <row r="28" spans="1:13" ht="24" customHeight="1">
      <c r="A28" t="s">
        <v>121</v>
      </c>
      <c r="B28">
        <v>1</v>
      </c>
      <c r="C28" t="s">
        <v>103</v>
      </c>
      <c r="D28" s="5">
        <v>1112</v>
      </c>
      <c r="E28" s="2">
        <f>IF(AND(ISNUMBER(F28),ISNUMBER('Reference data'!$B$3)),F28*'Reference data'!$B$3,"Unknown")</f>
        <v>0.00024456772</v>
      </c>
      <c r="F28" s="2">
        <f>IF(D28=0,0,IF(ISNUMBER('Reference data'!D17),D28*'Reference data'!D17/1000000,"Unknown"))</f>
        <v>0.000278</v>
      </c>
      <c r="G28" s="5">
        <f>IF(ISNUMBER(E28),ROUND(E28*'Reference data'!$B$2,0),"Unknown")</f>
        <v>24.0</v>
      </c>
      <c r="H28" s="5">
        <f>IF(ISNUMBER(F28),ROUND(F28*'Reference data'!$B$2,0),"Unknown")</f>
        <v>28.0</v>
      </c>
    </row>
    <row r="29" spans="1:13" ht="24" customHeight="1">
      <c r="A29" t="s">
        <v>121</v>
      </c>
      <c r="B29">
        <v>1</v>
      </c>
      <c r="C29" t="s">
        <v>104</v>
      </c>
    </row>
    <row r="30" spans="1:13" s="4" customFormat="1" ht="24" customHeight="1">
      <c r="A30" s="4" t="s">
        <v>121</v>
      </c>
      <c r="B30" s="4">
        <v>1</v>
      </c>
      <c r="C30" s="4" t="s">
        <v>105</v>
      </c>
      <c r="D30" s="4">
        <v>501</v>
      </c>
    </row>
    <row r="31" spans="1:13" ht="24" customHeight="1">
      <c r="A31" t="s">
        <v>121</v>
      </c>
      <c r="B31">
        <v>1</v>
      </c>
      <c r="C31" t="s">
        <v>106</v>
      </c>
      <c r="D31" s="5">
        <v>237</v>
      </c>
      <c r="E31" s="2">
        <f>IF(AND(ISNUMBER(F31),ISNUMBER('Reference data'!$B$3)),F31*'Reference data'!$B$3,"Unknown")</f>
        <v>0.000250198056</v>
      </c>
      <c r="F31" s="2">
        <f>IF(D31=0,0,IF(ISNUMBER('Reference data'!F17),D31*'Reference data'!F17/1000000,"Unknown"))</f>
        <v>0.0002844</v>
      </c>
      <c r="G31" s="5">
        <f>IF(ISNUMBER(E31),ROUND(E31*'Reference data'!$B$2,0),"Unknown")</f>
        <v>25.0</v>
      </c>
      <c r="H31" s="5">
        <f>IF(ISNUMBER(F31),ROUND(F31*'Reference data'!$B$2,0),"Unknown")</f>
        <v>28.0</v>
      </c>
    </row>
    <row r="32" spans="1:13" ht="24" customHeight="1">
      <c r="A32" t="s">
        <v>121</v>
      </c>
      <c r="B32">
        <v>1</v>
      </c>
      <c r="C32" t="s">
        <v>107</v>
      </c>
      <c r="D32" s="5">
        <v>264</v>
      </c>
      <c r="E32" s="2">
        <f>IF(AND(ISNUMBER(F32),ISNUMBER('Reference data'!$B$3)),F32*'Reference data'!$B$3,"Unknown")</f>
        <v>0.000278701632</v>
      </c>
      <c r="F32" s="2">
        <f>IF(D32=0,0,IF(ISNUMBER('Reference data'!E17),D32*'Reference data'!E17/1000000,"Unknown"))</f>
        <v>0.0003168</v>
      </c>
      <c r="G32" s="5">
        <f>IF(ISNUMBER(E32),ROUND(E32*'Reference data'!$B$2,0),"Unknown")</f>
        <v>28.0</v>
      </c>
      <c r="H32" s="5">
        <f>IF(ISNUMBER(F32),ROUND(F32*'Reference data'!$B$2,0),"Unknown")</f>
        <v>32.0</v>
      </c>
    </row>
    <row r="33" spans="1:13" ht="409" customHeight="1">
      <c r="A33" t="s">
        <v>121</v>
      </c>
      <c r="B33">
        <v>1</v>
      </c>
      <c r="C33" t="s">
        <v>108</v>
      </c>
      <c r="I33" s="6" t="s">
        <v>126</v>
      </c>
    </row>
    <row r="34" spans="1:13" ht="24" customHeight="1">
      <c r="A34" t="s">
        <v>121</v>
      </c>
      <c r="B34">
        <v>1</v>
      </c>
      <c r="C34" t="s">
        <v>103</v>
      </c>
    </row>
    <row r="35" spans="1:13" ht="24" customHeight="1">
      <c r="A35" t="s">
        <v>121</v>
      </c>
      <c r="B35">
        <v>1</v>
      </c>
      <c r="C35" t="s">
        <v>104</v>
      </c>
    </row>
    <row r="36" spans="1:13" s="4" customFormat="1" ht="24" customHeight="1">
      <c r="A36" s="4" t="s">
        <v>121</v>
      </c>
      <c r="B36" s="4">
        <v>1</v>
      </c>
      <c r="C36" s="4" t="s">
        <v>110</v>
      </c>
      <c r="E36" s="2">
        <f>IF(COUNT('Turns'!E25,'Turns'!E26,'Turns'!E28,'Turns'!E31,'Turns'!E32)=5,SUM('Turns'!E25,'Turns'!E26,'Turns'!E28,'Turns'!E31,'Turns'!E32),"Unknown")</f>
        <v>0.000773995252</v>
      </c>
      <c r="F36" s="2">
        <f>IF(COUNT('Turns'!F25,'Turns'!F26,'Turns'!F28,'Turns'!F31,'Turns'!F32)=5,SUM('Turns'!F25,'Turns'!F26,'Turns'!F28,'Turns'!F31,'Turns'!F32),"Unknown")</f>
        <v>0.0008798</v>
      </c>
      <c r="G36" s="5">
        <f>IF(ISNUMBER(E36),ROUND(E36*'Reference data'!$B$2,0),"Unknown")</f>
        <v>77.0</v>
      </c>
      <c r="H36" s="5">
        <f>IF(ISNUMBER(F36),ROUND(F36*'Reference data'!$B$2,0),"Unknown")</f>
        <v>88.0</v>
      </c>
      <c r="K36" s="4" t="s">
        <v>111</v>
      </c>
    </row>
    <row r="37" spans="1:13" s="4" customFormat="1" ht="24" customHeight="1">
      <c r="B37" s="4">
        <v>1</v>
      </c>
      <c r="C37" s="4" t="s">
        <v>127</v>
      </c>
      <c r="K37" s="4" t="s">
        <v>111</v>
      </c>
      <c r="M37" s="4" t="s">
        <v>128</v>
      </c>
    </row>
    <row r="38" spans="1:13" ht="164" customHeight="1">
      <c r="B38">
        <v>1</v>
      </c>
      <c r="C38" t="s">
        <v>114</v>
      </c>
      <c r="I38" s="6" t="s">
        <v>129</v>
      </c>
    </row>
    <row r="39" spans="1:13" ht="24" customHeight="1">
      <c r="B39">
        <v>1</v>
      </c>
      <c r="C39" t="s">
        <v>116</v>
      </c>
      <c r="I39" s="6" t="s">
        <v>130</v>
      </c>
    </row>
    <row r="40" spans="1:13" s="4" customFormat="1" ht="24" customHeight="1">
      <c r="A40" s="4" t="s">
        <v>131</v>
      </c>
      <c r="B40" s="4">
        <v>1</v>
      </c>
      <c r="C40" s="4" t="s">
        <v>94</v>
      </c>
      <c r="D40" s="4">
        <v>1642</v>
      </c>
      <c r="J40" s="4" t="s">
        <v>95</v>
      </c>
      <c r="M40" s="4" t="s">
        <v>132</v>
      </c>
    </row>
    <row r="41" spans="1:13" ht="24" customHeight="1">
      <c r="A41" t="s">
        <v>131</v>
      </c>
      <c r="B41">
        <v>1</v>
      </c>
      <c r="C41" t="s">
        <v>123</v>
      </c>
      <c r="D41" s="5">
        <v>1112</v>
      </c>
      <c r="E41" s="2">
        <f>IF(AND(ISNUMBER(F41),ISNUMBER('Reference data'!$B$3)),F41*'Reference data'!$B$3,"Unknown")</f>
        <v>1.95654176e-05</v>
      </c>
      <c r="F41" s="2">
        <f>IF(D41=0,0,IF(ISNUMBER('Reference data'!C17),D41*'Reference data'!C17/1000000,"Unknown"))</f>
        <v>2.224e-05</v>
      </c>
      <c r="G41" s="5">
        <f>IF(ISNUMBER(E41),ROUND(E41*'Reference data'!$B$2,0),"Unknown")</f>
        <v>2.0</v>
      </c>
      <c r="H41" s="5">
        <f>IF(ISNUMBER(F41),ROUND(F41*'Reference data'!$B$2,0),"Unknown")</f>
        <v>2.0</v>
      </c>
    </row>
    <row r="42" spans="1:13" ht="24" customHeight="1">
      <c r="A42" t="s">
        <v>131</v>
      </c>
      <c r="B42">
        <v>1</v>
      </c>
      <c r="C42" t="s">
        <v>97</v>
      </c>
      <c r="D42" s="5">
        <v>3</v>
      </c>
      <c r="E42" s="2">
        <f>IF(AND(ISNUMBER(F42),ISNUMBER('Reference data'!$B$3)),F42*'Reference data'!$B$3,"Unknown")</f>
        <v>5.27844e-07</v>
      </c>
      <c r="F42" s="2">
        <f>IF(D42=0,0,IF(ISNUMBER('Reference data'!B17),D42*'Reference data'!B17/1000000,"Unknown"))</f>
        <v>6e-07</v>
      </c>
      <c r="G42" s="5">
        <f>IF(ISNUMBER(E42),ROUND(E42*'Reference data'!$B$2,0),"Unknown")</f>
        <v>0.0</v>
      </c>
      <c r="H42" s="5">
        <f>IF(ISNUMBER(F42),ROUND(F42*'Reference data'!$B$2,0),"Unknown")</f>
        <v>0.0</v>
      </c>
    </row>
    <row r="43" spans="1:13" ht="24" customHeight="1">
      <c r="A43" t="s">
        <v>131</v>
      </c>
      <c r="B43">
        <v>1</v>
      </c>
      <c r="C43" t="s">
        <v>124</v>
      </c>
      <c r="I43" s="6" t="s">
        <v>130</v>
      </c>
    </row>
    <row r="44" spans="1:13" ht="24" customHeight="1">
      <c r="A44" t="s">
        <v>131</v>
      </c>
      <c r="B44">
        <v>1</v>
      </c>
      <c r="C44" t="s">
        <v>103</v>
      </c>
      <c r="D44" s="5">
        <v>527</v>
      </c>
      <c r="E44" s="2">
        <f>IF(AND(ISNUMBER(F44),ISNUMBER('Reference data'!$B$3)),F44*'Reference data'!$B$3,"Unknown")</f>
        <v>0.000115905745</v>
      </c>
      <c r="F44" s="2">
        <f>IF(D44=0,0,IF(ISNUMBER('Reference data'!D17),D44*'Reference data'!D17/1000000,"Unknown"))</f>
        <v>0.00013175</v>
      </c>
      <c r="G44" s="5">
        <f>IF(ISNUMBER(E44),ROUND(E44*'Reference data'!$B$2,0),"Unknown")</f>
        <v>12.0</v>
      </c>
      <c r="H44" s="5">
        <f>IF(ISNUMBER(F44),ROUND(F44*'Reference data'!$B$2,0),"Unknown")</f>
        <v>13.0</v>
      </c>
    </row>
    <row r="45" spans="1:13" ht="24" customHeight="1">
      <c r="A45" t="s">
        <v>131</v>
      </c>
      <c r="B45">
        <v>1</v>
      </c>
      <c r="C45" t="s">
        <v>104</v>
      </c>
    </row>
    <row r="46" spans="1:13" s="4" customFormat="1" ht="24" customHeight="1">
      <c r="A46" s="4" t="s">
        <v>131</v>
      </c>
      <c r="B46" s="4">
        <v>1</v>
      </c>
      <c r="C46" s="4" t="s">
        <v>105</v>
      </c>
      <c r="D46" s="4">
        <v>41</v>
      </c>
    </row>
    <row r="47" spans="1:13" ht="24" customHeight="1">
      <c r="A47" t="s">
        <v>131</v>
      </c>
      <c r="B47">
        <v>1</v>
      </c>
      <c r="C47" t="s">
        <v>106</v>
      </c>
      <c r="D47" s="5">
        <v>10</v>
      </c>
      <c r="E47" s="2">
        <f>IF(AND(ISNUMBER(F47),ISNUMBER('Reference data'!$B$3)),F47*'Reference data'!$B$3,"Unknown")</f>
        <v>1.055688e-05</v>
      </c>
      <c r="F47" s="2">
        <f>IF(D47=0,0,IF(ISNUMBER('Reference data'!F17),D47*'Reference data'!F17/1000000,"Unknown"))</f>
        <v>1.2e-05</v>
      </c>
      <c r="G47" s="5">
        <f>IF(ISNUMBER(E47),ROUND(E47*'Reference data'!$B$2,0),"Unknown")</f>
        <v>1.0</v>
      </c>
      <c r="H47" s="5">
        <f>IF(ISNUMBER(F47),ROUND(F47*'Reference data'!$B$2,0),"Unknown")</f>
        <v>1.0</v>
      </c>
    </row>
    <row r="48" spans="1:13" ht="24" customHeight="1">
      <c r="A48" t="s">
        <v>131</v>
      </c>
      <c r="B48">
        <v>1</v>
      </c>
      <c r="C48" t="s">
        <v>107</v>
      </c>
      <c r="D48" s="5">
        <v>31</v>
      </c>
      <c r="E48" s="2">
        <f>IF(AND(ISNUMBER(F48),ISNUMBER('Reference data'!$B$3)),F48*'Reference data'!$B$3,"Unknown")</f>
        <v>3.2726328e-05</v>
      </c>
      <c r="F48" s="2">
        <f>IF(D48=0,0,IF(ISNUMBER('Reference data'!E17),D48*'Reference data'!E17/1000000,"Unknown"))</f>
        <v>3.72e-05</v>
      </c>
      <c r="G48" s="5">
        <f>IF(ISNUMBER(E48),ROUND(E48*'Reference data'!$B$2,0),"Unknown")</f>
        <v>3.0</v>
      </c>
      <c r="H48" s="5">
        <f>IF(ISNUMBER(F48),ROUND(F48*'Reference data'!$B$2,0),"Unknown")</f>
        <v>4.0</v>
      </c>
    </row>
    <row r="49" spans="1:13" ht="281" customHeight="1">
      <c r="A49" t="s">
        <v>131</v>
      </c>
      <c r="B49">
        <v>1</v>
      </c>
      <c r="C49" t="s">
        <v>108</v>
      </c>
      <c r="I49" s="6" t="s">
        <v>133</v>
      </c>
    </row>
    <row r="50" spans="1:13" ht="24" customHeight="1">
      <c r="A50" t="s">
        <v>131</v>
      </c>
      <c r="B50">
        <v>1</v>
      </c>
      <c r="C50" t="s">
        <v>103</v>
      </c>
    </row>
    <row r="51" spans="1:13" ht="24" customHeight="1">
      <c r="A51" t="s">
        <v>131</v>
      </c>
      <c r="B51">
        <v>1</v>
      </c>
      <c r="C51" t="s">
        <v>104</v>
      </c>
    </row>
    <row r="52" spans="1:13" s="4" customFormat="1" ht="24" customHeight="1">
      <c r="A52" s="4" t="s">
        <v>131</v>
      </c>
      <c r="B52" s="4">
        <v>1</v>
      </c>
      <c r="C52" s="4" t="s">
        <v>110</v>
      </c>
      <c r="E52" s="2">
        <f>IF(COUNT('Turns'!E41,'Turns'!E42,'Turns'!E44,'Turns'!E47,'Turns'!E48)=5,SUM('Turns'!E41,'Turns'!E42,'Turns'!E44,'Turns'!E47,'Turns'!E48),"Unknown")</f>
        <v>0.0001792822146</v>
      </c>
      <c r="F52" s="2">
        <f>IF(COUNT('Turns'!F41,'Turns'!F42,'Turns'!F44,'Turns'!F47,'Turns'!F48)=5,SUM('Turns'!F41,'Turns'!F42,'Turns'!F44,'Turns'!F47,'Turns'!F48),"Unknown")</f>
        <v>0.00020379</v>
      </c>
      <c r="G52" s="5">
        <f>IF(ISNUMBER(E52),ROUND(E52*'Reference data'!$B$2,0),"Unknown")</f>
        <v>18.0</v>
      </c>
      <c r="H52" s="5">
        <f>IF(ISNUMBER(F52),ROUND(F52*'Reference data'!$B$2,0),"Unknown")</f>
        <v>20.0</v>
      </c>
      <c r="K52" s="4" t="s">
        <v>111</v>
      </c>
    </row>
    <row r="53" spans="1:13" s="4" customFormat="1" ht="24" customHeight="1">
      <c r="B53" s="4">
        <v>1</v>
      </c>
      <c r="C53" s="4" t="s">
        <v>112</v>
      </c>
      <c r="K53" s="4" t="s">
        <v>111</v>
      </c>
      <c r="M53" s="4" t="s">
        <v>134</v>
      </c>
    </row>
    <row r="54" spans="1:13" ht="24" customHeight="1">
      <c r="B54">
        <v>1</v>
      </c>
      <c r="C54" t="s">
        <v>114</v>
      </c>
      <c r="I54" s="6" t="s">
        <v>119</v>
      </c>
    </row>
    <row r="55" spans="1:13" ht="346" customHeight="1">
      <c r="B55">
        <v>1</v>
      </c>
      <c r="C55" t="s">
        <v>116</v>
      </c>
      <c r="I55" s="6" t="s">
        <v>135</v>
      </c>
    </row>
    <row r="56" spans="1:13" s="4" customFormat="1" ht="24" customHeight="1">
      <c r="A56" s="4" t="s">
        <v>136</v>
      </c>
      <c r="B56" s="4">
        <v>1</v>
      </c>
      <c r="C56" s="4" t="s">
        <v>94</v>
      </c>
      <c r="D56" s="4">
        <v>1799</v>
      </c>
      <c r="J56" s="4" t="s">
        <v>95</v>
      </c>
      <c r="M56" s="4" t="s">
        <v>137</v>
      </c>
    </row>
    <row r="57" spans="1:13" ht="24" customHeight="1">
      <c r="A57" t="s">
        <v>136</v>
      </c>
      <c r="B57">
        <v>1</v>
      </c>
      <c r="C57" t="s">
        <v>123</v>
      </c>
      <c r="D57" s="5">
        <v>1639</v>
      </c>
      <c r="E57" s="2">
        <f>IF(AND(ISNUMBER(F57),ISNUMBER('Reference data'!$B$3)),F57*'Reference data'!$B$3,"Unknown")</f>
        <v>2.88378772e-05</v>
      </c>
      <c r="F57" s="2">
        <f>IF(D57=0,0,IF(ISNUMBER('Reference data'!C17),D57*'Reference data'!C17/1000000,"Unknown"))</f>
        <v>3.278e-05</v>
      </c>
      <c r="G57" s="5">
        <f>IF(ISNUMBER(E57),ROUND(E57*'Reference data'!$B$2,0),"Unknown")</f>
        <v>3.0</v>
      </c>
      <c r="H57" s="5">
        <f>IF(ISNUMBER(F57),ROUND(F57*'Reference data'!$B$2,0),"Unknown")</f>
        <v>3.0</v>
      </c>
    </row>
    <row r="58" spans="1:13" ht="24" customHeight="1">
      <c r="A58" t="s">
        <v>136</v>
      </c>
      <c r="B58">
        <v>1</v>
      </c>
      <c r="C58" t="s">
        <v>97</v>
      </c>
      <c r="D58" s="5">
        <v>3</v>
      </c>
      <c r="E58" s="2">
        <f>IF(AND(ISNUMBER(F58),ISNUMBER('Reference data'!$B$3)),F58*'Reference data'!$B$3,"Unknown")</f>
        <v>5.27844e-07</v>
      </c>
      <c r="F58" s="2">
        <f>IF(D58=0,0,IF(ISNUMBER('Reference data'!B17),D58*'Reference data'!B17/1000000,"Unknown"))</f>
        <v>6e-07</v>
      </c>
      <c r="G58" s="5">
        <f>IF(ISNUMBER(E58),ROUND(E58*'Reference data'!$B$2,0),"Unknown")</f>
        <v>0.0</v>
      </c>
      <c r="H58" s="5">
        <f>IF(ISNUMBER(F58),ROUND(F58*'Reference data'!$B$2,0),"Unknown")</f>
        <v>0.0</v>
      </c>
    </row>
    <row r="59" spans="1:13" ht="346" customHeight="1">
      <c r="A59" t="s">
        <v>136</v>
      </c>
      <c r="B59">
        <v>1</v>
      </c>
      <c r="C59" t="s">
        <v>124</v>
      </c>
      <c r="I59" s="6" t="s">
        <v>135</v>
      </c>
    </row>
    <row r="60" spans="1:13" ht="24" customHeight="1">
      <c r="A60" t="s">
        <v>136</v>
      </c>
      <c r="B60">
        <v>1</v>
      </c>
      <c r="C60" t="s">
        <v>103</v>
      </c>
      <c r="D60" s="5">
        <v>157</v>
      </c>
      <c r="E60" s="2">
        <f>IF(AND(ISNUMBER(F60),ISNUMBER('Reference data'!$B$3)),F60*'Reference data'!$B$3,"Unknown")</f>
        <v>3.4529795e-05</v>
      </c>
      <c r="F60" s="2">
        <f>IF(D60=0,0,IF(ISNUMBER('Reference data'!D17),D60*'Reference data'!D17/1000000,"Unknown"))</f>
        <v>3.925e-05</v>
      </c>
      <c r="G60" s="5">
        <f>IF(ISNUMBER(E60),ROUND(E60*'Reference data'!$B$2,0),"Unknown")</f>
        <v>3.0</v>
      </c>
      <c r="H60" s="5">
        <f>IF(ISNUMBER(F60),ROUND(F60*'Reference data'!$B$2,0),"Unknown")</f>
        <v>4.0</v>
      </c>
    </row>
    <row r="61" spans="1:13" ht="24" customHeight="1">
      <c r="A61" t="s">
        <v>136</v>
      </c>
      <c r="B61">
        <v>1</v>
      </c>
      <c r="C61" t="s">
        <v>104</v>
      </c>
    </row>
    <row r="62" spans="1:13" s="4" customFormat="1" ht="24" customHeight="1">
      <c r="A62" s="4" t="s">
        <v>136</v>
      </c>
      <c r="B62" s="4">
        <v>1</v>
      </c>
      <c r="C62" s="4" t="s">
        <v>105</v>
      </c>
      <c r="D62" s="4">
        <v>308</v>
      </c>
    </row>
    <row r="63" spans="1:13" ht="24" customHeight="1">
      <c r="A63" t="s">
        <v>136</v>
      </c>
      <c r="B63">
        <v>1</v>
      </c>
      <c r="C63" t="s">
        <v>106</v>
      </c>
      <c r="D63" s="5">
        <v>27</v>
      </c>
      <c r="E63" s="2">
        <f>IF(AND(ISNUMBER(F63),ISNUMBER('Reference data'!$B$3)),F63*'Reference data'!$B$3,"Unknown")</f>
        <v>2.8503576e-05</v>
      </c>
      <c r="F63" s="2">
        <f>IF(D63=0,0,IF(ISNUMBER('Reference data'!F17),D63*'Reference data'!F17/1000000,"Unknown"))</f>
        <v>3.24e-05</v>
      </c>
      <c r="G63" s="5">
        <f>IF(ISNUMBER(E63),ROUND(E63*'Reference data'!$B$2,0),"Unknown")</f>
        <v>3.0</v>
      </c>
      <c r="H63" s="5">
        <f>IF(ISNUMBER(F63),ROUND(F63*'Reference data'!$B$2,0),"Unknown")</f>
        <v>3.0</v>
      </c>
    </row>
    <row r="64" spans="1:13" ht="24" customHeight="1">
      <c r="A64" t="s">
        <v>136</v>
      </c>
      <c r="B64">
        <v>1</v>
      </c>
      <c r="C64" t="s">
        <v>107</v>
      </c>
      <c r="D64" s="5">
        <v>281</v>
      </c>
      <c r="E64" s="2">
        <f>IF(AND(ISNUMBER(F64),ISNUMBER('Reference data'!$B$3)),F64*'Reference data'!$B$3,"Unknown")</f>
        <v>0.000296648328</v>
      </c>
      <c r="F64" s="2">
        <f>IF(D64=0,0,IF(ISNUMBER('Reference data'!E17),D64*'Reference data'!E17/1000000,"Unknown"))</f>
        <v>0.0003372</v>
      </c>
      <c r="G64" s="5">
        <f>IF(ISNUMBER(E64),ROUND(E64*'Reference data'!$B$2,0),"Unknown")</f>
        <v>30.0</v>
      </c>
      <c r="H64" s="5">
        <f>IF(ISNUMBER(F64),ROUND(F64*'Reference data'!$B$2,0),"Unknown")</f>
        <v>34.0</v>
      </c>
    </row>
    <row r="65" spans="1:13" ht="409" customHeight="1">
      <c r="A65" t="s">
        <v>136</v>
      </c>
      <c r="B65">
        <v>1</v>
      </c>
      <c r="C65" t="s">
        <v>108</v>
      </c>
      <c r="I65" s="6" t="s">
        <v>138</v>
      </c>
    </row>
    <row r="66" spans="1:13" ht="24" customHeight="1">
      <c r="A66" t="s">
        <v>136</v>
      </c>
      <c r="B66">
        <v>1</v>
      </c>
      <c r="C66" t="s">
        <v>103</v>
      </c>
    </row>
    <row r="67" spans="1:13" ht="24" customHeight="1">
      <c r="A67" t="s">
        <v>136</v>
      </c>
      <c r="B67">
        <v>1</v>
      </c>
      <c r="C67" t="s">
        <v>104</v>
      </c>
    </row>
    <row r="68" spans="1:13" s="4" customFormat="1" ht="24" customHeight="1">
      <c r="A68" s="4" t="s">
        <v>136</v>
      </c>
      <c r="B68" s="4">
        <v>1</v>
      </c>
      <c r="C68" s="4" t="s">
        <v>110</v>
      </c>
      <c r="E68" s="2">
        <f>IF(COUNT('Turns'!E57,'Turns'!E58,'Turns'!E60,'Turns'!E63,'Turns'!E64)=5,SUM('Turns'!E57,'Turns'!E58,'Turns'!E60,'Turns'!E63,'Turns'!E64),"Unknown")</f>
        <v>0.0003890474202</v>
      </c>
      <c r="F68" s="2">
        <f>IF(COUNT('Turns'!F57,'Turns'!F58,'Turns'!F60,'Turns'!F63,'Turns'!F64)=5,SUM('Turns'!F57,'Turns'!F58,'Turns'!F60,'Turns'!F63,'Turns'!F64),"Unknown")</f>
        <v>0.00044223</v>
      </c>
      <c r="G68" s="5">
        <f>IF(ISNUMBER(E68),ROUND(E68*'Reference data'!$B$2,0),"Unknown")</f>
        <v>39.0</v>
      </c>
      <c r="H68" s="5">
        <f>IF(ISNUMBER(F68),ROUND(F68*'Reference data'!$B$2,0),"Unknown")</f>
        <v>44.0</v>
      </c>
      <c r="K68" s="4" t="s">
        <v>111</v>
      </c>
    </row>
    <row r="69" spans="1:13" s="4" customFormat="1" ht="24" customHeight="1">
      <c r="B69" s="4">
        <v>1</v>
      </c>
      <c r="C69" s="4" t="s">
        <v>127</v>
      </c>
      <c r="K69" s="4" t="s">
        <v>111</v>
      </c>
      <c r="M69" s="4" t="s">
        <v>139</v>
      </c>
    </row>
    <row r="70" spans="1:13" ht="164" customHeight="1">
      <c r="B70">
        <v>1</v>
      </c>
      <c r="C70" t="s">
        <v>114</v>
      </c>
      <c r="I70" s="6" t="s">
        <v>140</v>
      </c>
    </row>
    <row r="71" spans="1:13" ht="24" customHeight="1">
      <c r="B71">
        <v>1</v>
      </c>
      <c r="C71" t="s">
        <v>116</v>
      </c>
      <c r="I71" s="6" t="s">
        <v>130</v>
      </c>
    </row>
    <row r="72" spans="1:13" s="4" customFormat="1" ht="24" customHeight="1">
      <c r="A72" s="4" t="s">
        <v>141</v>
      </c>
      <c r="B72" s="4">
        <v>1</v>
      </c>
      <c r="C72" s="4" t="s">
        <v>94</v>
      </c>
      <c r="D72" s="4">
        <v>2133</v>
      </c>
      <c r="J72" s="4" t="s">
        <v>95</v>
      </c>
      <c r="M72" s="4" t="s">
        <v>142</v>
      </c>
    </row>
    <row r="73" spans="1:13" ht="24" customHeight="1">
      <c r="A73" t="s">
        <v>141</v>
      </c>
      <c r="B73">
        <v>1</v>
      </c>
      <c r="C73" t="s">
        <v>123</v>
      </c>
      <c r="D73" s="5">
        <v>1796</v>
      </c>
      <c r="E73" s="2">
        <f>IF(AND(ISNUMBER(F73),ISNUMBER('Reference data'!$B$3)),F73*'Reference data'!$B$3,"Unknown")</f>
        <v>3.16002608e-05</v>
      </c>
      <c r="F73" s="2">
        <f>IF(D73=0,0,IF(ISNUMBER('Reference data'!C17),D73*'Reference data'!C17/1000000,"Unknown"))</f>
        <v>3.592e-05</v>
      </c>
      <c r="G73" s="5">
        <f>IF(ISNUMBER(E73),ROUND(E73*'Reference data'!$B$2,0),"Unknown")</f>
        <v>3.0</v>
      </c>
      <c r="H73" s="5">
        <f>IF(ISNUMBER(F73),ROUND(F73*'Reference data'!$B$2,0),"Unknown")</f>
        <v>4.0</v>
      </c>
    </row>
    <row r="74" spans="1:13" ht="24" customHeight="1">
      <c r="A74" t="s">
        <v>141</v>
      </c>
      <c r="B74">
        <v>1</v>
      </c>
      <c r="C74" t="s">
        <v>97</v>
      </c>
      <c r="D74" s="5">
        <v>3</v>
      </c>
      <c r="E74" s="2">
        <f>IF(AND(ISNUMBER(F74),ISNUMBER('Reference data'!$B$3)),F74*'Reference data'!$B$3,"Unknown")</f>
        <v>5.27844e-07</v>
      </c>
      <c r="F74" s="2">
        <f>IF(D74=0,0,IF(ISNUMBER('Reference data'!B17),D74*'Reference data'!B17/1000000,"Unknown"))</f>
        <v>6e-07</v>
      </c>
      <c r="G74" s="5">
        <f>IF(ISNUMBER(E74),ROUND(E74*'Reference data'!$B$2,0),"Unknown")</f>
        <v>0.0</v>
      </c>
      <c r="H74" s="5">
        <f>IF(ISNUMBER(F74),ROUND(F74*'Reference data'!$B$2,0),"Unknown")</f>
        <v>0.0</v>
      </c>
    </row>
    <row r="75" spans="1:13" ht="24" customHeight="1">
      <c r="A75" t="s">
        <v>141</v>
      </c>
      <c r="B75">
        <v>1</v>
      </c>
      <c r="C75" t="s">
        <v>124</v>
      </c>
      <c r="I75" s="6" t="s">
        <v>130</v>
      </c>
    </row>
    <row r="76" spans="1:13" ht="24" customHeight="1">
      <c r="A76" t="s">
        <v>141</v>
      </c>
      <c r="B76">
        <v>1</v>
      </c>
      <c r="C76" t="s">
        <v>103</v>
      </c>
      <c r="D76" s="5">
        <v>334</v>
      </c>
      <c r="E76" s="2">
        <f>IF(AND(ISNUMBER(F76),ISNUMBER('Reference data'!$B$3)),F76*'Reference data'!$B$3,"Unknown")</f>
        <v>7.345829e-05</v>
      </c>
      <c r="F76" s="2">
        <f>IF(D76=0,0,IF(ISNUMBER('Reference data'!D17),D76*'Reference data'!D17/1000000,"Unknown"))</f>
        <v>8.35e-05</v>
      </c>
      <c r="G76" s="5">
        <f>IF(ISNUMBER(E76),ROUND(E76*'Reference data'!$B$2,0),"Unknown")</f>
        <v>7.0</v>
      </c>
      <c r="H76" s="5">
        <f>IF(ISNUMBER(F76),ROUND(F76*'Reference data'!$B$2,0),"Unknown")</f>
        <v>8.0</v>
      </c>
    </row>
    <row r="77" spans="1:13" ht="24" customHeight="1">
      <c r="A77" t="s">
        <v>141</v>
      </c>
      <c r="B77">
        <v>1</v>
      </c>
      <c r="C77" t="s">
        <v>104</v>
      </c>
    </row>
    <row r="78" spans="1:13" s="4" customFormat="1" ht="24" customHeight="1">
      <c r="A78" s="4" t="s">
        <v>141</v>
      </c>
      <c r="B78" s="4">
        <v>1</v>
      </c>
      <c r="C78" s="4" t="s">
        <v>105</v>
      </c>
      <c r="D78" s="4">
        <v>52</v>
      </c>
    </row>
    <row r="79" spans="1:13" ht="24" customHeight="1">
      <c r="A79" t="s">
        <v>141</v>
      </c>
      <c r="B79">
        <v>1</v>
      </c>
      <c r="C79" t="s">
        <v>106</v>
      </c>
      <c r="D79" s="5">
        <v>21</v>
      </c>
      <c r="E79" s="2">
        <f>IF(AND(ISNUMBER(F79),ISNUMBER('Reference data'!$B$3)),F79*'Reference data'!$B$3,"Unknown")</f>
        <v>2.2169448e-05</v>
      </c>
      <c r="F79" s="2">
        <f>IF(D79=0,0,IF(ISNUMBER('Reference data'!F17),D79*'Reference data'!F17/1000000,"Unknown"))</f>
        <v>2.52e-05</v>
      </c>
      <c r="G79" s="5">
        <f>IF(ISNUMBER(E79),ROUND(E79*'Reference data'!$B$2,0),"Unknown")</f>
        <v>2.0</v>
      </c>
      <c r="H79" s="5">
        <f>IF(ISNUMBER(F79),ROUND(F79*'Reference data'!$B$2,0),"Unknown")</f>
        <v>3.0</v>
      </c>
    </row>
    <row r="80" spans="1:13" ht="24" customHeight="1">
      <c r="A80" t="s">
        <v>141</v>
      </c>
      <c r="B80">
        <v>1</v>
      </c>
      <c r="C80" t="s">
        <v>107</v>
      </c>
      <c r="D80" s="5">
        <v>31</v>
      </c>
      <c r="E80" s="2">
        <f>IF(AND(ISNUMBER(F80),ISNUMBER('Reference data'!$B$3)),F80*'Reference data'!$B$3,"Unknown")</f>
        <v>3.2726328e-05</v>
      </c>
      <c r="F80" s="2">
        <f>IF(D80=0,0,IF(ISNUMBER('Reference data'!E17),D80*'Reference data'!E17/1000000,"Unknown"))</f>
        <v>3.72e-05</v>
      </c>
      <c r="G80" s="5">
        <f>IF(ISNUMBER(E80),ROUND(E80*'Reference data'!$B$2,0),"Unknown")</f>
        <v>3.0</v>
      </c>
      <c r="H80" s="5">
        <f>IF(ISNUMBER(F80),ROUND(F80*'Reference data'!$B$2,0),"Unknown")</f>
        <v>4.0</v>
      </c>
    </row>
    <row r="81" spans="1:13" ht="294" customHeight="1">
      <c r="A81" t="s">
        <v>141</v>
      </c>
      <c r="B81">
        <v>1</v>
      </c>
      <c r="C81" t="s">
        <v>108</v>
      </c>
      <c r="I81" s="6" t="s">
        <v>143</v>
      </c>
    </row>
    <row r="82" spans="1:13" ht="24" customHeight="1">
      <c r="A82" t="s">
        <v>141</v>
      </c>
      <c r="B82">
        <v>1</v>
      </c>
      <c r="C82" t="s">
        <v>103</v>
      </c>
    </row>
    <row r="83" spans="1:13" ht="24" customHeight="1">
      <c r="A83" t="s">
        <v>141</v>
      </c>
      <c r="B83">
        <v>1</v>
      </c>
      <c r="C83" t="s">
        <v>104</v>
      </c>
    </row>
    <row r="84" spans="1:13" s="4" customFormat="1" ht="24" customHeight="1">
      <c r="A84" s="4" t="s">
        <v>141</v>
      </c>
      <c r="B84" s="4">
        <v>1</v>
      </c>
      <c r="C84" s="4" t="s">
        <v>110</v>
      </c>
      <c r="E84" s="2">
        <f>IF(COUNT('Turns'!E73,'Turns'!E74,'Turns'!E76,'Turns'!E79,'Turns'!E80)=5,SUM('Turns'!E73,'Turns'!E74,'Turns'!E76,'Turns'!E79,'Turns'!E80),"Unknown")</f>
        <v>0.0001604821708</v>
      </c>
      <c r="F84" s="2">
        <f>IF(COUNT('Turns'!F73,'Turns'!F74,'Turns'!F76,'Turns'!F79,'Turns'!F80)=5,SUM('Turns'!F73,'Turns'!F74,'Turns'!F76,'Turns'!F79,'Turns'!F80),"Unknown")</f>
        <v>0.00018242</v>
      </c>
      <c r="G84" s="5">
        <f>IF(ISNUMBER(E84),ROUND(E84*'Reference data'!$B$2,0),"Unknown")</f>
        <v>16.0</v>
      </c>
      <c r="H84" s="5">
        <f>IF(ISNUMBER(F84),ROUND(F84*'Reference data'!$B$2,0),"Unknown")</f>
        <v>18.0</v>
      </c>
      <c r="K84" s="4" t="s">
        <v>111</v>
      </c>
    </row>
    <row r="85" spans="1:13" s="4" customFormat="1" ht="24" customHeight="1">
      <c r="B85" s="4">
        <v>1</v>
      </c>
      <c r="C85" s="4" t="s">
        <v>112</v>
      </c>
      <c r="K85" s="4" t="s">
        <v>111</v>
      </c>
      <c r="M85" s="4" t="s">
        <v>144</v>
      </c>
    </row>
    <row r="86" spans="1:13" ht="24" customHeight="1">
      <c r="B86">
        <v>1</v>
      </c>
      <c r="C86" t="s">
        <v>114</v>
      </c>
      <c r="I86" s="6" t="s">
        <v>119</v>
      </c>
    </row>
    <row r="87" spans="1:13" ht="372" customHeight="1">
      <c r="B87">
        <v>1</v>
      </c>
      <c r="C87" t="s">
        <v>116</v>
      </c>
      <c r="I87" s="6" t="s">
        <v>145</v>
      </c>
    </row>
    <row r="88" spans="1:13" s="4" customFormat="1" ht="24" customHeight="1">
      <c r="A88" s="4" t="s">
        <v>146</v>
      </c>
      <c r="B88" s="4">
        <v>1</v>
      </c>
      <c r="C88" s="4" t="s">
        <v>94</v>
      </c>
      <c r="D88" s="4">
        <v>2308</v>
      </c>
      <c r="J88" s="4" t="s">
        <v>95</v>
      </c>
      <c r="M88" s="4" t="s">
        <v>147</v>
      </c>
    </row>
    <row r="89" spans="1:13" ht="24" customHeight="1">
      <c r="A89" t="s">
        <v>146</v>
      </c>
      <c r="B89">
        <v>1</v>
      </c>
      <c r="C89" t="s">
        <v>123</v>
      </c>
      <c r="D89" s="5">
        <v>2130</v>
      </c>
      <c r="E89" s="2">
        <f>IF(AND(ISNUMBER(F89),ISNUMBER('Reference data'!$B$3)),F89*'Reference data'!$B$3,"Unknown")</f>
        <v>3.7476924e-05</v>
      </c>
      <c r="F89" s="2">
        <f>IF(D89=0,0,IF(ISNUMBER('Reference data'!C17),D89*'Reference data'!C17/1000000,"Unknown"))</f>
        <v>4.26e-05</v>
      </c>
      <c r="G89" s="5">
        <f>IF(ISNUMBER(E89),ROUND(E89*'Reference data'!$B$2,0),"Unknown")</f>
        <v>4.0</v>
      </c>
      <c r="H89" s="5">
        <f>IF(ISNUMBER(F89),ROUND(F89*'Reference data'!$B$2,0),"Unknown")</f>
        <v>4.0</v>
      </c>
    </row>
    <row r="90" spans="1:13" ht="24" customHeight="1">
      <c r="A90" t="s">
        <v>146</v>
      </c>
      <c r="B90">
        <v>1</v>
      </c>
      <c r="C90" t="s">
        <v>97</v>
      </c>
      <c r="D90" s="5">
        <v>3</v>
      </c>
      <c r="E90" s="2">
        <f>IF(AND(ISNUMBER(F90),ISNUMBER('Reference data'!$B$3)),F90*'Reference data'!$B$3,"Unknown")</f>
        <v>5.27844e-07</v>
      </c>
      <c r="F90" s="2">
        <f>IF(D90=0,0,IF(ISNUMBER('Reference data'!B17),D90*'Reference data'!B17/1000000,"Unknown"))</f>
        <v>6e-07</v>
      </c>
      <c r="G90" s="5">
        <f>IF(ISNUMBER(E90),ROUND(E90*'Reference data'!$B$2,0),"Unknown")</f>
        <v>0.0</v>
      </c>
      <c r="H90" s="5">
        <f>IF(ISNUMBER(F90),ROUND(F90*'Reference data'!$B$2,0),"Unknown")</f>
        <v>0.0</v>
      </c>
    </row>
    <row r="91" spans="1:13" ht="372" customHeight="1">
      <c r="A91" t="s">
        <v>146</v>
      </c>
      <c r="B91">
        <v>1</v>
      </c>
      <c r="C91" t="s">
        <v>124</v>
      </c>
      <c r="I91" s="6" t="s">
        <v>145</v>
      </c>
    </row>
    <row r="92" spans="1:13" ht="24" customHeight="1">
      <c r="A92" t="s">
        <v>146</v>
      </c>
      <c r="B92">
        <v>1</v>
      </c>
      <c r="C92" t="s">
        <v>103</v>
      </c>
      <c r="D92" s="5">
        <v>175</v>
      </c>
      <c r="E92" s="2">
        <f>IF(AND(ISNUMBER(F92),ISNUMBER('Reference data'!$B$3)),F92*'Reference data'!$B$3,"Unknown")</f>
        <v>3.8488625e-05</v>
      </c>
      <c r="F92" s="2">
        <f>IF(D92=0,0,IF(ISNUMBER('Reference data'!D17),D92*'Reference data'!D17/1000000,"Unknown"))</f>
        <v>4.375e-05</v>
      </c>
      <c r="G92" s="5">
        <f>IF(ISNUMBER(E92),ROUND(E92*'Reference data'!$B$2,0),"Unknown")</f>
        <v>4.0</v>
      </c>
      <c r="H92" s="5">
        <f>IF(ISNUMBER(F92),ROUND(F92*'Reference data'!$B$2,0),"Unknown")</f>
        <v>4.0</v>
      </c>
    </row>
    <row r="93" spans="1:13" ht="24" customHeight="1">
      <c r="A93" t="s">
        <v>146</v>
      </c>
      <c r="B93">
        <v>1</v>
      </c>
      <c r="C93" t="s">
        <v>104</v>
      </c>
    </row>
    <row r="94" spans="1:13" s="4" customFormat="1" ht="24" customHeight="1">
      <c r="A94" s="4" t="s">
        <v>146</v>
      </c>
      <c r="B94" s="4">
        <v>1</v>
      </c>
      <c r="C94" s="4" t="s">
        <v>105</v>
      </c>
      <c r="D94" s="4">
        <v>33</v>
      </c>
    </row>
    <row r="95" spans="1:13" ht="24" customHeight="1">
      <c r="A95" t="s">
        <v>146</v>
      </c>
      <c r="B95">
        <v>1</v>
      </c>
      <c r="C95" t="s">
        <v>107</v>
      </c>
      <c r="D95" s="5">
        <v>33</v>
      </c>
      <c r="E95" s="2">
        <f>IF(AND(ISNUMBER(F95),ISNUMBER('Reference data'!$B$3)),F95*'Reference data'!$B$3,"Unknown")</f>
        <v>3.4837704e-05</v>
      </c>
      <c r="F95" s="2">
        <f>IF(D95=0,0,IF(ISNUMBER('Reference data'!E17),D95*'Reference data'!E17/1000000,"Unknown"))</f>
        <v>3.96e-05</v>
      </c>
      <c r="G95" s="5">
        <f>IF(ISNUMBER(E95),ROUND(E95*'Reference data'!$B$2,0),"Unknown")</f>
        <v>3.0</v>
      </c>
      <c r="H95" s="5">
        <f>IF(ISNUMBER(F95),ROUND(F95*'Reference data'!$B$2,0),"Unknown")</f>
        <v>4.0</v>
      </c>
    </row>
    <row r="96" spans="1:13" ht="47" customHeight="1">
      <c r="A96" t="s">
        <v>146</v>
      </c>
      <c r="B96">
        <v>1</v>
      </c>
      <c r="C96" t="s">
        <v>108</v>
      </c>
      <c r="I96" s="6" t="s">
        <v>148</v>
      </c>
    </row>
    <row r="97" spans="1:11" ht="24" customHeight="1">
      <c r="A97" t="s">
        <v>146</v>
      </c>
      <c r="B97">
        <v>1</v>
      </c>
      <c r="C97" t="s">
        <v>103</v>
      </c>
    </row>
    <row r="98" spans="1:11" ht="24" customHeight="1">
      <c r="A98" t="s">
        <v>146</v>
      </c>
      <c r="B98">
        <v>1</v>
      </c>
      <c r="C98" t="s">
        <v>104</v>
      </c>
    </row>
    <row r="99" spans="1:11" s="4" customFormat="1" ht="24" customHeight="1">
      <c r="A99" s="4" t="s">
        <v>146</v>
      </c>
      <c r="B99" s="4">
        <v>1</v>
      </c>
      <c r="C99" s="4" t="s">
        <v>110</v>
      </c>
      <c r="E99" s="2">
        <f>IF(COUNT('Turns'!E89,'Turns'!E90,'Turns'!E92,'Turns'!E95)=4,SUM('Turns'!E89,'Turns'!E90,'Turns'!E92,'Turns'!E95),"Unknown")</f>
        <v>0.000111331097</v>
      </c>
      <c r="F99" s="2">
        <f>IF(COUNT('Turns'!F89,'Turns'!F90,'Turns'!F92,'Turns'!F95)=4,SUM('Turns'!F89,'Turns'!F90,'Turns'!F92,'Turns'!F95),"Unknown")</f>
        <v>0.00012655</v>
      </c>
      <c r="G99" s="5">
        <f>IF(ISNUMBER(E99),ROUND(E99*'Reference data'!$B$2,0),"Unknown")</f>
        <v>11.0</v>
      </c>
      <c r="H99" s="5">
        <f>IF(ISNUMBER(F99),ROUND(F99*'Reference data'!$B$2,0),"Unknown")</f>
        <v>13.0</v>
      </c>
      <c r="K99" s="4" t="s">
        <v>111</v>
      </c>
    </row>
  </sheetData>
  <conditionalFormatting sqref="A2:AE99">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4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149</v>
      </c>
      <c r="B2" s="1">
        <v>0</v>
      </c>
      <c r="C2" s="1" t="s">
        <v>150</v>
      </c>
      <c r="D2" s="1" t="s">
        <v>47</v>
      </c>
      <c r="E2" s="1" t="s">
        <v>111</v>
      </c>
      <c r="G2" s="6" t="s">
        <v>151</v>
      </c>
      <c r="H2" t="s">
        <v>49</v>
      </c>
      <c r="J2" s="2">
        <f>IF(COUNT('Turns'!D5,'Turns'!D26)=2,SUM('Turns'!D5,'Turns'!D26),"Unknown")</f>
        <v>891.0</v>
      </c>
      <c r="K2" s="2">
        <f>IF(COUNT('Turns'!E5,'Turns'!E26)=2,SUM('Turns'!E5,'Turns'!E26),"Unknown")</f>
        <v>0.000156769668</v>
      </c>
      <c r="L2" s="2">
        <f>IF(COUNT('Turns'!F5,'Turns'!F26)=2,SUM('Turns'!F5,'Turns'!F26),"Unknown")</f>
        <v>0.0001782</v>
      </c>
      <c r="M2" s="2">
        <f>IF(COUNT('Turns'!D25)=1,SUM('Turns'!D25),"Unknown")</f>
        <v>0.0</v>
      </c>
      <c r="N2" s="2">
        <f>IF(COUNT('Turns'!E25)=1,SUM('Turns'!E25),"Unknown")</f>
        <v>0.0</v>
      </c>
      <c r="O2" s="2">
        <f>IF(COUNT('Turns'!F25)=1,SUM('Turns'!F25),"Unknown")</f>
        <v>0.0</v>
      </c>
      <c r="P2" s="2">
        <f>IF(COUNT('Turns'!D28)=1,SUM('Turns'!D28),"Unknown")</f>
        <v>1112.0</v>
      </c>
      <c r="Q2" s="2">
        <f>IF(COUNT('Turns'!E28)=1,SUM('Turns'!E28),"Unknown")</f>
        <v>0.00024456772</v>
      </c>
      <c r="R2" s="2">
        <f>IF(COUNT('Turns'!F28)=1,SUM('Turns'!F28),"Unknown")</f>
        <v>0.000278</v>
      </c>
      <c r="S2" s="2">
        <f>IF(COUNT('Turns'!D13,'Turns'!D32)=2,SUM('Turns'!D13,'Turns'!D32),"Unknown")</f>
        <v>336.0</v>
      </c>
      <c r="T2" s="2">
        <f>IF(COUNT('Turns'!E13,'Turns'!E32)=2,SUM('Turns'!E13,'Turns'!E32),"Unknown")</f>
        <v>0.000354711168</v>
      </c>
      <c r="U2" s="2">
        <f>IF(COUNT('Turns'!F13,'Turns'!F32)=2,SUM('Turns'!F13,'Turns'!F32),"Unknown")</f>
        <v>0.0004032</v>
      </c>
      <c r="V2" s="2">
        <f>IF(COUNT('Turns'!D12,'Turns'!D31)=2,SUM('Turns'!D12,'Turns'!D31),"Unknown")</f>
        <v>252.0</v>
      </c>
      <c r="W2" s="2">
        <f>IF(COUNT('Turns'!E12,'Turns'!E31)=2,SUM('Turns'!E12,'Turns'!E31),"Unknown")</f>
        <v>0.000266033376</v>
      </c>
      <c r="X2" s="2">
        <f>IF(COUNT('Turns'!F12,'Turns'!F31)=2,SUM('Turns'!F12,'Turns'!F31),"Unknown")</f>
        <v>0.0003024</v>
      </c>
      <c r="Y2" s="2">
        <f>IF(COUNT('Turns'!E17,'Turns'!E36)=2,SUM('Turns'!E17,'Turns'!E36),"Unknown")</f>
        <v>0.001022081932</v>
      </c>
      <c r="Z2" s="2">
        <f>IF(COUNT('Turns'!F17,'Turns'!F36)=2,SUM('Turns'!F17,'Turns'!F36),"Unknown")</f>
        <v>0.0011618</v>
      </c>
      <c r="AA2" s="5">
        <f>IF(ISNUMBER(Y2),ROUND(Y2*'Reference data'!$B$2,0),"Unknown")</f>
        <v>102.0</v>
      </c>
      <c r="AB2" s="5">
        <f>IF(ISNUMBER(Z2),ROUND(Z2*'Reference data'!$B$2,0),"Unknown")</f>
        <v>116.0</v>
      </c>
      <c r="AD2" s="1">
        <v>6259.472</v>
      </c>
      <c r="AE2" s="1" t="s">
        <v>152</v>
      </c>
    </row>
    <row r="3" spans="1:31" ht="54" customHeight="1">
      <c r="A3" s="6" t="s">
        <v>153</v>
      </c>
      <c r="B3" s="1">
        <v>1</v>
      </c>
      <c r="C3" s="1" t="s">
        <v>150</v>
      </c>
      <c r="D3" s="1" t="s">
        <v>47</v>
      </c>
      <c r="E3" s="1" t="s">
        <v>111</v>
      </c>
      <c r="G3" s="6" t="s">
        <v>154</v>
      </c>
      <c r="H3" t="s">
        <v>155</v>
      </c>
      <c r="I3" t="s">
        <v>49</v>
      </c>
      <c r="AD3" s="1">
        <v>2.297</v>
      </c>
      <c r="AE3" s="1" t="s">
        <v>156</v>
      </c>
    </row>
    <row r="4" spans="1:31" ht="54" customHeight="1">
      <c r="A4" s="6" t="s">
        <v>157</v>
      </c>
      <c r="B4" s="1">
        <v>1</v>
      </c>
      <c r="C4" s="1" t="s">
        <v>150</v>
      </c>
      <c r="D4" s="1" t="s">
        <v>47</v>
      </c>
      <c r="E4" s="1" t="s">
        <v>111</v>
      </c>
      <c r="G4" s="6" t="s">
        <v>158</v>
      </c>
      <c r="H4" t="s">
        <v>159</v>
      </c>
      <c r="I4" t="s">
        <v>49</v>
      </c>
      <c r="J4" s="2">
        <f>IF(COUNT('Turns'!D5)=1,SUM('Turns'!D5),"Unknown")</f>
        <v>888.0</v>
      </c>
      <c r="K4" s="2">
        <f>IF(COUNT('Turns'!E5)=1,SUM('Turns'!E5),"Unknown")</f>
        <v>0.000156241824</v>
      </c>
      <c r="L4" s="2">
        <f>IF(COUNT('Turns'!F5)=1,SUM('Turns'!F5),"Unknown")</f>
        <v>0.0001776</v>
      </c>
      <c r="M4" s="2">
        <v>0</v>
      </c>
      <c r="N4" s="2">
        <v>0</v>
      </c>
      <c r="O4" s="2">
        <v>0</v>
      </c>
      <c r="P4" s="2">
        <v>0</v>
      </c>
      <c r="Q4" s="2">
        <v>0</v>
      </c>
      <c r="R4" s="2">
        <v>0</v>
      </c>
      <c r="S4" s="2">
        <f>IF(COUNT('Turns'!D13)=1,SUM('Turns'!D13),"Unknown")</f>
        <v>72.0</v>
      </c>
      <c r="T4" s="2">
        <f>IF(COUNT('Turns'!E13)=1,SUM('Turns'!E13),"Unknown")</f>
        <v>7.6009536e-05</v>
      </c>
      <c r="U4" s="2">
        <f>IF(COUNT('Turns'!F13)=1,SUM('Turns'!F13),"Unknown")</f>
        <v>8.64e-05</v>
      </c>
      <c r="V4" s="2">
        <f>IF(COUNT('Turns'!D12)=1,SUM('Turns'!D12),"Unknown")</f>
        <v>15.0</v>
      </c>
      <c r="W4" s="2">
        <f>IF(COUNT('Turns'!E12)=1,SUM('Turns'!E12),"Unknown")</f>
        <v>1.583532e-05</v>
      </c>
      <c r="X4" s="2">
        <f>IF(COUNT('Turns'!F12)=1,SUM('Turns'!F12),"Unknown")</f>
        <v>1.8e-05</v>
      </c>
      <c r="Y4" s="2">
        <f>IF(COUNT('Turns'!E17)=1,SUM('Turns'!E17),"Unknown")</f>
        <v>0.00024808668</v>
      </c>
      <c r="Z4" s="2">
        <f>IF(COUNT('Turns'!F17)=1,SUM('Turns'!F17),"Unknown")</f>
        <v>0.000282</v>
      </c>
      <c r="AA4" s="5">
        <f>IF(ISNUMBER(Y4),ROUND(Y4*'Reference data'!$B$2,0),"Unknown")</f>
        <v>25.0</v>
      </c>
      <c r="AB4" s="5">
        <f>IF(ISNUMBER(Z4),ROUND(Z4*'Reference data'!$B$2,0),"Unknown")</f>
        <v>28.0</v>
      </c>
      <c r="AD4" s="1">
        <v>1626.442</v>
      </c>
      <c r="AE4" s="1" t="s">
        <v>152</v>
      </c>
    </row>
    <row r="5" spans="1:31" ht="54" customHeight="1">
      <c r="A5" s="6" t="s">
        <v>160</v>
      </c>
      <c r="B5" s="1">
        <v>2</v>
      </c>
      <c r="C5" s="1" t="s">
        <v>161</v>
      </c>
      <c r="D5" s="1" t="s">
        <v>95</v>
      </c>
      <c r="E5" s="1" t="s">
        <v>111</v>
      </c>
      <c r="F5" s="1">
        <v>888</v>
      </c>
      <c r="G5" s="6" t="s">
        <v>162</v>
      </c>
      <c r="H5" t="s">
        <v>96</v>
      </c>
      <c r="I5" t="s">
        <v>159</v>
      </c>
      <c r="J5" s="2">
        <f>IF(COUNT('Turns'!D5)=1,SUM('Turns'!D5),"Unknown")</f>
        <v>888.0</v>
      </c>
      <c r="K5" s="2">
        <f>IF(COUNT('Turns'!E5)=1,SUM('Turns'!E5),"Unknown")</f>
        <v>0.000156241824</v>
      </c>
      <c r="L5" s="2">
        <f>IF(COUNT('Turns'!F5)=1,SUM('Turns'!F5),"Unknown")</f>
        <v>0.0001776</v>
      </c>
      <c r="M5" s="2">
        <v>0</v>
      </c>
      <c r="N5" s="2">
        <v>0</v>
      </c>
      <c r="O5" s="2">
        <v>0</v>
      </c>
      <c r="P5" s="2">
        <v>0</v>
      </c>
      <c r="Q5" s="2">
        <v>0</v>
      </c>
      <c r="R5" s="2">
        <v>0</v>
      </c>
      <c r="S5" s="2">
        <f>IF(COUNT('Turns'!D13)=1,SUM('Turns'!D13),"Unknown")</f>
        <v>72.0</v>
      </c>
      <c r="T5" s="2">
        <f>IF(COUNT('Turns'!E13)=1,SUM('Turns'!E13),"Unknown")</f>
        <v>7.6009536e-05</v>
      </c>
      <c r="U5" s="2">
        <f>IF(COUNT('Turns'!F13)=1,SUM('Turns'!F13),"Unknown")</f>
        <v>8.64e-05</v>
      </c>
      <c r="V5" s="2">
        <f>IF(COUNT('Turns'!D12)=1,SUM('Turns'!D12),"Unknown")</f>
        <v>15.0</v>
      </c>
      <c r="W5" s="2">
        <f>IF(COUNT('Turns'!E12)=1,SUM('Turns'!E12),"Unknown")</f>
        <v>1.583532e-05</v>
      </c>
      <c r="X5" s="2">
        <f>IF(COUNT('Turns'!F12)=1,SUM('Turns'!F12),"Unknown")</f>
        <v>1.8e-05</v>
      </c>
      <c r="Y5" s="2">
        <f>IF(COUNT('Turns'!E17)=1,SUM('Turns'!E17),"Unknown")</f>
        <v>0.00024808668</v>
      </c>
      <c r="Z5" s="2">
        <f>IF(COUNT('Turns'!F17)=1,SUM('Turns'!F17),"Unknown")</f>
        <v>0.000282</v>
      </c>
      <c r="AA5" s="5">
        <f>IF(ISNUMBER(Y5),ROUND(Y5*'Reference data'!$B$2,0),"Unknown")</f>
        <v>25.0</v>
      </c>
      <c r="AB5" s="5">
        <f>IF(ISNUMBER(Z5),ROUND(Z5*'Reference data'!$B$2,0),"Unknown")</f>
        <v>28.0</v>
      </c>
      <c r="AC5" s="1" t="s">
        <v>93</v>
      </c>
      <c r="AD5" s="1">
        <v>1620.867</v>
      </c>
      <c r="AE5" s="1" t="s">
        <v>163</v>
      </c>
    </row>
    <row r="6" spans="1:31" ht="54" customHeight="1">
      <c r="A6" s="6" t="s">
        <v>164</v>
      </c>
      <c r="B6" s="1">
        <v>1</v>
      </c>
      <c r="C6" s="1" t="s">
        <v>150</v>
      </c>
      <c r="D6" s="1" t="s">
        <v>47</v>
      </c>
      <c r="E6" s="1" t="s">
        <v>111</v>
      </c>
      <c r="G6" s="6" t="s">
        <v>165</v>
      </c>
      <c r="H6" t="s">
        <v>166</v>
      </c>
      <c r="I6" t="s">
        <v>49</v>
      </c>
      <c r="AD6" s="1">
        <v>1.149</v>
      </c>
      <c r="AE6" s="1" t="s">
        <v>156</v>
      </c>
    </row>
    <row r="7" spans="1:31" ht="54" customHeight="1">
      <c r="A7" s="6" t="s">
        <v>167</v>
      </c>
      <c r="B7" s="1">
        <v>1</v>
      </c>
      <c r="C7" s="1" t="s">
        <v>150</v>
      </c>
      <c r="D7" s="1" t="s">
        <v>47</v>
      </c>
      <c r="E7" s="1" t="s">
        <v>111</v>
      </c>
      <c r="G7" s="6" t="s">
        <v>168</v>
      </c>
      <c r="H7" t="s">
        <v>169</v>
      </c>
      <c r="I7" t="s">
        <v>49</v>
      </c>
      <c r="AD7" s="1">
        <v>8.435</v>
      </c>
      <c r="AE7" s="1" t="s">
        <v>156</v>
      </c>
    </row>
    <row r="8" spans="1:31" ht="54" customHeight="1">
      <c r="A8" s="6" t="s">
        <v>170</v>
      </c>
      <c r="B8" s="1">
        <v>2</v>
      </c>
      <c r="C8" s="1" t="s">
        <v>171</v>
      </c>
      <c r="D8" s="1" t="s">
        <v>47</v>
      </c>
      <c r="E8" s="1" t="s">
        <v>111</v>
      </c>
      <c r="G8" s="6" t="s">
        <v>172</v>
      </c>
      <c r="H8" t="s">
        <v>113</v>
      </c>
      <c r="I8" t="s">
        <v>169</v>
      </c>
      <c r="AD8" s="1">
        <v>3.39</v>
      </c>
      <c r="AE8" s="1" t="s">
        <v>156</v>
      </c>
    </row>
    <row r="9" spans="1:31" ht="54" customHeight="1">
      <c r="A9" s="6" t="s">
        <v>167</v>
      </c>
      <c r="B9" s="1">
        <v>1</v>
      </c>
      <c r="C9" s="1" t="s">
        <v>150</v>
      </c>
      <c r="D9" s="1" t="s">
        <v>47</v>
      </c>
      <c r="E9" s="1" t="s">
        <v>111</v>
      </c>
      <c r="G9" s="6" t="s">
        <v>168</v>
      </c>
      <c r="H9" t="s">
        <v>173</v>
      </c>
      <c r="I9" t="s">
        <v>49</v>
      </c>
      <c r="AD9" s="1">
        <v>6.234</v>
      </c>
      <c r="AE9" s="1" t="s">
        <v>156</v>
      </c>
    </row>
    <row r="10" spans="1:31" ht="54" customHeight="1">
      <c r="A10" s="6" t="s">
        <v>170</v>
      </c>
      <c r="B10" s="1">
        <v>2</v>
      </c>
      <c r="C10" s="1" t="s">
        <v>171</v>
      </c>
      <c r="D10" s="1" t="s">
        <v>47</v>
      </c>
      <c r="E10" s="1" t="s">
        <v>111</v>
      </c>
      <c r="G10" s="6" t="s">
        <v>172</v>
      </c>
      <c r="H10" t="s">
        <v>118</v>
      </c>
      <c r="I10" t="s">
        <v>173</v>
      </c>
      <c r="AD10" s="1">
        <v>2.085</v>
      </c>
      <c r="AE10" s="1" t="s">
        <v>156</v>
      </c>
    </row>
    <row r="11" spans="1:31" ht="54" customHeight="1">
      <c r="A11" s="6" t="s">
        <v>153</v>
      </c>
      <c r="B11" s="1">
        <v>1</v>
      </c>
      <c r="C11" s="1" t="s">
        <v>150</v>
      </c>
      <c r="D11" s="1" t="s">
        <v>47</v>
      </c>
      <c r="E11" s="1" t="s">
        <v>111</v>
      </c>
      <c r="G11" s="6" t="s">
        <v>154</v>
      </c>
      <c r="H11" t="s">
        <v>174</v>
      </c>
      <c r="I11" t="s">
        <v>49</v>
      </c>
      <c r="AD11" s="1">
        <v>0.963</v>
      </c>
      <c r="AE11" s="1" t="s">
        <v>156</v>
      </c>
    </row>
    <row r="12" spans="1:31" ht="54" customHeight="1">
      <c r="A12" s="6" t="s">
        <v>157</v>
      </c>
      <c r="B12" s="1">
        <v>1</v>
      </c>
      <c r="C12" s="1" t="s">
        <v>150</v>
      </c>
      <c r="D12" s="1" t="s">
        <v>47</v>
      </c>
      <c r="E12" s="1" t="s">
        <v>111</v>
      </c>
      <c r="G12" s="6" t="s">
        <v>158</v>
      </c>
      <c r="H12" t="s">
        <v>175</v>
      </c>
      <c r="I12" t="s">
        <v>49</v>
      </c>
      <c r="J12" s="2">
        <f>IF(COUNT('Turns'!D26)=1,SUM('Turns'!D26),"Unknown")</f>
        <v>3.0</v>
      </c>
      <c r="K12" s="2">
        <f>IF(COUNT('Turns'!E26)=1,SUM('Turns'!E26),"Unknown")</f>
        <v>5.27844e-07</v>
      </c>
      <c r="L12" s="2">
        <f>IF(COUNT('Turns'!F26)=1,SUM('Turns'!F26),"Unknown")</f>
        <v>6e-07</v>
      </c>
      <c r="M12" s="2">
        <f>IF(COUNT('Turns'!D25)=1,SUM('Turns'!D25),"Unknown")</f>
        <v>0.0</v>
      </c>
      <c r="N12" s="2">
        <f>IF(COUNT('Turns'!E25)=1,SUM('Turns'!E25),"Unknown")</f>
        <v>0.0</v>
      </c>
      <c r="O12" s="2">
        <f>IF(COUNT('Turns'!F25)=1,SUM('Turns'!F25),"Unknown")</f>
        <v>0.0</v>
      </c>
      <c r="P12" s="2">
        <f>IF(COUNT('Turns'!D28)=1,SUM('Turns'!D28),"Unknown")</f>
        <v>1112.0</v>
      </c>
      <c r="Q12" s="2">
        <f>IF(COUNT('Turns'!E28)=1,SUM('Turns'!E28),"Unknown")</f>
        <v>0.00024456772</v>
      </c>
      <c r="R12" s="2">
        <f>IF(COUNT('Turns'!F28)=1,SUM('Turns'!F28),"Unknown")</f>
        <v>0.000278</v>
      </c>
      <c r="S12" s="2">
        <f>IF(COUNT('Turns'!D32)=1,SUM('Turns'!D32),"Unknown")</f>
        <v>264.0</v>
      </c>
      <c r="T12" s="2">
        <f>IF(COUNT('Turns'!E32)=1,SUM('Turns'!E32),"Unknown")</f>
        <v>0.000278701632</v>
      </c>
      <c r="U12" s="2">
        <f>IF(COUNT('Turns'!F32)=1,SUM('Turns'!F32),"Unknown")</f>
        <v>0.0003168</v>
      </c>
      <c r="V12" s="2">
        <f>IF(COUNT('Turns'!D31)=1,SUM('Turns'!D31),"Unknown")</f>
        <v>237.0</v>
      </c>
      <c r="W12" s="2">
        <f>IF(COUNT('Turns'!E31)=1,SUM('Turns'!E31),"Unknown")</f>
        <v>0.000250198056</v>
      </c>
      <c r="X12" s="2">
        <f>IF(COUNT('Turns'!F31)=1,SUM('Turns'!F31),"Unknown")</f>
        <v>0.0002844</v>
      </c>
      <c r="Y12" s="2">
        <f>IF(COUNT('Turns'!E36)=1,SUM('Turns'!E36),"Unknown")</f>
        <v>0.000773995252</v>
      </c>
      <c r="Z12" s="2">
        <f>IF(COUNT('Turns'!F36)=1,SUM('Turns'!F36),"Unknown")</f>
        <v>0.0008798</v>
      </c>
      <c r="AA12" s="5">
        <f>IF(ISNUMBER(Y12),ROUND(Y12*'Reference data'!$B$2,0),"Unknown")</f>
        <v>77.0</v>
      </c>
      <c r="AB12" s="5">
        <f>IF(ISNUMBER(Z12),ROUND(Z12*'Reference data'!$B$2,0),"Unknown")</f>
        <v>88.0</v>
      </c>
      <c r="AD12" s="1">
        <v>4606.116</v>
      </c>
      <c r="AE12" s="1" t="s">
        <v>152</v>
      </c>
    </row>
    <row r="13" spans="1:31" ht="54" customHeight="1">
      <c r="A13" s="6" t="s">
        <v>160</v>
      </c>
      <c r="B13" s="1">
        <v>2</v>
      </c>
      <c r="C13" s="1" t="s">
        <v>161</v>
      </c>
      <c r="D13" s="1" t="s">
        <v>95</v>
      </c>
      <c r="E13" s="1" t="s">
        <v>111</v>
      </c>
      <c r="F13" s="1">
        <v>1115</v>
      </c>
      <c r="G13" s="6" t="s">
        <v>162</v>
      </c>
      <c r="H13" t="s">
        <v>122</v>
      </c>
      <c r="I13" t="s">
        <v>175</v>
      </c>
      <c r="J13" s="2">
        <f>IF(COUNT('Turns'!D26)=1,SUM('Turns'!D26),"Unknown")</f>
        <v>3.0</v>
      </c>
      <c r="K13" s="2">
        <f>IF(COUNT('Turns'!E26)=1,SUM('Turns'!E26),"Unknown")</f>
        <v>5.27844e-07</v>
      </c>
      <c r="L13" s="2">
        <f>IF(COUNT('Turns'!F26)=1,SUM('Turns'!F26),"Unknown")</f>
        <v>6e-07</v>
      </c>
      <c r="M13" s="2">
        <f>IF(COUNT('Turns'!D25)=1,SUM('Turns'!D25),"Unknown")</f>
        <v>0.0</v>
      </c>
      <c r="N13" s="2">
        <f>IF(COUNT('Turns'!E25)=1,SUM('Turns'!E25),"Unknown")</f>
        <v>0.0</v>
      </c>
      <c r="O13" s="2">
        <f>IF(COUNT('Turns'!F25)=1,SUM('Turns'!F25),"Unknown")</f>
        <v>0.0</v>
      </c>
      <c r="P13" s="2">
        <f>IF(COUNT('Turns'!D28)=1,SUM('Turns'!D28),"Unknown")</f>
        <v>1112.0</v>
      </c>
      <c r="Q13" s="2">
        <f>IF(COUNT('Turns'!E28)=1,SUM('Turns'!E28),"Unknown")</f>
        <v>0.00024456772</v>
      </c>
      <c r="R13" s="2">
        <f>IF(COUNT('Turns'!F28)=1,SUM('Turns'!F28),"Unknown")</f>
        <v>0.000278</v>
      </c>
      <c r="S13" s="2">
        <f>IF(COUNT('Turns'!D32)=1,SUM('Turns'!D32),"Unknown")</f>
        <v>264.0</v>
      </c>
      <c r="T13" s="2">
        <f>IF(COUNT('Turns'!E32)=1,SUM('Turns'!E32),"Unknown")</f>
        <v>0.000278701632</v>
      </c>
      <c r="U13" s="2">
        <f>IF(COUNT('Turns'!F32)=1,SUM('Turns'!F32),"Unknown")</f>
        <v>0.0003168</v>
      </c>
      <c r="V13" s="2">
        <f>IF(COUNT('Turns'!D31)=1,SUM('Turns'!D31),"Unknown")</f>
        <v>237.0</v>
      </c>
      <c r="W13" s="2">
        <f>IF(COUNT('Turns'!E31)=1,SUM('Turns'!E31),"Unknown")</f>
        <v>0.000250198056</v>
      </c>
      <c r="X13" s="2">
        <f>IF(COUNT('Turns'!F31)=1,SUM('Turns'!F31),"Unknown")</f>
        <v>0.0002844</v>
      </c>
      <c r="Y13" s="2">
        <f>IF(COUNT('Turns'!E36)=1,SUM('Turns'!E36),"Unknown")</f>
        <v>0.000773995252</v>
      </c>
      <c r="Z13" s="2">
        <f>IF(COUNT('Turns'!F36)=1,SUM('Turns'!F36),"Unknown")</f>
        <v>0.0008798</v>
      </c>
      <c r="AA13" s="5">
        <f>IF(ISNUMBER(Y13),ROUND(Y13*'Reference data'!$B$2,0),"Unknown")</f>
        <v>77.0</v>
      </c>
      <c r="AB13" s="5">
        <f>IF(ISNUMBER(Z13),ROUND(Z13*'Reference data'!$B$2,0),"Unknown")</f>
        <v>88.0</v>
      </c>
      <c r="AC13" s="1" t="s">
        <v>121</v>
      </c>
      <c r="AD13" s="1">
        <v>4601.821</v>
      </c>
      <c r="AE13" s="1" t="s">
        <v>163</v>
      </c>
    </row>
    <row r="14" spans="1:31" ht="54" customHeight="1">
      <c r="A14" s="6" t="s">
        <v>164</v>
      </c>
      <c r="B14" s="1">
        <v>1</v>
      </c>
      <c r="C14" s="1" t="s">
        <v>150</v>
      </c>
      <c r="D14" s="1" t="s">
        <v>47</v>
      </c>
      <c r="E14" s="1" t="s">
        <v>176</v>
      </c>
      <c r="G14" s="6" t="s">
        <v>165</v>
      </c>
      <c r="H14" t="s">
        <v>177</v>
      </c>
      <c r="I14" t="s">
        <v>49</v>
      </c>
      <c r="AD14" s="1">
        <v>0.677</v>
      </c>
      <c r="AE14" s="1" t="s">
        <v>156</v>
      </c>
    </row>
    <row r="15" spans="1:31" ht="54" customHeight="1">
      <c r="A15" s="6" t="s">
        <v>149</v>
      </c>
      <c r="B15" s="1">
        <v>0</v>
      </c>
      <c r="C15" s="1" t="s">
        <v>150</v>
      </c>
      <c r="D15" s="1" t="s">
        <v>47</v>
      </c>
      <c r="E15" s="1" t="s">
        <v>111</v>
      </c>
      <c r="G15" s="6" t="s">
        <v>151</v>
      </c>
      <c r="H15" t="s">
        <v>178</v>
      </c>
      <c r="J15" s="2">
        <f>IF(COUNT('Turns'!D42,'Turns'!D58)=2,SUM('Turns'!D42,'Turns'!D58),"Unknown")</f>
        <v>6.0</v>
      </c>
      <c r="K15" s="2">
        <f>IF(COUNT('Turns'!E42,'Turns'!E58)=2,SUM('Turns'!E42,'Turns'!E58),"Unknown")</f>
        <v>1.055688e-06</v>
      </c>
      <c r="L15" s="2">
        <f>IF(COUNT('Turns'!F42,'Turns'!F58)=2,SUM('Turns'!F42,'Turns'!F58),"Unknown")</f>
        <v>1.2e-06</v>
      </c>
      <c r="M15" s="2">
        <f>IF(COUNT('Turns'!D41,'Turns'!D57)=2,SUM('Turns'!D41,'Turns'!D57),"Unknown")</f>
        <v>2751.0</v>
      </c>
      <c r="N15" s="2">
        <f>IF(COUNT('Turns'!E41,'Turns'!E57)=2,SUM('Turns'!E41,'Turns'!E57),"Unknown")</f>
        <v>4.84032948e-05</v>
      </c>
      <c r="O15" s="2">
        <f>IF(COUNT('Turns'!F41,'Turns'!F57)=2,SUM('Turns'!F41,'Turns'!F57),"Unknown")</f>
        <v>5.502e-05</v>
      </c>
      <c r="P15" s="2">
        <f>IF(COUNT('Turns'!D44,'Turns'!D60)=2,SUM('Turns'!D44,'Turns'!D60),"Unknown")</f>
        <v>684.0</v>
      </c>
      <c r="Q15" s="2">
        <f>IF(COUNT('Turns'!E44,'Turns'!E60)=2,SUM('Turns'!E44,'Turns'!E60),"Unknown")</f>
        <v>0.00015043554</v>
      </c>
      <c r="R15" s="2">
        <f>IF(COUNT('Turns'!F44,'Turns'!F60)=2,SUM('Turns'!F44,'Turns'!F60),"Unknown")</f>
        <v>0.000171</v>
      </c>
      <c r="S15" s="2">
        <f>IF(COUNT('Turns'!D48,'Turns'!D64)=2,SUM('Turns'!D48,'Turns'!D64),"Unknown")</f>
        <v>312.0</v>
      </c>
      <c r="T15" s="2">
        <f>IF(COUNT('Turns'!E48,'Turns'!E64)=2,SUM('Turns'!E48,'Turns'!E64),"Unknown")</f>
        <v>0.000329374656</v>
      </c>
      <c r="U15" s="2">
        <f>IF(COUNT('Turns'!F48,'Turns'!F64)=2,SUM('Turns'!F48,'Turns'!F64),"Unknown")</f>
        <v>0.0003744</v>
      </c>
      <c r="V15" s="2">
        <f>IF(COUNT('Turns'!D47,'Turns'!D63)=2,SUM('Turns'!D47,'Turns'!D63),"Unknown")</f>
        <v>37.0</v>
      </c>
      <c r="W15" s="2">
        <f>IF(COUNT('Turns'!E47,'Turns'!E63)=2,SUM('Turns'!E47,'Turns'!E63),"Unknown")</f>
        <v>3.9060456e-05</v>
      </c>
      <c r="X15" s="2">
        <f>IF(COUNT('Turns'!F47,'Turns'!F63)=2,SUM('Turns'!F47,'Turns'!F63),"Unknown")</f>
        <v>4.44e-05</v>
      </c>
      <c r="Y15" s="2">
        <f>IF(COUNT('Turns'!E52,'Turns'!E68)=2,SUM('Turns'!E52,'Turns'!E68),"Unknown")</f>
        <v>0.0005683296348</v>
      </c>
      <c r="Z15" s="2">
        <f>IF(COUNT('Turns'!F52,'Turns'!F68)=2,SUM('Turns'!F52,'Turns'!F68),"Unknown")</f>
        <v>0.00064602</v>
      </c>
      <c r="AA15" s="5">
        <f>IF(ISNUMBER(Y15),ROUND(Y15*'Reference data'!$B$2,0),"Unknown")</f>
        <v>57.0</v>
      </c>
      <c r="AB15" s="5">
        <f>IF(ISNUMBER(Z15),ROUND(Z15*'Reference data'!$B$2,0),"Unknown")</f>
        <v>65.0</v>
      </c>
      <c r="AD15" s="1">
        <v>3296.949</v>
      </c>
      <c r="AE15" s="1" t="s">
        <v>152</v>
      </c>
    </row>
    <row r="16" spans="1:31" ht="54" customHeight="1">
      <c r="A16" s="6" t="s">
        <v>164</v>
      </c>
      <c r="B16" s="1">
        <v>1</v>
      </c>
      <c r="C16" s="1" t="s">
        <v>150</v>
      </c>
      <c r="D16" s="1" t="s">
        <v>47</v>
      </c>
      <c r="E16" s="1" t="s">
        <v>111</v>
      </c>
      <c r="G16" s="6" t="s">
        <v>165</v>
      </c>
      <c r="H16" t="s">
        <v>179</v>
      </c>
      <c r="I16" t="s">
        <v>178</v>
      </c>
      <c r="AD16" s="1">
        <v>1.492</v>
      </c>
      <c r="AE16" s="1" t="s">
        <v>156</v>
      </c>
    </row>
    <row r="17" spans="1:31" ht="54" customHeight="1">
      <c r="A17" s="6" t="s">
        <v>167</v>
      </c>
      <c r="B17" s="1">
        <v>1</v>
      </c>
      <c r="C17" s="1" t="s">
        <v>150</v>
      </c>
      <c r="D17" s="1" t="s">
        <v>47</v>
      </c>
      <c r="E17" s="1" t="s">
        <v>111</v>
      </c>
      <c r="G17" s="6" t="s">
        <v>168</v>
      </c>
      <c r="H17" t="s">
        <v>180</v>
      </c>
      <c r="I17" t="s">
        <v>178</v>
      </c>
      <c r="AD17" s="1">
        <v>5.953</v>
      </c>
      <c r="AE17" s="1" t="s">
        <v>156</v>
      </c>
    </row>
    <row r="18" spans="1:31" ht="54" customHeight="1">
      <c r="A18" s="6" t="s">
        <v>181</v>
      </c>
      <c r="B18" s="1">
        <v>2</v>
      </c>
      <c r="C18" s="1" t="s">
        <v>171</v>
      </c>
      <c r="D18" s="1" t="s">
        <v>47</v>
      </c>
      <c r="E18" s="1" t="s">
        <v>111</v>
      </c>
      <c r="G18" s="6" t="s">
        <v>182</v>
      </c>
      <c r="H18" t="s">
        <v>128</v>
      </c>
      <c r="I18" t="s">
        <v>180</v>
      </c>
      <c r="AD18" s="1">
        <v>2.326</v>
      </c>
      <c r="AE18" s="1" t="s">
        <v>156</v>
      </c>
    </row>
    <row r="19" spans="1:31" ht="54" customHeight="1">
      <c r="A19" s="6" t="s">
        <v>153</v>
      </c>
      <c r="B19" s="1">
        <v>1</v>
      </c>
      <c r="C19" s="1" t="s">
        <v>150</v>
      </c>
      <c r="D19" s="1" t="s">
        <v>47</v>
      </c>
      <c r="E19" s="1" t="s">
        <v>111</v>
      </c>
      <c r="G19" s="6" t="s">
        <v>154</v>
      </c>
      <c r="H19" t="s">
        <v>183</v>
      </c>
      <c r="I19" t="s">
        <v>178</v>
      </c>
      <c r="AD19" s="1">
        <v>0.355</v>
      </c>
      <c r="AE19" s="1" t="s">
        <v>156</v>
      </c>
    </row>
    <row r="20" spans="1:31" ht="54" customHeight="1">
      <c r="A20" s="6" t="s">
        <v>157</v>
      </c>
      <c r="B20" s="1">
        <v>1</v>
      </c>
      <c r="C20" s="1" t="s">
        <v>150</v>
      </c>
      <c r="D20" s="1" t="s">
        <v>47</v>
      </c>
      <c r="E20" s="1" t="s">
        <v>111</v>
      </c>
      <c r="G20" s="6" t="s">
        <v>158</v>
      </c>
      <c r="H20" t="s">
        <v>184</v>
      </c>
      <c r="I20" t="s">
        <v>178</v>
      </c>
      <c r="J20" s="2">
        <f>IF(COUNT('Turns'!D42)=1,SUM('Turns'!D42),"Unknown")</f>
        <v>3.0</v>
      </c>
      <c r="K20" s="2">
        <f>IF(COUNT('Turns'!E42)=1,SUM('Turns'!E42),"Unknown")</f>
        <v>5.27844e-07</v>
      </c>
      <c r="L20" s="2">
        <f>IF(COUNT('Turns'!F42)=1,SUM('Turns'!F42),"Unknown")</f>
        <v>6e-07</v>
      </c>
      <c r="M20" s="2">
        <f>IF(COUNT('Turns'!D41)=1,SUM('Turns'!D41),"Unknown")</f>
        <v>1112.0</v>
      </c>
      <c r="N20" s="2">
        <f>IF(COUNT('Turns'!E41)=1,SUM('Turns'!E41),"Unknown")</f>
        <v>1.95654176e-05</v>
      </c>
      <c r="O20" s="2">
        <f>IF(COUNT('Turns'!F41)=1,SUM('Turns'!F41),"Unknown")</f>
        <v>2.224e-05</v>
      </c>
      <c r="P20" s="2">
        <f>IF(COUNT('Turns'!D44)=1,SUM('Turns'!D44),"Unknown")</f>
        <v>527.0</v>
      </c>
      <c r="Q20" s="2">
        <f>IF(COUNT('Turns'!E44)=1,SUM('Turns'!E44),"Unknown")</f>
        <v>0.000115905745</v>
      </c>
      <c r="R20" s="2">
        <f>IF(COUNT('Turns'!F44)=1,SUM('Turns'!F44),"Unknown")</f>
        <v>0.00013175</v>
      </c>
      <c r="S20" s="2">
        <f>IF(COUNT('Turns'!D48)=1,SUM('Turns'!D48),"Unknown")</f>
        <v>31.0</v>
      </c>
      <c r="T20" s="2">
        <f>IF(COUNT('Turns'!E48)=1,SUM('Turns'!E48),"Unknown")</f>
        <v>3.2726328e-05</v>
      </c>
      <c r="U20" s="2">
        <f>IF(COUNT('Turns'!F48)=1,SUM('Turns'!F48),"Unknown")</f>
        <v>3.72e-05</v>
      </c>
      <c r="V20" s="2">
        <f>IF(COUNT('Turns'!D47)=1,SUM('Turns'!D47),"Unknown")</f>
        <v>10.0</v>
      </c>
      <c r="W20" s="2">
        <f>IF(COUNT('Turns'!E47)=1,SUM('Turns'!E47),"Unknown")</f>
        <v>1.055688e-05</v>
      </c>
      <c r="X20" s="2">
        <f>IF(COUNT('Turns'!F47)=1,SUM('Turns'!F47),"Unknown")</f>
        <v>1.2e-05</v>
      </c>
      <c r="Y20" s="2">
        <f>IF(COUNT('Turns'!E52)=1,SUM('Turns'!E52),"Unknown")</f>
        <v>0.0001792822146</v>
      </c>
      <c r="Z20" s="2">
        <f>IF(COUNT('Turns'!F52)=1,SUM('Turns'!F52),"Unknown")</f>
        <v>0.00020379</v>
      </c>
      <c r="AA20" s="5">
        <f>IF(ISNUMBER(Y20),ROUND(Y20*'Reference data'!$B$2,0),"Unknown")</f>
        <v>18.0</v>
      </c>
      <c r="AB20" s="5">
        <f>IF(ISNUMBER(Z20),ROUND(Z20*'Reference data'!$B$2,0),"Unknown")</f>
        <v>20.0</v>
      </c>
      <c r="AD20" s="1">
        <v>923.681</v>
      </c>
      <c r="AE20" s="1" t="s">
        <v>152</v>
      </c>
    </row>
    <row r="21" spans="1:31" ht="54" customHeight="1">
      <c r="A21" s="6" t="s">
        <v>160</v>
      </c>
      <c r="B21" s="1">
        <v>2</v>
      </c>
      <c r="C21" s="1" t="s">
        <v>161</v>
      </c>
      <c r="D21" s="1" t="s">
        <v>95</v>
      </c>
      <c r="E21" s="1" t="s">
        <v>111</v>
      </c>
      <c r="F21" s="1">
        <v>1642</v>
      </c>
      <c r="G21" s="6" t="s">
        <v>162</v>
      </c>
      <c r="H21" t="s">
        <v>132</v>
      </c>
      <c r="I21" t="s">
        <v>184</v>
      </c>
      <c r="J21" s="2">
        <f>IF(COUNT('Turns'!D42)=1,SUM('Turns'!D42),"Unknown")</f>
        <v>3.0</v>
      </c>
      <c r="K21" s="2">
        <f>IF(COUNT('Turns'!E42)=1,SUM('Turns'!E42),"Unknown")</f>
        <v>5.27844e-07</v>
      </c>
      <c r="L21" s="2">
        <f>IF(COUNT('Turns'!F42)=1,SUM('Turns'!F42),"Unknown")</f>
        <v>6e-07</v>
      </c>
      <c r="M21" s="2">
        <f>IF(COUNT('Turns'!D41)=1,SUM('Turns'!D41),"Unknown")</f>
        <v>1112.0</v>
      </c>
      <c r="N21" s="2">
        <f>IF(COUNT('Turns'!E41)=1,SUM('Turns'!E41),"Unknown")</f>
        <v>1.95654176e-05</v>
      </c>
      <c r="O21" s="2">
        <f>IF(COUNT('Turns'!F41)=1,SUM('Turns'!F41),"Unknown")</f>
        <v>2.224e-05</v>
      </c>
      <c r="P21" s="2">
        <f>IF(COUNT('Turns'!D44)=1,SUM('Turns'!D44),"Unknown")</f>
        <v>527.0</v>
      </c>
      <c r="Q21" s="2">
        <f>IF(COUNT('Turns'!E44)=1,SUM('Turns'!E44),"Unknown")</f>
        <v>0.000115905745</v>
      </c>
      <c r="R21" s="2">
        <f>IF(COUNT('Turns'!F44)=1,SUM('Turns'!F44),"Unknown")</f>
        <v>0.00013175</v>
      </c>
      <c r="S21" s="2">
        <f>IF(COUNT('Turns'!D48)=1,SUM('Turns'!D48),"Unknown")</f>
        <v>31.0</v>
      </c>
      <c r="T21" s="2">
        <f>IF(COUNT('Turns'!E48)=1,SUM('Turns'!E48),"Unknown")</f>
        <v>3.2726328e-05</v>
      </c>
      <c r="U21" s="2">
        <f>IF(COUNT('Turns'!F48)=1,SUM('Turns'!F48),"Unknown")</f>
        <v>3.72e-05</v>
      </c>
      <c r="V21" s="2">
        <f>IF(COUNT('Turns'!D47)=1,SUM('Turns'!D47),"Unknown")</f>
        <v>10.0</v>
      </c>
      <c r="W21" s="2">
        <f>IF(COUNT('Turns'!E47)=1,SUM('Turns'!E47),"Unknown")</f>
        <v>1.055688e-05</v>
      </c>
      <c r="X21" s="2">
        <f>IF(COUNT('Turns'!F47)=1,SUM('Turns'!F47),"Unknown")</f>
        <v>1.2e-05</v>
      </c>
      <c r="Y21" s="2">
        <f>IF(COUNT('Turns'!E52)=1,SUM('Turns'!E52),"Unknown")</f>
        <v>0.0001792822146</v>
      </c>
      <c r="Z21" s="2">
        <f>IF(COUNT('Turns'!F52)=1,SUM('Turns'!F52),"Unknown")</f>
        <v>0.00020379</v>
      </c>
      <c r="AA21" s="5">
        <f>IF(ISNUMBER(Y21),ROUND(Y21*'Reference data'!$B$2,0),"Unknown")</f>
        <v>18.0</v>
      </c>
      <c r="AB21" s="5">
        <f>IF(ISNUMBER(Z21),ROUND(Z21*'Reference data'!$B$2,0),"Unknown")</f>
        <v>20.0</v>
      </c>
      <c r="AC21" s="1" t="s">
        <v>131</v>
      </c>
      <c r="AD21" s="1">
        <v>921.101</v>
      </c>
      <c r="AE21" s="1" t="s">
        <v>163</v>
      </c>
    </row>
    <row r="22" spans="1:31" ht="54" customHeight="1">
      <c r="A22" s="6" t="s">
        <v>164</v>
      </c>
      <c r="B22" s="1">
        <v>1</v>
      </c>
      <c r="C22" s="1" t="s">
        <v>150</v>
      </c>
      <c r="D22" s="1" t="s">
        <v>47</v>
      </c>
      <c r="E22" s="1" t="s">
        <v>111</v>
      </c>
      <c r="G22" s="6" t="s">
        <v>165</v>
      </c>
      <c r="H22" t="s">
        <v>185</v>
      </c>
      <c r="I22" t="s">
        <v>178</v>
      </c>
      <c r="AD22" s="1">
        <v>0.473</v>
      </c>
      <c r="AE22" s="1" t="s">
        <v>156</v>
      </c>
    </row>
    <row r="23" spans="1:31" ht="54" customHeight="1">
      <c r="A23" s="6" t="s">
        <v>167</v>
      </c>
      <c r="B23" s="1">
        <v>1</v>
      </c>
      <c r="C23" s="1" t="s">
        <v>150</v>
      </c>
      <c r="D23" s="1" t="s">
        <v>47</v>
      </c>
      <c r="E23" s="1" t="s">
        <v>111</v>
      </c>
      <c r="G23" s="6" t="s">
        <v>168</v>
      </c>
      <c r="H23" t="s">
        <v>186</v>
      </c>
      <c r="I23" t="s">
        <v>178</v>
      </c>
      <c r="AD23" s="1">
        <v>5.703</v>
      </c>
      <c r="AE23" s="1" t="s">
        <v>156</v>
      </c>
    </row>
    <row r="24" spans="1:31" ht="54" customHeight="1">
      <c r="A24" s="6" t="s">
        <v>170</v>
      </c>
      <c r="B24" s="1">
        <v>2</v>
      </c>
      <c r="C24" s="1" t="s">
        <v>171</v>
      </c>
      <c r="D24" s="1" t="s">
        <v>47</v>
      </c>
      <c r="E24" s="1" t="s">
        <v>111</v>
      </c>
      <c r="G24" s="6" t="s">
        <v>172</v>
      </c>
      <c r="H24" t="s">
        <v>134</v>
      </c>
      <c r="I24" t="s">
        <v>186</v>
      </c>
      <c r="AD24" s="1">
        <v>1.72</v>
      </c>
      <c r="AE24" s="1" t="s">
        <v>156</v>
      </c>
    </row>
    <row r="25" spans="1:31" ht="54" customHeight="1">
      <c r="A25" s="6" t="s">
        <v>153</v>
      </c>
      <c r="B25" s="1">
        <v>1</v>
      </c>
      <c r="C25" s="1" t="s">
        <v>150</v>
      </c>
      <c r="D25" s="1" t="s">
        <v>47</v>
      </c>
      <c r="E25" s="1" t="s">
        <v>111</v>
      </c>
      <c r="G25" s="6" t="s">
        <v>154</v>
      </c>
      <c r="H25" t="s">
        <v>187</v>
      </c>
      <c r="I25" t="s">
        <v>178</v>
      </c>
      <c r="AD25" s="1">
        <v>0.384</v>
      </c>
      <c r="AE25" s="1" t="s">
        <v>156</v>
      </c>
    </row>
    <row r="26" spans="1:31" ht="54" customHeight="1">
      <c r="A26" s="6" t="s">
        <v>157</v>
      </c>
      <c r="B26" s="1">
        <v>1</v>
      </c>
      <c r="C26" s="1" t="s">
        <v>150</v>
      </c>
      <c r="D26" s="1" t="s">
        <v>47</v>
      </c>
      <c r="E26" s="1" t="s">
        <v>111</v>
      </c>
      <c r="G26" s="6" t="s">
        <v>158</v>
      </c>
      <c r="H26" t="s">
        <v>188</v>
      </c>
      <c r="I26" t="s">
        <v>178</v>
      </c>
      <c r="J26" s="2">
        <f>IF(COUNT('Turns'!D58)=1,SUM('Turns'!D58),"Unknown")</f>
        <v>3.0</v>
      </c>
      <c r="K26" s="2">
        <f>IF(COUNT('Turns'!E58)=1,SUM('Turns'!E58),"Unknown")</f>
        <v>5.27844e-07</v>
      </c>
      <c r="L26" s="2">
        <f>IF(COUNT('Turns'!F58)=1,SUM('Turns'!F58),"Unknown")</f>
        <v>6e-07</v>
      </c>
      <c r="M26" s="2">
        <f>IF(COUNT('Turns'!D57)=1,SUM('Turns'!D57),"Unknown")</f>
        <v>1639.0</v>
      </c>
      <c r="N26" s="2">
        <f>IF(COUNT('Turns'!E57)=1,SUM('Turns'!E57),"Unknown")</f>
        <v>2.88378772e-05</v>
      </c>
      <c r="O26" s="2">
        <f>IF(COUNT('Turns'!F57)=1,SUM('Turns'!F57),"Unknown")</f>
        <v>3.278e-05</v>
      </c>
      <c r="P26" s="2">
        <f>IF(COUNT('Turns'!D60)=1,SUM('Turns'!D60),"Unknown")</f>
        <v>157.0</v>
      </c>
      <c r="Q26" s="2">
        <f>IF(COUNT('Turns'!E60)=1,SUM('Turns'!E60),"Unknown")</f>
        <v>3.4529795e-05</v>
      </c>
      <c r="R26" s="2">
        <f>IF(COUNT('Turns'!F60)=1,SUM('Turns'!F60),"Unknown")</f>
        <v>3.925e-05</v>
      </c>
      <c r="S26" s="2">
        <f>IF(COUNT('Turns'!D64)=1,SUM('Turns'!D64),"Unknown")</f>
        <v>281.0</v>
      </c>
      <c r="T26" s="2">
        <f>IF(COUNT('Turns'!E64)=1,SUM('Turns'!E64),"Unknown")</f>
        <v>0.000296648328</v>
      </c>
      <c r="U26" s="2">
        <f>IF(COUNT('Turns'!F64)=1,SUM('Turns'!F64),"Unknown")</f>
        <v>0.0003372</v>
      </c>
      <c r="V26" s="2">
        <f>IF(COUNT('Turns'!D63)=1,SUM('Turns'!D63),"Unknown")</f>
        <v>27.0</v>
      </c>
      <c r="W26" s="2">
        <f>IF(COUNT('Turns'!E63)=1,SUM('Turns'!E63),"Unknown")</f>
        <v>2.8503576e-05</v>
      </c>
      <c r="X26" s="2">
        <f>IF(COUNT('Turns'!F63)=1,SUM('Turns'!F63),"Unknown")</f>
        <v>3.24e-05</v>
      </c>
      <c r="Y26" s="2">
        <f>IF(COUNT('Turns'!E68)=1,SUM('Turns'!E68),"Unknown")</f>
        <v>0.0003890474202</v>
      </c>
      <c r="Z26" s="2">
        <f>IF(COUNT('Turns'!F68)=1,SUM('Turns'!F68),"Unknown")</f>
        <v>0.00044223</v>
      </c>
      <c r="AA26" s="5">
        <f>IF(ISNUMBER(Y26),ROUND(Y26*'Reference data'!$B$2,0),"Unknown")</f>
        <v>39.0</v>
      </c>
      <c r="AB26" s="5">
        <f>IF(ISNUMBER(Z26),ROUND(Z26*'Reference data'!$B$2,0),"Unknown")</f>
        <v>44.0</v>
      </c>
      <c r="AD26" s="1">
        <v>2348.284</v>
      </c>
      <c r="AE26" s="1" t="s">
        <v>152</v>
      </c>
    </row>
    <row r="27" spans="1:31" ht="54" customHeight="1">
      <c r="A27" s="6" t="s">
        <v>160</v>
      </c>
      <c r="B27" s="1">
        <v>2</v>
      </c>
      <c r="C27" s="1" t="s">
        <v>161</v>
      </c>
      <c r="D27" s="1" t="s">
        <v>95</v>
      </c>
      <c r="E27" s="1" t="s">
        <v>111</v>
      </c>
      <c r="F27" s="1">
        <v>1799</v>
      </c>
      <c r="G27" s="6" t="s">
        <v>162</v>
      </c>
      <c r="H27" t="s">
        <v>137</v>
      </c>
      <c r="I27" t="s">
        <v>188</v>
      </c>
      <c r="J27" s="2">
        <f>IF(COUNT('Turns'!D58)=1,SUM('Turns'!D58),"Unknown")</f>
        <v>3.0</v>
      </c>
      <c r="K27" s="2">
        <f>IF(COUNT('Turns'!E58)=1,SUM('Turns'!E58),"Unknown")</f>
        <v>5.27844e-07</v>
      </c>
      <c r="L27" s="2">
        <f>IF(COUNT('Turns'!F58)=1,SUM('Turns'!F58),"Unknown")</f>
        <v>6e-07</v>
      </c>
      <c r="M27" s="2">
        <f>IF(COUNT('Turns'!D57)=1,SUM('Turns'!D57),"Unknown")</f>
        <v>1639.0</v>
      </c>
      <c r="N27" s="2">
        <f>IF(COUNT('Turns'!E57)=1,SUM('Turns'!E57),"Unknown")</f>
        <v>2.88378772e-05</v>
      </c>
      <c r="O27" s="2">
        <f>IF(COUNT('Turns'!F57)=1,SUM('Turns'!F57),"Unknown")</f>
        <v>3.278e-05</v>
      </c>
      <c r="P27" s="2">
        <f>IF(COUNT('Turns'!D60)=1,SUM('Turns'!D60),"Unknown")</f>
        <v>157.0</v>
      </c>
      <c r="Q27" s="2">
        <f>IF(COUNT('Turns'!E60)=1,SUM('Turns'!E60),"Unknown")</f>
        <v>3.4529795e-05</v>
      </c>
      <c r="R27" s="2">
        <f>IF(COUNT('Turns'!F60)=1,SUM('Turns'!F60),"Unknown")</f>
        <v>3.925e-05</v>
      </c>
      <c r="S27" s="2">
        <f>IF(COUNT('Turns'!D64)=1,SUM('Turns'!D64),"Unknown")</f>
        <v>281.0</v>
      </c>
      <c r="T27" s="2">
        <f>IF(COUNT('Turns'!E64)=1,SUM('Turns'!E64),"Unknown")</f>
        <v>0.000296648328</v>
      </c>
      <c r="U27" s="2">
        <f>IF(COUNT('Turns'!F64)=1,SUM('Turns'!F64),"Unknown")</f>
        <v>0.0003372</v>
      </c>
      <c r="V27" s="2">
        <f>IF(COUNT('Turns'!D63)=1,SUM('Turns'!D63),"Unknown")</f>
        <v>27.0</v>
      </c>
      <c r="W27" s="2">
        <f>IF(COUNT('Turns'!E63)=1,SUM('Turns'!E63),"Unknown")</f>
        <v>2.8503576e-05</v>
      </c>
      <c r="X27" s="2">
        <f>IF(COUNT('Turns'!F63)=1,SUM('Turns'!F63),"Unknown")</f>
        <v>3.24e-05</v>
      </c>
      <c r="Y27" s="2">
        <f>IF(COUNT('Turns'!E68)=1,SUM('Turns'!E68),"Unknown")</f>
        <v>0.0003890474202</v>
      </c>
      <c r="Z27" s="2">
        <f>IF(COUNT('Turns'!F68)=1,SUM('Turns'!F68),"Unknown")</f>
        <v>0.00044223</v>
      </c>
      <c r="AA27" s="5">
        <f>IF(ISNUMBER(Y27),ROUND(Y27*'Reference data'!$B$2,0),"Unknown")</f>
        <v>39.0</v>
      </c>
      <c r="AB27" s="5">
        <f>IF(ISNUMBER(Z27),ROUND(Z27*'Reference data'!$B$2,0),"Unknown")</f>
        <v>44.0</v>
      </c>
      <c r="AC27" s="1" t="s">
        <v>136</v>
      </c>
      <c r="AD27" s="1">
        <v>2346.122</v>
      </c>
      <c r="AE27" s="1" t="s">
        <v>163</v>
      </c>
    </row>
    <row r="28" spans="1:31" ht="54" customHeight="1">
      <c r="A28" s="6" t="s">
        <v>164</v>
      </c>
      <c r="B28" s="1">
        <v>1</v>
      </c>
      <c r="C28" s="1" t="s">
        <v>150</v>
      </c>
      <c r="D28" s="1" t="s">
        <v>47</v>
      </c>
      <c r="E28" s="1" t="s">
        <v>176</v>
      </c>
      <c r="G28" s="6" t="s">
        <v>165</v>
      </c>
      <c r="H28" t="s">
        <v>189</v>
      </c>
      <c r="I28" t="s">
        <v>178</v>
      </c>
      <c r="AD28" s="1">
        <v>0.771</v>
      </c>
      <c r="AE28" s="1" t="s">
        <v>156</v>
      </c>
    </row>
    <row r="29" spans="1:31" ht="54" customHeight="1">
      <c r="A29" s="6" t="s">
        <v>149</v>
      </c>
      <c r="B29" s="1">
        <v>0</v>
      </c>
      <c r="C29" s="1" t="s">
        <v>150</v>
      </c>
      <c r="D29" s="1" t="s">
        <v>47</v>
      </c>
      <c r="E29" s="1" t="s">
        <v>111</v>
      </c>
      <c r="G29" s="6" t="s">
        <v>151</v>
      </c>
      <c r="H29" t="s">
        <v>190</v>
      </c>
      <c r="J29" s="2">
        <f>IF(COUNT('Turns'!D74,'Turns'!D90)=2,SUM('Turns'!D74,'Turns'!D90),"Unknown")</f>
        <v>6.0</v>
      </c>
      <c r="K29" s="2">
        <f>IF(COUNT('Turns'!E74,'Turns'!E90)=2,SUM('Turns'!E74,'Turns'!E90),"Unknown")</f>
        <v>1.055688e-06</v>
      </c>
      <c r="L29" s="2">
        <f>IF(COUNT('Turns'!F74,'Turns'!F90)=2,SUM('Turns'!F74,'Turns'!F90),"Unknown")</f>
        <v>1.2e-06</v>
      </c>
      <c r="M29" s="2">
        <f>IF(COUNT('Turns'!D73,'Turns'!D89)=2,SUM('Turns'!D73,'Turns'!D89),"Unknown")</f>
        <v>3926.0</v>
      </c>
      <c r="N29" s="2">
        <f>IF(COUNT('Turns'!E73,'Turns'!E89)=2,SUM('Turns'!E73,'Turns'!E89),"Unknown")</f>
        <v>6.90771848e-05</v>
      </c>
      <c r="O29" s="2">
        <f>IF(COUNT('Turns'!F73,'Turns'!F89)=2,SUM('Turns'!F73,'Turns'!F89),"Unknown")</f>
        <v>7.852e-05</v>
      </c>
      <c r="P29" s="2">
        <f>IF(COUNT('Turns'!D76,'Turns'!D92)=2,SUM('Turns'!D76,'Turns'!D92),"Unknown")</f>
        <v>509.0</v>
      </c>
      <c r="Q29" s="2">
        <f>IF(COUNT('Turns'!E76,'Turns'!E92)=2,SUM('Turns'!E76,'Turns'!E92),"Unknown")</f>
        <v>0.000111946915</v>
      </c>
      <c r="R29" s="2">
        <f>IF(COUNT('Turns'!F76,'Turns'!F92)=2,SUM('Turns'!F76,'Turns'!F92),"Unknown")</f>
        <v>0.00012725</v>
      </c>
      <c r="S29" s="2">
        <f>IF(COUNT('Turns'!D80,'Turns'!D95)=2,SUM('Turns'!D80,'Turns'!D95),"Unknown")</f>
        <v>64.0</v>
      </c>
      <c r="T29" s="2">
        <f>IF(COUNT('Turns'!E80,'Turns'!E95)=2,SUM('Turns'!E80,'Turns'!E95),"Unknown")</f>
        <v>6.7564032e-05</v>
      </c>
      <c r="U29" s="2">
        <f>IF(COUNT('Turns'!F80,'Turns'!F95)=2,SUM('Turns'!F80,'Turns'!F95),"Unknown")</f>
        <v>7.68e-05</v>
      </c>
      <c r="V29" s="2">
        <f>IF(COUNT('Turns'!D79)=1,SUM('Turns'!D79),"Unknown")</f>
        <v>21.0</v>
      </c>
      <c r="W29" s="2">
        <f>IF(COUNT('Turns'!E79)=1,SUM('Turns'!E79),"Unknown")</f>
        <v>2.2169448e-05</v>
      </c>
      <c r="X29" s="2">
        <f>IF(COUNT('Turns'!F79)=1,SUM('Turns'!F79),"Unknown")</f>
        <v>2.52e-05</v>
      </c>
      <c r="Y29" s="2">
        <f>IF(COUNT('Turns'!E84,'Turns'!E99)=2,SUM('Turns'!E84,'Turns'!E99),"Unknown")</f>
        <v>0.0002718132678</v>
      </c>
      <c r="Z29" s="2">
        <f>IF(COUNT('Turns'!F84,'Turns'!F99)=2,SUM('Turns'!F84,'Turns'!F99),"Unknown")</f>
        <v>0.00030897</v>
      </c>
      <c r="AA29" s="5">
        <f>IF(ISNUMBER(Y29),ROUND(Y29*'Reference data'!$B$2,0),"Unknown")</f>
        <v>27.0</v>
      </c>
      <c r="AB29" s="5">
        <f>IF(ISNUMBER(Z29),ROUND(Z29*'Reference data'!$B$2,0),"Unknown")</f>
        <v>31.0</v>
      </c>
      <c r="AD29" s="1">
        <v>2128.032</v>
      </c>
      <c r="AE29" s="1" t="s">
        <v>152</v>
      </c>
    </row>
    <row r="30" spans="1:31" ht="54" customHeight="1">
      <c r="A30" s="6" t="s">
        <v>164</v>
      </c>
      <c r="B30" s="1">
        <v>1</v>
      </c>
      <c r="C30" s="1" t="s">
        <v>150</v>
      </c>
      <c r="D30" s="1" t="s">
        <v>47</v>
      </c>
      <c r="E30" s="1" t="s">
        <v>111</v>
      </c>
      <c r="G30" s="6" t="s">
        <v>165</v>
      </c>
      <c r="H30" t="s">
        <v>191</v>
      </c>
      <c r="I30" t="s">
        <v>190</v>
      </c>
      <c r="AD30" s="1">
        <v>0.622</v>
      </c>
      <c r="AE30" s="1" t="s">
        <v>156</v>
      </c>
    </row>
    <row r="31" spans="1:31" ht="54" customHeight="1">
      <c r="A31" s="6" t="s">
        <v>167</v>
      </c>
      <c r="B31" s="1">
        <v>1</v>
      </c>
      <c r="C31" s="1" t="s">
        <v>150</v>
      </c>
      <c r="D31" s="1" t="s">
        <v>47</v>
      </c>
      <c r="E31" s="1" t="s">
        <v>111</v>
      </c>
      <c r="G31" s="6" t="s">
        <v>168</v>
      </c>
      <c r="H31" t="s">
        <v>192</v>
      </c>
      <c r="I31" t="s">
        <v>190</v>
      </c>
      <c r="AD31" s="1">
        <v>4.072</v>
      </c>
      <c r="AE31" s="1" t="s">
        <v>156</v>
      </c>
    </row>
    <row r="32" spans="1:31" ht="54" customHeight="1">
      <c r="A32" s="6" t="s">
        <v>181</v>
      </c>
      <c r="B32" s="1">
        <v>2</v>
      </c>
      <c r="C32" s="1" t="s">
        <v>171</v>
      </c>
      <c r="D32" s="1" t="s">
        <v>47</v>
      </c>
      <c r="E32" s="1" t="s">
        <v>111</v>
      </c>
      <c r="G32" s="6" t="s">
        <v>182</v>
      </c>
      <c r="H32" t="s">
        <v>139</v>
      </c>
      <c r="I32" t="s">
        <v>192</v>
      </c>
      <c r="AD32" s="1">
        <v>1.336</v>
      </c>
      <c r="AE32" s="1" t="s">
        <v>156</v>
      </c>
    </row>
    <row r="33" spans="1:31" ht="54" customHeight="1">
      <c r="A33" s="6" t="s">
        <v>153</v>
      </c>
      <c r="B33" s="1">
        <v>1</v>
      </c>
      <c r="C33" s="1" t="s">
        <v>150</v>
      </c>
      <c r="D33" s="1" t="s">
        <v>47</v>
      </c>
      <c r="E33" s="1" t="s">
        <v>111</v>
      </c>
      <c r="G33" s="6" t="s">
        <v>154</v>
      </c>
      <c r="H33" t="s">
        <v>193</v>
      </c>
      <c r="I33" t="s">
        <v>190</v>
      </c>
      <c r="AD33" s="1">
        <v>0.368</v>
      </c>
      <c r="AE33" s="1" t="s">
        <v>156</v>
      </c>
    </row>
    <row r="34" spans="1:31" ht="54" customHeight="1">
      <c r="A34" s="6" t="s">
        <v>157</v>
      </c>
      <c r="B34" s="1">
        <v>1</v>
      </c>
      <c r="C34" s="1" t="s">
        <v>150</v>
      </c>
      <c r="D34" s="1" t="s">
        <v>47</v>
      </c>
      <c r="E34" s="1" t="s">
        <v>111</v>
      </c>
      <c r="G34" s="6" t="s">
        <v>158</v>
      </c>
      <c r="H34" t="s">
        <v>194</v>
      </c>
      <c r="I34" t="s">
        <v>190</v>
      </c>
      <c r="J34" s="2">
        <f>IF(COUNT('Turns'!D74)=1,SUM('Turns'!D74),"Unknown")</f>
        <v>3.0</v>
      </c>
      <c r="K34" s="2">
        <f>IF(COUNT('Turns'!E74)=1,SUM('Turns'!E74),"Unknown")</f>
        <v>5.27844e-07</v>
      </c>
      <c r="L34" s="2">
        <f>IF(COUNT('Turns'!F74)=1,SUM('Turns'!F74),"Unknown")</f>
        <v>6e-07</v>
      </c>
      <c r="M34" s="2">
        <f>IF(COUNT('Turns'!D73)=1,SUM('Turns'!D73),"Unknown")</f>
        <v>1796.0</v>
      </c>
      <c r="N34" s="2">
        <f>IF(COUNT('Turns'!E73)=1,SUM('Turns'!E73),"Unknown")</f>
        <v>3.16002608e-05</v>
      </c>
      <c r="O34" s="2">
        <f>IF(COUNT('Turns'!F73)=1,SUM('Turns'!F73),"Unknown")</f>
        <v>3.592e-05</v>
      </c>
      <c r="P34" s="2">
        <f>IF(COUNT('Turns'!D76)=1,SUM('Turns'!D76),"Unknown")</f>
        <v>334.0</v>
      </c>
      <c r="Q34" s="2">
        <f>IF(COUNT('Turns'!E76)=1,SUM('Turns'!E76),"Unknown")</f>
        <v>7.345829e-05</v>
      </c>
      <c r="R34" s="2">
        <f>IF(COUNT('Turns'!F76)=1,SUM('Turns'!F76),"Unknown")</f>
        <v>8.35e-05</v>
      </c>
      <c r="S34" s="2">
        <f>IF(COUNT('Turns'!D80)=1,SUM('Turns'!D80),"Unknown")</f>
        <v>31.0</v>
      </c>
      <c r="T34" s="2">
        <f>IF(COUNT('Turns'!E80)=1,SUM('Turns'!E80),"Unknown")</f>
        <v>3.2726328e-05</v>
      </c>
      <c r="U34" s="2">
        <f>IF(COUNT('Turns'!F80)=1,SUM('Turns'!F80),"Unknown")</f>
        <v>3.72e-05</v>
      </c>
      <c r="V34" s="2">
        <f>IF(COUNT('Turns'!D79)=1,SUM('Turns'!D79),"Unknown")</f>
        <v>21.0</v>
      </c>
      <c r="W34" s="2">
        <f>IF(COUNT('Turns'!E79)=1,SUM('Turns'!E79),"Unknown")</f>
        <v>2.2169448e-05</v>
      </c>
      <c r="X34" s="2">
        <f>IF(COUNT('Turns'!F79)=1,SUM('Turns'!F79),"Unknown")</f>
        <v>2.52e-05</v>
      </c>
      <c r="Y34" s="2">
        <f>IF(COUNT('Turns'!E84)=1,SUM('Turns'!E84),"Unknown")</f>
        <v>0.0001604821708</v>
      </c>
      <c r="Z34" s="2">
        <f>IF(COUNT('Turns'!F84)=1,SUM('Turns'!F84),"Unknown")</f>
        <v>0.00018242</v>
      </c>
      <c r="AA34" s="5">
        <f>IF(ISNUMBER(Y34),ROUND(Y34*'Reference data'!$B$2,0),"Unknown")</f>
        <v>16.0</v>
      </c>
      <c r="AB34" s="5">
        <f>IF(ISNUMBER(Z34),ROUND(Z34*'Reference data'!$B$2,0),"Unknown")</f>
        <v>18.0</v>
      </c>
      <c r="AD34" s="1">
        <v>1085.905</v>
      </c>
      <c r="AE34" s="1" t="s">
        <v>152</v>
      </c>
    </row>
    <row r="35" spans="1:31" ht="54" customHeight="1">
      <c r="A35" s="6" t="s">
        <v>160</v>
      </c>
      <c r="B35" s="1">
        <v>2</v>
      </c>
      <c r="C35" s="1" t="s">
        <v>161</v>
      </c>
      <c r="D35" s="1" t="s">
        <v>95</v>
      </c>
      <c r="E35" s="1" t="s">
        <v>111</v>
      </c>
      <c r="F35" s="1">
        <v>2133</v>
      </c>
      <c r="G35" s="6" t="s">
        <v>162</v>
      </c>
      <c r="H35" t="s">
        <v>142</v>
      </c>
      <c r="I35" t="s">
        <v>194</v>
      </c>
      <c r="J35" s="2">
        <f>IF(COUNT('Turns'!D74)=1,SUM('Turns'!D74),"Unknown")</f>
        <v>3.0</v>
      </c>
      <c r="K35" s="2">
        <f>IF(COUNT('Turns'!E74)=1,SUM('Turns'!E74),"Unknown")</f>
        <v>5.27844e-07</v>
      </c>
      <c r="L35" s="2">
        <f>IF(COUNT('Turns'!F74)=1,SUM('Turns'!F74),"Unknown")</f>
        <v>6e-07</v>
      </c>
      <c r="M35" s="2">
        <f>IF(COUNT('Turns'!D73)=1,SUM('Turns'!D73),"Unknown")</f>
        <v>1796.0</v>
      </c>
      <c r="N35" s="2">
        <f>IF(COUNT('Turns'!E73)=1,SUM('Turns'!E73),"Unknown")</f>
        <v>3.16002608e-05</v>
      </c>
      <c r="O35" s="2">
        <f>IF(COUNT('Turns'!F73)=1,SUM('Turns'!F73),"Unknown")</f>
        <v>3.592e-05</v>
      </c>
      <c r="P35" s="2">
        <f>IF(COUNT('Turns'!D76)=1,SUM('Turns'!D76),"Unknown")</f>
        <v>334.0</v>
      </c>
      <c r="Q35" s="2">
        <f>IF(COUNT('Turns'!E76)=1,SUM('Turns'!E76),"Unknown")</f>
        <v>7.345829e-05</v>
      </c>
      <c r="R35" s="2">
        <f>IF(COUNT('Turns'!F76)=1,SUM('Turns'!F76),"Unknown")</f>
        <v>8.35e-05</v>
      </c>
      <c r="S35" s="2">
        <f>IF(COUNT('Turns'!D80)=1,SUM('Turns'!D80),"Unknown")</f>
        <v>31.0</v>
      </c>
      <c r="T35" s="2">
        <f>IF(COUNT('Turns'!E80)=1,SUM('Turns'!E80),"Unknown")</f>
        <v>3.2726328e-05</v>
      </c>
      <c r="U35" s="2">
        <f>IF(COUNT('Turns'!F80)=1,SUM('Turns'!F80),"Unknown")</f>
        <v>3.72e-05</v>
      </c>
      <c r="V35" s="2">
        <f>IF(COUNT('Turns'!D79)=1,SUM('Turns'!D79),"Unknown")</f>
        <v>21.0</v>
      </c>
      <c r="W35" s="2">
        <f>IF(COUNT('Turns'!E79)=1,SUM('Turns'!E79),"Unknown")</f>
        <v>2.2169448e-05</v>
      </c>
      <c r="X35" s="2">
        <f>IF(COUNT('Turns'!F79)=1,SUM('Turns'!F79),"Unknown")</f>
        <v>2.52e-05</v>
      </c>
      <c r="Y35" s="2">
        <f>IF(COUNT('Turns'!E84)=1,SUM('Turns'!E84),"Unknown")</f>
        <v>0.0001604821708</v>
      </c>
      <c r="Z35" s="2">
        <f>IF(COUNT('Turns'!F84)=1,SUM('Turns'!F84),"Unknown")</f>
        <v>0.00018242</v>
      </c>
      <c r="AA35" s="5">
        <f>IF(ISNUMBER(Y35),ROUND(Y35*'Reference data'!$B$2,0),"Unknown")</f>
        <v>16.0</v>
      </c>
      <c r="AB35" s="5">
        <f>IF(ISNUMBER(Z35),ROUND(Z35*'Reference data'!$B$2,0),"Unknown")</f>
        <v>18.0</v>
      </c>
      <c r="AC35" s="1" t="s">
        <v>141</v>
      </c>
      <c r="AD35" s="1">
        <v>1082.65</v>
      </c>
      <c r="AE35" s="1" t="s">
        <v>163</v>
      </c>
    </row>
    <row r="36" spans="1:31" ht="54" customHeight="1">
      <c r="A36" s="6" t="s">
        <v>164</v>
      </c>
      <c r="B36" s="1">
        <v>1</v>
      </c>
      <c r="C36" s="1" t="s">
        <v>150</v>
      </c>
      <c r="D36" s="1" t="s">
        <v>47</v>
      </c>
      <c r="E36" s="1" t="s">
        <v>111</v>
      </c>
      <c r="G36" s="6" t="s">
        <v>165</v>
      </c>
      <c r="H36" t="s">
        <v>195</v>
      </c>
      <c r="I36" t="s">
        <v>190</v>
      </c>
      <c r="AD36" s="1">
        <v>1.147</v>
      </c>
      <c r="AE36" s="1" t="s">
        <v>156</v>
      </c>
    </row>
    <row r="37" spans="1:31" ht="54" customHeight="1">
      <c r="A37" s="6" t="s">
        <v>167</v>
      </c>
      <c r="B37" s="1">
        <v>1</v>
      </c>
      <c r="C37" s="1" t="s">
        <v>150</v>
      </c>
      <c r="D37" s="1" t="s">
        <v>47</v>
      </c>
      <c r="E37" s="1" t="s">
        <v>111</v>
      </c>
      <c r="G37" s="6" t="s">
        <v>168</v>
      </c>
      <c r="H37" t="s">
        <v>196</v>
      </c>
      <c r="I37" t="s">
        <v>190</v>
      </c>
      <c r="AD37" s="1">
        <v>4.047</v>
      </c>
      <c r="AE37" s="1" t="s">
        <v>156</v>
      </c>
    </row>
    <row r="38" spans="1:31" ht="54" customHeight="1">
      <c r="A38" s="6" t="s">
        <v>170</v>
      </c>
      <c r="B38" s="1">
        <v>2</v>
      </c>
      <c r="C38" s="1" t="s">
        <v>171</v>
      </c>
      <c r="D38" s="1" t="s">
        <v>47</v>
      </c>
      <c r="E38" s="1" t="s">
        <v>111</v>
      </c>
      <c r="G38" s="6" t="s">
        <v>172</v>
      </c>
      <c r="H38" t="s">
        <v>144</v>
      </c>
      <c r="I38" t="s">
        <v>196</v>
      </c>
      <c r="AD38" s="1">
        <v>0.999</v>
      </c>
      <c r="AE38" s="1" t="s">
        <v>156</v>
      </c>
    </row>
    <row r="39" spans="1:31" ht="54" customHeight="1">
      <c r="A39" s="6" t="s">
        <v>153</v>
      </c>
      <c r="B39" s="1">
        <v>1</v>
      </c>
      <c r="C39" s="1" t="s">
        <v>150</v>
      </c>
      <c r="D39" s="1" t="s">
        <v>47</v>
      </c>
      <c r="E39" s="1" t="s">
        <v>111</v>
      </c>
      <c r="G39" s="6" t="s">
        <v>154</v>
      </c>
      <c r="H39" t="s">
        <v>197</v>
      </c>
      <c r="I39" t="s">
        <v>190</v>
      </c>
      <c r="AD39" s="1">
        <v>1.008</v>
      </c>
      <c r="AE39" s="1" t="s">
        <v>156</v>
      </c>
    </row>
    <row r="40" spans="1:31" ht="54" customHeight="1">
      <c r="A40" s="6" t="s">
        <v>157</v>
      </c>
      <c r="B40" s="1">
        <v>1</v>
      </c>
      <c r="C40" s="1" t="s">
        <v>150</v>
      </c>
      <c r="D40" s="1" t="s">
        <v>47</v>
      </c>
      <c r="E40" s="1" t="s">
        <v>111</v>
      </c>
      <c r="G40" s="6" t="s">
        <v>158</v>
      </c>
      <c r="H40" t="s">
        <v>198</v>
      </c>
      <c r="I40" t="s">
        <v>190</v>
      </c>
      <c r="J40" s="2">
        <f>IF(COUNT('Turns'!D90)=1,SUM('Turns'!D90),"Unknown")</f>
        <v>3.0</v>
      </c>
      <c r="K40" s="2">
        <f>IF(COUNT('Turns'!E90)=1,SUM('Turns'!E90),"Unknown")</f>
        <v>5.27844e-07</v>
      </c>
      <c r="L40" s="2">
        <f>IF(COUNT('Turns'!F90)=1,SUM('Turns'!F90),"Unknown")</f>
        <v>6e-07</v>
      </c>
      <c r="M40" s="2">
        <f>IF(COUNT('Turns'!D89)=1,SUM('Turns'!D89),"Unknown")</f>
        <v>2130.0</v>
      </c>
      <c r="N40" s="2">
        <f>IF(COUNT('Turns'!E89)=1,SUM('Turns'!E89),"Unknown")</f>
        <v>3.7476924e-05</v>
      </c>
      <c r="O40" s="2">
        <f>IF(COUNT('Turns'!F89)=1,SUM('Turns'!F89),"Unknown")</f>
        <v>4.26e-05</v>
      </c>
      <c r="P40" s="2">
        <f>IF(COUNT('Turns'!D92)=1,SUM('Turns'!D92),"Unknown")</f>
        <v>175.0</v>
      </c>
      <c r="Q40" s="2">
        <f>IF(COUNT('Turns'!E92)=1,SUM('Turns'!E92),"Unknown")</f>
        <v>3.8488625e-05</v>
      </c>
      <c r="R40" s="2">
        <f>IF(COUNT('Turns'!F92)=1,SUM('Turns'!F92),"Unknown")</f>
        <v>4.375e-05</v>
      </c>
      <c r="S40" s="2">
        <f>IF(COUNT('Turns'!D95)=1,SUM('Turns'!D95),"Unknown")</f>
        <v>33.0</v>
      </c>
      <c r="T40" s="2">
        <f>IF(COUNT('Turns'!E95)=1,SUM('Turns'!E95),"Unknown")</f>
        <v>3.4837704e-05</v>
      </c>
      <c r="U40" s="2">
        <f>IF(COUNT('Turns'!F95)=1,SUM('Turns'!F95),"Unknown")</f>
        <v>3.96e-05</v>
      </c>
      <c r="V40" s="2">
        <v>0</v>
      </c>
      <c r="W40" s="2">
        <v>0</v>
      </c>
      <c r="X40" s="2">
        <v>0</v>
      </c>
      <c r="Y40" s="2">
        <f>IF(COUNT('Turns'!E99)=1,SUM('Turns'!E99),"Unknown")</f>
        <v>0.000111331097</v>
      </c>
      <c r="Z40" s="2">
        <f>IF(COUNT('Turns'!F99)=1,SUM('Turns'!F99),"Unknown")</f>
        <v>0.00012655</v>
      </c>
      <c r="AA40" s="5">
        <f>IF(ISNUMBER(Y40),ROUND(Y40*'Reference data'!$B$2,0),"Unknown")</f>
        <v>11.0</v>
      </c>
      <c r="AB40" s="5">
        <f>IF(ISNUMBER(Z40),ROUND(Z40*'Reference data'!$B$2,0),"Unknown")</f>
        <v>13.0</v>
      </c>
      <c r="AD40" s="1">
        <v>1018.443</v>
      </c>
      <c r="AE40" s="1" t="s">
        <v>152</v>
      </c>
    </row>
    <row r="41" spans="1:31" ht="54" customHeight="1">
      <c r="A41" s="6" t="s">
        <v>160</v>
      </c>
      <c r="B41" s="1">
        <v>2</v>
      </c>
      <c r="C41" s="1" t="s">
        <v>161</v>
      </c>
      <c r="D41" s="1" t="s">
        <v>95</v>
      </c>
      <c r="E41" s="1" t="s">
        <v>111</v>
      </c>
      <c r="F41" s="1">
        <v>2308</v>
      </c>
      <c r="G41" s="6" t="s">
        <v>162</v>
      </c>
      <c r="H41" t="s">
        <v>147</v>
      </c>
      <c r="I41" t="s">
        <v>198</v>
      </c>
      <c r="J41" s="2">
        <f>IF(COUNT('Turns'!D90)=1,SUM('Turns'!D90),"Unknown")</f>
        <v>3.0</v>
      </c>
      <c r="K41" s="2">
        <f>IF(COUNT('Turns'!E90)=1,SUM('Turns'!E90),"Unknown")</f>
        <v>5.27844e-07</v>
      </c>
      <c r="L41" s="2">
        <f>IF(COUNT('Turns'!F90)=1,SUM('Turns'!F90),"Unknown")</f>
        <v>6e-07</v>
      </c>
      <c r="M41" s="2">
        <f>IF(COUNT('Turns'!D89)=1,SUM('Turns'!D89),"Unknown")</f>
        <v>2130.0</v>
      </c>
      <c r="N41" s="2">
        <f>IF(COUNT('Turns'!E89)=1,SUM('Turns'!E89),"Unknown")</f>
        <v>3.7476924e-05</v>
      </c>
      <c r="O41" s="2">
        <f>IF(COUNT('Turns'!F89)=1,SUM('Turns'!F89),"Unknown")</f>
        <v>4.26e-05</v>
      </c>
      <c r="P41" s="2">
        <f>IF(COUNT('Turns'!D92)=1,SUM('Turns'!D92),"Unknown")</f>
        <v>175.0</v>
      </c>
      <c r="Q41" s="2">
        <f>IF(COUNT('Turns'!E92)=1,SUM('Turns'!E92),"Unknown")</f>
        <v>3.8488625e-05</v>
      </c>
      <c r="R41" s="2">
        <f>IF(COUNT('Turns'!F92)=1,SUM('Turns'!F92),"Unknown")</f>
        <v>4.375e-05</v>
      </c>
      <c r="S41" s="2">
        <f>IF(COUNT('Turns'!D95)=1,SUM('Turns'!D95),"Unknown")</f>
        <v>33.0</v>
      </c>
      <c r="T41" s="2">
        <f>IF(COUNT('Turns'!E95)=1,SUM('Turns'!E95),"Unknown")</f>
        <v>3.4837704e-05</v>
      </c>
      <c r="U41" s="2">
        <f>IF(COUNT('Turns'!F95)=1,SUM('Turns'!F95),"Unknown")</f>
        <v>3.96e-05</v>
      </c>
      <c r="V41" s="2">
        <v>0</v>
      </c>
      <c r="W41" s="2">
        <v>0</v>
      </c>
      <c r="X41" s="2">
        <v>0</v>
      </c>
      <c r="Y41" s="2">
        <f>IF(COUNT('Turns'!E99)=1,SUM('Turns'!E99),"Unknown")</f>
        <v>0.000111331097</v>
      </c>
      <c r="Z41" s="2">
        <f>IF(COUNT('Turns'!F99)=1,SUM('Turns'!F99),"Unknown")</f>
        <v>0.00012655</v>
      </c>
      <c r="AA41" s="5">
        <f>IF(ISNUMBER(Y41),ROUND(Y41*'Reference data'!$B$2,0),"Unknown")</f>
        <v>11.0</v>
      </c>
      <c r="AB41" s="5">
        <f>IF(ISNUMBER(Z41),ROUND(Z41*'Reference data'!$B$2,0),"Unknown")</f>
        <v>13.0</v>
      </c>
      <c r="AC41" s="1" t="s">
        <v>146</v>
      </c>
      <c r="AD41" s="1">
        <v>1015.827</v>
      </c>
      <c r="AE41" s="1" t="s">
        <v>163</v>
      </c>
    </row>
    <row r="42" spans="1:31" ht="54" customHeight="1">
      <c r="A42" s="6" t="s">
        <v>164</v>
      </c>
      <c r="B42" s="1">
        <v>1</v>
      </c>
      <c r="C42" s="1" t="s">
        <v>150</v>
      </c>
      <c r="D42" s="1" t="s">
        <v>47</v>
      </c>
      <c r="E42" s="1" t="s">
        <v>111</v>
      </c>
      <c r="G42" s="6" t="s">
        <v>165</v>
      </c>
      <c r="H42" t="s">
        <v>199</v>
      </c>
      <c r="I42" t="s">
        <v>190</v>
      </c>
      <c r="AD42" s="1">
        <v>0.34</v>
      </c>
      <c r="AE42" s="1" t="s">
        <v>156</v>
      </c>
    </row>
  </sheetData>
  <conditionalFormatting sqref="A2:AE42">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0.87974</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2026-09-24T22:24:06Z</dcterms:created>
  <dcterms:modified xsi:type="dcterms:W3CDTF">2026-09-24T22:24:06Z</dcterms:modified>
</cp:coreProperties>
</file>
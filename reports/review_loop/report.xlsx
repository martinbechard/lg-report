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6e810fd3e14659" /></Relationships>
</file>

<file path=xl/workbook.xml><?xml version="1.0" encoding="utf-8"?>
<x:workbook xmlns:x="http://schemas.openxmlformats.org/spreadsheetml/2006/main">
  <x:sheets>
    <x:sheet xmlns:r="http://schemas.openxmlformats.org/officeDocument/2006/relationships" name="Turns" sheetId="1" r:id="R9be65aea96ab4bbb"/>
    <x:sheet xmlns:r="http://schemas.openxmlformats.org/officeDocument/2006/relationships" name="Execution tree" sheetId="2" r:id="R62b2bf35afcd4f8b"/>
    <x:sheet xmlns:r="http://schemas.openxmlformats.org/officeDocument/2006/relationships" name="Reference data" sheetId="3" r:id="R04ec9576beca4864"/>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yyyy-mm-dd"/>
    <x:numFmt numFmtId="203" formatCode="yyyy-mm-dd hh:mm:ss"/>
    <x:numFmt numFmtId="204" formatCode="0.00"/>
  </x:numFmts>
  <x:fonts count="5">
    <x:font>
      <x:sz val="11"/>
      <x:name val="Carlito"/>
    </x:font>
    <x:font>
      <x:sz val="10"/>
      <x:color rgb="FF193E42"/>
      <x:name val="Arial"/>
    </x:font>
    <x:font>
      <x:b/>
      <x:sz val="10"/>
      <x:color rgb="FFFFFFFF"/>
      <x:name val="Arial"/>
    </x:font>
    <x:font>
      <x:b/>
      <x:sz val="10"/>
      <x:color rgb="FF173B70"/>
      <x:name val="Arial"/>
    </x:font>
    <x:font>
      <x:b/>
      <x:sz val="10"/>
      <x:color rgb="FF193E42"/>
      <x:name val="Arial"/>
    </x:font>
  </x:fonts>
  <x:fills count="8">
    <x:fill>
      <x:patternFill patternType="none"/>
    </x:fill>
    <x:fill>
      <x:patternFill patternType="gray125"/>
    </x:fill>
    <x:fill>
      <x:patternFill patternType="solid">
        <x:fgColor rgb="FF173B70"/>
      </x:patternFill>
    </x:fill>
    <x:fill>
      <x:patternFill patternType="solid">
        <x:fgColor rgb="FFFFF1B8"/>
      </x:patternFill>
    </x:fill>
    <x:fill>
      <x:patternFill patternType="solid">
        <x:fgColor rgb="FFDBE5F1"/>
      </x:patternFill>
    </x:fill>
    <x:fill>
      <x:patternFill patternType="solid">
        <x:fgColor rgb="FFF0F5FC"/>
      </x:patternFill>
    </x:fill>
    <x:fill>
      <x:patternFill patternType="solid">
        <x:fgColor rgb="FFE8EEF7"/>
      </x:patternFill>
    </x:fill>
    <x:fill>
      <x:patternFill patternType="solid">
        <x:fgColor rgb="FFFFFFFF"/>
      </x:patternFill>
    </x:fill>
  </x:fills>
  <x:borders count="1">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x:xf>
    <x:xf numFmtId="0" fontId="3" fillId="3" borderId="0" xfId="0" applyNumberFormat="1" applyFont="1" applyFill="1" applyBorder="1" applyAlignment="1">
      <x:alignment vertical="top"/>
    </x:xf>
    <x:xf numFmtId="200" fontId="3" fillId="3" borderId="0" xfId="0" applyNumberFormat="1" applyFont="1" applyFill="1" applyBorder="1" applyAlignment="1">
      <x:alignment vertical="top"/>
    </x:xf>
    <x:xf numFmtId="201"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4" borderId="0" xfId="0" applyNumberFormat="1" applyFont="1" applyFill="1" applyBorder="1" applyAlignment="1">
      <x:alignment vertical="top"/>
    </x:xf>
    <x:xf numFmtId="0" fontId="3" fillId="4" borderId="0" xfId="0" applyNumberFormat="1" applyFont="1" applyFill="1" applyBorder="1" applyAlignment="1">
      <x:alignment vertical="top"/>
    </x:xf>
    <x:xf numFmtId="0" fontId="1" fillId="5" borderId="0" xfId="0" applyNumberFormat="1" applyFont="1" applyFill="1" applyBorder="1" applyAlignment="1">
      <x:alignment vertical="top"/>
    </x:xf>
    <x:xf numFmtId="0" fontId="3" fillId="5" borderId="0" xfId="0" applyNumberFormat="1" applyFont="1" applyFill="1" applyBorder="1" applyAlignment="1">
      <x:alignment vertical="top"/>
    </x:xf>
    <x:xf numFmtId="0" fontId="4" fillId="0"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201" fontId="3" fillId="4" borderId="0" xfId="0" applyNumberFormat="1" applyFont="1" applyFill="1" applyBorder="1" applyAlignment="1">
      <x:alignment vertical="top"/>
    </x:xf>
    <x:xf numFmtId="201" fontId="3" fillId="5" borderId="0" xfId="0" applyNumberFormat="1" applyFont="1" applyFill="1" applyBorder="1" applyAlignment="1">
      <x:alignment vertical="top"/>
    </x:xf>
    <x:xf numFmtId="200" fontId="3" fillId="4" borderId="0" xfId="0" applyNumberFormat="1" applyFont="1" applyFill="1" applyBorder="1" applyAlignment="1">
      <x:alignment vertical="top"/>
    </x:xf>
    <x:xf numFmtId="200" fontId="3" fillId="5"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6" borderId="0" xfId="0" applyNumberFormat="1" applyFont="1" applyFill="1" applyBorder="1" applyAlignment="1">
      <x:alignment vertical="top"/>
    </x:xf>
    <x:xf numFmtId="0" fontId="1" fillId="7" borderId="0" xfId="0" applyNumberFormat="1" applyFont="1" applyFill="1" applyBorder="1" applyAlignment="1">
      <x:alignment vertical="top"/>
    </x:xf>
    <x:xf numFmtId="200" fontId="1" fillId="6" borderId="0" xfId="0" applyNumberFormat="1" applyFont="1" applyFill="1" applyBorder="1" applyAlignment="1">
      <x:alignment vertical="top"/>
    </x:xf>
    <x:xf numFmtId="200" fontId="1" fillId="7" borderId="0" xfId="0" applyNumberFormat="1" applyFont="1" applyFill="1" applyBorder="1" applyAlignment="1">
      <x:alignment vertical="top"/>
    </x:xf>
    <x:xf numFmtId="200" fontId="1" fillId="5" borderId="0" xfId="0" applyNumberFormat="1" applyFont="1" applyFill="1" applyBorder="1" applyAlignment="1">
      <x:alignment vertical="top"/>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4" fontId="1" fillId="0" borderId="0" xfId="0" applyNumberFormat="1" applyFont="1" applyFill="1" applyBorder="1" applyAlignment="1">
      <x:alignment vertical="top"/>
    </x:xf>
  </x:cellXfs>
  <x:cellStyles count="1">
    <x:cellStyle name="Normal" xfId="0"/>
  </x:cellStyles>
  <x:dxfs count="4">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3e16945a76429e" /><Relationship Type="http://schemas.openxmlformats.org/officeDocument/2006/relationships/theme" Target="/xl/theme/theme1.xml" Id="Re51a39a9f7484334" /><Relationship Type="http://schemas.openxmlformats.org/officeDocument/2006/relationships/sharedStrings" Target="/xl/sharedStrings.xml" Id="R633e2093a4aa4ffb" /><Relationship Type="http://schemas.openxmlformats.org/officeDocument/2006/relationships/worksheet" Target="/xl/worksheets/sheet1.xml" Id="R9be65aea96ab4bbb" /><Relationship Type="http://schemas.openxmlformats.org/officeDocument/2006/relationships/worksheet" Target="/xl/worksheets/sheet2.xml" Id="R62b2bf35afcd4f8b" /><Relationship Type="http://schemas.openxmlformats.org/officeDocument/2006/relationships/worksheet" Target="/xl/worksheets/sheet3.xml" Id="R04ec9576beca486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10" hidden="0" customWidth="1"/>
    <x:col min="2" max="2" width="10" hidden="0" customWidth="1"/>
    <x:col min="3" max="3" width="38" hidden="0" customWidth="1"/>
    <x:col min="4" max="4" width="14" hidden="0" customWidth="1"/>
    <x:col min="5" max="5" width="22" hidden="0" customWidth="1"/>
    <x:col min="6" max="6" width="22" hidden="0" customWidth="1"/>
    <x:col min="7" max="7" width="18" hidden="0" customWidth="1"/>
    <x:col min="8" max="8" width="18" hidden="0" customWidth="1"/>
    <x:col min="9" max="9" width="100" hidden="0" customWidth="1"/>
    <x:col min="10" max="10" width="26" hidden="0" customWidth="1"/>
    <x:col min="11" max="11" width="18" hidden="0" customWidth="1"/>
    <x:col min="12" max="12" width="18" hidden="0" customWidth="1"/>
    <x:col min="13" max="13" width="38" hidden="0" customWidth="1"/>
  </x:cols>
  <x:sheetData>
    <x:row r="1" ht="44" customHeight="1">
      <x:c r="A1" s="7" t="str">
        <x:v>Request</x:v>
      </x:c>
      <x:c r="B1" s="7" t="str">
        <x:v>Turn</x:v>
      </x:c>
      <x:c r="C1" s="7" t="str">
        <x:v>Sequence</x:v>
      </x:c>
      <x:c r="D1" s="7" t="str">
        <x:v>Tokens</x:v>
      </x:c>
      <x:c r="E1" s="7" t="str">
        <x:v>EUR / execution</x:v>
      </x:c>
      <x:c r="F1" s="7" t="str">
        <x:v>USD / execution</x:v>
      </x:c>
      <x:c r="G1" s="7" t="str">
        <x:v>Projected EUR</x:v>
      </x:c>
      <x:c r="H1" s="7" t="str">
        <x:v>Projected USD</x:v>
      </x:c>
      <x:c r="I1" s="7" t="str">
        <x:v>Content</x:v>
      </x:c>
      <x:c r="J1" s="7" t="str">
        <x:v>Model · effort</x:v>
      </x:c>
      <x:c r="K1" s="7" t="str">
        <x:v>Status</x:v>
      </x:c>
      <x:c r="L1" s="7" t="str">
        <x:v>Context total tokens</x:v>
      </x:c>
      <x:c r="M1" s="7" t="str">
        <x:v>Span ID</x:v>
      </x:c>
    </x:row>
    <x:row r="2" ht="24" customHeight="1">
      <x:c r="A2" s="19"/>
      <x:c r="B2" s="19"/>
      <x:c r="C2" s="19" t="str">
        <x:v>Run total</x:v>
      </x:c>
      <x:c r="D2" s="27"/>
      <x:c r="E2" s="25" t="n">
        <x:f>IF(COUNT(E17,E30)=2,SUM(E17,E30),"Unknown")</x:f>
        <x:v>0.00100401356</x:v>
      </x:c>
      <x:c r="F2" s="25" t="n">
        <x:f>IF(COUNT(F17,F30)=2,SUM(F17,F30),"Unknown")</x:f>
        <x:v>0.0011506</x:v>
      </x:c>
      <x:c r="G2" s="27" t="n">
        <x:f>IF(ISNUMBER(E2),ROUND(E2*'Reference data'!$B$2,0),"Unknown")</x:f>
        <x:v>100</x:v>
      </x:c>
      <x:c r="H2" s="27" t="n">
        <x:f>IF(ISNUMBER(F2),ROUND(F2*'Reference data'!$B$2,0),"Unknown")</x:f>
        <x:v>115</x:v>
      </x:c>
      <x:c r="I2" s="23"/>
      <x:c r="J2" s="19"/>
      <x:c r="K2" s="19"/>
      <x:c r="L2" s="27"/>
      <x:c r="M2" s="19"/>
    </x:row>
    <x:row r="3" ht="24" customHeight="1">
      <x:c r="A3" s="19"/>
      <x:c r="B3" s="19" t="n">
        <x:v>1</x:v>
      </x:c>
      <x:c r="C3" s="19" t="str">
        <x:v>Turn 1</x:v>
      </x:c>
      <x:c r="D3" s="27"/>
      <x:c r="E3" s="25" t="n">
        <x:f>IF(COUNT(E17,E30)=2,SUM(E17,E30),"Unknown")</x:f>
        <x:v>0.00100401356</x:v>
      </x:c>
      <x:c r="F3" s="25" t="n">
        <x:f>IF(COUNT(F17,F30)=2,SUM(F17,F30),"Unknown")</x:f>
        <x:v>0.0011506</x:v>
      </x:c>
      <x:c r="G3" s="27" t="n">
        <x:f>IF(ISNUMBER(E3),ROUND(E3*'Reference data'!$B$2,0),"Unknown")</x:f>
        <x:v>100</x:v>
      </x:c>
      <x:c r="H3" s="27" t="n">
        <x:f>IF(ISNUMBER(F3),ROUND(F3*'Reference data'!$B$2,0),"Unknown")</x:f>
        <x:v>115</x:v>
      </x:c>
      <x:c r="I3" s="23"/>
      <x:c r="J3" s="19"/>
      <x:c r="K3" s="19"/>
      <x:c r="L3" s="27"/>
      <x:c r="M3" s="19"/>
    </x:row>
    <x:row r="4" ht="24" customHeight="1">
      <x:c r="A4" s="21" t="str">
        <x:v>R1</x:v>
      </x:c>
      <x:c r="B4" s="21" t="n">
        <x:v>1</x:v>
      </x:c>
      <x:c r="C4" s="21" t="str">
        <x:v>LLM request</x:v>
      </x:c>
      <x:c r="D4" s="28" t="n">
        <x:v>242</x:v>
      </x:c>
      <x:c r="E4" s="26"/>
      <x:c r="F4" s="26"/>
      <x:c r="G4" s="28"/>
      <x:c r="H4" s="28"/>
      <x:c r="I4" s="24"/>
      <x:c r="J4" s="21" t="str">
        <x:v>gpt-5.6-luna</x:v>
      </x:c>
      <x:c r="K4" s="21"/>
      <x:c r="L4" s="28"/>
      <x:c r="M4" s="21" t="str">
        <x:v>01a0c40f-be77-79c3-b65b-fcc4ce8709da</x:v>
      </x:c>
    </x:row>
    <x:row r="5" ht="24" customHeight="1">
      <x:c r="A5" s="2" t="str">
        <x:v>R1</x:v>
      </x:c>
      <x:c r="B5" s="2" t="n">
        <x:v>1</x:v>
      </x:c>
      <x:c r="C5" s="22" t="str">
        <x:v>Fresh input</x:v>
      </x:c>
      <x:c r="D5" s="29" t="n">
        <x:v>242</x:v>
      </x:c>
      <x:c r="E5" s="11" t="n">
        <x:f>IF(AND(ISNUMBER(F5),ISNUMBER('Reference data'!$B$3)),F5*'Reference data'!$B$3,"Unknown")</x:f>
        <x:v>0.000042233840000000005</x:v>
      </x:c>
      <x:c r="F5" s="11" t="n">
        <x:f>IF(D5=0,0,IF(ISNUMBER('Reference data'!B17),D5*'Reference data'!B17/1000000,"Unknown"))</x:f>
        <x:v>0.000048400000000000004</x:v>
      </x:c>
      <x:c r="G5" s="29" t="n">
        <x:f>IF(ISNUMBER(E5),ROUND(E5*'Reference data'!$B$2,0),"Unknown")</x:f>
        <x:v>4</x:v>
      </x:c>
      <x:c r="H5" s="29" t="n">
        <x:f>IF(ISNUMBER(F5),ROUND(F5*'Reference data'!$B$2,0),"Unknown")</x:f>
        <x:v>5</x:v>
      </x:c>
      <x:c r="I5" s="14"/>
      <x:c r="J5" s="2"/>
      <x:c r="K5" s="2"/>
      <x:c r="L5" s="29"/>
      <x:c r="M5" s="2"/>
    </x:row>
    <x:row r="6" ht="24" customHeight="1">
      <x:c r="A6" s="2" t="str">
        <x:v>R1</x:v>
      </x:c>
      <x:c r="B6" s="2" t="n">
        <x:v>1</x:v>
      </x:c>
      <x:c r="C6" s="2" t="str">
        <x:v>    Tool definitions</x:v>
      </x:c>
      <x:c r="D6" s="29"/>
      <x:c r="E6" s="11"/>
      <x:c r="F6" s="11"/>
      <x:c r="G6" s="29"/>
      <x:c r="H6" s="29"/>
      <x:c r="I6" s="14"/>
      <x:c r="J6" s="2"/>
      <x:c r="K6" s="2"/>
      <x:c r="L6" s="29"/>
      <x:c r="M6" s="2"/>
    </x:row>
    <x:row r="7" ht="73" customHeight="1">
      <x:c r="A7" s="2" t="str">
        <x:v>R1</x:v>
      </x:c>
      <x:c r="B7" s="2" t="n">
        <x:v>1</x:v>
      </x:c>
      <x:c r="C7" s="2" t="str">
        <x:v>    System prompt</x:v>
      </x:c>
      <x:c r="D7" s="29"/>
      <x:c r="E7" s="11"/>
      <x:c r="F7" s="11"/>
      <x:c r="G7" s="29"/>
      <x:c r="H7" s="29"/>
      <x:c r="I7" s="14" t="str">
        <x:v>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x:v>
      </x:c>
      <x:c r="J7" s="2"/>
      <x:c r="K7" s="2"/>
      <x:c r="L7" s="29"/>
      <x:c r="M7" s="2"/>
    </x:row>
    <x:row r="8" ht="34" customHeight="1">
      <x:c r="A8" s="2" t="str">
        <x:v>R1</x:v>
      </x:c>
      <x:c r="B8" s="2" t="n">
        <x:v>1</x:v>
      </x:c>
      <x:c r="C8" s="2" t="str">
        <x:v>    User prompt</x:v>
      </x:c>
      <x:c r="D8" s="29"/>
      <x:c r="E8" s="11"/>
      <x:c r="F8" s="11"/>
      <x:c r="G8" s="29"/>
      <x:c r="H8" s="29"/>
      <x:c r="I8" s="14" t="str">
        <x:v>Write an answer to the conversation's latest request. For this first draft, give only a high-level overview; leave the detailed drill-down for revision.</x:v>
      </x:c>
      <x:c r="J8" s="2"/>
      <x:c r="K8" s="2"/>
      <x:c r="L8" s="29"/>
      <x:c r="M8" s="2"/>
    </x:row>
    <x:row r="9" ht="24" customHeight="1">
      <x:c r="A9" s="2" t="str">
        <x:v>R1</x:v>
      </x:c>
      <x:c r="B9" s="2" t="n">
        <x:v>1</x:v>
      </x:c>
      <x:c r="C9" s="2" t="str">
        <x:v>Cache write</x:v>
      </x:c>
      <x:c r="D9" s="29"/>
      <x:c r="E9" s="11"/>
      <x:c r="F9" s="11"/>
      <x:c r="G9" s="29"/>
      <x:c r="H9" s="29"/>
      <x:c r="I9" s="14"/>
      <x:c r="J9" s="2"/>
      <x:c r="K9" s="2"/>
      <x:c r="L9" s="29"/>
      <x:c r="M9" s="2"/>
    </x:row>
    <x:row r="10" ht="24" customHeight="1">
      <x:c r="A10" s="2" t="str">
        <x:v>R1</x:v>
      </x:c>
      <x:c r="B10" s="2" t="n">
        <x:v>1</x:v>
      </x:c>
      <x:c r="C10" s="2" t="str">
        <x:v>Context · added / total</x:v>
      </x:c>
      <x:c r="D10" s="29"/>
      <x:c r="E10" s="11"/>
      <x:c r="F10" s="11"/>
      <x:c r="G10" s="29"/>
      <x:c r="H10" s="29"/>
      <x:c r="I10" s="14"/>
      <x:c r="J10" s="2"/>
      <x:c r="K10" s="2"/>
      <x:c r="L10" s="29"/>
      <x:c r="M10" s="2"/>
    </x:row>
    <x:row r="11" ht="24" customHeight="1">
      <x:c r="A11" s="21" t="str">
        <x:v>R1</x:v>
      </x:c>
      <x:c r="B11" s="21" t="n">
        <x:v>1</x:v>
      </x:c>
      <x:c r="C11" s="21" t="str">
        <x:v>LLM response</x:v>
      </x:c>
      <x:c r="D11" s="28" t="n">
        <x:v>406</x:v>
      </x:c>
      <x:c r="E11" s="26"/>
      <x:c r="F11" s="26"/>
      <x:c r="G11" s="28"/>
      <x:c r="H11" s="28"/>
      <x:c r="I11" s="24"/>
      <x:c r="J11" s="21"/>
      <x:c r="K11" s="21"/>
      <x:c r="L11" s="28"/>
      <x:c r="M11" s="21"/>
    </x:row>
    <x:row r="12" ht="24" customHeight="1">
      <x:c r="A12" s="2" t="str">
        <x:v>R1</x:v>
      </x:c>
      <x:c r="B12" s="2" t="n">
        <x:v>1</x:v>
      </x:c>
      <x:c r="C12" s="22" t="str">
        <x:v>Reasoning</x:v>
      </x:c>
      <x:c r="D12" s="29" t="n">
        <x:v>75</x:v>
      </x:c>
      <x:c r="E12" s="11" t="n">
        <x:f>IF(AND(ISNUMBER(F12),ISNUMBER('Reference data'!$B$3)),F12*'Reference data'!$B$3,"Unknown")</x:f>
        <x:v>0.000078534</x:v>
      </x:c>
      <x:c r="F12" s="11" t="n">
        <x:f>IF(D12=0,0,IF(ISNUMBER('Reference data'!F17),D12*'Reference data'!F17/1000000,"Unknown"))</x:f>
        <x:v>0.00009</x:v>
      </x:c>
      <x:c r="G12" s="29" t="n">
        <x:f>IF(ISNUMBER(E12),ROUND(E12*'Reference data'!$B$2,0),"Unknown")</x:f>
        <x:v>8</x:v>
      </x:c>
      <x:c r="H12" s="29" t="n">
        <x:f>IF(ISNUMBER(F12),ROUND(F12*'Reference data'!$B$2,0),"Unknown")</x:f>
        <x:v>9</x:v>
      </x:c>
      <x:c r="I12" s="14"/>
      <x:c r="J12" s="2"/>
      <x:c r="K12" s="2"/>
      <x:c r="L12" s="29"/>
      <x:c r="M12" s="2"/>
    </x:row>
    <x:row r="13" ht="24" customHeight="1">
      <x:c r="A13" s="2" t="str">
        <x:v>R1</x:v>
      </x:c>
      <x:c r="B13" s="2" t="n">
        <x:v>1</x:v>
      </x:c>
      <x:c r="C13" s="22" t="str">
        <x:v>Output</x:v>
      </x:c>
      <x:c r="D13" s="29" t="n">
        <x:v>331</x:v>
      </x:c>
      <x:c r="E13" s="11" t="n">
        <x:f>IF(AND(ISNUMBER(F13),ISNUMBER('Reference data'!$B$3)),F13*'Reference data'!$B$3,"Unknown")</x:f>
        <x:v>0.00034659672</x:v>
      </x:c>
      <x:c r="F13" s="11" t="n">
        <x:f>IF(D13=0,0,IF(ISNUMBER('Reference data'!E17),D13*'Reference data'!E17/1000000,"Unknown"))</x:f>
        <x:v>0.0003972</x:v>
      </x:c>
      <x:c r="G13" s="29" t="n">
        <x:f>IF(ISNUMBER(E13),ROUND(E13*'Reference data'!$B$2,0),"Unknown")</x:f>
        <x:v>35</x:v>
      </x:c>
      <x:c r="H13" s="29" t="n">
        <x:f>IF(ISNUMBER(F13),ROUND(F13*'Reference data'!$B$2,0),"Unknown")</x:f>
        <x:v>40</x:v>
      </x:c>
      <x:c r="I13" s="14"/>
      <x:c r="J13" s="2"/>
      <x:c r="K13" s="2"/>
      <x:c r="L13" s="29"/>
      <x:c r="M13" s="2"/>
    </x:row>
    <x:row r="14" ht="554" customHeight="1">
      <x:c r="A14" s="2" t="str">
        <x:v>R1</x:v>
      </x:c>
      <x:c r="B14" s="2" t="n">
        <x:v>1</x:v>
      </x:c>
      <x:c r="C14" s="2" t="str">
        <x:v>    Output content</x:v>
      </x:c>
      <x:c r="D14" s="29"/>
      <x:c r="E14" s="11"/>
      <x:c r="F14" s="11"/>
      <x:c r="G14" s="29"/>
      <x:c r="H14" s="29"/>
      <x:c r="I14" s="14" t="str">
        <x:v>[{"id":"rs_0c1cb7b993569fce006ab12af21b7c87d2864996c95a6bb171","summary":[],"type":"reasoning","content":[],"index":0,"encrypted_content":"gAAAAABqsSrz5w5v-wArc1281doC0dERx1o9ogZs8oMLYW1x24jO_uYeuVK5Z1UajITrwPcZ6YWvT9xYH_hPxYAlRzUUpJnhcXxQjlSTP_EZ2GndnV6y3p4HABN4PzMNoxXa5uOPB1Nelzh8eor4mU1lcIviBCSq4_BPZfVHErNe-BtbU6_do1K8DVtLk4glZrLFz81dxmN1NTzV_vxpSZ2S_NFoNY819r67lTbzFCF16Q-9lBwSYSf0zoH8fKYrYu9uNLhsEzGQx4GX6A-dZkx-aXiU9XmTcfeFRlPIBDK6NFxXHF_DcBY1aomLNyXujWe6SoNhxfyF18DnfAdjXffGfJTKf0WjMoIRvl0ZeK8pYyA0mV2YgR8K6VTusqRm_8yK6E3ILLC5C3tpgXDaoKFWavfctcaXcLgiU8SYURj4GBjsBErJegR5_VR73tV-qgW0LN4jECj3BcgC_kAClmlvgcKR4Me3R2gZ9JVKrgyC61DJCQrKKm7e5OQS0Ruqqy7K8xvTHvXwQu0HOErqmmv29qpAukkZ66cJk-t5sveiyrKCkL3KBsx-S6DMOW4sPMHnfndkK3Bx63HJ1Iz7y6RC30JyqcAXVaWI1BSWQa6Jww90RaCdzEFd2dYr76wyb2xnETKcdLxFnftRqlSoEJyoyq-guPS8DvMrr1w1q00Wy9ZrCiyKai7ZtuUGedMmpskB3-Nsy0B7ysQxPbTEYtsZqVgHHfFNznUqwN-VyrTDUy533OFvnSRMLm9I5zzXebOWIQ5V4Jmoh_ddDWNbzoF7lDsbW6RSRY0MngjZHQYwenbXLqVvN_f0u8QYNW10qlgiTNDIgpk2KD4UZp3nq1XjTqymIIcVNFaRRp3DNqHxjB5XkqH3bFBFtMT4-TCwOUJ17uSB6Dqw0_mmrvOg3nNoUAin0VsPYS-py_xIFZrM5R8f03ZbrIWCOj1tX0BRqpZponkZN1T_QDIx4Z7a5UOart_hkL94FEWi79bem5JtirCqLyVTKuXoZAbkUAHDRxL0uX3LBUM6gVtnGxGb0p_21YbbHPmp9lkOFwDwfJ-dyTdEixaSVdwsoT4lKiNQy7pB71FIwOehvRj77LEgd0eWlXSUDtjFtMwAUH8nc8aiTVl6fQh1iAko1vc_V_Oocti2iFOUsR7uA3GcGWg5W5X3oG1qhZiwHgDzrjCHOMXH9IwX_7d2V_7GBTV9nzzn-4c0N3WQfJ1vS8ZzH3-T4trezAG9Gt6nOoAmsBrE_nhSXbMFA9-XmDqsFoC-C03owA-gqS47ExXMd9RAqu8ISe4MT-wpMZ3i0gTqmjP8_hPBJB5zkkVOhwAdUf0nyJBW5Vh7qs3ZCt7m-KUeBRpkdS3oIdnY6pFtzYGN4DqpikGc8CgGqgvhA2n0dfZhk-LT5g9JQ39XW4Apz2IYuixOMIMzN9iYiZOCg8DSCWfmPUAcU79SDrmPfsOJNSxDnpPh2ePMcCkF8pCWyTReVX6p4FUR_2U8BfMcrndaV1tgW93m3J9yQ9dr0dP6IACPEvUjn4jfWg8mV0jUoztMjJau7W_xyt-hwcXGYbw70fC5IhsHw3XHJXzGP6wExf6uNe_qVVW5KFIVe-5csdic1nNbCe5JH_OP_QKrwUcUscL5022aTcjAw469gcQm8mcuQuXpmkMVjY4-9TRB"},{"type":"text","text":"## Proposed fix\n\nIntroduce a cache-aside layer for account lookups, using a maximum 60-second TTL and explicit invalidation whenever account data changes. This directly addresses the observed repeated lookups while avoiding the need for additional database nodes or connections.\n\n## Evidence and expected benefit\n\nThe evidence is:\n\n- p95 latency is currently 1.8 seconds at 240 requests/second.\n- Repeated account lookups are observed.\n- The database pool is limited to 12 connections, with no additional database nodes allowed.\n\nCaching should reduce repeated database reads and database-pool contention. However, this is a proposed improvement; there are currently no benchmark results showing that it will achieve the under-500-ms p95 target.\n\n## Rollout\n\nDeploy the cache behind a feature flag and enable it gradually, beginning with a small portion of traffic. Monitor database load, cache behavior, errors, and latency before increasing exposure.\n\n## Verification\n\nCompare enabled and disabled traffic using p50/p95 latency, database query volume, connection-pool utilization, cache hit rate, and error rates. Success should be measured against the target of p95 latency under 500 ms, rather than assumed from the design.\n\n## Freshness risk\n\nCached account data could be stale for up to 60 seconds if expiration is the only mechanism. Change events must therefore invalidate the corresponding cache entry; failures in invalidation should be monitored because they could expose outdated account data.\n\n## Rollback\n\nDisable the feature flag to return lookups to the existing database path, then remove or correct the cache implementation after investigating any latency, correctness, or invalidation problems.","phase":"final_answer","index":1,"id":"msg_0c1cb7b993569fce006ab12af316f487d2a6baa5b320477a71"}]</x:v>
      </x:c>
      <x:c r="J14" s="2"/>
      <x:c r="K14" s="2"/>
      <x:c r="L14" s="29"/>
      <x:c r="M14" s="2"/>
    </x:row>
    <x:row r="15" ht="24" customHeight="1">
      <x:c r="A15" s="2" t="str">
        <x:v>R1</x:v>
      </x:c>
      <x:c r="B15" s="2" t="n">
        <x:v>1</x:v>
      </x:c>
      <x:c r="C15" s="2" t="str">
        <x:v>Cache write</x:v>
      </x:c>
      <x:c r="D15" s="29"/>
      <x:c r="E15" s="11"/>
      <x:c r="F15" s="11"/>
      <x:c r="G15" s="29"/>
      <x:c r="H15" s="29"/>
      <x:c r="I15" s="14"/>
      <x:c r="J15" s="2"/>
      <x:c r="K15" s="2"/>
      <x:c r="L15" s="29"/>
      <x:c r="M15" s="2"/>
    </x:row>
    <x:row r="16" ht="24" customHeight="1">
      <x:c r="A16" s="2" t="str">
        <x:v>R1</x:v>
      </x:c>
      <x:c r="B16" s="2" t="n">
        <x:v>1</x:v>
      </x:c>
      <x:c r="C16" s="2" t="str">
        <x:v>Context · added / total</x:v>
      </x:c>
      <x:c r="D16" s="29"/>
      <x:c r="E16" s="11"/>
      <x:c r="F16" s="11"/>
      <x:c r="G16" s="29"/>
      <x:c r="H16" s="29"/>
      <x:c r="I16" s="14"/>
      <x:c r="J16" s="2"/>
      <x:c r="K16" s="2"/>
      <x:c r="L16" s="29"/>
      <x:c r="M16" s="2"/>
    </x:row>
    <x:row r="17" ht="24" customHeight="1">
      <x:c r="A17" s="21" t="str">
        <x:v>R1</x:v>
      </x:c>
      <x:c r="B17" s="21" t="n">
        <x:v>1</x:v>
      </x:c>
      <x:c r="C17" s="21" t="str">
        <x:v>Call total</x:v>
      </x:c>
      <x:c r="D17" s="28"/>
      <x:c r="E17" s="26" t="n">
        <x:f>IF(COUNT(E5,E12,E13)=3,SUM(E5,E12,E13),"Unknown")</x:f>
        <x:v>0.00046736456</x:v>
      </x:c>
      <x:c r="F17" s="26" t="n">
        <x:f>IF(COUNT(F5,F12,F13)=3,SUM(F5,F12,F13),"Unknown")</x:f>
        <x:v>0.0005356</x:v>
      </x:c>
      <x:c r="G17" s="28" t="n">
        <x:f>IF(ISNUMBER(E17),ROUND(E17*'Reference data'!$B$2,0),"Unknown")</x:f>
        <x:v>47</x:v>
      </x:c>
      <x:c r="H17" s="28" t="n">
        <x:f>IF(ISNUMBER(F17),ROUND(F17*'Reference data'!$B$2,0),"Unknown")</x:f>
        <x:v>54</x:v>
      </x:c>
      <x:c r="I17" s="24"/>
      <x:c r="J17" s="21"/>
      <x:c r="K17" s="21" t="str">
        <x:v>ok</x:v>
      </x:c>
      <x:c r="L17" s="28"/>
      <x:c r="M17" s="21"/>
    </x:row>
    <x:row r="18" ht="24" customHeight="1">
      <x:c r="A18" s="21" t="str">
        <x:v>R2</x:v>
      </x:c>
      <x:c r="B18" s="21" t="n">
        <x:v>1</x:v>
      </x:c>
      <x:c r="C18" s="21" t="str">
        <x:v>LLM request</x:v>
      </x:c>
      <x:c r="D18" s="28" t="n">
        <x:v>651</x:v>
      </x:c>
      <x:c r="E18" s="26"/>
      <x:c r="F18" s="26"/>
      <x:c r="G18" s="28"/>
      <x:c r="H18" s="28"/>
      <x:c r="I18" s="24"/>
      <x:c r="J18" s="21" t="str">
        <x:v>gpt-5.6-luna</x:v>
      </x:c>
      <x:c r="K18" s="21"/>
      <x:c r="L18" s="28"/>
      <x:c r="M18" s="21" t="str">
        <x:v>01a0c40f-d66e-7713-a728-46efbd3a791e</x:v>
      </x:c>
    </x:row>
    <x:row r="19" ht="24" customHeight="1">
      <x:c r="A19" s="2" t="str">
        <x:v>R2</x:v>
      </x:c>
      <x:c r="B19" s="2" t="n">
        <x:v>1</x:v>
      </x:c>
      <x:c r="C19" s="22" t="str">
        <x:v>Fresh input</x:v>
      </x:c>
      <x:c r="D19" s="29" t="n">
        <x:v>651</x:v>
      </x:c>
      <x:c r="E19" s="11" t="n">
        <x:f>IF(AND(ISNUMBER(F19),ISNUMBER('Reference data'!$B$3)),F19*'Reference data'!$B$3,"Unknown")</x:f>
        <x:v>0.00011361252000000002</x:v>
      </x:c>
      <x:c r="F19" s="11" t="n">
        <x:f>IF(D19=0,0,IF(ISNUMBER('Reference data'!B17),D19*'Reference data'!B17/1000000,"Unknown"))</x:f>
        <x:v>0.00013020000000000002</x:v>
      </x:c>
      <x:c r="G19" s="29" t="n">
        <x:f>IF(ISNUMBER(E19),ROUND(E19*'Reference data'!$B$2,0),"Unknown")</x:f>
        <x:v>11</x:v>
      </x:c>
      <x:c r="H19" s="29" t="n">
        <x:f>IF(ISNUMBER(F19),ROUND(F19*'Reference data'!$B$2,0),"Unknown")</x:f>
        <x:v>13</x:v>
      </x:c>
      <x:c r="I19" s="14"/>
      <x:c r="J19" s="2"/>
      <x:c r="K19" s="2"/>
      <x:c r="L19" s="29"/>
      <x:c r="M19" s="2"/>
    </x:row>
    <x:row r="20" ht="24" customHeight="1">
      <x:c r="A20" s="2" t="str">
        <x:v>R2</x:v>
      </x:c>
      <x:c r="B20" s="2" t="n">
        <x:v>1</x:v>
      </x:c>
      <x:c r="C20" s="2" t="str">
        <x:v>    Tool definitions</x:v>
      </x:c>
      <x:c r="D20" s="29"/>
      <x:c r="E20" s="11"/>
      <x:c r="F20" s="11"/>
      <x:c r="G20" s="29"/>
      <x:c r="H20" s="29"/>
      <x:c r="I20" s="14"/>
      <x:c r="J20" s="2"/>
      <x:c r="K20" s="2"/>
      <x:c r="L20" s="29"/>
      <x:c r="M20" s="2"/>
    </x:row>
    <x:row r="21" ht="138" customHeight="1">
      <x:c r="A21" s="2" t="str">
        <x:v>R2</x:v>
      </x:c>
      <x:c r="B21" s="2" t="n">
        <x:v>1</x:v>
      </x:c>
      <x:c r="C21" s="2" t="str">
        <x:v>    System prompt</x:v>
      </x:c>
      <x:c r="D21" s="29"/>
      <x:c r="E21" s="11"/>
      <x:c r="F21" s="11"/>
      <x:c r="G21" s="29"/>
      <x:c r="H21" s="29"/>
      <x:c r="I21" s="14" t="str">
        <x:v>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x:v>
      </x:c>
      <x:c r="J21" s="2"/>
      <x:c r="K21" s="2"/>
      <x:c r="L21" s="29"/>
      <x:c r="M21" s="2"/>
    </x:row>
    <x:row r="22" ht="24" customHeight="1">
      <x:c r="A22" s="2" t="str">
        <x:v>R2</x:v>
      </x:c>
      <x:c r="B22" s="2" t="n">
        <x:v>1</x:v>
      </x:c>
      <x:c r="C22" s="2" t="str">
        <x:v>Cache write</x:v>
      </x:c>
      <x:c r="D22" s="29"/>
      <x:c r="E22" s="11"/>
      <x:c r="F22" s="11"/>
      <x:c r="G22" s="29"/>
      <x:c r="H22" s="29"/>
      <x:c r="I22" s="14"/>
      <x:c r="J22" s="2"/>
      <x:c r="K22" s="2"/>
      <x:c r="L22" s="29"/>
      <x:c r="M22" s="2"/>
    </x:row>
    <x:row r="23" ht="24" customHeight="1">
      <x:c r="A23" s="2" t="str">
        <x:v>R2</x:v>
      </x:c>
      <x:c r="B23" s="2" t="n">
        <x:v>1</x:v>
      </x:c>
      <x:c r="C23" s="2" t="str">
        <x:v>Context · added / total</x:v>
      </x:c>
      <x:c r="D23" s="29"/>
      <x:c r="E23" s="11"/>
      <x:c r="F23" s="11"/>
      <x:c r="G23" s="29"/>
      <x:c r="H23" s="29"/>
      <x:c r="I23" s="14"/>
      <x:c r="J23" s="2"/>
      <x:c r="K23" s="2"/>
      <x:c r="L23" s="29"/>
      <x:c r="M23" s="2"/>
    </x:row>
    <x:row r="24" ht="24" customHeight="1">
      <x:c r="A24" s="21" t="str">
        <x:v>R2</x:v>
      </x:c>
      <x:c r="B24" s="21" t="n">
        <x:v>1</x:v>
      </x:c>
      <x:c r="C24" s="21" t="str">
        <x:v>LLM response</x:v>
      </x:c>
      <x:c r="D24" s="28" t="n">
        <x:v>404</x:v>
      </x:c>
      <x:c r="E24" s="26"/>
      <x:c r="F24" s="26"/>
      <x:c r="G24" s="28"/>
      <x:c r="H24" s="28"/>
      <x:c r="I24" s="24"/>
      <x:c r="J24" s="21"/>
      <x:c r="K24" s="21"/>
      <x:c r="L24" s="28"/>
      <x:c r="M24" s="21"/>
    </x:row>
    <x:row r="25" ht="24" customHeight="1">
      <x:c r="A25" s="2" t="str">
        <x:v>R2</x:v>
      </x:c>
      <x:c r="B25" s="2" t="n">
        <x:v>1</x:v>
      </x:c>
      <x:c r="C25" s="22" t="str">
        <x:v>Reasoning</x:v>
      </x:c>
      <x:c r="D25" s="29" t="n">
        <x:v>321</x:v>
      </x:c>
      <x:c r="E25" s="11" t="n">
        <x:f>IF(AND(ISNUMBER(F25),ISNUMBER('Reference data'!$B$3)),F25*'Reference data'!$B$3,"Unknown")</x:f>
        <x:v>0.00033612552</x:v>
      </x:c>
      <x:c r="F25" s="11" t="n">
        <x:f>IF(D25=0,0,IF(ISNUMBER('Reference data'!F17),D25*'Reference data'!F17/1000000,"Unknown"))</x:f>
        <x:v>0.0003852</x:v>
      </x:c>
      <x:c r="G25" s="29" t="n">
        <x:f>IF(ISNUMBER(E25),ROUND(E25*'Reference data'!$B$2,0),"Unknown")</x:f>
        <x:v>34</x:v>
      </x:c>
      <x:c r="H25" s="29" t="n">
        <x:f>IF(ISNUMBER(F25),ROUND(F25*'Reference data'!$B$2,0),"Unknown")</x:f>
        <x:v>39</x:v>
      </x:c>
      <x:c r="I25" s="14"/>
      <x:c r="J25" s="2"/>
      <x:c r="K25" s="2"/>
      <x:c r="L25" s="29"/>
      <x:c r="M25" s="2"/>
    </x:row>
    <x:row r="26" ht="24" customHeight="1">
      <x:c r="A26" s="2" t="str">
        <x:v>R2</x:v>
      </x:c>
      <x:c r="B26" s="2" t="n">
        <x:v>1</x:v>
      </x:c>
      <x:c r="C26" s="22" t="str">
        <x:v>Output</x:v>
      </x:c>
      <x:c r="D26" s="29" t="n">
        <x:v>83</x:v>
      </x:c>
      <x:c r="E26" s="11" t="n">
        <x:f>IF(AND(ISNUMBER(F26),ISNUMBER('Reference data'!$B$3)),F26*'Reference data'!$B$3,"Unknown")</x:f>
        <x:v>0.00008691096</x:v>
      </x:c>
      <x:c r="F26" s="11" t="n">
        <x:f>IF(D26=0,0,IF(ISNUMBER('Reference data'!E17),D26*'Reference data'!E17/1000000,"Unknown"))</x:f>
        <x:v>0.0000996</x:v>
      </x:c>
      <x:c r="G26" s="29" t="n">
        <x:f>IF(ISNUMBER(E26),ROUND(E26*'Reference data'!$B$2,0),"Unknown")</x:f>
        <x:v>9</x:v>
      </x:c>
      <x:c r="H26" s="29" t="n">
        <x:f>IF(ISNUMBER(F26),ROUND(F26*'Reference data'!$B$2,0),"Unknown")</x:f>
        <x:v>10</x:v>
      </x:c>
      <x:c r="I26" s="14"/>
      <x:c r="J26" s="2"/>
      <x:c r="K26" s="2"/>
      <x:c r="L26" s="29"/>
      <x:c r="M26" s="2"/>
    </x:row>
    <x:row r="27" ht="619" customHeight="1">
      <x:c r="A27" s="2" t="str">
        <x:v>R2</x:v>
      </x:c>
      <x:c r="B27" s="2" t="n">
        <x:v>1</x:v>
      </x:c>
      <x:c r="C27" s="2" t="str">
        <x:v>    Output content</x:v>
      </x:c>
      <x:c r="D27" s="29"/>
      <x:c r="E27" s="11"/>
      <x:c r="F27" s="11"/>
      <x:c r="G27" s="29"/>
      <x:c r="H27" s="29"/>
      <x:c r="I27" s="14" t="str">
        <x:v>[{"id":"rs_0c6eacb867856e9a006ab12af7f75087d2a9cf9963fe8ff710","summary":[],"type":"reasoning","content":[],"index":0,"encrypted_content":"gAAAAABqsSr8tITxGjWAZ3k3WzaxgPT5EUj3HPc3ZKnaUBmQYVeR5LlxjJiJ2wQ2zdPK-oQMFDsTbkm4Tq67bEe6WTcvKvCqzn7jXcMqTVIgoqY4R6EwcB_UsbtegcPTJF9apQb8tWsQ-4FZ9_wNTqU5_bLR07CQ8VVT8j32hRoh51DL6w9DXL4hYWmTXsSjbKR4ltY8tRmSEQqIAbiFrzer610bciy4Gyu8NUUQILZmpV7shBe7k-a4PhBVTihsZBNLCZSe2ecaA3QhNLUhZMpWsAS8Xsi3OBaWBkCgb41X7Wryj7nA-HKxfBGrf0V2r_l9TLe_Cj_EQaNf-BUTxZHZP6uJyQo8ui3au_-f6aRmKtYvVnzBcwPyfUjC3T0SjMTq01aSMezKL4YUawDyMqQdgbf7SWccwBOdFAomKi1mBotXFqSBFJcL48xwJArgl-r9rxEdlHS7mC8Pi8fNXJcpqpEG4zicWpay1GuVDjfkWT2VC-Jy3dDA_7mB2vzwBHwiPXq43xcitFaoKjcn3drhxDmnPaan-jLSK_8DZDbPMpN-HnEVVLCWNj7kYRGcNUo6PRlS5Gyau1iTD7osPxfBsqrejYvVAjQkxS-sA-KPztGjY3NxKvtOcB6tW34ixbdwbr6TCQtFjFoqiEIenFmp0eD5vIoubkl19zJ2krFq-UlhAhFqWosW2U4Sb4uS3HJYMA7-J6urDzAhpW661MHZW0d7DtdGzmiTVqbAqiyv7DO_9ToHU4TQrSB2MKwZ_8FwkxPc2XSbNTxtLVOkhUQfpjoQBPA_VfyOBONTB-Emr0yagkdZSRvl1iQheu2mE8uR_EpAZGgQEDX8CFhKf6hA4w7FUuUZOY7pqFqqZdAi3G9IS64mIE6zqSSN0A3yiJHQtzZGpOULHLdMvIU94kqk4yU0lH49fxMK7N52XZU8HkdFgcqIGUmBfAsAAN0zliUqYsNdesO3JZO4Li4RSVOUB1VLh-uU8osVx9xlhiHudiBsZWFPCUWeBcWTZQebA_U65MnIRFA4zkOz5DLIBNNNfyHTTh6TXAbUeTgSzr1hfTf9nZCTYb8wR_eG-DnC7LMKViblw72iGFYpqnRMpsiRQPxbZ_Fp64J0_aUA05mzp_9UeS0M7ddtxwZyt3afWEIAGw34nF-ocvTYGqaHGKrAYsV4WM2HO4Ta_Swywj6PfxPgNfqglZopFPO33ojO4NnJxDV02ScF75puTH_cYrHJeCpXpUWiYltJyC9tN8DUyp6wJOPYYD16Jez3tTjgJOHWOMPK_10tPak-_X_9URKmAOF94e4hxGgvuRVQxqikYqeAb0jIcAbqh5zAt9Thlas9nlN0Awgd_-2gTMAnR5pJgRaNbptbCN1Kz1K4GK_p_RgXHN3_Rj2qYMNRnPGpikyQfrSE0lS2Cv9hvzijVxjfKSHBV0l00tTN_lwJ53SIWhodrqMUvH5NFbiVp7pS9XNTXZi4bD8fkaQDFcHJpLxtd-ixUJ1rTLxRNDKUP1c_xValIQkB2srMrxelHZYyWuO3fhQdSsxMl-4WGGlLypYhETEo2Fo-EujiLzI5Jw6qBsfjRbXLVkB3iY9-HZRTWsW4RxiCSK2GVm_y8HhyQuX3NEJpDUXDkRhj6Mw798Kubn0ySRfynnNomfq_EslNzzzP0UwYJYs7YMawSuDetf4Qh1u6yC9GcojI2Q27snhJpck5SFN6Bv8Lvuqig08QN6leLwn7v0TPnIZcwyt0QemDkw5SJx2aVohocDwPPed6KHaWUhOl2g5WeBT2j6BkzToaN7dwHJ3FK29afsclrB70ynwZG2O_qKdnhkKio5QQSLBWBIN39sq0kguT2jvdJUqm12qfP-2zDozvGYOoGj0urD295MOYZYYGWNMSzsyByAKxD3vSclBjIJMaqqpS36noR1AvQ-zVyj6GV2semkhS2TV2WYwXoxkRzlVDh-Fve7hSqH-IckT-1_nZSuII96zVMlEkJWXfwVMxkXFM8HBF8rUN4yjRLOZzzh47KYNuHQBcdlh_96rBSEibmlK6eVfdf-igzisgHDSljJ7Ao76Uspk8xkN-6OsHE5Wr2jgXuLVDvFadKzlN83CqtfI1LtGv6k_HNZ4yY8CvF5Cu94-rPb_uSM3YjSrKUF81lF0cCUqhDJtUyJiufKOtJJhRj0DT1npOOH2mzTXvpGiGriTnSP-ozsC08zQ2HucbxNfoS2DQE_Zev8lWDIyhO_3QFPFeGt-ti6a3dsPAdm1yvzntm5B0mZUxAuKyw0AIj-wCiXo0pLGMrfkDFq-d-Q2ymHQa4J-6G9pHHTrZb4EGqAzDaglGODRkSIGDvV9R6qc1duOEoZMYyAs0EJMBIZhbrkU5b3MIHkEDdjOVr0roG6YpO3j40rax7g8KbIg22fuEr5i7rsfCN9RaVyBn6BASkm7ezYGlull9jVTAki1LUyQt73Y9albnvyZYUB6_qJDngBP4UC6JTSbTOjs8Ei3P1sw6I-Rof35Rjg0qeoT9DersYoMMuc01FtAF-8rdKIjiXxS3ETTqFLhBvVl4fPqa5-zsfxTWrRjgyX_nnf1rsKTr5LhIt6AxdE5nxITku5P46oxPkl4cXqFkjw1BLERu9V9YvKEtuTGsavH4FZ76FYYlLhpxICMw9wO0mIXl6cqkWu1LSuoYqyTeMyMQ73C845C4gfgGuxBcILpsUdZD4OCYfuuTooT9TUvcRynQUJ3KD4gOdQgKAPcjFM5V51cjkcGeT5T8OfqikHCP1j7hEkd2w7flD5ca3YlVwoua9WvMimeIV1QiHAlpgKdNOm5plkZNToQRHj-QZV6XRdvOMHVii0pQx4SFnyzAU2q07fAGgnMjC1mujIoAjeoCCssmCzUusjIhV9UHh5HWPIN7kLLBSrLIsJACBoKyYQZOHA_Hp24lv4JQTvWiwDE5fmx2DmVtjkqEoLeHrRylyNkrWIf8Kosd-8JztyQTnOQTwYQtpFyYJ1_lGKpel4RBRuXotGpOeocj0fYKBVpoHAMdaQaQiHOIvsGfJ9OVul9lZxli47vKLaCtad6pDfxjU-lq8lU-W89xqkYyXVP8uVnGG2W0mNl3rk-rl-vAuxRKQBLnRAxLRDyHcKfJwVh_0kmLqVyulwc6JmecEGx29Z6if2Cc4JHLWNZeWHOrL3y7Mvdd6om3wwxm3mgCGgLmPzeJ9n_xpNUYXfF_Hq8szMt_IukhKmW61V7qvgaayFt_qc4Uv0HHJrG3PSLUdWKVU8kUvLubVmmLhpMjsquoUBjEYjx5SLExNnwKPIcD3WY-9Z3Kh8Mt7AQA9AYC5zOWrDvFoFbqzlD_SFvywT9tkhsEEfa9AE8ThnIKYadTtYK38CIgrCwV5mSkTpCT_vDo4kvy2HickONT9z8oSkuPFe7pe77A42wMgJNEYg=="},{"type":"text","text":"{\"verdict\":\"approve\",\"rationale\":\"The draft covers the requested concrete fix, evidence, gradual rollout, verification criteria, freshness risk, and rollback. It clearly distinguishes the proposed cache improvement from measured success, acknowledges the absence of benchmark results, uses the 60-second freshness limit and required invalidation, and defines verification against the under-500-ms p95 target.\",\"feedback\":[]}","phase":"final_answer","index":1,"id":"msg_0c6eacb867856e9a006ab12afc46d887d2bd2f6c54bc444353"}]</x:v>
      </x:c>
      <x:c r="J27" s="2"/>
      <x:c r="K27" s="2"/>
      <x:c r="L27" s="29"/>
      <x:c r="M27" s="2"/>
    </x:row>
    <x:row r="28" ht="24" customHeight="1">
      <x:c r="A28" s="2" t="str">
        <x:v>R2</x:v>
      </x:c>
      <x:c r="B28" s="2" t="n">
        <x:v>1</x:v>
      </x:c>
      <x:c r="C28" s="2" t="str">
        <x:v>Cache write</x:v>
      </x:c>
      <x:c r="D28" s="29"/>
      <x:c r="E28" s="11"/>
      <x:c r="F28" s="11"/>
      <x:c r="G28" s="29"/>
      <x:c r="H28" s="29"/>
      <x:c r="I28" s="14"/>
      <x:c r="J28" s="2"/>
      <x:c r="K28" s="2"/>
      <x:c r="L28" s="29"/>
      <x:c r="M28" s="2"/>
    </x:row>
    <x:row r="29" ht="24" customHeight="1">
      <x:c r="A29" s="2" t="str">
        <x:v>R2</x:v>
      </x:c>
      <x:c r="B29" s="2" t="n">
        <x:v>1</x:v>
      </x:c>
      <x:c r="C29" s="2" t="str">
        <x:v>Context · added / total</x:v>
      </x:c>
      <x:c r="D29" s="29"/>
      <x:c r="E29" s="11"/>
      <x:c r="F29" s="11"/>
      <x:c r="G29" s="29"/>
      <x:c r="H29" s="29"/>
      <x:c r="I29" s="14"/>
      <x:c r="J29" s="2"/>
      <x:c r="K29" s="2"/>
      <x:c r="L29" s="29"/>
      <x:c r="M29" s="2"/>
    </x:row>
    <x:row r="30" ht="24" customHeight="1">
      <x:c r="A30" s="21" t="str">
        <x:v>R2</x:v>
      </x:c>
      <x:c r="B30" s="21" t="n">
        <x:v>1</x:v>
      </x:c>
      <x:c r="C30" s="21" t="str">
        <x:v>Call total</x:v>
      </x:c>
      <x:c r="D30" s="28"/>
      <x:c r="E30" s="26" t="n">
        <x:f>IF(COUNT(E19,E25,E26)=3,SUM(E19,E25,E26),"Unknown")</x:f>
        <x:v>0.0005366489999999999</x:v>
      </x:c>
      <x:c r="F30" s="26" t="n">
        <x:f>IF(COUNT(F19,F25,F26)=3,SUM(F19,F25,F26),"Unknown")</x:f>
        <x:v>0.0006150000000000001</x:v>
      </x:c>
      <x:c r="G30" s="28" t="n">
        <x:f>IF(ISNUMBER(E30),ROUND(E30*'Reference data'!$B$2,0),"Unknown")</x:f>
        <x:v>54</x:v>
      </x:c>
      <x:c r="H30" s="28" t="n">
        <x:f>IF(ISNUMBER(F30),ROUND(F30*'Reference data'!$B$2,0),"Unknown")</x:f>
        <x:v>62</x:v>
      </x:c>
      <x:c r="I30" s="24"/>
      <x:c r="J30" s="21"/>
      <x:c r="K30" s="21" t="str">
        <x:v>ok</x:v>
      </x:c>
      <x:c r="L30" s="28"/>
      <x:c r="M30" s="21"/>
    </x:row>
  </x:sheetData>
  <x:conditionalFormatting sqref="A2:M30">
    <x:cfRule type="expression" dxfId="2" priority="1">
      <x:formula>$K2="error"</x:formula>
    </x:cfRule>
  </x:conditionalFormatting>
  <x:pageMargins left="0.7" right="0.7" top="0.75" bottom="0.75" header="0.3" footer="0.3"/>
</x:worksheet>
</file>

<file path=xl/worksheets/sheet2.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48" hidden="0" customWidth="1"/>
    <x:col min="2" max="2" width="12" hidden="0" customWidth="1"/>
    <x:col min="3" max="3" width="12" hidden="0" customWidth="1"/>
    <x:col min="4" max="4" width="26" hidden="0" customWidth="1"/>
    <x:col min="5" max="5" width="18" hidden="0" customWidth="1"/>
    <x:col min="6" max="6" width="18" hidden="0" customWidth="1"/>
    <x:col min="7" max="7" width="62" hidden="0" customWidth="1"/>
    <x:col min="8" max="8" width="38" hidden="0" customWidth="1"/>
    <x:col min="9" max="9" width="3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s>
  <x:sheetData>
    <x:row r="1" ht="44" customHeight="1">
      <x:c r="A1" s="7" t="str">
        <x:v>Operation</x:v>
      </x:c>
      <x:c r="B1" s="7" t="str">
        <x:v>Depth</x:v>
      </x:c>
      <x:c r="C1" s="7" t="str">
        <x:v>Type</x:v>
      </x:c>
      <x:c r="D1" s="7" t="str">
        <x:v>Model · effort</x:v>
      </x:c>
      <x:c r="E1" s="7" t="str">
        <x:v>Status</x:v>
      </x:c>
      <x:c r="F1" s="7" t="str">
        <x:v>Input context tokens</x:v>
      </x:c>
      <x:c r="G1" s="7" t="str">
        <x:v>Description</x:v>
      </x:c>
      <x:c r="H1" s="7" t="str">
        <x:v>Span ID</x:v>
      </x:c>
      <x:c r="I1" s="7" t="str">
        <x:v>Parent ID</x:v>
      </x:c>
      <x:c r="J1" s="7" t="str">
        <x:v>Fresh input tokens</x:v>
      </x:c>
      <x:c r="K1" s="7" t="str">
        <x:v>Fresh input EUR</x:v>
      </x:c>
      <x:c r="L1" s="7" t="str">
        <x:v>Fresh input USD</x:v>
      </x:c>
      <x:c r="M1" s="7" t="str">
        <x:v>Cache read tokens</x:v>
      </x:c>
      <x:c r="N1" s="7" t="str">
        <x:v>Cache read EUR</x:v>
      </x:c>
      <x:c r="O1" s="7" t="str">
        <x:v>Cache read USD</x:v>
      </x:c>
      <x:c r="P1" s="7" t="str">
        <x:v>Cache write tokens</x:v>
      </x:c>
      <x:c r="Q1" s="7" t="str">
        <x:v>Cache write EUR</x:v>
      </x:c>
      <x:c r="R1" s="7" t="str">
        <x:v>Cache write USD</x:v>
      </x:c>
      <x:c r="S1" s="7" t="str">
        <x:v>Output (non-reasoning) tokens</x:v>
      </x:c>
      <x:c r="T1" s="7" t="str">
        <x:v>Output (non-reasoning) EUR</x:v>
      </x:c>
      <x:c r="U1" s="7" t="str">
        <x:v>Output (non-reasoning) USD</x:v>
      </x:c>
      <x:c r="V1" s="7" t="str">
        <x:v>Reasoning tokens</x:v>
      </x:c>
      <x:c r="W1" s="7" t="str">
        <x:v>Reasoning EUR</x:v>
      </x:c>
      <x:c r="X1" s="7" t="str">
        <x:v>Reasoning USD</x:v>
      </x:c>
      <x:c r="Y1" s="7" t="str">
        <x:v>Total EUR</x:v>
      </x:c>
      <x:c r="Z1" s="7" t="str">
        <x:v>Total USD</x:v>
      </x:c>
      <x:c r="AA1" s="7" t="str">
        <x:v>Projected EUR</x:v>
      </x:c>
      <x:c r="AB1" s="7" t="str">
        <x:v>Projected USD</x:v>
      </x:c>
      <x:c r="AC1" s="7" t="str">
        <x:v>Request</x:v>
      </x:c>
      <x:c r="AD1" s="7" t="str">
        <x:v>Elapsed ms</x:v>
      </x:c>
      <x:c r="AE1" s="7" t="str">
        <x:v>Accounting</x:v>
      </x:c>
    </x:row>
    <x:row r="2" ht="54" customHeight="1">
      <x:c r="A2" s="35" t="str">
        <x:v>review_loop</x:v>
      </x:c>
      <x:c r="B2" s="30" t="n">
        <x:v>0</x:v>
      </x:c>
      <x:c r="C2" s="30" t="str">
        <x:v>workflow</x:v>
      </x:c>
      <x:c r="D2" s="30" t="str"/>
      <x:c r="E2" s="30" t="str">
        <x:v>ok</x:v>
      </x:c>
      <x:c r="F2" s="32"/>
      <x:c r="G2" s="35" t="str">
        <x:v>Execute the review_loop workflow operation and pass its result to the next graph step.</x:v>
      </x:c>
      <x:c r="H2" s="30" t="str">
        <x:v>01a0c40f-be73-7501-a0ad-e335e55e2f99</x:v>
      </x:c>
      <x:c r="I2" s="30"/>
      <x:c r="J2" s="29" t="n">
        <x:f>IF(COUNT('Turns'!D5,'Turns'!D19)=2,SUM('Turns'!D5,'Turns'!D19),"Unknown")</x:f>
        <x:v>893</x:v>
      </x:c>
      <x:c r="K2" s="11" t="n">
        <x:f>IF(COUNT('Turns'!E5,'Turns'!E19)=2,SUM('Turns'!E5,'Turns'!E19),"Unknown")</x:f>
        <x:v>0.00015584636000000004</x:v>
      </x:c>
      <x:c r="L2" s="11" t="n">
        <x:f>IF(COUNT('Turns'!F5,'Turns'!F19)=2,SUM('Turns'!F5,'Turns'!F19),"Unknown")</x:f>
        <x:v>0.00017860000000000003</x:v>
      </x:c>
      <x:c r="M2" s="29" t="n">
        <x:v>0</x:v>
      </x:c>
      <x:c r="N2" s="11" t="n">
        <x:v>0</x:v>
      </x:c>
      <x:c r="O2" s="11" t="n">
        <x:v>0</x:v>
      </x:c>
      <x:c r="P2" s="29" t="n">
        <x:v>0</x:v>
      </x:c>
      <x:c r="Q2" s="11" t="n">
        <x:v>0</x:v>
      </x:c>
      <x:c r="R2" s="11" t="n">
        <x:v>0</x:v>
      </x:c>
      <x:c r="S2" s="29" t="n">
        <x:f>IF(COUNT('Turns'!D13,'Turns'!D26)=2,SUM('Turns'!D13,'Turns'!D26),"Unknown")</x:f>
        <x:v>414</x:v>
      </x:c>
      <x:c r="T2" s="11" t="n">
        <x:f>IF(COUNT('Turns'!E13,'Turns'!E26)=2,SUM('Turns'!E13,'Turns'!E26),"Unknown")</x:f>
        <x:v>0.00043350768</x:v>
      </x:c>
      <x:c r="U2" s="11" t="n">
        <x:f>IF(COUNT('Turns'!F13,'Turns'!F26)=2,SUM('Turns'!F13,'Turns'!F26),"Unknown")</x:f>
        <x:v>0.0004968</x:v>
      </x:c>
      <x:c r="V2" s="29" t="n">
        <x:f>IF(COUNT('Turns'!D12,'Turns'!D25)=2,SUM('Turns'!D12,'Turns'!D25),"Unknown")</x:f>
        <x:v>396</x:v>
      </x:c>
      <x:c r="W2" s="11" t="n">
        <x:f>IF(COUNT('Turns'!E12,'Turns'!E25)=2,SUM('Turns'!E12,'Turns'!E25),"Unknown")</x:f>
        <x:v>0.00041465952</x:v>
      </x:c>
      <x:c r="X2" s="11" t="n">
        <x:f>IF(COUNT('Turns'!F12,'Turns'!F25)=2,SUM('Turns'!F12,'Turns'!F25),"Unknown")</x:f>
        <x:v>0.0004752</x:v>
      </x:c>
      <x:c r="Y2" s="11" t="n">
        <x:f>IF(COUNT('Turns'!E17,'Turns'!E30)=2,SUM('Turns'!E17,'Turns'!E30),"Unknown")</x:f>
        <x:v>0.00100401356</x:v>
      </x:c>
      <x:c r="Z2" s="11" t="n">
        <x:f>IF(COUNT('Turns'!F17,'Turns'!F30)=2,SUM('Turns'!F17,'Turns'!F30),"Unknown")</x:f>
        <x:v>0.0011506</x:v>
      </x:c>
      <x:c r="AA2" s="29" t="n">
        <x:f>IF(ISNUMBER(Y2),ROUND(Y2*'Reference data'!$B$2,0),"Unknown")</x:f>
        <x:v>100</x:v>
      </x:c>
      <x:c r="AB2" s="29" t="n">
        <x:f>IF(ISNUMBER(Z2),ROUND(Z2*'Reference data'!$B$2,0),"Unknown")</x:f>
        <x:v>115</x:v>
      </x:c>
      <x:c r="AC2" s="2"/>
      <x:c r="AD2" s="38" t="n">
        <x:v>12273.26208</x:v>
      </x:c>
      <x:c r="AE2" s="2" t="str">
        <x:v>Subtree total</x:v>
      </x:c>
    </x:row>
    <x:row r="3" ht="54" customHeight="1">
      <x:c r="A3" s="36" t="str">
        <x:v>    begin</x:v>
      </x:c>
      <x:c r="B3" s="31" t="n">
        <x:v>1</x:v>
      </x:c>
      <x:c r="C3" s="31" t="str">
        <x:v>workflow</x:v>
      </x:c>
      <x:c r="D3" s="31" t="str"/>
      <x:c r="E3" s="31" t="str">
        <x:v>ok</x:v>
      </x:c>
      <x:c r="F3" s="33"/>
      <x:c r="G3" s="36" t="str">
        <x:v>Execute the begin workflow operation and pass its result to the next graph step.</x:v>
      </x:c>
      <x:c r="H3" s="31" t="str">
        <x:v>01a0c40f-be75-7cb1-b979-1d915eff80b4</x:v>
      </x:c>
      <x:c r="I3" s="31" t="str">
        <x:v>01a0c40f-be73-7501-a0ad-e335e55e2f99</x:v>
      </x:c>
      <x:c r="J3" s="29"/>
      <x:c r="K3" s="11"/>
      <x:c r="L3" s="11"/>
      <x:c r="M3" s="29"/>
      <x:c r="N3" s="11"/>
      <x:c r="O3" s="11"/>
      <x:c r="P3" s="29"/>
      <x:c r="Q3" s="11"/>
      <x:c r="R3" s="11"/>
      <x:c r="S3" s="29"/>
      <x:c r="T3" s="11"/>
      <x:c r="U3" s="11"/>
      <x:c r="V3" s="29"/>
      <x:c r="W3" s="11"/>
      <x:c r="X3" s="11"/>
      <x:c r="Y3" s="11"/>
      <x:c r="Z3" s="11"/>
      <x:c r="AA3" s="29"/>
      <x:c r="AB3" s="29"/>
      <x:c r="AC3" s="2"/>
      <x:c r="AD3" s="38" t="n">
        <x:v>0.395776</x:v>
      </x:c>
      <x:c r="AE3" s="2" t="str">
        <x:v>No model charge</x:v>
      </x:c>
    </x:row>
    <x:row r="4" ht="54" customHeight="1">
      <x:c r="A4" s="36" t="str">
        <x:v>    author</x:v>
      </x:c>
      <x:c r="B4" s="31" t="n">
        <x:v>1</x:v>
      </x:c>
      <x:c r="C4" s="31" t="str">
        <x:v>workflow</x:v>
      </x:c>
      <x:c r="D4" s="31" t="str"/>
      <x:c r="E4" s="31" t="str">
        <x:v>ok</x:v>
      </x:c>
      <x:c r="F4" s="33"/>
      <x:c r="G4" s="36" t="str">
        <x:v>Write the first draft or revise it from judge feedback.</x:v>
      </x:c>
      <x:c r="H4" s="31" t="str">
        <x:v>01a0c40f-be76-7792-968a-d6f666032b17</x:v>
      </x:c>
      <x:c r="I4" s="31" t="str">
        <x:v>01a0c40f-be73-7501-a0ad-e335e55e2f99</x:v>
      </x:c>
      <x:c r="J4" s="29" t="n">
        <x:f>IF(COUNT('Turns'!D5)=1,SUM('Turns'!D5),"Unknown")</x:f>
        <x:v>242</x:v>
      </x:c>
      <x:c r="K4" s="11" t="n">
        <x:f>IF(COUNT('Turns'!E5)=1,SUM('Turns'!E5),"Unknown")</x:f>
        <x:v>0.000042233840000000005</x:v>
      </x:c>
      <x:c r="L4" s="11" t="n">
        <x:f>IF(COUNT('Turns'!F5)=1,SUM('Turns'!F5),"Unknown")</x:f>
        <x:v>0.000048400000000000004</x:v>
      </x:c>
      <x:c r="M4" s="29" t="n">
        <x:v>0</x:v>
      </x:c>
      <x:c r="N4" s="11" t="n">
        <x:v>0</x:v>
      </x:c>
      <x:c r="O4" s="11" t="n">
        <x:v>0</x:v>
      </x:c>
      <x:c r="P4" s="29" t="n">
        <x:v>0</x:v>
      </x:c>
      <x:c r="Q4" s="11" t="n">
        <x:v>0</x:v>
      </x:c>
      <x:c r="R4" s="11" t="n">
        <x:v>0</x:v>
      </x:c>
      <x:c r="S4" s="29" t="n">
        <x:f>IF(COUNT('Turns'!D13)=1,SUM('Turns'!D13),"Unknown")</x:f>
        <x:v>331</x:v>
      </x:c>
      <x:c r="T4" s="11" t="n">
        <x:f>IF(COUNT('Turns'!E13)=1,SUM('Turns'!E13),"Unknown")</x:f>
        <x:v>0.00034659672</x:v>
      </x:c>
      <x:c r="U4" s="11" t="n">
        <x:f>IF(COUNT('Turns'!F13)=1,SUM('Turns'!F13),"Unknown")</x:f>
        <x:v>0.0003972</x:v>
      </x:c>
      <x:c r="V4" s="29" t="n">
        <x:f>IF(COUNT('Turns'!D12)=1,SUM('Turns'!D12),"Unknown")</x:f>
        <x:v>75</x:v>
      </x:c>
      <x:c r="W4" s="11" t="n">
        <x:f>IF(COUNT('Turns'!E12)=1,SUM('Turns'!E12),"Unknown")</x:f>
        <x:v>0.000078534</x:v>
      </x:c>
      <x:c r="X4" s="11" t="n">
        <x:f>IF(COUNT('Turns'!F12)=1,SUM('Turns'!F12),"Unknown")</x:f>
        <x:v>0.00009</x:v>
      </x:c>
      <x:c r="Y4" s="11" t="n">
        <x:f>IF(COUNT('Turns'!E17)=1,SUM('Turns'!E17),"Unknown")</x:f>
        <x:v>0.00046736456</x:v>
      </x:c>
      <x:c r="Z4" s="11" t="n">
        <x:f>IF(COUNT('Turns'!F17)=1,SUM('Turns'!F17),"Unknown")</x:f>
        <x:v>0.0005356</x:v>
      </x:c>
      <x:c r="AA4" s="29" t="n">
        <x:f>IF(ISNUMBER(Y4),ROUND(Y4*'Reference data'!$B$2,0),"Unknown")</x:f>
        <x:v>47</x:v>
      </x:c>
      <x:c r="AB4" s="29" t="n">
        <x:f>IF(ISNUMBER(Z4),ROUND(Z4*'Reference data'!$B$2,0),"Unknown")</x:f>
        <x:v>54</x:v>
      </x:c>
      <x:c r="AC4" s="2"/>
      <x:c r="AD4" s="38" t="n">
        <x:v>6133.6</x:v>
      </x:c>
      <x:c r="AE4" s="2" t="str">
        <x:v>Subtree total</x:v>
      </x:c>
    </x:row>
    <x:row r="5" ht="54" customHeight="1">
      <x:c r="A5" s="36" t="str">
        <x:v>        review_author</x:v>
      </x:c>
      <x:c r="B5" s="31" t="n">
        <x:v>2</x:v>
      </x:c>
      <x:c r="C5" s="31" t="str">
        <x:v>workflow</x:v>
      </x:c>
      <x:c r="D5" s="31" t="str"/>
      <x:c r="E5" s="31" t="str">
        <x:v>ok</x:v>
      </x:c>
      <x:c r="F5" s="33"/>
      <x:c r="G5" s="36" t="str">
        <x:v>Write the first draft or revise it from judge feedback.</x:v>
      </x:c>
      <x:c r="H5" s="31" t="str">
        <x:v>01a0c40f-be77-79c3-b65b-fcb7913d49af</x:v>
      </x:c>
      <x:c r="I5" s="31" t="str">
        <x:v>01a0c40f-be76-7792-968a-d6f666032b17</x:v>
      </x:c>
      <x:c r="J5" s="29" t="n">
        <x:f>IF(COUNT('Turns'!D5)=1,SUM('Turns'!D5),"Unknown")</x:f>
        <x:v>242</x:v>
      </x:c>
      <x:c r="K5" s="11" t="n">
        <x:f>IF(COUNT('Turns'!E5)=1,SUM('Turns'!E5),"Unknown")</x:f>
        <x:v>0.000042233840000000005</x:v>
      </x:c>
      <x:c r="L5" s="11" t="n">
        <x:f>IF(COUNT('Turns'!F5)=1,SUM('Turns'!F5),"Unknown")</x:f>
        <x:v>0.000048400000000000004</x:v>
      </x:c>
      <x:c r="M5" s="29" t="n">
        <x:v>0</x:v>
      </x:c>
      <x:c r="N5" s="11" t="n">
        <x:v>0</x:v>
      </x:c>
      <x:c r="O5" s="11" t="n">
        <x:v>0</x:v>
      </x:c>
      <x:c r="P5" s="29" t="n">
        <x:v>0</x:v>
      </x:c>
      <x:c r="Q5" s="11" t="n">
        <x:v>0</x:v>
      </x:c>
      <x:c r="R5" s="11" t="n">
        <x:v>0</x:v>
      </x:c>
      <x:c r="S5" s="29" t="n">
        <x:f>IF(COUNT('Turns'!D13)=1,SUM('Turns'!D13),"Unknown")</x:f>
        <x:v>331</x:v>
      </x:c>
      <x:c r="T5" s="11" t="n">
        <x:f>IF(COUNT('Turns'!E13)=1,SUM('Turns'!E13),"Unknown")</x:f>
        <x:v>0.00034659672</x:v>
      </x:c>
      <x:c r="U5" s="11" t="n">
        <x:f>IF(COUNT('Turns'!F13)=1,SUM('Turns'!F13),"Unknown")</x:f>
        <x:v>0.0003972</x:v>
      </x:c>
      <x:c r="V5" s="29" t="n">
        <x:f>IF(COUNT('Turns'!D12)=1,SUM('Turns'!D12),"Unknown")</x:f>
        <x:v>75</x:v>
      </x:c>
      <x:c r="W5" s="11" t="n">
        <x:f>IF(COUNT('Turns'!E12)=1,SUM('Turns'!E12),"Unknown")</x:f>
        <x:v>0.000078534</x:v>
      </x:c>
      <x:c r="X5" s="11" t="n">
        <x:f>IF(COUNT('Turns'!F12)=1,SUM('Turns'!F12),"Unknown")</x:f>
        <x:v>0.00009</x:v>
      </x:c>
      <x:c r="Y5" s="11" t="n">
        <x:f>IF(COUNT('Turns'!E17)=1,SUM('Turns'!E17),"Unknown")</x:f>
        <x:v>0.00046736456</x:v>
      </x:c>
      <x:c r="Z5" s="11" t="n">
        <x:f>IF(COUNT('Turns'!F17)=1,SUM('Turns'!F17),"Unknown")</x:f>
        <x:v>0.0005356</x:v>
      </x:c>
      <x:c r="AA5" s="29" t="n">
        <x:f>IF(ISNUMBER(Y5),ROUND(Y5*'Reference data'!$B$2,0),"Unknown")</x:f>
        <x:v>47</x:v>
      </x:c>
      <x:c r="AB5" s="29" t="n">
        <x:f>IF(ISNUMBER(Z5),ROUND(Z5*'Reference data'!$B$2,0),"Unknown")</x:f>
        <x:v>54</x:v>
      </x:c>
      <x:c r="AC5" s="2"/>
      <x:c r="AD5" s="38" t="n">
        <x:v>6132.58112</x:v>
      </x:c>
      <x:c r="AE5" s="2" t="str">
        <x:v>Subtree total</x:v>
      </x:c>
    </x:row>
    <x:row r="6" ht="54" customHeight="1">
      <x:c r="A6" s="37" t="str">
        <x:v>            ChatOpenAI</x:v>
      </x:c>
      <x:c r="B6" s="20" t="n">
        <x:v>3</x:v>
      </x:c>
      <x:c r="C6" s="20" t="str">
        <x:v>model</x:v>
      </x:c>
      <x:c r="D6" s="20" t="str">
        <x:v>gpt-5.6-luna</x:v>
      </x:c>
      <x:c r="E6" s="20" t="str">
        <x:v>ok</x:v>
      </x:c>
      <x:c r="F6" s="34" t="n">
        <x:v>242</x:v>
      </x:c>
      <x:c r="G6" s="37" t="str">
        <x:v>Write the first draft or revise it from judge feedback.</x:v>
      </x:c>
      <x:c r="H6" s="20" t="str">
        <x:v>01a0c40f-be77-79c3-b65b-fcc4ce8709da</x:v>
      </x:c>
      <x:c r="I6" s="20" t="str">
        <x:v>01a0c40f-be77-79c3-b65b-fcb7913d49af</x:v>
      </x:c>
      <x:c r="J6" s="29" t="n">
        <x:f>IF(COUNT('Turns'!D5)=1,SUM('Turns'!D5),"Unknown")</x:f>
        <x:v>242</x:v>
      </x:c>
      <x:c r="K6" s="11" t="n">
        <x:f>IF(COUNT('Turns'!E5)=1,SUM('Turns'!E5),"Unknown")</x:f>
        <x:v>0.000042233840000000005</x:v>
      </x:c>
      <x:c r="L6" s="11" t="n">
        <x:f>IF(COUNT('Turns'!F5)=1,SUM('Turns'!F5),"Unknown")</x:f>
        <x:v>0.000048400000000000004</x:v>
      </x:c>
      <x:c r="M6" s="29" t="n">
        <x:v>0</x:v>
      </x:c>
      <x:c r="N6" s="11" t="n">
        <x:v>0</x:v>
      </x:c>
      <x:c r="O6" s="11" t="n">
        <x:v>0</x:v>
      </x:c>
      <x:c r="P6" s="29" t="n">
        <x:v>0</x:v>
      </x:c>
      <x:c r="Q6" s="11" t="n">
        <x:v>0</x:v>
      </x:c>
      <x:c r="R6" s="11" t="n">
        <x:v>0</x:v>
      </x:c>
      <x:c r="S6" s="29" t="n">
        <x:f>IF(COUNT('Turns'!D13)=1,SUM('Turns'!D13),"Unknown")</x:f>
        <x:v>331</x:v>
      </x:c>
      <x:c r="T6" s="11" t="n">
        <x:f>IF(COUNT('Turns'!E13)=1,SUM('Turns'!E13),"Unknown")</x:f>
        <x:v>0.00034659672</x:v>
      </x:c>
      <x:c r="U6" s="11" t="n">
        <x:f>IF(COUNT('Turns'!F13)=1,SUM('Turns'!F13),"Unknown")</x:f>
        <x:v>0.0003972</x:v>
      </x:c>
      <x:c r="V6" s="29" t="n">
        <x:f>IF(COUNT('Turns'!D12)=1,SUM('Turns'!D12),"Unknown")</x:f>
        <x:v>75</x:v>
      </x:c>
      <x:c r="W6" s="11" t="n">
        <x:f>IF(COUNT('Turns'!E12)=1,SUM('Turns'!E12),"Unknown")</x:f>
        <x:v>0.000078534</x:v>
      </x:c>
      <x:c r="X6" s="11" t="n">
        <x:f>IF(COUNT('Turns'!F12)=1,SUM('Turns'!F12),"Unknown")</x:f>
        <x:v>0.00009</x:v>
      </x:c>
      <x:c r="Y6" s="11" t="n">
        <x:f>IF(COUNT('Turns'!E17)=1,SUM('Turns'!E17),"Unknown")</x:f>
        <x:v>0.00046736456</x:v>
      </x:c>
      <x:c r="Z6" s="11" t="n">
        <x:f>IF(COUNT('Turns'!F17)=1,SUM('Turns'!F17),"Unknown")</x:f>
        <x:v>0.0005356</x:v>
      </x:c>
      <x:c r="AA6" s="29" t="n">
        <x:f>IF(ISNUMBER(Y6),ROUND(Y6*'Reference data'!$B$2,0),"Unknown")</x:f>
        <x:v>47</x:v>
      </x:c>
      <x:c r="AB6" s="29" t="n">
        <x:f>IF(ISNUMBER(Z6),ROUND(Z6*'Reference data'!$B$2,0),"Unknown")</x:f>
        <x:v>54</x:v>
      </x:c>
      <x:c r="AC6" s="2" t="str">
        <x:v>R1</x:v>
      </x:c>
      <x:c r="AD6" s="38" t="n">
        <x:v>6131.213056</x:v>
      </x:c>
      <x:c r="AE6" s="2" t="str">
        <x:v>Own call</x:v>
      </x:c>
    </x:row>
    <x:row r="7" ht="54" customHeight="1">
      <x:c r="A7" s="36" t="str">
        <x:v>    judge</x:v>
      </x:c>
      <x:c r="B7" s="31" t="n">
        <x:v>1</x:v>
      </x:c>
      <x:c r="C7" s="31" t="str">
        <x:v>workflow</x:v>
      </x:c>
      <x:c r="D7" s="31" t="str"/>
      <x:c r="E7" s="31" t="str">
        <x:v>ok</x:v>
      </x:c>
      <x:c r="F7" s="33"/>
      <x:c r="G7" s="36" t="str">
        <x:v>Obtain a validated judge verdict for workflow routing.</x:v>
      </x:c>
      <x:c r="H7" s="31" t="str">
        <x:v>01a0c40f-d66d-76b2-a503-e59e110fb5fe</x:v>
      </x:c>
      <x:c r="I7" s="31" t="str">
        <x:v>01a0c40f-be73-7501-a0ad-e335e55e2f99</x:v>
      </x:c>
      <x:c r="J7" s="29" t="n">
        <x:f>IF(COUNT('Turns'!D19)=1,SUM('Turns'!D19),"Unknown")</x:f>
        <x:v>651</x:v>
      </x:c>
      <x:c r="K7" s="11" t="n">
        <x:f>IF(COUNT('Turns'!E19)=1,SUM('Turns'!E19),"Unknown")</x:f>
        <x:v>0.00011361252000000002</x:v>
      </x:c>
      <x:c r="L7" s="11" t="n">
        <x:f>IF(COUNT('Turns'!F19)=1,SUM('Turns'!F19),"Unknown")</x:f>
        <x:v>0.00013020000000000002</x:v>
      </x:c>
      <x:c r="M7" s="29" t="n">
        <x:v>0</x:v>
      </x:c>
      <x:c r="N7" s="11" t="n">
        <x:v>0</x:v>
      </x:c>
      <x:c r="O7" s="11" t="n">
        <x:v>0</x:v>
      </x:c>
      <x:c r="P7" s="29" t="n">
        <x:v>0</x:v>
      </x:c>
      <x:c r="Q7" s="11" t="n">
        <x:v>0</x:v>
      </x:c>
      <x:c r="R7" s="11" t="n">
        <x:v>0</x:v>
      </x:c>
      <x:c r="S7" s="29" t="n">
        <x:f>IF(COUNT('Turns'!D26)=1,SUM('Turns'!D26),"Unknown")</x:f>
        <x:v>83</x:v>
      </x:c>
      <x:c r="T7" s="11" t="n">
        <x:f>IF(COUNT('Turns'!E26)=1,SUM('Turns'!E26),"Unknown")</x:f>
        <x:v>0.00008691096</x:v>
      </x:c>
      <x:c r="U7" s="11" t="n">
        <x:f>IF(COUNT('Turns'!F26)=1,SUM('Turns'!F26),"Unknown")</x:f>
        <x:v>0.0000996</x:v>
      </x:c>
      <x:c r="V7" s="29" t="n">
        <x:f>IF(COUNT('Turns'!D25)=1,SUM('Turns'!D25),"Unknown")</x:f>
        <x:v>321</x:v>
      </x:c>
      <x:c r="W7" s="11" t="n">
        <x:f>IF(COUNT('Turns'!E25)=1,SUM('Turns'!E25),"Unknown")</x:f>
        <x:v>0.00033612552</x:v>
      </x:c>
      <x:c r="X7" s="11" t="n">
        <x:f>IF(COUNT('Turns'!F25)=1,SUM('Turns'!F25),"Unknown")</x:f>
        <x:v>0.0003852</x:v>
      </x:c>
      <x:c r="Y7" s="11" t="n">
        <x:f>IF(COUNT('Turns'!E30)=1,SUM('Turns'!E30),"Unknown")</x:f>
        <x:v>0.0005366489999999999</x:v>
      </x:c>
      <x:c r="Z7" s="11" t="n">
        <x:f>IF(COUNT('Turns'!F30)=1,SUM('Turns'!F30),"Unknown")</x:f>
        <x:v>0.0006150000000000001</x:v>
      </x:c>
      <x:c r="AA7" s="29" t="n">
        <x:f>IF(ISNUMBER(Y7),ROUND(Y7*'Reference data'!$B$2,0),"Unknown")</x:f>
        <x:v>54</x:v>
      </x:c>
      <x:c r="AB7" s="29" t="n">
        <x:f>IF(ISNUMBER(Z7),ROUND(Z7*'Reference data'!$B$2,0),"Unknown")</x:f>
        <x:v>62</x:v>
      </x:c>
      <x:c r="AC7" s="2"/>
      <x:c r="AD7" s="38" t="n">
        <x:v>6132.7808</x:v>
      </x:c>
      <x:c r="AE7" s="2" t="str">
        <x:v>Subtree total</x:v>
      </x:c>
    </x:row>
    <x:row r="8" ht="54" customHeight="1">
      <x:c r="A8" s="36" t="str">
        <x:v>        evidence_judge</x:v>
      </x:c>
      <x:c r="B8" s="31" t="n">
        <x:v>2</x:v>
      </x:c>
      <x:c r="C8" s="31" t="str">
        <x:v>workflow</x:v>
      </x:c>
      <x:c r="D8" s="31" t="str"/>
      <x:c r="E8" s="31" t="str">
        <x:v>ok</x:v>
      </x:c>
      <x:c r="F8" s="33"/>
      <x:c r="G8" s="36" t="str">
        <x:v>Obtain a validated judge verdict for workflow routing.</x:v>
      </x:c>
      <x:c r="H8" s="31" t="str">
        <x:v>01a0c40f-d66e-7713-a728-46d479a1d9b7</x:v>
      </x:c>
      <x:c r="I8" s="31" t="str">
        <x:v>01a0c40f-d66d-76b2-a503-e59e110fb5fe</x:v>
      </x:c>
      <x:c r="J8" s="29" t="n">
        <x:f>IF(COUNT('Turns'!D19)=1,SUM('Turns'!D19),"Unknown")</x:f>
        <x:v>651</x:v>
      </x:c>
      <x:c r="K8" s="11" t="n">
        <x:f>IF(COUNT('Turns'!E19)=1,SUM('Turns'!E19),"Unknown")</x:f>
        <x:v>0.00011361252000000002</x:v>
      </x:c>
      <x:c r="L8" s="11" t="n">
        <x:f>IF(COUNT('Turns'!F19)=1,SUM('Turns'!F19),"Unknown")</x:f>
        <x:v>0.00013020000000000002</x:v>
      </x:c>
      <x:c r="M8" s="29" t="n">
        <x:v>0</x:v>
      </x:c>
      <x:c r="N8" s="11" t="n">
        <x:v>0</x:v>
      </x:c>
      <x:c r="O8" s="11" t="n">
        <x:v>0</x:v>
      </x:c>
      <x:c r="P8" s="29" t="n">
        <x:v>0</x:v>
      </x:c>
      <x:c r="Q8" s="11" t="n">
        <x:v>0</x:v>
      </x:c>
      <x:c r="R8" s="11" t="n">
        <x:v>0</x:v>
      </x:c>
      <x:c r="S8" s="29" t="n">
        <x:f>IF(COUNT('Turns'!D26)=1,SUM('Turns'!D26),"Unknown")</x:f>
        <x:v>83</x:v>
      </x:c>
      <x:c r="T8" s="11" t="n">
        <x:f>IF(COUNT('Turns'!E26)=1,SUM('Turns'!E26),"Unknown")</x:f>
        <x:v>0.00008691096</x:v>
      </x:c>
      <x:c r="U8" s="11" t="n">
        <x:f>IF(COUNT('Turns'!F26)=1,SUM('Turns'!F26),"Unknown")</x:f>
        <x:v>0.0000996</x:v>
      </x:c>
      <x:c r="V8" s="29" t="n">
        <x:f>IF(COUNT('Turns'!D25)=1,SUM('Turns'!D25),"Unknown")</x:f>
        <x:v>321</x:v>
      </x:c>
      <x:c r="W8" s="11" t="n">
        <x:f>IF(COUNT('Turns'!E25)=1,SUM('Turns'!E25),"Unknown")</x:f>
        <x:v>0.00033612552</x:v>
      </x:c>
      <x:c r="X8" s="11" t="n">
        <x:f>IF(COUNT('Turns'!F25)=1,SUM('Turns'!F25),"Unknown")</x:f>
        <x:v>0.0003852</x:v>
      </x:c>
      <x:c r="Y8" s="11" t="n">
        <x:f>IF(COUNT('Turns'!E30)=1,SUM('Turns'!E30),"Unknown")</x:f>
        <x:v>0.0005366489999999999</x:v>
      </x:c>
      <x:c r="Z8" s="11" t="n">
        <x:f>IF(COUNT('Turns'!F30)=1,SUM('Turns'!F30),"Unknown")</x:f>
        <x:v>0.0006150000000000001</x:v>
      </x:c>
      <x:c r="AA8" s="29" t="n">
        <x:f>IF(ISNUMBER(Y8),ROUND(Y8*'Reference data'!$B$2,0),"Unknown")</x:f>
        <x:v>54</x:v>
      </x:c>
      <x:c r="AB8" s="29" t="n">
        <x:f>IF(ISNUMBER(Z8),ROUND(Z8*'Reference data'!$B$2,0),"Unknown")</x:f>
        <x:v>62</x:v>
      </x:c>
      <x:c r="AC8" s="2"/>
      <x:c r="AD8" s="38" t="n">
        <x:v>6129.808128</x:v>
      </x:c>
      <x:c r="AE8" s="2" t="str">
        <x:v>Subtree total</x:v>
      </x:c>
    </x:row>
    <x:row r="9" ht="54" customHeight="1">
      <x:c r="A9" s="37" t="str">
        <x:v>            ChatOpenAI</x:v>
      </x:c>
      <x:c r="B9" s="20" t="n">
        <x:v>3</x:v>
      </x:c>
      <x:c r="C9" s="20" t="str">
        <x:v>model</x:v>
      </x:c>
      <x:c r="D9" s="20" t="str">
        <x:v>gpt-5.6-luna</x:v>
      </x:c>
      <x:c r="E9" s="20" t="str">
        <x:v>ok</x:v>
      </x:c>
      <x:c r="F9" s="34" t="n">
        <x:v>651</x:v>
      </x:c>
      <x:c r="G9" s="37" t="str">
        <x:v>Obtain a validated judge verdict for workflow routing.</x:v>
      </x:c>
      <x:c r="H9" s="20" t="str">
        <x:v>01a0c40f-d66e-7713-a728-46efbd3a791e</x:v>
      </x:c>
      <x:c r="I9" s="20" t="str">
        <x:v>01a0c40f-d66e-7713-a728-46d479a1d9b7</x:v>
      </x:c>
      <x:c r="J9" s="29" t="n">
        <x:f>IF(COUNT('Turns'!D19)=1,SUM('Turns'!D19),"Unknown")</x:f>
        <x:v>651</x:v>
      </x:c>
      <x:c r="K9" s="11" t="n">
        <x:f>IF(COUNT('Turns'!E19)=1,SUM('Turns'!E19),"Unknown")</x:f>
        <x:v>0.00011361252000000002</x:v>
      </x:c>
      <x:c r="L9" s="11" t="n">
        <x:f>IF(COUNT('Turns'!F19)=1,SUM('Turns'!F19),"Unknown")</x:f>
        <x:v>0.00013020000000000002</x:v>
      </x:c>
      <x:c r="M9" s="29" t="n">
        <x:v>0</x:v>
      </x:c>
      <x:c r="N9" s="11" t="n">
        <x:v>0</x:v>
      </x:c>
      <x:c r="O9" s="11" t="n">
        <x:v>0</x:v>
      </x:c>
      <x:c r="P9" s="29" t="n">
        <x:v>0</x:v>
      </x:c>
      <x:c r="Q9" s="11" t="n">
        <x:v>0</x:v>
      </x:c>
      <x:c r="R9" s="11" t="n">
        <x:v>0</x:v>
      </x:c>
      <x:c r="S9" s="29" t="n">
        <x:f>IF(COUNT('Turns'!D26)=1,SUM('Turns'!D26),"Unknown")</x:f>
        <x:v>83</x:v>
      </x:c>
      <x:c r="T9" s="11" t="n">
        <x:f>IF(COUNT('Turns'!E26)=1,SUM('Turns'!E26),"Unknown")</x:f>
        <x:v>0.00008691096</x:v>
      </x:c>
      <x:c r="U9" s="11" t="n">
        <x:f>IF(COUNT('Turns'!F26)=1,SUM('Turns'!F26),"Unknown")</x:f>
        <x:v>0.0000996</x:v>
      </x:c>
      <x:c r="V9" s="29" t="n">
        <x:f>IF(COUNT('Turns'!D25)=1,SUM('Turns'!D25),"Unknown")</x:f>
        <x:v>321</x:v>
      </x:c>
      <x:c r="W9" s="11" t="n">
        <x:f>IF(COUNT('Turns'!E25)=1,SUM('Turns'!E25),"Unknown")</x:f>
        <x:v>0.00033612552</x:v>
      </x:c>
      <x:c r="X9" s="11" t="n">
        <x:f>IF(COUNT('Turns'!F25)=1,SUM('Turns'!F25),"Unknown")</x:f>
        <x:v>0.0003852</x:v>
      </x:c>
      <x:c r="Y9" s="11" t="n">
        <x:f>IF(COUNT('Turns'!E30)=1,SUM('Turns'!E30),"Unknown")</x:f>
        <x:v>0.0005366489999999999</x:v>
      </x:c>
      <x:c r="Z9" s="11" t="n">
        <x:f>IF(COUNT('Turns'!F30)=1,SUM('Turns'!F30),"Unknown")</x:f>
        <x:v>0.0006150000000000001</x:v>
      </x:c>
      <x:c r="AA9" s="29" t="n">
        <x:f>IF(ISNUMBER(Y9),ROUND(Y9*'Reference data'!$B$2,0),"Unknown")</x:f>
        <x:v>54</x:v>
      </x:c>
      <x:c r="AB9" s="29" t="n">
        <x:f>IF(ISNUMBER(Z9),ROUND(Z9*'Reference data'!$B$2,0),"Unknown")</x:f>
        <x:v>62</x:v>
      </x:c>
      <x:c r="AC9" s="2" t="str">
        <x:v>R2</x:v>
      </x:c>
      <x:c r="AD9" s="38" t="n">
        <x:v>6128.146944</x:v>
      </x:c>
      <x:c r="AE9" s="2" t="str">
        <x:v>Own call</x:v>
      </x:c>
    </x:row>
    <x:row r="10" ht="54" customHeight="1">
      <x:c r="A10" s="36" t="str">
        <x:v>        route</x:v>
      </x:c>
      <x:c r="B10" s="31" t="n">
        <x:v>2</x:v>
      </x:c>
      <x:c r="C10" s="31" t="str">
        <x:v>workflow</x:v>
      </x:c>
      <x:c r="D10" s="31" t="str"/>
      <x:c r="E10" s="31" t="str">
        <x:v>ok</x:v>
      </x:c>
      <x:c r="F10" s="33"/>
      <x:c r="G10" s="36" t="str">
        <x:v>Obtain a validated judge verdict for workflow routing.</x:v>
      </x:c>
      <x:c r="H10" s="31" t="str">
        <x:v>01a0c40f-ee60-76b2-a01f-e766ff387d0a</x:v>
      </x:c>
      <x:c r="I10" s="31" t="str">
        <x:v>01a0c40f-d66d-76b2-a503-e59e110fb5fe</x:v>
      </x:c>
      <x:c r="J10" s="29"/>
      <x:c r="K10" s="11"/>
      <x:c r="L10" s="11"/>
      <x:c r="M10" s="29"/>
      <x:c r="N10" s="11"/>
      <x:c r="O10" s="11"/>
      <x:c r="P10" s="29"/>
      <x:c r="Q10" s="11"/>
      <x:c r="R10" s="11"/>
      <x:c r="S10" s="29"/>
      <x:c r="T10" s="11"/>
      <x:c r="U10" s="11"/>
      <x:c r="V10" s="29"/>
      <x:c r="W10" s="11"/>
      <x:c r="X10" s="11"/>
      <x:c r="Y10" s="11"/>
      <x:c r="Z10" s="11"/>
      <x:c r="AA10" s="29"/>
      <x:c r="AB10" s="29"/>
      <x:c r="AC10" s="2"/>
      <x:c r="AD10" s="38" t="n">
        <x:v>0.542208</x:v>
      </x:c>
      <x:c r="AE10" s="2" t="str">
        <x:v>No model charge</x:v>
      </x:c>
    </x:row>
    <x:row r="11" ht="54" customHeight="1">
      <x:c r="A11" s="36" t="str">
        <x:v>    finish</x:v>
      </x:c>
      <x:c r="B11" s="31" t="n">
        <x:v>1</x:v>
      </x:c>
      <x:c r="C11" s="31" t="str">
        <x:v>workflow</x:v>
      </x:c>
      <x:c r="D11" s="31" t="str"/>
      <x:c r="E11" s="31" t="str">
        <x:v>ok</x:v>
      </x:c>
      <x:c r="F11" s="33"/>
      <x:c r="G11" s="36" t="str">
        <x:v>Execute the finish workflow operation and pass its result to the next graph step.</x:v>
      </x:c>
      <x:c r="H11" s="31" t="str">
        <x:v>01a0c40f-ee63-7a92-a90a-134aa5980206</x:v>
      </x:c>
      <x:c r="I11" s="31" t="str">
        <x:v>01a0c40f-be73-7501-a0ad-e335e55e2f99</x:v>
      </x:c>
      <x:c r="J11" s="29"/>
      <x:c r="K11" s="11"/>
      <x:c r="L11" s="11"/>
      <x:c r="M11" s="29"/>
      <x:c r="N11" s="11"/>
      <x:c r="O11" s="11"/>
      <x:c r="P11" s="29"/>
      <x:c r="Q11" s="11"/>
      <x:c r="R11" s="11"/>
      <x:c r="S11" s="29"/>
      <x:c r="T11" s="11"/>
      <x:c r="U11" s="11"/>
      <x:c r="V11" s="29"/>
      <x:c r="W11" s="11"/>
      <x:c r="X11" s="11"/>
      <x:c r="Y11" s="11"/>
      <x:c r="Z11" s="11"/>
      <x:c r="AA11" s="29"/>
      <x:c r="AB11" s="29"/>
      <x:c r="AC11" s="2"/>
      <x:c r="AD11" s="38" t="n">
        <x:v>0.684032</x:v>
      </x:c>
      <x:c r="AE11" s="2" t="str">
        <x:v>No model charge</x:v>
      </x:c>
    </x:row>
  </x:sheetData>
  <x:conditionalFormatting sqref="A2:AE11">
    <x:cfRule type="expression" dxfId="3" priority="1">
      <x:formula>$E2="error"</x:formula>
    </x:cfRule>
  </x:conditionalFormatting>
  <x:pageMargins left="0.7" right="0.7" top="0.75" bottom="0.75" header="0.3" footer="0.3"/>
</x:worksheet>
</file>

<file path=xl/worksheets/sheet3.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34" hidden="0" customWidth="1"/>
    <x:col min="2" max="2" width="52" hidden="0" customWidth="1"/>
    <x:col min="3" max="3" width="18" hidden="0" customWidth="1"/>
    <x:col min="4" max="4" width="18" hidden="0" customWidth="1"/>
    <x:col min="5" max="5" width="18" hidden="0" customWidth="1"/>
    <x:col min="6" max="6" width="18" hidden="0" customWidth="1"/>
    <x:col min="7" max="7" width="18" hidden="0" customWidth="1"/>
    <x:col min="8" max="8" width="65" hidden="0" customWidth="1"/>
    <x:col min="9" max="9" width="40" hidden="0" customWidth="1"/>
  </x:cols>
  <x:sheetData>
    <x:row r="1" ht="44" customHeight="1">
      <x:c r="A1" s="7" t="str">
        <x:v>Parameter</x:v>
      </x:c>
      <x:c r="B1" s="7" t="str">
        <x:v>Value</x:v>
      </x:c>
      <x:c r="C1" s="7" t="str">
        <x:v>Unit</x:v>
      </x:c>
      <x:c r="D1" s="7" t="str"/>
      <x:c r="E1" s="7" t="str"/>
      <x:c r="F1" s="7" t="str"/>
      <x:c r="G1" s="7" t="str"/>
      <x:c r="H1" s="7" t="str"/>
      <x:c r="I1" s="7" t="str"/>
    </x:row>
    <x:row r="2" ht="24" customHeight="1">
      <x:c r="A2" s="2" t="str">
        <x:v>Number of executions</x:v>
      </x:c>
      <x:c r="B2" s="10" t="n">
        <x:v>100000</x:v>
      </x:c>
      <x:c r="C2" s="2" t="str">
        <x:v>executions</x:v>
      </x:c>
      <x:c r="D2" s="2"/>
      <x:c r="E2" s="2"/>
      <x:c r="F2" s="2"/>
      <x:c r="G2" s="2"/>
      <x:c r="H2" s="2"/>
      <x:c r="I2" s="2"/>
    </x:row>
    <x:row r="3" ht="24" customHeight="1">
      <x:c r="A3" s="2" t="str">
        <x:v>USD → EUR</x:v>
      </x:c>
      <x:c r="B3" s="11" t="n">
        <x:v>0.8726</x:v>
      </x:c>
      <x:c r="C3" s="2" t="str">
        <x:v>EUR per USD</x:v>
      </x:c>
      <x:c r="D3" s="2"/>
      <x:c r="E3" s="2"/>
      <x:c r="F3" s="2"/>
      <x:c r="G3" s="2"/>
      <x:c r="H3" s="2"/>
      <x:c r="I3" s="2"/>
    </x:row>
    <x:row r="4" ht="24" customHeight="1">
      <x:c r="A4" s="2" t="str">
        <x:v>Cache duration</x:v>
      </x:c>
      <x:c r="B4" s="2" t="str">
        <x:v>5m</x:v>
      </x:c>
      <x:c r="C4" s="2" t="str"/>
      <x:c r="D4" s="2"/>
      <x:c r="E4" s="2"/>
      <x:c r="F4" s="2"/>
      <x:c r="G4" s="2"/>
      <x:c r="H4" s="2"/>
      <x:c r="I4" s="2"/>
    </x:row>
    <x:row r="5" ht="28" customHeight="1">
      <x:c r="A5" s="2" t="str">
        <x:v>Run ID</x:v>
      </x:c>
      <x:c r="B5" s="14" t="str">
        <x:v>01a0c40f-be73-7501-a0ad-e335e55e2f99</x:v>
      </x:c>
      <x:c r="C5" s="2" t="str"/>
      <x:c r="D5" s="2"/>
      <x:c r="E5" s="2"/>
      <x:c r="F5" s="2"/>
      <x:c r="G5" s="2"/>
      <x:c r="H5" s="2"/>
      <x:c r="I5" s="2"/>
    </x:row>
    <x:row r="6" ht="28" customHeight="1">
      <x:c r="A6" s="2" t="str">
        <x:v>Recording</x:v>
      </x:c>
      <x:c r="B6" s="14" t="str">
        <x:v>Provider trace</x:v>
      </x:c>
      <x:c r="C6" s="2" t="str"/>
      <x:c r="D6" s="2"/>
      <x:c r="E6" s="2"/>
      <x:c r="F6" s="2"/>
      <x:c r="G6" s="2"/>
      <x:c r="H6" s="2"/>
      <x:c r="I6" s="2"/>
    </x:row>
    <x:row r="7" ht="28" customHeight="1">
      <x:c r="A7" s="2" t="str">
        <x:v>FX reference date</x:v>
      </x:c>
      <x:c r="B7" s="15" t="n">
        <x:v>46283</x:v>
      </x:c>
      <x:c r="C7" s="2" t="str"/>
      <x:c r="D7" s="2"/>
      <x:c r="E7" s="2"/>
      <x:c r="F7" s="2"/>
      <x:c r="G7" s="2"/>
      <x:c r="H7" s="2"/>
      <x:c r="I7" s="2"/>
    </x:row>
    <x:row r="8" ht="28" customHeight="1">
      <x:c r="A8" s="2" t="str">
        <x:v>FX fetched at</x:v>
      </x:c>
      <x:c r="B8" s="16" t="n">
        <x:v>46286.54250429398</x:v>
      </x:c>
      <x:c r="C8" s="2" t="str">
        <x:v>UTC</x:v>
      </x:c>
      <x:c r="D8" s="2"/>
      <x:c r="E8" s="2"/>
      <x:c r="F8" s="2"/>
      <x:c r="G8" s="2"/>
      <x:c r="H8" s="2"/>
      <x:c r="I8" s="2"/>
    </x:row>
    <x:row r="9" ht="56" customHeight="1">
      <x:c r="A9" s="2" t="str">
        <x:v>FX source</x:v>
      </x:c>
      <x:c r="B9" s="14" t="str">
        <x:v>https://api.frankfurter.dev/v2/rate/usd/eur?providers=ecb</x:v>
      </x:c>
      <x:c r="C9" s="2" t="str"/>
      <x:c r="D9" s="2"/>
      <x:c r="E9" s="2"/>
      <x:c r="F9" s="2"/>
      <x:c r="G9" s="2"/>
      <x:c r="H9" s="2"/>
      <x:c r="I9" s="2"/>
    </x:row>
    <x:row r="10" ht="56" customHeight="1">
      <x:c r="A10" s="2" t="str">
        <x:v>Rounding</x:v>
      </x:c>
      <x:c r="B10" s="14" t="str">
        <x:v>Only projected costs: ROUND(cost × executions, 0)</x:v>
      </x:c>
      <x:c r="C10" s="2" t="str"/>
      <x:c r="D10" s="2"/>
      <x:c r="E10" s="2"/>
      <x:c r="F10" s="2"/>
      <x:c r="G10" s="2"/>
      <x:c r="H10" s="2"/>
      <x:c r="I10" s="2"/>
    </x:row>
    <x:row r="11" ht="56" customHeight="1">
      <x:c r="A11" s="2" t="str">
        <x:v>Tree totals</x:v>
      </x:c>
      <x:c r="B11" s="14" t="str">
        <x:v>Parent rows include descendants; do not sum all tree rows.</x:v>
      </x:c>
      <x:c r="C11" s="2" t="str"/>
      <x:c r="D11" s="2"/>
      <x:c r="E11" s="2"/>
      <x:c r="F11" s="2"/>
      <x:c r="G11" s="2"/>
      <x:c r="H11" s="2"/>
      <x:c r="I11" s="2"/>
    </x:row>
    <x:row r="12" ht="56" customHeight="1">
      <x:c r="A12" s="2" t="str">
        <x:v>Cache writes</x:v>
      </x:c>
      <x:c r="B12" s="14" t="str">
        <x:v>Simulation cache movements are shown separately from provider-billed writes.</x:v>
      </x:c>
      <x:c r="C12" s="2" t="str"/>
      <x:c r="D12" s="2"/>
      <x:c r="E12" s="2"/>
      <x:c r="F12" s="2"/>
      <x:c r="G12" s="2"/>
      <x:c r="H12" s="2"/>
      <x:c r="I12" s="2"/>
    </x:row>
    <x:row r="13" ht="56" customHeight="1">
      <x:c r="A13" s="2" t="str">
        <x:v>Pricing scope</x:v>
      </x:c>
      <x:c r="B13" s="14" t="str">
        <x:v>Standard online token rates. Verify rates and model access before use. Cache writes with unspecified lifetime use the 5-minute rate unless an explicit cache_write rate is configured. No batch, regional, long-context, tool, or negotiated pricing adjustments are applied.</x:v>
      </x:c>
      <x:c r="C13" s="2" t="str"/>
      <x:c r="D13" s="2"/>
      <x:c r="E13" s="2"/>
      <x:c r="F13" s="2"/>
      <x:c r="G13" s="2"/>
      <x:c r="H13" s="2"/>
      <x:c r="I13" s="2"/>
    </x:row>
    <x:row r="14" ht="24" customHeight="1">
      <x:c r="A14" s="2"/>
      <x:c r="B14" s="2"/>
      <x:c r="C14" s="2"/>
      <x:c r="D14" s="2"/>
      <x:c r="E14" s="2"/>
      <x:c r="F14" s="2"/>
      <x:c r="G14" s="2"/>
      <x:c r="H14" s="2"/>
      <x:c r="I14" s="2"/>
    </x:row>
    <x:row r="15" ht="44" customHeight="1">
      <x:c r="A15" s="5" t="str">
        <x:v>Model</x:v>
      </x:c>
      <x:c r="B15" s="5" t="str">
        <x:v>Input USD / 1M tokens</x:v>
      </x:c>
      <x:c r="C15" s="5" t="str">
        <x:v>Cache read USD / 1M tokens</x:v>
      </x:c>
      <x:c r="D15" s="5" t="str">
        <x:v>Cache write USD / 1M tokens</x:v>
      </x:c>
      <x:c r="E15" s="5" t="str">
        <x:v>Output USD / 1M tokens</x:v>
      </x:c>
      <x:c r="F15" s="5" t="str">
        <x:v>Reasoning USD / 1M tokens</x:v>
      </x:c>
      <x:c r="G15" s="5" t="str">
        <x:v>Verified date</x:v>
      </x:c>
      <x:c r="H15" s="5" t="str">
        <x:v>Source</x:v>
      </x:c>
      <x:c r="I15" s="5" t="str">
        <x:v>Notes</x:v>
      </x:c>
    </x:row>
    <x:row r="16" ht="72" customHeight="1">
      <x:c r="A16" s="14" t="str">
        <x:v>openai:gpt-5.5</x:v>
      </x:c>
      <x:c r="B16" s="17" t="n">
        <x:v>5</x:v>
      </x:c>
      <x:c r="C16" s="17" t="n">
        <x:v>0.5</x:v>
      </x:c>
      <x:c r="D16" s="17"/>
      <x:c r="E16" s="17" t="n">
        <x:v>30</x:v>
      </x:c>
      <x:c r="F16" s="17" t="n">
        <x:v>30</x:v>
      </x:c>
      <x:c r="G16" s="15" t="n">
        <x:v>46283</x:v>
      </x:c>
      <x:c r="H16" s="14" t="str">
        <x:v>https://developers.openai.com/api/docs/models/gpt-5.5.md</x:v>
      </x:c>
      <x:c r="I16" s="14" t="str">
        <x:v>Cache write assumes 5m when unspecified</x:v>
      </x:c>
    </x:row>
    <x:row r="17" ht="72" customHeight="1">
      <x:c r="A17" s="14" t="str">
        <x:v>openai:gpt-5.6-luna</x:v>
      </x:c>
      <x:c r="B17" s="17" t="n">
        <x:v>0.2</x:v>
      </x:c>
      <x:c r="C17" s="17" t="n">
        <x:v>0.02</x:v>
      </x:c>
      <x:c r="D17" s="17" t="n">
        <x:v>0.25</x:v>
      </x:c>
      <x:c r="E17" s="17" t="n">
        <x:v>1.2</x:v>
      </x:c>
      <x:c r="F17" s="17" t="n">
        <x:v>1.2</x:v>
      </x:c>
      <x:c r="G17" s="15" t="n">
        <x:v>46283</x:v>
      </x:c>
      <x:c r="H17" s="14" t="str">
        <x:v>https://developers.openai.com/api/docs/models/gpt-5.6-luna.md</x:v>
      </x:c>
      <x:c r="I17" s="14" t="str">
        <x:v>Cache write assumes 5m when unspecified</x:v>
      </x:c>
    </x:row>
    <x:row r="18" ht="72" customHeight="1">
      <x:c r="A18" s="14" t="str">
        <x:v>openai:gpt-5.6-sol</x:v>
      </x:c>
      <x:c r="B18" s="17" t="n">
        <x:v>4</x:v>
      </x:c>
      <x:c r="C18" s="17" t="n">
        <x:v>0.4</x:v>
      </x:c>
      <x:c r="D18" s="17" t="n">
        <x:v>5</x:v>
      </x:c>
      <x:c r="E18" s="17" t="n">
        <x:v>20</x:v>
      </x:c>
      <x:c r="F18" s="17" t="n">
        <x:v>20</x:v>
      </x:c>
      <x:c r="G18" s="15" t="n">
        <x:v>46283</x:v>
      </x:c>
      <x:c r="H18" s="14" t="str">
        <x:v>https://developers.openai.com/api/docs/models/gpt-5.6-sol.md</x:v>
      </x:c>
      <x:c r="I18" s="14" t="str">
        <x:v>Cache write assumes 5m when unspecified</x:v>
      </x:c>
    </x:row>
    <x:row r="19" ht="72" customHeight="1">
      <x:c r="A19" s="14" t="str">
        <x:v>anthropic:claude-sonnet-5</x:v>
      </x:c>
      <x:c r="B19" s="17" t="n">
        <x:v>2</x:v>
      </x:c>
      <x:c r="C19" s="17" t="n">
        <x:v>0.2</x:v>
      </x:c>
      <x:c r="D19" s="17" t="n">
        <x:v>2.5</x:v>
      </x:c>
      <x:c r="E19" s="17" t="n">
        <x:v>10</x:v>
      </x:c>
      <x:c r="F19" s="17" t="n">
        <x:v>10</x:v>
      </x:c>
      <x:c r="G19" s="15" t="n">
        <x:v>46283</x:v>
      </x:c>
      <x:c r="H19" s="14" t="str">
        <x:v>https://platform.claude.com/docs/en/about-claude/pricing</x:v>
      </x:c>
      <x:c r="I19" s="14" t="str">
        <x:v>Cache write assumes 5m when unspecified</x:v>
      </x:c>
    </x:row>
    <x:row r="20" ht="72" customHeight="1">
      <x:c r="A20" s="14" t="str">
        <x:v>anthropic:claude-opus-4-8</x:v>
      </x:c>
      <x:c r="B20" s="17" t="n">
        <x:v>5</x:v>
      </x:c>
      <x:c r="C20" s="17" t="n">
        <x:v>0.5</x:v>
      </x:c>
      <x:c r="D20" s="17" t="n">
        <x:v>6.25</x:v>
      </x:c>
      <x:c r="E20" s="17" t="n">
        <x:v>25</x:v>
      </x:c>
      <x:c r="F20" s="17" t="n">
        <x:v>25</x:v>
      </x:c>
      <x:c r="G20" s="15" t="n">
        <x:v>46283</x:v>
      </x:c>
      <x:c r="H20" s="14" t="str">
        <x:v>https://platform.claude.com/docs/en/about-claude/pricing</x:v>
      </x:c>
      <x:c r="I20" s="14" t="str">
        <x:v>Cache write assumes 5m when unspecified</x:v>
      </x:c>
    </x:row>
    <x:row r="21" ht="72" customHeight="1">
      <x:c r="A21" s="14" t="str">
        <x:v>anthropic:claude-fable-5-1</x:v>
      </x:c>
      <x:c r="B21" s="17" t="n">
        <x:v>10</x:v>
      </x:c>
      <x:c r="C21" s="17" t="n">
        <x:v>0.25</x:v>
      </x:c>
      <x:c r="D21" s="17" t="n">
        <x:v>12.5</x:v>
      </x:c>
      <x:c r="E21" s="17" t="n">
        <x:v>50</x:v>
      </x:c>
      <x:c r="F21" s="17" t="n">
        <x:v>50</x:v>
      </x:c>
      <x:c r="G21" s="15" t="n">
        <x:v>46283</x:v>
      </x:c>
      <x:c r="H21" s="14" t="str">
        <x:v>https://platform.claude.com/docs/en/about-claude/pricing</x:v>
      </x:c>
      <x:c r="I21" s="14" t="str">
        <x:v>Cache write assumes 5m when unspecified</x:v>
      </x:c>
    </x:row>
    <x:row r="22" ht="72" customHeight="1">
      <x:c r="A22" s="14" t="str">
        <x:v>demo:scripted-chat</x:v>
      </x:c>
      <x:c r="B22" s="17" t="n">
        <x:v>0.2</x:v>
      </x:c>
      <x:c r="C22" s="17" t="n">
        <x:v>0.02</x:v>
      </x:c>
      <x:c r="D22" s="17" t="n">
        <x:v>0.25</x:v>
      </x:c>
      <x:c r="E22" s="17" t="n">
        <x:v>1.2</x:v>
      </x:c>
      <x:c r="F22" s="17" t="n">
        <x:v>1.2</x:v>
      </x:c>
      <x:c r="G22" s="15" t="n">
        <x:v>46283</x:v>
      </x:c>
      <x:c r="H22" s="14" t="str">
        <x:v>Illustrative demo rates based on openai:gpt-5.6-luna; no provider billing</x:v>
      </x:c>
      <x:c r="I22" s="14" t="str">
        <x:v>Cache write assumes 5m when unspecified</x:v>
      </x:c>
    </x:row>
    <x:row r="23" ht="24" customHeight="1">
      <x:c r="A23" s="2"/>
      <x:c r="B23" s="2"/>
      <x:c r="C23" s="2"/>
      <x:c r="D23" s="2"/>
      <x:c r="E23" s="2"/>
      <x:c r="F23" s="2"/>
      <x:c r="G23" s="2"/>
      <x:c r="H23" s="2"/>
      <x:c r="I23" s="2"/>
    </x:row>
    <x:row r="24" ht="24" customHeight="1">
      <x:c r="A24" s="2"/>
      <x:c r="B24" s="2"/>
      <x:c r="C24" s="2"/>
      <x:c r="D24" s="2"/>
      <x:c r="E24" s="2"/>
      <x:c r="F24" s="2"/>
      <x:c r="G24" s="2"/>
      <x:c r="H24" s="2"/>
      <x:c r="I24" s="2"/>
    </x:row>
    <x:row r="25" ht="24" customHeight="1">
      <x:c r="A25" s="2"/>
      <x:c r="B25" s="2"/>
      <x:c r="C25" s="2"/>
      <x:c r="D25" s="2"/>
      <x:c r="E25" s="2"/>
      <x:c r="F25" s="2"/>
      <x:c r="G25" s="2"/>
      <x:c r="H25" s="2"/>
      <x:c r="I25" s="2"/>
    </x:row>
    <x:row r="26" ht="24" customHeight="1">
      <x:c r="A26" s="2"/>
      <x:c r="B26" s="2"/>
      <x:c r="C26" s="2"/>
      <x:c r="D26" s="2"/>
      <x:c r="E26" s="2"/>
      <x:c r="F26" s="2"/>
      <x:c r="G26" s="2"/>
      <x:c r="H26" s="2"/>
      <x:c r="I26" s="2"/>
    </x:row>
    <x:row r="27" ht="24" customHeight="1">
      <x:c r="A27" s="2"/>
      <x:c r="B27" s="2"/>
      <x:c r="C27" s="2"/>
      <x:c r="D27" s="2"/>
      <x:c r="E27" s="2"/>
      <x:c r="F27" s="2"/>
      <x:c r="G27" s="2"/>
      <x:c r="H27" s="2"/>
      <x:c r="I27" s="2"/>
    </x:row>
    <x:row r="28" ht="24" customHeight="1">
      <x:c r="A28" s="2"/>
      <x:c r="B28" s="2"/>
      <x:c r="C28" s="2"/>
      <x:c r="D28" s="2"/>
      <x:c r="E28" s="2"/>
      <x:c r="F28" s="2"/>
      <x:c r="G28" s="2"/>
      <x:c r="H28" s="2"/>
      <x:c r="I28" s="2"/>
    </x:row>
    <x:row r="29" ht="24" customHeight="1">
      <x:c r="A29" s="2"/>
      <x:c r="B29" s="2"/>
      <x:c r="C29" s="2"/>
      <x:c r="D29" s="2"/>
      <x:c r="E29" s="2"/>
      <x:c r="F29" s="2"/>
      <x:c r="G29" s="2"/>
      <x:c r="H29" s="2"/>
      <x:c r="I29" s="2"/>
    </x:row>
    <x:row r="30" ht="24" customHeight="1">
      <x:c r="A30" s="2"/>
      <x:c r="B30" s="2"/>
      <x:c r="C30" s="2"/>
      <x:c r="D30" s="2"/>
      <x:c r="E30" s="2"/>
      <x:c r="F30" s="2"/>
      <x:c r="G30" s="2"/>
      <x:c r="H30" s="2"/>
      <x:c r="I30" s="2"/>
    </x:row>
  </x:sheetData>
  <x:conditionalFormatting sqref="G16:G22">
    <x:cfRule type="expression" dxfId="0" priority="1">
      <x:formula>G16&lt;TODAY()</x:formula>
    </x:cfRule>
  </x:conditionalFormatting>
  <x:conditionalFormatting sqref="B7:B7">
    <x:cfRule type="expression" dxfId="1" priority="2">
      <x:formula>B7&lt;TODAY()</x:formula>
    </x:cfRule>
  </x:conditionalFormatting>
  <x:dataValidations count="1">
    <x:dataValidation type="whole" operator="greaterThanOrEqual" sqref="B2">
      <x:formula1>0</x:formula1>
    </x:dataValidation>
  </x:dataValidations>
  <x:pageMargins left="0.7" right="0.7" top="0.75" bottom="0.75" header="0.3" footer="0.3"/>
</x:worksheet>
</file>
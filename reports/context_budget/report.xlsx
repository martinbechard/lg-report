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<sst xmlns="http://schemas.openxmlformats.org/spreadsheetml/2006/main" count="3317" uniqueCount="509">
  <si>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</si>
  <si>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</si>
  <si>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</si>
  <si>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</si>
  <si>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</si>
  <si>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</si>
  <si>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</si>
  <si>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</si>
  <si>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</si>
  <si>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</si>
  <si>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</si>
  <si>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</si>
  <si>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</si>
  <si>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</si>
  <si>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</si>
  <si>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</si>
  <si>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</si>
  <si>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</si>
  <si>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</si>
  <si>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</si>
  <si>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</si>
  <si>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</si>
  <si>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</si>
  <si>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</si>
  <si>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</si>
  <si>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</si>
  <si>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</si>
  <si>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</si>
  <si>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</si>
  <si>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</si>
  <si>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</si>
  <si>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</si>
  <si>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</si>
  <si>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</si>
  <si>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</si>
  <si>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</si>
  <si>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</si>
  <si>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</si>
  <si>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</si>
  <si>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</si>
  <si>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</si>
  <si>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</si>
  <si>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</si>
  <si>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</si>
  <si>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</si>
  <si>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</si>
  <si>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</si>
  <si>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</si>
  <si>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</si>
  <si>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01a0d1a2-c9bb-7e62-826e-4a6189b2b985</t>
  </si>
  <si>
    <t>Recording</t>
  </si>
  <si>
    <t>Provider trace</t>
  </si>
  <si>
    <t>FX reference date</t>
  </si>
  <si>
    <t>2026-09-23</t>
  </si>
  <si>
    <t>FX fetched at</t>
  </si>
  <si>
    <t>2026-09-24T02:09:35.117183Z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</si>
  <si>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</si>
  <si>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</si>
  <si>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</si>
  <si>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</si>
  <si>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</si>
  <si>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</si>
  <si>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</si>
  <si>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</si>
  <si>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</si>
  <si>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</si>
  <si>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</si>
  <si>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</si>
  <si>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</si>
  <si>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</si>
  <si>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</si>
  <si>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</si>
  <si>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</si>
  <si>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</si>
  <si>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</si>
  <si>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</si>
  <si>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</si>
  <si>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</si>
  <si>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</si>
  <si>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</si>
  <si>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</si>
  <si>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</si>
  <si>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</si>
  <si>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</si>
  <si>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</si>
  <si>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</si>
  <si>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</si>
  <si>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</si>
  <si>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</si>
  <si>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</si>
  <si>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</si>
  <si>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</si>
  <si>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</si>
  <si>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</si>
  <si>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</si>
  <si>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</si>
  <si>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01a0d1a2-c9c4-7b90-86fe-e507b6ac1267</t>
  </si>
  <si>
    <t>Input at standard rate</t>
  </si>
  <si>
    <t xml:space="preserve">    Tool definitions</t>
  </si>
  <si>
    <t xml:space="preserve">    System prompt</t>
  </si>
  <si>
    <t>You are the planner. You own only /plan.md; never implement or repair code or tests. The only implementation paths are /slug.py and /test_slug.py; the public function is slugify imported from slug. File tools cannot execute tests. On the initial planning invocation, read an existing plan if present, then create or extend an ordered plan of concrete implementation steps with stable task IDs, acceptance criteria, and pending status. Review and closeout are part of EVERY implementation step, never separate plan tasks. NEVER assign source review, cross-file review, approval, verification-only work, or closeout to the worker. The independent reviewer node already handles those checks for each implementation step. For the initial slug request, plan two implementation steps: implement the function, then write its tests. For a follow-up request, add only the concrete requested code/test changes. Preserve earlier evidence. Assign exactly ONE pending task to the worker, then stop. On an approved-step invocation, update ONLY the named approved task to complete using the supplied reviewer evidence, reread /plan.md, then assign the next pending task or finish. Do not mark a task complete on worker claims, your own inspection, or a summary. Only the workflow-supplied approval authorizes that update. Never repair a rejected task yourself. Your final response must be a JSON object with action (work or finish), task_id (the next task ID, or empty when finishing), files (an array of writable paths for this task chosen from /slug.py and /test_slug.py, empty when finishing), and message (a self-contained assignment including acceptance criteria, or final report). No Markdown fences. A work response must name exactly one task. Tests are written but not run.
Sample practices:
# Coding practices for a small Python change
This guidance is part of the context-budget sample. It is deliberately self-contained: no external skill, service, repository-specific command, or server is required. Apply it to the local exercise described in the plan. The plan is the durable coordination record; conversation text is transient.
## Establish the task
Read the current plan before choosing work. Identify the requested behavior, the intended user, inputs and outputs, file ownership, and acceptance criteria. Separate requirements from implementation guesses. If a task cannot be completed because information is missing, record the exact gap in the plan rather than silently inventing a contract. Prefer a small explicit contract over speculative flexibility. Make names describe responsibilities and avoid adding an abstraction that has only one use. If prior tasks changed the plan, use its latest on-disk version, not an older summary of it.
## Design before editing
For each task, describe the observable before and after behavior. List one or two representative examples and the most important edge cases. Decide where input validation belongs and what should happen for invalid values. Choose deterministic behavior that can be checked without external services. Keep the public function small and place supporting logic near it. Avoid hidden state and avoid catching errors so broadly that a failed edit looks successful. Do not make a safety claim that the code cannot enforce.
## Implement in small verified steps
Read the existing file before editing it. Change only the files named by the plan. Preserve content outside the task. When creating code, include a plain-language file header stating purpose, responsibilities, assumptions, AI assistance, and copyright. Explain non-obvious control flow and why a particular branch exists. Comments should clarify intent, not repeat syntax. After each tool result, check whether the operation succeeded before recording progress. If an edit fails or replaces the wrong string, stop and repair that step. Never record a task as complete simply because a tool was called.
## Tests and evidence
Write tests for external behavior, important boundaries, and regressions the task is meant to prevent. Do not write a test that only copies the implementation's branching. A test should distinguish a plausible bug from correct behavior. Keep test data readable. If this workflow cannot execute tests, say that they were written but not run; never substitute a code review for execution evidence. A reviewer may inspect coverage and syntax, but a review report is not a passing test result.
## Plan maintenance
The planner marks a task complete only after the independent reviewer approves that task's current files. An existing artifact alone is not approval. The worker reports concrete tool outcomes but does not edit the plan. The planner uses a narrow replacement that preserves other tasks, with concise evidence such as the created file, test name, or reviewer finding. Read the plan again after every status edit, even if the edit succeeded, so the next decision uses the current document. Keep a pending, complete, or blocked status for every task. Record uncertainty under the relevant task instead of hiding it in a final answer. If the reviewer requests changes, the same task stays incomplete. The worker repairs it and the reviewer checks the new version before the planner records completion.
## Handoff and review
The planner supplies a self-contained task assignment: the plan path, code paths, intended behavior, and acceptance criteria. The workflow forwards that assignment to the reviewer after the worker returns. The reviewer starts with an isolated context and has no access to this conversation. Ask for source-backed findings with severity and uncertainty. The workflow delivers the independent verdict. A rejection returns the same task to the worker. Approval lets the planner record completion and reread the plan before assigning another task. Report only what the visible evidence supports.
## Context limits
Large instructions, file reads, tool schemas, and tool results consume context. Use compaction to preserve durable decisions and current task state when earlier conversation is summarized. The on-disk plan remains authoritative; after compaction, reread it before the next task. Do not infer that a summary retains every line of a file. When a read is truncated, request the missing section. Keep final messages concise enough to show the task status, verification level, and next action without duplicating the entire plan.
Role ownership survives compaction: only the worker edits source/tests, only the reviewer issues approval, and only the planner updates plan status. The current workflow assignment and verdict override incomplete history summaries.
Authoritative current workflow operation; do ONLY this operation, even if a history summary suggests later work:
{"operation": "plan", "instruction": "Prepare pending steps for the latest user request; assign one. Do not record completion."}</t>
  </si>
  <si>
    <t xml:space="preserve">    User prompt</t>
  </si>
  <si>
    <t>{"operation": "plan", "instruction": "Prepare pending steps for the latest user request; assign one. Do not record completion."}</t>
  </si>
  <si>
    <t>Cache write</t>
  </si>
  <si>
    <t>Context · added / total</t>
  </si>
  <si>
    <t>LLM response</t>
  </si>
  <si>
    <t>Reasoning</t>
  </si>
  <si>
    <t>Output</t>
  </si>
  <si>
    <t xml:space="preserve">    Output content</t>
  </si>
  <si>
    <t>[{"id": "rs_0e862a088c1d9a83006ab4a48eb7dc87d285a0f36fa223dcde", "summary": [], "type": "reasoning", "content": [], "index": 0, "encrypted_content": "gAAAAABqtKSO2Zu-1YiJKch0orF2j370k3z4VBgwGrf3XLocK43i4hNb9tSLbsCxrDtvTRDhBA6MmeNXIrgYfqOMKSLwaTp4uYGVZkHYrzzBEa8M-GRKzjFoWsaZxM7Z5BS4R8-2y0YMuaNrVm3uvyHuq7lFAOdfMl9srbPhHRKBbSY9DWCqpuHZSFg1tqKTUImzs3lKryOXF4Dkukj_1SqpJhdkRGOD1P387Ttnys5neB6Al52vPVvoCQ0g5UVxtGxajU7YAKxUzJf4OJX0oX51BOa3TsBR930FIxDc2SsxdBOQTKwqtoIVSfbSQ2OVO5sfjvQ0XKlWDLOayuUhWUyP4wkkvxjNyIPSRYSyZKetCboYR9FIighoeHENoRuztUj1cJY5SdT-JcEH9FD-SY4zM5nbBQrriFyKIDCCSPy_YhGvfvhL7qC-iKOUPPD9uJYIHrblLZ0yG7FvB-GmofAPa8RRMB1HJP4D57Uv0xlY8LxsXYYYZef_mkPxajo8BLm-w_8WfSlUZyFqTiU84tOeEJVaGlYRwVdyr2_N6226NPHV5DynmLK2H1vhdbZiRiHHnPL_BjKly114hNtgK_pV6xHRfB4ESH_W8qMPyrYjOFcuclhrYKhPxJXKKwIfUAtCpjiCkgCtzniPlPif0jg95734dy4X2BrU8HmpWJ4ruHwMaMB20_hb6qJ4UdtlbalFl2EkRqIIPWoSf6HoS1gnL0daDWacMs4KmWJ_3F5jpFNR5uwFNSxlM5HyCWOcalLXRGZSqN8lV4lDJhQOwnkURlri1as0L4FKbv0pc2XhtOAW9vMBvIm23zFgwDtBURLIgy-GRsDhM0CbfqdY3510GDOyH2iXcYFT1BZ95YcXFe1JsLLcanatVIMt_hStg_SpAPJJtWdCTojA5cGrvbuSsCIlZHZUfcyVVIvaLTeFJ5UUvZZwZkcMerAHgUvWh_sfKL7fX-nGiFoh0JGz1HKLvptuHx9I1jmzRcZq9MXdeUvyvT2Ynfu9Puew_2gfL705AOuuW_oBJU6qQCDpBPgChlj51ItEufDOGQyzaYI1W7-BiIJL3lvYaMJcaXJX0oI0dVLTZhKFBBdyC4GzWTFjYA2pYkWtj5lW6m5rC03Yn2or9jdp-KFhULRvs4nj2DX03cfU9oLWXLVJIq-KPLhV0n4zvhcPXM7gS9Km04_Aq5w9bk0317f7cOyGYjMY_rOL-4OXVxW3rNGK3j2M1s3J-qY-dzWhq0GNPm3sWvyIygvl4dKaHTbFt6IohQ47bpSDSUBHoRkg"}, {"type": "function_call", "name": "read_file", "arguments": "{\"file_path\":\"/plan.md\",\"offset\":0,\"limit\":200}", "call_id": "call_rMpP9ZBH52TWgyk1imeAM35w", "id": "fc_0e862a088c1d9a83006ab4a48ef2f087d293f4f82ff4944eeb", "index": 1}]
{"name": "read_file", "args": {"file_path": "/plan.md", "offset": 0, "limit": 200}, "id": "call_rMpP9ZBH52TWgyk1imeAM35w", "type": "tool_call"}</t>
  </si>
  <si>
    <t>Call total</t>
  </si>
  <si>
    <t>ok</t>
  </si>
  <si>
    <t>Tool · read_file</t>
  </si>
  <si>
    <t>error</t>
  </si>
  <si>
    <t>01a0d1a2-cfe7-75f1-8c9d-31929409c5f9</t>
  </si>
  <si>
    <t xml:space="preserve">    Arguments</t>
  </si>
  <si>
    <t>{'file_path': '/plan.md', 'offset': 0, 'limit': 200}</t>
  </si>
  <si>
    <t xml:space="preserve">    Result</t>
  </si>
  <si>
    <t>Error: File '/plan.md' not found</t>
  </si>
  <si>
    <t>R2</t>
  </si>
  <si>
    <t>01a0d1a2-cfeb-7432-b60d-812e321e82f0</t>
  </si>
  <si>
    <t>Conversation history · cache read</t>
  </si>
  <si>
    <t xml:space="preserve">    Tool result</t>
  </si>
  <si>
    <t>[{"id": "rs_0e862a088c1d9a83006ab4a48fff0887d2922b5f492fe95d6c", "summary": [], "type": "reasoning", "content": [], "index": 0, "encrypted_content": "gAAAAABqtKSR39fPXzNM3SjQM8KcBQOtFXeA6-iXHgH0Xz75se3p85-GwFE2_EaEd6qlG6ud9F_8-GRQny2CiCSjlkhoT_twVDdBAyZb3EPqn8n9uOufki-El4pbHetmJQPBJMsFZnVkOiNJFt4Pnj36HDW8jrEIdL4CzSJO21OaVA5JxM4LkVMGR7SJynF6hq0HEtlvjRc69_Ze8pOTzWuhwTrnL-nZqMhwMYgmn-V77fpo4dx7a9BdBSAA-uc5PkWzuEvb3rlE5a3VMQCAeP0a5TnjstGqLmNiP7ji1dICwglHH8h5RkxFbyoDKcsVvcEYbTW_TYUtrzno6StbfczE6XYdp63eu3gTv7KnrsL-qMhyYLAKI-8Yv5Dzs4ivgvWBoPIsQZeQzsv_KCaKpB85g99-FkfEInv7ATaPaKsAiOCqfH3JNuoVRb4f6mKMtsxC0QfA7U2HNEvQJL4Avqvu8IoWSN4GOyoiQPV9ppqNPFtnhQRv_7fOGjyoSWpv0eEqwVnBIgyN37Nk8NZS8lLoMVVR2sfE0WWVYalqSQHxx3cz918HhgWFbIQcdIZaeE6QOTlIps_nrZotOdvMwNX_IKD8cyN7hnIdyVNQdjbATuMfg-vrkvHPo4nD7cHe0WG2cXrRSK1NS2f7LNeuJ9iLq2UnBM7v6OTWwtKAgMm5YUdcVgoYWhcBaVYkU7XP251a0zHhHnFFOG240yN36JxID8d90tCQSQFL72cQ7Jyxz59qAyfsvuFxldCLaQ5_ueCyEPlxzEHgMl_agNIGvir9bGAZtWEFeKknnzgYkBXRt4hGL8tLvA2ODfkkyummVcaNdJrsz4EYVvLUU9CH1Rr1vtj6YM0t5D2-kovazN0-lZKKmXJGHnhd90chpvskLaZCuLg_mu5m1fIjcaak_Oh4zEngxdPrThOlDPcGeo_772Y180R5OB1Q8bRVyU7pFlNR7a3C6R9USSMeg1r43OD_NWA91yjJhrMZYGX8rudV9xAgoSDIoW3MopZ3dV6iJvJwiWBvW6Gcyp8xVFNk1-WOW7DKe97t8dpo_GpBeytSYbIeg6NCUjZaptErauCGUMHzvLsP3_56GrArs50EAWVkTn1rAkQXb75-egITD1nlM6_tEdDsi_z5ZaGBGAEMUcQeKGe-BIb2jGSCJh02kMWK6ZKNSyiknO0JR4aiesd2tPVUfGH6hXkCNH7omDu71MIU-pL6j2PugPtNhqbC6kwNMBV_DuecrKQpTXVeFTwrH5gE-mYtOphr6lgc4OyeLNye1lnQz96UrM_KTIX5GPPLrz-ARsLS18MV23OXq1EFhdJVUmfAi1WQrHkFxSpa0zJDD3BKaRduJIdBBpYOIB-JkiHFzDnfBsDw9eOAEX2fj8PyoSUlqDX_3Wepz7L1yeQJ8E07lGk_r3zUMf6VN2e_iEvP9DvrYlmyA3TPrU6hICV-MzNmXRFppWc8EPp-mZ4c2IlXSMkfb4c9dlNETZRN50Ag69mulOWqGaE945o17U-NSpGbEHJhAqLMQntIwFHpGtVAgHzgFMHrdK_WioS-1v_Nz2Q2dkg4xNq79bxZC8BKGZpf5eE6ZvIg-L6G5MTCELRaTgUAf-D1_By-QhogUozWbX6qXD5NW3jaZqyr-poCYKJpc4CQyR26r5pNrcVelf1E2XyXr4d1cSm4rZE1SQ5sQaGXgq_dpzCzMSvpplrLYg7Bo50_g4lvAYNYnlmKlDPMcxiwNPxzw_Telcprg8PkufpsJ-FdjuXW1XWZqwe0fspPZjn_Hq98ed5aunEaRp_WCxNboYaAGDLfrX5piPiTWJ03SXSxC9lhUpHzJcbnzPyHYcBoXiAhTRb4wuE1lvz2iGe4wFBd8MwB5jYkEvKOK3LQKg=="}, {"type": "function_call", "name": "write_file", "arguments": "{\"file_path\":\"/plan.md\",\"content\":\"# Implementation Plan\\n\\nScope: build a small, deterministic, service-independent Python slug function. The public API is `slugify`, imported from `slug`. Only `/slug.py` and `/test_slug.py` may be changed for implementation work; this plan is the coordination record.\\n\\nContract decisions:\\n- `slugify(value)` accepts a string and returns a lowercase URL/path-safe slug.\\n- Unicode text is normalized to ASCII where possible, then lowercased.\\n- Runs of whitespace and punctuation become one hyphen; leading/trailing hyphens are removed.\\n- Empty or punctuation-only input returns `\\\"\\\"`.\\n- Non-string input raises `TypeError` rather than being silently coerced.\\n- The implementation uses only the Python standard library and no external services or hidden state.\\n- Tests will be written but not run by this workflow.\\n\\n## SLUG-001 \u2014 Implement `slugify` in `/slug.py`\\nStatus: pending\\nAssigned: worker\\n\\nImplementation steps:\\n1. Read any existing `/slug.py` before editing and preserve unrelated content.\\n2. Implement the documented public function with a small, inspectable standard-library-only design.\\n3. Include a plain-language module header covering purpose, responsibilities, assumptions, AI assistance, and copyright; explain any non-obvious normalization or filtering branch with focused comments.\\n4. Cover representative behavior such as `\\\"Hello, World!\\\" -&gt; \\\"hello-world\\\"`, repeated separators, accented text, and empty/punctuation-only input.\\n5. Handle the specified type error deterministically and avoid broad exception swallowing.\\n\\nAcceptance criteria:\\n- `/slug.py` exports callable `slugify`.\\n- Outputs satisfy the contract above, including deterministic Unicode transliteration/normalization, separator collapsing, trimming, and empty results.\\n- Non-string values raise `TypeError`.\\n- No network, filesystem, service, or third-party dependency is required.\\n- The independent reviewer inspects the changed source and either approves it or returns this task for repair; reviewer approval is required before this task is closed. Tests are written but not run.\\n\\n## SLUG-002 \u2014 Write behavioral tests in `/test_slug.py`\\nStatus: pending\\nAssigned: unassigned until SLUG-001 is approved\\n\\nImplementation steps:\\n1. Read the current `/slug.py` and existing `/test_slug.py` before editing.\\n2. Add focused tests for normal words, whitespace and punctuation collapsing, Unicode accents, repeated/trimmed separators, empty and punctuation-only strings, and the non-string `TypeError` contract.\\n3. Use readable external-behavior assertions that would catch plausible regressions without merely copying implementation branches.\\n4. Keep tests independent of services and compatible with the chosen test framework already present, or use the standard library if no framework exists.\\n\\nAcceptance criteria:\\n- `/test_slug.py` exercises every documented contract boundary and at least one representative ordinary slug.\\n- Tests import the public function from `slug`.\\n- Tests are deterministic, service-independent, and do not require network access.\\n- The independent reviewer inspects the test changes and either approves them or returns this task for repair; reviewer approval is required before this task is closed. Tests are written but not run.\\n\"}", "call_id": "call_NBaUyaqaUTQ6S0WI7PWcGz1a", "id": "fc_0e862a088c1d9a83006ab4a4915b8c87d28ee33327c0939867", "index": 1}]
{"name": "write_file", "args": {"file_path": "/plan.md", "content": "# Implementation Plan\n\nScope: build a small, deterministic, service-independent Python slug function. The public API is `slugify`, imported from `slug`. Only `/slug.py` and `/test_slug.py` may be changed for implementation work; this plan is the coordination record.\n\nContract decisions:\n- `slugify(value)` accepts a string and returns a lowercase URL/path-safe slug.\n- Unicode text is normalized to ASCII where possible, then lowercased.\n- Runs of whitespace and punctuation become one hyphen; leading/trailing hyphens are removed.\n- Empty or punctuation-only input returns `\"\"`.\n- Non-string input raises `TypeError` rather than being silently coerced.\n- The implementation uses only the Python standard library and no external services or hidden state.\n- Tests will be written but not run by this workflow.\n\n## SLUG-001 \u2014 Implement `slugify` in `/slug.py`\nStatus: pending\nAssigned: worker\n\nImplementation steps:\n1. Read any existing `/slug.py` before editing and preserve unrelated content.\n2. Implement the documented public function with a small, inspectable standard-library-only design.\n3. Include a plain-language module header covering purpose, responsibilities, assumptions, AI assistance, and copyright; explain any non-obvious normalization or filtering branch with focused comments.\n4. Cover representative behavior such as `\"Hello, World!\" -&gt; \"hello-world\"`, repeated separators, accented text, and empty/punctuation-only input.\n5. Handle the specified type error deterministically and avoid broad exception swallowing.\n\nAcceptance criteria:\n- `/slug.py` exports callable `slugify`.\n- Outputs satisfy the contract above, including deterministic Unicode transliteration/normalization, separator collapsing, trimming, and empty results.\n- Non-string values raise `TypeError`.\n- No network, filesystem, service, or third-party dependency is required.\n- The independent reviewer inspects the changed source and either approves it or returns this task for repair; reviewer approval is required before this task is closed. Tests are written but not run.\n\n## SLUG-002 \u2014 Write behavioral tests in `/test_slug.py`\nStatus: pending\nAssigned: unassigned until SLUG-001 is approved\n\nImplementation steps:\n1. Read the current `/slug.py` and existing `/test_slug.py` before editing.\n2. Add focused tests for normal words, whitespace and punctuation collapsing, Unicode accents, repeated/trimmed separators, empty and punctuation-only strings, and the non-string `TypeError` contract.\n3. Use readable external-behavior assertions that would catch plausible regressions without merely copying implementation branches.\n4. Keep tests independent of services and compatible with the chosen test framework already present, or use the standard library if no framework exists.\n\nAcceptance criteria:\n- `/test_slug.py` exercises every documented contract boundary and at least one representative ordinary slug.\n- Tests import the public function from `slug`.\n- Tests are deterministic, service-independent, and do not require network access.\n- The independent reviewer inspects the test changes and either approves them or returns this task for repair; reviewer approval is required before this task is closed. Tests are written but not run.\n"}, "id": "call_NBaUyaqaUTQ6S0WI7PWcGz1a", "type": "tool_call"}</t>
  </si>
  <si>
    <t>Tool · write_file</t>
  </si>
  <si>
    <t>01a0d1a2-eeb2-7571-bc4e-8f6a962953b7</t>
  </si>
  <si>
    <t>{'file_path': '/plan.md', 'content': '# Implementation Plan\n\nScope: build a small, deterministic, service-independent Python slug function. The public API is `slugify`, imported from `slug`. Only `/slug.py` and `/test_slug.py` may be changed for implementation work; this plan is the coordination record.\n\nContract decisions:\n- `slugify(value)` accepts a string and returns a lowercase URL/path-safe slug.\n- Unicode text is normalized to ASCII where possible, then lowercased.\n- Runs of whitespace and punctuation become one hyphen; leading/trailing hyphens are removed.\n- Empty or punctuation-only input returns `""`.\n- Non-string input raises `TypeError` rather than being silently coerced.\n- The implementation uses only the Python standard library and no external services or hidden state.\n- Tests will be written but not run by this workflow.\n\n## SLUG-001 — Implement `slugify` in `/slug.py`\nStatus: pending\nAssigned: worker\n\nImplementation steps:\n1. Read any existing `/slug.py` before editing and preserve unrelated content.\n2. Implement the documented public function with a small, inspectable standard-library-only design.\n3. Include a plain-language module header covering purpose, responsibilities, assumptions, AI assistance, and copyright; explain any non-obvious normalization or filtering branch with focused comments.\n4. Cover representative behavior such as `"Hello, World!" -&gt; "hello-world"`, repeated separators, accented text, and empty/punctuation-only input.\n5. Handle the specified type error deterministically and avoid broad exception swallowing.\n\nAcceptance criteria:\n- `/slug.py` exports callable `slugify`.\n- Outputs satisfy the contract above, including deterministic Unicode transliteration/normalization, separator collapsing, trimming, and empty results.\n- Non-string values raise `TypeError`.\n- No network, filesystem, service, or third-party dependency is required.\n- The independent reviewer inspects the changed source and either approves it or returns this task for repair; reviewer approval is required before this task is closed. Tests are written but not run.\n\n## SLUG-002 — Write behavioral tests in `/test_slug.py`\nStatus: pending\nAssigned: unassigned until SLUG-001 is approved\n\nImplementation steps:\n1. Read the current `/slug.py` and existing `/test_slug.py` before editing.\n2. Add focused tests for normal words, whitespace and punctuation collapsing, Unicode accents, repeated/trimmed separators, empty and punctuation-only strings, and the non-string `TypeError` contract.\n3. Use readable external-behavior assertions that would catch plausible regressions without merely copying implementation branches.\n4. Keep tests independent of services and compatible with the chosen test framework already present, or use the standard library if no framework exists.\n\nAcceptance criteria:\n- `/test_slug.py` exercises every documented contract boundary and at least one representative ordinary slug.\n- Tests import the public function from `slug`.\n- Tests are deterministic, service-independent, and do not require network access.\n- The independent reviewer inspects the test changes and either approves them or returns this task for repair; reviewer approval is required before this task is closed. Tests are written but not run.\n'}</t>
  </si>
  <si>
    <t>Updated file /plan.md</t>
  </si>
  <si>
    <t>R3</t>
  </si>
  <si>
    <t>01a0d1a2-eeba-7683-995c-04a660ac7995</t>
  </si>
  <si>
    <t>[{"id": "rs_0e862a088c1d9a83006ab4a497e8a887d2a28a723a5912aa5f", "summary": [], "type": "reasoning", "content": [], "index": 0, "encrypted_content": "gAAAAABqtKSYYbPid5RfA4xevoZZRX0JL_6p2S1LvoIjDnJZe-lQ7XpxeKc15tKC4CsmiV4ZOTU-iFICECf06TwLBofH4kVQxLvzIHtmVrI0qpfm5NZrYFtlXlzy_ZEtAlY4hHM8xBIbvNLXyT7JSFXmFBczqFOgotbnNkzsONM2kgBR4XkMt9M0gY2_wZEkq0GbiklYjGfI3d1DMSpKv_g806wqc2pjxZpFD9thXkIA-uEa_SCKEpM9kKLQK7GD9CXuIJSsn0lWM7S76nvpNZMkooqwuCyh7V6qI3Ni6AdEqBjI7RxveHPAsQmNBoKQUFXA4OqDAGWtsFzamOIEHPtKNbfVTKFOx-R_voHXjBRtHll4XigJIMGNYqIKeY0DI40aNy3cQZMCqCbSoGlbQylbGmV45HmwVRwapb-EZ6sTsp9T2APnecNpA5o6ILWHXXwOdLiweszkrYyiOjIRa8LNgHTesGg027OKScNJo1a21wjDebpdimvo4cqvqMRVpa5TJOPN9zMZh38ZSUBRUIzPemlr-JxO7BkEdrdqTfUKFeltK7uVCtedHAJ-Bc1VrmzwERvoPOjGL8doOFLKUJTueH7QW_U2agbNkrugbjL-WnscjBx7e_QAzsJxt9gsCGyAn5QBjPs77FeWg8NHLevWrYCaAyIc8JDy3wLNZbhJwgBLaXH68FotnUaz7kxvxQDSIJppkmDK6PoOdBvkOj_ATzupKKdQxsQsVZh0GVlhsQxZ9BdvBy3DHxbxBZvlsvR4Rkqq_WXWfprzm321SjfIT85MEQSyb0tRRDQv50mfNbtYLBMf8ZpvnTvBzV7NCUECWIh7jDvnqxxF7Qzt9-YdzxCb1dFi-kWNWX-SVl-6jbzhF-iJlRRbKIJp6JQB144LUA0yU_OCEWMO_XY5tHyeUp0QGahhvJMMrYBJ41ZVvGVZGH94mnmNM_SXoQfqC9DWbaadbKTV6zvczq4CLM82tkrYdX0aLefgnPyJS0Mv7b3r4CBg6qxxm3wrEd8Au2TJJ6FjhXOVVgtn5ZTTw0lOTdv5Bu7sAf6HFf89raqjx8bVZR6SMQ4vbicdW0A1wTgE5nXI0CLaAH3vXbwY0S_uqiu91np_vdWMFP3RITN-D_nHC7YdSqX3nVB4TRiPjb0qGt1jGJpKCYG6ua93vehKLDtYv7rDodrOLhwo6s-XHEF9CV5lH9gVKnv5WG7I3ObPupKzPAByld9pZtdXOEeoixXSZSZ0zfFAdONL-fYq02PV42qjfgNL8iaoAYrwSX2b_s-fCGOTKiDWJ9ecWsEu8sAlq946EwFGZLXZDC7jBqByyYkx_1gqvZM58NUJhfNWVJgtNVFzjEEmXfKoLtYaraULT6pD1zO2ZtZYAE5UYTqzeXpiMF8vyGjn9UQ4jofLX-8pe_s6"}, {"type": "text", "text": "{\"action\":\"work\",\"task_id\":\"SLUG-001\",\"files\":[\"/slug.py\"],\"message\":\"Implement `slugify` in `/slug.py` according to `/plan.md`. Export a deterministic, standard-library-only `slugify(value)` that accepts strings, normalizes Unicode to ASCII where possible, lowercases text, converts runs of whitespace or punctuation to single hyphens, trims leading/trailing hyphens, returns an empty string for empty or punctuation-only input, and raises `TypeError` for non-strings. Include the required plain-language module header and focused comments for non-obvious logic. Preserve unrelated content. The implementation must be inspectable and independent of services. Reviewer approval is required before this task can be closed; tests will be written but not run.\"}", "phase": "final_answer", "index": 1, "id": "msg_0e862a088c1d9a83006ab4a498464487d2b26b6e84b9eb52f4"}]</t>
  </si>
  <si>
    <t>R4</t>
  </si>
  <si>
    <t>01a0d1a2-f85f-7d43-8c4d-2b49c772ce7b</t>
  </si>
  <si>
    <t>You are the worker. Implement or repair ONLY the current task supplied by the workflow. Read /plan.md and relevant existing files first. You may write only /slug.py and /test_slug.py, never /plan.md. The function is slugify and tests import from slug. If review feedback is supplied, fix those findings for this same task; do not advance to another task. Check tool outcomes and return concrete evidence of your changes. Do not claim approval or task completion, and do not perform your own independent review. Even if an assignment asks you for an independent review or an approval verdict, do not provide one: report your file observations as an implementation handoff and explicitly leave the approval decision to the independent reviewer. Never label your response approve, approved, or independent review. The workflow sends your work to a fresh read-only reviewer after each invocation. Tests cannot be executed by these file tools; report that limitation. Stop after this task's changes and handoff.
Sample practices:
# Coding practices for a small Python change
This guidance is part of the context-budget sample. It is deliberately self-contained: no external skill, service, repository-specific command, or server is required. Apply it to the local exercise described in the plan. The plan is the durable coordination record; conversation text is transient.
## Establish the task
Read the current plan before choosing work. Identify the requested behavior, the intended user, inputs and outputs, file ownership, and acceptance criteria. Separate requirements from implementation guesses. If a task cannot be completed because information is missing, record the exact gap in the plan rather than silently inventing a contract. Prefer a small explicit contract over speculative flexibility. Make names describe responsibilities and avoid adding an abstraction that has only one use. If prior tasks changed the plan, use its latest on-disk version, not an older summary of it.
## Design before editing
For each task, describe the observable before and after behavior. List one or two representative examples and the most important edge cases. Decide where input validation belongs and what should happen for invalid values. Choose deterministic behavior that can be checked without external services. Keep the public function small and place supporting logic near it. Avoid hidden state and avoid catching errors so broadly that a failed edit looks successful. Do not make a safety claim that the code cannot enforce.
## Implement in small verified steps
Read the existing file before editing it. Change only the files named by the plan. Preserve content outside the task. When creating code, include a plain-language file header stating purpose, responsibilities, assumptions, AI assistance, and copyright. Explain non-obvious control flow and why a particular branch exists. Comments should clarify intent, not repeat syntax. After each tool result, check whether the operation succeeded before recording progress. If an edit fails or replaces the wrong string, stop and repair that step. Never record a task as complete simply because a tool was called.
## Tests and evidence
Write tests for external behavior, important boundaries, and regressions the task is meant to prevent. Do not write a test that only copies the implementation's branching. A test should distinguish a plausible bug from correct behavior. Keep test data readable. If this workflow cannot execute tests, say that they were written but not run; never substitute a code review for execution evidence. A reviewer may inspect coverage and syntax, but a review report is not a passing test result.
## Plan maintenance
The planner marks a task complete only after the independent reviewer approves that task's current files. An existing artifact alone is not approval. The worker reports concrete tool outcomes but does not edit the plan. The planner uses a narrow replacement that preserves other tasks, with concise evidence such as the created file, test name, or reviewer finding. Read the plan again after every status edit, even if the edit succeeded, so the next decision uses the current document. Keep a pending, complete, or blocked status for every task. Record uncertainty under the relevant task instead of hiding it in a final answer. If the reviewer requests changes, the same task stays incomplete. The worker repairs it and the reviewer checks the new version before the planner records completion.
## Handoff and review
The planner supplies a self-contained task assignment: the plan path, code paths, intended behavior, and acceptance criteria. The workflow forwards that assignment to the reviewer after the worker returns. The reviewer starts with an isolated context and has no access to this conversation. Ask for source-backed findings with severity and uncertainty. The workflow delivers the independent verdict. A rejection returns the same task to the worker. Approval lets the planner record completion and reread the plan before assigning another task. Report only what the visible evidence supports.
## Context limits
Large instructions, file reads, tool schemas, and tool results consume context. Use compaction to preserve durable decisions and current task state when earlier conversation is summarized. The on-disk plan remains authoritative; after compaction, reread it before the next task. Do not infer that a summary retains every line of a file. When a read is truncated, request the missing section. Keep final messages concise enough to show the task status, verification level, and next action without duplicating the entire plan.
Role ownership survives compaction: only the worker edits source/tests, only the reviewer issues approval, and only the planner updates plan status. The current workflow assignment and verdict override incomplete history summaries.
Authoritative current workflow operation; do ONLY this operation, even if a history summary suggests later work:
{"operation": "work", "assignment": {"action": "work", "task_id": "SLUG-001", "files": ["/slug.py"], "message": "Implement `slugify` in `/slug.py` according to `/plan.md`. Export a deterministic, standard-library-only `slugify(value)` that accepts strings, normalizes Unicode to ASCII where possible, lowercases text, converts runs of whitespace or punctuation to single hyphens, trims leading/trailing hyphens, returns an empty string for empty or punctuation-only input, and raises `TypeError` for non-strings. Include the required plain-language module header and focused comments for non-obvious logic. Preserve unrelated content. The implementation must be inspectable and independent of services. Reviewer approval is required before this task can be closed; tests will be written but not run."}, "review": {}}</t>
  </si>
  <si>
    <t>Error: File '/plan.md' not found
Updated file /plan.md</t>
  </si>
  <si>
    <t>[{"id": "rs_0e862a088c1d9a83006ab4a49a731487d29c12e18adcc788f2", "summary": [], "type": "reasoning", "content": [], "index": 0, "encrypted_content": "gAAAAABqtKSbZP9C8aAQkNjjYrkeKOD__D1Hjxol8UPxQbt0AdaivM1F6_DTKyBlsqpaM931nlNR57XDi6Au31UJrSW-uyNxBlscM1jbwmAuzI-ip36mA8i6kuAvEN_VJlrP7CghjabyS_xaxh_Oh2LkKBEOYijjMJd9p4XY2EE4nIAzPVTCpzGxY0pVUUYN7dkHaZhTWk7oMieo11PCZ3CSWch3HEPh2uOwSYd4CiouGI8TQAYAxXnheqgkkC1GEFM8rNHJajbM7qbssPVOE25H00-h5I8BwzytRZuWDZHT5jAkZ1rPt4OWOe0-v-2aWjvX34TZJtNHT88K4nvBD7gd0SrGVPMago5f1g3pCt-AE7Z8fSHo9VsSLbKPGMtlwvNSnqnVy7QAAqp2A1gSCgnzBGUdfmahAmVm4Bn8_I2B6tKCT3rOjMvY1TS31v7iyiTCDEcVRzxFF29xSG1sKMXBp0eQn-aWqCqAaz-sHssLE1dFKUdeZ6Y4rBeKIqFL7JNtNcqCrixKW9Te6RfPs6r-EIXSeMlSru2x1U88ua0-nl_e8p4qfyCdN4cO_DWxRh1gRYVq7sZeYgCRCnagKDpdCfrc_9FWLtZSHFL-YS5xzhqs8aVeQHK-xgz2H9Uw3w-9DFlwTfEfjBYqAkakP6NwPHdTBmRU6ao2vXVVW7Kh1Y8Gc0YRHoJ--8WS0rDMvLdy5vhHAy0S6kgKEG1pWsd16hZGTTRdT5S2ig2IiiXastijAVWQ21LULh8xq6-h8MzNf2JuAFCTZDb3IJhwqOlDrW9YXub7gS6wwLb-tns9Io0Yi8hBkoa6YZPVrkVLtHN5ruXKagGT7jzHvGCAM5Ft0GzDD4CejcZz4zNPMmlvMZytTOwlxJk3mbWVOoOd1IBZB3Us86XBfZBOi-4q0W0GiBa_AHiE_PAJXl68g6WoX8IFd2jZeMuAVbzYM23F1LRrN2beX38SW1sSrgPhVNdIUF85CDj7c-PCMKLV3iTepb6bjML3TF0ZoNIJRkvo2-ZGB0GcSCo1_6hEWKJTZobjZpQ-9pZwkpQ0_AMn6Hc0iKvRiVQhWYQFQGN0KwRXf9ZPbMM1nF3FBPI8wuaHQVLoYVZzEv15aB68nrwe5fpEA2eaj5dxAmBT5Tf7U1IiUsmAgMyp-vOfg4SUHAha_viMlHrPvbE9xqEyiiqg_FpgIO_PiWoBPJVoe_2wf_coNJXkr_LEX7ugkKKj5KyBAO7FhBojckjJjhqQ8ajpRI8qs-OvEFjVyQU="}, {"type": "function_call", "name": "read_file", "arguments": "{\"file_path\":\"/plan.md\",\"offset\":0,\"limit\":200}", "call_id": "call_kgdLBeAXojR7nX2EL4jowu38", "id": "fc_0e862a088c1d9a83006ab4a49b449487d2bf941e412efcf541", "index": 1}, {"type": "function_call", "name": "read_file", "arguments": "{\"file_path\":\"/slug.py\",\"offset\":0,\"limit\":200}", "call_id": "call_egkOELts2ZE2pVRnVIvDG281", "id": "fc_0e862a088c1d9a83006ab4a49b44a487d299b06b9947788c1a", "index": 2}]
{"name": "read_file", "args": {"file_path": "/plan.md", "offset": 0, "limit": 200}, "id": "call_kgdLBeAXojR7nX2EL4jowu38", "type": "tool_call"}
{"name": "read_file", "args": {"file_path": "/slug.py", "offset": 0, "limit": 200}, "id": "call_egkOELts2ZE2pVRnVIvDG281", "type": "tool_call"}</t>
  </si>
  <si>
    <t>01a0d1a2-ff79-7de0-abc8-f9b97773e6de</t>
  </si>
  <si>
    <t>@@ lines 1-46 of 46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pending
Assigned: worker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pending
Assigned: unassigned until SLUG-001 is approved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t>
  </si>
  <si>
    <t>01a0d1a2-ff79-7de0-abc8-f9cc2650401c</t>
  </si>
  <si>
    <t>{'file_path': '/slug.py', 'offset': 0, 'limit': 200}</t>
  </si>
  <si>
    <t>Error: File '/slug.py' not found</t>
  </si>
  <si>
    <t>R5</t>
  </si>
  <si>
    <t>01a0d1a2-ff84-7702-ba74-e3fb84becba5</t>
  </si>
  <si>
    <t>@@ lines 1-46 of 46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pending
Assigned: worker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pending
Assigned: unassigned until SLUG-001 is approved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Error: File '/slug.py' not found</t>
  </si>
  <si>
    <t>[{"id": "rs_0e862a088c1d9a83006ab4a49c7af087d2a835ccecab64deaf", "summary": [], "type": "reasoning", "content": [], "index": 0, "encrypted_content": "gAAAAABqtKShGdhlbyaGEqtjSXb3iWZsEHz9NLZBEsFDDkGTBTIwpcyHDiraTiqnEoM0eCg8uk1RvOt_7Y_b1ek3Ta4k-iTDsphF47opJ6EHo3Rj-tIXlRF5vEkMzwggZTMuCjX3RyXFG__xqHQDpIs_dLQfuSbdaxHYVD_4Z07YK1EoyQc8D4bh7ZgTFWCDfidBppB3rgH3P-EMfT2-tVjR_eJTA1KY-jxx2WspqolCv8NTCmX53SCwO0yrbWy4TQAnFkR-5qLNmC22WIeSH_kTMAW1wNXwkokqOVknPWZP1jeDevQg7nCsuFGjgWiuHa-XpprGezcR_1RuUDhXc14RDMXM2x-wzWzIaLFc-duWlpIK_xs3Fy9yRrX7Ew-6zhiG3GtDEDzkvfn40RNP2Fp-qsSIl7BRJVfz3sDwrdJEXWCYCRoe7Q9QTgbZsJLv90PlSF4oFFuCR628l5H2GilXT82KJNdbUywtWCJFsORqGboXc_S03pau9XXfhImiifI1PeWLrVoKgI9Z9DdQm7_tddpl_AoK1jIBE9Ndu-gmrBfipvwdANldJldnI8S0pd--VDDjEkE_YgdGnMv6VmRxuDKkJMaNiV2bDJ2Ya2YL7T-i1BefEWQ1Gb93G5JWFf6WNG8mn_gktxtqA50P5MSrNSMEzzC3UhvLyVgp9tEWgSc5x_l_sxIy3wxeNZ7Oz7TAwLCNDyg0H-LqKpVDis4jUSnwuTnqA_5rFvmJGLO68IXEd3WI4Y0WU0Dg99x6V_E4MfyOin6JytGeEHmoKzGLzxgb2GcnmSNxmvX5zf3FgQXnv3R5Y4obM0oGwAYANitL_NaUTAuGnkHvSltcaQ-R2fadWghvhGstTCTor2KY6UbRJQrSaz6UvIFOLuZxg3TF9WZa28nXAH5AqVDiprhPY5rQXwTqikH_Fu-P9DkAkv-AmPUL-FcC6_Qjreg4pqvyft4v5VtQqv16Vj1_zcENKqAOWK8IQHbydPrr4ypi06liXvn_eHpz57PGCdNIHulEz0Po0BbvocIDTZfAgyrwaiW29tesn9_mEV0GZoDUL_hrAs5UU2qeVY5gRgXLXgp7iwpEeUvIjykbAvXsuPyATrKc3Jq1cpP153WeV88LsAcOR1W9Fb88eR8F51vwRETv2AVvf2IGtKnAbVROr0sT_g7yDHA0YGpMaKIFcqyOe-GRHDjSANGUkojaPb0Fuw69y-pe_w2RunV6eBG3AYuMqhXuymd_oGjN_ggEhrmypt12g9pzbxIpUJbzo56VzuZxiaSpI-As170gfKbv6K1yX9Pbt5kiOpBWOYUtYtMa4u2AqsBYnlHJ7Cffc9O6keYUfw3zrvfBTc6ObxofmtG2GrNvVMKDm99QLxPf_sH3ygcUu9N5LqznH-Ms_1PaEHIZtu9r9QFO702oMaj4KQa2n-1t98AMm1rCKXA-AQxNAgGwArhmvn-yM-0QCTtZOyaD7fLxaRcwILF-vc-OCgtKXU7LGxgC9wslebCBUR7HfODXnuk8vyRUc1DDT4SIyD09v1nsEDeaH4bVMRgBStwJzeb0435ojpWP8UYbiV-oMcRGOV22RnUmYbbcUXS-EPGvY4eqnX3DapbPzMZMMyaO2b0A7J1fMHXxVhvrTR8Udb8q1N8HhQBPwpllkYmnrFvgqG_jg8TvuIYF_p8sn9ryoYXhaY7W8fKkdygQQt3AXEo5Z2EXmNGYyenixSEzc7_mR2fJiUzx0E_MqMW-L_fHaWEnycBKSCUneO3Em0_Ru90QtmQScMslMh84vp8DuAJo1Jx8WOsmxMRF9N8bSB0oOKrEOPW-nrLNhPBOMLWsbU_R75yYxVPYuOfG4C9tUoCoygiH8E8MEiJc4xeHtTJf_h52oXdgg9v8l_Hkcvj1P5Eom9rA2BIdGS1e4YQbfAgohpADyf8CMwYSf1qkmhuzTD_lDFTpw-liGxEdmhnAyohgR8-M7lKE0LxKtLoAOoL524EYelmrMsmywQW30XLokOFnS-yCvo3yJtaTjv4FMI1PdohfoA-kxYv6IsmbxZprtk4EhqeEz19OmJZyN661MOhn-4bIppItmsf0UL-NrPuctcEmU3Ps0t70UEXUzDLlxwO_OxfEeaJ4i-eR4R6at48amtRb6gBsNkHk-1cD7yPkGo5YMNvmVhdCCbGna8era3hRP8B_NEnTyjcN1bjIqlrUnBvqypX5wlOFiv-wabTEySFE6K3YKM48AsFYTuc_I2ELR5lDOLg59GlUb_kZneQVXwie81cUeJvM2EVLoqeI0p5LXfU9O0sDx5lC3iecwMztRUK-6_AI7NClNUWlGoQVJW1buMWuD5FifTXxBk_1wEc6fxcXZU3XSM5-vS8Qrydh6lGQOje_TqJGICQB2s90ynFSPrY72gjdbSODIq_tovdSZRpNHgLHOXOp-RhU4anL5gGr5Xw7RaWinUkkHompL9JFHxY_QuRArWiACSXoluuJnGDfB-f7nMg4ztuwBc5wzEb-x2SV2G4hmpXkxLx6_aR_Pb-_oc223CYj6IkdZgkp62vItQa1c-WgMNMK_fvi3SfU3HXVTc-APwu1g5wUdlqhHoPC9I87rFmfZ7PPeY_BBb6fTxzxv8l-wp-r-RvrpX0pinqlyLn_P4m6QaxTOOPHJfBgrUasGQtumMHWiY92rGRvCo7YsbMj_2O7tvLrBRzasCbgj-iftiyKTasXUepBY3vOC57ICONiamnhgpkNbLW5f6T3UIon2dbPM3t3ah_VktwvlRIfXb1xMES5f5ecaAIznIMtfCX5vEksOPSodFBO_Tv_icSZuCsty33B7huixqrdjbSlZk9xQxjw-GOGP_rWAbdgY205C6ebqLBIdmAgpYUhsx3Lj06OZKzgBHWdST1__8K5MuW6_OwCEBDKP46rkZpkwy9re6P0Hv092QAbDDRvb7uoN9iJWP3lNuOVmJvKgri--NdHleekGkZf_gI8G3KB5b1UbQnz6rH3wxtyMrFwjnRzptCDld52llZnUl5Aw08j6XwvL5b5y7G0t4fIZXfh68pYXd2ot6mA7geeRZsp9dDzPduM-OabD_n7WkC1ltqtuy08lC6_3jQJS6JUJP_aPfMSPbjlHHB5u0QJX-_nW-zxnU-JjPydmrhYOWoCcmASQNkSYXdw2F1UrL8Fn4JdEoxe0F-ZzYS98zfduKWBMWpu9gH4w0jDWV4QtZbHvNR-Vk1i6aSgnblKALyU470Aqu1cA83xnF9SuR1F_ZKy_tjtlzRyqvwcpsVKzJFykG-1tIDPk5SJF028mWeW-9TLFtuVskB3u9GWgFYPkIDQecTpmqKj4-ykMG8KU0gM9aJIpTD4pEJUMoKunNqRi4zTomk1IdDxCxLO4seO5g3lS-P5EIJJTXf5zTXzK5-0mUIGp5M6_U7_z5VvEa49HbAQd24R9VvlUNyYslrRKOADMEw3EQCADcuYSVRPtxI_eD2bDQyWDSau1Zbyh20dkKS9CXMxIOnHaJh4WRJLFMKxXYabcrn9r5j9kPTaKWyNVB4mgayR1rQJzJUfHwi6igqGadLgocrZujEb73rrXaDaLAgCzke5JIs5LKjUIvmGOl57SpbyGJnJn8Rdej9-TnQPiWjEe0Y0foDlji8bwib7-ZphcS5B67luA9AJeU6iIP3oWY-WphZWDi2d1kvpuoIw7rL0tzgRg5enB3EdlRb2IxxiHm15hmPGKrZaYpyrnBOA9T61rJbtKpaYVs0dY-LpIf6chwy6TNssOz34sRhE0qIgoiwyaDLwscbzXx_HoEpjR2l9L6B_GzNUN_hojZ1omKiIB1nKV0zT4c7a29uNDHUmFkbUMkWLyYKyALhlkiZUl0PsqZ4KynOdEg=="}, {"type": "function_call", "name": "write_file", "arguments": "{\"file_path\":\"/slug.py\",\"content\":\"\\\"\\\"\\\"Create deterministic, ASCII-friendly slugs from text.\\n\\nThis module's responsibility is the small public ``slugify`` function; it has\\nno service, filesystem, or third-party dependencies. The function assumes its\\ninput is a Python string and deliberately raises ``TypeError`` otherwise.\\nAI assistance: implementation drafted with AI assistance for this exercise.\\nCopyright: generated for this exercise; no separate copyright holder claimed.\\n\\\"\\\"\\\"\\n\\nimport unicodedata\\n\\n\\ndef slugify(value: str) -&gt; str:\\n    \\\"\\\"\\\"Return a lowercase, hyphen-separated slug for *value*.\\n\\n    Accented Latin characters are decomposed and reduced to their ASCII base\\n    characters. Characters that cannot contribute to an ASCII slug act as\\n    separators when they are punctuation or whitespace and are otherwise\\n    ignored.\\n    \\\"\\\"\\\"\\n    if not isinstance(value, str):\\n        raise TypeError(\\\"slugify() argument must be a string\\\")\\n\\n    normalized = unicodedata.normalize(\\\"NFKD\\\", value)\\n    parts = []\\n    separator_pending = False\\n\\n    for character in normalized:\\n        # Combining marks carry accents already represented by the preceding\\n        # base character; discarding them preserves the ASCII base character.\\n        if unicodedata.combining(character):\\n            continue\\n\\n        if character.isascii() and character.isalnum():\\n            if separator_pending and parts:\\n                parts.append(\\\"-\\\")\\n            parts.append(character.lower())\\n            separator_pending = False\\n        elif character.isspace() or unicodedata.category(character).startswith(\\n            (\\\"P\\\", \\\"S\\\")\\n        ):\\n            # Delay adding the hyphen so leading, repeated, and trailing\\n            # separators cannot appear in the returned slug.\\n            if parts:\\n                separator_pending = True\\n\\n    return \\\"\\\".join(parts)\\n\"}", "call_id": "call_i5uyV1VAzApY0IptP5p0eyAL", "id": "fc_0e862a088c1d9a83006ab4a4a10df487d2a69995e56e3bc958", "index": 1}]
{"name": "write_file", "args": {"file_path": "/slug.py", "content": "\"\"\"Create deterministic, ASCII-friendly slugs from text.\n\nThis module's responsibility is the small public ``slugify`` function; it has\nno service, filesystem, or third-party dependencies. The function assumes its\ninput is a Python string and deliberately raises ``TypeError`` otherwise.\nAI assistance: implementation drafted with AI assistance for this exercise.\nCopyright: generated for this exercise; no separate copyright holder claimed.\n\"\"\"\n\nimport unicodedata\n\n\ndef slugify(value: str) -&gt; str:\n    \"\"\"Return a lowercase, hyphen-separated slug for *value*.\n\n    Accented Latin characters are decomposed and reduced to their ASCII base\n    characters. Characters that cannot contribute to an ASCII slug act as\n    separators when they are punctuation or whitespace and are otherwise\n    ignored.\n    \"\"\"\n    if not isinstance(value, str):\n        raise TypeError(\"slugify() argument must be a string\")\n\n    normalized = unicodedata.normalize(\"NFKD\", value)\n    parts = []\n    separator_pending = False\n\n    for character in normalized:\n        # Combining marks carry accents already represented by the preceding\n        # base character; discarding them preserves the ASCII base character.\n        if unicodedata.combining(character):\n            continue\n\n        if character.isascii() and character.isalnum():\n            if separator_pending and parts:\n                parts.append(\"-\")\n            parts.append(character.lower())\n            separator_pending = False\n        elif character.isspace() or unicodedata.category(character).startswith(\n            (\"P\", \"S\")\n        ):\n            # Delay adding the hyphen so leading, repeated, and trailing\n            # separators cannot appear in the returned slug.\n            if parts:\n                separator_pending = True\n\n    return \"\".join(parts)\n"}, "id": "call_i5uyV1VAzApY0IptP5p0eyAL", "type": "tool_call"}</t>
  </si>
  <si>
    <t>01a0d1a3-23f1-7cb2-8858-c00a4875ca8f</t>
  </si>
  <si>
    <t>{'file_path': '/slug.py', 'content': '"""Create deterministic, ASCII-friendly slugs from text.\n\nThis module\'s responsibility is the small public ``slugify`` function; it has\nno service, filesystem, or third-party dependencies. The function assumes its\ninput is a Python string and deliberately raises ``TypeError`` otherwise.\nAI assistance: implementation drafted with AI assistance for this exercise.\nCopyright: generated for this exercise; no separate copyright holder claimed.\n"""\n\nimport unicodedata\n\n\ndef slugify(value: str) -&gt; str:\n    """Return a lowercase, hyphen-separated slug for *value*.\n\n    Accented Latin characters are decomposed and reduced to their ASCII base\n    characters. Characters that cannot contribute to an ASCII slug act as\n    separators when they are punctuation or whitespace and are otherwise\n    ignored.\n    """\n    if not isinstance(value, str):\n        raise TypeError("slugify() argument must be a string")\n\n    normalized = unicodedata.normalize("NFKD", value)\n    parts = []\n    separator_pending = False\n\n    for character in normalized:\n        # Combining marks carry accents already represented by the preceding\n        # base character; discarding them preserves the ASCII base character.\n        if unicodedata.combining(character):\n            continue\n\n        if character.isascii() and character.isalnum():\n            if separator_pending and parts:\n                parts.append("-")\n            parts.append(character.lower())\n            separator_pending = False\n        elif character.isspace() or unicodedata.category(character).startswith(\n            ("P", "S")\n        ):\n            # Delay adding the hyphen so leading, repeated, and trailing\n            # separators cannot appear in the returned slug.\n            if parts:\n                separator_pending = True\n\n    return "".join(parts)\n'}</t>
  </si>
  <si>
    <t>Updated file /slug.py</t>
  </si>
  <si>
    <t>R6</t>
  </si>
  <si>
    <t>01a0d1a3-23fa-7351-bd85-04def588589a</t>
  </si>
  <si>
    <t>[{"id": "rs_0e862a088c1d9a83006ab4a4a5c6d887d28c142b1a71246242", "summary": [], "type": "reasoning", "content": [], "index": 0, "encrypted_content": "gAAAAABqtKSmprmrXRXKYWo-lsvcxuTvwlu48Axkk9jTNBZ72PgfOfhjwRv6GtEaxzptxlnU0VkWbYVnW4SiduLhFmzNE9qzmD8stcakqYir2uR8DtHdvAPlzEQygEO-25wq3gDJruprAMtJYVRPURF-8srp0-3vIe-_WGcE2cBTJK0svGjt8Eoo82jojvEcfr-yGD-qVCXYZjwqvuKxHK3iktgDJvk7QfjlBaKFkYt8HCQAAO4GlLnEwGKioRAh_NTuwv3nuEe0hTWZSAhpN8dntdRzlqYuJObNGDeSEq0Oa481ac5pwmka3M3FUHdQ4A4VO5MBXUK0eUrbfRLI43WOKrxVRQ1eSwJfzYlkoLyJ6b3zeKVt25pqBMlgoVAip1sO0lkUfiXW_gJRvBR8KVXCXxv385XVqsFU-6ynTOCKsZjnnz0tWoMyj-bWlKqhbAYpAafPQv5Bw3kFBdVrpgI-yMLaWk-cULF2ze3U1Q_zQSItZraFSz_2_2wib6RkyIHQ0uaQvP-rvDaqMHYKQOZgwbgo1dPWvQujyyS-_bw8PgUx4-dkfAV3bQn3UM9QkiVg48liV0qXAAbjxhMpVc3TXrbRHtFQft939LHyRryLPqJ3Bmo-u52eoDhEObrQOVw3MvKOAFp-z2sY_1qV35QhU06NOdvELpRG4PniOU6GbRlQPIu2gW1vpqmlNK8vUvZ1FYu2vHiP7r1qMRt99avs9NyhdUNoJIp1HjKSYyrWRGixgXBHtVe23Y70ozUNewBouotgmEfIfNgiKV--g5rJgiBPP-FoiOcLlD20iKvDVKKp_26DjABNTEZFYOa7JSkpFjKoIH7cErZbRUI0MQuFeLiwnqAUYCE-Sd-Q-Oq8c1tQUip5Bq8dwSCfOzUbaBqFx4XaQTRmxqKuWRephvWtkoF5T33J7grSpDPpRAAex4CDxiT5g4lY8kpuWQMq9sDRqjZNO9eZ1Ue5er8RdidFA-NYi3isuPRzG2bWs5kx-7FigWf0yuecZ5db2nxl3CSNbnorqI0VILvta__p3P9tTQzbck9rNQp0UixB6p77d8wuX-IPcXu-sPg-Oov555iDKrhWg0M66UVpD5Lm0ZPpudoEnl6d14vo9Bl1HmsgditAgma9xpe9zCwV_kUWiI61aZ7dormjY7UjKH_R0ogsXB3dRiwi9JM98Hjt1zj7LXL175VRvaJoocYHMvKWwdXkGE5-2k9DH0HQkm-bwp05VVFZS1ys2QaHZn4aB2UC5b73RxTYoEvMyQi069svoi4GURSJkMR00p1KLaDyG_V0J-As3_PlkeooyALQH31Zy5Bir3juOhM="}, {"type": "function_call", "name": "read_file", "arguments": "{\"file_path\":\"/slug.py\",\"offset\":0,\"limit\":200}", "call_id": "call_InVog8dcIt5gYRx4z1yyufK3", "id": "fc_0e862a088c1d9a83006ab4a4a63b7487d2b8b53a0d7843657a", "index": 1}]
{"name": "read_file", "args": {"file_path": "/slug.py", "offset": 0, "limit": 200}, "id": "call_InVog8dcIt5gYRx4z1yyufK3", "type": "tool_call"}</t>
  </si>
  <si>
    <t>01a0d1a3-2ac0-7732-8f02-4de98c1daa67</t>
  </si>
  <si>
    <t>@@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t>
  </si>
  <si>
    <t>R7</t>
  </si>
  <si>
    <t>01a0d1a3-2acc-7e72-ab53-2bff674d28d5</t>
  </si>
  <si>
    <t>[{"id": "rs_0e862a088c1d9a83006ab4a4a7549087d2aaca237b07da6e97", "summary": [], "type": "reasoning", "content": [], "index": 0, "encrypted_content": "gAAAAABqtKSnlq21V3a4XugVTJ9TFvyk6QAUU4ledVxdbq8UQV6nznELkuKEo0QRMx4UWzWBN7hZCPd-KQ6BBrU9NLSsA-lc7nUasYCapw3H--nmM2PFLypy9fAOdJzfiRvGLJUFivploNGKPKgsAraVvKne-zpYh3Tp0D-vqq7S9Zc66Vpjh-PUy98u4uVfsjlPjZo8HPP3hvIT4yIlO6VyYFBIUUNBL_oE-A9SUdgIjQ9ihWeuk4YeWzM_mxDVvJSUj977jrq2UKk-0VjsfANR62FSn8K_ei5i8CNoM3XCGcibZPyxViI3jgnTz7qjk8AKPJRJvpS4HvO6wTo6f-XSjvtGH1FSJe0SaXcYyr3tRrxdm9ne7ORz10r-yeoc-hLM1PEi6zKgX1Dlw0unkbg7NAXvkOtQitU9QBhxJHFS0zcbe68VUkimq4iSolmXwF3dA4J25naFYyY1MF8wB2DA3pnznL_9Ma_Ago4KDr9nj-HxuKXt2WweFBhEJjaaLYknJBNRlhn0fAOPvx89LsvRGpRyFpCMWuekJDIHZKQO10PSquvlyqvbUJKcGrwN02ySsCofNcuFtw-8zUuZ0xDWEGQI0lxYZPplsOBQBd4Q4feIzkAdKH9g635xGDu_KzJhegIXOGvqEpZTYgzthXaL0knZqx3pVrq8dhksjbZsp5qvVlrI1Xx-CrWVN1B3H09Von2ZEnPC_fE02fbK9ntZPwitg8xWeTAfJ3KXMFuzfhHmYFxJjS3DxgBaCUj0JRSo_NEZb4G9NVN_qnpP8tGWEg3ZWRp2QhDbBU1fyw7ZNmArY-qTWtjfr_nN5YlsalqS6aTq3fzN-Y86dQDil-UFvM7TobdIYkmaZgmiyGGUn_ruf-MA2Z5vVpsFXTEOFxvEjrGT6r_Eg-6XVuRo-BwPhjYwrpqiWINpi_XtPxoGAPgl508hjryLsnrWZ-nm0izvZLn0N8UMWd6WMYu0k_sld2c6zu_zmqqb4dxVgqCpI4IzXk0eSr8iIh5wjOXu45pBVMVhsh1J8HD3FHbALvi1cpESEnudSwY8AmkLbkOtqdJuWa-6VhuWClQZ0zSHwsqydINWURYgIcjn06wK9JX-KnqimQT3TCFBLi219xhaQj-6sj8RKClo9xNB-VmUbrfyxDu0FaR5dExnMKI8-bbkpvJfs0_Y628ZHT9jE-h8-hFrumB4pQCfIiQk0hN8yD6MZh4zxQozRi7NQlXcPDtT6feHzCuDAb2UmquJYY2YU9mfAKLNaUaYpZV4MTL29vwPnfoBTd6W1ccpzh3wpRWZX3mCpEq9rU4FbMz-sp6iGF5lC5AzQCiwdVQLcmfu78SRZSO3Ix9WDx3y6UNMYfu_3dex7QvP9egPN_dKDL46hFeC67qCNeu3MyZq5wNNqSjpOu6G4ZixvSkHWD3zNpetH55pvNTY9gSlmllBC9mZ-Olmvd8KDAGY8JvvT1nN3RZulmKyy-Bq"}, {"type": "text", "text": "Implementation handoff for SLUG-001:\n\n- Created `/slug.py`.\n- Added `slugify(value)` with:\n  - `TypeError` for non-string input.\n  - NFKD Unicode normalization and ASCII accent reduction.\n  - Lowercasing.\n  - Collapsing whitespace, punctuation, and symbols into single hyphens.\n  - Removal of leading/trailing separators.\n  - Empty output for empty or punctuation-only input.\n- Added the required module header covering purpose, responsibilities, assumptions, AI assistance, and copyright.\n- Added focused comments for combining-mark handling and delayed separator insertion.\n- The implementation uses only Python\u2019s standard library and has no service dependencies.\n- Re-read `/slug.py` successfully after writing it; the file contains 47 lines and exports `slugify`.\n- Tests were not written or run during this implementation task, as directed.", "phase": "final_answer", "index": 1, "id": "msg_0e862a088c1d9a83006ab4a4a7d9e487d299c0281a140f2be1"}]</t>
  </si>
  <si>
    <t>R8</t>
  </si>
  <si>
    <t>01a0d1a3-36c8-7521-9827-3682d24cb921</t>
  </si>
  <si>
    <t>You are the independent read-only reviewer of ONE current task. You receive a fresh assignment, not the shared conversation. Read /plan.md and the files relevant to this task; later tasks may legitimately have no artifacts yet. Inspect the CURRENT files against the supplied task acceptance criteria. Do not edit, implement, delegate, or claim tests executed. Return only a JSON object with task_id (exact supplied ID), verdict (approve or revise), and evidence (nonempty source-backed explanation including all actionable findings and uncertainty). Approve only when this task's acceptance criteria are met. Otherwise return revise with concrete repair instructions. Approval concerns source inspection, never a passing test run.
Sample practices:
# Independent code review practices
This review guidance ships with the sample and needs no external skill or server. The reviewer receives a separate task context. Only the assigned paths and their read results provide evidence about the work; the parent's unseen conversation does not.
## Review contract
Read the current plan first. Identify the assigned task and its acceptance criteria. Review this step; do not require artifacts belonging to later steps. Read the implementation and tests in full, using additional paginated reads if a result is truncated. Treat plan claims as claims to verify, not proof. The reviewer is read-only: do not edit the plan, code, or tests. Do not claim to have run a command that is unavailable to this reviewer.
## Correctness pass
Trace the public function from input to output. Check ordinary examples, empty values, repeated separators, Unicode or normalization if the plan requires them, invalid input, and whether behavior is deterministic. For each suspected defect, identify a concrete triggering input and the resulting behavior. Compare it with the exact acceptance criterion. Check that failures are visible rather than swallowed. Avoid requesting behavior the plan never specified unless it is a direct correctness or safety consequence of the implementation.
## Test pass
Inspect whether tests cover the promised behavior and at least one meaningful boundary. A test should fail for a plausible broken implementation. Note untested branches only when they carry material risk. Code that looks correct may still be unverified: distinguish reading tests from executing them. If the worker has not supplied test output, mark execution as unverified, not passed. Check that test imports and paths appear consistent with the local file layout.
## Evidence and severity
Report findings in priority order. Use a concise location, the triggering condition, observed or inferred failure, and expected behavior. Label a finding critical only if it blocks the task or risks severe harm; high for a real acceptance failure; medium for a narrower bug or important missing test; low for a minor issue. Avoid style-only findings unless the style directly obscures behavior or conflicts with an explicit requirement. If no issue is found, say that no issue was found in this read-only pass and state the limits of that conclusion.
## Uncertainty and handoff
Separate direct file observations from inferences. Quote or reference the relevant file, function, and task ID. If a file is missing or a read fails, report the gap instead of guessing its contents. Explain whether the review is complete enough for the planner to mark the task reviewed. Only an approve verdict allows the planner to record this step complete; the reviewer does not own that edit. Return a compact report rather than reproducing whole files or the plan.
Authoritative current workflow operation; do ONLY this operation, even if a history summary suggests later work:
{"operation": "review", "assignment": {"action": "work", "task_id": "SLUG-001", "files": ["/slug.py"], "message": "Implement `slugify` in `/slug.py` according to `/plan.md`. Export a deterministic, standard-library-only `slugify(value)` that accepts strings, normalizes Unicode to ASCII where possible, lowercases text, converts runs of whitespace or punctuation to single hyphens, trims leading/trailing hyphens, returns an empty string for empty or punctuation-only input, and raises `TypeError` for non-strings. Include the required plain-language module header and focused comments for non-obvious logic. Preserve unrelated content. The implementation must be inspectable and independent of services. Reviewer approval is required before this task can be closed; tests will be written but not run."}, "review": {}}</t>
  </si>
  <si>
    <t>[{"id": "rs_0694d185a31af2f8006ab4a4aa591487d296000aee9903a807", "summary": [], "type": "reasoning", "content": [], "index": 0, "encrypted_content": "gAAAAABqtKSqx-OqNfus1309OojMfeR6MKGHu3cPhHtlMbzCpfE8ZSQHBY64lNY1Gjr_RZfSAGkjA_Gl4O4x7coxgf7z-3723L8igH75gr8bbppwj9STqGLC2fuNWpI7ICKisvEYOLB3NSII0ZahWnIVTVxgq4GGFxPRG6O-HPU_78VSBcAFNHoGJrEL3qtvgE9aEffXsGnCSZInLCUJ4D9l_baRPW1tgSxw1GUKvBsRwPdEyYmQDF8tSGfcuZkpAwFEqMiCOkAp4EkE5YT7mAq7jHboXl8J75H9xzAFDLWrM61q_r-SADVdN6ejRD4NhhdxU63fcbD9MGBrXCybND2HFsuIzclxHB2eP7PSvnJWEEbOYAZTH_KMn9g20mbJnRNVKNXdRU0xWg_lR7FIxToflHTuWVOf9863ZA3lYbHtN3s5c7kxtayRr9ZgSpXPNhF3YpTltHCeWoEVmm3LgRhMifJsE_jfXgmgT53tF2zOime1eOmqX5hkGfKCXCxYhRqdbb6A8WbIiKv0IiEPQnl6n0HVQ-LOYaJK4PPgAIw2ojVXxOUD9LpasFE5E9eJkxwiKzzr50iCm8--7023xdraH7Jni99sLyQDMpdoru1R_CrH3erjytIltk7TFS_WXwUOsXOmx9_EDxmmobbVPanYLZgKPh-HYuIRZzd5xoiQmvUcfN0yPlbQOIrVdQvSOzy3U12nw8PNY2ID7ZI_K4OAmeo3CDUASp_QamhRXZ8htoJEnlPeJ3KtF1z5S-YWbDcwsuDzNiuWjyjQIHxpP4p5UTdSZnvge7sWpPNF9xqd-FnsXEXQMov9kSCS3-gr4OStcLmtleybHILTxMQRNjm8mZ5OlyPENPthU68QcqwJnthM66Cg1MMVU1kan175leITF3U8-RbHRswCEWcKBH7zXeaFXQ4nYG0KtDr-MziToSdWm2pv-kAdh4ZY36E3iROt2mUVJM_hfGSIweqOFVjEHexRYmv3wAxXO-WwV51CKkI73h8MxN2U57qhvu5QAF4fXxVLRswk4lXCbYhaFjhkeiAhXkl1Xmh2d4gHpktRreTdzZjBBBvyxSZTtzPBEjtgqPmOzqQyb8G6dWnYoAMLOqjCCntTglwAnGIf6JHqeyVNOoKJ0ABHNf6oADGocF2Z5GOORm3GhOTChNa-DtafcQUUfCAapDj8Mq2F8GpTnGLZcmdvJUmTZfEdcNVjtNadBbW--5LoAPAa2spBCcBSJuMo7DiHrtJcMV0VFu5P-dEUUa-z1xnntNRZ8HGJgkcMD90ucH2M"}, {"type": "function_call", "name": "read_file", "arguments": "{\"file_path\":\"/plan.md\",\"offset\":0,\"limit\":200}", "call_id": "call_nmvsl4IqA6Z4PHDwToIy5jUj", "id": "fc_0694d185a31af2f8006ab4a4aafa6087d283af2e70cfeffaa7", "index": 1}, {"type": "function_call", "name": "read_file", "arguments": "{\"file_path\":\"/slug.py\",\"offset\":0,\"limit\":300}", "call_id": "call_wWh6RViDrxq2jWJFvXHGNlZ4", "id": "fc_0694d185a31af2f8006ab4a4aafa7487d2a35d0a893d1c9f3d", "index": 2}]
{"name": "read_file", "args": {"file_path": "/plan.md", "offset": 0, "limit": 200}, "id": "call_nmvsl4IqA6Z4PHDwToIy5jUj", "type": "tool_call"}
{"name": "read_file", "args": {"file_path": "/slug.py", "offset": 0, "limit": 300}, "id": "call_wWh6RViDrxq2jWJFvXHGNlZ4", "type": "tool_call"}</t>
  </si>
  <si>
    <t>01a0d1a3-3c98-7782-bab9-52016ceee6d4</t>
  </si>
  <si>
    <t>01a0d1a3-3c98-7782-bab9-521679768a50</t>
  </si>
  <si>
    <t>{'file_path': '/slug.py', 'offset': 0, 'limit': 300}</t>
  </si>
  <si>
    <t>R9</t>
  </si>
  <si>
    <t>01a0d1a3-3ca0-7b91-9d39-1801b68ad4c3</t>
  </si>
  <si>
    <t>@@ lines 1-46 of 46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pending
Assigned: worker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pending
Assigned: unassigned until SLUG-001 is approved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t>
  </si>
  <si>
    <t>[{"id": "rs_0694d185a31af2f8006ab4a4abf4f887d29ac8b786a13b15fe", "summary": [], "type": "reasoning", "content": [], "index": 0, "encrypted_content": "gAAAAABqtKSyloi0_dgIUgicPvhRuVqCVRWgyuXYORfjpNJT1G-Thq0Hs-nPqFT7EBYJ6kE6VWkDfz57EgqcoqfYDZiwTjQgO_JC5C8ME24-_iVq_7S1u5sVzbyseLWKjHwW0KwqY6QlVtq5wKXLHz_ZaofSXkrDhtt5hh87Tz81xI31YbIW8wO7zQt_fR4gtcNTYIzrc3YhIH9LlR4SFgviy-7u854iZQmlZTf-l1uq2aPHZCsfxzT5U49aa-j-AkI-PcOPDIvUc_uDAuqS7HKY-qns1FPwKZFBqsPZBMqrcDbWrHAIL2BP1FKkUGR0ssXgxbMvpGiH0O6Wk7W3ZZ6Uk-FHGETM37YIDtfayjVPEWlzVboO6qstaH1oBVlT2LlzLH-d0c7Ue3rhyka02j9wsulWYzv4YAv_w7G4WKFymv9KoVOQ7VI_Ut3NbIPy7L04ezUIl1F24GG-K49s5hmrT_FXfb3F7iCNVuu60l1vVowperoSi5Hc8Lz_vPvzsceIjuinXWgrkAvo5P-4U6iIjoBvjkUrnjYxxI1DLstm6Xw5Twa_S2ZiwzA48X3bCkBxmY3gNuT3QD2bcgdi1R8t0fnePRncPqfOkJaofFSsmW7tH3tqjB9I0iWplp-Me_6DcmuzB05caDVcKZ3Xw8tNdjlIibHJoTemlo9kaP7gCIf_AED1uFTBfDO0Ro_-1WiLDQATKewVOZyfhbu_USrfl_B2w44LGMEGVatCPrGfQPVjT1mAGoLGFyCKy9_YnSA-YO5KJo4rgdjswBE4Vgi-uzTVhdTLELwNr5bWB-pVG1qB0sz3cn8yAXI5l9AiXGCwl7dP1JBEFIsP8mCsFNtpOcM9Xr8GKC7G41L82Gya-lHGcfcNHkbizpmoQ1hkMsKHh4z5wQAiEHvdFhvzuIWUh6mfq-E_1ZnawvAp1R2Y3HrT5dsMKJNW0PQjiP_c-B9cGZ9DF8Q3SO5NG438L_3uAO8nKzPj3D4YcHmBQ19hhzX2k2xloYqClLT4NfwC80WSCpUJfxkItjq0QYf6O_kThBG315Vjq42Iu1Q5rGgvk6F4eN0Wj4GGnspm6LEzI85ViaKscmYVjj8QARu7ujEFEsc2O78Ym6FqrCLlbNipQkEgGKDcXC0-XD1JgYQmxQ3_rp-RKrErMgNrdPDAX3XwuNhLt_tgD6NOu585miNGiX6J5h6eFI7o5BwLVhGEVZkyI5wvCdmSrDu5ZvaDQqb9SJXK3y-AAtvGJQt31X223WdWQxZEbgU4MUAJJHRXSed0KdFt2VXv5GT5WguiaH2B5IW4uxSTyMA72llvbNYltkGQ3rsEeP-51OrfR_AsGAHPE8qH1GrNkWDZMdmEhkJoE7ST5cFX_jJBN6QbRfwny4hW15DsuVtZ0d6GBMAUlTGtfXe2zd-mfa2L5Dz-w2aj-FtYNad5QI_9gAmK_xo9-OXRmm6CHZTeK2Iyw6VozkqE0fQHjPGhjCsUUfDLvwhiQiQEg7k0aOqqmqByU3oQ1ysNaYJTPxNcpsA2ua2J-_VTUUmIm4Jfm0zYIVyiMr0RdzkmH0SVEniMd164HOqS4e3aLnt32vc5Av5sRrxmr3EQ3x1Og6h_O7wfpi8-CZlJLT41DM0jGtnwx4cDygtiWpCTdNexsp2WrtYde1YUf93UJMKFhq7Pk9cdCeI80CAhSHxtN4Y-1VXsxdBZitnFCSwFAquZwSweorZIoURIlHHhHMMox5SKC-PXh5-dRNf7JufC_tUpp3LnWGF8HgJL4X_7__7a1JvtK78t3cbd7MtNifVrcPrJyR5RkKMNFDhZ17Gxh6swgNAAjTDUfRyMf4ZV-5tIsWvqLBIPbLfbLzpZlIj2VHR5BeFaJXKfPiCuKTG0L3SWdKBYJQkbavSxtaYfAar3Fah6APD3_SeVOTvCPK1ZzdOjHtw4Qee8tC0eG8zQQy67QBD-lZZEWv30H_U1cNNoR8V6pWzl8eYbcH2cJRNAgTdJzXsnyiBSajPlWQgms9uShLUh7ssUUqb5GrU0jlLfaQcERKIGAt26LV0T97x8g5w8CyAAj-IJjSIqXNazPFGP1UIZ_UoYijhtXVqGkVEsSYLldYCY_rCqn4--P318NeaZ3FDpBvQLeNdjpnglFPNIdsh6YNDcwgF5FfcmqPhFDydGfUqmsCeQaAZWOnUU4Wl72skT3ujWB1I76VDnbu_FHQ72nhpRcEAG5Zr0qv9MLiVuwdRPEXktaKEdBVlpUyfcX_ulE31FIu_U_FIghWRGjV1oLsO42XrGBLVDuDmdIfgm1WN3FNPt2Dt68fvP-dL49DgQQRPQwiSzZ1bbppGktk8Ahu70ZOpSD9_YkqXpi1TjAqLZfthlcYhUpoIY7EM1Lx55xcgPCzvEWs3cQMZaeeg6_zCsML4gvvWEy0Hc-9iPzYYBE_qUqxpE5LjbO7Qh2tmRJmofq8lGai4XTNTw_9jaCqKZFEvqyv99LSkgPx1D_dvyLcDxiFJUs5DsqpkkCJX6FeISpLAslizYwpxI96LrGCB2_I2mRgOeNSb2a6sn8Dgj_ndqKbtlOiCBXnvhYvpgndKxPBuRTHXU4ky2kYLezCo1xthNjekOHNX-N69spyyy__CJ-TCKK8lAIAT-JRM8Fw5eN3WMheJthgC0zMc3Kbf2AuTzLY8qbmpEpuReGtqU5v-STmfRVJjxARqU7TsC9JPjElvdeLla3ekAuu1B25b-rVeoduXHM7p5N_fsLhzNhUC3wD8KcBpIo8kT07QIE3fOAmkGUu3gY2z9cFwCIYPa2q2-gwoM7SjNW-TXaP3AG6cDAVS9lWDR-wllUCPMGFlrlu9u5A-gCIdyYBo0Ku1iXrB1cM3b2mfWaoqUJjCWU50i6h4JD3rrIEICRNMdMpXOzvK9dsuVLosmNW01CiGJKj8ZfPGAFb_maTZbz-fPu9FC33HbPi3yQf23c3FIG0jrsjw25SFjYpYX3VS6fku1F9ubHIMgmoPVeNiIiQphdjQlo78sMd6H2fBXp3bzZv9ixwGHIFLxa1taMMoQi-vsQX1mqQdDgJDlecAgHoLxs7K4konNuQq-tmvFref9fq7URPcuC0NQGl6RWO1CebpEUDu5PNoBDK1j6w07XGS41VfDHU684dKlLj8rkOMi1cYcbfZ3iHRV0u3rRigdmqPWlhlbqEe7gQvraYPVhsGR8BJirUt-LEOh976uJdz_BTW70WKKoAkVs3wpUI8FzCfQZ0EgbmMEpMCqh522c_sCFA99uvGf9fB44gtGHnXBRH9HnE973z9GvPzaZUEC6AOxcxgq8KjfcTcVGMF6k0RUE7bXf0zsOccep6xAPneEvNdFz8iJyffH2Y4PATEOfSoLUld351SXQTdydgg7Ro_VVT9wDS57DO7IHy05WNeep44rpfeE6JpXPwd4M1pzOw1G62nUwfxMH_XC7D5rBML7PZClHa0CEjJZd053Dd8TjYQJl21sNGnn9aMqUqt67IMMj2y9A7iGByYPO8AWgu_jGCxqWDBDFOHFOnKNAFFceCzQwmlpKHK7MqfXmGZ2ynRtYWaokDBFesQuO0prCaz5nuSMXKkZH2DQY6MpdcjUACC0OkB_ZlZz8ZP_fVvKHKH49f_0cCqez76hM6xqJcoVjyvFSxSJbwE2LygYIF-CcNeGpbD_rbEPhSkUnl6vW-RvkRRyXE_cK2cbBI-Wz0V14_ZRYQOV9dNqJ6a0WoUcTNQgDMTR_iLD-MYpuP_w-u0L683-luokHjoy6aivF3wCWz72tfFQxErs_pK_CY5tTk9xbyILeOFCRKiX-HM-BzzeuKa-Az53E1ms_boVZafwW68_4DHgGmGcqpstwfGMc2chiskRu8wp3wyztdSqG5t2zUul4c0Anh6iFHeOCFOCvLK6p2UXaI6skGnGaHuzOPw8xT42veLnVjUiMs2uro8u4Sxb7lCf1rK9JnN_3T_Zk7m9MwoVmosoK9Hz5XMhU-IGrmLY_FR7AWb7n0tXrFOqjYAZshVs36EtuvCehKOvkt7v8zIFJN9NsZJLs4Dw1JYyLxqniAAmWfcyev1W89k6T9XlR2caLEAyZY_KjrQcXe0Ka45XsqTHskCKx3mHZkT9cvCz6K6mGdubY4Ro0exLFb7JUk9JZ1ytByTMk9zHr90KcspmbNZFIKktpNVNYPBr_QcJjPARisXj4LA27SUomvwxaDwjgWQKbrqH_7pzqyXtKshqsnhtXv3dfm7ZmKlfjcgWhL3Tn3E7n2qAgxVOlJnn2AAF9xQkMHpWmhw-uQRAUP-VGdBiKNLU88xgmoRW7u1imw0kC4NnryoYEVGjAKQ_uPb17cFPIEJn-32aTBST3vxnpgXUlcqoHLMlzwj3uCSs323aP5nmhQocoLGgZVVO0OFMmUv9vuSNcDta_FtwoMVCtVntuIzSONo6MzTmOW7gc3oNuYk90Ckfi7M6DI3cpFzxguPW1ULajIgihp6pWfx-gUvF6ZgScBhPH_q28rWvH1AaXlv7-75kyxXWgDW5YSnlLMn0OFH-A6izL9nS3hFxUmqreZKDvW-WWQ-xFEyrGugZ5L9vy3rIXw4qSwkoskUgd5bvBPHwKuGQKbSKPCsowpyJPCgy5NcBzjnZ8vjLUHEyPqCi6uNXFwyWGJM0MaaixSn84HCTqnveT6qTSX41ZljMTyrvlEI15VaTXscLlxtsOPTQA99mM1d5-gRFPoazhn-qOcPYH_rVrSwG90l7f45wzb_C6xFcTUpg8ZPtHbA8bjWA7DJGHHwNj2nfWglXxNyuZP3bppLkK9QcsP4i6lhYujeT"}, {"type": "text", "text": "{\"task_id\":\"SLUG-001\",\"verdict\":\"approve\",\"evidence\":\"Reviewed /plan.md and /slug.py. The module exports callable slugify, uses only unicodedata from the standard library, and has no service, filesystem, network, or hidden-state dependency. slugify deterministically raises TypeError for non-strings, applies NFKD normalization, removes combining marks to preserve ASCII bases for accented text, lowercases ASCII alphanumeric characters, collapses runs of whitespace/punctuation/symbols via delayed separator insertion, trims leading/trailing separators, and returns an empty string when no valid characters remain. The module header explicitly states purpose, responsibilities, assumptions, AI assistance, and copyright; focused comments explain the normalization and separator logic. The implementation preserves the existing unrelated content (none is present beyond this module). Tests are specified by the plan as written but not run, and no test file is required for this implementation task.\"}", "phase": "final_answer", "index": 1, "id": "msg_0694d185a31af2f8006ab4a4b2492887d29b9994d3ecd3d4c7"}]</t>
  </si>
  <si>
    <t>R10</t>
  </si>
  <si>
    <t>01a0d1a3-5fdd-76b2-8a1e-fa148161c353</t>
  </si>
  <si>
    <t>You are the planner. You own only /plan.md; never implement or repair code or tests. The only implementation paths are /slug.py and /test_slug.py; the public function is slugify imported from slug. File tools cannot execute tests. On the initial planning invocation, read an existing plan if present, then create or extend an ordered plan of concrete implementation steps with stable task IDs, acceptance criteria, and pending status. Review and closeout are part of EVERY implementation step, never separate plan tasks. NEVER assign source review, cross-file review, approval, verification-only work, or closeout to the worker. The independent reviewer node already handles those checks for each implementation step. For the initial slug request, plan two implementation steps: implement the function, then write its tests. For a follow-up request, add only the concrete requested code/test changes. Preserve earlier evidence. Assign exactly ONE pending task to the worker, then stop. On an approved-step invocation, update ONLY the named approved task to complete using the supplied reviewer evidence, reread /plan.md, then assign the next pending task or finish. Do not mark a task complete on worker claims, your own inspection, or a summary. Only the workflow-supplied approval authorizes that update. Never repair a rejected task yourself. Your final response must be a JSON object with action (work or finish), task_id (the next task ID, or empty when finishing), files (an array of writable paths for this task chosen from /slug.py and /test_slug.py, empty when finishing), and message (a self-contained assignment including acceptance criteria, or final report). No Markdown fences. A work response must name exactly one task. Tests are written but not run.
Sample practices:
# Coding practices for a small Python change
This guidance is part of the context-budget sample. It is deliberately self-contained: no external skill, service, repository-specific command, or server is required. Apply it to the local exercise described in the plan. The plan is the durable coordination record; conversation text is transient.
## Establish the task
Read the current plan before choosing work. Identify the requested behavior, the intended user, inputs and outputs, file ownership, and acceptance criteria. Separate requirements from implementation guesses. If a task cannot be completed because information is missing, record the exact gap in the plan rather than silently inventing a contract. Prefer a small explicit contract over speculative flexibility. Make names describe responsibilities and avoid adding an abstraction that has only one use. If prior tasks changed the plan, use its latest on-disk version, not an older summary of it.
## Design before editing
For each task, describe the observable before and after behavior. List one or two representative examples and the most important edge cases. Decide where input validation belongs and what should happen for invalid values. Choose deterministic behavior that can be checked without external services. Keep the public function small and place supporting logic near it. Avoid hidden state and avoid catching errors so broadly that a failed edit looks successful. Do not make a safety claim that the code cannot enforce.
## Implement in small verified steps
Read the existing file before editing it. Change only the files named by the plan. Preserve content outside the task. When creating code, include a plain-language file header stating purpose, responsibilities, assumptions, AI assistance, and copyright. Explain non-obvious control flow and why a particular branch exists. Comments should clarify intent, not repeat syntax. After each tool result, check whether the operation succeeded before recording progress. If an edit fails or replaces the wrong string, stop and repair that step. Never record a task as complete simply because a tool was called.
## Tests and evidence
Write tests for external behavior, important boundaries, and regressions the task is meant to prevent. Do not write a test that only copies the implementation's branching. A test should distinguish a plausible bug from correct behavior. Keep test data readable. If this workflow cannot execute tests, say that they were written but not run; never substitute a code review for execution evidence. A reviewer may inspect coverage and syntax, but a review report is not a passing test result.
## Plan maintenance
The planner marks a task complete only after the independent reviewer approves that task's current files. An existing artifact alone is not approval. The worker reports concrete tool outcomes but does not edit the plan. The planner uses a narrow replacement that preserves other tasks, with concise evidence such as the created file, test name, or reviewer finding. Read the plan again after every status edit, even if the edit succeeded, so the next decision uses the current document. Keep a pending, complete, or blocked status for every task. Record uncertainty under the relevant task instead of hiding it in a final answer. If the reviewer requests changes, the same task stays incomplete. The worker repairs it and the reviewer checks the new version before the planner records completion.
## Handoff and review
The planner supplies a self-contained task assignment: the plan path, code paths, intended behavior, and acceptance criteria. The workflow forwards that assignment to the reviewer after the worker returns. The reviewer starts with an isolated context and has no access to this conversation. Ask for source-backed findings with severity and uncertainty. The workflow delivers the independent verdict. A rejection returns the same task to the worker. Approval lets the planner record completion and reread the plan before assigning another task. Report only what the visible evidence supports.
## Context limits
Large instructions, file reads, tool schemas, and tool results consume context. Use compaction to preserve durable decisions and current task state when earlier conversation is summarized. The on-disk plan remains authoritative; after compaction, reread it before the next task. Do not infer that a summary retains every line of a file. When a read is truncated, request the missing section. Keep final messages concise enough to show the task status, verification level, and next action without duplicating the entire plan.
Role ownership survives compaction: only the worker edits source/tests, only the reviewer issues approval, and only the planner updates plan status. The current workflow assignment and verdict override incomplete history summaries.
Authoritative current workflow operation; do ONLY this operation, even if a history summary suggests later work:
{"operation": "record_approved_step", "assignment": {"action": "work", "task_id": "SLUG-001", "files": ["/slug.py"], "message": "Implement `slugify` in `/slug.py` according to `/plan.md`. Export a deterministic, standard-library-only `slugify(value)` that accepts strings, normalizes Unicode to ASCII where possible, lowercases text, converts runs of whitespace or punctuation to single hyphens, trims leading/trailing hyphens, returns an empty string for empty or punctuation-only input, and raises `TypeError` for non-strings. Include the required plain-language module header and focused comments for non-obvious logic. Preserve unrelated content. The implementation must be inspectable and independent of services. Reviewer approval is required before this task can be closed; tests will be written but not run."}, "approval": {"task_id": "SLUG-001", "verdict": "approve", "evidence": "Reviewed /plan.md and /slug.py. The module exports callable slugify, uses only unicodedata from the standard library, and has no service, filesystem, network, or hidden-state dependency. slugify deterministically raises TypeError for non-strings, applies NFKD normalization, removes combining marks to preserve ASCII bases for accented text, lowercases ASCII alphanumeric characters, collapses runs of whitespace/punctuation/symbols via delayed separator insertion, trims leading/trailing separators, and returns an empty string when no valid characters remain. The module header explicitly states purpose, responsibilities, assumptions, AI assistance, and copyright; focused comments explain the normalization and separator logic. The implementation preserves the existing unrelated content (none is present beyond this module). Tests are specified by the plan as written but not run, and no test file is required for this implementation task."}}</t>
  </si>
  <si>
    <t>Error: File '/plan.md' not found
Updated file /plan.md
@@ lines 1-46 of 46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pending
Assigned: worker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pending
Assigned: unassigned until SLUG-001 is approved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Error: File '/slug.py' not found
Updated file /slug.py
@@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t>
  </si>
  <si>
    <t>[{"id": "rs_0e862a088c1d9a83006ab4a4b4f22487d29d057d9bb40f7a21", "summary": [], "type": "reasoning", "content": [], "index": 0, "encrypted_content": "gAAAAABqtKS1fW3ZyZBXGwUQbqv4w3zPhBAutYnNexiMg_0yRXi2Bc4OlXiM0phQsSF1vcSGceOA4DCN_pr7fbV0qx9-kwGyTzVj_V47F47F2YgbXGD2L5bj9-cgYm8VyfafUA4gbpmZKl5rneE3Imp9hF7PjCDQTHljflIrTchMjS4o6DALJwPHDnbRNGMqCnnANtXcF-CBpHfCKq7K-ZZBbRE8duitVQyVAfjS01soa5dgJcv2MAwtWPlovfBDVu1LFAhIJD-RttplenRo18XTeM4MvbKUdXXQn0v0wk6JxvcVysYkxGMZdDBzaqN1dGZoiBxEsiM7Of2qf7tzyOPhM2FvL-AjREIeqAvK-CKXB6WRuW9vYEEO8bpCgiGof5WMhJuqZwjOyR4x6o8cUnKyfpsZomCtIy6tKIpeqxvauD67A0qnMZ8pL3EkZa_qqUmjf4ljTqQQsigd04f4lZK2HEMK9AcJt9Rqg8hGoI3P48zuvjV8GIxPINcpDLSX7apZc4DJlrMq3kAHnInmudlGYOQ4lHH2SBzf-6tHErwiQ5UhQnkebSPw_ZH8wZDipGaKeqNBHMz95qDalntz_pbz--P7VVft-0KGrkXeJ3HsVxIWfNX7RZqF2or8W-btXilfU6R9lHTutl9kDzbmvZ-W74tmkms4e20O2MKoPrhRUJ-nl4zfx9zcRLIeVDlJjA-wcgrQx9iTs5ONc7GSMrMFQ4dO9JLI7ApzWLUFt1QMMMHgpY9dutsBgR7QeYLA9qkcAnvZ3kRx-c2inZUC54EyBhEh_JFb0xS_-msdHvrTjE0kjaE6urlICz--yI7wNfMKD2E5q8oFzsUUcWB2fbDJxVJLTlLODQBqGgIwvzejV8QPbEnw-FlkBtkezEDbfE3zmf9WdsV2vJ03MYPKrn5uJDOz-vdBClrblacyyREfGA6Y7uEQzKOVoHIA0AfrV-f59Bhv9Fny-66bAsUy4nv-DbJSYIbMLxfmv_sjwbGoqNe1UOL0OO_QTz5E-WMyMjRloUTR1FZvpFPShJmHHcHz5xc44ODFnaOL6nV7jP2A61s7PZ_nC91OKBdhI5Ye5ByE3FW6ctOHUsHgHOYse0O3BlmN1CNwPZkjzgOhQYoeIRv9aYRiemXodiD5vyTYp3bwbG9Zm1MsZBOyPQ4bBAcy2kNzMF_Qz5GOfYTvVDbOzvyRhAg9O9H7RqKqtxHxCtZdouRiUV0cljhdV3jsdJPEehJg49-az47KOIWcFz292UfsWFnvPP4dF6BqR-rjXnE4fn6QvoROgAMvFb_q_hMTtKyF4j6kx7S4ycfrpISd4Y8aSJG33p6H6ZsVJsHW8Bdyn4pu_b0mmupD7NAz4i7QXZ_nPfkz3Sl0CWXV4crJP1rzfkRS8V2VI6xTVUKa3LqEWreDnFCWWd5fMPiBi5PlaMNLxOEQSVoDXSWELHYxZRtkY7q3X3ooFsf0ngyP2oN1bucinqzrqoouWOer438IDTXeuSi8SuWCo2LDn0njR6E5bPKqJY0="}, {"type": "function_call", "name": "edit_file", "arguments": "{\"file_path\":\"/plan.md\",\"old_string\":\"## SLUG-001 \u2014 Implement `slugify` in `/slug.py`\\nStatus: pending\\nAssigned: worker\",\"new_string\":\"## SLUG-001 \u2014 Implement `slugify` in `/slug.py`\\nStatus: complete\\nAssigned: worker\\nEvidence: Independent reviewer approved the implementation. `/slug.py` exports deterministic standard-library-only `slugify`, handles NFKD normalization, ASCII alphanumeric output, delayed separator collapsing, trimming, empty results, and `TypeError` for non-strings. Tests were not run.\",\"replace_all\":false}", "call_id": "call_8K32YytoT8dIcHfZtoIuhzHo", "id": "fc_0e862a088c1d9a83006ab4a4b570e487d2960813c1bf214994", "index": 1}]
{"name": "edit_file", "args": {"file_path": "/plan.md", "old_string": "## SLUG-001 \u2014 Implement `slugify` in `/slug.py`\nStatus: pending\nAssigned: worker", "new_string": "## SLUG-001 \u2014 Implement `slugify` in `/slug.py`\nStatus: complete\nAssigned: worker\nEvidence: Independent reviewer approved the implementation. `/slug.py` exports deterministic standard-library-only `slugify`, handles NFKD normalization, ASCII alphanumeric output, delayed separator collapsing, trimming, empty results, and `TypeError` for non-strings. Tests were not run.", "replace_all": false}, "id": "call_8K32YytoT8dIcHfZtoIuhzHo", "type": "tool_call"}</t>
  </si>
  <si>
    <t>Tool · edit_file</t>
  </si>
  <si>
    <t>01a0d1a3-6990-7b11-87c8-cead9576d01d</t>
  </si>
  <si>
    <t>{'file_path': '/plan.md', 'old_string': '## SLUG-001 — Implement `slugify` in `/slug.py`\nStatus: pending\nAssigned: worker', 'new_string': '## SLUG-001 — Implement `slugify` in `/slug.py`\nStatus: complete\nAssigned: worker\nEvidence: Independent reviewer approved the implementation. `/slug.py` exports deterministic standard-library-only `slugify`, handles NFKD normalization, ASCII alphanumeric output, delayed separator collapsing, trimming, empty results, and `TypeError` for non-strings. Tests were not run.', 'replace_all': False}</t>
  </si>
  <si>
    <t>Successfully replaced 1 instance(s) of the string in '/plan.md'</t>
  </si>
  <si>
    <t>R11</t>
  </si>
  <si>
    <t>01a0d1a3-699b-7313-954b-9f1e6cc74082</t>
  </si>
  <si>
    <t>[{"id": "rs_0e862a088c1d9a83006ab4a4b768f887d2a6c4e4bf6a3b9ffc", "summary": [], "type": "reasoning", "content": [], "index": 0, "encrypted_content": "gAAAAABqtKS3vs8SuocbZdkzoDGwfOk7wrTiACpSm6AQGDEk7v2HrdjhRkJhQJfNqq40OWFg6uyoaIfBfb191b47gqs_LGf4jowzDMSdiGXgTk4EYyiiHg5DU_WEt1iqvgCUkEr55wXXRdPM5J9C2myMAJoFTSR7BJOJY_icrKPzmWPPsJ20D9SN_Mj-AJzJrUfAw2oEoWrC26llOwzxbGKQhBIQe59LGmHOrhUvHt4r2k0adfvRhXGCBzGYaktcTVfgCZHxDsz3SDZOHlE49_wlPONq_GJXEpVZobRzwBYPtn9mnPVAy74GzBnaeyA4wmrCgX4PfdHeEbyjtA6uruuvyPMa7uiiFaSAkVqGxu3iRvYIkp8S9_cN0SreDjzOvee0F_bdze8DzOm7xIkt0uoYlJQznBOXTDC-Kqg7u8rfSd8SSfQajvy3rDjYQYN4sCtx9I93yvF6ijZUmb20-UqCoTCi_Z4kowB8-6gmLqMWxN4Mkd1jUmogRwjPfu92PKPaBFEEgEgE3avMpQIIP-KjmvL2A-GOR9wswYWo-3FV-mvSjWqJ7kp3usKRwVWuuUVVGSzljBWaIn4Ey_FgJcrZM_Sh5AEBEkfh6qNfgLE_UZ5VLOGBkAzSfhXCnISarfMI-q145Knkhg4hvq4J5ghiOC1nnD_HN4gx6-davX222TGtwbesxcd4bBcYkLrs3XSnSBxfj4ssbS_LzcMThRuV4gFeJxKsRA0GbJgvRG1ffkN3sYIXx-aRWfEanevt00RelCreXtLRwqe3J2F7fgVxJ8rA-ynkkycuFVXTtjxxsN91bn5Csy9FSZZEHbKnLFC8_-IBxnLhCsZKdvygabcD2fvIHpej7ccBljJg_AHBwkeiBQzetEpOUR2DtlSqUZ8Nt71W0udJTL7qWy5cDo8SVf5oPqKVij2okfi3ereFGLwkGnOop9V7L3WpLutAalFSdk1y3CZThU6IOgaZutJiUNPzZ7_7GNdxPq7PbTwCKgXOcwiIoi2V-sFqyxBJqBYVXatAcLmfSYk_KrSM73oQ_uwQ8jqWAWDnmx_QeO_LeXFg-1jj2YVZG5sOpDc5v66cxoh8O_55Syyw7eEkyE3UEraVtGVnzIUHC2AO-wTinU96gv2Z5_wU5p0EP5BFSdF0_7pBsp2pAL0_CMKKPPaTSYMeBYDQwlqFaeG3vGclctE9kNI3J7dw1LYzKi4jRUEUn6d6ep_U"}, {"type": "function_call", "name": "read_file", "arguments": "{\"file_path\":\"/plan.md\",\"offset\":0,\"limit\":200}", "call_id": "call_sd7PWtqxsE0toMBHEIaUFsCO", "id": "fc_0e862a088c1d9a83006ab4a4b7a51087d291d04b5720a00319", "index": 1}]
{"name": "read_file", "args": {"file_path": "/plan.md", "offset": 0, "limit": 200}, "id": "call_sd7PWtqxsE0toMBHEIaUFsCO", "type": "tool_call"}</t>
  </si>
  <si>
    <t>01a0d1a3-6eb4-7e00-8070-b9dd82630fa4</t>
  </si>
  <si>
    <t>@@ lines 1-47 of 47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pending
Assigned: unassigned until SLUG-001 is approved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t>
  </si>
  <si>
    <t>R12</t>
  </si>
  <si>
    <t>01a0d1a3-6ec0-7373-8674-a9073ea658d9</t>
  </si>
  <si>
    <t>Empty system message (framing only).</t>
  </si>
  <si>
    <t>[{"id": "rs_05039d7c4851bcac006ab4a4b8a10487d2bcc5bf4735fdc135", "summary": [], "type": "reasoning", "content": [], "index": 0, "encrypted_content": "gAAAAABqtKS5MGtc-PdQ9LOjApFmrMTVyIvThsgKCWxWboSOcX3kL4-QkTTAnl1M7l6OgmrvJD7o2CZgTPu-Qon9i3ZrBxhWTxS3f7qQOWZX788yd1oOHgvEyDbnfi7ptQv58mfNowwlB3Z72-_dLdslXz1SbUMtMfuJH8Y1prlwu_vD2ZqvRAV8nLgWd2A6mkPvr08QQCuqkU8Wn5HdPqxRdzjpSx0FbXzNoSZJ9y9w3mXclUPfXzYIc9OWY-Txcyo4G8jCEg13dzTdYlvZI40LZ3-cKqumLVj3yFWV5euvrs0rFIFIg8X8EqypIz5k29zYIJNxXWfVEHh7b2EjLDmKJDkvO8CcIt5UWXcz3n-QuA0LuvGaPvd_DRU3XPWLG7NOIzGYWCd1Oxa2EMokVKHcENn-Eic5ur0jIGBSsSgfzF-9ounZisAVrsGGI-tjLdPmFD3sF5ByebJJkqnTHw76GEmAzrZn5JVTlq-UAWRrqA6wkefHRwA8FNciQ6uDPdOZd6FgoPDyzdsRdaNm5YY2TBl1rJ7cu6V4F1eKjDYcTaGWtYD7Xlyc4yw_dcCpVeqfWA3MSguory6OWgZBBi4fdLr9zVVbUN86kxuES21H45GuedQqe9Hokolk0mhi20AcTtKbvwjS3tZ99avUBVjph3hHcDGOw94vvs2y1dsawoe7W5xByYDoeT7t1mkpoS-1wpaDxZsE34WcCySI5GNyeuOll0UT_cNXYN9z5pl9wAvlzlNMRPzTA7SsDiK4Z7lN6UuMSL6yag3ubtSlamnQSWb4_gV5hKzTdYK9kJbBTixSHG3VB2wdrAEv6cILO9QNQ4CGpVMpI7t6mCpbTLPpkJ9mR6wCQbORBqAUEbE_rd8fm0dcNBr5900syhPTFvEjHOBhUossvKSgBM-QrJyhg8xpAUwKkJ0eB7dRmkDClcuPNpbjhOWlXN5ufNBPkijF672L93HZBK1K_aePSL3_cYMaTXZlgX8Xi7VfzrBT1lSe3dG6DuhrmyadRCZ1wWTPvt9ER28wQuBIWDcXlWvW70AEXKbJyiY39vRxKNhuSPMYFSB76QZXnZcrj3FQNvQqdODhuL2sSgrzNUKGQHddjhishxNpmxWekdfib6EHCpCKQQuJhNwEQyEX3a1seCIIhxqjqAb5Jqk9EibNV0-I_bj3Ho2RYl47XyzONbTt9x_i7o6-h0X4aNMFy0L6kuHk6wuZxLo6fKTsBG94tODjXTWkn1CDre8VGhChlJcYJXwXUpNQxadhuK67pD6SimA4_VNOpJ2vtuCJq1UWLcx5jmWQ6-3uozmZUNRD7P5KRNYwTj0eJV--5fzN8XIAI-QlAf7a6_aYy7exyVkc5-8thDGgB9_WM6UfS0Xc2-72iuCE1TIFAEDUXNxhPi1bAODeF4y4kl956JufzZmtADH4zJTT9wfY0toQv0zyjwK-eyoMmXYKp1Gkwm-hmWTkocU3AmXC7NCldqbKHh-zJt9y2DcLd8uXYLo3VTKlLY76r5LGwyXezXFldzIzI8npaSELCDc8VLWGD4kOgLp08_Ugyzh1UP3S9YjUZiyOrBV4D_j728rMvFS3NGWUmyEkBoKZvNll4zTx"}, {"type": "text", "text": "## SESSION INTENT\n\nBuild a small, deterministic, well-tested Python `slugify` function that is inspectable, uses only the standard library, and is independent of services.\n\n## SUMMARY\n\n- A detailed implementation plan was created in `/plan.md`.\n- Contract for `slugify(value)`:\n  - Accept strings and return lowercase, URL/path-safe slugs.\n  - Apply Unicode NFKD normalization and reduce accented characters to ASCII bases where possible.\n  - Convert runs of whitespace, punctuation, and symbols into one hyphen.\n  - Remove leading/trailing hyphens.\n  - Return `\"\"` for empty or punctuation-only input.\n  - Raise `TypeError` for non-string input rather than coercing it.\n  - Use no external dependencies, network, filesystem, services, or hidden state.\n- `/slug.py` was created and independently reviewed.\n- Implementation details:\n  - Uses `unicodedata` only.\n  - Preserves ASCII alphanumeric characters, lowercases them, and discards combining marks.\n  - Delays separator insertion to collapse repeated separators and avoid leading/trailing hyphens.\n  - Includes a module header covering purpose, responsibilities, assumptions, AI assistance, and copyright.\n  - Includes focused comments explaining combining-mark handling and separator logic.\n- SLUG-001 was independently approved and recorded as complete.\n- Tests were explicitly not run, and no tests have yet been written.\n- The remaining planned work is SLUG-002: add behavioral tests in `/test_slug.py`, then obtain independent review approval. The plan states tests should cover ordinary slugs, whitespace/punctuation collapsing, accents, repeated/trimmed separators, empty and punctuation-only input, and non-string `TypeError`.\n\n## ARTIFACTS\n\n- `/plan.md`\n  - Created implementation plan and contract.\n  - SLUG-001 status updated from pending to complete with reviewer evidence.\n  - SLUG-002 remains pending and unassigned until SLUG-001 approval.\n- `/slug.py`\n  - Created deterministic public function `slugify(value)`.\n  - Standard-library-only implementation using `unicodedata`.\n  - No existing unrelated content needed preservation.\n- `/test_slug.py`\n  - Not yet created or modified.\n\n## NEXT STEPS\n\n1. Assign and implement SLUG-002.\n2. Read `/slug.py` and check whether `/test_slug.py` exists before editing.\n3. Create `/test_slug.py` with deterministic behavioral tests importing `slugify` from `slug`.\n4. Cover:\n   - `\"Hello, World!\" -&gt; \"hello-world\"`\n   - whitespace and punctuation collapsing\n   - accented/Unicode text\n   - repeated and boundary separators\n   - empty and punctuation-only input\n   - non-string values raising `TypeError`\n5. Obtain independent review approval for the test file.\n6. Do not run tests, consistent with the established workflow instruction.", "phase": "final_answer", "index": 1, "id": "msg_05039d7c4851bcac006ab4a4b9777c87d282cff8c9aeae168a"}]</t>
  </si>
  <si>
    <t>R13</t>
  </si>
  <si>
    <t>01a0d1a3-8657-7303-bb0d-a184df8c894d</t>
  </si>
  <si>
    <t>[{"id": "rs_0e862a088c1d9a83006ab4a4bea3ec87d2a04eca3beca6afe1", "summary": [], "type": "reasoning", "content": [], "index": 0, "encrypted_content": "gAAAAABqtKS-98IgF1MJMMQquLS9D23yz3_pTvTLGEtbz7Au5VBZsUFuDf5EWTZuUXZIUp_Y5Gpw3RjOku-92GPVc45vGpvriYAUQFjoWLSZ6C6LklfLyOV_fi2O8l2QYBRIPtewi8rzEjNqNWzXw_A69-ienyxSqPblhfTF1j2D3vTiX92hNla9m7i1cEk4kQLhXOec-cOvUN6A5Ouz2rnC8M7AM9z14Pchbu9Wc977HaP2RPmwNJ1i1-VdS9tPRPlI7pV3cTVPsxyrMGTgAfOIrcUKkKTBg1LAxHR4WmpZlI3mmP5FPdPvb-x9SyCgmqrcEFSSd1Hl2MVq8AWxzo_WzgqIYrYSg8z6qW1UBBxIL-I7nJR_mFmvgfhzHWzELQ8h2d_gM0r4AdVpZbNk9el2mXNiLqRGat_UdN79p0NOwWVk0_BFkcxqaJxLWCg2F-iGDVW1NtmgP5w0b3zcuxxuzD7YWEEtg1lDPpBzOXMubE23vAkFnoCZnEaEKt2LawT6mHil5I7o0pFpG4zqBEQgh3Gv-8fdkgq6XiEFcmJxSljtXi8wW0V6IgzIDAl5rx6fSMXZNXSxMWT5rtk3UyrGfbHOkeru3J5qgHqS7rzEOO6mZFc-FNO-7OppI8FsfvDlYaE93DMKiHDtM0gCDgrlxRgdr-Duellt95Yn35f3NcfryQ6ybaP2WkrNNyFhGilyT7mhAAWoxbixoMzzgE_5VyuCbErdOGgC9Iyh_r_Wg-hh7e46LIDY0kDXARfhCKqNwyOygV04WlZxyRIYaebJctK0l5Q06qc9aprmpASKM_wQBp7OlYK1UTRVEwK5pfIy7mGMPM7AYnaWtY3h0qN-i8x7-UjFp23UD4lSiLuUOmwYHjhZQa1yPjSgI3krwK4hTljj-tG8Uc4UC5qdYbv4AaPlVPfcZOWf0qCNV_KaZ1Q1DlRF-vFiVo6edB8ShU6mpfMGtLnZ1ABHwWTsMC5GusLrl8NKLjrm11X3eX5-OYgd255FBHo7I8oz088nhNuS0UoX0qM7hi3yxN0gbSrqdbZ857f7GSfeIM7mTdUcS5zKtHBB_evSdOq8v52O-0nqcF14pGsiAjXbKihnYj1GrvTvQ9Ez75oSke366XbvDkHDBarseAsd0-YLSowSlo61sOrx3YiAb1X_h_PyZhFbORXd7JhI_LxMX_rawHZMbYB_QM5ASNb_7_zpL8MCzcaKxTUSqCwrT3qKShd5TmMZO4Ic72F7GQ=="}, {"type": "text", "text": "{\"action\":\"work\",\"task_id\":\"SLUG-002\",\"files\":[\"/test_slug.py\"],\"message\":\"Implement SLUG-002 in `/test_slug.py` according to `/plan.md`. First read `/slug.py` and any existing `/test_slug.py`. Add deterministic behavioral tests importing `slugify` from `slug`, covering ordinary input (`\\\"Hello, World!\\\" -&gt; \\\"hello-world\\\"`), whitespace and punctuation collapsing, accented/Unicode normalization, repeated and boundary separators, empty and punctuation-only input, and non-string values raising `TypeError`. Use readable assertions that test external behavior rather than copying implementation branches. Keep tests service-independent and compatible with the available test framework; do not run them. Reviewer approval is required before this task can be closed.\"}", "phase": "final_answer", "index": 1, "id": "msg_0e862a088c1d9a83006ab4a4bebd4087d2955a9a821f4bf114"}]</t>
  </si>
  <si>
    <t>R14</t>
  </si>
  <si>
    <t>01a0d1a3-8e96-7150-82fc-b8a5575e0cd9</t>
  </si>
  <si>
    <t>[{"id": "rs_0e862a088c1d9a83006ab4a4c0c85887d29f573397c4fbfa9b", "summary": [], "type": "reasoning", "content": [], "index": 0, "encrypted_content": "gAAAAABqtKTBWLjQZcETbvnYozs4zlKgvoIIHqQ8S_I2dUJ0Tey1k0W62QinJh7s4QEoOr_kWC20MPG14uib07qWgXM9CgtlDndnlDgya7oiqhksvHCs2DTVZz0qP_qD8IeI1y2dqSx0L1KQBfVzL3TwPCcAL9FcOOEOnqFoLTtkg5nyEWfUzRDdMCT14RkrfyAnjTFvhf6pJnv37fiQkYchaZ1tLUyOJNx6zcWCYmwgnblShKGISB5cgvPgivFcRji5s1IoOpGy7DLGTqYPUIeAQgRcN_9yW4OEI9nLLlPsXEFA3Zq2iDYUUlqTPqnNIoXMFbX9z1Thm4Imjzv-aGHaKZBZkpQul8A6GJDlI-o0W5_hvmXgE4juanuWvRpDBeNF7gJrg7uCI1hddo9z3qLGVGvOK486ckT8_vm9DOORbd26KA70gcb6St5qhAX50x2enYAQ4MoWArIIlVmpem1S1DK6BauGnuCYjhIPQ2iSU8Hc541A7xGDBdLgb23orjbpDE93WsuySdx09HI0OC1KYFpOnzmJknvPDYj746B3kZwMpclGVCcQDQdis_AB7L2PxXLt_lPKZhS3u5JyfTalEqZgbps_O-Vi1zfGQVacRb_GgSlBlXrTB7-PD1U6zusHDlXgmffq2zLs1se97JszUKQ28HqXlbncSeUKq-RWh7wtTkGbFLPT_ECyl-Kmaj-BmwQjsjbUW_nHBVDiwHNZ2LCujEKxzCGHkVyWHiZAEO2Ro3ddyXEMzWi-nqvtrINKSiwBRpypgfwObMHLxomQy_MMFaQdrrOigDSec5_kUssbvPizqn9n5itB3Gi2OknvmBI-2hRhh0AWV3dQw1OvPplrcSwBeIrF6ZEmBcqcsam3uj4X_fzYnehsUZUtcsB0X5S2oDCjyJ5peyqc6zFKcPSegZSlKf9lG3mFpAq_su4Ljcw6k7ZHn38uTsQIqfSm6kpcrEEPtwNQPh2Pf1twDG8vPvQ6mLkMBIga_trZV-Mehei55xqlX0la3p87M5tE6AA9kUNsAaysnWv-yOkEGugqKtgws8J6Rz9smQP2IVbiCiUzT07rWQ2FD2ZkKi0QJ5m7SBLSokLPI3zpsSHdvOveMcbvYWRY37nxcDuGKdJBjZ3I6qYyWA-do9N8ZmkgP5MrMsT5KCjVPFnARw8el-fbQFQwlm8MuOluT11HGoXB8JLNn74w5HbIYFQ4NbNtXLaTQQ97L-eB9hc3Nc2pTf8n0qcvSg=="}, {"type": "function_call", "name": "read_file", "arguments": "{\"file_path\":\"/slug.py\",\"offset\":0,\"limit\":200}", "call_id": "call_nUcWaKAHjXHJXSDpaBB63OlW", "id": "fc_0e862a088c1d9a83006ab4a4c187cc87d2862e431f3f1b3b96", "index": 1}, {"type": "function_call", "name": "read_file", "arguments": "{\"file_path\":\"/test_slug.py\",\"offset\":0,\"limit\":200}", "call_id": "call_1eR3yL7NZAvprThjrrmlAXEA", "id": "fc_0e862a088c1d9a83006ab4a4c187ec87d2972a91d2135614bf", "index": 2}]
{"name": "read_file", "args": {"file_path": "/slug.py", "offset": 0, "limit": 200}, "id": "call_nUcWaKAHjXHJXSDpaBB63OlW", "type": "tool_call"}
{"name": "read_file", "args": {"file_path": "/test_slug.py", "offset": 0, "limit": 200}, "id": "call_1eR3yL7NZAvprThjrrmlAXEA", "type": "tool_call"}</t>
  </si>
  <si>
    <t>01a0d1a3-94f5-7a80-8e66-1c7428abde5f</t>
  </si>
  <si>
    <t>01a0d1a3-94f5-7a80-8e66-1c8fc40be952</t>
  </si>
  <si>
    <t>{'file_path': '/test_slug.py', 'offset': 0, 'limit': 200}</t>
  </si>
  <si>
    <t>Error: File '/test_slug.py' not found</t>
  </si>
  <si>
    <t>R15</t>
  </si>
  <si>
    <t>01a0d1a3-9500-7043-8d99-2301b44ff8e7</t>
  </si>
  <si>
    <t>@@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
Error: File '/test_slug.py' not found</t>
  </si>
  <si>
    <t>[{"id": "rs_0e862a088c1d9a83006ab4a4c274b087d287921333a6c77c69", "summary": [], "type": "reasoning", "content": [], "index": 0, "encrypted_content": "gAAAAABqtKTEyIbWAVFTgmNcEGp0UOzFS2OlP8JlmmX93LsdFCZc_OevELhan0GyT7V9jNaKZy_k4jYKrrTPDfdpasZi6Q1JKgnyVsACJsj8qg3DRQLN_bjtZpM59KAyEXE7ihfaZLtaUiD4-YBLu52V1A6BS44pFWLDrnZMh6NqeJfCVmjRmDO7wkGRmIYrt6XVhXDDu5DBBlCL8U_yat16iZp4y1Ig5t8xptN2cFvGbTYgnv2O0jDGxwaovJeTMCNXdsAfpymxcdXiu_FWBFsB_GGncVZVhULWmC34APGt0AK1DYYlHNJZGZFi4lkcVWoNy7Sb2Fjeq8GFy8y0D1PI1AUwvfH8vNvkncpLUXeHzXBQwFuTEitLYTZ1q7npnuV4JrXfqLygJjg_MWyL03FXAzD3q-hbLZ1jtgMwiefPZXpFnZdt3GqLtVzLC2UrfSZX6ksyH_bs_UETPhqJqc3144a5iGmeRCwCWRIpxHQEgPkYdOaNp5AsOLz45Pp3zCe0YfY_HhF23NKxiUkjxUwu3tq8qTc7voTJmHRfoGNJAbfx8b3wGcRrd04mZQDDBwZQK4gi3toZsEiYXhVLF_ckQChTh4LMAfWLy33zZlhbD-952Zxe43dDOVpUTBNGE0ptezrrqsvGKHDfZipKqR7U19M9OArLAeIVELNv0k7iHnsxvqk-2xlCfRC7uLRmAENq2kcNsDJynXAlaRaUg-8GrnMPnkkwFDbaoHLebt4TDOe-drR-asIr-PBka9CvDM7j9k6f2Mt3RLyf4mcIwzhC254KlSevpexWwQT6Xu0s0LgigrXF06ggm-jB-qk-ABKKVtS5hWCXSFfUS1tJDQ7N89OzmMAQJXQbhGOHXcOh0WSX2qReZNAjBi-0LTPPHRN4beWZkLRF8dpm_B74iHo0UM8OZRGM5p6tm4V4OnTE48wUzgpHfYqgh-86tviIeK8qRiHvMjvicbOvORXIUn4v10WZzcZ8NcBa4AKOSsG3RW77U-yzgolcZSt9N4ZxCb3Nqv-BUElqkdf2PxGsB7Ol_AssX_GP3apJ6zkNsCCcU3BrOexjyJZi4JmAhgdId9ThfSxsWqpOevZo731brKHdi5pg-TDgSJ-JMQufGFo7QMpDL8EevcHK8uEz9oRieyBg43y-BbYot9Z3x5SGDZRunggmAE0CHxd_YpXxyBJVjZXTZPcv23g57hRGCsq5H-OY6VO4wcIdU79IDTN2hlDhZKDoe-IIHlF0hMjvW5auwE4fpFdldj7TYTIqw60zjAPsW6mzZQHUTTQl14IPARvO8s65ZkDfpu3wEaxu3P1UBxU8DwtACxW7hKu7QecekGjHSTM9rvKg7-7-Xp8ti675OHsowidPqBnPGUp9ffS0TiIhBkxkaIpowv_iZG1bU-BbhHUABxjo1e4JqZ8ZdOhM8O1-qe2dhdOG4w6RjpQHlTfdITlBU6sKKS09A_WYMjQXMpYZQrvOZuPEB7rEwmthIvDgd_xkOAsoohwk0D5zO57OAmf3rwcCegUNNavicMguUTFFpGglpk-ahIWUD9lHpPrbaNbtMk5VcQZ7ptNsFkNQbv8G_vwELzKhcwffGqASutXBkQMjHgnanfFa_oZMqU6Slo-ousC9aXA2o4dlENb5yx4KJKsU1o4FKy86vY7Z7k3XqAeGj66Z-BoemjMccYRA9JBZjbjdguMydBB_bXgjvbrVVd34VxyrH1egy_iS5KRQpvFVt4sBg1ZEotrb-foQH2o-sYGDKd-qNbyD_Fy6q6EBW1i9pNV0Zqu3HxxepIVRFeNfiMpTkFlJ6YEGVv9oFP-5n90jm7S0AzsTTEODRjzt7GYb0DjID8v1Ta5su03rJoUh"}, {"type": "function_call", "name": "write_file", "arguments": "{\"file_path\":\"/test_slug.py\",\"content\":\"\\\"\\\"\\\"Behavioral tests for the deterministic public ``slugify`` function.\\n\\nThis module's responsibility is to verify the documented input/output\\ncontract without services or third-party dependencies. Tests assume the public\\nfunction is imported from ``slug`` and do not inspect its implementation.\\nAI assistance: tests drafted with AI assistance for this exercise.\\nCopyright: generated for this exercise; no separate copyright holder claimed.\\n\\\"\\\"\\\"\\n\\nimport unittest\\n\\nfrom slug import slugify\\n\\n\\nclass SlugifyTests(unittest.TestCase):\\n    def test_normal_text_becomes_a_lowercase_slug(self):\\n        self.assertEqual(slugify(\\\"Hello, World!\\\"), \\\"hello-world\\\")\\n\\n    def test_whitespace_and_punctuation_runs_collapse(self):\\n        value = \\\"  one\\\\t--\\\\n two...three / four  \\\"\\n        self.assertEqual(slugify(value), \\\"one-two-three-four\\\")\\n\\n    def test_accented_and_unicode_text_is_normalized(self):\\n        self.assertEqual(slugify(\\\"Caf\u00e9 d\u00e9j\u00e0 vu\\\"), \\\"cafe-deja-vu\\\")\\n\\n    def test_repeated_and_boundary_separators_are_removed(self):\\n        self.assertEqual(slugify(\\\"---already--separated---\\\"), \\\"already-separated\\\")\\n\\n    def test_empty_and_punctuation_only_input_returns_empty_string(self):\\n        self.assertEqual(slugify(\\\"\\\"), \\\"\\\")\\n        self.assertEqual(slugify(\\\"!? \u2014 \u2026\\\"), \\\"\\\")\\n\\n    def test_non_string_values_raise_type_error(self):\\n        for value in (None, 42, [\\\"text\\\"], b\\\"text\\\"):\\n            with self.subTest(value=value):\\n                with self.assertRaises(TypeError):\\n                    slugify(value)\\n\\n\\nif __name__ == \\\"__main__\\\":\\n    unittest.main()\\n\"}", "call_id": "call_DvS48dv7sZw559uB9u2Mrv4d", "id": "fc_0e862a088c1d9a83006ab4a4c4310487d2800896e54de02c99", "index": 1}]
{"name": "write_file", "args": {"file_path": "/test_slug.py", "content": "\"\"\"Behavioral tests for the deterministic public ``slugify`` function.\n\nThis module's responsibility is to verify the documented input/output\ncontract without services or third-party dependencies. Tests assume the public\nfunction is imported from ``slug`` and do not inspect its implementation.\nAI assistance: tests drafted with AI assistance for this exercise.\nCopyright: generated for this exercise; no separate copyright holder claimed.\n\"\"\"\n\nimport unittest\n\nfrom slug import slugify\n\n\nclass SlugifyTests(unittest.TestCase):\n    def test_normal_text_becomes_a_lowercase_slug(self):\n        self.assertEqual(slugify(\"Hello, World!\"), \"hello-world\")\n\n    def test_whitespace_and_punctuation_runs_collapse(self):\n        value = \"  one\\t--\\n two...three / four  \"\n        self.assertEqual(slugify(value), \"one-two-three-four\")\n\n    def test_accented_and_unicode_text_is_normalized(self):\n        self.assertEqual(slugify(\"Caf\u00e9 d\u00e9j\u00e0 vu\"), \"cafe-deja-vu\")\n\n    def test_repeated_and_boundary_separators_are_removed(self):\n        self.assertEqual(slugify(\"---already--separated---\"), \"already-separated\")\n\n    def test_empty_and_punctuation_only_input_returns_empty_string(self):\n        self.assertEqual(slugify(\"\"), \"\")\n        self.assertEqual(slugify(\"!? \u2014 \u2026\"), \"\")\n\n    def test_non_string_values_raise_type_error(self):\n        for value in (None, 42, [\"text\"], b\"text\"):\n            with self.subTest(value=value):\n                with self.assertRaises(TypeError):\n                    slugify(value)\n\n\nif __name__ == \"__main__\":\n    unittest.main()\n"}, "id": "call_DvS48dv7sZw559uB9u2Mrv4d", "type": "tool_call"}</t>
  </si>
  <si>
    <t>01a0d1a3-add0-7212-bf65-f703afac76e4</t>
  </si>
  <si>
    <t>{'file_path': '/test_slug.py', 'content': '"""Behavioral tests for the deterministic public ``slugify`` function.\n\nThis module\'s responsibility is to verify the documented input/output\ncontract without services or third-party dependencies. Tests assume the public\nfunction is imported from ``slug`` and do not inspect its implementation.\nAI assistance: tests drafted with AI assistance for this exercise.\nCopyright: generated for this exercise; no separate copyright holder claimed.\n"""\n\nimport unittest\n\nfrom slug import slugify\n\n\nclass SlugifyTests(unittest.TestCase):\n    def test_normal_text_becomes_a_lowercase_slug(self):\n        self.assertEqual(slugify("Hello, World!"), "hello-world")\n\n    def test_whitespace_and_punctuation_runs_collapse(self):\n        value = "  one\\t--\\n two...three / four  "\n        self.assertEqual(slugify(value), "one-two-three-four")\n\n    def test_accented_and_unicode_text_is_normalized(self):\n        self.assertEqual(slugify("Café déjà vu"), "cafe-deja-vu")\n\n    def test_repeated_and_boundary_separators_are_removed(self):\n        self.assertEqual(slugify("---already--separated---"), "already-separated")\n\n    def test_empty_and_punctuation_only_input_returns_empty_string(self):\n        self.assertEqual(slugify(""), "")\n        self.assertEqual(slugify("!? — …"), "")\n\n    def test_non_string_values_raise_type_error(self):\n        for value in (None, 42, ["text"], b"text"):\n            with self.subTest(value=value):\n                with self.assertRaises(TypeError):\n                    slugify(value)\n\n\nif __name__ == "__main__":\n    unittest.main()\n'}</t>
  </si>
  <si>
    <t>Updated file /test_slug.py</t>
  </si>
  <si>
    <t>R16</t>
  </si>
  <si>
    <t>01a0d1a3-add3-7dc1-a474-4666b7f24933</t>
  </si>
  <si>
    <t>[{"id": "rs_0e862a088c1d9a83006ab4a4c8ebc087d2b4f5e0314d828524", "summary": [], "type": "reasoning", "content": [], "index": 0, "encrypted_content": "gAAAAABqtKTJMNRB99zrcf8VPcAt6a0zLGiDXW40fhdmvEBOql854Lml159W2olVfYMIUGzIl-gq4Biu2srglocTManTHI-JgwZDPtfLHmgHXh-5qAM5l6UMPivpUAWqZh0-1NY69vGtVElbVUHvhemd1w57UPUvNpLyIQrzyP06y42DEA006ZSKtLRgb5Cc9_JoXrpb-IfDHSN8fDMtLEgEPeCzLOVIcNdIMVstYWeukmsdZSCLUoVHGoOJQ8r3iYrlX1RC_dArESZEYgIkMhJPAfTtdA4rEsCmvy25LWNRrcVjsV7umi6y6SwRzSktVpDX0vClA7uOgjMmRl-4HzWwR3HlJ7KsGEj7dVV3ArwFq5tYZYmlUN04YXbbsEV62djs0FyhBZxHt0tU-YXSeROaA4EWP_eTqrqWNw8lzI-3kpgUxwgncsT-VKZlF1XQWtpealNFv6Ya9F174JwUwOyDZ1YwbgL9Zc7rjzx_3cBD4rdlH61FXMJ79Nic9QV2eSR2ten2E1veLrvFt7hA585NhyH5yYIm8-ZkdYrLIbdI9x51mYsVmhpcFj81Og25QYkQAvZZ78p1g52H8lusIDA3x_NavPZiWDz6z0BS1QeLcs2moEzgAEdQtkM0M3hZDscR5fgnxhFl6-yTCXhIAvqTtA3HZogotZMt9RXkV872rz85r3y2Joh9okNYekcZC6yxoRmInW3BMrH2Nx2hKf3Kdsns-CtaTUuRyxA1wJDKLxxVm-r-cMI2f3GI1uzaKJLEV8xpVDRDsGb5irptCzrcGkQcGEfjuQssuh33VuVCJUUpta1VQowALVHxyubpnJ9vtqmSDcfJKn9_n-Vqr1M2eVvgUZPw0G3la3lstpYEv0p5SwYxq9HmtUgLSaTx6JRPBXWuFcDNDmQXcALVU5zd8vXC3ZxhoAH6VrxGLPN_K-InqGj0BlhM1HQ2UbBO6wobYnCXoWPM_JOpRAX5k6KgXsaIQZ-Ur7v1tXqXMdaT_n6-7X2XwbnsVegif2xXP7RMal3mWHs1i3rjeH8Fv0yIYULYzRdBNFPryHI7HjBKJtMBwt9FFp7WmI7Rsf2hMMj91x868uP9JJwnFLF3-bWzShNcZ3Pw5VIQPsv_ZzCOm0zipmi7vFN7cFV_BLzXjUyF0sJav6vddHRymb6B7rAt-2ukMGqJb6xhtooaRWr6JC53mxfxcKkNsN5WtzWqxN7LZlkVaF7yUcLvswQkQA2YVgDCFqF7Vhrpm7WEzoZbOWecSG3qrffdI4O7ODN0I_MVFBImztkTN9pDwlKtgNmacppU5Bv11vPy-0EBKsItkYJPV6ImcnZkcHL8D0pjX73FpcSHwEjyWyDZq_cM09sEs_2MXU5feAbH_KuCyyUDSME6gLS2kZ7SZapzcEO7khVQ7VbsdsqYCbNImB4EmXqKgt5J3lq-1MKrgwERn5saO7ogRFwAvykwEUtHzAJ_206TYl0hhdNJv3lE84_tq-Hm-IGNZk-YFg=="}, {"type": "text", "text": "Implemented `/test_slug.py` for SLUG-002.\n\nChanges:\n- Added standard-library `unittest` behavioral tests importing `slugify` from `slug`.\n- Covered:\n  - Ordinary input: `\"Hello, World!\" \u2192 \"hello-world\"`\n  - Whitespace and punctuation collapsing\n  - Accented Unicode normalization\n  - Repeated and boundary separators\n  - Empty and punctuation-only input\n  - Multiple non-string values raising `TypeError`\n- Included the required plain-language module header.\n- No existing `/test_slug.py` was present; `/slug.py` was read before creating the test file.\n\nTests were written but not run, as required by the workflow. The independent reviewer should inspect the changes and determine approval.", "phase": "final_answer", "index": 1, "id": "msg_0e862a088c1d9a83006ab4a4c9a8f087d2894e51be682232fa"}]</t>
  </si>
  <si>
    <t>R17</t>
  </si>
  <si>
    <t>01a0d1a3-ba39-7e01-933a-203a1c1d17ca</t>
  </si>
  <si>
    <t>[{"id": "rs_0540c37c6155b867006ab4a4cc616487d28073ef84f2c39ac7", "summary": [], "type": "reasoning", "content": [], "index": 0, "encrypted_content": "gAAAAABqtKTMi49QYbr_ql8xLjflA6OPLKuVwtIIXPcHTzRawElhSgUK795dSqp8xFhmzrcGQEmk_ffqS29lXqeo8GBaSIFxbp34-javRWyTkzyA1adUwCg6Kjawrn3ozUebzskvzQjBEndsR1lbBFaMZNz1vlNd4LoXZW8NTkRlj3SNdMWk8RS4PW7AkEQOTZuTSYtHNyIftLPh3Ut8C2Xey13XTzPyyifZa1wggbru4oxQ_aJzbjI071VJKM4lp9FDOJabSe--rVmpkcoj2MsnLU5usoM7VZWYqdpsth0UjsqY2MSzoGjJ3Xce3x-SgvxApQGUerk5fSlDcYG97PpoPk_Iisbh9RApQH2tPlnG19gjzukJjza4m0wfROvIgBwhTE1n8kvBJ1zv4RjLtm4vMZ6fuge3_atjyix5esT2a2ME0L6TyxlCO66bprRUmmWdENoyKTdvfaIhXWj91SAulDFssCy5OyajY3OdhfucZqrWUtrc6ecbE1y2kg8kOZPceC_ne-4HOyNj1_s7v3h9IQ40tRzXIEkKrp1HmU1Uc6Vwun-EAJBlD3CFhr0ZupfIb_MpC84GEU7an3_vcL6T9CXyAu9EdhHdlZBJT36I5XIZYCl8ws7-RDhDFj5CRWsaHJCebShG-rf62fvU3t3cVBbQhtZIHUDp8L3TD-80ilWX6e9PQspSd8uMSWuc-a5z7HYZaxpcQCjj0W6sD8gAzWcPixHI7vIeShkeZ-rELU1qATMU4Xr7uGLtcAZx3zrN-3twjAA-qYTQOa99kR6FJDm1o1M7NZb4V4vyykiO2sjzEkrsHMh8KO6BTpTZ1crrgR1n-6c1BC50stLHKgBtfgtta3ZHXfjq12SmY-QSDhRSEQKbAFxGF-QINIOIbRZqdDtrcUHvJz3FqHAXui2RMc4Y8zhIaSnS22Fe9E7GClgXpiZ6EIi17mmbehYTfm1RBmk8H5qNefYR-ygRR1X4tgSb_9KXpToxnzTtgx96H0H2y_oYLkIu0oJWWQcD4vis6dQ2fnMPnIiggrqkP84mBb2O4XE5V0PY5ztwEOgtzPOj8poGtLCpwPnlVpgTNvbBoVOOSOwwGq--NW09pKl8u1fppfWfYMnbgG-nRbbJo8yAtdJJW-R6GJfBrPVazmt03t-H_Ir2hXBMVFhl2Mpjl2cDqJoa8RYq0TXtiQQmWzpQ1sJDAirBfQim6-J0m9vv96_oH9RZIzPnF6PR66mrifcNkG72vlahB8oXxHzDvsE0NLs7Cp-938nmmdbvswNp0G7XAQwQFpTwz2eYaeVXads4HkdL8OFwBNAy-L0D8B9xQdApJPlnqhdvrn35iLBbSn-rn7e-"}, {"type": "function_call", "name": "read_file", "arguments": "{\"file_path\":\"/plan.md\",\"offset\":0,\"limit\":200}", "call_id": "call_ECPgR4K4DtwaaDDPeZtAkunz", "id": "fc_0540c37c6155b867006ab4a4ccc75887d2a4c1ba2aeaa96bb7", "index": 1}]
{"name": "read_file", "args": {"file_path": "/plan.md", "offset": 0, "limit": 200}, "id": "call_ECPgR4K4DtwaaDDPeZtAkunz", "type": "tool_call"}</t>
  </si>
  <si>
    <t>01a0d1a3-c14d-7470-a542-613f0467245c</t>
  </si>
  <si>
    <t>R18</t>
  </si>
  <si>
    <t>01a0d1a3-c154-74a3-8a80-3944f4255cdf</t>
  </si>
  <si>
    <t>[{"type": "function_call", "name": "read_file", "arguments": "{\"file_path\":\"/slug.py\",\"offset\":0,\"limit\":300}", "call_id": "call_uwgcVACQhy6mbyPQv7dRrBk7", "id": "fc_0540c37c6155b867006ab4a4ceec8887d2878b3beb87677e60", "index": 0}, {"type": "function_call", "name": "read_file", "arguments": "{\"file_path\":\"/test_slug.py\",\"offset\":0,\"limit\":300}", "call_id": "call_M7bXZvSxwriG7NJnTC4pHcfc", "id": "fc_0540c37c6155b867006ab4a4ceec9887d29d6b50b089727132", "index": 1}]
{"name": "read_file", "args": {"file_path": "/slug.py", "offset": 0, "limit": 300}, "id": "call_uwgcVACQhy6mbyPQv7dRrBk7", "type": "tool_call"}
{"name": "read_file", "args": {"file_path": "/test_slug.py", "offset": 0, "limit": 300}, "id": "call_M7bXZvSxwriG7NJnTC4pHcfc", "type": "tool_call"}</t>
  </si>
  <si>
    <t>01a0d1a3-c908-7452-a49c-5455c42de3c8</t>
  </si>
  <si>
    <t>01a0d1a3-c908-7452-a49c-54690fe63656</t>
  </si>
  <si>
    <t>{'file_path': '/test_slug.py', 'offset': 0, 'limit': 300}</t>
  </si>
  <si>
    <t>@@ lines 1-41 of 41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if __name__ == "__main__":
    unittest.main()</t>
  </si>
  <si>
    <t>R19</t>
  </si>
  <si>
    <t>01a0d1a3-c910-7ee3-91fe-21382e23fa25</t>
  </si>
  <si>
    <t>@@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
@@ lines 1-41 of 41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if __name__ == "__main__":
    unittest.main()</t>
  </si>
  <si>
    <t>[{"id": "rs_0540c37c6155b867006ab4a4d02afc87d293dd9152b46fc2f4", "summary": [], "type": "reasoning", "content": [], "index": 0, "encrypted_content": "gAAAAABqtKTR97oR55hWk--tgVeFS9rbg6Ig2MksV45HT8JcLlSnwzjoLS_iGUJoIbnk9c2zClKd7IYuMTILQL-x1VYNj5xbGJcaY6ExNZ_2n17hkc9jgcJvVJcpLkoM-7L0RizN7U4CtjQt0HEuS6xrMI1P5M8APXwl6WcMgDHSkcDBsxQAQxpS3WnbC4Gmx7i1VBsU-R4mj8bwXT_7s4uxENaiUeWTTviMM084EekTbVinhUs2cNC2hlOLnxTDlRVFOcJ7n0DGov_a3DWM8ZKFGx0t_hCC3ArwywRAR1gCiryAteyK_HpwV0KjONd2DfOEp0ZApXoS58UaCNzfHVK_hgF5J7XtrfSnaGTrEX98K-K3EA3jufKPvzdCKjrB1PmXESIbIz2K-dk7XCFShUQHWAshKtNgCIF89d3vs543iLVfqQzbiIHT5K4ipgNfXGKn1k8RtI1w1KI7fP3GbHLpaouL5tdUbJDCudV02oYF_gRnNbcOKrYKVPCijo6Zcuu16KXusxISJy3isNHEIg7Xu_gHz9pdG04nigCxPG4RWjQqzHOtZ8AEW95BB2zELSFzTa3z3XDzd5qYe84UU57MaKejHV7lRH6V7zej4Zc-7HWzjxuj9CaM_FU7JN6V6-iss530rKW3Zw-F6StJg2vmhl1ese4Hq3qQasHkS0p5j6y6qxqu51UEtOi82QfK25inLDQsAxwHH6CRNBbAvjz8Q8KRLf2F0TXDl91P8g5aK9N4lo7eq7KXpwRUNnLcx0snyFkj-QvyLKElLfE1VrfXkB2fMsD8OpGhYlNBsXIuV_GqtQP36UYoCe9Ywd8FZJBlLPQkaFY_DJvhf84vsGu6Zl19kXPos-uQENSrbHGwp-lMJCq8Inr2QP0qE69Kx_ehOYjBWHHu-YcklNTf9kaVSQpsSlecroPUL6ElUvhOhbG50r4YeDeWHS4eXblodE4Fl0meQY0ADd8y1UnipR8j5hLvMmomLL_dJ878O8S_Bdeg8eFmuLy6S2LGvSdFfCfscm7huqD7jcnjnqQB5vf7Zf4D7cfBeWgCXPzEb9m9kUsD1Aqrn1f6kkuzkEo_K00vNWL4AGeyNyexreoF0kr839UN6Gj7X1vXMePiHNEHlmzmx2JHias6rjluhqDAo1TXPsfO0BBa_OnnUPe9ymbP9r3yWPxDXZPHnVFo2tKEeWj3Pg62T6G3GE4S-_O54dQVo1T2LJT48iPg6bBw6xl005bvnfeFD2V-hs-FPdVsd6F6U0Qwf0GELY6pbtp6FL4ohubjl0-5hekamTMnOR0Ui_Fo2jeosEYLPEfgcBiQ2HjMcm72fF5lDBsiCLt1vX5HAPXGZq-x8biu_OIGgFxmUTMzcU6U5AWC86Vy8oMbniRYZ36Ik7g81mdJSNw6ht5HQDmnpsoWvEdlEEw4a7XVgweedZDp66fg6Y8LhMhlZQ_6aPOmuDsLHtSySMYIo9XPPVfJeZd-rs_PfMcDIxe9v0i5oaFWw_3uazNA92OLDDHGbwQJzoyAWkDjNOCErqhPxbi78S_RTirZ855L7qmS3QoaVENXUV3jmmetLR43NsOd1aQUU6zBGPc-0rQ5t1O7u92h0hZ2yDon_yWZm8fjvk8Fkiq2IWa9DTtUuedBEZhGK2uAy-U6-lmabLyp4SmUef8Kmuo7ZRWN5-6sWmsYuQWrztI_uBwKQyVHMxheO5kNgKz7_mhTdeGOQMki0H9e5UC3ebLDEKXyWL6wNJWmslJjl6xfunsMYLIly18AKVVVJVpbKZSlJpQ6vd6YCRNeiqlh9UQWZLGplFWTDBCsJL4Sip8s-fkBoWqpJKhHwzPLdIZsYKvW6pC3utEnepIkhrvln1VkLdZFld4nm46X7VkMmmuYZmE4mz-tulVXL7gmqozFWku4zd4jf-tEban-Y5_FlLm-dwPYFdME4ajN9vwgpMk6q4zb39hr_ufEKSEqrCCWk2mF9xc_h1ENWnMExp0jVC8f1mRNCyI_y5OdNVn7mBMcCuTDfaOyfCa8rOG6AxqJUBZ9976WAUexNegc3bOPBIf5li_d_xFSg51gvm1oyAfI2Mcf3WyEZVM1VzQa4G2TsPsL_JY52uDZ5swzPgjm6nZxn1MTomFdjYA79qVRYEzuWltjAxoctIrUP8H3AW9854M="}, {"type": "text", "text": "{\"task_id\":\"SLUG-002\",\"verdict\":\"approve\",\"evidence\":\"Reviewed /plan.md, /slug.py, and /test_slug.py. The tests import the public `slugify` from `slug` and cover the required ordinary example, whitespace and punctuation collapsing, accented Unicode normalization (`Caf\u00e9 d\u00e9j\u00e0 vu`), repeated and boundary separators, empty and punctuation-only input, and non-string values raising `TypeError`. Assertions exercise external behavior using unittest, with deterministic in-process inputs and no service or filesystem dependencies. The test module is compatible with the standard-library unittest framework. Tests were not run, consistent with the task instructions, so execution remains unverified; this approval is based on source inspection.\"}", "phase": "final_answer", "index": 1, "id": "msg_0540c37c6155b867006ab4a4d177bc87d29353a3ebe0bc8e82"}]</t>
  </si>
  <si>
    <t>R20</t>
  </si>
  <si>
    <t>01a0d1a3-d827-7342-95a3-87f42a01d6ae</t>
  </si>
  <si>
    <t>@@ lines 1-47 of 47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pending
Assigned: unassigned until SLUG-001 is approved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
Error: File '/test_slug.py' not found
Updated file /test_slug.py</t>
  </si>
  <si>
    <t>[{"id": "rs_0e862a088c1d9a83006ab4a4d44dd887d2b80fd9d844572cd5", "summary": [], "type": "reasoning", "content": [], "index": 0, "encrypted_content": "gAAAAABqtKTU6p_nax48uDnUVq4OrPQpSfDimfbrGpWrcfH1hVAvXBKHKdU1UUFJrFVOb3Ck_8eFHuMjL2S_GNpUPQaeEFezDGqwAlNacYyXU6D72nXxpCgj-igXmWFrlM9fI49e9zZW5BTZEqCD0NABeYQyXAZaYUonxKr5I6g_11mkbR8vMlzOG_9Bor36ZDtD1r4uni0AsE5xo2D8H3dcgZpg9_NdjVBbUmLBAR0IyBq30U6ARkUhP6JVCoZSPi60YF9useEcZMKCDJ_42vJ1XBuNxqgmE0i00KRG8dLyQNGUFnLP4zBaV0sSjJj-GGPTVfdgHF3mGrRIhIXj-E4QwLTLy8WNQ8PE0iwK-CMHSzGsBVUCdZn1_rxav9VkbnBcA6qv0xlkZ11HPVuEbh4QSMdABD0raE1HHybBCp1uZXp5ujFlGWeVVSFC7v3W3tjVSFez3TnoO4ESJfXJLNhRbUoaaeDUyF8FwfAPrHSuXuoEJ8g9olQPDQWsY1-YsOeANK3KA6GrxXbosLM4UcDbP-LmD3B50Lg8hTEWu9Y3C6Njg9sFTTFKOK8JOHjvUROXmC6Df7DyH6mDAmr8Iz1c1POaenHY-EOO0jVeSQXxeIkDgdlrXHUGdQt3Py4HHepn2qpRVZNrzjswemkg0v3oucRTRB8xdyzlvlF42AuDZxwmiyp87O_z8Z3UNsP6_mmTX_3RE5XwW_cFWP8LG5ga3Oo0hMPI_-4ntQBlFbYDW1G7JiGp04Q5ormZ8Er_PcThoOcDX8-XK4VkP0rZC37DAMQNxBBuCv0y1XyNknuP4XhVEGaPK2lgMdfvrWBVQiF9PhzSPTa_F1w_OiDEKqU3CQhIUvCjCbU-zGfeTvGYlqkUMHOARhJnMQXpkUv9_E5PC8fYNQJyc6kyB_6f1Oavzi-xMZz2YqqrU3u6SoSbUoDGoHeqgSt-zGGgnGg6I5u-HGCQ_kmBO6ZX-KKrKKMs1MHiXIMY-ED8t-DK0edr0UYwOYOMRdbIVviRGPBoVZrSVfokgS7OqUm9nR23ztvqf8ShstjH9HdsAHKnqvu9jn9FvIAzkA4gDLu5Vwls5ztN2P2HJiypmQZ75WjWTMmERhHurIsgqlTO71j1p48tM_mtsRTCSFvgHX71jKARWjxnDxApjXVJL-V9409ImUCsFd4r-oCS4ENzZrjR72YvxJtp_-WwpejchzEDByBNtFwqhHBSIGrFzDgVRtkUrDabiATcFPjSzal6ap6hLbcKtW1Mdw1EBdNZIEnod3i4Sfj8dHuJGgbnx92aYOg0X0lfqVjeGapZLRKTkDfM4EVg4dpmVVA2uCs_vXgPsodfqOHiXbykA0BOiPoUvW1yZVZZH37hEDIUKtAMhf5v1BvToO9PLBQdiKgoYCsDMNFzYyogzdwRH5UftIDnBKNEWf46kqDPboIdLw=="}, {"type": "function_call", "name": "read_file", "arguments": "{\"file_path\":\"/plan.md\",\"offset\":0,\"limit\":200}", "call_id": "call_eZ79zueu48dum6zx8954BFyC", "id": "fc_0e862a088c1d9a83006ab4a4d4e41487d29eae951e35f09093", "index": 1}]
{"name": "read_file", "args": {"file_path": "/plan.md", "offset": 0, "limit": 200}, "id": "call_eZ79zueu48dum6zx8954BFyC", "type": "tool_call"}</t>
  </si>
  <si>
    <t>01a0d1a3-e135-72e3-9bc3-6da0bcceef6c</t>
  </si>
  <si>
    <t>R21</t>
  </si>
  <si>
    <t>01a0d1a3-e13b-7e60-a372-d1a9e7133dfe</t>
  </si>
  <si>
    <t>[{"id": "rs_0e862a088c1d9a83006ab4a4d5fa0c87d2bb4e1c96c0af0d97", "summary": [], "type": "reasoning", "content": [], "index": 0, "encrypted_content": "gAAAAABqtKTWVkF_8sNc32s7D5_B0C42pLeSuQdHpnzH6UEllGOm7Udo_3zcQnmnXCllI6M6LhPT9AYA-Tr5V_A_Hy_XCRASZ5YmuhhY5oucnX76n5Na84oc52_yk4llTTbRnGCWVhUZhCrzWAD42eBklLlRsKzwOm5Lwc07BQjNas1NysPPlTAZwD90krqs1xCNYx5NGauxya-I-t7oPnAiy0jXsL5HepNVB6lFTcAKbGmnydVsZfcTXj3vaMUCPt3RQhM5rBvyOQgSvSeAPWuOkxXShzQs1lx61d6MbwebCRmK4aZ0xB4vjMqkklQsqpzO_fGCpi0Tnji8u1q6q6UJqDzLVsN86u0Itn8HhA4l4TbaMTerMyaxr4QfHZvQpt1rhSDYYmSZDq_KoCy67NGeEmkwYPsPN52rv-V0_8M0qHHrQF8pq-C0CHEDXS8qyrKLtemtOL1Jpvrs_G5SY_J2iR0UByqZh2FGaf2YTTPqpmYEEN7kPzGKv75gnJoWUczYqp1sraJBVMWXjFdin9lQkzpKLYvi9G4wMVMIfv9xnptDyqb53qErS92gw_hZY4VoKthlXqI56pc_zniUKtTIxwz9GGaFDs-U1_LFdWjEuUIFHtr6tfcmtrRwMRM3bT7_r-dTsqkGUG43njbCb_uRusd2hoiDhpkkNN6JT4-fAIN5PgBojmFJbjMtNZYY-XVI7ZwotRXTP2HRguFqFPj2XfGGoBmNbbsQ_Nas-BlG6kNrdZZbxn9Ph-1k6V8S7KIUtk_jObcKsj9B4YRM2n-Z4dpqEhplMm6VjwYQzDQfwdZ_fBbD1Qfiy0N1wBNZFEDDT6kBLlZXJ_C8LXBYQYCgycnNUYbEnH4xOnM3tSGuFInu2fM2vUagnAKwkIm2EqMLv3-omNBuKOo7aNLnDv88c1RHxHRDhnORdO-jtD1mUnraln4QwM8BJ0Mo5eS0OajRw_DKkNWGltMwzcat_NlZ9Mp622TLuBmxMmg3RJ3Ce__ElVq87bcwXAxWQr-axMb9pA-WCSBtMtWcalmidFJQFgWGuwkL33XjXuWdrrSWBuUFwR2tvCkwLSN7PBR5u17Tz8vXAc2yRXB8z1GiLSjfZDr72eWKzl5KlGkHbJNQ2xWEGfbAJBGaQ6-SNwMgYuVkVT7Yl58qSz-6F5rmQrWWwAfA8p19c2_vkWpINIiEkTgeWvAeSCFPD5jQVQ1xVX_ec1QX8Gr8Rjym8U9UVnQ7I5Dc6gc-ngTeobBj2NzUylY5W_XMdWFODlcnpOj-Tuj8xneD4TO4WVQ0vX2T9i7DCoUS87m6nHvJqkaAYlNbQVb-JDaBVLAJy20UqoRMoBFfK6JU21ZJ"}, {"type": "function_call", "name": "edit_file", "arguments": "{\"file_path\":\"/plan.md\",\"old_string\":\"## SLUG-002 \u2014 Write behavioral tests in `/test_slug.py`\\nStatus: pending\\nAssigned: unassigned until SLUG-001 is approved\",\"new_string\":\"## SLUG-002 \u2014 Write behavioral tests in `/test_slug.py`\\nStatus: complete\\nAssigned: worker\\nEvidence: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,\"replace_all\":false}", "call_id": "call_llHAZqENvaajX8uHTDAM95A9", "id": "fc_0e862a088c1d9a83006ab4a4d669ec87d2ac27ce80dc5903d0", "index": 1}]
{"name": "edit_file", "args": {"file_path": "/plan.md", "old_string": "## SLUG-002 \u2014 Write behavioral tests in `/test_slug.py`\nStatus: pending\nAssigned: unassigned until SLUG-001 is approved", "new_string": "## SLUG-002 \u2014 Write behavioral tests in `/test_slug.py`\nStatus: complete\nAssigned: worker\nEvidence: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"replace_all": false}, "id": "call_llHAZqENvaajX8uHTDAM95A9", "type": "tool_call"}</t>
  </si>
  <si>
    <t>01a0d1a3-eb0e-7561-b92d-6a7797664019</t>
  </si>
  <si>
    <t>{'file_path': '/plan.md', 'old_string': '## SLUG-002 — Write behavioral tests in `/test_slug.py`\nStatus: pending\nAssigned: unassigned until SLUG-001 is approved', 'new_string': '## SLUG-002 — Write behavioral tests in `/test_slug.py`\nStatus: complete\nAssigned: worker\nEvidence: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'replace_all': False}</t>
  </si>
  <si>
    <t>R22</t>
  </si>
  <si>
    <t>01a0d1a3-eb1c-7852-8b38-49e4eec993e9</t>
  </si>
  <si>
    <t>[{"id": "rs_0e862a088c1d9a83006ab4a4d8a44c87d29741ba34a43f1587", "summary": [], "type": "reasoning", "content": [], "index": 0, "encrypted_content": "gAAAAABqtKTYgK5hgD6KObcwP_bnQBkVMqzSRl6gA18ny7dtX_ysn5QdYxfVm9FVNAK99syMDvL07kyLhh0wpsqIC4kIoMjd-v6gGkWvYmKtDIKf85M_Py_kkGrEoZ1CUFeMsSuNFNQXvynw7KC7OI15qGMszXsLFmcCWJ4oht_y28dcGD197EzAoJTOGXy7I3U2yhc2YJ7FEaN6rKRbQ_OX60Q5raDTuKjOihbwHX7nJ2a5W2vYWeRJhhBUWLKS9gDmCeM9OtnWt9X8kaPI_w9iwcKrVkDx4gARWNiIp6uvvtDHYZ7QPncEnkDYFzFIbAALWqn3rQGfeDnNDwLVR6TJfd9hcPCjRSMTe1dH_btyRPSbMrQwy8xkt6AaXDttMGeXYiiJT3b6gD8N7AuItbzyXUwY0BTu3_MMsbIb8TPMkTRZgIHwSffxOqFMOW8dNrvdBb5FvC9BhXUTlVrjIJNyT940vv-qGBoAU9Sr3wpCDSlgxz_bNYlKGYQSYN9VmoDKiOh018Uih4G-0qz1rjHwOZB35w3gVQZtf9Ua0Tuglgf1Uu_nXV8LXt6nWsiK5d42OajMTQ1_6ZrUQ1K18AOOdykHzEIenec0eK0SyPyzRMBv2-ED_KuYVV3C5Xfnic6Gu0zzU0CGUiXjCvQob3k4bTQDWDWQfV_el-FSo83SjXcgUcvmtzaWArdjDpOQ_SpsgfDvcuGRuP_T2WjAf8n8bv10tR5HJ8Cs3_cmiVJYDFwXFxAvCHLkoK9o1cus8M9Mjop6zXJniic5p931-2cjWv8wkoGCvyFqIRCGrKyMZWG7FOaC3QhRZwdLK0ibFcDVO01Jo_v5er7zOKIj22J3Uo5MZrZgjWg1Xh35QZthg2-quuDU0AMH59qbP0L4Zj5JZBrC0ZZodeueT-DHgwDtLRH3KvRf04_JBiSL9VZh9RdPOx7t82aHnOS55sESAvpQ_PjreK6DV4bVliaLSSZ3phDF-_nEbcJ6lMioVOWnHaZmanqqzJxvEaZDNAgFiCOTDHYMXXxhbwQOIhdyYWXQ5vsj6BBdooWEbVt2qfafsALueBpFNUrWCcb4RxnUvXQy6VYUWJzEAevpgUo0guBVv_itQv9QRe5Ab_BgPA2_Y6Qeo0o-KGt3kpeOxfOBnGhA4uPY3d83vOO_O_QB9WoI0DaQtX23HjU50j240SF-JtTjjTFIraDy3N25SkZJQ15B5z_oDgoZ"}, {"type": "function_call", "name": "read_file", "arguments": "{\"file_path\":\"/plan.md\",\"offset\":0,\"limit\":200}", "call_id": "call_B5QNLXgVIRo62N9pgud450Ia", "id": "fc_0e862a088c1d9a83006ab4a4d8df9c87d286a9dd698cbce0c4", "index": 1}]
{"name": "read_file", "args": {"file_path": "/plan.md", "offset": 0, "limit": 200}, "id": "call_B5QNLXgVIRo62N9pgud450Ia", "type": "tool_call"}</t>
  </si>
  <si>
    <t>01a0d1a3-f0bd-77b1-8a64-2e4ea84a3071</t>
  </si>
  <si>
    <t>@@ lines 1-48 of 48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t>
  </si>
  <si>
    <t>R23</t>
  </si>
  <si>
    <t>01a0d1a3-f0ca-7b01-85c0-edd1ca973cf4</t>
  </si>
  <si>
    <t>[{"id": "rs_0e862a088c1d9a83006ab4a4d9db4487d283b6921e30b78a37", "summary": [], "type": "reasoning", "content": [], "index": 0, "encrypted_content": "gAAAAABqtKTZ6rrpzy4Pe3uy_7A-XFUYnV6npYkSY5ETEcMAcQcJnshRDjoojsm4qKMBsfwqtoWPa8U00s5j0UTj5nS7jhZKSiOGtAr5RFbRTDQf04hQlV7Ms51-jRqPveM_Nb9OAJUolfKsSEu6tu2_pd_Q-cvSP3cfjgEuBFpBJboIjDJyGIliYvfK7SvafuRFqJnGMsTkd6k6eB7QllWIK7PbWs4iHprS61cp8dRTFUCPGgSICsOX4pM7A4dwYeC0ybtiSA2J-Z-kvTNxHWiP59sDk0iR5ZHgyXjMqZ2r9bLFPLf3qQAJys63t0nGIDIhUF38madW4LAZ6DqwP879FcJgXdOCHCUyxXqIaARIP6GpFXaa1OD91xl--pucC2HUGCBCpZMtzjudssCeeg_Pgx1tp5KBCqbopq1hQThArB8pCpllxdMUbL3V0tjtalAASdVEznV2Tx02uaQC3_HHboKIu8mimZDaasZugRJFc5DJIrEOG6gbc9fucHXh2iLuzN2HSDannadmXb9ugRHy-LXOWbE5bsphXLlk_YPz4fi6NXu_Zee9DeodtaSDDZHAkkgqm-fb-6hHOYjwRL1WbWu5lDhLua4axQ_6oeV0O1PVrTE3ZMk9RhSJbueCODC0-oKRJyP5OvjAKOalWgNASYMzSTmWhLMJceaVbVJGZhi8tbhOdfePfDTAZ61N-xBcKg7PHhyBzhYOmtXTNHHr2sVK1mzpG6L1YTP4nuG7sAHNfMhmCa3W0-g1WMLXVaBj7MxB8S38ozGR_qkbNmMes9vVNgoIOu5Wv2qCdQ6CCXLSaR_V4HRdpJeZUFy5ehk3gyi5RTSCwpZ3k_7uJ8BNgyBOZJjj_vhg6iTqw7H1FxHpAHH9CnIO0dOufuDIdbf0UxWangd-VmJLSH9_lBvDv-bWQUe-dlSPpXDYrLuws7UqmoWkmHBDhLgCmAE0KGnrPpcWJl7pXBMxH9awxYA2CVUcNOw3gEZN1veyfjtnwoh_8S4iRu6rCKKQUwsPA8UYhE2XpBy5jRfqMmWuVBy2KMxa6WwkFxv6ArmHr4fpFzuhD6X7dEXJblz1Dxo-VD2ZdwCSX5gAC76zQwU-CkCimyi2m6sWvZWvLjQ1HpPTO2oOEmlf1cGrvEzxKlskd3ypqkB9Fhswf0MJzRwKPwuMhXJKiECnrAZmFkn_QLRQpStFJ0Xmlkm4y0DrxFW6FqyqxAEzjoT4TFcG0g1J_YntkBaSI0G4SA=="}, {"type": "text", "text": "{\"action\":\"finish\",\"task_id\":\"\",\"files\":[],\"message\":\"All planned work is complete. `/slug.py` implements the deterministic standard-library-only `slugify` contract, and `/test_slug.py` contains approved behavioral tests covering normal input, normalization, separator handling, empty/punctuation-only input, and invalid types. Independent review approved both implementation steps. Tests were written but not run, so execution remains unverified.\"}", "phase": "final_answer", "index": 1, "id": "msg_0e862a088c1d9a83006ab4a4d9fea087d2be2541e0fadc14f2"}]</t>
  </si>
  <si>
    <t>Turn 2</t>
  </si>
  <si>
    <t>R24</t>
  </si>
  <si>
    <t>01a0d1a3-f7a4-7190-a697-2b45e00e4fcf</t>
  </si>
  <si>
    <t>@@ lines 1-47 of 47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pending
Assigned: unassigned until SLUG-001 is approved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
Error: File '/test_slug.py' not found
Updated file /test_slug.py
@@ lines 1-47 of 47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pending
Assigned: unassigned until SLUG-001 is approved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Successfully replaced 1 instance(s) of the string in '/plan.md'
@@ lines 1-48 of 48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t>
  </si>
  <si>
    <t>[{"id": "rs_0e862a088c1d9a83006ab4a4dbabd887d29f08b1c18a564330", "summary": [], "type": "reasoning", "content": [], "index": 0, "encrypted_content": "gAAAAABqtKTcntLO-fpxR5r5A95mwhLO9f_YR_GIslP5XKNPd51X7Swfy-cAiC34HUhIkGM8HF1zEStgKxTFk6KNJS6H3XiFfFKIqPSjXkUuhPOEMPrElFMpNd7z7SIkOFFRj85WFcNXTgqN3l-ZBklgVj6fo3H0jS128o83M1OU5n6-LNCk-JV71dtdJhsmyRJ9qbH2EGDhzPLrO_3j5SrIAguzWVUCIZDXPC4bjvf3vlM3lb1M9Jb7gAfIGCLphGWaH3D0-yqmdYWZIQ4i2fRKK06W_mqOP8CciJRcJYBDRP6lTnU5p3FhLTVcX-izgOYuzzRDEXp-PJIHD_IiSkIpSMKV5V_nz1k_ob0tkizUwusTd8M8gZN3EOdn_rJ8fbbTAbwl5KRpKJIO1prO2r4NmVZOewrHs027nsZret6rEEIfU-Zkbent-bS8WvLkBl7rm0Ym_ekb1LhHRMIRQuakSZkmgDzzk5he6EoXgcPYEIInMyfe2nfBQSS5SPdgIsTYZ73QF2u_b5M6zgCEpMmB3AICMOKVUcJ19LC5bI-ctdrDCYg5gFUirp0NLtmpWmC3CwZW8-gywGIKNAVIdqOZI0ruXwwAD43mzIXhAvRkOyiwLVOxeUEQeFClWSMWEkynqL3sva97yHorxL7fijJStHBnrp9FIg2ROFJGkaFi7PAr2IYrgUQ4ZDWa1T4a-OqEhhIh4lTitJ3YTevUfXfPTr9d7GSyfspUhxtQv_xCsx_-joBVEHXb8uN8HzHiL4gA5f9BDeQtdZKDummolRT58xrL-dt_2NIppxMWH6Y7OiR3c96Th6Mn-949_L_ERFTDwrBKv12e7egIilDbL5jpWZGHRzkFSpIR4axC55mceR87iRs0gzOkVr0B9L_i9Q7K3C4E2WFldFvA9fVyZNb1U1H3dDqO4kJ-njX-Uf_BKAhmqTpb3LDnujGGOovNn04GNBfLuy4jJBBfSb4LV1yJrpIqnSEzWYXDSDLFMcGl9IPsFX295Zfc0s4xYM5jAe_XNwjDLxipiLS18ZwOv5EOAo9ljcrYGXzaLXTHYi69IF-WliF9hKKvSrANGAePhCdr7J4PSFYtRljfa9gEc5uVP5zLOH5jVdq7bfF3fbtC05p_UN72K-dNQvAMGkEXcTsNIrQsZ5TpXgVHvpmaBMBMr2POsO5YoGAFYRSBzfucVc1gaCuvh2BXzESwJa2Qm7u0RyzIUR3XXSmFA4_ocR9EHF9TNKP-jiMmRfjywLiyMwce4slK8JsfGmiJBS6Cjf72Mjq32kNhZhUkdItuteGhrm-qfwI0uD31CLQKoNQgW5hKcPhSMSZK_2lp1tj5xyZDE4ikb_pFGGPXko-nxJF-5iLrc4-AoAaz9z14AK3-4FkNSQLZc_fg5Isr7IEo68OPCw1rnccqggO_taM_tAfM_DyhRyGxJzrdIwx2NNSS8a_juqL1-pO7OavfIn0x-XtwCfmBkpBpyRl1sFHjUwBp5UpAglBqMQ=="}, {"type": "function_call", "name": "read_file", "arguments": "{\"file_path\":\"/plan.md\",\"offset\":0,\"limit\":200}", "call_id": "call_j4PYpWixu5w6jOHisarngBqd", "id": "fc_0e862a088c1d9a83006ab4a4dc390087d291ef92790dbaf01d", "index": 1}]
{"name": "read_file", "args": {"file_path": "/plan.md", "offset": 0, "limit": 200}, "id": "call_j4PYpWixu5w6jOHisarngBqd", "type": "tool_call"}</t>
  </si>
  <si>
    <t>01a0d1a3-fd87-7b92-ab06-ba1da3ed1aaf</t>
  </si>
  <si>
    <t>R25</t>
  </si>
  <si>
    <t>01a0d1a3-fd90-7c82-9973-247e4ff7546b</t>
  </si>
  <si>
    <t>[{"id": "rs_0621cdbd35c68173006ab4a4dd43fc87d2906ee14b81ed63e9", "summary": [], "type": "reasoning", "content": [], "index": 0, "encrypted_content": "gAAAAABqtKTePxBC2j5LUI3S8FMPYVx5v7iclSQ7UwPA1yjwSUniqwsaSgUkxnpu9bduz9CJ2m9PVExClgzcqH5d7-yexv0Jwwc3o7vL8N9ngoyIKpHB-1ApMgWotUCVbAJ-Cf0Cq_kltApxrUuIjd0lLUvkjtWTEt9CZldSVx7pk0rh2xITqiS6e-23El3BWYhulvqOmAhIW0oA5HV9NfukBdoE6PF3ePjOV7fHy9zyXVNeZrHPdu1gWAByE_kglDM-9hgYWMs-cHjBwWjIjA0e9xDwBABSP2W59-fawozfq8KNzLJipOLVasNm9gdPYHLETlNvDtxBBGdoZdE-HrqdoTKzq_evD5y2YT81DNigDY6wJqGNEBnz66vesAMZdRmxshVaNxP-iG3_tkQEKyBEMUhyWUejmUBHs9tvasg81HmGgsLYi2oK2YTIoORjjlXHDeiq6PjmHYGWTIh7sdjSjjBncNOTFjj5-rDjVa9hyVmfnNUu6M1bHtAzoxkx-BS-6sStjo6gHhLDsvJW2I4cSMfKF4KQcM0PI2J-VcAhRNwusHN7CQCiKZVfOm0mNJ_B0vbCLjNH7NfONbOI9cref9ycfig_PEESW515r-7J2FaxufOHTo5LnG3cy3Raz9N_mIlxiqvy-TN5UiVf7SBcDrWjFotNQIfA7UJomAKORYOe8cgOadnq1Jr4cw_Gg40w4CMD9PAJld8QmsTOQZDNtfe3aG4dHxYrEin2h6ol5Iof1AEfJYjDMiTMDCb6U6Ooi91Ctb1SKdWUK2ruwZ94DJwf986qmd-Y8me5Qm0vrFmCNkAWNoR10ANdCjRU9t7PhUOp5tAsrhfGvdzqF8FucvxSA3wS8td_T4JGeVH-oZjtF2GY-reZscW-EufEqE8jysP6eJn7LQehHSDpnE_lAp60wuaAHzYhc9EMVLaqzFH-1ru0yTgjymRwkUzK0J-ZAjjc2pUeWVhad1M3pon2REnxrsn7mxp8LPrqJTV4on5Wv21RWdE3KY1qB7AGJN7VPMrzlXzqRvETzwfL68ycVjfzrPljkpFoXHzILSh52ODxdpeRMnfW717o425BnDarM9rN2-4AJ_UTcglcMeEvB43JPj8lpEucf1grHGNL5NFbcH99IQvS8C79-F9NAbiD75F4Z0enKjfIgL6fpX1VlWV53VrDmD_UXsBGXr9Tpg5ylaHICaFvV_6MyeIrrvPh2hUkHauZTxvfQLb6bSobkpfCBqWQPjZtVZWaQ-aRn72gE_3DPVDmtTRPMVddPkfABRhw0ukwrgWxmVTyDV7UORRTRSyXtrMQQGp2ob5fYNuDTC_s8cKB7ASOG4NaJJfVxelvxzb9kLLwanlmdsxTzpoV-dM0N5F0Fu372B9zu8JwqLg1NPexosc6egR5V0aSWqbRPjtCKvkgzKf-bSFcE-RyklSRfNN9dy6KcHnTVdboCO2qXz5yr_vgHp5hoHSuNEsTSiES3dwaWIRE23NApOIiB0YfdeecyBPnoNovqV9mooO05BipD_lrn1W1acuUB4vFfj44ZGvy4KGF7XjiLRLAYJRTBqa0WIThlpm0U8f7lBR1TOQh18K6WVJpapB95jNOya53DC6KomY3MeIOOicad15bMGJHtAjcg-aj4GFM36aGu3cVgKUpXnhgNEjZFDN0nH6FgG6UE7kcJD4Ft6WBKl8z_mHQ9XaZAYA6EVCOfYy-KqUnfnblbwCvXalF_zzBwiOhks10Hk9jFRWcoh89BtNITA=="}, {"type": "text", "text": "## SESSION INTENT\n\nBuild and maintain a deterministic, standard-library-only Python `slugify` function with strong behavioral tests. The latest request is to strengthen boundary tests, obtain independent review, and record the outcome. A planning operation was requested to prepare and assign the pending work without marking it complete.\n\n## SUMMARY\n\n- `slugify(value)` contract:\n  - Accepts only strings; non-strings raise `TypeError`.\n  - Applies Unicode NFKD normalization and preserves ASCII bases where possible.\n  - Produces lowercase ASCII alphanumeric slugs.\n  - Converts runs of whitespace, punctuation, and symbols into one hyphen.\n  - Removes leading/trailing hyphens.\n  - Returns `\"\"` for empty or punctuation-only input.\n  - Uses only the Python standard library, with no services, network, filesystem dependence, or hidden state.\n- `/slug.py` implementation is complete and independently approved.\n- Existing tests in `/test_slug.py` are complete and independently approved, but have not been run because workflow instructions explicitly prohibit running them.\n- Existing tests cover:\n  - `\"Hello, World!\" -&gt; \"hello-world\"`\n  - whitespace and punctuation collapsing\n  - accented Unicode normalization (`\"Caf\u00e9 d\u00e9j\u00e0 vu\" -&gt; \"cafe-deja-vu\"`)\n  - repeated and boundary separators\n  - empty and punctuation-only input\n  - multiple non-string values raising `TypeError`\n- `/plan.md` records SLUG-001 and SLUG-002 as complete. The plan should now be extended with a new pending task for strengthening boundary tests.\n- Latest user request requires additional boundary-focused tests, independent source review, and recording the review result.\n- Do not mark the new task complete during planning; completion should occur only after implementation and independent approval.\n\n## ARTIFACTS\n\n- `/slug.py`\n  - Complete deterministic `slugify` implementation.\n  - Uses `unicodedata.normalize(\"NFKD\", ...)`.\n  - Filters to ASCII alphanumeric characters, discards combining marks, delays separator insertion, collapses separators, and trims boundaries.\n- `/test_slug.py`\n  - Existing standard-library `unittest` behavioral tests.\n  - Approved by independent review.\n  - Tests have not been executed.\n- `/plan.md`\n  - Coordination record.\n  - SLUG-001 and SLUG-002 are marked complete with approval evidence.\n  - Needs a newly assigned pending task for strengthened boundary tests.\n- No other files were created or modified.\n\n## NEXT STEPS\n\n1. Add a new pending plan task, likely for boundary-test strengthening (for example, SLUG-003), and assign it to a worker; do not record it as complete yet.\n2. Strengthen `/test_slug.py` after reviewing its current contents, focusing on uncovered contract boundaries such as:\n   - strings containing only whitespace, symbols, or combining marks\n   - separators at both boundaries and in long mixed runs\n   - Unicode characters that do not decompose to ASCII\n   - digits and alphanumeric preservation\n   - empty output after filtering\n   - additional invalid input types if useful\n3. Keep tests external-behavior-focused, deterministic, standard-library-only, and do not run them.\n4. Obtain independent review of the modified test file.\n5. Record the reviewer\u2019s approval or requested repairs in `/plan.md`.\n6. Only after approval, mark the new task complete and report that tests remain unexecuted.", "phase": "final_answer", "index": 1, "id": "msg_0621cdbd35c68173006ab4a4de6b7887d28b8515ef0dd516a8"}]</t>
  </si>
  <si>
    <t>R26</t>
  </si>
  <si>
    <t>01a0d1a4-2347-7312-9c7f-b2005bbd757b</t>
  </si>
  <si>
    <t>[{"id": "rs_0e862a088c1d9a83006ab4a4e6ff0487d2987b70fc2038d494", "summary": [], "type": "reasoning", "content": [], "index": 0, "encrypted_content": "gAAAAABqtKTn_XGriDxZGpvf8-vCvzuOJEmPj8yqemPAWl00uepGS7OiX2hZWCgpRR4a66BPoZLXGzbQ5u5xtXAl2YQPgg4_M0W0rAfz0zi2KRcRumdYUwsxG-3nZ9bwBLh_xSPgPWXU9W67eWlFtNSjWI3yeVyNsrzGPV5sxsH5e-c04Kmm1iMSLyRiYxssSuPr-HjppmxMJKGx2KPQSzGBpMik1LKzu6AFg5A-0had_A7S3vWzweARRDN-6nY-r5M5rVAh_qCZ7ORmfPpRLZx3_bddi6GKjN1ecoKAdGxc6a1gb7YsPlfC1o0xA1GPD1dWRmUe0O0yoq3TdiKBG8p_CkZCthz2v9vnOH8FDETzNeCTi5I-BrfxtZKHFpdJCVj8Z8afnGnkOkItub61npsr_zuSC26SWzWv5OQhxXaikvZlAFagp2uRTlKWQ929RLYH5v4WNnI3QRbtuc7M-nSxhraBruiWbyrYaNCSLMtkYP-sB5SdVyKulqgu_fauGGfkNSCHCYROtBhwAg4iXHBVQ-ouveN93C_p3MTg4sYJ4XB13DO-CHnc5TH8_MX_cFpF1w9leAi15KGkzNesyErXMyirCxSkaliUPDSmsMYc7h7adeYgWC319y4FCE3QRuzYsmPyhRhuUuTX41CfJOJ63gKqpsMnGdsAJ4CqgL3GdufczhlkqvrNaSGEDMmaW81qJIRc_JOyRGx0YvSTEFj0HWnQIdnCil1c_Wqzn3Ttb8PfcTpkPeDgZC2ffKziK4ggJEfJE7A9c285BhA6gNaSc3ptrWaYame98DpOR3VjqPO_1LrTLUOQht_DscjC108GC-SkIqomBjQQrKpmG3nApEHcX1RnmRjzI5WkAjL4WkJ3XPtwRiwVP1F4k1ZgUQn5mebWFT_mAzaN-nSm088gAKUQiSr-m2Hd81iGNqhsiKY1D7YrFb4ZNDsITXMg_EsT9eedWCsUdco3pbkyYXxYk0pVaNQ5LhicHRvlN7g4semok7VzHKjyA4hUyJ43m1_bn_cnRxNwJPq604uSx28CvPlRmdQTPT90SVcRZ3c8ftxck0Gd39buvykr_kxoOlobLND63pkcuIxx2e_dSxMF6m96fSiebYpdeQoc5QxRymZBSMdsXmnSx_dP83qxpSApCgHW6hMtcxNGo9ZfYriXClQcYmO7dcXQ7JPP7V5_jVgACS0NEwyHo8brGufMG4AA-Jld5bnmUj9Wy1KFkhJW3sZ5C8LIh3adEvAPt8Y13i_A92TewiJ1FB3CsogQH15_VThyMkeDyMEznaWjQpfqIZLi7tJt2A=="}, {"type": "function_call", "name": "edit_file", "arguments": "{\"file_path\":\"/plan.md\",\"old_string\":\"- Tests are deterministic, service-independent, and do not require network access.\\n- The independent reviewer inspects the test changes and either approves them or returns this task for repair; reviewer approval is required before this task is closed. Tests are written but not run.\",\"new_string\":\"- Tests are deterministic, service-independent, and do not require network access.\\n- The independent reviewer inspects the test changes and either approves them or returns this task for repair; reviewer approval is required before this task is closed. Tests are written but not run.\\n\\n## SLUG-003 \u2014 Strengthen boundary tests in `/test_slug.py`\\nStatus: pending\\nAssigned: worker\\nEvidence: Pending implementation and independent review; tests must be written but not run.\\n\\nImplementation steps:\\n1. Read the current `/test_slug.py` and `/slug.py` before editing, then preserve the existing approved coverage while adding only boundary-focused behavioral tests.\\n2.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contract.\\n3. Use external-behavior assertions against the public `slugify` function, keeping tests standard-library-only and independent of filesystem, network, services, and implementation details.\\n\\nAcceptance criteria:\\n- `/test_slug.py` retains all existing tests and adds readable regression coverage for the listed boundary cases.\\n- Expected results reflect the documented contract: lowercase ASCII alphanumerics, collapsed/trimmed hyphens, discarded unsupported characters, and `\\\"\\\"` when no output characters remain.\\n- The added tests do not duplicate internal branches or depend on hidden state, and no tests are run by this workflow.\\n- The independent reviewer inspects the changed test file and either approves it or returns this task for repair; reviewer approval is required before this task is closed.\" ,\"replace_all\":false}", "call_id": "call_6LxpzV5bQOBl1ZvlDfVz1qmP", "id": "fc_0e862a088c1d9a83006ab4a4e758d487d29ba503f1b9420e39", "index": 1}]
{"name": "edit_file", "args": {"file_path": "/plan.md", "old_string": "- Tests are deterministic, service-independent, and do not require network access.\n- The independent reviewer inspects the test changes and either approves them or returns this task for repair; reviewer approval is required before this task is closed. Tests are written but not run.", "new_string": "- Tests are deterministic, service-independent, and do not require network access.\n- The independent reviewer inspects the test changes and either approves them or returns this task for repair; reviewer approval is required before this task is closed. Tests are written but not run.\n\n## SLUG-003 \u2014 Strengthen boundary tests in `/test_slug.py`\nStatus: pending\nAssigned: worker\nEvidence: Pending implementation and independent review; tests must be written but not run.\n\nImplementation steps:\n1. Read the current `/test_slug.py` and `/slug.py` before editing, then preserve the existing approved coverage while adding only boundary-focused behavioral tests.\n2.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contract.\n3. Use external-behavior assertions against the public `slugify` function, keeping tests standard-library-only and independent of filesystem, network, services, and implementation details.\n\nAcceptance criteria:\n- `/test_slug.py` retains all existing tests and adds readable regression coverage for the listed boundary cases.\n- Expected results reflect the documented contract: lowercase ASCII alphanumerics, collapsed/trimmed hyphens, discarded unsupported characters, and `\"\"` when no output characters remain.\n- The added tests do not duplicate internal branches or depend on hidden state, and no tests are run by this workflow.\n- The independent reviewer inspects the changed test file and either approves it or returns this task for repair; reviewer approval is required before this task is closed.", "replace_all": false}, "id": "call_6LxpzV5bQOBl1ZvlDfVz1qmP", "type": "tool_call"}</t>
  </si>
  <si>
    <t>01a0d1a4-35a8-7543-a635-62abe829d3be</t>
  </si>
  <si>
    <t>{'file_path': '/plan.md', 'old_string': '- Tests are deterministic, service-independent, and do not require network access.\n- The independent reviewer inspects the test changes and either approves them or returns this task for repair; reviewer approval is required before this task is closed. Tests are written but not run.', 'new_string': '- Tests are deterministic, service-independent, and do not require network access.\n- The independent reviewer inspects the test changes and either approves them or returns this task for repair; reviewer approval is required before this task is closed. Tests are written but not run.\n\n## SLUG-003 — Strengthen boundary tests in `/test_slug.py`\nStatus: pending\nAssigned: worker\nEvidence: Pending implementation and independent review; tests must be written but not run.\n\nImplementation steps:\n1. Read the current `/test_slug.py` and `/slug.py` before editing, then preserve the existing approved coverage while adding only boundary-focused behavioral tests.\n2.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contract.\n3. Use external-behavior assertions against the public `slugify` function, keeping tests standard-library-only and independent of filesystem, network, services, and implementation details.\n\nAcceptance criteria:\n- `/test_slug.py` retains all existing tests and adds readable regression coverage for the listed boundary cases.\n- Expected results reflect the documented contract: lowercase ASCII alphanumerics, collapsed/trimmed hyphens, discarded unsupported characters, and `""` when no output characters remain.\n- The added tests do not duplicate internal branches or depend on hidden state, and no tests are run by this workflow.\n- The independent reviewer inspects the changed test file and either approves it or returns this task for repair; reviewer approval is required before this task is closed.', 'replace_all': False}</t>
  </si>
  <si>
    <t>R27</t>
  </si>
  <si>
    <t>01a0d1a4-35b1-7df2-be62-d3bc44041926</t>
  </si>
  <si>
    <t>[{"id": "rs_0e862a088c1d9a83006ab4a4eb8b6087d28fb3bf8feafddfda", "summary": [], "type": "reasoning", "content": [], "index": 0, "encrypted_content": "gAAAAABqtKTr1IHlTezUmPtz5WDh9rZ8tGMGVslyeJH8hdAkphCw_C1f5K0BNVdVUp__GeHV9yezTWdX_I_kP-MyJUyQACeZ3syIe73C9KgFkTw5a2BClTLkGNr6bqL9lvY4pG6oqIIAlfxUL5Ew9obQOYlpNc1MHHw-um7UWE8D8wx_EtmAov4un0koWEdu7_PvsKFeb4Wx63BowJMK2skwCtTu1JwSBWB0TD7rSrQg42iTJxlhblNe4E0_KUSGeQvQTB6q0ybqG62p7tjHHT1sSrW4bG18oYcaRXYa4R3tXJcp6DRAr0zp3utibDiAN9_WwpVrBhlnAQ8abBjHc7paiImE1TPbwrgM8Uoxds5ya8BF9vGkX6AakLN_2WsN1c3zS9TbDdE92jpQGtl47KUVI9HKO7ibCIqLDG8sqRxPFoi_c7xT-z96HzbFjn9hz60rna5SYNiQ5TLrtKz41UcJCwx4XBBcHPEzc0aF2pSOosHXZUpEC5Op9ZvM5Ktvt3sayfSggfKULrF_b7CXsKXy-HWrsV5bUidiNi3Mn2DexOxgONGQ2TVl2HIXHwlZVBkY4ZMGtwbFNsK7Y6mhraN32NtBIvJ-vWsocxV3TrZVBL6BTfJxFu8ndaxUm0klYCQw_voHdxV7l0zkopdyg4LAKRcw2Z720dzlhEOWERvLDfpbl64TYArkpx8OLEY8-wNDxWLAXMYRtX1p17bgQz2FQ0zbXKS_uMIura4chCdkUTqUIgiQDfvqO6Ngt5UuSnJ6CCaty0Ao2lqA-Ax1ccQOoA0TG--KrBSYwXsQ32B_POtR5PqY1nkFpeJsutNL9kz5vXW5yxSp_l6wRlcJHs0Va5bPwYbJoRhcTssWBVQjk8KCmtXvXTdubCnQYVSfDhCf2vv4yBdV3SUBSo72SZWuODls5VJXFYjj49N1fFe94YZRHpJzh9ZmAy8duZL7-Iq8hCNd5lRw2g-2t43xKNVkF-zCtih1U3-pJJMkyqU8HyEh2YB3G5CSKMOH1tADzyL_dzGEaJN4vC-i0y28DORQDesZlQSsTiNDjfWVDKp7dLYkq3TiftjNLN6ko7NgN3xE5mqTiAgU6NPMsdUNnCyq_dcsmA11tRodV3DF8f2xjbFWCzMyopH3k4-vxiLctA7CyEtVHCzEpvmU6QpgXx76ose-i0Zc3_kJhTHYy5vhXtZ6hIIegqtxkdTZqvdU2tYQvoXqaz0HDrSypD4zrMFwdlSjmPXE5DVCuV6lqYJihoALXItC7cX0lzXVKMiHw9nPPSp7Yxl3VTtOY7pEi_v0SD_M84jLIzmt-2asEZUhUF44ivL-7dfU9cxEZzsyDkCrd9Mza10w"}, {"type": "text", "text": "{\"action\":\"work\",\"task_id\":\"SLUG-003\",\"files\":[\"/test_slug.py\"],\"message\":\"Implement SLUG-003 from /plan.md: read /test_slug.py and /slug.py first, preserve existing approved tests, and add standard-library-only behavioral tests for whitespace/symbol/combining-mark-only inputs, long mixed separator runs and separators at both boundaries, Unicode characters that do not decompose to ASCII, digit and alphanumeric preservation, and empty output after filtering. Add further invalid-type coverage only if useful. Keep assertions focused on public slugify behavior and deterministic contract results. Do not modify /slug.py or run tests; independent review will determine approval.\"}", "phase": "final_answer", "index": 1, "id": "msg_0e862a088c1d9a83006ab4a4ebca9887d2ac4a2ca7f2699ff7"}]</t>
  </si>
  <si>
    <t>R28</t>
  </si>
  <si>
    <t>01a0d1a4-3e23-7bb1-93f9-0b221172d71d</t>
  </si>
  <si>
    <t>@@ lines 1-48 of 48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Successfully replaced 1 instance(s) of the string in '/plan.md'</t>
  </si>
  <si>
    <t>[{"id": "rs_0e862a088c1d9a83006ab4a4ee420487d299dfdaf2f8104810", "summary": [], "type": "reasoning", "content": [], "index": 0, "encrypted_content": "gAAAAABqtKTuPoe1BWzBLBRWcn7OsyLfPdozh1MvG88Ocvm-ieJy0O8l2xZ9BKm8qOVAbNDb7jzB4rUw6SohL1m1aPgl2KA_4Zwof9kdG7QfjzLqLwL-soc17lpGnXHZbvmWfleomiJB8-iBZdZCM7BDmNUxLiiEcqoBkTJfgTwRXszxs-hB6CHwnYE_RrkZASy6g0E0voYPlhno5BxVPwN33RU4zip56JEdKGeMG427z993UtqWwNKoo7GzOhY_ZpedMtu46Yy5lJHwt0k10NN7R_5K77FaFUkPVHLyabtMUSE_1s6WWkd_3rs8s3rAe31zyCafZBWZL_1glSPkw5Z9KfzX5dZnDyTt_R8aymJAnbpiRrSFPjv7YK8eyI-Ez2-5Loatb1dyvthtbV5fd1g3JwwxBuvHaKYFnuNJxcCHkeMaFcwQIX2xi2U2fVJthebebNcyp3BbMsyZuiHfx9R4L-8ZSAUMcaDTy27seZCHhjtS66A-5ffGt4o5FOj-yXw8JZ5vL8aU0M9MelWhNytm6FZHPuMJudJGq1nS8bx6l69wwAP3M-Fvpvy4JTJtsx6AhPilOoCoEj55G2xOr24V-I306mbOb3Ks2XQ971KqXngGgpRpB3vXdqvzG7WpV4Cauy_sqLwtV9aGzV4_MMO4o164iX9YcxYmNvrHputQhjfaVrYdetq_n-L9PlpSvlXtgOzbMoj-fzUdgzQAoageaFlt6Dhwl37F9izo6KgfcNBZq3vSnpa8Etb2P37MJpS_9caiX5paXRHNvpL_-OKSMNfJhjh0YmOO_b5e5R0qccmLoTq56vRKzha9CFQTTY11jhmg5FYVf92_MRlP3EfAjIUKCAcFLN4BSlzFPOFePQpK3H3z2q9VCMvOjBrTRpvHn6u0yqbDHB94EYuZ0aJZAkfnch_m5tvkriAsbzQvUpUb9UWRFjVYXMlXq_2LeCN5-ozm5w_793vNwAeH8tqBu-EfIeUNLZapWbfukZe5VWO_padrF7U1RdfUlwumIC1KO5d3ISYo6f0T77sFV9tm5S_J6OSRk_-n2Qm38IsoiZe6vBjzdaR2K7lBrOgk9YpYWdI-Qym09fMH2T0yh2FMwzcsPvhFsr_fWQEBx_9AciukG5r6aAALC06WTHVTqjoGaRnueJHGpF7ZHE00PMDSCeeHtYJz5VEsh8Vvn60praM2rWtKmKFKp5qlL4x9Q6X8gfW_CWSl"}, {"type": "function_call", "name": "read_file", "arguments": "{\"file_path\":\"/test_slug.py\",\"offset\":0,\"limit\":300}", "call_id": "call_bjnGkK26nIHMRivdaPmdUOly", "id": "fc_0e862a088c1d9a83006ab4a4eee91c87d2a8f0d241c9758ed3", "index": 1}, {"type": "function_call", "name": "read_file", "arguments": "{\"file_path\":\"/slug.py\",\"offset\":0,\"limit\":300}", "call_id": "call_NadM0ncFUYs6AePtlqcxqeCF", "id": "fc_0e862a088c1d9a83006ab4a4eee93487d28b2b94fdebf70566", "index": 2}]
{"name": "read_file", "args": {"file_path": "/test_slug.py", "offset": 0, "limit": 300}, "id": "call_bjnGkK26nIHMRivdaPmdUOly", "type": "tool_call"}
{"name": "read_file", "args": {"file_path": "/slug.py", "offset": 0, "limit": 300}, "id": "call_NadM0ncFUYs6AePtlqcxqeCF", "type": "tool_call"}</t>
  </si>
  <si>
    <t>01a0d1a4-4624-7303-9c68-a8bfed2143c3</t>
  </si>
  <si>
    <t>01a0d1a4-4624-7303-9c68-a8c0c1b05bcf</t>
  </si>
  <si>
    <t>R29</t>
  </si>
  <si>
    <t>01a0d1a4-4631-7f73-8b51-fa7ebce7292b</t>
  </si>
  <si>
    <t>@@ lines 1-41 of 41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if __name__ == "__main__":
    unittest.main()
@@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t>
  </si>
  <si>
    <t>[{"id": "rs_0e862a088c1d9a83006ab4a4f04dc087d282c446e8570f7382", "summary": [], "type": "reasoning", "content": [], "index": 0, "encrypted_content": "gAAAAABqtKTxvK7qzUyQ1gTJk1R6leYImpO4MmDN6VshdsI9649iEa4eOU7f_hyoC_3IdIR6NICvqvWOwwmGeJsYFYXwNZDcr7dCxax1Ml1Hrch0o09lpx3YpQkIo-5qTW72UnfYwru-69MB2zONazo5fvYaCii71PYQu8NOP5inv2UiKKRrD633mhFc4pPlEwWxevPPG0Y48C7dybo2xohhoAKmspjnUvEHll4M0ZVvIlrtKh2YFNPkGNwxRKIV4jaUmQ-p0U_z4u0WY08zvKbjHDx7TVdTF0gNsKZVmvd3m6OuhBKnwM_V0BpKXPZIwfV47xR6G4FFOvUlU9wfc1cfPKTfgkXlXn3ne4ZmgqvhUixUkQztS4VfIFCtyGAV4SyY0mZ-y9sjk5vnZqIbmpcoXxV2nldYsmxKibQHge-3TksDOyYKjmW18UGn3vhCCoduMolLaU_bdYOfqeaRBbi4rADgvaNGNblf1-_FGxSoP4ublxASn7NCUtLfI9z_iQxI7T2D3TgfJyMgGNVsYdKzHVCsRcDMC_MsmKLrpUrraNao6j3KYbPnUTVXPqft0XpOBjcgkK-cwkKB53JxAZNr3rhJLGIONI7ba-R7mqD-9BPuDT8OCkoVs7pNXgpydbsYjdKaz-FXfnOkNYBLpfxD048DCE90iSh09gd9tp52M0DWw_50LmSgsTEsjOnCCsF-eIK4ge-x8p-L2Qyi0UFTok_tvEp3kkrX-UwvK9hFlz-wMStOmU2ox5DBKxa7xYFdwPB63JhwvhelE_7AbEy0DnWGBu7CmU5lFaFJhVDndG1MFSzdjW91o3gKkAJUK0Xbxl4RNzH1MpXmFRpnHNHrjYUJZJELNsaCnlXmkhY-HarMNvf1nKxRkhRcMozmiZWQ4Scx5B9OxGkFJiBCtz0uSfQCl5bmaJwM7gb1DcMPMNLskx6PKxMagoNZTrY_flwldMI8RYZGrHldHiPqmyM6k8Qerm0PVGN_FB-uO9DBDtySUUv47lpJqk0exr38JlkLQebC8KM1jl_bmEOqJyqCRwHXobuLkbKjqIdy_ZCIvldL4spJQQ0WrNeIfcRBdUhOzBGuxjosAsin_Qgax8jUG8-ou273v4zcfBpBpdFbBgscbr3tqUBGCnShw8NIs02sCK__2KP3iiVEWSCVkjOQPRepHoFfMC5P3QHVajZsUMjOEZ9IsevuEckTCQHENuNs2j7FQXhpcVvYWJEtj1VlLTPZ9Pxz8v-kb5vYDhBStLwMwnEnQs3SpIUXydi9ETK1CPgq9c63Q7xwYepXetn2TS6mq45LLKWaZaF2IdPkM8euEV4pBfGJ5_h_Yzn0rSuqUqMBV4HImuo8sQdx-u3uebkNIuFX_ECUx0ZrYfol3EMDP3_AWfBuOXhvrlW6urXJluJXrmQXfiBPlNerkS_RuZYJKTTj9OMLd0NU90aOnzkeizksSELZG7M-jrasRtIOsNShKXkYgYkiJj6-X79abdouAAg1wQwnuVD3p45KnWTu8j28V7fE2BsBqxx4xqwwgt79sJB8g--wIQT6IB-wbU4Q53-3QmPI0VH-gNNvw2Hln7zmPmploE5yghSMJmpIr5fYvKG2AZlzagpIGgcgjymZ_GbjA2ZDk6uijyr5GK5w6M2MVa79v-z2ywPrM0vi4NzY0veYz-UoX-jtBAiYDSoR44Ei0eBz3cr-vzL5taei95qKVqPZsgpaBtYZaFoAs37g-ESxwS7tat-vWPtQ-CFwVxiaDsScQXfbkw_tJqsTymsztRJGZxk3nefjoxaAbSuJzuGcz9a1xy8nnnJW-VPaJiPfKzajx6dLkDZdWHbMKsKSFOZeDw_gxep9lIL94MBdTKyc"}, {"type": "function_call", "name": "edit_file", "arguments": "{\"file_path\":\"/test_slug.py\",\"old_string\":\"    def test_non_string_values_raise_type_error(self):\\n        for value in (None, 42, [\\\"text\\\"], b\\\"text\\\"):\\n            with self.subTest(value=value):\\n                with self.assertRaises(TypeError):\\n                    slugify(value)\\n\\n\\nif __name__ == \\\"__main__\\\":\\n\",\"new_string\":\"    def test_non_string_values_raise_type_error(self):\\n        for value in (None, 42, [\\\"text\\\"], b\\\"text\\\"):\\n            with self.subTest(value=value):\\n                with self.assertRaises(TypeError):\\n                    slugify(value)\\n\\n    def test_whitespace_symbols_and_combining_marks_only_return_empty(self):\\n        self.assertEqual(slugify(\\\" \\\\t\\\\n\\\\r\\\"), \\\"\\\")\\n        self.assertEqual(slugify(\\\"!@#$%^&amp;*()[]{}&lt;&gt;\\\"), \\\"\\\")\\n        self.assertEqual(slugify(\\\"\\\\u0301\\\\u0327\\\\u20dd\\\"), \\\"\\\")\\n\\n    def test_long_mixed_separator_runs_and_boundaries_collapse(self):\\n        value = \\\"  /\\\\\\\\\u2014\u2026___---  First  !@#$  second  ***  \\\"\\n        self.assertEqual(slugify(value), \\\"first-second\\\")\\n\\n    def test_non_decomposing_unicode_is_discarded(self):\\n        self.assertEqual(slugify(\\\"\u6f22\u5b57 \u0395\u03bb\u03bb\u03b7\u03bd\u03b9\u03ba\u03ac \u043f\u0440\u0438\u0432\u0435\u0442\\\"), \\\"\\\")\\n        self.assertEqual(slugify(\\\"start\u6f22\u5b57end\\\"), \\\"startend\\\")\\n\\n    def test_digits_and_alphanumeric_text_are_preserved(self):\\n        self.assertEqual(slugify(\\\"Release 2024 - Version 2B\\\"), \\\"release-2024-version-2b\\\")\\n\\n    def test_filtering_allows_empty_output_between_separators(self):\\n        self.assertEqual(slugify(\\\"---\u6f22\u5b57***\\\"), \\\"\\\")\\n\\n\\nif __name__ == \\\"__main__\\\":\\n\",\"replace_all\":false}", "call_id": "call_x3CTJ2C4fjdA49Tgrj71cIRu", "id": "fc_0e862a088c1d9a83006ab4a4f1d1f887d2b6e85b0ddcd715b8", "index": 1}]
{"name": "edit_file", "args": {"file_path": "/test_slug.py", "old_string": "    def test_non_string_values_raise_type_error(self):\n        for value in (None, 42, [\"text\"], b\"text\"):\n            with self.subTest(value=value):\n                with self.assertRaises(TypeError):\n                    slugify(value)\n\n\nif __name__ == \"__main__\":\n", "new_string": "    def test_non_string_values_raise_type_error(self):\n        for value in (None, 42, [\"text\"], b\"text\"):\n            with self.subTest(value=value):\n                with self.assertRaises(TypeError):\n                    slugify(value)\n\n    def test_whitespace_symbols_and_combining_marks_only_return_empty(self):\n        self.assertEqual(slugify(\" \\t\\n\\r\"), \"\")\n        self.assertEqual(slugify(\"!@#$%^&amp;*()[]{}&lt;&gt;\"), \"\")\n        self.assertEqual(slugify(\"\\u0301\\u0327\\u20dd\"), \"\")\n\n    def test_long_mixed_separator_runs_and_boundaries_collapse(self):\n        value = \"  /\\\\\u2014\u2026___---  First  !@#$  second  ***  \"\n        self.assertEqual(slugify(value), \"first-second\")\n\n    def test_non_decomposing_unicode_is_discarded(self):\n        self.assertEqual(slugify(\"\u6f22\u5b57 \u0395\u03bb\u03bb\u03b7\u03bd\u03b9\u03ba\u03ac \u043f\u0440\u0438\u0432\u0435\u0442\"), \"\")\n        self.assertEqual(slugify(\"start\u6f22\u5b57end\"), \"startend\")\n\n    def test_digits_and_alphanumeric_text_are_preserved(self):\n        self.assertEqual(slugify(\"Release 2024 - Version 2B\"), \"release-2024-version-2b\")\n\n    def test_filtering_allows_empty_output_between_separators(self):\n        self.assertEqual(slugify(\"---\u6f22\u5b57***\"), \"\")\n\n\nif __name__ == \"__main__\":\n", "replace_all": false}, "id": "call_x3CTJ2C4fjdA49Tgrj71cIRu", "type": "tool_call"}</t>
  </si>
  <si>
    <t>01a0d1a4-60f4-7a73-b1b5-0edbe1ad64c6</t>
  </si>
  <si>
    <t>{'file_path': '/test_slug.py', 'old_string': '    def test_non_string_values_raise_type_error(self):\n        for value in (None, 42, ["text"], b"text"):\n            with self.subTest(value=value):\n                with self.assertRaises(TypeError):\n                    slugify(value)\n\n\nif __name__ == "__main__":\n', 'new_string': '    def test_non_string_values_raise_type_error(self):\n        for value in (None, 42, ["text"], b"text"):\n            with self.subTest(value=value):\n                with self.assertRaises(TypeError):\n                    slugify(value)\n\n    def test_whitespace_symbols_and_combining_marks_only_return_empty(self):\n        self.assertEqual(slugify(" \\t\\n\\r"), "")\n        self.assertEqual(slugify("!@#$%^&amp;*()[]{}&lt;&gt;"), "")\n        self.assertEqual(slugify("\\u0301\\u0327\\u20dd"), "")\n\n    def test_long_mixed_separator_runs_and_boundaries_collapse(self):\n        value = "  /\\\\—…___---  First  !@#$  second  ***  "\n        self.assertEqual(slugify(value), "first-second")\n\n    def test_non_decomposing_unicode_is_discarded(self):\n        self.assertEqual(slugify("漢字 Ελληνικά привет"), "")\n        self.assertEqual(slugify("start漢字end"), "startend")\n\n    def test_digits_and_alphanumeric_text_are_preserved(self):\n        self.assertEqual(slugify("Release 2024 - Version 2B"), "release-2024-version-2b")\n\n    def test_filtering_allows_empty_output_between_separators(self):\n        self.assertEqual(slugify("---漢字***"), "")\n\n\nif __name__ == "__main__":\n', 'replace_all': False}</t>
  </si>
  <si>
    <t>Successfully replaced 1 instance(s) of the string in '/test_slug.py'</t>
  </si>
  <si>
    <t>R30</t>
  </si>
  <si>
    <t>01a0d1a4-60fc-7a00-ab94-cd18a06ab812</t>
  </si>
  <si>
    <t>[{"id": "rs_0e862a088c1d9a83006ab4a4f6da0487d28c99f763339f2d26", "summary": [], "type": "reasoning", "content": [], "index": 0, "encrypted_content": "gAAAAABqtKT3cdkQemIn6ELsJ9z-8cz73E9bwlcZ_lIYzq9Di7zwO-71Z_l8BI3HfZsO5mogS4o2fb9q9O1Pb0DHDKczewj3HDgAB4mNVJ8Lj1oQwE0aLuQdraL_opMSqGp0TDVGD6rQzZlnQQ5wDPSTZi1S4QWdxP0VGhc6VgxFl8bWZQf8wtyal_x7VwZybDq4jVvWZU521s9vh8d4ypy4x8ef0Y3NKIPMPAkeYiVXqNO4AZoZtqDGz65xBKg6nV08HUK1_Xt7bYWNUrzzbBjePzkhCARiYZlnSY6DArQQT91YEYFsbqy-ywdFegcBWYK__-S6Yzot3hCJvO2rqXapcLmpSzukk_uukgYN_waT4NWwhMW3T1P7rOxtKgmunpiQ875giOQVYD2d7eEnojnJFrvSJRQhwwIE77JkQNr3NoSGjrmo9D8WIAuz73Oa24EVpIAuiQADiulPjzpLnmd2gzQ70kEKWSGJLe9WKhhIXxc9x-Kl_iYg-tihT2QW8xijq9EOZzjrsCZbB72LDwI5YIS7UydDSdF6pkafeDo_1Yeqq-mDO31I0hq7rsHumDtFwaZAmyNL9a1QS4hDKee4tnw9yLnxDEuN9juP5lspnRIVsrb1xKWc69C9XvALisUZ6v35SHtwmWbtGugKoDLM86L0_CNFaqIza0MNfJkQgTd1X935n1nU_jQrO2Ne3n7dd-s6aB2vBevv9qnuLRbuZrFASpISv95OvuaVaH8qx__o8dSkoF-GVqN8mePtKNhDJRjxD6RlxkwFgA6BZyjJFkPJNLeqdankMRv_xYc-VjkLXWvSu1WhyN4CW9J_exMXXCzp8sJ6Zx-i8aQvjaKHKug85SeqDFyx9FmijBmaq1W6NEIDejjKoi061-THcdkyd00q4DVBDCiR0ijsLlxIBy5ZfRKEmX8i_IHAUQZXWYTi9nwvzTHfliBAl20OBktVBdUFK_p-r-zfQSctP9uf0q-MMazIM9rt8NDBY1qogZZvl5Y7FGG74zPHRGmShuTyOT0hVa_WIUFnakf9RxjEqbFueczJ49RPZGZHxqcmpwzYp37_N6LGYLskia0HeiQgbU4E2lgiEENreT73fxJU2UJm06AWJt-7HscdlBpsSEdU9KzRhGQzB8hiqE82AdBmuDI1wxghppCA1kesOqKmlKwJwjgk3sM4zdRmAYdSRS1Ed3uqGPSBSIHa5mIPPvkynkthneA7vr66zxWImV4bNK8dflhCoVf-NZciDKfpLQqGjSRpDtY-HH2xg2wzRpO9dSqw8h9FvHhdpawgk4txsVPdWDN_6BS104eHcZ911S9b1K20Lo8="}, {"type": "function_call", "name": "read_file", "arguments": "{\"file_path\":\"/test_slug.py\",\"offset\":0,\"limit\":150}", "call_id": "call_LwVuOYFWRfRPlmTAxIzQW9bU", "id": "fc_0e862a088c1d9a83006ab4a4f72f9087d2935d1a683d6a14f2", "index": 1}]
{"name": "read_file", "args": {"file_path": "/test_slug.py", "offset": 0, "limit": 150}, "id": "call_LwVuOYFWRfRPlmTAxIzQW9bU", "type": "tool_call"}</t>
  </si>
  <si>
    <t>01a0d1a4-66f6-73a2-9a81-578885bd61db</t>
  </si>
  <si>
    <t>{'file_path': '/test_slug.py', 'offset': 0, 'limit': 150}</t>
  </si>
  <si>
    <t>@@ lines 1-60 of 60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def test_whitespace_symbols_and_combining_marks_only_return_empty(self):
        self.assertEqual(slugify(" \t\n\r"), "")
        self.assertEqual(slugify("!@#$%^&amp;*()[]{}&lt;&gt;"), "")
        self.assertEqual(slugify("\u0301\u0327\u20dd"), "")
    def test_long_mixed_separator_runs_and_boundaries_collapse(self):
        value = "  /\\—…___---  First  !@#$  second  ***  "
        self.assertEqual(slugify(value), "first-second")
    def test_non_decomposing_unicode_is_discarded(self):
        self.assertEqual(slugify("漢字 Ελληνικά привет"), "")
        self.assertEqual(slugify("start漢字end"), "startend")
    def test_digits_and_alphanumeric_text_are_preserved(self):
        self.assertEqual(slugify("Release 2024 - Version 2B"), "release-2024-version-2b")
    def test_filtering_allows_empty_output_between_separators(self):
        self.assertEqual(slugify("---漢字***"), "")
if __name__ == "__main__":
    unittest.main()</t>
  </si>
  <si>
    <t>R31</t>
  </si>
  <si>
    <t>01a0d1a4-66ff-7220-a368-b62255c87872</t>
  </si>
  <si>
    <t>[{"id": "rs_0e862a088c1d9a83006ab4a4f8a4e487d2940deb6a0cc5b253", "summary": [], "type": "reasoning", "content": [], "index": 0, "encrypted_content": "gAAAAABqtKT5vPM07vWT43AKSF5AQNzWVBdFjVaec1p2Yt9L582kFoyJ2xrV0NvdTRfN0_05RtugS2ySdSIL_AjHT_LmkKnpf3--XdHyO9MkSZJiqSF6Gna-j_40gtOc1ossEz-2tcJ-YEdQITB9tnQk7waiJZGOpXNb57aPga_dpu4Sz42ZbWbmEVU8IC8x2tSxTswUB_Wf4zJ-V07obUz7p_XLVr3DivVrX3OKTvGUHNddY6qM_M6b2PlWFBiJIA-uVWMv5z5HvNFtUxcpoRiMjehGcBElilyiVy_YEmHePRcPRZ6uOGKV_flO8_cJapro7e0nrM6ffA5f77RBBo0c1Nr9tzxecFZNj2W85WXzC60k8dnsGTF97e6fFpW_YBtFAYea4xw9eYnth-8ib1PkhsHp2_AGiDpaoAcgUrDxdO8Qwk7CtGeODP2cJsHotDDhcdfNgiXJb1hnZOxxi_PgP7DaYSnB_8PF3mxnwDccv7dtY0z0RQOhGJRfq3yHw1sSJ4skIEBbdL5AbvUM5E6dEAk23vKcWk7QcZwKEnNcg03ZV7K2NOrksu4I8iM2XxYBAXieEy4f5ru5Kfe0RrjI5fvAw-7lyxgl8CMONS6E2B6jj0USPN7MxKaUIPWcOxMlYZBEa76stxVMjb0MagO8KwYdn4uC2CifBmmop1mYNidgbruH8xNrOc00PxE5FEUVmKRgDwv0T82IUE7GTPln6K5O9s2OpVQPXJrrkqSlrY4s4ssOFnmyTP0DP82MnLjuerw9AOrFxRVWnsolrhqvr0isxwdKf9m6UPRWSyGhLgC_u_p0aX76YEmnvTR-cYGDPAmidfK_MiTmESvj4zW5uo5z4Hg3ISyGS_e0-PrYV4UjIwhdCC23k2t0pK2jQ3SytTaNclydY08R2TpxhwrxBWzHuWIr0KjZsSD4fsMw3c2eQmKsDZDPgk4QJG7cyQcR_DWDPlBJ8ZcgWGmTXnKOpJyOQ5NMvmHYvPnx5DKPyRzPaDPwci8Yc1SYsuPu9jyKRJZlw8JleAICJ55QrUTRl0vBEBYeDUDslIifo-jLMuJ39TX_fg3d--RY6uMGlDNe4gMtUjPPAXCgOUMsx7ELVFYFqD2DIbtgifmQnqDf2gGy5J6-frvSPKdL_Na1Kousx9QqWfhpn26RKRMsL58KqULM49sOtW39jw6ZtdFap7tRkFM7SqLeHX3N6wS02Gm5d3w3usSrDblMyE0DWmmDBcqlxytn9m6Lw4_6rHW2juHw0niT_bZhbWeqmHALrKFaXP9M0kCAKyQwhdt5hry23epCSQqw95BljdPMhjb9qUidOEkCJGjFyNLd6faj-ydke0w27LDcyctJZDWu2dV8DErn__CGAepNx-yf7jpoMmyG8LDziJLyubbJiVs1qkA3Q_uv6oFzQb22MwVNTA8JljXYUhT00X5lGQhCR6lAUNaqVeQECsEiWXMOXqOtWa4dhxrBtya5-e8_-BHXpXdIXNAh0wJlkWwO7HtL4KjMsJUnooKrXvQpy97tpcnFcea033RmSdH80YQ0QnMWdp6y0vymhv0JWK0w6Try7FFYPqXaHhjiyu4="}, {"type": "text", "text": "Implemented the SLUG-003 test updates in `/test_slug.py`.\n\nAdded behavioral coverage for:\n- whitespace-, symbol-, and combining-mark-only inputs\n- long mixed separator runs with boundary separators\n- non-decomposing Unicode characters\n- digit and alphanumeric preservation\n- empty output after filtering unsupported characters\n\nExisting tests were preserved, and `/slug.py` was not modified. Tests were not run per workflow instructions; the file is ready for the independent reviewer.", "phase": "final_answer", "index": 1, "id": "msg_0e862a088c1d9a83006ab4a4f960bc87d2b2205f5cc98d6f7e"}]</t>
  </si>
  <si>
    <t>R32</t>
  </si>
  <si>
    <t>01a0d1a4-7256-7ca0-82c6-421956edb806</t>
  </si>
  <si>
    <t>[{"id": "rs_09c5fc37c98fe204006ab4a4faf90c87d2a7fba9596f4749cf", "summary": [], "type": "reasoning", "content": [], "index": 0, "encrypted_content": "gAAAAABqtKT7ds-PTujAweyJb28O1OufeHXkG3XJCeGPB6al8xzjuiHbvOvvGZyh5CNIWqutPv4QnaqnZJzvAGGn7oLo2oo2kR9fdBjY2GIxSz7vn5ReWna9t3SEovJdrCton5iSNXNDjMNvFTdbSxMzBdzAQAE270GGb2lL2SKf6y4kSCQWOLtT0b9y4Ks57DS2UAOBud2Mh81BO6h-G75XpwvnXs6J_1iGK9-8EdDHM8IGC1nJ-gGx2b-ZIdIP0pwEw-gTJ-D2lFaVk18Kh1xWyiOJRtOpJmFIQfgl0mkVEIFcwgimZJG_tH1lyAOje7kTSKkhfz_jhClQCuKU2WrZdYbutVw7_k0i2JYiJZUnuCXwTb31magG8KYGQf--m8EqFX4fHULQqZeiqBX7LSyMMv4Fppjrz37UNlelz6lcCd-xU_F5UwaJdfSn71gu6tZGayOfXjGPiXWxaF1jCtvFkpmhVI5ycIfW-IdjDH4VcPaj5sR2UcxQJqI4evsQZ82LFKPoBRmZPI8O5_XI6v-1_ytDHvT7xm7wwOcZhYTRNdVsnChm5PrhX_sF5yHE5Lu6j4nRJ83BDv1G7PXwQJ8yVISDA0asswAbcXP6w83aIC9B0H67RiAWizGc8MjH_iUT-tsviG_Nh1hAIyJ1PGtDP58CasFetnrDPExufmrfLK0jaKpG9kzA--HMferR5hTgiICFMoayOdPpUo-Vp8N30eRdNtAAp-emqCwXx-EFx4UwMkCGL1D_HUFsJfxga3WFBxSQXw1RHSAO3B3j4fqXak6tNplPJfjbeuaz0hrPpgOVhU7kCWmJgfeO6W2--Y9CVwPgNVfNsQNbvfuhXSs-aFjgSqn4x-toVjOWNTFaRL8uAUOEeVgLTCO3IPJFXfhMjSBHir2PRLoGwbZkteTqx98OQWjsgRAxXFAOvjQBnChEaZkQh1lYfuoGHShlliOnP5qiNmlSTSwlORaKDnidc4NcW4T46zTkftUxLB2ta-Pp4J8LaEaTx755R4pa-7s8Z7WT5-Xb97ILpCj_RclTBgjaz1fMYsfnbGNJCC0CGSUCLIEaSjWNDYrh6yupRqjeAgbxCH7gGy1gSQhRWwcJNCoTw-6P9vzIbl5GzlG8sjwgEPwQgTnXG57Fsbq7Qb7Fgx4-lcC_RU9CNEwenE6BkZueMvklYWJL77XAxyShcynQGm4OMeC-u8CYl_BQeiHh9RXBXioRhBk3serOh1zqpeKpQtX7W4iCdvmWx6bz_3DLrsceF1n7xuYoT_K9NXblvYv4DOjP"}, {"type": "function_call", "name": "read_file", "arguments": "{\"file_path\":\"/plan.md\",\"offset\":0,\"limit\":200}", "call_id": "call_cqqF2mbt36ef6dTTYtxSzlRt", "id": "fc_09c5fc37c98fe204006ab4a4fbb6c087d2a2a9bb9494b65438", "index": 1}, {"type": "function_call", "name": "read_file", "arguments": "{\"file_path\":\"/test_slug.py\",\"offset\":0,\"limit\":300}", "call_id": "call_xX4pAbl14Z0Q37PxI8TuVaiB", "id": "fc_09c5fc37c98fe204006ab4a4fbb6d887d2b9c97cd8f7d535d5", "index": 2}, {"type": "function_call", "name": "read_file", "arguments": "{\"file_path\":\"/slug.py\",\"offset\":0,\"limit\":300}", "call_id": "call_btOl42PixHiK9vKsHetIpNyV", "id": "fc_09c5fc37c98fe204006ab4a4fbb6e087d296ede78e76a3b0b5", "index": 3}]
{"name": "read_file", "args": {"file_path": "/plan.md", "offset": 0, "limit": 200}, "id": "call_cqqF2mbt36ef6dTTYtxSzlRt", "type": "tool_call"}
{"name": "read_file", "args": {"file_path": "/test_slug.py", "offset": 0, "limit": 300}, "id": "call_xX4pAbl14Z0Q37PxI8TuVaiB", "type": "tool_call"}
{"name": "read_file", "args": {"file_path": "/slug.py", "offset": 0, "limit": 300}, "id": "call_btOl42PixHiK9vKsHetIpNyV", "type": "tool_call"}</t>
  </si>
  <si>
    <t>01a0d1a4-78b0-7402-ba94-a09196724a97</t>
  </si>
  <si>
    <t>@@ lines 1-64 of 64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pending
Assigned: worker
Evidence: Pending implementation and independent review; tests must be written but not run.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t>
  </si>
  <si>
    <t>01a0d1a4-78b0-7402-ba94-a0a72fa66ee3</t>
  </si>
  <si>
    <t>01a0d1a4-78b0-7402-ba94-a0b250b9b3ff</t>
  </si>
  <si>
    <t>R33</t>
  </si>
  <si>
    <t>01a0d1a4-78bd-7342-8a57-f0a8dce842d6</t>
  </si>
  <si>
    <t>@@ lines 1-64 of 64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pending
Assigned: worker
Evidence: Pending implementation and independent review; tests must be written but not run.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
@@ lines 1-60 of 60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def test_whitespace_symbols_and_combining_marks_only_return_empty(self):
        self.assertEqual(slugify(" \t\n\r"), "")
        self.assertEqual(slugify("!@#$%^&amp;*()[]{}&lt;&gt;"), "")
        self.assertEqual(slugify("\u0301\u0327\u20dd"), "")
    def test_long_mixed_separator_runs_and_boundaries_collapse(self):
        value = "  /\\—…___---  First  !@#$  second  ***  "
        self.assertEqual(slugify(value), "first-second")
    def test_non_decomposing_unicode_is_discarded(self):
        self.assertEqual(slugify("漢字 Ελληνικά привет"), "")
        self.assertEqual(slugify("start漢字end"), "startend")
    def test_digits_and_alphanumeric_text_are_preserved(self):
        self.assertEqual(slugify("Release 2024 - Version 2B"), "release-2024-version-2b")
    def test_filtering_allows_empty_output_between_separators(self):
        self.assertEqual(slugify("---漢字***"), "")
if __name__ == "__main__":
    unittest.main()
@@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t>
  </si>
  <si>
    <t>[{"id": "rs_09c5fc37c98fe204006ab4a4fc9b5087d2ab0082e250243a30", "summary": [], "type": "reasoning", "content": [], "index": 0, "encrypted_content": "gAAAAABqtKT-CMDffW0tbgYitxhyNKx_-WeFLpRI6yQ2JPQj5Av8Z0NOlkatQ6DaKpKHwlb3qpqLAS98qZSGYMro_9cY-0_gIb0sVmTDNUtvj0UQEO72f2A2iIOJvPBdqMHJo3JNLArwzSG9A3ZwDIRqb9NB2v_O5uUSaew9M9cTzxmBzOic0XWL2C44szhEb_OiK7TIfaluzQrKgs1LgF55TOlUH4272T9Gqi_WJpVbP-D4b1SeN59UPUGKLhekAnpIV5iFrQ5j4e0yqgmbtItuDODgYwbLtARJ0nThbDEKi2y62NnH8p7v9q71GZ8K46reqnznkzcLduRhUzdKGi3rfTSqOST2T1Kjbj5GdBfOSzrhxUgvkebg7z8CMz39LOa6tyEhAiLshotlYCg1WmwXFip80Q6zVlWjeXqkA6Yum0tgBgApj0S5KYmyiFWTxUBh-_1kLiu629WQfuzsVhsBCudwC2cj_BTWmw1QhsTQrnFJlq1dHLTTGSakXAo5r4OZe-nwyvqrV0ox-nDhvF4vSy5n6_XIKQELh0FIDa8CDlnnMZddSXklw4FBUa4RRr8GpRgfTZ-RljRuW89FQsGdKelJjR3NdbgqOY1UmFLdLBfyB4WQBk44dFcUa8Wv6OvaBW_tIXl0WhtZWQwkdmQ41nwywyYAPykeDFugxnCTzAEZ8c4qD-UU7TJQtc4wx12P2dgL9Vbs2PMqSdNOpTt9iQ7gYiUJAuMTAOw7R8JgdPbwHMnaVp6BTCMLjd21rayqymnRPoha5LANjrmrCrf9fVTfN2Me9z0I32ePIc3nHEqYXvLzTQoz17pngLUMiOy80EXg5WXl5fy1PssBs_HRQKWNc1KCe7-4HLEQOcAEcFItgkz2QP_k6Wi-B0tCEbOVbzPcKjkRb4MlmTxbwHsnhpXMfpaU7jHFUBZNWNKUVqJBZ8vt_0DBKuSasgJaU9tiHXfatWWsByrnbhIhWTib24FYv8pKNR7PAvAAOsiULF-pMjj-10KzxO9T5qP4kQK_fu1JxlBufG6VtP-HOdUXpSoisNzyOlVBbTVYCeZQzC1qs5S7q5s8TueSVr19BsKc4oAj-negL_M18_DTZa7q1TDbsfMEQmrJIvepsb23rZPH8kShb7wsMIeGaabqMZx_6cdBpgLXZ97-hWEnlo2YKj8P-oRqwEhrANXc4fhFtIkZHr0JZDHtDMglP5KDfaQurIherbgUACXY0NH4oO1BqL0is4y_kA75jVUHDXCCDyjI5STJNZH15Gp8HH8rEVP9jYpggOL31dKdxaFQWWiC8se7UHedwjEwFWEg9iONG6aZTMp1mQqSzpFWBTckezoUTM4t6tnL3tTSCWfGhg0QKfQlu0Xmh_LXpuJJH-zjsj4EiuMZe2yQz1Qv2T_i3tYTKEsXRfMFyz1Ttqjv79f99F7ITX2dvXJHZ6Ylhp3t2FxCtSDlebxdoDsGj4QjdCJGtEwcFqn9PMQ2x9mMr4qFUwHoGZfBxXW8JlGP_CnMDQ54oTXadIBQngissKUvOi3D4bVJFEclUv8P7GRxptN36PnS5LTVcW3Oa1U9XHSkvx2bbDT2nob22R2MntGkswxZRyUfsc0CwsUMRyEAmKsDOwXz-qc3bmWti_o_g5PG49LzMY3STjQ9BTOoetV5c1hcebXtlXU_Tt8pO__KVXD95-yGMHJMi-Marzi4ENYGEv98lNA4KZpD0mxCZBM0dRHCj5p3cpa77ynEeqxYVrtiup7jsG4UCSRM4Z3wjjT9o03-ivdzr-DBC2iXJDYcH7ODIzkhC-ot47XdYNGptdhqIc1VuHeXrkdxjAeGH2_dfzxbtzQYBKHk3HNtQXs3MYDqMbBWakWTa-SKHsbCr95yacFsHPqqLMcKzQuhrDIhrIFcFfbygyScEnTXvrgKWoN5pA7hGCIzCUt1bQmADHhUooEbrUxeSxoM0ZrnI_v7jRz9q-ljGykq1FSG5KE41GLOEcOtC_tbx-BXXpWo3bftnemqz6eYUmpu6l-PPL2jSQrkHuDpG7bfbqvIkLQE0HaE2Mdw-ZHhDyFTY69ta5lFZ_Gs4JbueaII_Ul8Eiwnc5CjdqxuAwtM_Q6Iw5YqcMGJpPRcbl-GSVUgxNM1CZeTTufnlnlFILXiZh8AGAS2FEzPQaNRVodffDEWv_OPBd0fmHC_ChOroAkl3BmUSN2Fc_hQCv28TfJ7tW6J1ye3Oi4rMnRHbA4I7j9rLlA-tiTzp0louGcOgoFYpSFgjo8-_3-C9JNM-rhnriijJ4JExV146GSp_aFNaclAHGWVRMX2JvesvXlfYwSQxx32HJsrbc9yBoD2_zV6JdT6kY7B9poGHLAyYHa2e0YV0latERcw_uRiiKzSYeM3Ysn6oqGT2p38ORExLJXUOvAMgKtIFd1z3ED9gm1ihQOztmneyORgQesL754ikeuj_Wl_oL2kLAjLSpNXmxr7sfscGSPwtodVCk_43HeIvs4RFeinbZVKAysGnLB8"}, {"type": "text", "text": "{\"task_id\":\"SLUG-003\",\"verdict\":\"approve\",\"evidence\":\"`/test_slug.py` retains the previously approved ordinary, normalization, separator, empty-input, and invalid-type tests and adds focused coverage for every listed boundary: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"phase": "final_answer", "index": 1, "id": "msg_09c5fc37c98fe204006ab4a4fe572487d28b7257c9556c88d8"}]</t>
  </si>
  <si>
    <t>R34</t>
  </si>
  <si>
    <t>01a0d1a4-8980-7e00-a312-3f8fff2d1332</t>
  </si>
  <si>
    <t>@@ lines 1-48 of 48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Successfully replaced 1 instance(s) of the string in '/plan.md'
@@ lines 1-41 of 41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if __name__ == "__main__":
    unittest.main()
@@ lines 1-47 of 47 @@
"""Create deterministic, ASCII-friendly slugs from text.
This module's responsibility is the small public ``slugify`` function; it has
no service, filesystem, or third-party dependencies. The function assumes its
input is a Python string and deliberately raises ``TypeError`` otherwise.
AI assistance: implementation drafted with AI assistance for this exercise.
Copyright: generated for this exercise; no separate copyright holder claimed.
"""
import unicodedata
def slugify(value: str) -&gt; str:
    """Return a lowercase, hyphen-separated slug for *value*.
    Accented Latin characters are decomposed and reduced to their ASCII base
    characters. Characters that cannot contribute to an ASCII slug act as
    separators when they are punctuation or whitespace and are otherwise
    ignored.
    """
    if not isinstance(value, str):
        raise TypeError("slugify() argument must be a string")
    normalized = unicodedata.normalize("NFKD", value)
    parts = []
    separator_pending = False
    for character in normalized:
        # Combining marks carry accents already represented by the preceding
        # base character; discarding them preserves the ASCII base character.
        if unicodedata.combining(character):
            continue
        if character.isascii() and character.isalnum():
            if separator_pending and parts:
                parts.append("-")
            parts.append(character.lower())
            separator_pending = False
        elif character.isspace() or unicodedata.category(character).startswith(
            ("P", "S")
        ):
            # Delay adding the hyphen so leading, repeated, and trailing
            # separators cannot appear in the returned slug.
            if parts:
                separator_pending = True
    return "".join(parts)
Successfully replaced 1 instance(s) of the string in '/test_slug.py'
@@ lines 1-60 of 60 @@
"""Behavioral tests for the deterministic public ``slugify`` function.
This module's responsibility is to verify the documented input/output
contract without services or third-party dependencies. Tests assume the public
function is imported from ``slug`` and do not inspect its implementation.
AI assistance: tests drafted with AI assistance for this exercise.
Copyright: generated for this exercise; no separate copyright holder claimed.
"""
import unittest
from slug import slugify
class SlugifyTests(unittest.TestCase):
    def test_normal_text_becomes_a_lowercase_slug(self):
        self.assertEqual(slugify("Hello, World!"), "hello-world")
    def test_whitespace_and_punctuation_runs_collapse(self):
        value = "  one\t--\n two...three / four  "
        self.assertEqual(slugify(value), "one-two-three-four")
    def test_accented_and_unicode_text_is_normalized(self):
        self.assertEqual(slugify("Café déjà vu"), "cafe-deja-vu")
    def test_repeated_and_boundary_separators_are_removed(self):
        self.assertEqual(slugify("---already--separated---"), "already-separated")
    def test_empty_and_punctuation_only_input_returns_empty_string(self):
        self.assertEqual(slugify(""), "")
        self.assertEqual(slugify("!? — …"), "")
    def test_non_string_values_raise_type_error(self):
        for value in (None, 42, ["text"], b"text"):
            with self.subTest(value=value):
                with self.assertRaises(TypeError):
                    slugify(value)
    def test_whitespace_symbols_and_combining_marks_only_return_empty(self):
        self.assertEqual(slugify(" \t\n\r"), "")
        self.assertEqual(slugify("!@#$%^&amp;*()[]{}&lt;&gt;"), "")
        self.assertEqual(slugify("\u0301\u0327\u20dd"), "")
    def test_long_mixed_separator_runs_and_boundaries_collapse(self):
        value = "  /\\—…___---  First  !@#$  second  ***  "
        self.assertEqual(slugify(value), "first-second")
    def test_non_decomposing_unicode_is_discarded(self):
        self.assertEqual(slugify("漢字 Ελληνικά привет"), "")
        self.assertEqual(slugify("start漢字end"), "startend")
    def test_digits_and_alphanumeric_text_are_preserved(self):
        self.assertEqual(slugify("Release 2024 - Version 2B"), "release-2024-version-2b")
    def test_filtering_allows_empty_output_between_separators(self):
        self.assertEqual(slugify("---漢字***"), "")
if __name__ == "__main__":
    unittest.main()</t>
  </si>
  <si>
    <t>[{"id": "rs_0e862a088c1d9a83006ab4a501407487d2878b85235f21be75", "summary": [], "type": "reasoning", "content": [], "index": 0, "encrypted_content": "gAAAAABqtKUC1DMmtSF2FL7eSIbpeFVF6pjvDUQkgf-11YU5oehIj5hUFE-WHLZsYrcu5lXGmLM1sH2Ewa1338--pJ9gj9eGkXKfcK2pMlKlhYVVqIVT9r4MMfhGGEQsxPTbke4VUYq2sFpCHuIVJC4RDIhNFGd7tKirv5ppX0PcZ68aZiHzYxRuRX2wu3yomUBTc6h0I5XiXWd2V1PhFvfZ9HUO2CcVdRhvy40jQXMi2LOkcCcVdI7ucb9ZKY2N9KSey5yzTmVflSmLnP8zSNYqxzGh3QKj_k2xJ4vA8JLXc38f1Nsfu0Tya0CiGWawWshOyhX-GUdo4AhmXuXujZM_0Xpca2jR6eke1cR8LZJm5oJAseOolGXY_gOk75xvo3xbU-Mh0aNSRLPkm5-LPR7Mp5AQFWoj16ncNWN5LOcACsKkrSo06MZhjcwkml-q-NAjo5w3WR0_n5npWrPSWENjwZTnWu5MA4zmWvGqaa20kDlrNQjuq2a-n_tqFJAdfOx-e80J9qRRtmk1k6GCoNVcAbRcG5alFwlMP-pKJOPcEBxdQRIg_f7BLXhhzT0-e73kxoesZG816-TzAvsdNoBRtnupQ2eXSVIcHbIO7CVnRPiIg2-zUZFyKueDzhTzpTwLSHLqTKImq7yLH-zr1HNfGkFTZj24YE6dYQ5KeK5_10xMhTiOpk0E_jt6dpNDkIhqJMW_hIlyeT3OkvsCj38gN9GpCrzGRGENmHr5ilxN1wQzXufsV2DXjDxFA5jt1Doc2G0-P_vF6CWXkhTbqlcC0QOxvrb5vFVmvi5q2aiqKb7ifwoJXOVqL-dXEYrfUtp7iZejUfNqD9L2jW1WMGW6JzrfuU5nRXPt-5_QNPhsUm4Mq6egUX3s3pPq3aXmbJxImtdXMKussiUlXRRvi9MFBV_n1gOsNAfgCHYuMKhrFe1-iG8y0zUjD03eEyxDcija2EWpuCB8jsjJAQRzbIlWxHhGByDERgJrVECxEMcm--aam5BfDGYKSeZnGCP-Wk5tPyFajC6rwNLcuPiEoKNj8Bv8yVRTtLhqKmx33h_cYSs5QrKYViP4-0R9RqZgmGxUa1gbx2mYuxgaiCZbUAd9zO6UChMyawuA23LObOhdFyR3aX8-Z9ifAGXPrCd-53EgQm23lQgKbzR2QzKKyBYeIL1BbFn_ln8yrYYDSok4nhitwzyJSH4NxzbeoZ2a3vDgESRWb89V8nNcV338tIZYp1xVzwcKGuoSGaeQp9ZR8ud4-OxuYz0ss5yUqdgNEKsr-Xongxrs_Pw6IcJXNoO7og1jR3aTX9Bvb1GUpxrw5nTdWzxUdwn4SEgXxP9wga5cqNtX795ZNiKvmg0iAu_hCE67Gu0MLr0IQ6BFSt5pbmoN6sX6be7AEKSinqe7XjKPx05o2bPsWqS38EEr42nqE8dOeRCT7Vz_laY3swuED7wIGUYgtjaiCdca21w_CZtghIWt8WDLpcKhJNfw3gVxbfn3egRQXc3MOkjOFyb68BPvMwzjsjsFRQN226G9uEQhNOnf3r-CkmZVodiBrtejA4XjU4SqquTEahVyZLqWVupcpIiQthfxtwBuqudphii8TWPrW17c-fKAzrnd-ERjDgd2RgxesbdxC0xlUbXAmJ1RnaRPBIMMD8S_xKDE7rHIueGMxVWCvuze4dE4CHgpE-lyvrSaae0-xZd_8HLboK9_2dylATMwdBOfGSNLsIdxzcNZHsROpPeX5avb7_TR60ChMys8rmI7UgVf5ymUyy9r5_XLf7EgDadF7NlFL8Bh1FxrrpQ9"}, {"type": "function_call", "name": "edit_file", "arguments": "{\"file_path\":\"/plan.md\",\"old_string\":\"## SLUG-003 \u2014 Strengthen boundary tests in `/test_slug.py`\\nStatus: pending\\nAssigned: worker\\nEvidence: Pending implementation and independent review; tests must be written but not run.\",\"new_string\":\"## SLUG-003 \u2014 Strengthen boundary tests in `/test_slug.py`\\nStatus: complete\\nAssigned: worker\\nEvidence: Independent reviewer approved `/test_slug.py`. The file retains prior approved coverage and adds focused tests for whitespace/symbol/combining-mark-only inputs, long mixed separator runs with boundary separators, non-decomposing Unicode, digit and alphanumeric preservation, and empty output after filtering. Assertions target public `slugify` behavior using only `unittest`; tests were not run, so execution remains unverified.\" ,\"replace_all\":false}", "call_id": "call_8ntIdtorj8CGB9Rp10UNM7he", "id": "fc_0e862a088c1d9a83006ab4a5026d1c87d2a7f477f03dd7b490", "index": 1}]
{"name": "edit_file", "args": {"file_path": "/plan.md", "old_string": "## SLUG-003 \u2014 Strengthen boundary tests in `/test_slug.py`\nStatus: pending\nAssigned: worker\nEvidence: Pending implementation and independent review; tests must be written but not run.", "new_string": "## SLUG-003 \u2014 Strengthen boundary tests in `/test_slug.py`\nStatus: complete\nAssigned: worker\nEvidence: Independent reviewer approved `/test_slug.py`. The file retains prior approved coverage and adds focused tests for whitespace/symbol/combining-mark-only inputs, long mixed separator runs with boundary separators, non-decomposing Unicode, digit and alphanumeric preservation, and empty output after filtering. Assertions target public `slugify` behavior using only `unittest`; tests were not run, so execution remains unverified.", "replace_all": false}, "id": "call_8ntIdtorj8CGB9Rp10UNM7he", "type": "tool_call"}</t>
  </si>
  <si>
    <t>01a0d1a4-97b3-7a41-8911-a4d41663e941</t>
  </si>
  <si>
    <t>{'file_path': '/plan.md', 'old_string': '## SLUG-003 — Strengthen boundary tests in `/test_slug.py`\nStatus: pending\nAssigned: worker\nEvidence: Pending implementation and independent review; tests must be written but not run.', 'new_string': '## SLUG-003 — Strengthen boundary tests in `/test_slug.py`\nStatus: complete\nAssigned: worker\nEvidence: Independent reviewer approved `/test_slug.py`. The file retains prior approved coverage and adds focused tests for whitespace/symbol/combining-mark-only inputs, long mixed separator runs with boundary separators, non-decomposing Unicode, digit and alphanumeric preservation, and empty output after filtering. Assertions target public `slugify` behavior using only `unittest`; tests were not run, so execution remains unverified.', 'replace_all': False}</t>
  </si>
  <si>
    <t>R35</t>
  </si>
  <si>
    <t>01a0d1a4-97be-77d3-b359-b69cdcc81216</t>
  </si>
  <si>
    <t>[{"type": "function_call", "name": "read_file", "arguments": "{\"file_path\":\"/plan.md\",\"offset\":0,\"limit\":200}", "call_id": "call_vrpf8NQS3GntNl3LS2rGcrEf", "id": "fc_0e862a088c1d9a83006ab4a5055f6c87d2afff9f3e4cd99cf8", "index": 0}]
{"name": "read_file", "args": {"file_path": "/plan.md", "offset": 0, "limit": 200}, "id": "call_vrpf8NQS3GntNl3LS2rGcrEf", "type": "tool_call"}</t>
  </si>
  <si>
    <t>01a0d1a4-9ebc-7d63-bedf-21d7469b5198</t>
  </si>
  <si>
    <t>@@ lines 1-64 of 64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complete
Assigned: worker
Evidence: Independent reviewer approved `/test_slug.py`. The file retains prior approved coverage and adds focused tests for whitespace/symbol/combining-mark-only inputs, long mixed separator runs with boundary separators, non-decomposing Unicode, digit and alphanumeric preservation, and empty output after filtering. Assertions target public `slugify` behavior using only `unittest`; tests were not run, so execution remains unverified.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t>
  </si>
  <si>
    <t>R36</t>
  </si>
  <si>
    <t>01a0d1a4-9ec8-7ef0-822a-c3120f6ff5b0</t>
  </si>
  <si>
    <t>[{"id": "rs_0795bf1471796b22006ab4a5067c4487d28e123a3c6d9e1546", "summary": [], "type": "reasoning", "content": [], "index": 0, "encrypted_content": "gAAAAABqtKUJxBOSaeCqd-carbYOruSXTl-1CBGo8UER5H68tXPeEXk3rNqCXPajtewxdPZn8RRbliKnINnz_drf_-aAETreqbMz1U2pJijTj4eKQthoXxqkwndDI7SAqDXVkDtEoHogJTuy27qNZgmcnRytE1TvUGeKNegF6qqn8z4FDDXJGD3WSFgdyBoA7jxrDyqJ_tu649--IiNJMPba0MA04JDeN41DKjaObQfSqmL0EdtwfWh7gHaYOFS6NmU4o-hlZDw0AA-ffT1V-U-IWEpV0TE6Uct1TQzTDRDDaASiIkQxRHZY-sYYAh4Jc6hLuiA251f-NGmSXaSokfCPP4ZZUpzFjYowimDD0uZo9ecQ6SM3nnzESY_hURe03Pp-YcGwo1lamSZrmmjqPOJTi0K1IcHIPe0iGc1Ndk3NxIuVvVH8KkQIrft5a8YMQfZNjPZU2bj16bNyvr6VDsozxa1agO8K-D-dd7YLp-axMXk_7zk-BEClY1jQ6ENVrBWU2sFDE3jK77RwwqZbBT6C4XUFleC7vXxlaZFkpexNku3OGh7sF4TWoS2zIKeYGZo9MdvXfpHi4NZx-6d49HSAhKz-6E9_fOfleUzC22bDhgGeHhdnf4QjYyWeTiT3c6cRRZpGMI2szwi3K-YFE-ygiuUwHukC0CbrKNG5_fBjjByYN8d6PhDzIslmtBfPJGA1qCqC1hVAzJP-BrxE_JREME_inoEHuv0gxCleYmGyb9R3dG6ZvAWJ1cUqNmvoUiUZlT_znd-p-Z9OOT2f0sTOUWEHFR0s6Q2Xf3q9U9eiO7bWOAWxvn2Tkp6CycNc0_qyIvy5c6pvj9SvDw4jkNCuDAJ9jwxkHtVYN-z9rK8ddXgVE72ub_b8A8hRxpDnDfLtjTWLeR5NUDKZ-HD9_58IqmfZPiAxa4EeqZov3QDdW2BqZXwTzjcG8S3hazO3N-k29C0WWE5_Mo_a6XBr7JKrT2vYjfOiVirly0KAhxh8NL1jJHfCub94iswn86oeykKIRDl1dUseJy3bJIASCXDQJoXWhfx93L9ge9PikXSbwp8V1acE8HEBtrfNDF4xFNJWRmJ1_isHRHD5VWlMRsqefc3B7gMcrbkgohWgCvAIq08LVET0DckpW92fEXGlBT7zOD_V79dktERZvvlt8EwSWxNTH86kN1kNkGkTU2l3Xrh0uJaVLsg5SFwoH8h9v2TTZlH-c8E7qsnGyUJBeahElTBVSD6mdoBQZlbjVZePIib0DlgkgvH8n57efvPQAOLwnl5wp-e2rt3xqvPrckaYFrZdWnYjHhKkmOWITBvLd6ATLcxQPrVeBJRdY4ig2s37nNG6K95KhUvJNP8qtC9jtv0wFskedGy70kQbkVrijhE_8VwcRph15mp0U6KtAVXj-caKGi1s6IlledtAjJPe55iomJovy-MZB-t_dzO_DP1aI5YS5W_4PrlQI-7S5bZN-nxgSkxBb1djJHbjKGSbFMAWWg1B_jQo9cL4JZR7j81dLSEU3Jj_czBCXc2rF13xV3lBvT1bZi0CpXiwN8WEJEpS3Y9y4vtHr0l02kSj7xqqY28wOUBypGxV5KqaJbgQXnyFBMGTYP1HwCkrRHQUZVqLFS5zeemZ5Yy8iDibGNtqjlbfbGgVf8jJh5AWT6ZYojf19DMcCIOIQITIy5XbxjQ9-Fr9sb35KD1jHpMAoyad7u-xkcAMnRw46hTO6lexfB7tRvTGHS3XY9Dk-lidqJlijiONFGZBUWNRueUSymaT3KqJx2rH6WarmZO098WcyO6FD9ltLlF2ptXl30q2QDDoKTstnB5y5d4ghyGj0RGbakvwdxvdaGCPJIZlaVdl7wDgHW0lvWEvOmLl8HE60jmx7D-ecRjC2gvoEdzeskwT1aQYcIDGwoXt1ZV91oEBSLKoPiKUpAvLOlbgteJPeze8tPxi3dd9Al7wjcJXl87GRA8Epd0hTm7HD70hHe7xiUH4bZhDWucIOYO-hQuXMFD0oV76BEQp6DLV6Ua_eDt4TC23I1ICii2h48AwxlbHk24Rl8AJs-yorfJwf34_aRLPYnhEnCdCoYy-aQqLhYCOO2KC38TyQbX28uBlebllZG02gWdhxHovkDClUbAP4DXJCXQli0I22HfNcYi8zBMG-n2-AXppc7GxG4XYrGzjWWtBNJVaLCCsUf5vDbDs9kXpznT9JXRAqLxehf906BMJyPvpBXo7eUXbxsEx-4J6ObdUp9dYCjfbNltd8aCaOtsWDHe4zPkyA1xLGKqU0ehKsGZBZROVygIr2MLUpPW3lh_6GX3ePURy_KSghktyAf75H_ZoNmch_prNMoCYjXqgWPQcG-XIrQY04wQN2Osvp0Rkj-k2Zbz4kTb77Fo19LAlzIftsuB02eeWuxlmAwvAuEndphWTofIYPxwB_19Tm7hoOfddCRpo-oI41KLNnrZIQWni__h-AAdVzupfdrozW7fLWVE00cji_rtiGTOg1h9TpDuQcJVOCtjOgfq2pMbHEXubtTYUUiUyE-zmgzpL22ekBfjG59KnF0DFxzcMTCWOPo2QuCKDYn8duQ0ir_E2Ts9K9MBkM6XEHh2CMg4GU7EeiAN7_niRr5FVZtF1gEpnkNHw"}, {"type": "text", "text": "## SESSION INTENT\n\nMaintain a deterministic, standard-library-only Python `slugify` implementation with comprehensive behavioral tests. The latest work was to strengthen boundary tests, obtain independent review, and record task completion without running tests.\n\n## SUMMARY\n\n- `slugify(value)` contract:\n  - Accepts only strings; non-strings raise `TypeError`.\n  - Applies Unicode NFKD normalization.\n  - Produces lowercase ASCII alphanumeric output.\n  - Converts whitespace, punctuation, and symbols into collapsed hyphen separators.\n  - Removes leading/trailing hyphens.\n  - Returns `\"\"` for empty, punctuation-only, or otherwise unsupported input.\n  - Uses only the Python standard library and has no network, filesystem, service, or hidden-state dependencies.\n- `/slug.py` was previously completed and independently approved. It was not modified during SLUG-003.\n- Existing `/test_slug.py` coverage was previously approved and tests were explicitly not run.\n- SLUG-003 was added to `/plan.md`, assigned, implemented, independently reviewed, approved, and then marked complete.\n- SLUG-003 added tests for:\n  - whitespace-, symbol-, and combining-mark-only inputs\n  - long mixed separator runs and separators at both boundaries\n  - Unicode characters that do not decompose to ASCII\n  - digit and alphanumeric preservation\n  - filtering to empty output\n- Independent review approved the source by inspection and confirmed tests were not run.\n- Important apparent defect requiring follow-up: the modified test file contains the literal text `&amp;amp;` and `&amp;lt;` in the symbol-only test:\n  - `slugify(\"!@#$%^&amp;amp;*()[]{}&amp;lt;&gt;\")`\n  - Because `amp` and `lt` are ASCII letters, the implementation would preserve them, so the expected `\"\"` is inconsistent with the intended symbol-only case. This likely came from HTML entity encoding during the edit. The test should be corrected to use actual symbols, such as `&amp;` and `&lt;`, before considering the work sound.\n- The independent reviewer did not catch this because tests were not run and review was source inspection only.\n\n## ARTIFACTS\n\n- `/slug.py`\n  - Existing approved deterministic implementation.\n  - Uses `unicodedata.normalize(\"NFKD\", ...)`.\n  - Keeps ASCII alphanumerics, discards combining marks and unsupported characters, delays separator insertion, collapses separators, and trims boundaries.\n  - Raises `TypeError` for non-string input.\n  - Not modified during the latest task.\n- `/test_slug.py`\n  - Preserved all prior approved tests.\n  - Added the SLUG-003 boundary tests listed above.\n  - Currently contains a likely malformed symbol-only test using literal `&amp;amp;` and `&amp;lt;` text; this needs correction.\n  - Tests have not been executed.\n- `/plan.md`\n  - Contains complete SLUG-001 and SLUG-002 records.\n  - SLUG-003 is marked complete with independent approval evidence, although the apparent test-string defect should be repaired and reviewed.\n- No other files were created or modified.\n\n## NEXT STEPS\n\n1. Correct the symbol-only test in `/test_slug.py` so it contains actual symbols rather than literal HTML entity text, while preserving the intended expected result of `\"\"`.\n2. Do not modify `/slug.py`.\n3. Obtain a fresh independent review of the corrected test file.\n4. Update `/plan.md` with the repair/review outcome; if workflow permits, note the correction to SLUG-003 evidence.\n5. Continue to avoid running tests, since the workflow explicitly prohibits execution.", "phase": "final_answer", "index": 1, "id": "msg_0795bf1471796b22006ab4a5099c1087d2a93e59ce6cb216f0"}]</t>
  </si>
  <si>
    <t>R37</t>
  </si>
  <si>
    <t>01a0d1a4-c9ec-74b1-9d65-0517fed88468</t>
  </si>
  <si>
    <t>[{"id": "rs_0e862a088c1d9a83006ab4a511cad087d289ee00c624bf6e6f", "summary": [], "type": "reasoning", "content": [], "index": 0, "encrypted_content": "gAAAAABqtKUS3E5xxJp8j2QRvf7xwLWsFLa91K5WC9mnjZQZGsoJaefk3Cl2_RcYVRfdH_y3tq6x3Y2C1dhxTSVmF78hukrwSCq-VlW05Vn_IYZ2S4ZP5Wh1HgxHSoELxYiyzsSzz4cvPBv9gChwh1rjXogMSDVNuJl5Go9rifaGBb4AmoQfEmIaw75NnJYMM5jtpL4dHJ35EGBjY_O8XigJqPB7SzyY94lku-1iZzEBOrzQvZ8JNYvHRfvd6tcHFK7hb2_mvKZfyFbrJy72OaPtB5F600otNSgw9mRIm3W8TO7PHQxaPh3GvKYDqJ2T95tHM6IdYQlE5jqP1tHP-laEwd2bEvQmIotKxh_iBrk7CKN01nBByvUxPa7dZpXs8qIVjbqq_qtEktBlWofHwR2a0sbY_zONn0DAwT2eSCLo4oqUKaMEDfgfGjwBuZO1xtH-GTwe8jdP0fxucx5SGN_U0OkLv8BhQY47AL2Ai4yYOsw8M3HfjCXpZXgAXcfsP4qGCuIGkolE19vTSg2tVgv6i6IPJn8ZyAJChY60sjzBI-qKjthr5odazLTqB-VPGQlZe_bl7pCwz86zlLB5NAnHfxiNd7qPYhYJQNfC327RZKOomLstN-HMjnRFHppFso90vS9_4EtIC73AnyLACqYPOeR8pY8IX95rE-Fd8-7HvPp4IgNtpc-jkUvyAn8nMZS4nBzWoguEo5GthBwFOOEGMmAmof53CLGQpJkRR3lgqwg2Bcyk22tdtniTYQ2tMVJHLnkwx1utuZc6jSzUK0Ox3whEfyWPOdfxjDGI2vIEGyV6VWcA02s4Fn8NF532-5xR3Q-IYXbq2OX8jTfapSXSq58IvMOKGjgN1wmMvq95nkIif2NksRB7q6ubR0JvcaAU5tlfeGlqxmHF88CYMmmCKc9S0xX0P26lHK5uFLKdx9WTSDF0KwIQZ2WiSV4UVk3zLKDJ-cwMSlX1fr-gCVne0TFxCh8rogmqnDRQoPSRD6L_BTWhKy7ox_gAeivXs1CjXOZymHX9qrWaD3DfZFBZMm7wn5m3Lr1IMyuxWkKKWbNi9_z9NvwsxmPRFUADo9mHs5cw9cG6_23Lv9ewsquuQJFhp39UyOdnbpZ5Vm2B_8jlSr0cIfO10euHt6QCjQA48JYbvPO6MYXBhLVzKcGoNiMplPNCwB1dHzNBFCLVIiExUaLd5i569d_AIxKIVWZpZBYiRvuiz1RMWcUZNtHFmJxXzS8HUBcuFRo0fAeF6vRoKqbr-6K-hisBOeh01TN7tLhVE-ITL2PaY2IwHowrSWdMcXEiz2roxna0fkxZ6QHPulHPNhQjn1MzTdcOb_d_NqtSL8-i7zrVIg2aCxZb6EKhN3-g8hUyPJegJDqWN2f-2jWP6SwIMY5uohmw8NDSr9cPDG5UH-r_vBHJOYud-zGzOqVzBOrvd_Wl6g_EZ_UWkYedYsXrRfX8UQiIoi9E7qkUAJEy7I8OYL2XY7tODMYjBeJvJ0gw4lsHH9pjjes-9ccltbSezSQeXFdUAr4KNlJYx1EkgjlEaxXfeMvHocl4AE-7MdlfwlA2wItz0CwBPadCHLa-mShS1yJoyqKn00a0tqj2kE20ToPSbbdvc3rjot62xOMrx93Czfr2RnwRjrpA65D6R3KgskpJjA_EiWMI6SYzL5jE7N0K1xjRsgNtdRVlUTeNIvT8ovResq9XuPjZ4ejn4eZfsvXQX3T8zkBLz4Ydg3F3b6I7RHbUstuq3MlFbIyz7Z4vGWDNg1XrSiplGEnKw0Kbr0N64F2Jb_200DPs"}, {"type": "function_call", "name": "edit_file", "arguments": "{\"file_path\":\"/plan.md\",\"old_string\":\"## SLUG-003 \u2014 Strengthen boundary tests in `/test_slug.py`\\nStatus: complete\\nAssigned: worker\\nEvidence: Independent reviewer approved `/test_slug.py`. The file retains prior approved coverage and adds focused tests for whitespace/symbol/combining-mark-only inputs, long mixed separator runs with boundary separators, non-decomposing Unicode, digit and alphanumeric preservation, and empty output after filtering. Assertions target public `slugify` behavior using only `unittest`; tests were not run, so execution remains unverified.\",\"new_string\":\"## SLUG-003 \u2014 Strengthen boundary tests in `/test_slug.py`\\nStatus: complete\\nAssigned: worker\\nEvidence: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,\"replace_all\":false}", "call_id": "call_fNKEezDM1wE2KG1jfN97tuPl", "id": "fc_0e862a088c1d9a83006ab4a512c48887d2a50072a767d34c34", "index": 1}]
{"name": "edit_file", "args": {"file_path": "/plan.md", "old_string": "## SLUG-003 \u2014 Strengthen boundary tests in `/test_slug.py`\nStatus: complete\nAssigned: worker\nEvidence: Independent reviewer approved `/test_slug.py`. The file retains prior approved coverage and adds focused tests for whitespace/symbol/combining-mark-only inputs, long mixed separator runs with boundary separators, non-decomposing Unicode, digit and alphanumeric preservation, and empty output after filtering. Assertions target public `slugify` behavior using only `unittest`; tests were not run, so execution remains unverified.", "new_string": "## SLUG-003 \u2014 Strengthen boundary tests in `/test_slug.py`\nStatus: complete\nAssigned: worker\nEvidence: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"replace_all": false}, "id": "call_fNKEezDM1wE2KG1jfN97tuPl", "type": "tool_call"}</t>
  </si>
  <si>
    <t>01a0d1a4-da5d-77d2-a21b-330aa5fe775a</t>
  </si>
  <si>
    <t>{'file_path': '/plan.md', 'old_string': '## SLUG-003 — Strengthen boundary tests in `/test_slug.py`\nStatus: complete\nAssigned: worker\nEvidence: Independent reviewer approved `/test_slug.py`. The file retains prior approved coverage and adds focused tests for whitespace/symbol/combining-mark-only inputs, long mixed separator runs with boundary separators, non-decomposing Unicode, digit and alphanumeric preservation, and empty output after filtering. Assertions target public `slugify` behavior using only `unittest`; tests were not run, so execution remains unverified.', 'new_string': '## SLUG-003 — Strengthen boundary tests in `/test_slug.py`\nStatus: complete\nAssigned: worker\nEvidence: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'replace_all': False}</t>
  </si>
  <si>
    <t>R38</t>
  </si>
  <si>
    <t>01a0d1a4-da67-7fe0-afa4-dabd96061b75</t>
  </si>
  <si>
    <t>[{"type": "function_call", "name": "read_file", "arguments": "{\"file_path\":\"/plan.md\",\"offset\":0,\"limit\":200}", "call_id": "call_6kRXPHb6Yj6NzOkUbXNJLV1D", "id": "fc_0e862a088c1d9a83006ab4a516598087d29f8d42a9502205a1", "index": 0}]
{"name": "read_file", "args": {"file_path": "/plan.md", "offset": 0, "limit": 200}, "id": "call_6kRXPHb6Yj6NzOkUbXNJLV1D", "type": "tool_call"}</t>
  </si>
  <si>
    <t>01a0d1a4-e0d8-7590-837b-e1f19176831b</t>
  </si>
  <si>
    <t>@@ lines 1-64 of 64 @@
# Implementation Plan
Scope: build a small, deterministic, service-independent Python slug function. The public API is `slugify`, imported from `slug`. Only `/slug.py` and `/test_slug.py` may be changed for implementation work; this plan is the coordination record.
Contract decisions:
- `slugify(value)` accepts a string and returns a lowercase URL/path-safe slug.
- Unicode text is normalized to ASCII where possible, then lowercased.
- Runs of whitespace and punctuation become one hyphen; leading/trailing hyphens are removed.
- Empty or punctuation-only input returns `""`.
- Non-string input raises `TypeError` rather than being silently coerced.
- The implementation uses only the Python standard library and no external services or hidden state.
- Tests will be written but not run by this workflow.
## SLUG-001 — Implement `slugify` in `/slug.py`
Status: complete
Assigned: worker
Evidence: Independent reviewer approved the implementation. `/slug.py` exports deterministic standard-library-only `slugify`, handles NFKD normalization, ASCII alphanumeric output, delayed separator collapsing, trimming, empty results, and `TypeError` for non-strings. Tests were not run.
Implementation steps:
1. Read any existing `/slug.py` before editing and preserve unrelated content.
2. Implement the documented public function with a small, inspectable standard-library-only design.
3. Include a plain-language module header covering purpose, responsibilities, assumptions, AI assistance, and copyright; explain any non-obvious normalization or filtering branch with focused comments.
4. Cover representative behavior such as `"Hello, World!" -&gt; "hello-world"`, repeated separators, accented text, and empty/punctuation-only input.
5. Handle the specified type error deterministically and avoid broad exception swallowing.
Acceptance criteria:
- `/slug.py` exports callable `slugify`.
- Outputs satisfy the contract above, including deterministic Unicode transliteration/normalization, separator collapsing, trimming, and empty results.
- Non-string values raise `TypeError`.
- No network, filesystem, service, or third-party dependency is required.
- The independent reviewer inspects the changed source and either approves it or returns this task for repair; reviewer approval is required before this task is closed. Tests are written but not run.
## SLUG-002 — Write behavioral tests in `/test_slug.py`
Status: complete
Assigned: worker
Evidence: Independent reviewer approved `/test_slug.py`. The tests import the public `slugify` from `slug` and cover ordinary input, whitespace and punctuation collapsing, accented Unicode normalization, repeated and boundary separators, empty and punctuation-only input, and non-string values raising `TypeError`. Assertions use deterministic standard-library `unittest` behavior checks without service or filesystem dependencies. Tests were not run, so execution remains unverified.
Implementation steps:
1. Read the current `/slug.py` and existing `/test_slug.py` before editing.
2. Add focused tests for normal words, whitespace and punctuation collapsing, Unicode accents, repeated/trimmed separators, empty and punctuation-only strings, and the non-string `TypeError` contract.
3. Use readable external-behavior assertions that would catch plausible regressions without merely copying implementation branches.
4. Keep tests independent of services and compatible with the chosen test framework already present, or use the standard library if no framework exists.
Acceptance criteria:
- `/test_slug.py` exercises every documented contract boundary and at least one representative ordinary slug.
- Tests import the public function from `slug`.
- Tests are deterministic, service-independent, and do not require network access.
- The independent reviewer inspects the test changes and either approves them or returns this task for repair; reviewer approval is required before this task is closed. Tests are written but not run.
## SLUG-003 — Strengthen boundary tests in `/test_slug.py`
Status: complete
Assigned: worker
Evidence: Independent reviewer approved `/test_slug.py`. The file retains the previously approved ordinary, normalization, separator, empty-input, and invalid-type tests and adds focused coverage for whitespace/symbol/combining-mark-only inputs (`test_whitespace_symbols_and_combining_marks_only_return_empty`), mixed separator runs with separators at both boundaries (`test_long_mixed_separator_runs_and_boundaries_collapse`), non-decomposing Unicode and unsupported characters (`test_non_decomposing_unicode_is_discarded`), digit and alphanumeric preservation (`test_digits_and_alphanumeric_text_are_preserved`), and filtering to empty output (`test_filtering_allows_empty_output_between_separators`). Assertions target the public `slugify` function and deterministic contract results, use only `unittest`, and do not inspect implementation details or external resources. Source inspection indicates the acceptance criteria are met; tests were not run, so execution remains unverified as required by the workflow.
Implementation steps:
1. Read the current `/test_slug.py` and `/slug.py` before editing, then preserve the existing approved coverage while adding only boundary-focused behavioral tests.
2. Add deterministic tests for whitespace/symbol/combining-mark-only inputs, long mixed separator runs and separators at both boundaries, Unicode characters that do not decompose to ASCII, preservation of digits and alphanumeric text, and empty output after filtering; add further invalid-type coverage only where it strengthens the documented contract.
3. Use external-behavior assertions against the public `slugify` function, keeping tests standard-library-only and independent of filesystem, network, services, and implementation details.
Acceptance criteria:
- `/test_slug.py` retains all existing tests and adds readable regression coverage for the listed boundary cases.
- Expected results reflect the documented contract: lowercase ASCII alphanumerics, collapsed/trimmed hyphens, discarded unsupported characters, and `""` when no output characters remain.
- The added tests do not duplicate internal branches or depend on hidden state, and no tests are run by this workflow.
- The independent reviewer inspects the changed test file and either approves it or returns this task for repair; reviewer approval is required before this task is closed.</t>
  </si>
  <si>
    <t>R39</t>
  </si>
  <si>
    <t>01a0d1a4-e0e2-7531-ac51-a31e8c2f5ab6</t>
  </si>
  <si>
    <t>[{"id": "rs_0e862a088c1d9a83006ab4a517e70487d2a0c2099428be09fb", "summary": [], "type": "reasoning", "content": [], "index": 0, "encrypted_content": "gAAAAABqtKUYfKEcbOtK6wA7DcaydEI69MzfXpuAVSl-jJyF23bwXOWM5uw9r1oXEN4m2oYBOpC-W0UTAEm17-W2pYZMKxh-0vYQFgGUQx9R-bqXRVznibLrWB5_VcMQhdbrxEJM9d5EwOM_2UA14YoaivuL2AAgoWPUhgSM3gfPXfMlYM5fw8g77A-f89RJeFL1xL6_3AMjT93x_hDqPZb9lOZWCMp2Tkw0igD5g9MZ4KIlsWlmjw-URo9yQjkpgz0l725xGHdjHxkwSEq8D1X4g2MAEsyu261a80bTUfzgWkiW6BzK76kN-4JAmLU7EDgBpcFCG7t6T7rPR8KizEpB2oT6Ik73kvgieLbG8eATvhNznM7FNfPvccaCseQZzDsM3y5AG81G1CcFG5fh8yLQy6ZW3yN547vH2BDeYuiUrHRcam-6YmgeU_xVMBBJhPO9ZJU-IC_SYhDwLKODlstwz28-AQrjDng6Etele73BdMFgZI59U-1pPcGxyWULzN6g7sH2lNy0gBgSSG4To04zu4nBkzvaarcsGp8xUTidZygAFlZF_0Un6hfPGLfqysL-JmchpMpvI6BEYMS-smVft7gYc0zLdgaZp4Y1YJTITOgUgLSBBrg9kEigzrSpMq1ZH5aY8zwNlvTxnn-G-e8FOHcJ7qfAEMX38SjO2fShqp2_aw9lWN_YKxxC1kIXatNCxoingA6cItW4C9MHyYEnbpe9_AsN6JK5l7rXMKwskTvR4f-GOKX5hPM5pcvndhJ7rwF5kAQVgpmYTey-zudt3VltqcMenmCFcOegODM9LY3UwhRaDnRPOEAjay5ZE3DCusZxuGXRQTyrsDOKVd1caq55-IZskFRNqMnhM63_7WMTwhjjS7fEBvkiDuEji5L12uTLgVbJLzMF5b8M4BHvJ51pv0UEt4iBXGQ5JntMR4dJeqmYJU_WVZkZde092PyrD6miuXJXaV2mFHX-fhD77CdGSVVn1N2nEgYi7v2KNBpDf-XETMmZ8AoJu5GzFgoXtGUDPgTdb2G8x0rvdDFuoggz9eIZGXUiCR02G7AVXduh2367l8u6pl3lPs-Krit4isdzbgT69L5zI61Puc85Xr1cPEqWw0Xhpvun2dqQVRKMKQ2QlCalZKEIwTL8s7N078SOtsQmnGAaPMwmi1whQuSvHqeqMC4kKt0i37QnRmBHqZ_dNq_c8QxMnrphlDj8cqOWV3M2p2iEu6J8UZjw9jhbOytmoRN7ZPKdTPceOZXinpcOVUNq65KMNzciv3DPZ5OHRnX4Q7J_5b9N8irnFfflaZz2vUQwQk7NTW8MSN9Suv-tqxgAPMZw43dsfZpG5BQ8B-ouQrYEczfcvwnSnz2TudIy_6oEHqjx_01rAuI8-gXQ88f4jBfMv0NJGJjRrkepnBfcm57TiAfRidnFNytOLmJrcE03eCC3rLD73Ba5czEXbYaf0GHKRCbZRvs9ncG3UXFdYQSkNiK_3F96yg4CRbJe9l6o_92Ouzat_KHcfaj3278U3t8Jb9AQBRngAJSVWwvOowmp01WEBOJgG4n_Mi3vcg=="}, {"type": "text", "text": "{\"action\":\"finish\",\"task_id\":\"\",\"files\":[],\"message\":\"All planned implementation and test tasks are complete. SLUG-003 was approved by independent review and recorded as complete in /plan.md. The approved /slug.py and /test_slug.py artifacts remain unchanged by this operation. Tests were written but not run, so execution remains unverified.\"}", "phase": "final_answer", "index": 1, "id": "msg_0e862a088c1d9a83006ab4a51874b487d28e00a87e8f2112c0"}]</t>
  </si>
  <si>
    <t>context_budget_workflow</t>
  </si>
  <si>
    <t>workflow</t>
  </si>
  <si>
    <t>Execute the context_budget_workflow workflow operation and pass its result to the next graph step.</t>
  </si>
  <si>
    <t>Subtree total</t>
  </si>
  <si>
    <t xml:space="preserve">    planning_step</t>
  </si>
  <si>
    <t>Execute the planning_step workflow operation and pass its result to the next graph step.</t>
  </si>
  <si>
    <t>01a0d1a2-c9be-7503-88c0-d3bb6a289e4e</t>
  </si>
  <si>
    <t xml:space="preserve">        run</t>
  </si>
  <si>
    <t>Execute the run workflow operation and pass its result to the next graph step.</t>
  </si>
  <si>
    <t>01a0d1a2-c9bf-7770-9b87-cfe1ebf104ad</t>
  </si>
  <si>
    <t xml:space="preserve">            planner</t>
  </si>
  <si>
    <t>Execute the planner workflow operation and pass its result to the next graph step.</t>
  </si>
  <si>
    <t>01a0d1a2-c9bf-7770-9b87-cff4ee58f1dd</t>
  </si>
  <si>
    <t xml:space="preserve">                SummarizationMiddleware.before_model</t>
  </si>
  <si>
    <t>Execute the SummarizationMiddleware.before_model workflow operation and pass its result to the next graph step.</t>
  </si>
  <si>
    <t>01a0d1a2-c9c0-7762-84de-712a6839aaad</t>
  </si>
  <si>
    <t>No model charge</t>
  </si>
  <si>
    <t xml:space="preserve">                model</t>
  </si>
  <si>
    <t>Prepare the current conversation, run model middleware, and invoke the chat model.</t>
  </si>
  <si>
    <t>01a0d1a2-c9c1-7f81-b79b-db2ca5f35deb</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</si>
  <si>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</si>
  <si>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</si>
  <si>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</si>
  <si>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</si>
  <si>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</si>
  <si>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</si>
  <si>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01a0d1a2-cfe6-7142-8aa3-9b653ce18d05</t>
  </si>
  <si>
    <t xml:space="preserve">                    read_file</t>
  </si>
  <si>
    <t>tool</t>
  </si>
  <si>
    <t>Reads a file from the filesystem. Assume any path the user provides is valid; reading a missing file returns an error.
Usage:
- By default, it reads up to 100 lines starting from the beginning of the file. Use `offset`/`limit` to page through large files instead of reading them whole.
- A status header, `@@ field | field | ... @@`, sits above the file content, and every line after it is verbatim file content. When content is truncated, there may be an explanation before the header. Never include the header when editing.
- Speculatively batch multiple `read_file` calls in one response when several files may be useful.
- An empty file returns a system-reminder warning in place of contents.
- Large tool results may be offloaded to a file; the tool message gives the path. Read that path here, paging with `offset`/`limit`.
- Images (`.png`, `.jpg`, etc.), audio, video, and PDFs return multimodal content blocks (https://docs.langchain.com/oss/python/langchain/messages#multimodal).
- For images and PDFs, pagination via `offset`/`limit` is text-only - supply `file_path` only
- Always read a file before editing it.</t>
  </si>
  <si>
    <t>01a0d1a2-cfe9-7043-8c4f-0f949caf52c8</t>
  </si>
  <si>
    <t>01a0d1a2-cfea-7b71-a819-9205f353d76b</t>
  </si>
  <si>
    <t>01a0d1a2-eeb0-7fc0-9eb8-a532fb158e49</t>
  </si>
  <si>
    <t xml:space="preserve">                    write_file</t>
  </si>
  <si>
    <t>Writes content to a file. Creates the file if it does not exist; replaces it entirely if it does.
Usage:
- Use this tool when you intend to create a new file or replace the whole file. You do not need to read the file first.
- Prefer to edit existing files (with the edit_file tool) over creating new ones when possible.</t>
  </si>
  <si>
    <t>01a0d1a2-eeb5-7820-8d04-0132df95450f</t>
  </si>
  <si>
    <t>01a0d1a2-eeb8-7f30-9fa4-c893493e682b</t>
  </si>
  <si>
    <t xml:space="preserve">        dispatch</t>
  </si>
  <si>
    <t>Execute the dispatch workflow operation and pass its result to the next graph step.</t>
  </si>
  <si>
    <t>01a0d1a2-f850-7fc3-ad02-b2e65d3514fa</t>
  </si>
  <si>
    <t xml:space="preserve">    working_step</t>
  </si>
  <si>
    <t>Execute the working_step workflow operation and pass its result to the next graph step.</t>
  </si>
  <si>
    <t>01a0d1a2-f853-7fa1-9bd6-4cdf6566bd51</t>
  </si>
  <si>
    <t>01a0d1a2-f854-73e2-bc6d-0530599d2a2f</t>
  </si>
  <si>
    <t xml:space="preserve">            worker</t>
  </si>
  <si>
    <t>Execute the worker workflow operation and pass its result to the next graph step.</t>
  </si>
  <si>
    <t>01a0d1a2-f855-7541-9d71-192d70463141</t>
  </si>
  <si>
    <t>01a0d1a2-f857-7700-9135-8e649858721a</t>
  </si>
  <si>
    <t>01a0d1a2-f859-7b72-9bd1-ccd7ca9f3af1</t>
  </si>
  <si>
    <t>01a0d1a2-ff76-72b1-8e6f-6d218f4c2480</t>
  </si>
  <si>
    <t>01a0d1a2-ff76-72b1-8e6f-6d3e83a7eb18</t>
  </si>
  <si>
    <t>01a0d1a2-ff7f-7903-9e01-ada894a1d90f</t>
  </si>
  <si>
    <t>01a0d1a2-ff82-7f41-8e84-f1d57aad2a00</t>
  </si>
  <si>
    <t>01a0d1a3-23ef-76d1-acc1-1da87453a882</t>
  </si>
  <si>
    <t>01a0d1a3-23f5-7770-9720-52bb30fdcc78</t>
  </si>
  <si>
    <t>01a0d1a3-23f7-7371-9298-91ed9f58275e</t>
  </si>
  <si>
    <t>01a0d1a3-2abe-7fe3-b2c1-da1abed33465</t>
  </si>
  <si>
    <t>01a0d1a3-2ac6-7441-939d-78434631f04a</t>
  </si>
  <si>
    <t>01a0d1a3-2ac9-7612-83a1-e0a10ce1f1f0</t>
  </si>
  <si>
    <t xml:space="preserve">    review_step</t>
  </si>
  <si>
    <t>Execute the review_step workflow operation and pass its result to the next graph step.</t>
  </si>
  <si>
    <t>01a0d1a3-36c1-7c41-93e6-fc1845f4a14d</t>
  </si>
  <si>
    <t>01a0d1a3-36c2-7932-b553-f98f06fd212b</t>
  </si>
  <si>
    <t xml:space="preserve">            isolated-reviewer</t>
  </si>
  <si>
    <t>Execute the isolated-reviewer workflow operation and pass its result to the next graph step.</t>
  </si>
  <si>
    <t>01a0d1a3-36c3-7d33-a763-6342d89bcbe4</t>
  </si>
  <si>
    <t>01a0d1a3-36c4-7e31-af64-ed1111697e17</t>
  </si>
  <si>
    <t>01a0d1a3-3c95-7c12-a5cc-d6440b7cf483</t>
  </si>
  <si>
    <t>01a0d1a3-3c95-7c12-a5cc-d652112fba9c</t>
  </si>
  <si>
    <t>01a0d1a3-3c9e-7f81-845b-f3792e04ed13</t>
  </si>
  <si>
    <t xml:space="preserve">        assess</t>
  </si>
  <si>
    <t>Execute the assess workflow operation and pass its result to the next graph step.</t>
  </si>
  <si>
    <t>01a0d1a3-5fd0-7200-9240-08ba9b5bc5a0</t>
  </si>
  <si>
    <t xml:space="preserve">    plan_update_step</t>
  </si>
  <si>
    <t>Execute the plan_update_step workflow operation and pass its result to the next graph step.</t>
  </si>
  <si>
    <t>01a0d1a3-5fd3-7f82-844d-72df8960b3da</t>
  </si>
  <si>
    <t>01a0d1a3-5fd4-7313-8f8e-1a7036fe58c2</t>
  </si>
  <si>
    <t>01a0d1a3-5fd5-71e1-9bdc-c8a75b9acbf8</t>
  </si>
  <si>
    <t>01a0d1a3-5fd6-7850-ae22-38e36173f6d8</t>
  </si>
  <si>
    <t>01a0d1a3-5fda-72b0-b281-0d559724337a</t>
  </si>
  <si>
    <t>01a0d1a3-698d-7573-88cb-32ff56f1eefe</t>
  </si>
  <si>
    <t xml:space="preserve">                    edit_file</t>
  </si>
  <si>
    <t>Performs exact string replacements in files.
Usage:
- You must read the file before editing; this tool errors otherwise.
- Preserve the exact source indentation from the read output, and never include the read status header in old_string or new_string.
- Prefer editing an existing file over creating a new one.
- Only use emojis if the user explicitly requests it.</t>
  </si>
  <si>
    <t>01a0d1a3-6995-7a12-8db0-245e3b71c6b9</t>
  </si>
  <si>
    <t>01a0d1a3-6998-7963-8ac3-0d1c23eb99a7</t>
  </si>
  <si>
    <t>01a0d1a3-6eb2-7453-a670-7cfa73915e7e</t>
  </si>
  <si>
    <t>Compaction completed | Context before: 8,722 tokens | History after: 4,748 tokens | Trigger: 8,500 context tokens | Retention target: 900 tokens</t>
  </si>
  <si>
    <t>01a0d1a3-6eba-74a2-937e-f84f7b729e09</t>
  </si>
  <si>
    <t xml:space="preserve">                    context_summarizer</t>
  </si>
  <si>
    <t>Execute the context_summarizer workflow operation and pass its result to the next graph step.</t>
  </si>
  <si>
    <t>01a0d1a3-6ebe-72a2-98f5-d213075ab94e</t>
  </si>
  <si>
    <t xml:space="preserve">                        context_summarizer</t>
  </si>
  <si>
    <t>01a0d1a3-8654-7523-a874-e8038432e90c</t>
  </si>
  <si>
    <t>01a0d1a3-8e8d-7f50-9614-8c922e640b25</t>
  </si>
  <si>
    <t>01a0d1a3-8e8f-73b3-bde6-ab4376778895</t>
  </si>
  <si>
    <t>01a0d1a3-8e90-77b1-a5a4-0ee86e00798e</t>
  </si>
  <si>
    <t>01a0d1a3-8e90-77b1-a5a4-0efafab93308</t>
  </si>
  <si>
    <t>01a0d1a3-8e92-7fb0-b395-fa939bd4a8bf</t>
  </si>
  <si>
    <t>01a0d1a3-8e94-74c1-9bc4-ac0fdd2916c1</t>
  </si>
  <si>
    <t>01a0d1a3-94f3-7730-b877-a38723dc4061</t>
  </si>
  <si>
    <t>01a0d1a3-94f3-7730-b877-a39d4ed1562d</t>
  </si>
  <si>
    <t>01a0d1a3-94fc-7f72-8dd6-b538c94b28fa</t>
  </si>
  <si>
    <t>01a0d1a3-94fe-77e0-9810-958608fb06b6</t>
  </si>
  <si>
    <t>01a0d1a3-adcf-7432-88d3-c0ea70ae4fbe</t>
  </si>
  <si>
    <t>01a0d1a3-add1-7a41-901d-1756f606d857</t>
  </si>
  <si>
    <t>01a0d1a3-add2-7251-a608-4b66eafdb7b9</t>
  </si>
  <si>
    <t>01a0d1a3-ba36-70a3-beec-b69b480ce3ed</t>
  </si>
  <si>
    <t>01a0d1a3-ba36-70a3-beec-b6afedbfad8b</t>
  </si>
  <si>
    <t>01a0d1a3-ba37-7601-a0d2-7b759c12c47e</t>
  </si>
  <si>
    <t>01a0d1a3-ba38-7880-a9d3-8af6fc3b905f</t>
  </si>
  <si>
    <t>01a0d1a3-c14b-79b2-af87-913182d99ce2</t>
  </si>
  <si>
    <t>01a0d1a3-c152-7703-87e6-dc864560f591</t>
  </si>
  <si>
    <t>01a0d1a3-c905-78d3-9fa4-a8e294c7135c</t>
  </si>
  <si>
    <t>01a0d1a3-c905-78d3-9fa4-a8fd3011c1b7</t>
  </si>
  <si>
    <t>01a0d1a3-c90e-7263-a4d3-aa031f072288</t>
  </si>
  <si>
    <t>01a0d1a3-d821-79a0-be30-5ec655416cb7</t>
  </si>
  <si>
    <t>01a0d1a3-d823-79c1-b4a2-d7aec6613207</t>
  </si>
  <si>
    <t>01a0d1a3-d823-79c1-b4a2-d7b8ac598cb8</t>
  </si>
  <si>
    <t>01a0d1a3-d824-7c43-867a-d33b62837a1d</t>
  </si>
  <si>
    <t>01a0d1a3-d824-7c43-867a-d348985a6ea7</t>
  </si>
  <si>
    <t>01a0d1a3-d826-7363-9b2a-eb0905736092</t>
  </si>
  <si>
    <t>01a0d1a3-e134-7e62-bf79-af8d7a5666c1</t>
  </si>
  <si>
    <t>01a0d1a3-e138-7590-b5b2-5a6fc4cde644</t>
  </si>
  <si>
    <t>01a0d1a3-e13a-7f41-84d7-25c950d12e15</t>
  </si>
  <si>
    <t>01a0d1a3-eb0c-7692-b99b-cf33bd98b850</t>
  </si>
  <si>
    <t>01a0d1a3-eb14-71f1-bcb3-93b35fbcb210</t>
  </si>
  <si>
    <t>01a0d1a3-eb18-7f33-a73c-b227e73b3f2f</t>
  </si>
  <si>
    <t>01a0d1a3-f0bb-72c3-8b2b-6171712da50d</t>
  </si>
  <si>
    <t>01a0d1a3-f0c4-72d1-92c2-b2ccd103c29c</t>
  </si>
  <si>
    <t>01a0d1a3-f0c7-7c63-bb98-ee60001512ee</t>
  </si>
  <si>
    <t>01a0d1a3-f772-74b2-bdf4-d752bc5707fc</t>
  </si>
  <si>
    <t xml:space="preserve">    finish</t>
  </si>
  <si>
    <t>Execute the finish workflow operation and pass its result to the next graph step.</t>
  </si>
  <si>
    <t>01a0d1a3-f775-7371-a31b-b96eb36de38e</t>
  </si>
  <si>
    <t>01a0d1a3-f79b-7b03-a0b9-2df176feb1e3</t>
  </si>
  <si>
    <t>01a0d1a3-f79d-7023-bd22-48857a93295d</t>
  </si>
  <si>
    <t>01a0d1a3-f79d-7023-bd22-489d6bf0c67f</t>
  </si>
  <si>
    <t>01a0d1a3-f79e-7301-8aad-2e0e1c4f970b</t>
  </si>
  <si>
    <t>01a0d1a3-f79f-7cb0-b223-7ab45a62dce0</t>
  </si>
  <si>
    <t>01a0d1a3-f7a2-7a20-86c2-11e08b46e37a</t>
  </si>
  <si>
    <t>01a0d1a3-fd85-7522-9eee-9aad1a7821c6</t>
  </si>
  <si>
    <t>Compaction completed | Context before: 8,557 tokens | History after: 4,616 tokens | Trigger: 8,500 context tokens | Retention target: 900 tokens</t>
  </si>
  <si>
    <t>01a0d1a3-fd8c-7de0-83ef-a3b6bc359920</t>
  </si>
  <si>
    <t>01a0d1a3-fd8f-7b50-9003-0a1285a3e8cc</t>
  </si>
  <si>
    <t>01a0d1a4-2344-7fe1-8bfb-db61049775a6</t>
  </si>
  <si>
    <t>01a0d1a4-35a6-7f80-8678-87947971b175</t>
  </si>
  <si>
    <t>01a0d1a4-35ad-7ea1-841d-e488521d4783</t>
  </si>
  <si>
    <t>01a0d1a4-35af-7022-a5a2-e0e2cca818fc</t>
  </si>
  <si>
    <t>01a0d1a4-3e1d-7220-a89d-46b9da45df22</t>
  </si>
  <si>
    <t>01a0d1a4-3e1e-74f3-a272-3baf4d7a89d0</t>
  </si>
  <si>
    <t>01a0d1a4-3e1f-7c71-aa62-1d7f025e584f</t>
  </si>
  <si>
    <t>01a0d1a4-3e1f-7c71-aa62-1d82d82d7b78</t>
  </si>
  <si>
    <t>01a0d1a4-3e20-7983-918f-d0ef8ec1b730</t>
  </si>
  <si>
    <t>01a0d1a4-3e22-7513-9370-d4fda7f82293</t>
  </si>
  <si>
    <t>01a0d1a4-4622-7d22-9c66-e1b191c441af</t>
  </si>
  <si>
    <t>01a0d1a4-4622-7d22-9c66-e1cb34304976</t>
  </si>
  <si>
    <t>01a0d1a4-462c-7690-80ad-5d3f26f74de5</t>
  </si>
  <si>
    <t>01a0d1a4-462f-7662-88b8-0b6e809ffe85</t>
  </si>
  <si>
    <t>01a0d1a4-60f3-7f01-a028-9777190607fc</t>
  </si>
  <si>
    <t>01a0d1a4-60f7-7f41-933d-375a03d5badf</t>
  </si>
  <si>
    <t>01a0d1a4-60f9-7692-9854-15c266923580</t>
  </si>
  <si>
    <t>01a0d1a4-66f4-7863-a000-fd687eef666b</t>
  </si>
  <si>
    <t>01a0d1a4-66fb-7d10-ba71-e7242e8b6c41</t>
  </si>
  <si>
    <t>01a0d1a4-66fd-7d20-89a0-9e61121faf34</t>
  </si>
  <si>
    <t>01a0d1a4-7250-72e0-8764-2f4e17de2dd0</t>
  </si>
  <si>
    <t>01a0d1a4-7251-75a1-992b-d69f973f03b8</t>
  </si>
  <si>
    <t>01a0d1a4-7252-7651-8349-477c8509becb</t>
  </si>
  <si>
    <t>01a0d1a4-7254-7e41-805a-d1c61f45e810</t>
  </si>
  <si>
    <t>01a0d1a4-78ad-7492-8550-ba9ca808c731</t>
  </si>
  <si>
    <t>01a0d1a4-78ad-7492-8550-baae1b5e4a29</t>
  </si>
  <si>
    <t>01a0d1a4-78ad-7492-8550-bab3456f115d</t>
  </si>
  <si>
    <t>01a0d1a4-78bb-7f23-a398-cd87a3fdf1d1</t>
  </si>
  <si>
    <t>01a0d1a4-8974-7582-9508-53ca850111a9</t>
  </si>
  <si>
    <t>01a0d1a4-8977-7420-850c-24fd52dfc79f</t>
  </si>
  <si>
    <t>01a0d1a4-8978-7673-be89-ff3d20d0a674</t>
  </si>
  <si>
    <t>01a0d1a4-8979-7451-83b2-839a4f8aa512</t>
  </si>
  <si>
    <t>01a0d1a4-897a-7a70-9456-cf5f3694cd89</t>
  </si>
  <si>
    <t>01a0d1a4-897e-7721-94ce-d97825ab7583</t>
  </si>
  <si>
    <t>01a0d1a4-97b1-74a0-9996-a2f1c3bf6290</t>
  </si>
  <si>
    <t>01a0d1a4-97b8-7002-b746-febead20cc6f</t>
  </si>
  <si>
    <t>01a0d1a4-97bb-7542-a792-625dc6f9ac68</t>
  </si>
  <si>
    <t>01a0d1a4-9eba-7e92-a079-51a0cce20cd3</t>
  </si>
  <si>
    <t>Compaction completed | Context before: 9,327 tokens | History after: 5,454 tokens | Trigger: 8,500 context tokens | Retention target: 900 tokens</t>
  </si>
  <si>
    <t>01a0d1a4-9ec3-7d30-a1e3-6c690fed8140</t>
  </si>
  <si>
    <t>01a0d1a4-9ec7-7f72-a98d-6292aa2f458b</t>
  </si>
  <si>
    <t>01a0d1a4-c9e9-7452-a902-a8c020dd7362</t>
  </si>
  <si>
    <t>01a0d1a4-da5c-7ed1-9d1a-dfb87ed381ca</t>
  </si>
  <si>
    <t>01a0d1a4-da63-7b13-b9a2-1905fc410b38</t>
  </si>
  <si>
    <t>01a0d1a4-da65-7f41-8395-460057bb9991</t>
  </si>
  <si>
    <t>01a0d1a4-e0d6-7670-8a2d-9bebcf613b28</t>
  </si>
  <si>
    <t>01a0d1a4-e0de-78a0-bec6-ddfe8a0fe018</t>
  </si>
  <si>
    <t>01a0d1a4-e0e0-7fa2-8fa3-2cdd1d8a624a</t>
  </si>
  <si>
    <t>01a0d1a4-eaaf-78c3-9e24-608c5d4db99a</t>
  </si>
  <si>
    <t>01a0d1a4-eab1-70e2-8319-60aa51da54d5</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</si>
</sst>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605"/>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33,'Turns'!E49,'Turns'!E63,'Turns'!E82,'Turns'!E98,'Turns'!E114,'Turns'!E127,'Turns'!E146,'Turns'!E160,'Turns'!E176,'Turns'!E192,'Turns'!E205,'Turns'!E218,'Turns'!E237,'Turns'!E253,'Turns'!E265,'Turns'!E280,'Turns'!E299,'Turns'!E312,'Turns'!E328,'Turns'!E344,'Turns'!E360,'Turns'!E375,'Turns'!E391,'Turns'!E404,'Turns'!E420,'Turns'!E433,'Turns'!E452,'Turns'!E468,'Turns'!E484,'Turns'!E496,'Turns'!E518,'Turns'!E531,'Turns'!E546,'Turns'!E561,'Turns'!E574,'Turns'!E589,'Turns'!E605)=39,SUM('Turns'!E17,'Turns'!E33,'Turns'!E49,'Turns'!E63,'Turns'!E82,'Turns'!E98,'Turns'!E114,'Turns'!E127,'Turns'!E146,'Turns'!E160,'Turns'!E176,'Turns'!E192,'Turns'!E205,'Turns'!E218,'Turns'!E237,'Turns'!E253,'Turns'!E265,'Turns'!E280,'Turns'!E299,'Turns'!E312,'Turns'!E328,'Turns'!E344,'Turns'!E360,'Turns'!E375,'Turns'!E391,'Turns'!E404,'Turns'!E420,'Turns'!E433,'Turns'!E452,'Turns'!E468,'Turns'!E484,'Turns'!E496,'Turns'!E518,'Turns'!E531,'Turns'!E546,'Turns'!E561,'Turns'!E574,'Turns'!E589,'Turns'!E605),"Unknown")</f>
        <v>0.0313238074615</v>
      </c>
      <c r="F2" s="2">
        <f>IF(COUNT('Turns'!F17,'Turns'!F33,'Turns'!F49,'Turns'!F63,'Turns'!F82,'Turns'!F98,'Turns'!F114,'Turns'!F127,'Turns'!F146,'Turns'!F160,'Turns'!F176,'Turns'!F192,'Turns'!F205,'Turns'!F218,'Turns'!F237,'Turns'!F253,'Turns'!F265,'Turns'!F280,'Turns'!F299,'Turns'!F312,'Turns'!F328,'Turns'!F344,'Turns'!F360,'Turns'!F375,'Turns'!F391,'Turns'!F404,'Turns'!F420,'Turns'!F433,'Turns'!F452,'Turns'!F468,'Turns'!F484,'Turns'!F496,'Turns'!F518,'Turns'!F531,'Turns'!F546,'Turns'!F561,'Turns'!F574,'Turns'!F589,'Turns'!F605)=39,SUM('Turns'!F17,'Turns'!F33,'Turns'!F49,'Turns'!F63,'Turns'!F82,'Turns'!F98,'Turns'!F114,'Turns'!F127,'Turns'!F146,'Turns'!F160,'Turns'!F176,'Turns'!F192,'Turns'!F205,'Turns'!F218,'Turns'!F237,'Turns'!F253,'Turns'!F265,'Turns'!F280,'Turns'!F299,'Turns'!F312,'Turns'!F328,'Turns'!F344,'Turns'!F360,'Turns'!F375,'Turns'!F391,'Turns'!F404,'Turns'!F420,'Turns'!F433,'Turns'!F452,'Turns'!F468,'Turns'!F484,'Turns'!F496,'Turns'!F518,'Turns'!F531,'Turns'!F546,'Turns'!F561,'Turns'!F574,'Turns'!F589,'Turns'!F605),"Unknown")</f>
        <v>0.03574349</v>
      </c>
      <c r="G2" s="5">
        <f>IF(ISNUMBER(E2),ROUND(E2*'Reference data'!$B$2,0),"Unknown")</f>
        <v>3132.0</v>
      </c>
      <c r="H2" s="5">
        <f>IF(ISNUMBER(F2),ROUND(F2*'Reference data'!$B$2,0),"Unknown")</f>
        <v>3574.0</v>
      </c>
    </row>
    <row r="3" spans="1:13" s="4" customFormat="1" ht="24" customHeight="1">
      <c r="B3" s="4">
        <v>1</v>
      </c>
      <c r="C3" s="4" t="s">
        <v>92</v>
      </c>
      <c r="E3" s="2">
        <f>IF(COUNT('Turns'!E17,'Turns'!E33,'Turns'!E49,'Turns'!E63,'Turns'!E82,'Turns'!E98,'Turns'!E114,'Turns'!E127,'Turns'!E146,'Turns'!E160,'Turns'!E176,'Turns'!E192,'Turns'!E205,'Turns'!E218,'Turns'!E237,'Turns'!E253,'Turns'!E265,'Turns'!E280,'Turns'!E299,'Turns'!E312,'Turns'!E328,'Turns'!E344,'Turns'!E360)=23,SUM('Turns'!E17,'Turns'!E33,'Turns'!E49,'Turns'!E63,'Turns'!E82,'Turns'!E98,'Turns'!E114,'Turns'!E127,'Turns'!E146,'Turns'!E160,'Turns'!E176,'Turns'!E192,'Turns'!E205,'Turns'!E218,'Turns'!E237,'Turns'!E253,'Turns'!E265,'Turns'!E280,'Turns'!E299,'Turns'!E312,'Turns'!E328,'Turns'!E344,'Turns'!E360),"Unknown")</f>
        <v>0.0165722429655</v>
      </c>
      <c r="F3" s="2">
        <f>IF(COUNT('Turns'!F17,'Turns'!F33,'Turns'!F49,'Turns'!F63,'Turns'!F82,'Turns'!F98,'Turns'!F114,'Turns'!F127,'Turns'!F146,'Turns'!F160,'Turns'!F176,'Turns'!F192,'Turns'!F205,'Turns'!F218,'Turns'!F237,'Turns'!F253,'Turns'!F265,'Turns'!F280,'Turns'!F299,'Turns'!F312,'Turns'!F328,'Turns'!F344,'Turns'!F360)=23,SUM('Turns'!F17,'Turns'!F33,'Turns'!F49,'Turns'!F63,'Turns'!F82,'Turns'!F98,'Turns'!F114,'Turns'!F127,'Turns'!F146,'Turns'!F160,'Turns'!F176,'Turns'!F192,'Turns'!F205,'Turns'!F218,'Turns'!F237,'Turns'!F253,'Turns'!F265,'Turns'!F280,'Turns'!F299,'Turns'!F312,'Turns'!F328,'Turns'!F344,'Turns'!F360),"Unknown")</f>
        <v>0.01891053</v>
      </c>
      <c r="G3" s="5">
        <f>IF(ISNUMBER(E3),ROUND(E3*'Reference data'!$B$2,0),"Unknown")</f>
        <v>1657.0</v>
      </c>
      <c r="H3" s="5">
        <f>IF(ISNUMBER(F3),ROUND(F3*'Reference data'!$B$2,0),"Unknown")</f>
        <v>1891.0</v>
      </c>
    </row>
    <row r="4" spans="1:13" s="4" customFormat="1" ht="24" customHeight="1">
      <c r="A4" s="4" t="s">
        <v>93</v>
      </c>
      <c r="B4" s="4">
        <v>1</v>
      </c>
      <c r="C4" s="4" t="s">
        <v>94</v>
      </c>
      <c r="D4" s="4">
        <v>3107</v>
      </c>
      <c r="J4" s="4" t="s">
        <v>95</v>
      </c>
      <c r="M4" s="4" t="s">
        <v>96</v>
      </c>
    </row>
    <row r="5" spans="1:13" ht="24" customHeight="1">
      <c r="A5" t="s">
        <v>93</v>
      </c>
      <c r="B5">
        <v>1</v>
      </c>
      <c r="C5" t="s">
        <v>97</v>
      </c>
      <c r="D5" s="5">
        <v>3</v>
      </c>
      <c r="E5" s="2">
        <f>IF(AND(ISNUMBER(F5),ISNUMBER('Reference data'!$B$3)),F5*'Reference data'!$B$3,"Unknown")</f>
        <v>5.2581e-07</v>
      </c>
      <c r="F5" s="2">
        <f>IF(D5=0,0,IF(ISNUMBER('Reference data'!B17),D5*'Reference data'!B17/1000000,"Unknown"))</f>
        <v>6e-07</v>
      </c>
      <c r="G5" s="5">
        <f>IF(ISNUMBER(E5),ROUND(E5*'Reference data'!$B$2,0),"Unknown")</f>
        <v>0.0</v>
      </c>
      <c r="H5" s="5">
        <f>IF(ISNUMBER(F5),ROUND(F5*'Reference data'!$B$2,0),"Unknown")</f>
        <v>0.0</v>
      </c>
    </row>
    <row r="6" spans="1:13" ht="24" customHeight="1">
      <c r="A6" t="s">
        <v>93</v>
      </c>
      <c r="B6">
        <v>1</v>
      </c>
      <c r="C6" t="s">
        <v>98</v>
      </c>
    </row>
    <row r="7" spans="1:13" ht="409" customHeight="1">
      <c r="A7" t="s">
        <v>93</v>
      </c>
      <c r="B7">
        <v>1</v>
      </c>
      <c r="C7" t="s">
        <v>99</v>
      </c>
      <c r="I7" s="6" t="s">
        <v>100</v>
      </c>
    </row>
    <row r="8" spans="1:13" ht="34" customHeight="1">
      <c r="A8" t="s">
        <v>93</v>
      </c>
      <c r="B8">
        <v>1</v>
      </c>
      <c r="C8" t="s">
        <v>101</v>
      </c>
      <c r="I8" s="6" t="s">
        <v>102</v>
      </c>
    </row>
    <row r="9" spans="1:13" ht="24" customHeight="1">
      <c r="A9" t="s">
        <v>93</v>
      </c>
      <c r="B9">
        <v>1</v>
      </c>
      <c r="C9" t="s">
        <v>103</v>
      </c>
      <c r="D9" s="5">
        <v>3104</v>
      </c>
      <c r="E9" s="2">
        <f>IF(AND(ISNUMBER(F9),ISNUMBER('Reference data'!$B$3)),F9*'Reference data'!$B$3,"Unknown")</f>
        <v>0.0006800476</v>
      </c>
      <c r="F9" s="2">
        <f>IF(D9=0,0,IF(ISNUMBER('Reference data'!D17),D9*'Reference data'!D17/1000000,"Unknown"))</f>
        <v>0.000776</v>
      </c>
      <c r="G9" s="5">
        <f>IF(ISNUMBER(E9),ROUND(E9*'Reference data'!$B$2,0),"Unknown")</f>
        <v>68.0</v>
      </c>
      <c r="H9" s="5">
        <f>IF(ISNUMBER(F9),ROUND(F9*'Reference data'!$B$2,0),"Unknown")</f>
        <v>78.0</v>
      </c>
    </row>
    <row r="10" spans="1:13" ht="24" customHeight="1">
      <c r="A10" t="s">
        <v>93</v>
      </c>
      <c r="B10">
        <v>1</v>
      </c>
      <c r="C10" t="s">
        <v>104</v>
      </c>
    </row>
    <row r="11" spans="1:13" s="4" customFormat="1" ht="24" customHeight="1">
      <c r="A11" s="4" t="s">
        <v>93</v>
      </c>
      <c r="B11" s="4">
        <v>1</v>
      </c>
      <c r="C11" s="4" t="s">
        <v>105</v>
      </c>
      <c r="D11" s="4">
        <v>54</v>
      </c>
    </row>
    <row r="12" spans="1:13" ht="24" customHeight="1">
      <c r="A12" t="s">
        <v>93</v>
      </c>
      <c r="B12">
        <v>1</v>
      </c>
      <c r="C12" t="s">
        <v>106</v>
      </c>
      <c r="D12" s="5">
        <v>23</v>
      </c>
      <c r="E12" s="2">
        <f>IF(AND(ISNUMBER(F12),ISNUMBER('Reference data'!$B$3)),F12*'Reference data'!$B$3,"Unknown")</f>
        <v>2.418726e-05</v>
      </c>
      <c r="F12" s="2">
        <f>IF(D12=0,0,IF(ISNUMBER('Reference data'!F17),D12*'Reference data'!F17/1000000,"Unknown"))</f>
        <v>2.76e-05</v>
      </c>
      <c r="G12" s="5">
        <f>IF(ISNUMBER(E12),ROUND(E12*'Reference data'!$B$2,0),"Unknown")</f>
        <v>2.0</v>
      </c>
      <c r="H12" s="5">
        <f>IF(ISNUMBER(F12),ROUND(F12*'Reference data'!$B$2,0),"Unknown")</f>
        <v>3.0</v>
      </c>
    </row>
    <row r="13" spans="1:13" ht="24" customHeight="1">
      <c r="A13" t="s">
        <v>93</v>
      </c>
      <c r="B13">
        <v>1</v>
      </c>
      <c r="C13" t="s">
        <v>107</v>
      </c>
      <c r="D13" s="5">
        <v>31</v>
      </c>
      <c r="E13" s="2">
        <f>IF(AND(ISNUMBER(F13),ISNUMBER('Reference data'!$B$3)),F13*'Reference data'!$B$3,"Unknown")</f>
        <v>3.260022e-05</v>
      </c>
      <c r="F13" s="2">
        <f>IF(D13=0,0,IF(ISNUMBER('Reference data'!E17),D13*'Reference data'!E17/1000000,"Unknown"))</f>
        <v>3.72e-05</v>
      </c>
      <c r="G13" s="5">
        <f>IF(ISNUMBER(E13),ROUND(E13*'Reference data'!$B$2,0),"Unknown")</f>
        <v>3.0</v>
      </c>
      <c r="H13" s="5">
        <f>IF(ISNUMBER(F13),ROUND(F13*'Reference data'!$B$2,0),"Unknown")</f>
        <v>4.0</v>
      </c>
    </row>
    <row r="14" spans="1:13" ht="294"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IF(COUNT('Turns'!E5,'Turns'!E9,'Turns'!E12,'Turns'!E13)=4,SUM('Turns'!E5,'Turns'!E9,'Turns'!E12,'Turns'!E13),"Unknown")</f>
        <v>0.00073736089</v>
      </c>
      <c r="F17" s="2">
        <f>IF(COUNT('Turns'!F5,'Turns'!F9,'Turns'!F12,'Turns'!F13)=4,SUM('Turns'!F5,'Turns'!F9,'Turns'!F12,'Turns'!F13),"Unknown")</f>
        <v>0.0008414</v>
      </c>
      <c r="G17" s="5">
        <f>IF(ISNUMBER(E17),ROUND(E17*'Reference data'!$B$2,0),"Unknown")</f>
        <v>74.0</v>
      </c>
      <c r="H17" s="5">
        <f>IF(ISNUMBER(F17),ROUND(F17*'Reference data'!$B$2,0),"Unknown")</f>
        <v>84.0</v>
      </c>
      <c r="K17" s="4" t="s">
        <v>111</v>
      </c>
    </row>
    <row r="18" spans="1:13" s="4" customFormat="1" ht="24" customHeight="1">
      <c r="B18" s="4">
        <v>1</v>
      </c>
      <c r="C18" s="4" t="s">
        <v>112</v>
      </c>
      <c r="K18" s="4" t="s">
        <v>113</v>
      </c>
      <c r="M18" s="4" t="s">
        <v>114</v>
      </c>
    </row>
    <row r="19" spans="1:13" ht="24" customHeight="1">
      <c r="B19">
        <v>1</v>
      </c>
      <c r="C19" t="s">
        <v>115</v>
      </c>
      <c r="I19" s="6" t="s">
        <v>116</v>
      </c>
    </row>
    <row r="20" spans="1:13" ht="24" customHeight="1">
      <c r="B20">
        <v>1</v>
      </c>
      <c r="C20" t="s">
        <v>117</v>
      </c>
      <c r="I20" s="6" t="s">
        <v>118</v>
      </c>
    </row>
    <row r="21" spans="1:13" s="4" customFormat="1" ht="24" customHeight="1">
      <c r="A21" s="4" t="s">
        <v>119</v>
      </c>
      <c r="B21" s="4">
        <v>1</v>
      </c>
      <c r="C21" s="4" t="s">
        <v>94</v>
      </c>
      <c r="D21" s="4">
        <v>3181</v>
      </c>
      <c r="J21" s="4" t="s">
        <v>95</v>
      </c>
      <c r="M21" s="4" t="s">
        <v>120</v>
      </c>
    </row>
    <row r="22" spans="1:13" ht="24" customHeight="1">
      <c r="A22" t="s">
        <v>119</v>
      </c>
      <c r="B22">
        <v>1</v>
      </c>
      <c r="C22" t="s">
        <v>121</v>
      </c>
      <c r="D22" s="5">
        <v>3104</v>
      </c>
      <c r="E22" s="2">
        <f>IF(AND(ISNUMBER(F22),ISNUMBER('Reference data'!$B$3)),F22*'Reference data'!$B$3,"Unknown")</f>
        <v>5.4403808e-05</v>
      </c>
      <c r="F22" s="2">
        <f>IF(D22=0,0,IF(ISNUMBER('Reference data'!C17),D22*'Reference data'!C17/1000000,"Unknown"))</f>
        <v>6.208e-05</v>
      </c>
      <c r="G22" s="5">
        <f>IF(ISNUMBER(E22),ROUND(E22*'Reference data'!$B$2,0),"Unknown")</f>
        <v>5.0</v>
      </c>
      <c r="H22" s="5">
        <f>IF(ISNUMBER(F22),ROUND(F22*'Reference data'!$B$2,0),"Unknown")</f>
        <v>6.0</v>
      </c>
    </row>
    <row r="23" spans="1:13" ht="24" customHeight="1">
      <c r="A23" t="s">
        <v>119</v>
      </c>
      <c r="B23">
        <v>1</v>
      </c>
      <c r="C23" t="s">
        <v>97</v>
      </c>
      <c r="D23" s="5">
        <v>3</v>
      </c>
      <c r="E23" s="2">
        <f>IF(AND(ISNUMBER(F23),ISNUMBER('Reference data'!$B$3)),F23*'Reference data'!$B$3,"Unknown")</f>
        <v>5.2581e-07</v>
      </c>
      <c r="F23" s="2">
        <f>IF(D23=0,0,IF(ISNUMBER('Reference data'!B17),D23*'Reference data'!B17/1000000,"Unknown"))</f>
        <v>6e-07</v>
      </c>
      <c r="G23" s="5">
        <f>IF(ISNUMBER(E23),ROUND(E23*'Reference data'!$B$2,0),"Unknown")</f>
        <v>0.0</v>
      </c>
      <c r="H23" s="5">
        <f>IF(ISNUMBER(F23),ROUND(F23*'Reference data'!$B$2,0),"Unknown")</f>
        <v>0.0</v>
      </c>
    </row>
    <row r="24" spans="1:13" ht="24" customHeight="1">
      <c r="A24" t="s">
        <v>119</v>
      </c>
      <c r="B24">
        <v>1</v>
      </c>
      <c r="C24" t="s">
        <v>122</v>
      </c>
      <c r="I24" s="6" t="s">
        <v>118</v>
      </c>
    </row>
    <row r="25" spans="1:13" ht="24" customHeight="1">
      <c r="A25" t="s">
        <v>119</v>
      </c>
      <c r="B25">
        <v>1</v>
      </c>
      <c r="C25" t="s">
        <v>103</v>
      </c>
      <c r="D25" s="5">
        <v>74</v>
      </c>
      <c r="E25" s="2">
        <f>IF(AND(ISNUMBER(F25),ISNUMBER('Reference data'!$B$3)),F25*'Reference data'!$B$3,"Unknown")</f>
        <v>1.6212475e-05</v>
      </c>
      <c r="F25" s="2">
        <f>IF(D25=0,0,IF(ISNUMBER('Reference data'!D17),D25*'Reference data'!D17/1000000,"Unknown"))</f>
        <v>1.85e-05</v>
      </c>
      <c r="G25" s="5">
        <f>IF(ISNUMBER(E25),ROUND(E25*'Reference data'!$B$2,0),"Unknown")</f>
        <v>2.0</v>
      </c>
      <c r="H25" s="5">
        <f>IF(ISNUMBER(F25),ROUND(F25*'Reference data'!$B$2,0),"Unknown")</f>
        <v>2.0</v>
      </c>
    </row>
    <row r="26" spans="1:13" ht="24" customHeight="1">
      <c r="A26" t="s">
        <v>119</v>
      </c>
      <c r="B26">
        <v>1</v>
      </c>
      <c r="C26" t="s">
        <v>104</v>
      </c>
    </row>
    <row r="27" spans="1:13" s="4" customFormat="1" ht="24" customHeight="1">
      <c r="A27" s="4" t="s">
        <v>119</v>
      </c>
      <c r="B27" s="4">
        <v>1</v>
      </c>
      <c r="C27" s="4" t="s">
        <v>105</v>
      </c>
      <c r="D27" s="4">
        <v>807</v>
      </c>
    </row>
    <row r="28" spans="1:13" ht="24" customHeight="1">
      <c r="A28" t="s">
        <v>119</v>
      </c>
      <c r="B28">
        <v>1</v>
      </c>
      <c r="C28" t="s">
        <v>106</v>
      </c>
      <c r="D28" s="5">
        <v>101</v>
      </c>
      <c r="E28" s="2">
        <f>IF(AND(ISNUMBER(F28),ISNUMBER('Reference data'!$B$3)),F28*'Reference data'!$B$3,"Unknown")</f>
        <v>0.00010621362</v>
      </c>
      <c r="F28" s="2">
        <f>IF(D28=0,0,IF(ISNUMBER('Reference data'!F17),D28*'Reference data'!F17/1000000,"Unknown"))</f>
        <v>0.0001212</v>
      </c>
      <c r="G28" s="5">
        <f>IF(ISNUMBER(E28),ROUND(E28*'Reference data'!$B$2,0),"Unknown")</f>
        <v>11.0</v>
      </c>
      <c r="H28" s="5">
        <f>IF(ISNUMBER(F28),ROUND(F28*'Reference data'!$B$2,0),"Unknown")</f>
        <v>12.0</v>
      </c>
    </row>
    <row r="29" spans="1:13" ht="24" customHeight="1">
      <c r="A29" t="s">
        <v>119</v>
      </c>
      <c r="B29">
        <v>1</v>
      </c>
      <c r="C29" t="s">
        <v>107</v>
      </c>
      <c r="D29" s="5">
        <v>706</v>
      </c>
      <c r="E29" s="2">
        <f>IF(AND(ISNUMBER(F29),ISNUMBER('Reference data'!$B$3)),F29*'Reference data'!$B$3,"Unknown")</f>
        <v>0.00074244372</v>
      </c>
      <c r="F29" s="2">
        <f>IF(D29=0,0,IF(ISNUMBER('Reference data'!E17),D29*'Reference data'!E17/1000000,"Unknown"))</f>
        <v>0.0008472</v>
      </c>
      <c r="G29" s="5">
        <f>IF(ISNUMBER(E29),ROUND(E29*'Reference data'!$B$2,0),"Unknown")</f>
        <v>74.0</v>
      </c>
      <c r="H29" s="5">
        <f>IF(ISNUMBER(F29),ROUND(F29*'Reference data'!$B$2,0),"Unknown")</f>
        <v>85.0</v>
      </c>
    </row>
    <row r="30" spans="1:13" ht="409" customHeight="1">
      <c r="A30" t="s">
        <v>119</v>
      </c>
      <c r="B30">
        <v>1</v>
      </c>
      <c r="C30" t="s">
        <v>108</v>
      </c>
      <c r="I30" s="6" t="s">
        <v>123</v>
      </c>
    </row>
    <row r="31" spans="1:13" ht="24" customHeight="1">
      <c r="A31" t="s">
        <v>119</v>
      </c>
      <c r="B31">
        <v>1</v>
      </c>
      <c r="C31" t="s">
        <v>103</v>
      </c>
    </row>
    <row r="32" spans="1:13" ht="24" customHeight="1">
      <c r="A32" t="s">
        <v>119</v>
      </c>
      <c r="B32">
        <v>1</v>
      </c>
      <c r="C32" t="s">
        <v>104</v>
      </c>
    </row>
    <row r="33" spans="1:13" s="4" customFormat="1" ht="24" customHeight="1">
      <c r="A33" s="4" t="s">
        <v>119</v>
      </c>
      <c r="B33" s="4">
        <v>1</v>
      </c>
      <c r="C33" s="4" t="s">
        <v>110</v>
      </c>
      <c r="E33" s="2">
        <f>IF(COUNT('Turns'!E22,'Turns'!E23,'Turns'!E25,'Turns'!E28,'Turns'!E29)=5,SUM('Turns'!E22,'Turns'!E23,'Turns'!E25,'Turns'!E28,'Turns'!E29),"Unknown")</f>
        <v>0.000919799433</v>
      </c>
      <c r="F33" s="2">
        <f>IF(COUNT('Turns'!F22,'Turns'!F23,'Turns'!F25,'Turns'!F28,'Turns'!F29)=5,SUM('Turns'!F22,'Turns'!F23,'Turns'!F25,'Turns'!F28,'Turns'!F29),"Unknown")</f>
        <v>0.00104958</v>
      </c>
      <c r="G33" s="5">
        <f>IF(ISNUMBER(E33),ROUND(E33*'Reference data'!$B$2,0),"Unknown")</f>
        <v>92.0</v>
      </c>
      <c r="H33" s="5">
        <f>IF(ISNUMBER(F33),ROUND(F33*'Reference data'!$B$2,0),"Unknown")</f>
        <v>105.0</v>
      </c>
      <c r="K33" s="4" t="s">
        <v>111</v>
      </c>
    </row>
    <row r="34" spans="1:13" s="4" customFormat="1" ht="24" customHeight="1">
      <c r="B34" s="4">
        <v>1</v>
      </c>
      <c r="C34" s="4" t="s">
        <v>124</v>
      </c>
      <c r="K34" s="4" t="s">
        <v>111</v>
      </c>
      <c r="M34" s="4" t="s">
        <v>125</v>
      </c>
    </row>
    <row r="35" spans="1:13" ht="409" customHeight="1">
      <c r="B35">
        <v>1</v>
      </c>
      <c r="C35" t="s">
        <v>115</v>
      </c>
      <c r="I35" s="6" t="s">
        <v>126</v>
      </c>
    </row>
    <row r="36" spans="1:13" ht="24" customHeight="1">
      <c r="B36">
        <v>1</v>
      </c>
      <c r="C36" t="s">
        <v>117</v>
      </c>
      <c r="I36" s="6" t="s">
        <v>127</v>
      </c>
    </row>
    <row r="37" spans="1:13" s="4" customFormat="1" ht="24" customHeight="1">
      <c r="A37" s="4" t="s">
        <v>128</v>
      </c>
      <c r="B37" s="4">
        <v>1</v>
      </c>
      <c r="C37" s="4" t="s">
        <v>94</v>
      </c>
      <c r="D37" s="4">
        <v>4004</v>
      </c>
      <c r="J37" s="4" t="s">
        <v>95</v>
      </c>
      <c r="M37" s="4" t="s">
        <v>129</v>
      </c>
    </row>
    <row r="38" spans="1:13" ht="24" customHeight="1">
      <c r="A38" t="s">
        <v>128</v>
      </c>
      <c r="B38">
        <v>1</v>
      </c>
      <c r="C38" t="s">
        <v>121</v>
      </c>
      <c r="D38" s="5">
        <v>3178</v>
      </c>
      <c r="E38" s="2">
        <f>IF(AND(ISNUMBER(F38),ISNUMBER('Reference data'!$B$3)),F38*'Reference data'!$B$3,"Unknown")</f>
        <v>5.5700806e-05</v>
      </c>
      <c r="F38" s="2">
        <f>IF(D38=0,0,IF(ISNUMBER('Reference data'!C17),D38*'Reference data'!C17/1000000,"Unknown"))</f>
        <v>6.356e-05</v>
      </c>
      <c r="G38" s="5">
        <f>IF(ISNUMBER(E38),ROUND(E38*'Reference data'!$B$2,0),"Unknown")</f>
        <v>6.0</v>
      </c>
      <c r="H38" s="5">
        <f>IF(ISNUMBER(F38),ROUND(F38*'Reference data'!$B$2,0),"Unknown")</f>
        <v>6.0</v>
      </c>
    </row>
    <row r="39" spans="1:13" ht="24" customHeight="1">
      <c r="A39" t="s">
        <v>128</v>
      </c>
      <c r="B39">
        <v>1</v>
      </c>
      <c r="C39" t="s">
        <v>97</v>
      </c>
      <c r="D39" s="5">
        <v>3</v>
      </c>
      <c r="E39" s="2">
        <f>IF(AND(ISNUMBER(F39),ISNUMBER('Reference data'!$B$3)),F39*'Reference data'!$B$3,"Unknown")</f>
        <v>5.2581e-07</v>
      </c>
      <c r="F39" s="2">
        <f>IF(D39=0,0,IF(ISNUMBER('Reference data'!B17),D39*'Reference data'!B17/1000000,"Unknown"))</f>
        <v>6e-07</v>
      </c>
      <c r="G39" s="5">
        <f>IF(ISNUMBER(E39),ROUND(E39*'Reference data'!$B$2,0),"Unknown")</f>
        <v>0.0</v>
      </c>
      <c r="H39" s="5">
        <f>IF(ISNUMBER(F39),ROUND(F39*'Reference data'!$B$2,0),"Unknown")</f>
        <v>0.0</v>
      </c>
    </row>
    <row r="40" spans="1:13" ht="24" customHeight="1">
      <c r="A40" t="s">
        <v>128</v>
      </c>
      <c r="B40">
        <v>1</v>
      </c>
      <c r="C40" t="s">
        <v>122</v>
      </c>
      <c r="I40" s="6" t="s">
        <v>127</v>
      </c>
    </row>
    <row r="41" spans="1:13" ht="24" customHeight="1">
      <c r="A41" t="s">
        <v>128</v>
      </c>
      <c r="B41">
        <v>1</v>
      </c>
      <c r="C41" t="s">
        <v>103</v>
      </c>
      <c r="D41" s="5">
        <v>823</v>
      </c>
      <c r="E41" s="2">
        <f>IF(AND(ISNUMBER(F41),ISNUMBER('Reference data'!$B$3)),F41*'Reference data'!$B$3,"Unknown")</f>
        <v>0.0001803090125</v>
      </c>
      <c r="F41" s="2">
        <f>IF(D41=0,0,IF(ISNUMBER('Reference data'!D17),D41*'Reference data'!D17/1000000,"Unknown"))</f>
        <v>0.00020575</v>
      </c>
      <c r="G41" s="5">
        <f>IF(ISNUMBER(E41),ROUND(E41*'Reference data'!$B$2,0),"Unknown")</f>
        <v>18.0</v>
      </c>
      <c r="H41" s="5">
        <f>IF(ISNUMBER(F41),ROUND(F41*'Reference data'!$B$2,0),"Unknown")</f>
        <v>21.0</v>
      </c>
    </row>
    <row r="42" spans="1:13" ht="24" customHeight="1">
      <c r="A42" t="s">
        <v>128</v>
      </c>
      <c r="B42">
        <v>1</v>
      </c>
      <c r="C42" t="s">
        <v>104</v>
      </c>
    </row>
    <row r="43" spans="1:13" s="4" customFormat="1" ht="24" customHeight="1">
      <c r="A43" s="4" t="s">
        <v>128</v>
      </c>
      <c r="B43" s="4">
        <v>1</v>
      </c>
      <c r="C43" s="4" t="s">
        <v>105</v>
      </c>
      <c r="D43" s="4">
        <v>202</v>
      </c>
    </row>
    <row r="44" spans="1:13" ht="24" customHeight="1">
      <c r="A44" t="s">
        <v>128</v>
      </c>
      <c r="B44">
        <v>1</v>
      </c>
      <c r="C44" t="s">
        <v>106</v>
      </c>
      <c r="D44" s="5">
        <v>37</v>
      </c>
      <c r="E44" s="2">
        <f>IF(AND(ISNUMBER(F44),ISNUMBER('Reference data'!$B$3)),F44*'Reference data'!$B$3,"Unknown")</f>
        <v>3.890994e-05</v>
      </c>
      <c r="F44" s="2">
        <f>IF(D44=0,0,IF(ISNUMBER('Reference data'!F17),D44*'Reference data'!F17/1000000,"Unknown"))</f>
        <v>4.44e-05</v>
      </c>
      <c r="G44" s="5">
        <f>IF(ISNUMBER(E44),ROUND(E44*'Reference data'!$B$2,0),"Unknown")</f>
        <v>4.0</v>
      </c>
      <c r="H44" s="5">
        <f>IF(ISNUMBER(F44),ROUND(F44*'Reference data'!$B$2,0),"Unknown")</f>
        <v>4.0</v>
      </c>
    </row>
    <row r="45" spans="1:13" ht="24" customHeight="1">
      <c r="A45" t="s">
        <v>128</v>
      </c>
      <c r="B45">
        <v>1</v>
      </c>
      <c r="C45" t="s">
        <v>107</v>
      </c>
      <c r="D45" s="5">
        <v>165</v>
      </c>
      <c r="E45" s="2">
        <f>IF(AND(ISNUMBER(F45),ISNUMBER('Reference data'!$B$3)),F45*'Reference data'!$B$3,"Unknown")</f>
        <v>0.0001735173</v>
      </c>
      <c r="F45" s="2">
        <f>IF(D45=0,0,IF(ISNUMBER('Reference data'!E17),D45*'Reference data'!E17/1000000,"Unknown"))</f>
        <v>0.000198</v>
      </c>
      <c r="G45" s="5">
        <f>IF(ISNUMBER(E45),ROUND(E45*'Reference data'!$B$2,0),"Unknown")</f>
        <v>17.0</v>
      </c>
      <c r="H45" s="5">
        <f>IF(ISNUMBER(F45),ROUND(F45*'Reference data'!$B$2,0),"Unknown")</f>
        <v>20.0</v>
      </c>
    </row>
    <row r="46" spans="1:13" ht="385" customHeight="1">
      <c r="A46" t="s">
        <v>128</v>
      </c>
      <c r="B46">
        <v>1</v>
      </c>
      <c r="C46" t="s">
        <v>108</v>
      </c>
      <c r="I46" s="6" t="s">
        <v>130</v>
      </c>
    </row>
    <row r="47" spans="1:13" ht="24" customHeight="1">
      <c r="A47" t="s">
        <v>128</v>
      </c>
      <c r="B47">
        <v>1</v>
      </c>
      <c r="C47" t="s">
        <v>103</v>
      </c>
    </row>
    <row r="48" spans="1:13" ht="24" customHeight="1">
      <c r="A48" t="s">
        <v>128</v>
      </c>
      <c r="B48">
        <v>1</v>
      </c>
      <c r="C48" t="s">
        <v>104</v>
      </c>
    </row>
    <row r="49" spans="1:13" s="4" customFormat="1" ht="24" customHeight="1">
      <c r="A49" s="4" t="s">
        <v>128</v>
      </c>
      <c r="B49" s="4">
        <v>1</v>
      </c>
      <c r="C49" s="4" t="s">
        <v>110</v>
      </c>
      <c r="E49" s="2">
        <f>IF(COUNT('Turns'!E38,'Turns'!E39,'Turns'!E41,'Turns'!E44,'Turns'!E45)=5,SUM('Turns'!E38,'Turns'!E39,'Turns'!E41,'Turns'!E44,'Turns'!E45),"Unknown")</f>
        <v>0.0004489628685</v>
      </c>
      <c r="F49" s="2">
        <f>IF(COUNT('Turns'!F38,'Turns'!F39,'Turns'!F41,'Turns'!F44,'Turns'!F45)=5,SUM('Turns'!F38,'Turns'!F39,'Turns'!F41,'Turns'!F44,'Turns'!F45),"Unknown")</f>
        <v>0.00051231</v>
      </c>
      <c r="G49" s="5">
        <f>IF(ISNUMBER(E49),ROUND(E49*'Reference data'!$B$2,0),"Unknown")</f>
        <v>45.0</v>
      </c>
      <c r="H49" s="5">
        <f>IF(ISNUMBER(F49),ROUND(F49*'Reference data'!$B$2,0),"Unknown")</f>
        <v>51.0</v>
      </c>
      <c r="K49" s="4" t="s">
        <v>111</v>
      </c>
    </row>
    <row r="50" spans="1:13" s="4" customFormat="1" ht="24" customHeight="1">
      <c r="A50" s="4" t="s">
        <v>131</v>
      </c>
      <c r="B50" s="4">
        <v>1</v>
      </c>
      <c r="C50" s="4" t="s">
        <v>94</v>
      </c>
      <c r="D50" s="4">
        <v>4389</v>
      </c>
      <c r="J50" s="4" t="s">
        <v>95</v>
      </c>
      <c r="M50" s="4" t="s">
        <v>132</v>
      </c>
    </row>
    <row r="51" spans="1:13" ht="24" customHeight="1">
      <c r="A51" t="s">
        <v>131</v>
      </c>
      <c r="B51">
        <v>1</v>
      </c>
      <c r="C51" t="s">
        <v>97</v>
      </c>
      <c r="D51" s="5">
        <v>3</v>
      </c>
      <c r="E51" s="2">
        <f>IF(AND(ISNUMBER(F51),ISNUMBER('Reference data'!$B$3)),F51*'Reference data'!$B$3,"Unknown")</f>
        <v>5.2581e-07</v>
      </c>
      <c r="F51" s="2">
        <f>IF(D51=0,0,IF(ISNUMBER('Reference data'!B17),D51*'Reference data'!B17/1000000,"Unknown"))</f>
        <v>6e-07</v>
      </c>
      <c r="G51" s="5">
        <f>IF(ISNUMBER(E51),ROUND(E51*'Reference data'!$B$2,0),"Unknown")</f>
        <v>0.0</v>
      </c>
      <c r="H51" s="5">
        <f>IF(ISNUMBER(F51),ROUND(F51*'Reference data'!$B$2,0),"Unknown")</f>
        <v>0.0</v>
      </c>
    </row>
    <row r="52" spans="1:13" ht="24" customHeight="1">
      <c r="A52" t="s">
        <v>131</v>
      </c>
      <c r="B52">
        <v>1</v>
      </c>
      <c r="C52" t="s">
        <v>98</v>
      </c>
    </row>
    <row r="53" spans="1:13" ht="409" customHeight="1">
      <c r="A53" t="s">
        <v>131</v>
      </c>
      <c r="B53">
        <v>1</v>
      </c>
      <c r="C53" t="s">
        <v>99</v>
      </c>
      <c r="I53" s="6" t="s">
        <v>133</v>
      </c>
    </row>
    <row r="54" spans="1:13" ht="34" customHeight="1">
      <c r="A54" t="s">
        <v>131</v>
      </c>
      <c r="B54">
        <v>1</v>
      </c>
      <c r="C54" t="s">
        <v>122</v>
      </c>
      <c r="I54" s="6" t="s">
        <v>134</v>
      </c>
    </row>
    <row r="55" spans="1:13" ht="24" customHeight="1">
      <c r="A55" t="s">
        <v>131</v>
      </c>
      <c r="B55">
        <v>1</v>
      </c>
      <c r="C55" t="s">
        <v>103</v>
      </c>
      <c r="D55" s="5">
        <v>4386</v>
      </c>
      <c r="E55" s="2">
        <f>IF(AND(ISNUMBER(F55),ISNUMBER('Reference data'!$B$3)),F55*'Reference data'!$B$3,"Unknown")</f>
        <v>0.000960917775</v>
      </c>
      <c r="F55" s="2">
        <f>IF(D55=0,0,IF(ISNUMBER('Reference data'!D17),D55*'Reference data'!D17/1000000,"Unknown"))</f>
        <v>0.0010965</v>
      </c>
      <c r="G55" s="5">
        <f>IF(ISNUMBER(E55),ROUND(E55*'Reference data'!$B$2,0),"Unknown")</f>
        <v>96.0</v>
      </c>
      <c r="H55" s="5">
        <f>IF(ISNUMBER(F55),ROUND(F55*'Reference data'!$B$2,0),"Unknown")</f>
        <v>110.0</v>
      </c>
    </row>
    <row r="56" spans="1:13" ht="24" customHeight="1">
      <c r="A56" t="s">
        <v>131</v>
      </c>
      <c r="B56">
        <v>1</v>
      </c>
      <c r="C56" t="s">
        <v>104</v>
      </c>
    </row>
    <row r="57" spans="1:13" s="4" customFormat="1" ht="24" customHeight="1">
      <c r="A57" s="4" t="s">
        <v>131</v>
      </c>
      <c r="B57" s="4">
        <v>1</v>
      </c>
      <c r="C57" s="4" t="s">
        <v>105</v>
      </c>
      <c r="D57" s="4">
        <v>88</v>
      </c>
    </row>
    <row r="58" spans="1:13" ht="24" customHeight="1">
      <c r="A58" t="s">
        <v>131</v>
      </c>
      <c r="B58">
        <v>1</v>
      </c>
      <c r="C58" t="s">
        <v>106</v>
      </c>
      <c r="D58" s="5">
        <v>16</v>
      </c>
      <c r="E58" s="2">
        <f>IF(AND(ISNUMBER(F58),ISNUMBER('Reference data'!$B$3)),F58*'Reference data'!$B$3,"Unknown")</f>
        <v>1.682592e-05</v>
      </c>
      <c r="F58" s="2">
        <f>IF(D58=0,0,IF(ISNUMBER('Reference data'!F17),D58*'Reference data'!F17/1000000,"Unknown"))</f>
        <v>1.92e-05</v>
      </c>
      <c r="G58" s="5">
        <f>IF(ISNUMBER(E58),ROUND(E58*'Reference data'!$B$2,0),"Unknown")</f>
        <v>2.0</v>
      </c>
      <c r="H58" s="5">
        <f>IF(ISNUMBER(F58),ROUND(F58*'Reference data'!$B$2,0),"Unknown")</f>
        <v>2.0</v>
      </c>
    </row>
    <row r="59" spans="1:13" ht="24" customHeight="1">
      <c r="A59" t="s">
        <v>131</v>
      </c>
      <c r="B59">
        <v>1</v>
      </c>
      <c r="C59" t="s">
        <v>107</v>
      </c>
      <c r="D59" s="5">
        <v>72</v>
      </c>
      <c r="E59" s="2">
        <f>IF(AND(ISNUMBER(F59),ISNUMBER('Reference data'!$B$3)),F59*'Reference data'!$B$3,"Unknown")</f>
        <v>7.571664e-05</v>
      </c>
      <c r="F59" s="2">
        <f>IF(D59=0,0,IF(ISNUMBER('Reference data'!E17),D59*'Reference data'!E17/1000000,"Unknown"))</f>
        <v>8.64e-05</v>
      </c>
      <c r="G59" s="5">
        <f>IF(ISNUMBER(E59),ROUND(E59*'Reference data'!$B$2,0),"Unknown")</f>
        <v>8.0</v>
      </c>
      <c r="H59" s="5">
        <f>IF(ISNUMBER(F59),ROUND(F59*'Reference data'!$B$2,0),"Unknown")</f>
        <v>9.0</v>
      </c>
    </row>
    <row r="60" spans="1:13" ht="346" customHeight="1">
      <c r="A60" t="s">
        <v>131</v>
      </c>
      <c r="B60">
        <v>1</v>
      </c>
      <c r="C60" t="s">
        <v>108</v>
      </c>
      <c r="I60" s="6" t="s">
        <v>135</v>
      </c>
    </row>
    <row r="61" spans="1:13" ht="24" customHeight="1">
      <c r="A61" t="s">
        <v>131</v>
      </c>
      <c r="B61">
        <v>1</v>
      </c>
      <c r="C61" t="s">
        <v>103</v>
      </c>
    </row>
    <row r="62" spans="1:13" ht="24" customHeight="1">
      <c r="A62" t="s">
        <v>131</v>
      </c>
      <c r="B62">
        <v>1</v>
      </c>
      <c r="C62" t="s">
        <v>104</v>
      </c>
    </row>
    <row r="63" spans="1:13" s="4" customFormat="1" ht="24" customHeight="1">
      <c r="A63" s="4" t="s">
        <v>131</v>
      </c>
      <c r="B63" s="4">
        <v>1</v>
      </c>
      <c r="C63" s="4" t="s">
        <v>110</v>
      </c>
      <c r="E63" s="2">
        <f>IF(COUNT('Turns'!E51,'Turns'!E55,'Turns'!E58,'Turns'!E59)=4,SUM('Turns'!E51,'Turns'!E55,'Turns'!E58,'Turns'!E59),"Unknown")</f>
        <v>0.001053986145</v>
      </c>
      <c r="F63" s="2">
        <f>IF(COUNT('Turns'!F51,'Turns'!F55,'Turns'!F58,'Turns'!F59)=4,SUM('Turns'!F51,'Turns'!F55,'Turns'!F58,'Turns'!F59),"Unknown")</f>
        <v>0.0012027</v>
      </c>
      <c r="G63" s="5">
        <f>IF(ISNUMBER(E63),ROUND(E63*'Reference data'!$B$2,0),"Unknown")</f>
        <v>105.0</v>
      </c>
      <c r="H63" s="5">
        <f>IF(ISNUMBER(F63),ROUND(F63*'Reference data'!$B$2,0),"Unknown")</f>
        <v>120.0</v>
      </c>
      <c r="K63" s="4" t="s">
        <v>111</v>
      </c>
    </row>
    <row r="64" spans="1:13" s="4" customFormat="1" ht="24" customHeight="1">
      <c r="B64" s="4">
        <v>1</v>
      </c>
      <c r="C64" s="4" t="s">
        <v>112</v>
      </c>
      <c r="K64" s="4" t="s">
        <v>111</v>
      </c>
      <c r="M64" s="4" t="s">
        <v>136</v>
      </c>
    </row>
    <row r="65" spans="1:13" ht="24" customHeight="1">
      <c r="B65">
        <v>1</v>
      </c>
      <c r="C65" t="s">
        <v>115</v>
      </c>
      <c r="I65" s="6" t="s">
        <v>116</v>
      </c>
    </row>
    <row r="66" spans="1:13" ht="409" customHeight="1">
      <c r="B66">
        <v>1</v>
      </c>
      <c r="C66" t="s">
        <v>117</v>
      </c>
      <c r="I66" s="6" t="s">
        <v>137</v>
      </c>
    </row>
    <row r="67" spans="1:13" s="4" customFormat="1" ht="24" customHeight="1">
      <c r="B67" s="4">
        <v>1</v>
      </c>
      <c r="C67" s="4" t="s">
        <v>112</v>
      </c>
      <c r="K67" s="4" t="s">
        <v>113</v>
      </c>
      <c r="M67" s="4" t="s">
        <v>138</v>
      </c>
    </row>
    <row r="68" spans="1:13" ht="24" customHeight="1">
      <c r="B68">
        <v>1</v>
      </c>
      <c r="C68" t="s">
        <v>115</v>
      </c>
      <c r="I68" s="6" t="s">
        <v>139</v>
      </c>
    </row>
    <row r="69" spans="1:13" ht="24" customHeight="1">
      <c r="B69">
        <v>1</v>
      </c>
      <c r="C69" t="s">
        <v>117</v>
      </c>
      <c r="I69" s="6" t="s">
        <v>140</v>
      </c>
    </row>
    <row r="70" spans="1:13" s="4" customFormat="1" ht="24" customHeight="1">
      <c r="A70" s="4" t="s">
        <v>141</v>
      </c>
      <c r="B70" s="4">
        <v>1</v>
      </c>
      <c r="C70" s="4" t="s">
        <v>94</v>
      </c>
      <c r="D70" s="4">
        <v>5149</v>
      </c>
      <c r="J70" s="4" t="s">
        <v>95</v>
      </c>
      <c r="M70" s="4" t="s">
        <v>142</v>
      </c>
    </row>
    <row r="71" spans="1:13" ht="24" customHeight="1">
      <c r="A71" t="s">
        <v>141</v>
      </c>
      <c r="B71">
        <v>1</v>
      </c>
      <c r="C71" t="s">
        <v>121</v>
      </c>
      <c r="D71" s="5">
        <v>4386</v>
      </c>
      <c r="E71" s="2">
        <f>IF(AND(ISNUMBER(F71),ISNUMBER('Reference data'!$B$3)),F71*'Reference data'!$B$3,"Unknown")</f>
        <v>7.6873422e-05</v>
      </c>
      <c r="F71" s="2">
        <f>IF(D71=0,0,IF(ISNUMBER('Reference data'!C17),D71*'Reference data'!C17/1000000,"Unknown"))</f>
        <v>8.772e-05</v>
      </c>
      <c r="G71" s="5">
        <f>IF(ISNUMBER(E71),ROUND(E71*'Reference data'!$B$2,0),"Unknown")</f>
        <v>8.0</v>
      </c>
      <c r="H71" s="5">
        <f>IF(ISNUMBER(F71),ROUND(F71*'Reference data'!$B$2,0),"Unknown")</f>
        <v>9.0</v>
      </c>
    </row>
    <row r="72" spans="1:13" ht="24" customHeight="1">
      <c r="A72" t="s">
        <v>141</v>
      </c>
      <c r="B72">
        <v>1</v>
      </c>
      <c r="C72" t="s">
        <v>97</v>
      </c>
      <c r="D72" s="5">
        <v>3</v>
      </c>
      <c r="E72" s="2">
        <f>IF(AND(ISNUMBER(F72),ISNUMBER('Reference data'!$B$3)),F72*'Reference data'!$B$3,"Unknown")</f>
        <v>5.2581e-07</v>
      </c>
      <c r="F72" s="2">
        <f>IF(D72=0,0,IF(ISNUMBER('Reference data'!B17),D72*'Reference data'!B17/1000000,"Unknown"))</f>
        <v>6e-07</v>
      </c>
      <c r="G72" s="5">
        <f>IF(ISNUMBER(E72),ROUND(E72*'Reference data'!$B$2,0),"Unknown")</f>
        <v>0.0</v>
      </c>
      <c r="H72" s="5">
        <f>IF(ISNUMBER(F72),ROUND(F72*'Reference data'!$B$2,0),"Unknown")</f>
        <v>0.0</v>
      </c>
    </row>
    <row r="73" spans="1:13" ht="409" customHeight="1">
      <c r="A73" t="s">
        <v>141</v>
      </c>
      <c r="B73">
        <v>1</v>
      </c>
      <c r="C73" t="s">
        <v>122</v>
      </c>
      <c r="I73" s="6" t="s">
        <v>143</v>
      </c>
    </row>
    <row r="74" spans="1:13" ht="24" customHeight="1">
      <c r="A74" t="s">
        <v>141</v>
      </c>
      <c r="B74">
        <v>1</v>
      </c>
      <c r="C74" t="s">
        <v>103</v>
      </c>
      <c r="D74" s="5">
        <v>760</v>
      </c>
      <c r="E74" s="2">
        <f>IF(AND(ISNUMBER(F74),ISNUMBER('Reference data'!$B$3)),F74*'Reference data'!$B$3,"Unknown")</f>
        <v>0.0001665065</v>
      </c>
      <c r="F74" s="2">
        <f>IF(D74=0,0,IF(ISNUMBER('Reference data'!D17),D74*'Reference data'!D17/1000000,"Unknown"))</f>
        <v>0.00019</v>
      </c>
      <c r="G74" s="5">
        <f>IF(ISNUMBER(E74),ROUND(E74*'Reference data'!$B$2,0),"Unknown")</f>
        <v>17.0</v>
      </c>
      <c r="H74" s="5">
        <f>IF(ISNUMBER(F74),ROUND(F74*'Reference data'!$B$2,0),"Unknown")</f>
        <v>19.0</v>
      </c>
    </row>
    <row r="75" spans="1:13" ht="24" customHeight="1">
      <c r="A75" t="s">
        <v>141</v>
      </c>
      <c r="B75">
        <v>1</v>
      </c>
      <c r="C75" t="s">
        <v>104</v>
      </c>
    </row>
    <row r="76" spans="1:13" s="4" customFormat="1" ht="24" customHeight="1">
      <c r="A76" s="4" t="s">
        <v>141</v>
      </c>
      <c r="B76" s="4">
        <v>1</v>
      </c>
      <c r="C76" s="4" t="s">
        <v>105</v>
      </c>
      <c r="D76" s="4">
        <v>812</v>
      </c>
    </row>
    <row r="77" spans="1:13" ht="24" customHeight="1">
      <c r="A77" t="s">
        <v>141</v>
      </c>
      <c r="B77">
        <v>1</v>
      </c>
      <c r="C77" t="s">
        <v>106</v>
      </c>
      <c r="D77" s="5">
        <v>378</v>
      </c>
      <c r="E77" s="2">
        <f>IF(AND(ISNUMBER(F77),ISNUMBER('Reference data'!$B$3)),F77*'Reference data'!$B$3,"Unknown")</f>
        <v>0.00039751236</v>
      </c>
      <c r="F77" s="2">
        <f>IF(D77=0,0,IF(ISNUMBER('Reference data'!F17),D77*'Reference data'!F17/1000000,"Unknown"))</f>
        <v>0.0004536</v>
      </c>
      <c r="G77" s="5">
        <f>IF(ISNUMBER(E77),ROUND(E77*'Reference data'!$B$2,0),"Unknown")</f>
        <v>40.0</v>
      </c>
      <c r="H77" s="5">
        <f>IF(ISNUMBER(F77),ROUND(F77*'Reference data'!$B$2,0),"Unknown")</f>
        <v>45.0</v>
      </c>
    </row>
    <row r="78" spans="1:13" ht="24" customHeight="1">
      <c r="A78" t="s">
        <v>141</v>
      </c>
      <c r="B78">
        <v>1</v>
      </c>
      <c r="C78" t="s">
        <v>107</v>
      </c>
      <c r="D78" s="5">
        <v>434</v>
      </c>
      <c r="E78" s="2">
        <f>IF(AND(ISNUMBER(F78),ISNUMBER('Reference data'!$B$3)),F78*'Reference data'!$B$3,"Unknown")</f>
        <v>0.00045640308</v>
      </c>
      <c r="F78" s="2">
        <f>IF(D78=0,0,IF(ISNUMBER('Reference data'!E17),D78*'Reference data'!E17/1000000,"Unknown"))</f>
        <v>0.0005208</v>
      </c>
      <c r="G78" s="5">
        <f>IF(ISNUMBER(E78),ROUND(E78*'Reference data'!$B$2,0),"Unknown")</f>
        <v>46.0</v>
      </c>
      <c r="H78" s="5">
        <f>IF(ISNUMBER(F78),ROUND(F78*'Reference data'!$B$2,0),"Unknown")</f>
        <v>52.0</v>
      </c>
    </row>
    <row r="79" spans="1:13" ht="409" customHeight="1">
      <c r="A79" t="s">
        <v>141</v>
      </c>
      <c r="B79">
        <v>1</v>
      </c>
      <c r="C79" t="s">
        <v>108</v>
      </c>
      <c r="I79" s="6" t="s">
        <v>144</v>
      </c>
    </row>
    <row r="80" spans="1:13" ht="24" customHeight="1">
      <c r="A80" t="s">
        <v>141</v>
      </c>
      <c r="B80">
        <v>1</v>
      </c>
      <c r="C80" t="s">
        <v>103</v>
      </c>
    </row>
    <row r="81" spans="1:13" ht="24" customHeight="1">
      <c r="A81" t="s">
        <v>141</v>
      </c>
      <c r="B81">
        <v>1</v>
      </c>
      <c r="C81" t="s">
        <v>104</v>
      </c>
    </row>
    <row r="82" spans="1:13" s="4" customFormat="1" ht="24" customHeight="1">
      <c r="A82" s="4" t="s">
        <v>141</v>
      </c>
      <c r="B82" s="4">
        <v>1</v>
      </c>
      <c r="C82" s="4" t="s">
        <v>110</v>
      </c>
      <c r="E82" s="2">
        <f>IF(COUNT('Turns'!E71,'Turns'!E72,'Turns'!E74,'Turns'!E77,'Turns'!E78)=5,SUM('Turns'!E71,'Turns'!E72,'Turns'!E74,'Turns'!E77,'Turns'!E78),"Unknown")</f>
        <v>0.001097821172</v>
      </c>
      <c r="F82" s="2">
        <f>IF(COUNT('Turns'!F71,'Turns'!F72,'Turns'!F74,'Turns'!F77,'Turns'!F78)=5,SUM('Turns'!F71,'Turns'!F72,'Turns'!F74,'Turns'!F77,'Turns'!F78),"Unknown")</f>
        <v>0.00125272</v>
      </c>
      <c r="G82" s="5">
        <f>IF(ISNUMBER(E82),ROUND(E82*'Reference data'!$B$2,0),"Unknown")</f>
        <v>110.0</v>
      </c>
      <c r="H82" s="5">
        <f>IF(ISNUMBER(F82),ROUND(F82*'Reference data'!$B$2,0),"Unknown")</f>
        <v>125.0</v>
      </c>
      <c r="K82" s="4" t="s">
        <v>111</v>
      </c>
    </row>
    <row r="83" spans="1:13" s="4" customFormat="1" ht="24" customHeight="1">
      <c r="B83" s="4">
        <v>1</v>
      </c>
      <c r="C83" s="4" t="s">
        <v>124</v>
      </c>
      <c r="K83" s="4" t="s">
        <v>111</v>
      </c>
      <c r="M83" s="4" t="s">
        <v>145</v>
      </c>
    </row>
    <row r="84" spans="1:13" ht="294" customHeight="1">
      <c r="B84">
        <v>1</v>
      </c>
      <c r="C84" t="s">
        <v>115</v>
      </c>
      <c r="I84" s="6" t="s">
        <v>146</v>
      </c>
    </row>
    <row r="85" spans="1:13" ht="24" customHeight="1">
      <c r="B85">
        <v>1</v>
      </c>
      <c r="C85" t="s">
        <v>117</v>
      </c>
      <c r="I85" s="6" t="s">
        <v>147</v>
      </c>
    </row>
    <row r="86" spans="1:13" s="4" customFormat="1" ht="24" customHeight="1">
      <c r="A86" s="4" t="s">
        <v>148</v>
      </c>
      <c r="B86" s="4">
        <v>1</v>
      </c>
      <c r="C86" s="4" t="s">
        <v>94</v>
      </c>
      <c r="D86" s="4">
        <v>5977</v>
      </c>
      <c r="J86" s="4" t="s">
        <v>95</v>
      </c>
      <c r="M86" s="4" t="s">
        <v>149</v>
      </c>
    </row>
    <row r="87" spans="1:13" ht="24" customHeight="1">
      <c r="A87" t="s">
        <v>148</v>
      </c>
      <c r="B87">
        <v>1</v>
      </c>
      <c r="C87" t="s">
        <v>121</v>
      </c>
      <c r="D87" s="5">
        <v>5146</v>
      </c>
      <c r="E87" s="2">
        <f>IF(AND(ISNUMBER(F87),ISNUMBER('Reference data'!$B$3)),F87*'Reference data'!$B$3,"Unknown")</f>
        <v>9.0193942e-05</v>
      </c>
      <c r="F87" s="2">
        <f>IF(D87=0,0,IF(ISNUMBER('Reference data'!C17),D87*'Reference data'!C17/1000000,"Unknown"))</f>
        <v>0.00010292</v>
      </c>
      <c r="G87" s="5">
        <f>IF(ISNUMBER(E87),ROUND(E87*'Reference data'!$B$2,0),"Unknown")</f>
        <v>9.0</v>
      </c>
      <c r="H87" s="5">
        <f>IF(ISNUMBER(F87),ROUND(F87*'Reference data'!$B$2,0),"Unknown")</f>
        <v>10.0</v>
      </c>
    </row>
    <row r="88" spans="1:13" ht="24" customHeight="1">
      <c r="A88" t="s">
        <v>148</v>
      </c>
      <c r="B88">
        <v>1</v>
      </c>
      <c r="C88" t="s">
        <v>97</v>
      </c>
      <c r="D88" s="5">
        <v>3</v>
      </c>
      <c r="E88" s="2">
        <f>IF(AND(ISNUMBER(F88),ISNUMBER('Reference data'!$B$3)),F88*'Reference data'!$B$3,"Unknown")</f>
        <v>5.2581e-07</v>
      </c>
      <c r="F88" s="2">
        <f>IF(D88=0,0,IF(ISNUMBER('Reference data'!B17),D88*'Reference data'!B17/1000000,"Unknown"))</f>
        <v>6e-07</v>
      </c>
      <c r="G88" s="5">
        <f>IF(ISNUMBER(E88),ROUND(E88*'Reference data'!$B$2,0),"Unknown")</f>
        <v>0.0</v>
      </c>
      <c r="H88" s="5">
        <f>IF(ISNUMBER(F88),ROUND(F88*'Reference data'!$B$2,0),"Unknown")</f>
        <v>0.0</v>
      </c>
    </row>
    <row r="89" spans="1:13" ht="24" customHeight="1">
      <c r="A89" t="s">
        <v>148</v>
      </c>
      <c r="B89">
        <v>1</v>
      </c>
      <c r="C89" t="s">
        <v>122</v>
      </c>
      <c r="I89" s="6" t="s">
        <v>147</v>
      </c>
    </row>
    <row r="90" spans="1:13" ht="24" customHeight="1">
      <c r="A90" t="s">
        <v>148</v>
      </c>
      <c r="B90">
        <v>1</v>
      </c>
      <c r="C90" t="s">
        <v>103</v>
      </c>
      <c r="D90" s="5">
        <v>828</v>
      </c>
      <c r="E90" s="2">
        <f>IF(AND(ISNUMBER(F90),ISNUMBER('Reference data'!$B$3)),F90*'Reference data'!$B$3,"Unknown")</f>
        <v>0.00018140445</v>
      </c>
      <c r="F90" s="2">
        <f>IF(D90=0,0,IF(ISNUMBER('Reference data'!D17),D90*'Reference data'!D17/1000000,"Unknown"))</f>
        <v>0.000207</v>
      </c>
      <c r="G90" s="5">
        <f>IF(ISNUMBER(E90),ROUND(E90*'Reference data'!$B$2,0),"Unknown")</f>
        <v>18.0</v>
      </c>
      <c r="H90" s="5">
        <f>IF(ISNUMBER(F90),ROUND(F90*'Reference data'!$B$2,0),"Unknown")</f>
        <v>21.0</v>
      </c>
    </row>
    <row r="91" spans="1:13" ht="24" customHeight="1">
      <c r="A91" t="s">
        <v>148</v>
      </c>
      <c r="B91">
        <v>1</v>
      </c>
      <c r="C91" t="s">
        <v>104</v>
      </c>
    </row>
    <row r="92" spans="1:13" s="4" customFormat="1" ht="24" customHeight="1">
      <c r="A92" s="4" t="s">
        <v>148</v>
      </c>
      <c r="B92" s="4">
        <v>1</v>
      </c>
      <c r="C92" s="4" t="s">
        <v>105</v>
      </c>
      <c r="D92" s="4">
        <v>56</v>
      </c>
    </row>
    <row r="93" spans="1:13" ht="24" customHeight="1">
      <c r="A93" t="s">
        <v>148</v>
      </c>
      <c r="B93">
        <v>1</v>
      </c>
      <c r="C93" t="s">
        <v>106</v>
      </c>
      <c r="D93" s="5">
        <v>25</v>
      </c>
      <c r="E93" s="2">
        <f>IF(AND(ISNUMBER(F93),ISNUMBER('Reference data'!$B$3)),F93*'Reference data'!$B$3,"Unknown")</f>
        <v>2.62905e-05</v>
      </c>
      <c r="F93" s="2">
        <f>IF(D93=0,0,IF(ISNUMBER('Reference data'!F17),D93*'Reference data'!F17/1000000,"Unknown"))</f>
        <v>3e-05</v>
      </c>
      <c r="G93" s="5">
        <f>IF(ISNUMBER(E93),ROUND(E93*'Reference data'!$B$2,0),"Unknown")</f>
        <v>3.0</v>
      </c>
      <c r="H93" s="5">
        <f>IF(ISNUMBER(F93),ROUND(F93*'Reference data'!$B$2,0),"Unknown")</f>
        <v>3.0</v>
      </c>
    </row>
    <row r="94" spans="1:13" ht="24" customHeight="1">
      <c r="A94" t="s">
        <v>148</v>
      </c>
      <c r="B94">
        <v>1</v>
      </c>
      <c r="C94" t="s">
        <v>107</v>
      </c>
      <c r="D94" s="5">
        <v>31</v>
      </c>
      <c r="E94" s="2">
        <f>IF(AND(ISNUMBER(F94),ISNUMBER('Reference data'!$B$3)),F94*'Reference data'!$B$3,"Unknown")</f>
        <v>3.260022e-05</v>
      </c>
      <c r="F94" s="2">
        <f>IF(D94=0,0,IF(ISNUMBER('Reference data'!E17),D94*'Reference data'!E17/1000000,"Unknown"))</f>
        <v>3.72e-05</v>
      </c>
      <c r="G94" s="5">
        <f>IF(ISNUMBER(E94),ROUND(E94*'Reference data'!$B$2,0),"Unknown")</f>
        <v>3.0</v>
      </c>
      <c r="H94" s="5">
        <f>IF(ISNUMBER(F94),ROUND(F94*'Reference data'!$B$2,0),"Unknown")</f>
        <v>4.0</v>
      </c>
    </row>
    <row r="95" spans="1:13" ht="294" customHeight="1">
      <c r="A95" t="s">
        <v>148</v>
      </c>
      <c r="B95">
        <v>1</v>
      </c>
      <c r="C95" t="s">
        <v>108</v>
      </c>
      <c r="I95" s="6" t="s">
        <v>150</v>
      </c>
    </row>
    <row r="96" spans="1:13" ht="24" customHeight="1">
      <c r="A96" t="s">
        <v>148</v>
      </c>
      <c r="B96">
        <v>1</v>
      </c>
      <c r="C96" t="s">
        <v>103</v>
      </c>
    </row>
    <row r="97" spans="1:13" ht="24" customHeight="1">
      <c r="A97" t="s">
        <v>148</v>
      </c>
      <c r="B97">
        <v>1</v>
      </c>
      <c r="C97" t="s">
        <v>104</v>
      </c>
    </row>
    <row r="98" spans="1:13" s="4" customFormat="1" ht="24" customHeight="1">
      <c r="A98" s="4" t="s">
        <v>148</v>
      </c>
      <c r="B98" s="4">
        <v>1</v>
      </c>
      <c r="C98" s="4" t="s">
        <v>110</v>
      </c>
      <c r="E98" s="2">
        <f>IF(COUNT('Turns'!E87,'Turns'!E88,'Turns'!E90,'Turns'!E93,'Turns'!E94)=5,SUM('Turns'!E87,'Turns'!E88,'Turns'!E90,'Turns'!E93,'Turns'!E94),"Unknown")</f>
        <v>0.000331014922</v>
      </c>
      <c r="F98" s="2">
        <f>IF(COUNT('Turns'!F87,'Turns'!F88,'Turns'!F90,'Turns'!F93,'Turns'!F94)=5,SUM('Turns'!F87,'Turns'!F88,'Turns'!F90,'Turns'!F93,'Turns'!F94),"Unknown")</f>
        <v>0.00037772</v>
      </c>
      <c r="G98" s="5">
        <f>IF(ISNUMBER(E98),ROUND(E98*'Reference data'!$B$2,0),"Unknown")</f>
        <v>33.0</v>
      </c>
      <c r="H98" s="5">
        <f>IF(ISNUMBER(F98),ROUND(F98*'Reference data'!$B$2,0),"Unknown")</f>
        <v>38.0</v>
      </c>
      <c r="K98" s="4" t="s">
        <v>111</v>
      </c>
    </row>
    <row r="99" spans="1:13" s="4" customFormat="1" ht="24" customHeight="1">
      <c r="B99" s="4">
        <v>1</v>
      </c>
      <c r="C99" s="4" t="s">
        <v>112</v>
      </c>
      <c r="K99" s="4" t="s">
        <v>111</v>
      </c>
      <c r="M99" s="4" t="s">
        <v>151</v>
      </c>
    </row>
    <row r="100" spans="1:13" ht="24" customHeight="1">
      <c r="B100">
        <v>1</v>
      </c>
      <c r="C100" t="s">
        <v>115</v>
      </c>
      <c r="I100" s="6" t="s">
        <v>139</v>
      </c>
    </row>
    <row r="101" spans="1:13" ht="409" customHeight="1">
      <c r="B101">
        <v>1</v>
      </c>
      <c r="C101" t="s">
        <v>117</v>
      </c>
      <c r="I101" s="6" t="s">
        <v>152</v>
      </c>
    </row>
    <row r="102" spans="1:13" s="4" customFormat="1" ht="24" customHeight="1">
      <c r="A102" s="4" t="s">
        <v>153</v>
      </c>
      <c r="B102" s="4">
        <v>1</v>
      </c>
      <c r="C102" s="4" t="s">
        <v>94</v>
      </c>
      <c r="D102" s="4">
        <v>6407</v>
      </c>
      <c r="J102" s="4" t="s">
        <v>95</v>
      </c>
      <c r="M102" s="4" t="s">
        <v>154</v>
      </c>
    </row>
    <row r="103" spans="1:13" ht="24" customHeight="1">
      <c r="A103" t="s">
        <v>153</v>
      </c>
      <c r="B103">
        <v>1</v>
      </c>
      <c r="C103" t="s">
        <v>121</v>
      </c>
      <c r="D103" s="5">
        <v>5974</v>
      </c>
      <c r="E103" s="2">
        <f>IF(AND(ISNUMBER(F103),ISNUMBER('Reference data'!$B$3)),F103*'Reference data'!$B$3,"Unknown")</f>
        <v>0.000104706298</v>
      </c>
      <c r="F103" s="2">
        <f>IF(D103=0,0,IF(ISNUMBER('Reference data'!C17),D103*'Reference data'!C17/1000000,"Unknown"))</f>
        <v>0.00011948</v>
      </c>
      <c r="G103" s="5">
        <f>IF(ISNUMBER(E103),ROUND(E103*'Reference data'!$B$2,0),"Unknown")</f>
        <v>10.0</v>
      </c>
      <c r="H103" s="5">
        <f>IF(ISNUMBER(F103),ROUND(F103*'Reference data'!$B$2,0),"Unknown")</f>
        <v>12.0</v>
      </c>
    </row>
    <row r="104" spans="1:13" ht="24" customHeight="1">
      <c r="A104" t="s">
        <v>153</v>
      </c>
      <c r="B104">
        <v>1</v>
      </c>
      <c r="C104" t="s">
        <v>97</v>
      </c>
      <c r="D104" s="5">
        <v>3</v>
      </c>
      <c r="E104" s="2">
        <f>IF(AND(ISNUMBER(F104),ISNUMBER('Reference data'!$B$3)),F104*'Reference data'!$B$3,"Unknown")</f>
        <v>5.2581e-07</v>
      </c>
      <c r="F104" s="2">
        <f>IF(D104=0,0,IF(ISNUMBER('Reference data'!B17),D104*'Reference data'!B17/1000000,"Unknown"))</f>
        <v>6e-07</v>
      </c>
      <c r="G104" s="5">
        <f>IF(ISNUMBER(E104),ROUND(E104*'Reference data'!$B$2,0),"Unknown")</f>
        <v>0.0</v>
      </c>
      <c r="H104" s="5">
        <f>IF(ISNUMBER(F104),ROUND(F104*'Reference data'!$B$2,0),"Unknown")</f>
        <v>0.0</v>
      </c>
    </row>
    <row r="105" spans="1:13" ht="409" customHeight="1">
      <c r="A105" t="s">
        <v>153</v>
      </c>
      <c r="B105">
        <v>1</v>
      </c>
      <c r="C105" t="s">
        <v>122</v>
      </c>
      <c r="I105" s="6" t="s">
        <v>152</v>
      </c>
    </row>
    <row r="106" spans="1:13" ht="24" customHeight="1">
      <c r="A106" t="s">
        <v>153</v>
      </c>
      <c r="B106">
        <v>1</v>
      </c>
      <c r="C106" t="s">
        <v>103</v>
      </c>
      <c r="D106" s="5">
        <v>430</v>
      </c>
      <c r="E106" s="2">
        <f>IF(AND(ISNUMBER(F106),ISNUMBER('Reference data'!$B$3)),F106*'Reference data'!$B$3,"Unknown")</f>
        <v>9.4207625e-05</v>
      </c>
      <c r="F106" s="2">
        <f>IF(D106=0,0,IF(ISNUMBER('Reference data'!D17),D106*'Reference data'!D17/1000000,"Unknown"))</f>
        <v>0.0001075</v>
      </c>
      <c r="G106" s="5">
        <f>IF(ISNUMBER(E106),ROUND(E106*'Reference data'!$B$2,0),"Unknown")</f>
        <v>9.0</v>
      </c>
      <c r="H106" s="5">
        <f>IF(ISNUMBER(F106),ROUND(F106*'Reference data'!$B$2,0),"Unknown")</f>
        <v>11.0</v>
      </c>
    </row>
    <row r="107" spans="1:13" ht="24" customHeight="1">
      <c r="A107" t="s">
        <v>153</v>
      </c>
      <c r="B107">
        <v>1</v>
      </c>
      <c r="C107" t="s">
        <v>104</v>
      </c>
    </row>
    <row r="108" spans="1:13" s="4" customFormat="1" ht="24" customHeight="1">
      <c r="A108" s="4" t="s">
        <v>153</v>
      </c>
      <c r="B108" s="4">
        <v>1</v>
      </c>
      <c r="C108" s="4" t="s">
        <v>105</v>
      </c>
      <c r="D108" s="4">
        <v>227</v>
      </c>
    </row>
    <row r="109" spans="1:13" ht="24" customHeight="1">
      <c r="A109" t="s">
        <v>153</v>
      </c>
      <c r="B109">
        <v>1</v>
      </c>
      <c r="C109" t="s">
        <v>106</v>
      </c>
      <c r="D109" s="5">
        <v>45</v>
      </c>
      <c r="E109" s="2">
        <f>IF(AND(ISNUMBER(F109),ISNUMBER('Reference data'!$B$3)),F109*'Reference data'!$B$3,"Unknown")</f>
        <v>4.73229e-05</v>
      </c>
      <c r="F109" s="2">
        <f>IF(D109=0,0,IF(ISNUMBER('Reference data'!F17),D109*'Reference data'!F17/1000000,"Unknown"))</f>
        <v>5.4e-05</v>
      </c>
      <c r="G109" s="5">
        <f>IF(ISNUMBER(E109),ROUND(E109*'Reference data'!$B$2,0),"Unknown")</f>
        <v>5.0</v>
      </c>
      <c r="H109" s="5">
        <f>IF(ISNUMBER(F109),ROUND(F109*'Reference data'!$B$2,0),"Unknown")</f>
        <v>5.0</v>
      </c>
    </row>
    <row r="110" spans="1:13" ht="24" customHeight="1">
      <c r="A110" t="s">
        <v>153</v>
      </c>
      <c r="B110">
        <v>1</v>
      </c>
      <c r="C110" t="s">
        <v>107</v>
      </c>
      <c r="D110" s="5">
        <v>182</v>
      </c>
      <c r="E110" s="2">
        <f>IF(AND(ISNUMBER(F110),ISNUMBER('Reference data'!$B$3)),F110*'Reference data'!$B$3,"Unknown")</f>
        <v>0.00019139484</v>
      </c>
      <c r="F110" s="2">
        <f>IF(D110=0,0,IF(ISNUMBER('Reference data'!E17),D110*'Reference data'!E17/1000000,"Unknown"))</f>
        <v>0.0002184</v>
      </c>
      <c r="G110" s="5">
        <f>IF(ISNUMBER(E110),ROUND(E110*'Reference data'!$B$2,0),"Unknown")</f>
        <v>19.0</v>
      </c>
      <c r="H110" s="5">
        <f>IF(ISNUMBER(F110),ROUND(F110*'Reference data'!$B$2,0),"Unknown")</f>
        <v>22.0</v>
      </c>
    </row>
    <row r="111" spans="1:13" ht="398" customHeight="1">
      <c r="A111" t="s">
        <v>153</v>
      </c>
      <c r="B111">
        <v>1</v>
      </c>
      <c r="C111" t="s">
        <v>108</v>
      </c>
      <c r="I111" s="6" t="s">
        <v>155</v>
      </c>
    </row>
    <row r="112" spans="1:13" ht="24" customHeight="1">
      <c r="A112" t="s">
        <v>153</v>
      </c>
      <c r="B112">
        <v>1</v>
      </c>
      <c r="C112" t="s">
        <v>103</v>
      </c>
    </row>
    <row r="113" spans="1:13" ht="24" customHeight="1">
      <c r="A113" t="s">
        <v>153</v>
      </c>
      <c r="B113">
        <v>1</v>
      </c>
      <c r="C113" t="s">
        <v>104</v>
      </c>
    </row>
    <row r="114" spans="1:13" s="4" customFormat="1" ht="24" customHeight="1">
      <c r="A114" s="4" t="s">
        <v>153</v>
      </c>
      <c r="B114" s="4">
        <v>1</v>
      </c>
      <c r="C114" s="4" t="s">
        <v>110</v>
      </c>
      <c r="E114" s="2">
        <f>IF(COUNT('Turns'!E103,'Turns'!E104,'Turns'!E106,'Turns'!E109,'Turns'!E110)=5,SUM('Turns'!E103,'Turns'!E104,'Turns'!E106,'Turns'!E109,'Turns'!E110),"Unknown")</f>
        <v>0.000438157473</v>
      </c>
      <c r="F114" s="2">
        <f>IF(COUNT('Turns'!F103,'Turns'!F104,'Turns'!F106,'Turns'!F109,'Turns'!F110)=5,SUM('Turns'!F103,'Turns'!F104,'Turns'!F106,'Turns'!F109,'Turns'!F110),"Unknown")</f>
        <v>0.00049998</v>
      </c>
      <c r="G114" s="5">
        <f>IF(ISNUMBER(E114),ROUND(E114*'Reference data'!$B$2,0),"Unknown")</f>
        <v>44.0</v>
      </c>
      <c r="H114" s="5">
        <f>IF(ISNUMBER(F114),ROUND(F114*'Reference data'!$B$2,0),"Unknown")</f>
        <v>50.0</v>
      </c>
      <c r="K114" s="4" t="s">
        <v>111</v>
      </c>
    </row>
    <row r="115" spans="1:13" s="4" customFormat="1" ht="24" customHeight="1">
      <c r="A115" s="4" t="s">
        <v>156</v>
      </c>
      <c r="B115" s="4">
        <v>1</v>
      </c>
      <c r="C115" s="4" t="s">
        <v>94</v>
      </c>
      <c r="D115" s="4">
        <v>1421</v>
      </c>
      <c r="J115" s="4" t="s">
        <v>95</v>
      </c>
      <c r="M115" s="4" t="s">
        <v>157</v>
      </c>
    </row>
    <row r="116" spans="1:13" ht="24" customHeight="1">
      <c r="A116" t="s">
        <v>156</v>
      </c>
      <c r="B116">
        <v>1</v>
      </c>
      <c r="C116" t="s">
        <v>97</v>
      </c>
      <c r="D116" s="5">
        <v>3</v>
      </c>
      <c r="E116" s="2">
        <f>IF(AND(ISNUMBER(F116),ISNUMBER('Reference data'!$B$3)),F116*'Reference data'!$B$3,"Unknown")</f>
        <v>5.2581e-07</v>
      </c>
      <c r="F116" s="2">
        <f>IF(D116=0,0,IF(ISNUMBER('Reference data'!B17),D116*'Reference data'!B17/1000000,"Unknown"))</f>
        <v>6e-07</v>
      </c>
      <c r="G116" s="5">
        <f>IF(ISNUMBER(E116),ROUND(E116*'Reference data'!$B$2,0),"Unknown")</f>
        <v>0.0</v>
      </c>
      <c r="H116" s="5">
        <f>IF(ISNUMBER(F116),ROUND(F116*'Reference data'!$B$2,0),"Unknown")</f>
        <v>0.0</v>
      </c>
    </row>
    <row r="117" spans="1:13" ht="24" customHeight="1">
      <c r="A117" t="s">
        <v>156</v>
      </c>
      <c r="B117">
        <v>1</v>
      </c>
      <c r="C117" t="s">
        <v>98</v>
      </c>
    </row>
    <row r="118" spans="1:13" ht="409" customHeight="1">
      <c r="A118" t="s">
        <v>156</v>
      </c>
      <c r="B118">
        <v>1</v>
      </c>
      <c r="C118" t="s">
        <v>99</v>
      </c>
      <c r="I118" s="6" t="s">
        <v>158</v>
      </c>
    </row>
    <row r="119" spans="1:13" ht="24" customHeight="1">
      <c r="A119" t="s">
        <v>156</v>
      </c>
      <c r="B119">
        <v>1</v>
      </c>
      <c r="C119" t="s">
        <v>103</v>
      </c>
      <c r="D119" s="5">
        <v>1418</v>
      </c>
      <c r="E119" s="2">
        <f>IF(AND(ISNUMBER(F119),ISNUMBER('Reference data'!$B$3)),F119*'Reference data'!$B$3,"Unknown")</f>
        <v>0.000310666075</v>
      </c>
      <c r="F119" s="2">
        <f>IF(D119=0,0,IF(ISNUMBER('Reference data'!D17),D119*'Reference data'!D17/1000000,"Unknown"))</f>
        <v>0.0003545</v>
      </c>
      <c r="G119" s="5">
        <f>IF(ISNUMBER(E119),ROUND(E119*'Reference data'!$B$2,0),"Unknown")</f>
        <v>31.0</v>
      </c>
      <c r="H119" s="5">
        <f>IF(ISNUMBER(F119),ROUND(F119*'Reference data'!$B$2,0),"Unknown")</f>
        <v>35.0</v>
      </c>
    </row>
    <row r="120" spans="1:13" ht="24" customHeight="1">
      <c r="A120" t="s">
        <v>156</v>
      </c>
      <c r="B120">
        <v>1</v>
      </c>
      <c r="C120" t="s">
        <v>104</v>
      </c>
    </row>
    <row r="121" spans="1:13" s="4" customFormat="1" ht="24" customHeight="1">
      <c r="A121" s="4" t="s">
        <v>156</v>
      </c>
      <c r="B121" s="4">
        <v>1</v>
      </c>
      <c r="C121" s="4" t="s">
        <v>105</v>
      </c>
      <c r="D121" s="4">
        <v>91</v>
      </c>
    </row>
    <row r="122" spans="1:13" ht="24" customHeight="1">
      <c r="A122" t="s">
        <v>156</v>
      </c>
      <c r="B122">
        <v>1</v>
      </c>
      <c r="C122" t="s">
        <v>106</v>
      </c>
      <c r="D122" s="5">
        <v>19</v>
      </c>
      <c r="E122" s="2">
        <f>IF(AND(ISNUMBER(F122),ISNUMBER('Reference data'!$B$3)),F122*'Reference data'!$B$3,"Unknown")</f>
        <v>1.998078e-05</v>
      </c>
      <c r="F122" s="2">
        <f>IF(D122=0,0,IF(ISNUMBER('Reference data'!F17),D122*'Reference data'!F17/1000000,"Unknown"))</f>
        <v>2.28e-05</v>
      </c>
      <c r="G122" s="5">
        <f>IF(ISNUMBER(E122),ROUND(E122*'Reference data'!$B$2,0),"Unknown")</f>
        <v>2.0</v>
      </c>
      <c r="H122" s="5">
        <f>IF(ISNUMBER(F122),ROUND(F122*'Reference data'!$B$2,0),"Unknown")</f>
        <v>2.0</v>
      </c>
    </row>
    <row r="123" spans="1:13" ht="24" customHeight="1">
      <c r="A123" t="s">
        <v>156</v>
      </c>
      <c r="B123">
        <v>1</v>
      </c>
      <c r="C123" t="s">
        <v>107</v>
      </c>
      <c r="D123" s="5">
        <v>72</v>
      </c>
      <c r="E123" s="2">
        <f>IF(AND(ISNUMBER(F123),ISNUMBER('Reference data'!$B$3)),F123*'Reference data'!$B$3,"Unknown")</f>
        <v>7.571664e-05</v>
      </c>
      <c r="F123" s="2">
        <f>IF(D123=0,0,IF(ISNUMBER('Reference data'!E17),D123*'Reference data'!E17/1000000,"Unknown"))</f>
        <v>8.64e-05</v>
      </c>
      <c r="G123" s="5">
        <f>IF(ISNUMBER(E123),ROUND(E123*'Reference data'!$B$2,0),"Unknown")</f>
        <v>8.0</v>
      </c>
      <c r="H123" s="5">
        <f>IF(ISNUMBER(F123),ROUND(F123*'Reference data'!$B$2,0),"Unknown")</f>
        <v>9.0</v>
      </c>
    </row>
    <row r="124" spans="1:13" ht="346" customHeight="1">
      <c r="A124" t="s">
        <v>156</v>
      </c>
      <c r="B124">
        <v>1</v>
      </c>
      <c r="C124" t="s">
        <v>108</v>
      </c>
      <c r="I124" s="6" t="s">
        <v>159</v>
      </c>
    </row>
    <row r="125" spans="1:13" ht="24" customHeight="1">
      <c r="A125" t="s">
        <v>156</v>
      </c>
      <c r="B125">
        <v>1</v>
      </c>
      <c r="C125" t="s">
        <v>103</v>
      </c>
    </row>
    <row r="126" spans="1:13" ht="24" customHeight="1">
      <c r="A126" t="s">
        <v>156</v>
      </c>
      <c r="B126">
        <v>1</v>
      </c>
      <c r="C126" t="s">
        <v>104</v>
      </c>
    </row>
    <row r="127" spans="1:13" s="4" customFormat="1" ht="24" customHeight="1">
      <c r="A127" s="4" t="s">
        <v>156</v>
      </c>
      <c r="B127" s="4">
        <v>1</v>
      </c>
      <c r="C127" s="4" t="s">
        <v>110</v>
      </c>
      <c r="E127" s="2">
        <f>IF(COUNT('Turns'!E116,'Turns'!E119,'Turns'!E122,'Turns'!E123)=4,SUM('Turns'!E116,'Turns'!E119,'Turns'!E122,'Turns'!E123),"Unknown")</f>
        <v>0.000406889305</v>
      </c>
      <c r="F127" s="2">
        <f>IF(COUNT('Turns'!F116,'Turns'!F119,'Turns'!F122,'Turns'!F123)=4,SUM('Turns'!F116,'Turns'!F119,'Turns'!F122,'Turns'!F123),"Unknown")</f>
        <v>0.0004643</v>
      </c>
      <c r="G127" s="5">
        <f>IF(ISNUMBER(E127),ROUND(E127*'Reference data'!$B$2,0),"Unknown")</f>
        <v>41.0</v>
      </c>
      <c r="H127" s="5">
        <f>IF(ISNUMBER(F127),ROUND(F127*'Reference data'!$B$2,0),"Unknown")</f>
        <v>46.0</v>
      </c>
      <c r="K127" s="4" t="s">
        <v>111</v>
      </c>
    </row>
    <row r="128" spans="1:13" s="4" customFormat="1" ht="24" customHeight="1">
      <c r="B128" s="4">
        <v>1</v>
      </c>
      <c r="C128" s="4" t="s">
        <v>112</v>
      </c>
      <c r="K128" s="4" t="s">
        <v>111</v>
      </c>
      <c r="M128" s="4" t="s">
        <v>160</v>
      </c>
    </row>
    <row r="129" spans="1:13" ht="24" customHeight="1">
      <c r="B129">
        <v>1</v>
      </c>
      <c r="C129" t="s">
        <v>115</v>
      </c>
      <c r="I129" s="6" t="s">
        <v>116</v>
      </c>
    </row>
    <row r="130" spans="1:13" ht="409" customHeight="1">
      <c r="B130">
        <v>1</v>
      </c>
      <c r="C130" t="s">
        <v>117</v>
      </c>
      <c r="I130" s="6" t="s">
        <v>137</v>
      </c>
    </row>
    <row r="131" spans="1:13" s="4" customFormat="1" ht="24" customHeight="1">
      <c r="B131" s="4">
        <v>1</v>
      </c>
      <c r="C131" s="4" t="s">
        <v>112</v>
      </c>
      <c r="K131" s="4" t="s">
        <v>111</v>
      </c>
      <c r="M131" s="4" t="s">
        <v>161</v>
      </c>
    </row>
    <row r="132" spans="1:13" ht="24" customHeight="1">
      <c r="B132">
        <v>1</v>
      </c>
      <c r="C132" t="s">
        <v>115</v>
      </c>
      <c r="I132" s="6" t="s">
        <v>162</v>
      </c>
    </row>
    <row r="133" spans="1:13" ht="409" customHeight="1">
      <c r="B133">
        <v>1</v>
      </c>
      <c r="C133" t="s">
        <v>117</v>
      </c>
      <c r="I133" s="6" t="s">
        <v>152</v>
      </c>
    </row>
    <row r="134" spans="1:13" s="4" customFormat="1" ht="24" customHeight="1">
      <c r="A134" s="4" t="s">
        <v>163</v>
      </c>
      <c r="B134" s="4">
        <v>1</v>
      </c>
      <c r="C134" s="4" t="s">
        <v>94</v>
      </c>
      <c r="D134" s="4">
        <v>2538</v>
      </c>
      <c r="J134" s="4" t="s">
        <v>95</v>
      </c>
      <c r="M134" s="4" t="s">
        <v>164</v>
      </c>
    </row>
    <row r="135" spans="1:13" ht="24" customHeight="1">
      <c r="A135" t="s">
        <v>163</v>
      </c>
      <c r="B135">
        <v>1</v>
      </c>
      <c r="C135" t="s">
        <v>121</v>
      </c>
      <c r="D135" s="5">
        <v>1418</v>
      </c>
      <c r="E135" s="2">
        <f>IF(AND(ISNUMBER(F135),ISNUMBER('Reference data'!$B$3)),F135*'Reference data'!$B$3,"Unknown")</f>
        <v>2.4853286e-05</v>
      </c>
      <c r="F135" s="2">
        <f>IF(D135=0,0,IF(ISNUMBER('Reference data'!C17),D135*'Reference data'!C17/1000000,"Unknown"))</f>
        <v>2.836e-05</v>
      </c>
      <c r="G135" s="5">
        <f>IF(ISNUMBER(E135),ROUND(E135*'Reference data'!$B$2,0),"Unknown")</f>
        <v>2.0</v>
      </c>
      <c r="H135" s="5">
        <f>IF(ISNUMBER(F135),ROUND(F135*'Reference data'!$B$2,0),"Unknown")</f>
        <v>3.0</v>
      </c>
    </row>
    <row r="136" spans="1:13" ht="24" customHeight="1">
      <c r="A136" t="s">
        <v>163</v>
      </c>
      <c r="B136">
        <v>1</v>
      </c>
      <c r="C136" t="s">
        <v>97</v>
      </c>
      <c r="D136" s="5">
        <v>3</v>
      </c>
      <c r="E136" s="2">
        <f>IF(AND(ISNUMBER(F136),ISNUMBER('Reference data'!$B$3)),F136*'Reference data'!$B$3,"Unknown")</f>
        <v>5.2581e-07</v>
      </c>
      <c r="F136" s="2">
        <f>IF(D136=0,0,IF(ISNUMBER('Reference data'!B17),D136*'Reference data'!B17/1000000,"Unknown"))</f>
        <v>6e-07</v>
      </c>
      <c r="G136" s="5">
        <f>IF(ISNUMBER(E136),ROUND(E136*'Reference data'!$B$2,0),"Unknown")</f>
        <v>0.0</v>
      </c>
      <c r="H136" s="5">
        <f>IF(ISNUMBER(F136),ROUND(F136*'Reference data'!$B$2,0),"Unknown")</f>
        <v>0.0</v>
      </c>
    </row>
    <row r="137" spans="1:13" ht="409" customHeight="1">
      <c r="A137" t="s">
        <v>163</v>
      </c>
      <c r="B137">
        <v>1</v>
      </c>
      <c r="C137" t="s">
        <v>122</v>
      </c>
      <c r="I137" s="6" t="s">
        <v>165</v>
      </c>
    </row>
    <row r="138" spans="1:13" ht="24" customHeight="1">
      <c r="A138" t="s">
        <v>163</v>
      </c>
      <c r="B138">
        <v>1</v>
      </c>
      <c r="C138" t="s">
        <v>103</v>
      </c>
      <c r="D138" s="5">
        <v>1117</v>
      </c>
      <c r="E138" s="2">
        <f>IF(AND(ISNUMBER(F138),ISNUMBER('Reference data'!$B$3)),F138*'Reference data'!$B$3,"Unknown")</f>
        <v>0.0002447207375</v>
      </c>
      <c r="F138" s="2">
        <f>IF(D138=0,0,IF(ISNUMBER('Reference data'!D17),D138*'Reference data'!D17/1000000,"Unknown"))</f>
        <v>0.00027925</v>
      </c>
      <c r="G138" s="5">
        <f>IF(ISNUMBER(E138),ROUND(E138*'Reference data'!$B$2,0),"Unknown")</f>
        <v>24.0</v>
      </c>
      <c r="H138" s="5">
        <f>IF(ISNUMBER(F138),ROUND(F138*'Reference data'!$B$2,0),"Unknown")</f>
        <v>28.0</v>
      </c>
    </row>
    <row r="139" spans="1:13" ht="24" customHeight="1">
      <c r="A139" t="s">
        <v>163</v>
      </c>
      <c r="B139">
        <v>1</v>
      </c>
      <c r="C139" t="s">
        <v>104</v>
      </c>
    </row>
    <row r="140" spans="1:13" s="4" customFormat="1" ht="24" customHeight="1">
      <c r="A140" s="4" t="s">
        <v>163</v>
      </c>
      <c r="B140" s="4">
        <v>1</v>
      </c>
      <c r="C140" s="4" t="s">
        <v>105</v>
      </c>
      <c r="D140" s="4">
        <v>712</v>
      </c>
    </row>
    <row r="141" spans="1:13" ht="24" customHeight="1">
      <c r="A141" t="s">
        <v>163</v>
      </c>
      <c r="B141">
        <v>1</v>
      </c>
      <c r="C141" t="s">
        <v>106</v>
      </c>
      <c r="D141" s="5">
        <v>516</v>
      </c>
      <c r="E141" s="2">
        <f>IF(AND(ISNUMBER(F141),ISNUMBER('Reference data'!$B$3)),F141*'Reference data'!$B$3,"Unknown")</f>
        <v>0.00054263592</v>
      </c>
      <c r="F141" s="2">
        <f>IF(D141=0,0,IF(ISNUMBER('Reference data'!F17),D141*'Reference data'!F17/1000000,"Unknown"))</f>
        <v>0.0006192</v>
      </c>
      <c r="G141" s="5">
        <f>IF(ISNUMBER(E141),ROUND(E141*'Reference data'!$B$2,0),"Unknown")</f>
        <v>54.0</v>
      </c>
      <c r="H141" s="5">
        <f>IF(ISNUMBER(F141),ROUND(F141*'Reference data'!$B$2,0),"Unknown")</f>
        <v>62.0</v>
      </c>
    </row>
    <row r="142" spans="1:13" ht="24" customHeight="1">
      <c r="A142" t="s">
        <v>163</v>
      </c>
      <c r="B142">
        <v>1</v>
      </c>
      <c r="C142" t="s">
        <v>107</v>
      </c>
      <c r="D142" s="5">
        <v>196</v>
      </c>
      <c r="E142" s="2">
        <f>IF(AND(ISNUMBER(F142),ISNUMBER('Reference data'!$B$3)),F142*'Reference data'!$B$3,"Unknown")</f>
        <v>0.00020611752</v>
      </c>
      <c r="F142" s="2">
        <f>IF(D142=0,0,IF(ISNUMBER('Reference data'!E17),D142*'Reference data'!E17/1000000,"Unknown"))</f>
        <v>0.0002352</v>
      </c>
      <c r="G142" s="5">
        <f>IF(ISNUMBER(E142),ROUND(E142*'Reference data'!$B$2,0),"Unknown")</f>
        <v>21.0</v>
      </c>
      <c r="H142" s="5">
        <f>IF(ISNUMBER(F142),ROUND(F142*'Reference data'!$B$2,0),"Unknown")</f>
        <v>24.0</v>
      </c>
    </row>
    <row r="143" spans="1:13" ht="409" customHeight="1">
      <c r="A143" t="s">
        <v>163</v>
      </c>
      <c r="B143">
        <v>1</v>
      </c>
      <c r="C143" t="s">
        <v>108</v>
      </c>
      <c r="I143" s="6" t="s">
        <v>166</v>
      </c>
    </row>
    <row r="144" spans="1:13" ht="24" customHeight="1">
      <c r="A144" t="s">
        <v>163</v>
      </c>
      <c r="B144">
        <v>1</v>
      </c>
      <c r="C144" t="s">
        <v>103</v>
      </c>
    </row>
    <row r="145" spans="1:13" ht="24" customHeight="1">
      <c r="A145" t="s">
        <v>163</v>
      </c>
      <c r="B145">
        <v>1</v>
      </c>
      <c r="C145" t="s">
        <v>104</v>
      </c>
    </row>
    <row r="146" spans="1:13" s="4" customFormat="1" ht="24" customHeight="1">
      <c r="A146" s="4" t="s">
        <v>163</v>
      </c>
      <c r="B146" s="4">
        <v>1</v>
      </c>
      <c r="C146" s="4" t="s">
        <v>110</v>
      </c>
      <c r="E146" s="2">
        <f>IF(COUNT('Turns'!E135,'Turns'!E136,'Turns'!E138,'Turns'!E141,'Turns'!E142)=5,SUM('Turns'!E135,'Turns'!E136,'Turns'!E138,'Turns'!E141,'Turns'!E142),"Unknown")</f>
        <v>0.0010188532735</v>
      </c>
      <c r="F146" s="2">
        <f>IF(COUNT('Turns'!F135,'Turns'!F136,'Turns'!F138,'Turns'!F141,'Turns'!F142)=5,SUM('Turns'!F135,'Turns'!F136,'Turns'!F138,'Turns'!F141,'Turns'!F142),"Unknown")</f>
        <v>0.00116261</v>
      </c>
      <c r="G146" s="5">
        <f>IF(ISNUMBER(E146),ROUND(E146*'Reference data'!$B$2,0),"Unknown")</f>
        <v>102.0</v>
      </c>
      <c r="H146" s="5">
        <f>IF(ISNUMBER(F146),ROUND(F146*'Reference data'!$B$2,0),"Unknown")</f>
        <v>116.0</v>
      </c>
      <c r="K146" s="4" t="s">
        <v>111</v>
      </c>
    </row>
    <row r="147" spans="1:13" s="4" customFormat="1" ht="24" customHeight="1">
      <c r="A147" s="4" t="s">
        <v>167</v>
      </c>
      <c r="B147" s="4">
        <v>1</v>
      </c>
      <c r="C147" s="4" t="s">
        <v>94</v>
      </c>
      <c r="D147" s="4">
        <v>7563</v>
      </c>
      <c r="J147" s="4" t="s">
        <v>95</v>
      </c>
      <c r="M147" s="4" t="s">
        <v>168</v>
      </c>
    </row>
    <row r="148" spans="1:13" ht="24" customHeight="1">
      <c r="A148" t="s">
        <v>167</v>
      </c>
      <c r="B148">
        <v>1</v>
      </c>
      <c r="C148" t="s">
        <v>97</v>
      </c>
      <c r="D148" s="5">
        <v>3</v>
      </c>
      <c r="E148" s="2">
        <f>IF(AND(ISNUMBER(F148),ISNUMBER('Reference data'!$B$3)),F148*'Reference data'!$B$3,"Unknown")</f>
        <v>5.2581e-07</v>
      </c>
      <c r="F148" s="2">
        <f>IF(D148=0,0,IF(ISNUMBER('Reference data'!B17),D148*'Reference data'!B17/1000000,"Unknown"))</f>
        <v>6e-07</v>
      </c>
      <c r="G148" s="5">
        <f>IF(ISNUMBER(E148),ROUND(E148*'Reference data'!$B$2,0),"Unknown")</f>
        <v>0.0</v>
      </c>
      <c r="H148" s="5">
        <f>IF(ISNUMBER(F148),ROUND(F148*'Reference data'!$B$2,0),"Unknown")</f>
        <v>0.0</v>
      </c>
    </row>
    <row r="149" spans="1:13" ht="24" customHeight="1">
      <c r="A149" t="s">
        <v>167</v>
      </c>
      <c r="B149">
        <v>1</v>
      </c>
      <c r="C149" t="s">
        <v>98</v>
      </c>
    </row>
    <row r="150" spans="1:13" ht="409" customHeight="1">
      <c r="A150" t="s">
        <v>167</v>
      </c>
      <c r="B150">
        <v>1</v>
      </c>
      <c r="C150" t="s">
        <v>99</v>
      </c>
      <c r="I150" s="6" t="s">
        <v>169</v>
      </c>
    </row>
    <row r="151" spans="1:13" ht="409" customHeight="1">
      <c r="A151" t="s">
        <v>167</v>
      </c>
      <c r="B151">
        <v>1</v>
      </c>
      <c r="C151" t="s">
        <v>122</v>
      </c>
      <c r="I151" s="6" t="s">
        <v>170</v>
      </c>
    </row>
    <row r="152" spans="1:13" ht="24" customHeight="1">
      <c r="A152" t="s">
        <v>167</v>
      </c>
      <c r="B152">
        <v>1</v>
      </c>
      <c r="C152" t="s">
        <v>103</v>
      </c>
      <c r="D152" s="5">
        <v>7560</v>
      </c>
      <c r="E152" s="2">
        <f>IF(AND(ISNUMBER(F152),ISNUMBER('Reference data'!$B$3)),F152*'Reference data'!$B$3,"Unknown")</f>
        <v>0.0016563015</v>
      </c>
      <c r="F152" s="2">
        <f>IF(D152=0,0,IF(ISNUMBER('Reference data'!D17),D152*'Reference data'!D17/1000000,"Unknown"))</f>
        <v>0.00189</v>
      </c>
      <c r="G152" s="5">
        <f>IF(ISNUMBER(E152),ROUND(E152*'Reference data'!$B$2,0),"Unknown")</f>
        <v>166.0</v>
      </c>
      <c r="H152" s="5">
        <f>IF(ISNUMBER(F152),ROUND(F152*'Reference data'!$B$2,0),"Unknown")</f>
        <v>189.0</v>
      </c>
    </row>
    <row r="153" spans="1:13" ht="24" customHeight="1">
      <c r="A153" t="s">
        <v>167</v>
      </c>
      <c r="B153">
        <v>1</v>
      </c>
      <c r="C153" t="s">
        <v>104</v>
      </c>
    </row>
    <row r="154" spans="1:13" s="4" customFormat="1" ht="24" customHeight="1">
      <c r="A154" s="4" t="s">
        <v>167</v>
      </c>
      <c r="B154" s="4">
        <v>1</v>
      </c>
      <c r="C154" s="4" t="s">
        <v>105</v>
      </c>
      <c r="D154" s="4">
        <v>191</v>
      </c>
    </row>
    <row r="155" spans="1:13" ht="24" customHeight="1">
      <c r="A155" t="s">
        <v>167</v>
      </c>
      <c r="B155">
        <v>1</v>
      </c>
      <c r="C155" t="s">
        <v>106</v>
      </c>
      <c r="D155" s="5">
        <v>51</v>
      </c>
      <c r="E155" s="2">
        <f>IF(AND(ISNUMBER(F155),ISNUMBER('Reference data'!$B$3)),F155*'Reference data'!$B$3,"Unknown")</f>
        <v>5.363262e-05</v>
      </c>
      <c r="F155" s="2">
        <f>IF(D155=0,0,IF(ISNUMBER('Reference data'!F17),D155*'Reference data'!F17/1000000,"Unknown"))</f>
        <v>6.12e-05</v>
      </c>
      <c r="G155" s="5">
        <f>IF(ISNUMBER(E155),ROUND(E155*'Reference data'!$B$2,0),"Unknown")</f>
        <v>5.0</v>
      </c>
      <c r="H155" s="5">
        <f>IF(ISNUMBER(F155),ROUND(F155*'Reference data'!$B$2,0),"Unknown")</f>
        <v>6.0</v>
      </c>
    </row>
    <row r="156" spans="1:13" ht="24" customHeight="1">
      <c r="A156" t="s">
        <v>167</v>
      </c>
      <c r="B156">
        <v>1</v>
      </c>
      <c r="C156" t="s">
        <v>107</v>
      </c>
      <c r="D156" s="5">
        <v>140</v>
      </c>
      <c r="E156" s="2">
        <f>IF(AND(ISNUMBER(F156),ISNUMBER('Reference data'!$B$3)),F156*'Reference data'!$B$3,"Unknown")</f>
        <v>0.0001472268</v>
      </c>
      <c r="F156" s="2">
        <f>IF(D156=0,0,IF(ISNUMBER('Reference data'!E17),D156*'Reference data'!E17/1000000,"Unknown"))</f>
        <v>0.000168</v>
      </c>
      <c r="G156" s="5">
        <f>IF(ISNUMBER(E156),ROUND(E156*'Reference data'!$B$2,0),"Unknown")</f>
        <v>15.0</v>
      </c>
      <c r="H156" s="5">
        <f>IF(ISNUMBER(F156),ROUND(F156*'Reference data'!$B$2,0),"Unknown")</f>
        <v>17.0</v>
      </c>
    </row>
    <row r="157" spans="1:13" ht="409" customHeight="1">
      <c r="A157" t="s">
        <v>167</v>
      </c>
      <c r="B157">
        <v>1</v>
      </c>
      <c r="C157" t="s">
        <v>108</v>
      </c>
      <c r="I157" s="6" t="s">
        <v>171</v>
      </c>
    </row>
    <row r="158" spans="1:13" ht="24" customHeight="1">
      <c r="A158" t="s">
        <v>167</v>
      </c>
      <c r="B158">
        <v>1</v>
      </c>
      <c r="C158" t="s">
        <v>103</v>
      </c>
    </row>
    <row r="159" spans="1:13" ht="24" customHeight="1">
      <c r="A159" t="s">
        <v>167</v>
      </c>
      <c r="B159">
        <v>1</v>
      </c>
      <c r="C159" t="s">
        <v>104</v>
      </c>
    </row>
    <row r="160" spans="1:13" s="4" customFormat="1" ht="24" customHeight="1">
      <c r="A160" s="4" t="s">
        <v>167</v>
      </c>
      <c r="B160" s="4">
        <v>1</v>
      </c>
      <c r="C160" s="4" t="s">
        <v>110</v>
      </c>
      <c r="E160" s="2">
        <f>IF(COUNT('Turns'!E148,'Turns'!E152,'Turns'!E155,'Turns'!E156)=4,SUM('Turns'!E148,'Turns'!E152,'Turns'!E155,'Turns'!E156),"Unknown")</f>
        <v>0.00185768673</v>
      </c>
      <c r="F160" s="2">
        <f>IF(COUNT('Turns'!F148,'Turns'!F152,'Turns'!F155,'Turns'!F156)=4,SUM('Turns'!F148,'Turns'!F152,'Turns'!F155,'Turns'!F156),"Unknown")</f>
        <v>0.0021198</v>
      </c>
      <c r="G160" s="5">
        <f>IF(ISNUMBER(E160),ROUND(E160*'Reference data'!$B$2,0),"Unknown")</f>
        <v>186.0</v>
      </c>
      <c r="H160" s="5">
        <f>IF(ISNUMBER(F160),ROUND(F160*'Reference data'!$B$2,0),"Unknown")</f>
        <v>212.0</v>
      </c>
      <c r="K160" s="4" t="s">
        <v>111</v>
      </c>
    </row>
    <row r="161" spans="1:13" s="4" customFormat="1" ht="24" customHeight="1">
      <c r="B161" s="4">
        <v>1</v>
      </c>
      <c r="C161" s="4" t="s">
        <v>172</v>
      </c>
      <c r="K161" s="4" t="s">
        <v>111</v>
      </c>
      <c r="M161" s="4" t="s">
        <v>173</v>
      </c>
    </row>
    <row r="162" spans="1:13" ht="99" customHeight="1">
      <c r="B162">
        <v>1</v>
      </c>
      <c r="C162" t="s">
        <v>115</v>
      </c>
      <c r="I162" s="6" t="s">
        <v>174</v>
      </c>
    </row>
    <row r="163" spans="1:13" ht="24" customHeight="1">
      <c r="B163">
        <v>1</v>
      </c>
      <c r="C163" t="s">
        <v>117</v>
      </c>
      <c r="I163" s="6" t="s">
        <v>175</v>
      </c>
    </row>
    <row r="164" spans="1:13" s="4" customFormat="1" ht="24" customHeight="1">
      <c r="A164" s="4" t="s">
        <v>176</v>
      </c>
      <c r="B164" s="4">
        <v>1</v>
      </c>
      <c r="C164" s="4" t="s">
        <v>94</v>
      </c>
      <c r="D164" s="4">
        <v>7780</v>
      </c>
      <c r="J164" s="4" t="s">
        <v>95</v>
      </c>
      <c r="M164" s="4" t="s">
        <v>177</v>
      </c>
    </row>
    <row r="165" spans="1:13" ht="24" customHeight="1">
      <c r="A165" t="s">
        <v>176</v>
      </c>
      <c r="B165">
        <v>1</v>
      </c>
      <c r="C165" t="s">
        <v>121</v>
      </c>
      <c r="D165" s="5">
        <v>7560</v>
      </c>
      <c r="E165" s="2">
        <f>IF(AND(ISNUMBER(F165),ISNUMBER('Reference data'!$B$3)),F165*'Reference data'!$B$3,"Unknown")</f>
        <v>0.00013250412</v>
      </c>
      <c r="F165" s="2">
        <f>IF(D165=0,0,IF(ISNUMBER('Reference data'!C17),D165*'Reference data'!C17/1000000,"Unknown"))</f>
        <v>0.0001512</v>
      </c>
      <c r="G165" s="5">
        <f>IF(ISNUMBER(E165),ROUND(E165*'Reference data'!$B$2,0),"Unknown")</f>
        <v>13.0</v>
      </c>
      <c r="H165" s="5">
        <f>IF(ISNUMBER(F165),ROUND(F165*'Reference data'!$B$2,0),"Unknown")</f>
        <v>15.0</v>
      </c>
    </row>
    <row r="166" spans="1:13" ht="24" customHeight="1">
      <c r="A166" t="s">
        <v>176</v>
      </c>
      <c r="B166">
        <v>1</v>
      </c>
      <c r="C166" t="s">
        <v>97</v>
      </c>
      <c r="D166" s="5">
        <v>3</v>
      </c>
      <c r="E166" s="2">
        <f>IF(AND(ISNUMBER(F166),ISNUMBER('Reference data'!$B$3)),F166*'Reference data'!$B$3,"Unknown")</f>
        <v>5.2581e-07</v>
      </c>
      <c r="F166" s="2">
        <f>IF(D166=0,0,IF(ISNUMBER('Reference data'!B17),D166*'Reference data'!B17/1000000,"Unknown"))</f>
        <v>6e-07</v>
      </c>
      <c r="G166" s="5">
        <f>IF(ISNUMBER(E166),ROUND(E166*'Reference data'!$B$2,0),"Unknown")</f>
        <v>0.0</v>
      </c>
      <c r="H166" s="5">
        <f>IF(ISNUMBER(F166),ROUND(F166*'Reference data'!$B$2,0),"Unknown")</f>
        <v>0.0</v>
      </c>
    </row>
    <row r="167" spans="1:13" ht="24" customHeight="1">
      <c r="A167" t="s">
        <v>176</v>
      </c>
      <c r="B167">
        <v>1</v>
      </c>
      <c r="C167" t="s">
        <v>122</v>
      </c>
      <c r="I167" s="6" t="s">
        <v>175</v>
      </c>
    </row>
    <row r="168" spans="1:13" ht="24" customHeight="1">
      <c r="A168" t="s">
        <v>176</v>
      </c>
      <c r="B168">
        <v>1</v>
      </c>
      <c r="C168" t="s">
        <v>103</v>
      </c>
      <c r="D168" s="5">
        <v>217</v>
      </c>
      <c r="E168" s="2">
        <f>IF(AND(ISNUMBER(F168),ISNUMBER('Reference data'!$B$3)),F168*'Reference data'!$B$3,"Unknown")</f>
        <v>4.75419875e-05</v>
      </c>
      <c r="F168" s="2">
        <f>IF(D168=0,0,IF(ISNUMBER('Reference data'!D17),D168*'Reference data'!D17/1000000,"Unknown"))</f>
        <v>5.425e-05</v>
      </c>
      <c r="G168" s="5">
        <f>IF(ISNUMBER(E168),ROUND(E168*'Reference data'!$B$2,0),"Unknown")</f>
        <v>5.0</v>
      </c>
      <c r="H168" s="5">
        <f>IF(ISNUMBER(F168),ROUND(F168*'Reference data'!$B$2,0),"Unknown")</f>
        <v>5.0</v>
      </c>
    </row>
    <row r="169" spans="1:13" ht="24" customHeight="1">
      <c r="A169" t="s">
        <v>176</v>
      </c>
      <c r="B169">
        <v>1</v>
      </c>
      <c r="C169" t="s">
        <v>104</v>
      </c>
    </row>
    <row r="170" spans="1:13" s="4" customFormat="1" ht="24" customHeight="1">
      <c r="A170" s="4" t="s">
        <v>176</v>
      </c>
      <c r="B170" s="4">
        <v>1</v>
      </c>
      <c r="C170" s="4" t="s">
        <v>105</v>
      </c>
      <c r="D170" s="4">
        <v>42</v>
      </c>
    </row>
    <row r="171" spans="1:13" ht="24" customHeight="1">
      <c r="A171" t="s">
        <v>176</v>
      </c>
      <c r="B171">
        <v>1</v>
      </c>
      <c r="C171" t="s">
        <v>106</v>
      </c>
      <c r="D171" s="5">
        <v>11</v>
      </c>
      <c r="E171" s="2">
        <f>IF(AND(ISNUMBER(F171),ISNUMBER('Reference data'!$B$3)),F171*'Reference data'!$B$3,"Unknown")</f>
        <v>1.156782e-05</v>
      </c>
      <c r="F171" s="2">
        <f>IF(D171=0,0,IF(ISNUMBER('Reference data'!F17),D171*'Reference data'!F17/1000000,"Unknown"))</f>
        <v>1.32e-05</v>
      </c>
      <c r="G171" s="5">
        <f>IF(ISNUMBER(E171),ROUND(E171*'Reference data'!$B$2,0),"Unknown")</f>
        <v>1.0</v>
      </c>
      <c r="H171" s="5">
        <f>IF(ISNUMBER(F171),ROUND(F171*'Reference data'!$B$2,0),"Unknown")</f>
        <v>1.0</v>
      </c>
    </row>
    <row r="172" spans="1:13" ht="24" customHeight="1">
      <c r="A172" t="s">
        <v>176</v>
      </c>
      <c r="B172">
        <v>1</v>
      </c>
      <c r="C172" t="s">
        <v>107</v>
      </c>
      <c r="D172" s="5">
        <v>31</v>
      </c>
      <c r="E172" s="2">
        <f>IF(AND(ISNUMBER(F172),ISNUMBER('Reference data'!$B$3)),F172*'Reference data'!$B$3,"Unknown")</f>
        <v>3.260022e-05</v>
      </c>
      <c r="F172" s="2">
        <f>IF(D172=0,0,IF(ISNUMBER('Reference data'!E17),D172*'Reference data'!E17/1000000,"Unknown"))</f>
        <v>3.72e-05</v>
      </c>
      <c r="G172" s="5">
        <f>IF(ISNUMBER(E172),ROUND(E172*'Reference data'!$B$2,0),"Unknown")</f>
        <v>3.0</v>
      </c>
      <c r="H172" s="5">
        <f>IF(ISNUMBER(F172),ROUND(F172*'Reference data'!$B$2,0),"Unknown")</f>
        <v>4.0</v>
      </c>
    </row>
    <row r="173" spans="1:13" ht="281" customHeight="1">
      <c r="A173" t="s">
        <v>176</v>
      </c>
      <c r="B173">
        <v>1</v>
      </c>
      <c r="C173" t="s">
        <v>108</v>
      </c>
      <c r="I173" s="6" t="s">
        <v>178</v>
      </c>
    </row>
    <row r="174" spans="1:13" ht="24" customHeight="1">
      <c r="A174" t="s">
        <v>176</v>
      </c>
      <c r="B174">
        <v>1</v>
      </c>
      <c r="C174" t="s">
        <v>103</v>
      </c>
    </row>
    <row r="175" spans="1:13" ht="24" customHeight="1">
      <c r="A175" t="s">
        <v>176</v>
      </c>
      <c r="B175">
        <v>1</v>
      </c>
      <c r="C175" t="s">
        <v>104</v>
      </c>
    </row>
    <row r="176" spans="1:13" s="4" customFormat="1" ht="24" customHeight="1">
      <c r="A176" s="4" t="s">
        <v>176</v>
      </c>
      <c r="B176" s="4">
        <v>1</v>
      </c>
      <c r="C176" s="4" t="s">
        <v>110</v>
      </c>
      <c r="E176" s="2">
        <f>IF(COUNT('Turns'!E165,'Turns'!E166,'Turns'!E168,'Turns'!E171,'Turns'!E172)=5,SUM('Turns'!E165,'Turns'!E166,'Turns'!E168,'Turns'!E171,'Turns'!E172),"Unknown")</f>
        <v>0.0002247399575</v>
      </c>
      <c r="F176" s="2">
        <f>IF(COUNT('Turns'!F165,'Turns'!F166,'Turns'!F168,'Turns'!F171,'Turns'!F172)=5,SUM('Turns'!F165,'Turns'!F166,'Turns'!F168,'Turns'!F171,'Turns'!F172),"Unknown")</f>
        <v>0.00025645</v>
      </c>
      <c r="G176" s="5">
        <f>IF(ISNUMBER(E176),ROUND(E176*'Reference data'!$B$2,0),"Unknown")</f>
        <v>22.0</v>
      </c>
      <c r="H176" s="5">
        <f>IF(ISNUMBER(F176),ROUND(F176*'Reference data'!$B$2,0),"Unknown")</f>
        <v>26.0</v>
      </c>
      <c r="K176" s="4" t="s">
        <v>111</v>
      </c>
    </row>
    <row r="177" spans="1:13" s="4" customFormat="1" ht="24" customHeight="1">
      <c r="B177" s="4">
        <v>1</v>
      </c>
      <c r="C177" s="4" t="s">
        <v>112</v>
      </c>
      <c r="K177" s="4" t="s">
        <v>111</v>
      </c>
      <c r="M177" s="4" t="s">
        <v>179</v>
      </c>
    </row>
    <row r="178" spans="1:13" ht="24" customHeight="1">
      <c r="B178">
        <v>1</v>
      </c>
      <c r="C178" t="s">
        <v>115</v>
      </c>
      <c r="I178" s="6" t="s">
        <v>116</v>
      </c>
    </row>
    <row r="179" spans="1:13" ht="409" customHeight="1">
      <c r="B179">
        <v>1</v>
      </c>
      <c r="C179" t="s">
        <v>117</v>
      </c>
      <c r="I179" s="6" t="s">
        <v>180</v>
      </c>
    </row>
    <row r="180" spans="1:13" s="4" customFormat="1" ht="24" customHeight="1">
      <c r="A180" s="4" t="s">
        <v>181</v>
      </c>
      <c r="B180" s="4">
        <v>1</v>
      </c>
      <c r="C180" s="4" t="s">
        <v>94</v>
      </c>
      <c r="D180" s="4">
        <v>5509</v>
      </c>
      <c r="J180" s="4" t="s">
        <v>95</v>
      </c>
      <c r="M180" s="4" t="s">
        <v>182</v>
      </c>
    </row>
    <row r="181" spans="1:13" ht="24" customHeight="1">
      <c r="A181" t="s">
        <v>181</v>
      </c>
      <c r="B181">
        <v>1</v>
      </c>
      <c r="C181" t="s">
        <v>97</v>
      </c>
      <c r="D181" s="5">
        <v>3</v>
      </c>
      <c r="E181" s="2">
        <f>IF(AND(ISNUMBER(F181),ISNUMBER('Reference data'!$B$3)),F181*'Reference data'!$B$3,"Unknown")</f>
        <v>5.2581e-07</v>
      </c>
      <c r="F181" s="2">
        <f>IF(D181=0,0,IF(ISNUMBER('Reference data'!B17),D181*'Reference data'!B17/1000000,"Unknown"))</f>
        <v>6e-07</v>
      </c>
      <c r="G181" s="5">
        <f>IF(ISNUMBER(E181),ROUND(E181*'Reference data'!$B$2,0),"Unknown")</f>
        <v>0.0</v>
      </c>
      <c r="H181" s="5">
        <f>IF(ISNUMBER(F181),ROUND(F181*'Reference data'!$B$2,0),"Unknown")</f>
        <v>0.0</v>
      </c>
    </row>
    <row r="182" spans="1:13" ht="24" customHeight="1">
      <c r="A182" t="s">
        <v>181</v>
      </c>
      <c r="B182">
        <v>1</v>
      </c>
      <c r="C182" t="s">
        <v>98</v>
      </c>
    </row>
    <row r="183" spans="1:13" ht="24" customHeight="1">
      <c r="A183" t="s">
        <v>181</v>
      </c>
      <c r="B183">
        <v>1</v>
      </c>
      <c r="C183" t="s">
        <v>99</v>
      </c>
      <c r="I183" s="6" t="s">
        <v>183</v>
      </c>
    </row>
    <row r="184" spans="1:13" ht="24" customHeight="1">
      <c r="A184" t="s">
        <v>181</v>
      </c>
      <c r="B184">
        <v>1</v>
      </c>
      <c r="C184" t="s">
        <v>103</v>
      </c>
      <c r="D184" s="5">
        <v>5506</v>
      </c>
      <c r="E184" s="2">
        <f>IF(AND(ISNUMBER(F184),ISNUMBER('Reference data'!$B$3)),F184*'Reference data'!$B$3,"Unknown")</f>
        <v>0.001206295775</v>
      </c>
      <c r="F184" s="2">
        <f>IF(D184=0,0,IF(ISNUMBER('Reference data'!D17),D184*'Reference data'!D17/1000000,"Unknown"))</f>
        <v>0.0013765</v>
      </c>
      <c r="G184" s="5">
        <f>IF(ISNUMBER(E184),ROUND(E184*'Reference data'!$B$2,0),"Unknown")</f>
        <v>121.0</v>
      </c>
      <c r="H184" s="5">
        <f>IF(ISNUMBER(F184),ROUND(F184*'Reference data'!$B$2,0),"Unknown")</f>
        <v>138.0</v>
      </c>
    </row>
    <row r="185" spans="1:13" ht="24" customHeight="1">
      <c r="A185" t="s">
        <v>181</v>
      </c>
      <c r="B185">
        <v>1</v>
      </c>
      <c r="C185" t="s">
        <v>104</v>
      </c>
    </row>
    <row r="186" spans="1:13" s="4" customFormat="1" ht="24" customHeight="1">
      <c r="A186" s="4" t="s">
        <v>181</v>
      </c>
      <c r="B186" s="4">
        <v>1</v>
      </c>
      <c r="C186" s="4" t="s">
        <v>105</v>
      </c>
      <c r="D186" s="4">
        <v>667</v>
      </c>
    </row>
    <row r="187" spans="1:13" ht="24" customHeight="1">
      <c r="A187" t="s">
        <v>181</v>
      </c>
      <c r="B187">
        <v>1</v>
      </c>
      <c r="C187" t="s">
        <v>106</v>
      </c>
      <c r="D187" s="5">
        <v>71</v>
      </c>
      <c r="E187" s="2">
        <f>IF(AND(ISNUMBER(F187),ISNUMBER('Reference data'!$B$3)),F187*'Reference data'!$B$3,"Unknown")</f>
        <v>7.466502e-05</v>
      </c>
      <c r="F187" s="2">
        <f>IF(D187=0,0,IF(ISNUMBER('Reference data'!F17),D187*'Reference data'!F17/1000000,"Unknown"))</f>
        <v>8.52e-05</v>
      </c>
      <c r="G187" s="5">
        <f>IF(ISNUMBER(E187),ROUND(E187*'Reference data'!$B$2,0),"Unknown")</f>
        <v>7.0</v>
      </c>
      <c r="H187" s="5">
        <f>IF(ISNUMBER(F187),ROUND(F187*'Reference data'!$B$2,0),"Unknown")</f>
        <v>9.0</v>
      </c>
    </row>
    <row r="188" spans="1:13" ht="24" customHeight="1">
      <c r="A188" t="s">
        <v>181</v>
      </c>
      <c r="B188">
        <v>1</v>
      </c>
      <c r="C188" t="s">
        <v>107</v>
      </c>
      <c r="D188" s="5">
        <v>596</v>
      </c>
      <c r="E188" s="2">
        <f>IF(AND(ISNUMBER(F188),ISNUMBER('Reference data'!$B$3)),F188*'Reference data'!$B$3,"Unknown")</f>
        <v>0.00062676552</v>
      </c>
      <c r="F188" s="2">
        <f>IF(D188=0,0,IF(ISNUMBER('Reference data'!E17),D188*'Reference data'!E17/1000000,"Unknown"))</f>
        <v>0.0007152</v>
      </c>
      <c r="G188" s="5">
        <f>IF(ISNUMBER(E188),ROUND(E188*'Reference data'!$B$2,0),"Unknown")</f>
        <v>63.0</v>
      </c>
      <c r="H188" s="5">
        <f>IF(ISNUMBER(F188),ROUND(F188*'Reference data'!$B$2,0),"Unknown")</f>
        <v>72.0</v>
      </c>
    </row>
    <row r="189" spans="1:13" ht="409" customHeight="1">
      <c r="A189" t="s">
        <v>181</v>
      </c>
      <c r="B189">
        <v>1</v>
      </c>
      <c r="C189" t="s">
        <v>108</v>
      </c>
      <c r="I189" s="6" t="s">
        <v>184</v>
      </c>
    </row>
    <row r="190" spans="1:13" ht="24" customHeight="1">
      <c r="A190" t="s">
        <v>181</v>
      </c>
      <c r="B190">
        <v>1</v>
      </c>
      <c r="C190" t="s">
        <v>103</v>
      </c>
    </row>
    <row r="191" spans="1:13" ht="24" customHeight="1">
      <c r="A191" t="s">
        <v>181</v>
      </c>
      <c r="B191">
        <v>1</v>
      </c>
      <c r="C191" t="s">
        <v>104</v>
      </c>
    </row>
    <row r="192" spans="1:13" s="4" customFormat="1" ht="24" customHeight="1">
      <c r="A192" s="4" t="s">
        <v>181</v>
      </c>
      <c r="B192" s="4">
        <v>1</v>
      </c>
      <c r="C192" s="4" t="s">
        <v>110</v>
      </c>
      <c r="E192" s="2">
        <f>IF(COUNT('Turns'!E181,'Turns'!E184,'Turns'!E187,'Turns'!E188)=4,SUM('Turns'!E181,'Turns'!E184,'Turns'!E187,'Turns'!E188),"Unknown")</f>
        <v>0.001908252125</v>
      </c>
      <c r="F192" s="2">
        <f>IF(COUNT('Turns'!F181,'Turns'!F184,'Turns'!F187,'Turns'!F188)=4,SUM('Turns'!F181,'Turns'!F184,'Turns'!F187,'Turns'!F188),"Unknown")</f>
        <v>0.0021775</v>
      </c>
      <c r="G192" s="5">
        <f>IF(ISNUMBER(E192),ROUND(E192*'Reference data'!$B$2,0),"Unknown")</f>
        <v>191.0</v>
      </c>
      <c r="H192" s="5">
        <f>IF(ISNUMBER(F192),ROUND(F192*'Reference data'!$B$2,0),"Unknown")</f>
        <v>218.0</v>
      </c>
      <c r="K192" s="4" t="s">
        <v>111</v>
      </c>
    </row>
    <row r="193" spans="1:13" s="4" customFormat="1" ht="24" customHeight="1">
      <c r="A193" s="4" t="s">
        <v>185</v>
      </c>
      <c r="B193" s="4">
        <v>1</v>
      </c>
      <c r="C193" s="4" t="s">
        <v>94</v>
      </c>
      <c r="D193" s="4">
        <v>3656</v>
      </c>
      <c r="J193" s="4" t="s">
        <v>95</v>
      </c>
      <c r="M193" s="4" t="s">
        <v>186</v>
      </c>
    </row>
    <row r="194" spans="1:13" ht="24" customHeight="1">
      <c r="A194" t="s">
        <v>185</v>
      </c>
      <c r="B194">
        <v>1</v>
      </c>
      <c r="C194" t="s">
        <v>121</v>
      </c>
      <c r="D194" s="5">
        <v>2297</v>
      </c>
      <c r="E194" s="2">
        <f>IF(AND(ISNUMBER(F194),ISNUMBER('Reference data'!$B$3)),F194*'Reference data'!$B$3,"Unknown")</f>
        <v>4.0259519e-05</v>
      </c>
      <c r="F194" s="2">
        <f>IF(D194=0,0,IF(ISNUMBER('Reference data'!C17),D194*'Reference data'!C17/1000000,"Unknown"))</f>
        <v>4.594e-05</v>
      </c>
      <c r="G194" s="5">
        <f>IF(ISNUMBER(E194),ROUND(E194*'Reference data'!$B$2,0),"Unknown")</f>
        <v>4.0</v>
      </c>
      <c r="H194" s="5">
        <f>IF(ISNUMBER(F194),ROUND(F194*'Reference data'!$B$2,0),"Unknown")</f>
        <v>5.0</v>
      </c>
    </row>
    <row r="195" spans="1:13" ht="24" customHeight="1">
      <c r="A195" t="s">
        <v>185</v>
      </c>
      <c r="B195">
        <v>1</v>
      </c>
      <c r="C195" t="s">
        <v>97</v>
      </c>
      <c r="D195" s="5">
        <v>3</v>
      </c>
      <c r="E195" s="2">
        <f>IF(AND(ISNUMBER(F195),ISNUMBER('Reference data'!$B$3)),F195*'Reference data'!$B$3,"Unknown")</f>
        <v>5.2581e-07</v>
      </c>
      <c r="F195" s="2">
        <f>IF(D195=0,0,IF(ISNUMBER('Reference data'!B17),D195*'Reference data'!B17/1000000,"Unknown"))</f>
        <v>6e-07</v>
      </c>
      <c r="G195" s="5">
        <f>IF(ISNUMBER(E195),ROUND(E195*'Reference data'!$B$2,0),"Unknown")</f>
        <v>0.0</v>
      </c>
      <c r="H195" s="5">
        <f>IF(ISNUMBER(F195),ROUND(F195*'Reference data'!$B$2,0),"Unknown")</f>
        <v>0.0</v>
      </c>
    </row>
    <row r="196" spans="1:13" ht="409" customHeight="1">
      <c r="A196" t="s">
        <v>185</v>
      </c>
      <c r="B196">
        <v>1</v>
      </c>
      <c r="C196" t="s">
        <v>122</v>
      </c>
      <c r="I196" s="6" t="s">
        <v>180</v>
      </c>
    </row>
    <row r="197" spans="1:13" ht="24" customHeight="1">
      <c r="A197" t="s">
        <v>185</v>
      </c>
      <c r="B197">
        <v>1</v>
      </c>
      <c r="C197" t="s">
        <v>103</v>
      </c>
      <c r="D197" s="5">
        <v>1356</v>
      </c>
      <c r="E197" s="2">
        <f>IF(AND(ISNUMBER(F197),ISNUMBER('Reference data'!$B$3)),F197*'Reference data'!$B$3,"Unknown")</f>
        <v>0.00029708265</v>
      </c>
      <c r="F197" s="2">
        <f>IF(D197=0,0,IF(ISNUMBER('Reference data'!D17),D197*'Reference data'!D17/1000000,"Unknown"))</f>
        <v>0.000339</v>
      </c>
      <c r="G197" s="5">
        <f>IF(ISNUMBER(E197),ROUND(E197*'Reference data'!$B$2,0),"Unknown")</f>
        <v>30.0</v>
      </c>
      <c r="H197" s="5">
        <f>IF(ISNUMBER(F197),ROUND(F197*'Reference data'!$B$2,0),"Unknown")</f>
        <v>34.0</v>
      </c>
    </row>
    <row r="198" spans="1:13" ht="24" customHeight="1">
      <c r="A198" t="s">
        <v>185</v>
      </c>
      <c r="B198">
        <v>1</v>
      </c>
      <c r="C198" t="s">
        <v>104</v>
      </c>
    </row>
    <row r="199" spans="1:13" s="4" customFormat="1" ht="24" customHeight="1">
      <c r="A199" s="4" t="s">
        <v>185</v>
      </c>
      <c r="B199" s="4">
        <v>1</v>
      </c>
      <c r="C199" s="4" t="s">
        <v>105</v>
      </c>
      <c r="D199" s="4">
        <v>175</v>
      </c>
    </row>
    <row r="200" spans="1:13" ht="24" customHeight="1">
      <c r="A200" t="s">
        <v>185</v>
      </c>
      <c r="B200">
        <v>1</v>
      </c>
      <c r="C200" t="s">
        <v>106</v>
      </c>
      <c r="D200" s="5">
        <v>13</v>
      </c>
      <c r="E200" s="2">
        <f>IF(AND(ISNUMBER(F200),ISNUMBER('Reference data'!$B$3)),F200*'Reference data'!$B$3,"Unknown")</f>
        <v>1.367106e-05</v>
      </c>
      <c r="F200" s="2">
        <f>IF(D200=0,0,IF(ISNUMBER('Reference data'!F17),D200*'Reference data'!F17/1000000,"Unknown"))</f>
        <v>1.56e-05</v>
      </c>
      <c r="G200" s="5">
        <f>IF(ISNUMBER(E200),ROUND(E200*'Reference data'!$B$2,0),"Unknown")</f>
        <v>1.0</v>
      </c>
      <c r="H200" s="5">
        <f>IF(ISNUMBER(F200),ROUND(F200*'Reference data'!$B$2,0),"Unknown")</f>
        <v>2.0</v>
      </c>
    </row>
    <row r="201" spans="1:13" ht="24" customHeight="1">
      <c r="A201" t="s">
        <v>185</v>
      </c>
      <c r="B201">
        <v>1</v>
      </c>
      <c r="C201" t="s">
        <v>107</v>
      </c>
      <c r="D201" s="5">
        <v>162</v>
      </c>
      <c r="E201" s="2">
        <f>IF(AND(ISNUMBER(F201),ISNUMBER('Reference data'!$B$3)),F201*'Reference data'!$B$3,"Unknown")</f>
        <v>0.00017036244</v>
      </c>
      <c r="F201" s="2">
        <f>IF(D201=0,0,IF(ISNUMBER('Reference data'!E17),D201*'Reference data'!E17/1000000,"Unknown"))</f>
        <v>0.0001944</v>
      </c>
      <c r="G201" s="5">
        <f>IF(ISNUMBER(E201),ROUND(E201*'Reference data'!$B$2,0),"Unknown")</f>
        <v>17.0</v>
      </c>
      <c r="H201" s="5">
        <f>IF(ISNUMBER(F201),ROUND(F201*'Reference data'!$B$2,0),"Unknown")</f>
        <v>19.0</v>
      </c>
    </row>
    <row r="202" spans="1:13" ht="359" customHeight="1">
      <c r="A202" t="s">
        <v>185</v>
      </c>
      <c r="B202">
        <v>1</v>
      </c>
      <c r="C202" t="s">
        <v>108</v>
      </c>
      <c r="I202" s="6" t="s">
        <v>187</v>
      </c>
    </row>
    <row r="203" spans="1:13" ht="24" customHeight="1">
      <c r="A203" t="s">
        <v>185</v>
      </c>
      <c r="B203">
        <v>1</v>
      </c>
      <c r="C203" t="s">
        <v>103</v>
      </c>
    </row>
    <row r="204" spans="1:13" ht="24" customHeight="1">
      <c r="A204" t="s">
        <v>185</v>
      </c>
      <c r="B204">
        <v>1</v>
      </c>
      <c r="C204" t="s">
        <v>104</v>
      </c>
    </row>
    <row r="205" spans="1:13" s="4" customFormat="1" ht="24" customHeight="1">
      <c r="A205" s="4" t="s">
        <v>185</v>
      </c>
      <c r="B205" s="4">
        <v>1</v>
      </c>
      <c r="C205" s="4" t="s">
        <v>110</v>
      </c>
      <c r="E205" s="2">
        <f>IF(COUNT('Turns'!E194,'Turns'!E195,'Turns'!E197,'Turns'!E200,'Turns'!E201)=5,SUM('Turns'!E194,'Turns'!E195,'Turns'!E197,'Turns'!E200,'Turns'!E201),"Unknown")</f>
        <v>0.000521901479</v>
      </c>
      <c r="F205" s="2">
        <f>IF(COUNT('Turns'!F194,'Turns'!F195,'Turns'!F197,'Turns'!F200,'Turns'!F201)=5,SUM('Turns'!F194,'Turns'!F195,'Turns'!F197,'Turns'!F200,'Turns'!F201),"Unknown")</f>
        <v>0.00059554</v>
      </c>
      <c r="G205" s="5">
        <f>IF(ISNUMBER(E205),ROUND(E205*'Reference data'!$B$2,0),"Unknown")</f>
        <v>52.0</v>
      </c>
      <c r="H205" s="5">
        <f>IF(ISNUMBER(F205),ROUND(F205*'Reference data'!$B$2,0),"Unknown")</f>
        <v>60.0</v>
      </c>
      <c r="K205" s="4" t="s">
        <v>111</v>
      </c>
    </row>
    <row r="206" spans="1:13" s="4" customFormat="1" ht="24" customHeight="1">
      <c r="A206" s="4" t="s">
        <v>188</v>
      </c>
      <c r="B206" s="4">
        <v>1</v>
      </c>
      <c r="C206" s="4" t="s">
        <v>94</v>
      </c>
      <c r="D206" s="4">
        <v>3661</v>
      </c>
      <c r="J206" s="4" t="s">
        <v>95</v>
      </c>
      <c r="M206" s="4" t="s">
        <v>189</v>
      </c>
    </row>
    <row r="207" spans="1:13" ht="24" customHeight="1">
      <c r="A207" t="s">
        <v>188</v>
      </c>
      <c r="B207">
        <v>1</v>
      </c>
      <c r="C207" t="s">
        <v>121</v>
      </c>
      <c r="D207" s="5">
        <v>0</v>
      </c>
      <c r="E207" s="2">
        <f>IF(AND(ISNUMBER(F207),ISNUMBER('Reference data'!$B$3)),F207*'Reference data'!$B$3,"Unknown")</f>
        <v>0.0</v>
      </c>
      <c r="F207" s="2">
        <f>IF(D207=0,0,IF(ISNUMBER('Reference data'!C17),D207*'Reference data'!C17/1000000,"Unknown"))</f>
        <v>0.0</v>
      </c>
      <c r="G207" s="5">
        <f>IF(ISNUMBER(E207),ROUND(E207*'Reference data'!$B$2,0),"Unknown")</f>
        <v>0.0</v>
      </c>
      <c r="H207" s="5">
        <f>IF(ISNUMBER(F207),ROUND(F207*'Reference data'!$B$2,0),"Unknown")</f>
        <v>0.0</v>
      </c>
    </row>
    <row r="208" spans="1:13" ht="24" customHeight="1">
      <c r="A208" t="s">
        <v>188</v>
      </c>
      <c r="B208">
        <v>1</v>
      </c>
      <c r="C208" t="s">
        <v>97</v>
      </c>
      <c r="D208" s="5">
        <v>3</v>
      </c>
      <c r="E208" s="2">
        <f>IF(AND(ISNUMBER(F208),ISNUMBER('Reference data'!$B$3)),F208*'Reference data'!$B$3,"Unknown")</f>
        <v>5.2581e-07</v>
      </c>
      <c r="F208" s="2">
        <f>IF(D208=0,0,IF(ISNUMBER('Reference data'!B17),D208*'Reference data'!B17/1000000,"Unknown"))</f>
        <v>6e-07</v>
      </c>
      <c r="G208" s="5">
        <f>IF(ISNUMBER(E208),ROUND(E208*'Reference data'!$B$2,0),"Unknown")</f>
        <v>0.0</v>
      </c>
      <c r="H208" s="5">
        <f>IF(ISNUMBER(F208),ROUND(F208*'Reference data'!$B$2,0),"Unknown")</f>
        <v>0.0</v>
      </c>
    </row>
    <row r="209" spans="1:13" ht="409" customHeight="1">
      <c r="A209" t="s">
        <v>188</v>
      </c>
      <c r="B209">
        <v>1</v>
      </c>
      <c r="C209" t="s">
        <v>122</v>
      </c>
      <c r="I209" s="6" t="s">
        <v>180</v>
      </c>
    </row>
    <row r="210" spans="1:13" ht="24" customHeight="1">
      <c r="A210" t="s">
        <v>188</v>
      </c>
      <c r="B210">
        <v>1</v>
      </c>
      <c r="C210" t="s">
        <v>103</v>
      </c>
      <c r="D210" s="5">
        <v>3658</v>
      </c>
      <c r="E210" s="2">
        <f>IF(AND(ISNUMBER(F210),ISNUMBER('Reference data'!$B$3)),F210*'Reference data'!$B$3,"Unknown")</f>
        <v>0.000801422075</v>
      </c>
      <c r="F210" s="2">
        <f>IF(D210=0,0,IF(ISNUMBER('Reference data'!D17),D210*'Reference data'!D17/1000000,"Unknown"))</f>
        <v>0.0009145</v>
      </c>
      <c r="G210" s="5">
        <f>IF(ISNUMBER(E210),ROUND(E210*'Reference data'!$B$2,0),"Unknown")</f>
        <v>80.0</v>
      </c>
      <c r="H210" s="5">
        <f>IF(ISNUMBER(F210),ROUND(F210*'Reference data'!$B$2,0),"Unknown")</f>
        <v>91.0</v>
      </c>
    </row>
    <row r="211" spans="1:13" ht="24" customHeight="1">
      <c r="A211" t="s">
        <v>188</v>
      </c>
      <c r="B211">
        <v>1</v>
      </c>
      <c r="C211" t="s">
        <v>104</v>
      </c>
    </row>
    <row r="212" spans="1:13" s="4" customFormat="1" ht="24" customHeight="1">
      <c r="A212" s="4" t="s">
        <v>188</v>
      </c>
      <c r="B212" s="4">
        <v>1</v>
      </c>
      <c r="C212" s="4" t="s">
        <v>105</v>
      </c>
      <c r="D212" s="4">
        <v>87</v>
      </c>
    </row>
    <row r="213" spans="1:13" ht="24" customHeight="1">
      <c r="A213" t="s">
        <v>188</v>
      </c>
      <c r="B213">
        <v>1</v>
      </c>
      <c r="C213" t="s">
        <v>106</v>
      </c>
      <c r="D213" s="5">
        <v>14</v>
      </c>
      <c r="E213" s="2">
        <f>IF(AND(ISNUMBER(F213),ISNUMBER('Reference data'!$B$3)),F213*'Reference data'!$B$3,"Unknown")</f>
        <v>1.472268e-05</v>
      </c>
      <c r="F213" s="2">
        <f>IF(D213=0,0,IF(ISNUMBER('Reference data'!F17),D213*'Reference data'!F17/1000000,"Unknown"))</f>
        <v>1.68e-05</v>
      </c>
      <c r="G213" s="5">
        <f>IF(ISNUMBER(E213),ROUND(E213*'Reference data'!$B$2,0),"Unknown")</f>
        <v>1.0</v>
      </c>
      <c r="H213" s="5">
        <f>IF(ISNUMBER(F213),ROUND(F213*'Reference data'!$B$2,0),"Unknown")</f>
        <v>2.0</v>
      </c>
    </row>
    <row r="214" spans="1:13" ht="24" customHeight="1">
      <c r="A214" t="s">
        <v>188</v>
      </c>
      <c r="B214">
        <v>1</v>
      </c>
      <c r="C214" t="s">
        <v>107</v>
      </c>
      <c r="D214" s="5">
        <v>73</v>
      </c>
      <c r="E214" s="2">
        <f>IF(AND(ISNUMBER(F214),ISNUMBER('Reference data'!$B$3)),F214*'Reference data'!$B$3,"Unknown")</f>
        <v>7.676826e-05</v>
      </c>
      <c r="F214" s="2">
        <f>IF(D214=0,0,IF(ISNUMBER('Reference data'!E17),D214*'Reference data'!E17/1000000,"Unknown"))</f>
        <v>8.76e-05</v>
      </c>
      <c r="G214" s="5">
        <f>IF(ISNUMBER(E214),ROUND(E214*'Reference data'!$B$2,0),"Unknown")</f>
        <v>8.0</v>
      </c>
      <c r="H214" s="5">
        <f>IF(ISNUMBER(F214),ROUND(F214*'Reference data'!$B$2,0),"Unknown")</f>
        <v>9.0</v>
      </c>
    </row>
    <row r="215" spans="1:13" ht="346" customHeight="1">
      <c r="A215" t="s">
        <v>188</v>
      </c>
      <c r="B215">
        <v>1</v>
      </c>
      <c r="C215" t="s">
        <v>108</v>
      </c>
      <c r="I215" s="6" t="s">
        <v>190</v>
      </c>
    </row>
    <row r="216" spans="1:13" ht="24" customHeight="1">
      <c r="A216" t="s">
        <v>188</v>
      </c>
      <c r="B216">
        <v>1</v>
      </c>
      <c r="C216" t="s">
        <v>103</v>
      </c>
    </row>
    <row r="217" spans="1:13" ht="24" customHeight="1">
      <c r="A217" t="s">
        <v>188</v>
      </c>
      <c r="B217">
        <v>1</v>
      </c>
      <c r="C217" t="s">
        <v>104</v>
      </c>
    </row>
    <row r="218" spans="1:13" s="4" customFormat="1" ht="24" customHeight="1">
      <c r="A218" s="4" t="s">
        <v>188</v>
      </c>
      <c r="B218" s="4">
        <v>1</v>
      </c>
      <c r="C218" s="4" t="s">
        <v>110</v>
      </c>
      <c r="E218" s="2">
        <f>IF(COUNT('Turns'!E207,'Turns'!E208,'Turns'!E210,'Turns'!E213,'Turns'!E214)=5,SUM('Turns'!E207,'Turns'!E208,'Turns'!E210,'Turns'!E213,'Turns'!E214),"Unknown")</f>
        <v>0.000893438825</v>
      </c>
      <c r="F218" s="2">
        <f>IF(COUNT('Turns'!F207,'Turns'!F208,'Turns'!F210,'Turns'!F213,'Turns'!F214)=5,SUM('Turns'!F207,'Turns'!F208,'Turns'!F210,'Turns'!F213,'Turns'!F214),"Unknown")</f>
        <v>0.0010195</v>
      </c>
      <c r="G218" s="5">
        <f>IF(ISNUMBER(E218),ROUND(E218*'Reference data'!$B$2,0),"Unknown")</f>
        <v>89.0</v>
      </c>
      <c r="H218" s="5">
        <f>IF(ISNUMBER(F218),ROUND(F218*'Reference data'!$B$2,0),"Unknown")</f>
        <v>102.0</v>
      </c>
      <c r="K218" s="4" t="s">
        <v>111</v>
      </c>
    </row>
    <row r="219" spans="1:13" s="4" customFormat="1" ht="24" customHeight="1">
      <c r="B219" s="4">
        <v>1</v>
      </c>
      <c r="C219" s="4" t="s">
        <v>112</v>
      </c>
      <c r="K219" s="4" t="s">
        <v>111</v>
      </c>
      <c r="M219" s="4" t="s">
        <v>191</v>
      </c>
    </row>
    <row r="220" spans="1:13" ht="24" customHeight="1">
      <c r="B220">
        <v>1</v>
      </c>
      <c r="C220" t="s">
        <v>115</v>
      </c>
      <c r="I220" s="6" t="s">
        <v>139</v>
      </c>
    </row>
    <row r="221" spans="1:13" ht="409" customHeight="1">
      <c r="B221">
        <v>1</v>
      </c>
      <c r="C221" t="s">
        <v>117</v>
      </c>
      <c r="I221" s="6" t="s">
        <v>152</v>
      </c>
    </row>
    <row r="222" spans="1:13" s="4" customFormat="1" ht="24" customHeight="1">
      <c r="B222" s="4">
        <v>1</v>
      </c>
      <c r="C222" s="4" t="s">
        <v>112</v>
      </c>
      <c r="K222" s="4" t="s">
        <v>113</v>
      </c>
      <c r="M222" s="4" t="s">
        <v>192</v>
      </c>
    </row>
    <row r="223" spans="1:13" ht="24" customHeight="1">
      <c r="B223">
        <v>1</v>
      </c>
      <c r="C223" t="s">
        <v>115</v>
      </c>
      <c r="I223" s="6" t="s">
        <v>193</v>
      </c>
    </row>
    <row r="224" spans="1:13" ht="24" customHeight="1">
      <c r="B224">
        <v>1</v>
      </c>
      <c r="C224" t="s">
        <v>117</v>
      </c>
      <c r="I224" s="6" t="s">
        <v>194</v>
      </c>
    </row>
    <row r="225" spans="1:13" s="4" customFormat="1" ht="24" customHeight="1">
      <c r="A225" s="4" t="s">
        <v>195</v>
      </c>
      <c r="B225" s="4">
        <v>1</v>
      </c>
      <c r="C225" s="4" t="s">
        <v>94</v>
      </c>
      <c r="D225" s="4">
        <v>4141</v>
      </c>
      <c r="J225" s="4" t="s">
        <v>95</v>
      </c>
      <c r="M225" s="4" t="s">
        <v>196</v>
      </c>
    </row>
    <row r="226" spans="1:13" ht="24" customHeight="1">
      <c r="A226" t="s">
        <v>195</v>
      </c>
      <c r="B226">
        <v>1</v>
      </c>
      <c r="C226" t="s">
        <v>121</v>
      </c>
      <c r="D226" s="5">
        <v>3658</v>
      </c>
      <c r="E226" s="2">
        <f>IF(AND(ISNUMBER(F226),ISNUMBER('Reference data'!$B$3)),F226*'Reference data'!$B$3,"Unknown")</f>
        <v>6.4113766e-05</v>
      </c>
      <c r="F226" s="2">
        <f>IF(D226=0,0,IF(ISNUMBER('Reference data'!C17),D226*'Reference data'!C17/1000000,"Unknown"))</f>
        <v>7.316e-05</v>
      </c>
      <c r="G226" s="5">
        <f>IF(ISNUMBER(E226),ROUND(E226*'Reference data'!$B$2,0),"Unknown")</f>
        <v>6.0</v>
      </c>
      <c r="H226" s="5">
        <f>IF(ISNUMBER(F226),ROUND(F226*'Reference data'!$B$2,0),"Unknown")</f>
        <v>7.0</v>
      </c>
    </row>
    <row r="227" spans="1:13" ht="24" customHeight="1">
      <c r="A227" t="s">
        <v>195</v>
      </c>
      <c r="B227">
        <v>1</v>
      </c>
      <c r="C227" t="s">
        <v>97</v>
      </c>
      <c r="D227" s="5">
        <v>3</v>
      </c>
      <c r="E227" s="2">
        <f>IF(AND(ISNUMBER(F227),ISNUMBER('Reference data'!$B$3)),F227*'Reference data'!$B$3,"Unknown")</f>
        <v>5.2581e-07</v>
      </c>
      <c r="F227" s="2">
        <f>IF(D227=0,0,IF(ISNUMBER('Reference data'!B17),D227*'Reference data'!B17/1000000,"Unknown"))</f>
        <v>6e-07</v>
      </c>
      <c r="G227" s="5">
        <f>IF(ISNUMBER(E227),ROUND(E227*'Reference data'!$B$2,0),"Unknown")</f>
        <v>0.0</v>
      </c>
      <c r="H227" s="5">
        <f>IF(ISNUMBER(F227),ROUND(F227*'Reference data'!$B$2,0),"Unknown")</f>
        <v>0.0</v>
      </c>
    </row>
    <row r="228" spans="1:13" ht="409" customHeight="1">
      <c r="A228" t="s">
        <v>195</v>
      </c>
      <c r="B228">
        <v>1</v>
      </c>
      <c r="C228" t="s">
        <v>122</v>
      </c>
      <c r="I228" s="6" t="s">
        <v>197</v>
      </c>
    </row>
    <row r="229" spans="1:13" ht="24" customHeight="1">
      <c r="A229" t="s">
        <v>195</v>
      </c>
      <c r="B229">
        <v>1</v>
      </c>
      <c r="C229" t="s">
        <v>103</v>
      </c>
      <c r="D229" s="5">
        <v>480</v>
      </c>
      <c r="E229" s="2">
        <f>IF(AND(ISNUMBER(F229),ISNUMBER('Reference data'!$B$3)),F229*'Reference data'!$B$3,"Unknown")</f>
        <v>0.000105162</v>
      </c>
      <c r="F229" s="2">
        <f>IF(D229=0,0,IF(ISNUMBER('Reference data'!D17),D229*'Reference data'!D17/1000000,"Unknown"))</f>
        <v>0.00012</v>
      </c>
      <c r="G229" s="5">
        <f>IF(ISNUMBER(E229),ROUND(E229*'Reference data'!$B$2,0),"Unknown")</f>
        <v>11.0</v>
      </c>
      <c r="H229" s="5">
        <f>IF(ISNUMBER(F229),ROUND(F229*'Reference data'!$B$2,0),"Unknown")</f>
        <v>12.0</v>
      </c>
    </row>
    <row r="230" spans="1:13" ht="24" customHeight="1">
      <c r="A230" t="s">
        <v>195</v>
      </c>
      <c r="B230">
        <v>1</v>
      </c>
      <c r="C230" t="s">
        <v>104</v>
      </c>
    </row>
    <row r="231" spans="1:13" s="4" customFormat="1" ht="24" customHeight="1">
      <c r="A231" s="4" t="s">
        <v>195</v>
      </c>
      <c r="B231" s="4">
        <v>1</v>
      </c>
      <c r="C231" s="4" t="s">
        <v>105</v>
      </c>
      <c r="D231" s="4">
        <v>527</v>
      </c>
    </row>
    <row r="232" spans="1:13" ht="24" customHeight="1">
      <c r="A232" t="s">
        <v>195</v>
      </c>
      <c r="B232">
        <v>1</v>
      </c>
      <c r="C232" t="s">
        <v>106</v>
      </c>
      <c r="D232" s="5">
        <v>91</v>
      </c>
      <c r="E232" s="2">
        <f>IF(AND(ISNUMBER(F232),ISNUMBER('Reference data'!$B$3)),F232*'Reference data'!$B$3,"Unknown")</f>
        <v>9.569742e-05</v>
      </c>
      <c r="F232" s="2">
        <f>IF(D232=0,0,IF(ISNUMBER('Reference data'!F17),D232*'Reference data'!F17/1000000,"Unknown"))</f>
        <v>0.0001092</v>
      </c>
      <c r="G232" s="5">
        <f>IF(ISNUMBER(E232),ROUND(E232*'Reference data'!$B$2,0),"Unknown")</f>
        <v>10.0</v>
      </c>
      <c r="H232" s="5">
        <f>IF(ISNUMBER(F232),ROUND(F232*'Reference data'!$B$2,0),"Unknown")</f>
        <v>11.0</v>
      </c>
    </row>
    <row r="233" spans="1:13" ht="24" customHeight="1">
      <c r="A233" t="s">
        <v>195</v>
      </c>
      <c r="B233">
        <v>1</v>
      </c>
      <c r="C233" t="s">
        <v>107</v>
      </c>
      <c r="D233" s="5">
        <v>436</v>
      </c>
      <c r="E233" s="2">
        <f>IF(AND(ISNUMBER(F233),ISNUMBER('Reference data'!$B$3)),F233*'Reference data'!$B$3,"Unknown")</f>
        <v>0.00045850632</v>
      </c>
      <c r="F233" s="2">
        <f>IF(D233=0,0,IF(ISNUMBER('Reference data'!E17),D233*'Reference data'!E17/1000000,"Unknown"))</f>
        <v>0.0005232</v>
      </c>
      <c r="G233" s="5">
        <f>IF(ISNUMBER(E233),ROUND(E233*'Reference data'!$B$2,0),"Unknown")</f>
        <v>46.0</v>
      </c>
      <c r="H233" s="5">
        <f>IF(ISNUMBER(F233),ROUND(F233*'Reference data'!$B$2,0),"Unknown")</f>
        <v>52.0</v>
      </c>
    </row>
    <row r="234" spans="1:13" ht="409" customHeight="1">
      <c r="A234" t="s">
        <v>195</v>
      </c>
      <c r="B234">
        <v>1</v>
      </c>
      <c r="C234" t="s">
        <v>108</v>
      </c>
      <c r="I234" s="6" t="s">
        <v>198</v>
      </c>
    </row>
    <row r="235" spans="1:13" ht="24" customHeight="1">
      <c r="A235" t="s">
        <v>195</v>
      </c>
      <c r="B235">
        <v>1</v>
      </c>
      <c r="C235" t="s">
        <v>103</v>
      </c>
    </row>
    <row r="236" spans="1:13" ht="24" customHeight="1">
      <c r="A236" t="s">
        <v>195</v>
      </c>
      <c r="B236">
        <v>1</v>
      </c>
      <c r="C236" t="s">
        <v>104</v>
      </c>
    </row>
    <row r="237" spans="1:13" s="4" customFormat="1" ht="24" customHeight="1">
      <c r="A237" s="4" t="s">
        <v>195</v>
      </c>
      <c r="B237" s="4">
        <v>1</v>
      </c>
      <c r="C237" s="4" t="s">
        <v>110</v>
      </c>
      <c r="E237" s="2">
        <f>IF(COUNT('Turns'!E226,'Turns'!E227,'Turns'!E229,'Turns'!E232,'Turns'!E233)=5,SUM('Turns'!E226,'Turns'!E227,'Turns'!E229,'Turns'!E232,'Turns'!E233),"Unknown")</f>
        <v>0.000724005316</v>
      </c>
      <c r="F237" s="2">
        <f>IF(COUNT('Turns'!F226,'Turns'!F227,'Turns'!F229,'Turns'!F232,'Turns'!F233)=5,SUM('Turns'!F226,'Turns'!F227,'Turns'!F229,'Turns'!F232,'Turns'!F233),"Unknown")</f>
        <v>0.00082616</v>
      </c>
      <c r="G237" s="5">
        <f>IF(ISNUMBER(E237),ROUND(E237*'Reference data'!$B$2,0),"Unknown")</f>
        <v>72.0</v>
      </c>
      <c r="H237" s="5">
        <f>IF(ISNUMBER(F237),ROUND(F237*'Reference data'!$B$2,0),"Unknown")</f>
        <v>83.0</v>
      </c>
      <c r="K237" s="4" t="s">
        <v>111</v>
      </c>
    </row>
    <row r="238" spans="1:13" s="4" customFormat="1" ht="24" customHeight="1">
      <c r="B238" s="4">
        <v>1</v>
      </c>
      <c r="C238" s="4" t="s">
        <v>124</v>
      </c>
      <c r="K238" s="4" t="s">
        <v>111</v>
      </c>
      <c r="M238" s="4" t="s">
        <v>199</v>
      </c>
    </row>
    <row r="239" spans="1:13" ht="255" customHeight="1">
      <c r="B239">
        <v>1</v>
      </c>
      <c r="C239" t="s">
        <v>115</v>
      </c>
      <c r="I239" s="6" t="s">
        <v>200</v>
      </c>
    </row>
    <row r="240" spans="1:13" ht="24" customHeight="1">
      <c r="B240">
        <v>1</v>
      </c>
      <c r="C240" t="s">
        <v>117</v>
      </c>
      <c r="I240" s="6" t="s">
        <v>201</v>
      </c>
    </row>
    <row r="241" spans="1:13" s="4" customFormat="1" ht="24" customHeight="1">
      <c r="A241" s="4" t="s">
        <v>202</v>
      </c>
      <c r="B241" s="4">
        <v>1</v>
      </c>
      <c r="C241" s="4" t="s">
        <v>94</v>
      </c>
      <c r="D241" s="4">
        <v>4685</v>
      </c>
      <c r="J241" s="4" t="s">
        <v>95</v>
      </c>
      <c r="M241" s="4" t="s">
        <v>203</v>
      </c>
    </row>
    <row r="242" spans="1:13" ht="24" customHeight="1">
      <c r="A242" t="s">
        <v>202</v>
      </c>
      <c r="B242">
        <v>1</v>
      </c>
      <c r="C242" t="s">
        <v>121</v>
      </c>
      <c r="D242" s="5">
        <v>4138</v>
      </c>
      <c r="E242" s="2">
        <f>IF(AND(ISNUMBER(F242),ISNUMBER('Reference data'!$B$3)),F242*'Reference data'!$B$3,"Unknown")</f>
        <v>7.2526726e-05</v>
      </c>
      <c r="F242" s="2">
        <f>IF(D242=0,0,IF(ISNUMBER('Reference data'!C17),D242*'Reference data'!C17/1000000,"Unknown"))</f>
        <v>8.276e-05</v>
      </c>
      <c r="G242" s="5">
        <f>IF(ISNUMBER(E242),ROUND(E242*'Reference data'!$B$2,0),"Unknown")</f>
        <v>7.0</v>
      </c>
      <c r="H242" s="5">
        <f>IF(ISNUMBER(F242),ROUND(F242*'Reference data'!$B$2,0),"Unknown")</f>
        <v>8.0</v>
      </c>
    </row>
    <row r="243" spans="1:13" ht="24" customHeight="1">
      <c r="A243" t="s">
        <v>202</v>
      </c>
      <c r="B243">
        <v>1</v>
      </c>
      <c r="C243" t="s">
        <v>97</v>
      </c>
      <c r="D243" s="5">
        <v>3</v>
      </c>
      <c r="E243" s="2">
        <f>IF(AND(ISNUMBER(F243),ISNUMBER('Reference data'!$B$3)),F243*'Reference data'!$B$3,"Unknown")</f>
        <v>5.2581e-07</v>
      </c>
      <c r="F243" s="2">
        <f>IF(D243=0,0,IF(ISNUMBER('Reference data'!B17),D243*'Reference data'!B17/1000000,"Unknown"))</f>
        <v>6e-07</v>
      </c>
      <c r="G243" s="5">
        <f>IF(ISNUMBER(E243),ROUND(E243*'Reference data'!$B$2,0),"Unknown")</f>
        <v>0.0</v>
      </c>
      <c r="H243" s="5">
        <f>IF(ISNUMBER(F243),ROUND(F243*'Reference data'!$B$2,0),"Unknown")</f>
        <v>0.0</v>
      </c>
    </row>
    <row r="244" spans="1:13" ht="24" customHeight="1">
      <c r="A244" t="s">
        <v>202</v>
      </c>
      <c r="B244">
        <v>1</v>
      </c>
      <c r="C244" t="s">
        <v>122</v>
      </c>
      <c r="I244" s="6" t="s">
        <v>201</v>
      </c>
    </row>
    <row r="245" spans="1:13" ht="24" customHeight="1">
      <c r="A245" t="s">
        <v>202</v>
      </c>
      <c r="B245">
        <v>1</v>
      </c>
      <c r="C245" t="s">
        <v>103</v>
      </c>
      <c r="D245" s="5">
        <v>544</v>
      </c>
      <c r="E245" s="2">
        <f>IF(AND(ISNUMBER(F245),ISNUMBER('Reference data'!$B$3)),F245*'Reference data'!$B$3,"Unknown")</f>
        <v>0.0001191836</v>
      </c>
      <c r="F245" s="2">
        <f>IF(D245=0,0,IF(ISNUMBER('Reference data'!D17),D245*'Reference data'!D17/1000000,"Unknown"))</f>
        <v>0.000136</v>
      </c>
      <c r="G245" s="5">
        <f>IF(ISNUMBER(E245),ROUND(E245*'Reference data'!$B$2,0),"Unknown")</f>
        <v>12.0</v>
      </c>
      <c r="H245" s="5">
        <f>IF(ISNUMBER(F245),ROUND(F245*'Reference data'!$B$2,0),"Unknown")</f>
        <v>14.0</v>
      </c>
    </row>
    <row r="246" spans="1:13" ht="24" customHeight="1">
      <c r="A246" t="s">
        <v>202</v>
      </c>
      <c r="B246">
        <v>1</v>
      </c>
      <c r="C246" t="s">
        <v>104</v>
      </c>
    </row>
    <row r="247" spans="1:13" s="4" customFormat="1" ht="24" customHeight="1">
      <c r="A247" s="4" t="s">
        <v>202</v>
      </c>
      <c r="B247" s="4">
        <v>1</v>
      </c>
      <c r="C247" s="4" t="s">
        <v>105</v>
      </c>
      <c r="D247" s="4">
        <v>205</v>
      </c>
    </row>
    <row r="248" spans="1:13" ht="24" customHeight="1">
      <c r="A248" t="s">
        <v>202</v>
      </c>
      <c r="B248">
        <v>1</v>
      </c>
      <c r="C248" t="s">
        <v>106</v>
      </c>
      <c r="D248" s="5">
        <v>50</v>
      </c>
      <c r="E248" s="2">
        <f>IF(AND(ISNUMBER(F248),ISNUMBER('Reference data'!$B$3)),F248*'Reference data'!$B$3,"Unknown")</f>
        <v>5.2581e-05</v>
      </c>
      <c r="F248" s="2">
        <f>IF(D248=0,0,IF(ISNUMBER('Reference data'!F17),D248*'Reference data'!F17/1000000,"Unknown"))</f>
        <v>6e-05</v>
      </c>
      <c r="G248" s="5">
        <f>IF(ISNUMBER(E248),ROUND(E248*'Reference data'!$B$2,0),"Unknown")</f>
        <v>5.0</v>
      </c>
      <c r="H248" s="5">
        <f>IF(ISNUMBER(F248),ROUND(F248*'Reference data'!$B$2,0),"Unknown")</f>
        <v>6.0</v>
      </c>
    </row>
    <row r="249" spans="1:13" ht="24" customHeight="1">
      <c r="A249" t="s">
        <v>202</v>
      </c>
      <c r="B249">
        <v>1</v>
      </c>
      <c r="C249" t="s">
        <v>107</v>
      </c>
      <c r="D249" s="5">
        <v>155</v>
      </c>
      <c r="E249" s="2">
        <f>IF(AND(ISNUMBER(F249),ISNUMBER('Reference data'!$B$3)),F249*'Reference data'!$B$3,"Unknown")</f>
        <v>0.0001630011</v>
      </c>
      <c r="F249" s="2">
        <f>IF(D249=0,0,IF(ISNUMBER('Reference data'!E17),D249*'Reference data'!E17/1000000,"Unknown"))</f>
        <v>0.000186</v>
      </c>
      <c r="G249" s="5">
        <f>IF(ISNUMBER(E249),ROUND(E249*'Reference data'!$B$2,0),"Unknown")</f>
        <v>16.0</v>
      </c>
      <c r="H249" s="5">
        <f>IF(ISNUMBER(F249),ROUND(F249*'Reference data'!$B$2,0),"Unknown")</f>
        <v>19.0</v>
      </c>
    </row>
    <row r="250" spans="1:13" ht="385" customHeight="1">
      <c r="A250" t="s">
        <v>202</v>
      </c>
      <c r="B250">
        <v>1</v>
      </c>
      <c r="C250" t="s">
        <v>108</v>
      </c>
      <c r="I250" s="6" t="s">
        <v>204</v>
      </c>
    </row>
    <row r="251" spans="1:13" ht="24" customHeight="1">
      <c r="A251" t="s">
        <v>202</v>
      </c>
      <c r="B251">
        <v>1</v>
      </c>
      <c r="C251" t="s">
        <v>103</v>
      </c>
    </row>
    <row r="252" spans="1:13" ht="24" customHeight="1">
      <c r="A252" t="s">
        <v>202</v>
      </c>
      <c r="B252">
        <v>1</v>
      </c>
      <c r="C252" t="s">
        <v>104</v>
      </c>
    </row>
    <row r="253" spans="1:13" s="4" customFormat="1" ht="24" customHeight="1">
      <c r="A253" s="4" t="s">
        <v>202</v>
      </c>
      <c r="B253" s="4">
        <v>1</v>
      </c>
      <c r="C253" s="4" t="s">
        <v>110</v>
      </c>
      <c r="E253" s="2">
        <f>IF(COUNT('Turns'!E242,'Turns'!E243,'Turns'!E245,'Turns'!E248,'Turns'!E249)=5,SUM('Turns'!E242,'Turns'!E243,'Turns'!E245,'Turns'!E248,'Turns'!E249),"Unknown")</f>
        <v>0.000407818236</v>
      </c>
      <c r="F253" s="2">
        <f>IF(COUNT('Turns'!F242,'Turns'!F243,'Turns'!F245,'Turns'!F248,'Turns'!F249)=5,SUM('Turns'!F242,'Turns'!F243,'Turns'!F245,'Turns'!F248,'Turns'!F249),"Unknown")</f>
        <v>0.00046536</v>
      </c>
      <c r="G253" s="5">
        <f>IF(ISNUMBER(E253),ROUND(E253*'Reference data'!$B$2,0),"Unknown")</f>
        <v>41.0</v>
      </c>
      <c r="H253" s="5">
        <f>IF(ISNUMBER(F253),ROUND(F253*'Reference data'!$B$2,0),"Unknown")</f>
        <v>47.0</v>
      </c>
      <c r="K253" s="4" t="s">
        <v>111</v>
      </c>
    </row>
    <row r="254" spans="1:13" s="4" customFormat="1" ht="24" customHeight="1">
      <c r="A254" s="4" t="s">
        <v>205</v>
      </c>
      <c r="B254" s="4">
        <v>1</v>
      </c>
      <c r="C254" s="4" t="s">
        <v>94</v>
      </c>
      <c r="D254" s="4">
        <v>1415</v>
      </c>
      <c r="J254" s="4" t="s">
        <v>95</v>
      </c>
      <c r="M254" s="4" t="s">
        <v>206</v>
      </c>
    </row>
    <row r="255" spans="1:13" ht="24" customHeight="1">
      <c r="A255" t="s">
        <v>205</v>
      </c>
      <c r="B255">
        <v>1</v>
      </c>
      <c r="C255" t="s">
        <v>121</v>
      </c>
      <c r="D255" s="5">
        <v>0</v>
      </c>
      <c r="E255" s="2">
        <f>IF(AND(ISNUMBER(F255),ISNUMBER('Reference data'!$B$3)),F255*'Reference data'!$B$3,"Unknown")</f>
        <v>0.0</v>
      </c>
      <c r="F255" s="2">
        <f>IF(D255=0,0,IF(ISNUMBER('Reference data'!C17),D255*'Reference data'!C17/1000000,"Unknown"))</f>
        <v>0.0</v>
      </c>
      <c r="G255" s="5">
        <f>IF(ISNUMBER(E255),ROUND(E255*'Reference data'!$B$2,0),"Unknown")</f>
        <v>0.0</v>
      </c>
      <c r="H255" s="5">
        <f>IF(ISNUMBER(F255),ROUND(F255*'Reference data'!$B$2,0),"Unknown")</f>
        <v>0.0</v>
      </c>
    </row>
    <row r="256" spans="1:13" ht="24" customHeight="1">
      <c r="A256" t="s">
        <v>205</v>
      </c>
      <c r="B256">
        <v>1</v>
      </c>
      <c r="C256" t="s">
        <v>97</v>
      </c>
      <c r="D256" s="5">
        <v>3</v>
      </c>
      <c r="E256" s="2">
        <f>IF(AND(ISNUMBER(F256),ISNUMBER('Reference data'!$B$3)),F256*'Reference data'!$B$3,"Unknown")</f>
        <v>5.2581e-07</v>
      </c>
      <c r="F256" s="2">
        <f>IF(D256=0,0,IF(ISNUMBER('Reference data'!B17),D256*'Reference data'!B17/1000000,"Unknown"))</f>
        <v>6e-07</v>
      </c>
      <c r="G256" s="5">
        <f>IF(ISNUMBER(E256),ROUND(E256*'Reference data'!$B$2,0),"Unknown")</f>
        <v>0.0</v>
      </c>
      <c r="H256" s="5">
        <f>IF(ISNUMBER(F256),ROUND(F256*'Reference data'!$B$2,0),"Unknown")</f>
        <v>0.0</v>
      </c>
    </row>
    <row r="257" spans="1:13" ht="24" customHeight="1">
      <c r="A257" t="s">
        <v>205</v>
      </c>
      <c r="B257">
        <v>1</v>
      </c>
      <c r="C257" t="s">
        <v>103</v>
      </c>
      <c r="D257" s="5">
        <v>1412</v>
      </c>
      <c r="E257" s="2">
        <f>IF(AND(ISNUMBER(F257),ISNUMBER('Reference data'!$B$3)),F257*'Reference data'!$B$3,"Unknown")</f>
        <v>0.00030935155</v>
      </c>
      <c r="F257" s="2">
        <f>IF(D257=0,0,IF(ISNUMBER('Reference data'!D17),D257*'Reference data'!D17/1000000,"Unknown"))</f>
        <v>0.000353</v>
      </c>
      <c r="G257" s="5">
        <f>IF(ISNUMBER(E257),ROUND(E257*'Reference data'!$B$2,0),"Unknown")</f>
        <v>31.0</v>
      </c>
      <c r="H257" s="5">
        <f>IF(ISNUMBER(F257),ROUND(F257*'Reference data'!$B$2,0),"Unknown")</f>
        <v>35.0</v>
      </c>
    </row>
    <row r="258" spans="1:13" ht="24" customHeight="1">
      <c r="A258" t="s">
        <v>205</v>
      </c>
      <c r="B258">
        <v>1</v>
      </c>
      <c r="C258" t="s">
        <v>104</v>
      </c>
    </row>
    <row r="259" spans="1:13" s="4" customFormat="1" ht="24" customHeight="1">
      <c r="A259" s="4" t="s">
        <v>205</v>
      </c>
      <c r="B259" s="4">
        <v>1</v>
      </c>
      <c r="C259" s="4" t="s">
        <v>105</v>
      </c>
      <c r="D259" s="4">
        <v>62</v>
      </c>
    </row>
    <row r="260" spans="1:13" ht="24" customHeight="1">
      <c r="A260" t="s">
        <v>205</v>
      </c>
      <c r="B260">
        <v>1</v>
      </c>
      <c r="C260" t="s">
        <v>106</v>
      </c>
      <c r="D260" s="5">
        <v>31</v>
      </c>
      <c r="E260" s="2">
        <f>IF(AND(ISNUMBER(F260),ISNUMBER('Reference data'!$B$3)),F260*'Reference data'!$B$3,"Unknown")</f>
        <v>3.260022e-05</v>
      </c>
      <c r="F260" s="2">
        <f>IF(D260=0,0,IF(ISNUMBER('Reference data'!F17),D260*'Reference data'!F17/1000000,"Unknown"))</f>
        <v>3.72e-05</v>
      </c>
      <c r="G260" s="5">
        <f>IF(ISNUMBER(E260),ROUND(E260*'Reference data'!$B$2,0),"Unknown")</f>
        <v>3.0</v>
      </c>
      <c r="H260" s="5">
        <f>IF(ISNUMBER(F260),ROUND(F260*'Reference data'!$B$2,0),"Unknown")</f>
        <v>4.0</v>
      </c>
    </row>
    <row r="261" spans="1:13" ht="24" customHeight="1">
      <c r="A261" t="s">
        <v>205</v>
      </c>
      <c r="B261">
        <v>1</v>
      </c>
      <c r="C261" t="s">
        <v>107</v>
      </c>
      <c r="D261" s="5">
        <v>31</v>
      </c>
      <c r="E261" s="2">
        <f>IF(AND(ISNUMBER(F261),ISNUMBER('Reference data'!$B$3)),F261*'Reference data'!$B$3,"Unknown")</f>
        <v>3.260022e-05</v>
      </c>
      <c r="F261" s="2">
        <f>IF(D261=0,0,IF(ISNUMBER('Reference data'!E17),D261*'Reference data'!E17/1000000,"Unknown"))</f>
        <v>3.72e-05</v>
      </c>
      <c r="G261" s="5">
        <f>IF(ISNUMBER(E261),ROUND(E261*'Reference data'!$B$2,0),"Unknown")</f>
        <v>3.0</v>
      </c>
      <c r="H261" s="5">
        <f>IF(ISNUMBER(F261),ROUND(F261*'Reference data'!$B$2,0),"Unknown")</f>
        <v>4.0</v>
      </c>
    </row>
    <row r="262" spans="1:13" ht="294" customHeight="1">
      <c r="A262" t="s">
        <v>205</v>
      </c>
      <c r="B262">
        <v>1</v>
      </c>
      <c r="C262" t="s">
        <v>108</v>
      </c>
      <c r="I262" s="6" t="s">
        <v>207</v>
      </c>
    </row>
    <row r="263" spans="1:13" ht="24" customHeight="1">
      <c r="A263" t="s">
        <v>205</v>
      </c>
      <c r="B263">
        <v>1</v>
      </c>
      <c r="C263" t="s">
        <v>103</v>
      </c>
    </row>
    <row r="264" spans="1:13" ht="24" customHeight="1">
      <c r="A264" t="s">
        <v>205</v>
      </c>
      <c r="B264">
        <v>1</v>
      </c>
      <c r="C264" t="s">
        <v>104</v>
      </c>
    </row>
    <row r="265" spans="1:13" s="4" customFormat="1" ht="24" customHeight="1">
      <c r="A265" s="4" t="s">
        <v>205</v>
      </c>
      <c r="B265" s="4">
        <v>1</v>
      </c>
      <c r="C265" s="4" t="s">
        <v>110</v>
      </c>
      <c r="E265" s="2">
        <f>IF(COUNT('Turns'!E255,'Turns'!E256,'Turns'!E257,'Turns'!E260,'Turns'!E261)=5,SUM('Turns'!E255,'Turns'!E256,'Turns'!E257,'Turns'!E260,'Turns'!E261),"Unknown")</f>
        <v>0.0003750778</v>
      </c>
      <c r="F265" s="2">
        <f>IF(COUNT('Turns'!F255,'Turns'!F256,'Turns'!F257,'Turns'!F260,'Turns'!F261)=5,SUM('Turns'!F255,'Turns'!F256,'Turns'!F257,'Turns'!F260,'Turns'!F261),"Unknown")</f>
        <v>0.000428</v>
      </c>
      <c r="G265" s="5">
        <f>IF(ISNUMBER(E265),ROUND(E265*'Reference data'!$B$2,0),"Unknown")</f>
        <v>38.0</v>
      </c>
      <c r="H265" s="5">
        <f>IF(ISNUMBER(F265),ROUND(F265*'Reference data'!$B$2,0),"Unknown")</f>
        <v>43.0</v>
      </c>
      <c r="K265" s="4" t="s">
        <v>111</v>
      </c>
    </row>
    <row r="266" spans="1:13" s="4" customFormat="1" ht="24" customHeight="1">
      <c r="B266" s="4">
        <v>1</v>
      </c>
      <c r="C266" s="4" t="s">
        <v>112</v>
      </c>
      <c r="K266" s="4" t="s">
        <v>111</v>
      </c>
      <c r="M266" s="4" t="s">
        <v>208</v>
      </c>
    </row>
    <row r="267" spans="1:13" ht="24" customHeight="1">
      <c r="B267">
        <v>1</v>
      </c>
      <c r="C267" t="s">
        <v>115</v>
      </c>
      <c r="I267" s="6" t="s">
        <v>116</v>
      </c>
    </row>
    <row r="268" spans="1:13" ht="409" customHeight="1">
      <c r="B268">
        <v>1</v>
      </c>
      <c r="C268" t="s">
        <v>117</v>
      </c>
      <c r="I268" s="6" t="s">
        <v>180</v>
      </c>
    </row>
    <row r="269" spans="1:13" s="4" customFormat="1" ht="24" customHeight="1">
      <c r="A269" s="4" t="s">
        <v>209</v>
      </c>
      <c r="B269" s="4">
        <v>1</v>
      </c>
      <c r="C269" s="4" t="s">
        <v>94</v>
      </c>
      <c r="D269" s="4">
        <v>2187</v>
      </c>
      <c r="J269" s="4" t="s">
        <v>95</v>
      </c>
      <c r="M269" s="4" t="s">
        <v>210</v>
      </c>
    </row>
    <row r="270" spans="1:13" ht="24" customHeight="1">
      <c r="A270" t="s">
        <v>209</v>
      </c>
      <c r="B270">
        <v>1</v>
      </c>
      <c r="C270" t="s">
        <v>121</v>
      </c>
      <c r="D270" s="5">
        <v>1412</v>
      </c>
      <c r="E270" s="2">
        <f>IF(AND(ISNUMBER(F270),ISNUMBER('Reference data'!$B$3)),F270*'Reference data'!$B$3,"Unknown")</f>
        <v>2.4748124e-05</v>
      </c>
      <c r="F270" s="2">
        <f>IF(D270=0,0,IF(ISNUMBER('Reference data'!C17),D270*'Reference data'!C17/1000000,"Unknown"))</f>
        <v>2.824e-05</v>
      </c>
      <c r="G270" s="5">
        <f>IF(ISNUMBER(E270),ROUND(E270*'Reference data'!$B$2,0),"Unknown")</f>
        <v>2.0</v>
      </c>
      <c r="H270" s="5">
        <f>IF(ISNUMBER(F270),ROUND(F270*'Reference data'!$B$2,0),"Unknown")</f>
        <v>3.0</v>
      </c>
    </row>
    <row r="271" spans="1:13" ht="24" customHeight="1">
      <c r="A271" t="s">
        <v>209</v>
      </c>
      <c r="B271">
        <v>1</v>
      </c>
      <c r="C271" t="s">
        <v>97</v>
      </c>
      <c r="D271" s="5">
        <v>3</v>
      </c>
      <c r="E271" s="2">
        <f>IF(AND(ISNUMBER(F271),ISNUMBER('Reference data'!$B$3)),F271*'Reference data'!$B$3,"Unknown")</f>
        <v>5.2581e-07</v>
      </c>
      <c r="F271" s="2">
        <f>IF(D271=0,0,IF(ISNUMBER('Reference data'!B17),D271*'Reference data'!B17/1000000,"Unknown"))</f>
        <v>6e-07</v>
      </c>
      <c r="G271" s="5">
        <f>IF(ISNUMBER(E271),ROUND(E271*'Reference data'!$B$2,0),"Unknown")</f>
        <v>0.0</v>
      </c>
      <c r="H271" s="5">
        <f>IF(ISNUMBER(F271),ROUND(F271*'Reference data'!$B$2,0),"Unknown")</f>
        <v>0.0</v>
      </c>
    </row>
    <row r="272" spans="1:13" ht="409" customHeight="1">
      <c r="A272" t="s">
        <v>209</v>
      </c>
      <c r="B272">
        <v>1</v>
      </c>
      <c r="C272" t="s">
        <v>122</v>
      </c>
      <c r="I272" s="6" t="s">
        <v>180</v>
      </c>
    </row>
    <row r="273" spans="1:13" ht="24" customHeight="1">
      <c r="A273" t="s">
        <v>209</v>
      </c>
      <c r="B273">
        <v>1</v>
      </c>
      <c r="C273" t="s">
        <v>103</v>
      </c>
      <c r="D273" s="5">
        <v>772</v>
      </c>
      <c r="E273" s="2">
        <f>IF(AND(ISNUMBER(F273),ISNUMBER('Reference data'!$B$3)),F273*'Reference data'!$B$3,"Unknown")</f>
        <v>0.00016913555</v>
      </c>
      <c r="F273" s="2">
        <f>IF(D273=0,0,IF(ISNUMBER('Reference data'!D17),D273*'Reference data'!D17/1000000,"Unknown"))</f>
        <v>0.000193</v>
      </c>
      <c r="G273" s="5">
        <f>IF(ISNUMBER(E273),ROUND(E273*'Reference data'!$B$2,0),"Unknown")</f>
        <v>17.0</v>
      </c>
      <c r="H273" s="5">
        <f>IF(ISNUMBER(F273),ROUND(F273*'Reference data'!$B$2,0),"Unknown")</f>
        <v>19.0</v>
      </c>
    </row>
    <row r="274" spans="1:13" ht="24" customHeight="1">
      <c r="A274" t="s">
        <v>209</v>
      </c>
      <c r="B274">
        <v>1</v>
      </c>
      <c r="C274" t="s">
        <v>104</v>
      </c>
    </row>
    <row r="275" spans="1:13" s="4" customFormat="1" ht="24" customHeight="1">
      <c r="A275" s="4" t="s">
        <v>209</v>
      </c>
      <c r="B275" s="4">
        <v>1</v>
      </c>
      <c r="C275" s="4" t="s">
        <v>105</v>
      </c>
      <c r="D275" s="4">
        <v>71</v>
      </c>
    </row>
    <row r="276" spans="1:13" ht="24" customHeight="1">
      <c r="A276" t="s">
        <v>209</v>
      </c>
      <c r="B276">
        <v>1</v>
      </c>
      <c r="C276" t="s">
        <v>107</v>
      </c>
      <c r="D276" s="5">
        <v>71</v>
      </c>
      <c r="E276" s="2">
        <f>IF(AND(ISNUMBER(F276),ISNUMBER('Reference data'!$B$3)),F276*'Reference data'!$B$3,"Unknown")</f>
        <v>7.466502e-05</v>
      </c>
      <c r="F276" s="2">
        <f>IF(D276=0,0,IF(ISNUMBER('Reference data'!E17),D276*'Reference data'!E17/1000000,"Unknown"))</f>
        <v>8.52e-05</v>
      </c>
      <c r="G276" s="5">
        <f>IF(ISNUMBER(E276),ROUND(E276*'Reference data'!$B$2,0),"Unknown")</f>
        <v>7.0</v>
      </c>
      <c r="H276" s="5">
        <f>IF(ISNUMBER(F276),ROUND(F276*'Reference data'!$B$2,0),"Unknown")</f>
        <v>9.0</v>
      </c>
    </row>
    <row r="277" spans="1:13" ht="138" customHeight="1">
      <c r="A277" t="s">
        <v>209</v>
      </c>
      <c r="B277">
        <v>1</v>
      </c>
      <c r="C277" t="s">
        <v>108</v>
      </c>
      <c r="I277" s="6" t="s">
        <v>211</v>
      </c>
    </row>
    <row r="278" spans="1:13" ht="24" customHeight="1">
      <c r="A278" t="s">
        <v>209</v>
      </c>
      <c r="B278">
        <v>1</v>
      </c>
      <c r="C278" t="s">
        <v>103</v>
      </c>
    </row>
    <row r="279" spans="1:13" ht="24" customHeight="1">
      <c r="A279" t="s">
        <v>209</v>
      </c>
      <c r="B279">
        <v>1</v>
      </c>
      <c r="C279" t="s">
        <v>104</v>
      </c>
    </row>
    <row r="280" spans="1:13" s="4" customFormat="1" ht="24" customHeight="1">
      <c r="A280" s="4" t="s">
        <v>209</v>
      </c>
      <c r="B280" s="4">
        <v>1</v>
      </c>
      <c r="C280" s="4" t="s">
        <v>110</v>
      </c>
      <c r="E280" s="2">
        <f>IF(COUNT('Turns'!E270,'Turns'!E271,'Turns'!E273,'Turns'!E276)=4,SUM('Turns'!E270,'Turns'!E271,'Turns'!E273,'Turns'!E276),"Unknown")</f>
        <v>0.000269074504</v>
      </c>
      <c r="F280" s="2">
        <f>IF(COUNT('Turns'!F270,'Turns'!F271,'Turns'!F273,'Turns'!F276)=4,SUM('Turns'!F270,'Turns'!F271,'Turns'!F273,'Turns'!F276),"Unknown")</f>
        <v>0.00030704</v>
      </c>
      <c r="G280" s="5">
        <f>IF(ISNUMBER(E280),ROUND(E280*'Reference data'!$B$2,0),"Unknown")</f>
        <v>27.0</v>
      </c>
      <c r="H280" s="5">
        <f>IF(ISNUMBER(F280),ROUND(F280*'Reference data'!$B$2,0),"Unknown")</f>
        <v>31.0</v>
      </c>
      <c r="K280" s="4" t="s">
        <v>111</v>
      </c>
    </row>
    <row r="281" spans="1:13" s="4" customFormat="1" ht="24" customHeight="1">
      <c r="B281" s="4">
        <v>1</v>
      </c>
      <c r="C281" s="4" t="s">
        <v>112</v>
      </c>
      <c r="K281" s="4" t="s">
        <v>111</v>
      </c>
      <c r="M281" s="4" t="s">
        <v>212</v>
      </c>
    </row>
    <row r="282" spans="1:13" ht="24" customHeight="1">
      <c r="B282">
        <v>1</v>
      </c>
      <c r="C282" t="s">
        <v>115</v>
      </c>
      <c r="I282" s="6" t="s">
        <v>162</v>
      </c>
    </row>
    <row r="283" spans="1:13" ht="409" customHeight="1">
      <c r="B283">
        <v>1</v>
      </c>
      <c r="C283" t="s">
        <v>117</v>
      </c>
      <c r="I283" s="6" t="s">
        <v>152</v>
      </c>
    </row>
    <row r="284" spans="1:13" s="4" customFormat="1" ht="24" customHeight="1">
      <c r="B284" s="4">
        <v>1</v>
      </c>
      <c r="C284" s="4" t="s">
        <v>112</v>
      </c>
      <c r="K284" s="4" t="s">
        <v>111</v>
      </c>
      <c r="M284" s="4" t="s">
        <v>213</v>
      </c>
    </row>
    <row r="285" spans="1:13" ht="24" customHeight="1">
      <c r="B285">
        <v>1</v>
      </c>
      <c r="C285" t="s">
        <v>115</v>
      </c>
      <c r="I285" s="6" t="s">
        <v>214</v>
      </c>
    </row>
    <row r="286" spans="1:13" ht="409" customHeight="1">
      <c r="B286">
        <v>1</v>
      </c>
      <c r="C286" t="s">
        <v>117</v>
      </c>
      <c r="I286" s="6" t="s">
        <v>215</v>
      </c>
    </row>
    <row r="287" spans="1:13" s="4" customFormat="1" ht="24" customHeight="1">
      <c r="A287" s="4" t="s">
        <v>216</v>
      </c>
      <c r="B287" s="4">
        <v>1</v>
      </c>
      <c r="C287" s="4" t="s">
        <v>94</v>
      </c>
      <c r="D287" s="4">
        <v>2989</v>
      </c>
      <c r="J287" s="4" t="s">
        <v>95</v>
      </c>
      <c r="M287" s="4" t="s">
        <v>217</v>
      </c>
    </row>
    <row r="288" spans="1:13" ht="24" customHeight="1">
      <c r="A288" t="s">
        <v>216</v>
      </c>
      <c r="B288">
        <v>1</v>
      </c>
      <c r="C288" t="s">
        <v>121</v>
      </c>
      <c r="D288" s="5">
        <v>2184</v>
      </c>
      <c r="E288" s="2">
        <f>IF(AND(ISNUMBER(F288),ISNUMBER('Reference data'!$B$3)),F288*'Reference data'!$B$3,"Unknown")</f>
        <v>3.8278968e-05</v>
      </c>
      <c r="F288" s="2">
        <f>IF(D288=0,0,IF(ISNUMBER('Reference data'!C17),D288*'Reference data'!C17/1000000,"Unknown"))</f>
        <v>4.368e-05</v>
      </c>
      <c r="G288" s="5">
        <f>IF(ISNUMBER(E288),ROUND(E288*'Reference data'!$B$2,0),"Unknown")</f>
        <v>4.0</v>
      </c>
      <c r="H288" s="5">
        <f>IF(ISNUMBER(F288),ROUND(F288*'Reference data'!$B$2,0),"Unknown")</f>
        <v>4.0</v>
      </c>
    </row>
    <row r="289" spans="1:13" ht="24" customHeight="1">
      <c r="A289" t="s">
        <v>216</v>
      </c>
      <c r="B289">
        <v>1</v>
      </c>
      <c r="C289" t="s">
        <v>97</v>
      </c>
      <c r="D289" s="5">
        <v>3</v>
      </c>
      <c r="E289" s="2">
        <f>IF(AND(ISNUMBER(F289),ISNUMBER('Reference data'!$B$3)),F289*'Reference data'!$B$3,"Unknown")</f>
        <v>5.2581e-07</v>
      </c>
      <c r="F289" s="2">
        <f>IF(D289=0,0,IF(ISNUMBER('Reference data'!B17),D289*'Reference data'!B17/1000000,"Unknown"))</f>
        <v>6e-07</v>
      </c>
      <c r="G289" s="5">
        <f>IF(ISNUMBER(E289),ROUND(E289*'Reference data'!$B$2,0),"Unknown")</f>
        <v>0.0</v>
      </c>
      <c r="H289" s="5">
        <f>IF(ISNUMBER(F289),ROUND(F289*'Reference data'!$B$2,0),"Unknown")</f>
        <v>0.0</v>
      </c>
    </row>
    <row r="290" spans="1:13" ht="409" customHeight="1">
      <c r="A290" t="s">
        <v>216</v>
      </c>
      <c r="B290">
        <v>1</v>
      </c>
      <c r="C290" t="s">
        <v>122</v>
      </c>
      <c r="I290" s="6" t="s">
        <v>218</v>
      </c>
    </row>
    <row r="291" spans="1:13" ht="24" customHeight="1">
      <c r="A291" t="s">
        <v>216</v>
      </c>
      <c r="B291">
        <v>1</v>
      </c>
      <c r="C291" t="s">
        <v>103</v>
      </c>
      <c r="D291" s="5">
        <v>802</v>
      </c>
      <c r="E291" s="2">
        <f>IF(AND(ISNUMBER(F291),ISNUMBER('Reference data'!$B$3)),F291*'Reference data'!$B$3,"Unknown")</f>
        <v>0.000175708175</v>
      </c>
      <c r="F291" s="2">
        <f>IF(D291=0,0,IF(ISNUMBER('Reference data'!D17),D291*'Reference data'!D17/1000000,"Unknown"))</f>
        <v>0.0002005</v>
      </c>
      <c r="G291" s="5">
        <f>IF(ISNUMBER(E291),ROUND(E291*'Reference data'!$B$2,0),"Unknown")</f>
        <v>18.0</v>
      </c>
      <c r="H291" s="5">
        <f>IF(ISNUMBER(F291),ROUND(F291*'Reference data'!$B$2,0),"Unknown")</f>
        <v>20.0</v>
      </c>
    </row>
    <row r="292" spans="1:13" ht="24" customHeight="1">
      <c r="A292" t="s">
        <v>216</v>
      </c>
      <c r="B292">
        <v>1</v>
      </c>
      <c r="C292" t="s">
        <v>104</v>
      </c>
    </row>
    <row r="293" spans="1:13" s="4" customFormat="1" ht="24" customHeight="1">
      <c r="A293" s="4" t="s">
        <v>216</v>
      </c>
      <c r="B293" s="4">
        <v>1</v>
      </c>
      <c r="C293" s="4" t="s">
        <v>105</v>
      </c>
      <c r="D293" s="4">
        <v>284</v>
      </c>
    </row>
    <row r="294" spans="1:13" ht="24" customHeight="1">
      <c r="A294" t="s">
        <v>216</v>
      </c>
      <c r="B294">
        <v>1</v>
      </c>
      <c r="C294" t="s">
        <v>106</v>
      </c>
      <c r="D294" s="5">
        <v>134</v>
      </c>
      <c r="E294" s="2">
        <f>IF(AND(ISNUMBER(F294),ISNUMBER('Reference data'!$B$3)),F294*'Reference data'!$B$3,"Unknown")</f>
        <v>0.00014091708</v>
      </c>
      <c r="F294" s="2">
        <f>IF(D294=0,0,IF(ISNUMBER('Reference data'!F17),D294*'Reference data'!F17/1000000,"Unknown"))</f>
        <v>0.0001608</v>
      </c>
      <c r="G294" s="5">
        <f>IF(ISNUMBER(E294),ROUND(E294*'Reference data'!$B$2,0),"Unknown")</f>
        <v>14.0</v>
      </c>
      <c r="H294" s="5">
        <f>IF(ISNUMBER(F294),ROUND(F294*'Reference data'!$B$2,0),"Unknown")</f>
        <v>16.0</v>
      </c>
    </row>
    <row r="295" spans="1:13" ht="24" customHeight="1">
      <c r="A295" t="s">
        <v>216</v>
      </c>
      <c r="B295">
        <v>1</v>
      </c>
      <c r="C295" t="s">
        <v>107</v>
      </c>
      <c r="D295" s="5">
        <v>150</v>
      </c>
      <c r="E295" s="2">
        <f>IF(AND(ISNUMBER(F295),ISNUMBER('Reference data'!$B$3)),F295*'Reference data'!$B$3,"Unknown")</f>
        <v>0.000157743</v>
      </c>
      <c r="F295" s="2">
        <f>IF(D295=0,0,IF(ISNUMBER('Reference data'!E17),D295*'Reference data'!E17/1000000,"Unknown"))</f>
        <v>0.00018</v>
      </c>
      <c r="G295" s="5">
        <f>IF(ISNUMBER(E295),ROUND(E295*'Reference data'!$B$2,0),"Unknown")</f>
        <v>16.0</v>
      </c>
      <c r="H295" s="5">
        <f>IF(ISNUMBER(F295),ROUND(F295*'Reference data'!$B$2,0),"Unknown")</f>
        <v>18.0</v>
      </c>
    </row>
    <row r="296" spans="1:13" ht="409" customHeight="1">
      <c r="A296" t="s">
        <v>216</v>
      </c>
      <c r="B296">
        <v>1</v>
      </c>
      <c r="C296" t="s">
        <v>108</v>
      </c>
      <c r="I296" s="6" t="s">
        <v>219</v>
      </c>
    </row>
    <row r="297" spans="1:13" ht="24" customHeight="1">
      <c r="A297" t="s">
        <v>216</v>
      </c>
      <c r="B297">
        <v>1</v>
      </c>
      <c r="C297" t="s">
        <v>103</v>
      </c>
    </row>
    <row r="298" spans="1:13" ht="24" customHeight="1">
      <c r="A298" t="s">
        <v>216</v>
      </c>
      <c r="B298">
        <v>1</v>
      </c>
      <c r="C298" t="s">
        <v>104</v>
      </c>
    </row>
    <row r="299" spans="1:13" s="4" customFormat="1" ht="24" customHeight="1">
      <c r="A299" s="4" t="s">
        <v>216</v>
      </c>
      <c r="B299" s="4">
        <v>1</v>
      </c>
      <c r="C299" s="4" t="s">
        <v>110</v>
      </c>
      <c r="E299" s="2">
        <f>IF(COUNT('Turns'!E288,'Turns'!E289,'Turns'!E291,'Turns'!E294,'Turns'!E295)=5,SUM('Turns'!E288,'Turns'!E289,'Turns'!E291,'Turns'!E294,'Turns'!E295),"Unknown")</f>
        <v>0.000513173033</v>
      </c>
      <c r="F299" s="2">
        <f>IF(COUNT('Turns'!F288,'Turns'!F289,'Turns'!F291,'Turns'!F294,'Turns'!F295)=5,SUM('Turns'!F288,'Turns'!F289,'Turns'!F291,'Turns'!F294,'Turns'!F295),"Unknown")</f>
        <v>0.00058558</v>
      </c>
      <c r="G299" s="5">
        <f>IF(ISNUMBER(E299),ROUND(E299*'Reference data'!$B$2,0),"Unknown")</f>
        <v>51.0</v>
      </c>
      <c r="H299" s="5">
        <f>IF(ISNUMBER(F299),ROUND(F299*'Reference data'!$B$2,0),"Unknown")</f>
        <v>59.0</v>
      </c>
      <c r="K299" s="4" t="s">
        <v>111</v>
      </c>
    </row>
    <row r="300" spans="1:13" s="4" customFormat="1" ht="24" customHeight="1">
      <c r="A300" s="4" t="s">
        <v>220</v>
      </c>
      <c r="B300" s="4">
        <v>1</v>
      </c>
      <c r="C300" s="4" t="s">
        <v>94</v>
      </c>
      <c r="D300" s="4">
        <v>5704</v>
      </c>
      <c r="J300" s="4" t="s">
        <v>95</v>
      </c>
      <c r="M300" s="4" t="s">
        <v>221</v>
      </c>
    </row>
    <row r="301" spans="1:13" ht="24" customHeight="1">
      <c r="A301" t="s">
        <v>220</v>
      </c>
      <c r="B301">
        <v>1</v>
      </c>
      <c r="C301" t="s">
        <v>121</v>
      </c>
      <c r="D301" s="5">
        <v>0</v>
      </c>
      <c r="E301" s="2">
        <f>IF(AND(ISNUMBER(F301),ISNUMBER('Reference data'!$B$3)),F301*'Reference data'!$B$3,"Unknown")</f>
        <v>0.0</v>
      </c>
      <c r="F301" s="2">
        <f>IF(D301=0,0,IF(ISNUMBER('Reference data'!C17),D301*'Reference data'!C17/1000000,"Unknown"))</f>
        <v>0.0</v>
      </c>
      <c r="G301" s="5">
        <f>IF(ISNUMBER(E301),ROUND(E301*'Reference data'!$B$2,0),"Unknown")</f>
        <v>0.0</v>
      </c>
      <c r="H301" s="5">
        <f>IF(ISNUMBER(F301),ROUND(F301*'Reference data'!$B$2,0),"Unknown")</f>
        <v>0.0</v>
      </c>
    </row>
    <row r="302" spans="1:13" ht="24" customHeight="1">
      <c r="A302" t="s">
        <v>220</v>
      </c>
      <c r="B302">
        <v>1</v>
      </c>
      <c r="C302" t="s">
        <v>97</v>
      </c>
      <c r="D302" s="5">
        <v>3</v>
      </c>
      <c r="E302" s="2">
        <f>IF(AND(ISNUMBER(F302),ISNUMBER('Reference data'!$B$3)),F302*'Reference data'!$B$3,"Unknown")</f>
        <v>5.2581e-07</v>
      </c>
      <c r="F302" s="2">
        <f>IF(D302=0,0,IF(ISNUMBER('Reference data'!B17),D302*'Reference data'!B17/1000000,"Unknown"))</f>
        <v>6e-07</v>
      </c>
      <c r="G302" s="5">
        <f>IF(ISNUMBER(E302),ROUND(E302*'Reference data'!$B$2,0),"Unknown")</f>
        <v>0.0</v>
      </c>
      <c r="H302" s="5">
        <f>IF(ISNUMBER(F302),ROUND(F302*'Reference data'!$B$2,0),"Unknown")</f>
        <v>0.0</v>
      </c>
    </row>
    <row r="303" spans="1:13" ht="409" customHeight="1">
      <c r="A303" t="s">
        <v>220</v>
      </c>
      <c r="B303">
        <v>1</v>
      </c>
      <c r="C303" t="s">
        <v>122</v>
      </c>
      <c r="I303" s="6" t="s">
        <v>222</v>
      </c>
    </row>
    <row r="304" spans="1:13" ht="24" customHeight="1">
      <c r="A304" t="s">
        <v>220</v>
      </c>
      <c r="B304">
        <v>1</v>
      </c>
      <c r="C304" t="s">
        <v>103</v>
      </c>
      <c r="D304" s="5">
        <v>5701</v>
      </c>
      <c r="E304" s="2">
        <f>IF(AND(ISNUMBER(F304),ISNUMBER('Reference data'!$B$3)),F304*'Reference data'!$B$3,"Unknown")</f>
        <v>0.0012490178375</v>
      </c>
      <c r="F304" s="2">
        <f>IF(D304=0,0,IF(ISNUMBER('Reference data'!D17),D304*'Reference data'!D17/1000000,"Unknown"))</f>
        <v>0.00142525</v>
      </c>
      <c r="G304" s="5">
        <f>IF(ISNUMBER(E304),ROUND(E304*'Reference data'!$B$2,0),"Unknown")</f>
        <v>125.0</v>
      </c>
      <c r="H304" s="5">
        <f>IF(ISNUMBER(F304),ROUND(F304*'Reference data'!$B$2,0),"Unknown")</f>
        <v>143.0</v>
      </c>
    </row>
    <row r="305" spans="1:13" ht="24" customHeight="1">
      <c r="A305" t="s">
        <v>220</v>
      </c>
      <c r="B305">
        <v>1</v>
      </c>
      <c r="C305" t="s">
        <v>104</v>
      </c>
    </row>
    <row r="306" spans="1:13" s="4" customFormat="1" ht="24" customHeight="1">
      <c r="A306" s="4" t="s">
        <v>220</v>
      </c>
      <c r="B306" s="4">
        <v>1</v>
      </c>
      <c r="C306" s="4" t="s">
        <v>105</v>
      </c>
      <c r="D306" s="4">
        <v>68</v>
      </c>
    </row>
    <row r="307" spans="1:13" ht="24" customHeight="1">
      <c r="A307" t="s">
        <v>220</v>
      </c>
      <c r="B307">
        <v>1</v>
      </c>
      <c r="C307" t="s">
        <v>106</v>
      </c>
      <c r="D307" s="5">
        <v>37</v>
      </c>
      <c r="E307" s="2">
        <f>IF(AND(ISNUMBER(F307),ISNUMBER('Reference data'!$B$3)),F307*'Reference data'!$B$3,"Unknown")</f>
        <v>3.890994e-05</v>
      </c>
      <c r="F307" s="2">
        <f>IF(D307=0,0,IF(ISNUMBER('Reference data'!F17),D307*'Reference data'!F17/1000000,"Unknown"))</f>
        <v>4.44e-05</v>
      </c>
      <c r="G307" s="5">
        <f>IF(ISNUMBER(E307),ROUND(E307*'Reference data'!$B$2,0),"Unknown")</f>
        <v>4.0</v>
      </c>
      <c r="H307" s="5">
        <f>IF(ISNUMBER(F307),ROUND(F307*'Reference data'!$B$2,0),"Unknown")</f>
        <v>4.0</v>
      </c>
    </row>
    <row r="308" spans="1:13" ht="24" customHeight="1">
      <c r="A308" t="s">
        <v>220</v>
      </c>
      <c r="B308">
        <v>1</v>
      </c>
      <c r="C308" t="s">
        <v>107</v>
      </c>
      <c r="D308" s="5">
        <v>31</v>
      </c>
      <c r="E308" s="2">
        <f>IF(AND(ISNUMBER(F308),ISNUMBER('Reference data'!$B$3)),F308*'Reference data'!$B$3,"Unknown")</f>
        <v>3.260022e-05</v>
      </c>
      <c r="F308" s="2">
        <f>IF(D308=0,0,IF(ISNUMBER('Reference data'!E17),D308*'Reference data'!E17/1000000,"Unknown"))</f>
        <v>3.72e-05</v>
      </c>
      <c r="G308" s="5">
        <f>IF(ISNUMBER(E308),ROUND(E308*'Reference data'!$B$2,0),"Unknown")</f>
        <v>3.0</v>
      </c>
      <c r="H308" s="5">
        <f>IF(ISNUMBER(F308),ROUND(F308*'Reference data'!$B$2,0),"Unknown")</f>
        <v>4.0</v>
      </c>
    </row>
    <row r="309" spans="1:13" ht="307" customHeight="1">
      <c r="A309" t="s">
        <v>220</v>
      </c>
      <c r="B309">
        <v>1</v>
      </c>
      <c r="C309" t="s">
        <v>108</v>
      </c>
      <c r="I309" s="6" t="s">
        <v>223</v>
      </c>
    </row>
    <row r="310" spans="1:13" ht="24" customHeight="1">
      <c r="A310" t="s">
        <v>220</v>
      </c>
      <c r="B310">
        <v>1</v>
      </c>
      <c r="C310" t="s">
        <v>103</v>
      </c>
    </row>
    <row r="311" spans="1:13" ht="24" customHeight="1">
      <c r="A311" t="s">
        <v>220</v>
      </c>
      <c r="B311">
        <v>1</v>
      </c>
      <c r="C311" t="s">
        <v>104</v>
      </c>
    </row>
    <row r="312" spans="1:13" s="4" customFormat="1" ht="24" customHeight="1">
      <c r="A312" s="4" t="s">
        <v>220</v>
      </c>
      <c r="B312" s="4">
        <v>1</v>
      </c>
      <c r="C312" s="4" t="s">
        <v>110</v>
      </c>
      <c r="E312" s="2">
        <f>IF(COUNT('Turns'!E301,'Turns'!E302,'Turns'!E304,'Turns'!E307,'Turns'!E308)=5,SUM('Turns'!E301,'Turns'!E302,'Turns'!E304,'Turns'!E307,'Turns'!E308),"Unknown")</f>
        <v>0.0013210538075</v>
      </c>
      <c r="F312" s="2">
        <f>IF(COUNT('Turns'!F301,'Turns'!F302,'Turns'!F304,'Turns'!F307,'Turns'!F308)=5,SUM('Turns'!F301,'Turns'!F302,'Turns'!F304,'Turns'!F307,'Turns'!F308),"Unknown")</f>
        <v>0.00150745</v>
      </c>
      <c r="G312" s="5">
        <f>IF(ISNUMBER(E312),ROUND(E312*'Reference data'!$B$2,0),"Unknown")</f>
        <v>132.0</v>
      </c>
      <c r="H312" s="5">
        <f>IF(ISNUMBER(F312),ROUND(F312*'Reference data'!$B$2,0),"Unknown")</f>
        <v>151.0</v>
      </c>
      <c r="K312" s="4" t="s">
        <v>111</v>
      </c>
    </row>
    <row r="313" spans="1:13" s="4" customFormat="1" ht="24" customHeight="1">
      <c r="B313" s="4">
        <v>1</v>
      </c>
      <c r="C313" s="4" t="s">
        <v>112</v>
      </c>
      <c r="K313" s="4" t="s">
        <v>111</v>
      </c>
      <c r="M313" s="4" t="s">
        <v>224</v>
      </c>
    </row>
    <row r="314" spans="1:13" ht="24" customHeight="1">
      <c r="B314">
        <v>1</v>
      </c>
      <c r="C314" t="s">
        <v>115</v>
      </c>
      <c r="I314" s="6" t="s">
        <v>116</v>
      </c>
    </row>
    <row r="315" spans="1:13" ht="409" customHeight="1">
      <c r="B315">
        <v>1</v>
      </c>
      <c r="C315" t="s">
        <v>117</v>
      </c>
      <c r="I315" s="6" t="s">
        <v>180</v>
      </c>
    </row>
    <row r="316" spans="1:13" s="4" customFormat="1" ht="24" customHeight="1">
      <c r="A316" s="4" t="s">
        <v>225</v>
      </c>
      <c r="B316" s="4">
        <v>1</v>
      </c>
      <c r="C316" s="4" t="s">
        <v>94</v>
      </c>
      <c r="D316" s="4">
        <v>6482</v>
      </c>
      <c r="J316" s="4" t="s">
        <v>95</v>
      </c>
      <c r="M316" s="4" t="s">
        <v>226</v>
      </c>
    </row>
    <row r="317" spans="1:13" ht="24" customHeight="1">
      <c r="A317" t="s">
        <v>225</v>
      </c>
      <c r="B317">
        <v>1</v>
      </c>
      <c r="C317" t="s">
        <v>121</v>
      </c>
      <c r="D317" s="5">
        <v>5701</v>
      </c>
      <c r="E317" s="2">
        <f>IF(AND(ISNUMBER(F317),ISNUMBER('Reference data'!$B$3)),F317*'Reference data'!$B$3,"Unknown")</f>
        <v>9.9921427e-05</v>
      </c>
      <c r="F317" s="2">
        <f>IF(D317=0,0,IF(ISNUMBER('Reference data'!C17),D317*'Reference data'!C17/1000000,"Unknown"))</f>
        <v>0.00011402</v>
      </c>
      <c r="G317" s="5">
        <f>IF(ISNUMBER(E317),ROUND(E317*'Reference data'!$B$2,0),"Unknown")</f>
        <v>10.0</v>
      </c>
      <c r="H317" s="5">
        <f>IF(ISNUMBER(F317),ROUND(F317*'Reference data'!$B$2,0),"Unknown")</f>
        <v>11.0</v>
      </c>
    </row>
    <row r="318" spans="1:13" ht="24" customHeight="1">
      <c r="A318" t="s">
        <v>225</v>
      </c>
      <c r="B318">
        <v>1</v>
      </c>
      <c r="C318" t="s">
        <v>97</v>
      </c>
      <c r="D318" s="5">
        <v>3</v>
      </c>
      <c r="E318" s="2">
        <f>IF(AND(ISNUMBER(F318),ISNUMBER('Reference data'!$B$3)),F318*'Reference data'!$B$3,"Unknown")</f>
        <v>5.2581e-07</v>
      </c>
      <c r="F318" s="2">
        <f>IF(D318=0,0,IF(ISNUMBER('Reference data'!B17),D318*'Reference data'!B17/1000000,"Unknown"))</f>
        <v>6e-07</v>
      </c>
      <c r="G318" s="5">
        <f>IF(ISNUMBER(E318),ROUND(E318*'Reference data'!$B$2,0),"Unknown")</f>
        <v>0.0</v>
      </c>
      <c r="H318" s="5">
        <f>IF(ISNUMBER(F318),ROUND(F318*'Reference data'!$B$2,0),"Unknown")</f>
        <v>0.0</v>
      </c>
    </row>
    <row r="319" spans="1:13" ht="409" customHeight="1">
      <c r="A319" t="s">
        <v>225</v>
      </c>
      <c r="B319">
        <v>1</v>
      </c>
      <c r="C319" t="s">
        <v>122</v>
      </c>
      <c r="I319" s="6" t="s">
        <v>180</v>
      </c>
    </row>
    <row r="320" spans="1:13" ht="24" customHeight="1">
      <c r="A320" t="s">
        <v>225</v>
      </c>
      <c r="B320">
        <v>1</v>
      </c>
      <c r="C320" t="s">
        <v>103</v>
      </c>
      <c r="D320" s="5">
        <v>778</v>
      </c>
      <c r="E320" s="2">
        <f>IF(AND(ISNUMBER(F320),ISNUMBER('Reference data'!$B$3)),F320*'Reference data'!$B$3,"Unknown")</f>
        <v>0.000170450075</v>
      </c>
      <c r="F320" s="2">
        <f>IF(D320=0,0,IF(ISNUMBER('Reference data'!D17),D320*'Reference data'!D17/1000000,"Unknown"))</f>
        <v>0.0001945</v>
      </c>
      <c r="G320" s="5">
        <f>IF(ISNUMBER(E320),ROUND(E320*'Reference data'!$B$2,0),"Unknown")</f>
        <v>17.0</v>
      </c>
      <c r="H320" s="5">
        <f>IF(ISNUMBER(F320),ROUND(F320*'Reference data'!$B$2,0),"Unknown")</f>
        <v>19.0</v>
      </c>
    </row>
    <row r="321" spans="1:13" ht="24" customHeight="1">
      <c r="A321" t="s">
        <v>225</v>
      </c>
      <c r="B321">
        <v>1</v>
      </c>
      <c r="C321" t="s">
        <v>104</v>
      </c>
    </row>
    <row r="322" spans="1:13" s="4" customFormat="1" ht="24" customHeight="1">
      <c r="A322" s="4" t="s">
        <v>225</v>
      </c>
      <c r="B322" s="4">
        <v>1</v>
      </c>
      <c r="C322" s="4" t="s">
        <v>105</v>
      </c>
      <c r="D322" s="4">
        <v>205</v>
      </c>
    </row>
    <row r="323" spans="1:13" ht="24" customHeight="1">
      <c r="A323" t="s">
        <v>225</v>
      </c>
      <c r="B323">
        <v>1</v>
      </c>
      <c r="C323" t="s">
        <v>106</v>
      </c>
      <c r="D323" s="5">
        <v>29</v>
      </c>
      <c r="E323" s="2">
        <f>IF(AND(ISNUMBER(F323),ISNUMBER('Reference data'!$B$3)),F323*'Reference data'!$B$3,"Unknown")</f>
        <v>3.049698e-05</v>
      </c>
      <c r="F323" s="2">
        <f>IF(D323=0,0,IF(ISNUMBER('Reference data'!F17),D323*'Reference data'!F17/1000000,"Unknown"))</f>
        <v>3.48e-05</v>
      </c>
      <c r="G323" s="5">
        <f>IF(ISNUMBER(E323),ROUND(E323*'Reference data'!$B$2,0),"Unknown")</f>
        <v>3.0</v>
      </c>
      <c r="H323" s="5">
        <f>IF(ISNUMBER(F323),ROUND(F323*'Reference data'!$B$2,0),"Unknown")</f>
        <v>3.0</v>
      </c>
    </row>
    <row r="324" spans="1:13" ht="24" customHeight="1">
      <c r="A324" t="s">
        <v>225</v>
      </c>
      <c r="B324">
        <v>1</v>
      </c>
      <c r="C324" t="s">
        <v>107</v>
      </c>
      <c r="D324" s="5">
        <v>176</v>
      </c>
      <c r="E324" s="2">
        <f>IF(AND(ISNUMBER(F324),ISNUMBER('Reference data'!$B$3)),F324*'Reference data'!$B$3,"Unknown")</f>
        <v>0.00018508512</v>
      </c>
      <c r="F324" s="2">
        <f>IF(D324=0,0,IF(ISNUMBER('Reference data'!E17),D324*'Reference data'!E17/1000000,"Unknown"))</f>
        <v>0.0002112</v>
      </c>
      <c r="G324" s="5">
        <f>IF(ISNUMBER(E324),ROUND(E324*'Reference data'!$B$2,0),"Unknown")</f>
        <v>19.0</v>
      </c>
      <c r="H324" s="5">
        <f>IF(ISNUMBER(F324),ROUND(F324*'Reference data'!$B$2,0),"Unknown")</f>
        <v>21.0</v>
      </c>
    </row>
    <row r="325" spans="1:13" ht="409" customHeight="1">
      <c r="A325" t="s">
        <v>225</v>
      </c>
      <c r="B325">
        <v>1</v>
      </c>
      <c r="C325" t="s">
        <v>108</v>
      </c>
      <c r="I325" s="6" t="s">
        <v>227</v>
      </c>
    </row>
    <row r="326" spans="1:13" ht="24" customHeight="1">
      <c r="A326" t="s">
        <v>225</v>
      </c>
      <c r="B326">
        <v>1</v>
      </c>
      <c r="C326" t="s">
        <v>103</v>
      </c>
    </row>
    <row r="327" spans="1:13" ht="24" customHeight="1">
      <c r="A327" t="s">
        <v>225</v>
      </c>
      <c r="B327">
        <v>1</v>
      </c>
      <c r="C327" t="s">
        <v>104</v>
      </c>
    </row>
    <row r="328" spans="1:13" s="4" customFormat="1" ht="24" customHeight="1">
      <c r="A328" s="4" t="s">
        <v>225</v>
      </c>
      <c r="B328" s="4">
        <v>1</v>
      </c>
      <c r="C328" s="4" t="s">
        <v>110</v>
      </c>
      <c r="E328" s="2">
        <f>IF(COUNT('Turns'!E317,'Turns'!E318,'Turns'!E320,'Turns'!E323,'Turns'!E324)=5,SUM('Turns'!E317,'Turns'!E318,'Turns'!E320,'Turns'!E323,'Turns'!E324),"Unknown")</f>
        <v>0.000486479412</v>
      </c>
      <c r="F328" s="2">
        <f>IF(COUNT('Turns'!F317,'Turns'!F318,'Turns'!F320,'Turns'!F323,'Turns'!F324)=5,SUM('Turns'!F317,'Turns'!F318,'Turns'!F320,'Turns'!F323,'Turns'!F324),"Unknown")</f>
        <v>0.00055512</v>
      </c>
      <c r="G328" s="5">
        <f>IF(ISNUMBER(E328),ROUND(E328*'Reference data'!$B$2,0),"Unknown")</f>
        <v>49.0</v>
      </c>
      <c r="H328" s="5">
        <f>IF(ISNUMBER(F328),ROUND(F328*'Reference data'!$B$2,0),"Unknown")</f>
        <v>56.0</v>
      </c>
      <c r="K328" s="4" t="s">
        <v>111</v>
      </c>
    </row>
    <row r="329" spans="1:13" s="4" customFormat="1" ht="24" customHeight="1">
      <c r="B329" s="4">
        <v>1</v>
      </c>
      <c r="C329" s="4" t="s">
        <v>172</v>
      </c>
      <c r="K329" s="4" t="s">
        <v>111</v>
      </c>
      <c r="M329" s="4" t="s">
        <v>228</v>
      </c>
    </row>
    <row r="330" spans="1:13" ht="125" customHeight="1">
      <c r="B330">
        <v>1</v>
      </c>
      <c r="C330" t="s">
        <v>115</v>
      </c>
      <c r="I330" s="6" t="s">
        <v>229</v>
      </c>
    </row>
    <row r="331" spans="1:13" ht="24" customHeight="1">
      <c r="B331">
        <v>1</v>
      </c>
      <c r="C331" t="s">
        <v>117</v>
      </c>
      <c r="I331" s="6" t="s">
        <v>175</v>
      </c>
    </row>
    <row r="332" spans="1:13" s="4" customFormat="1" ht="24" customHeight="1">
      <c r="A332" s="4" t="s">
        <v>230</v>
      </c>
      <c r="B332" s="4">
        <v>1</v>
      </c>
      <c r="C332" s="4" t="s">
        <v>94</v>
      </c>
      <c r="D332" s="4">
        <v>6712</v>
      </c>
      <c r="J332" s="4" t="s">
        <v>95</v>
      </c>
      <c r="M332" s="4" t="s">
        <v>231</v>
      </c>
    </row>
    <row r="333" spans="1:13" ht="24" customHeight="1">
      <c r="A333" t="s">
        <v>230</v>
      </c>
      <c r="B333">
        <v>1</v>
      </c>
      <c r="C333" t="s">
        <v>121</v>
      </c>
      <c r="D333" s="5">
        <v>6479</v>
      </c>
      <c r="E333" s="2">
        <f>IF(AND(ISNUMBER(F333),ISNUMBER('Reference data'!$B$3)),F333*'Reference data'!$B$3,"Unknown")</f>
        <v>0.000113557433</v>
      </c>
      <c r="F333" s="2">
        <f>IF(D333=0,0,IF(ISNUMBER('Reference data'!C17),D333*'Reference data'!C17/1000000,"Unknown"))</f>
        <v>0.00012958</v>
      </c>
      <c r="G333" s="5">
        <f>IF(ISNUMBER(E333),ROUND(E333*'Reference data'!$B$2,0),"Unknown")</f>
        <v>11.0</v>
      </c>
      <c r="H333" s="5">
        <f>IF(ISNUMBER(F333),ROUND(F333*'Reference data'!$B$2,0),"Unknown")</f>
        <v>13.0</v>
      </c>
    </row>
    <row r="334" spans="1:13" ht="24" customHeight="1">
      <c r="A334" t="s">
        <v>230</v>
      </c>
      <c r="B334">
        <v>1</v>
      </c>
      <c r="C334" t="s">
        <v>97</v>
      </c>
      <c r="D334" s="5">
        <v>3</v>
      </c>
      <c r="E334" s="2">
        <f>IF(AND(ISNUMBER(F334),ISNUMBER('Reference data'!$B$3)),F334*'Reference data'!$B$3,"Unknown")</f>
        <v>5.2581e-07</v>
      </c>
      <c r="F334" s="2">
        <f>IF(D334=0,0,IF(ISNUMBER('Reference data'!B17),D334*'Reference data'!B17/1000000,"Unknown"))</f>
        <v>6e-07</v>
      </c>
      <c r="G334" s="5">
        <f>IF(ISNUMBER(E334),ROUND(E334*'Reference data'!$B$2,0),"Unknown")</f>
        <v>0.0</v>
      </c>
      <c r="H334" s="5">
        <f>IF(ISNUMBER(F334),ROUND(F334*'Reference data'!$B$2,0),"Unknown")</f>
        <v>0.0</v>
      </c>
    </row>
    <row r="335" spans="1:13" ht="24" customHeight="1">
      <c r="A335" t="s">
        <v>230</v>
      </c>
      <c r="B335">
        <v>1</v>
      </c>
      <c r="C335" t="s">
        <v>122</v>
      </c>
      <c r="I335" s="6" t="s">
        <v>175</v>
      </c>
    </row>
    <row r="336" spans="1:13" ht="24" customHeight="1">
      <c r="A336" t="s">
        <v>230</v>
      </c>
      <c r="B336">
        <v>1</v>
      </c>
      <c r="C336" t="s">
        <v>103</v>
      </c>
      <c r="D336" s="5">
        <v>230</v>
      </c>
      <c r="E336" s="2">
        <f>IF(AND(ISNUMBER(F336),ISNUMBER('Reference data'!$B$3)),F336*'Reference data'!$B$3,"Unknown")</f>
        <v>5.0390125e-05</v>
      </c>
      <c r="F336" s="2">
        <f>IF(D336=0,0,IF(ISNUMBER('Reference data'!D17),D336*'Reference data'!D17/1000000,"Unknown"))</f>
        <v>5.75e-05</v>
      </c>
      <c r="G336" s="5">
        <f>IF(ISNUMBER(E336),ROUND(E336*'Reference data'!$B$2,0),"Unknown")</f>
        <v>5.0</v>
      </c>
      <c r="H336" s="5">
        <f>IF(ISNUMBER(F336),ROUND(F336*'Reference data'!$B$2,0),"Unknown")</f>
        <v>6.0</v>
      </c>
    </row>
    <row r="337" spans="1:13" ht="24" customHeight="1">
      <c r="A337" t="s">
        <v>230</v>
      </c>
      <c r="B337">
        <v>1</v>
      </c>
      <c r="C337" t="s">
        <v>104</v>
      </c>
    </row>
    <row r="338" spans="1:13" s="4" customFormat="1" ht="24" customHeight="1">
      <c r="A338" s="4" t="s">
        <v>230</v>
      </c>
      <c r="B338" s="4">
        <v>1</v>
      </c>
      <c r="C338" s="4" t="s">
        <v>105</v>
      </c>
      <c r="D338" s="4">
        <v>42</v>
      </c>
    </row>
    <row r="339" spans="1:13" ht="24" customHeight="1">
      <c r="A339" t="s">
        <v>230</v>
      </c>
      <c r="B339">
        <v>1</v>
      </c>
      <c r="C339" t="s">
        <v>106</v>
      </c>
      <c r="D339" s="5">
        <v>11</v>
      </c>
      <c r="E339" s="2">
        <f>IF(AND(ISNUMBER(F339),ISNUMBER('Reference data'!$B$3)),F339*'Reference data'!$B$3,"Unknown")</f>
        <v>1.156782e-05</v>
      </c>
      <c r="F339" s="2">
        <f>IF(D339=0,0,IF(ISNUMBER('Reference data'!F17),D339*'Reference data'!F17/1000000,"Unknown"))</f>
        <v>1.32e-05</v>
      </c>
      <c r="G339" s="5">
        <f>IF(ISNUMBER(E339),ROUND(E339*'Reference data'!$B$2,0),"Unknown")</f>
        <v>1.0</v>
      </c>
      <c r="H339" s="5">
        <f>IF(ISNUMBER(F339),ROUND(F339*'Reference data'!$B$2,0),"Unknown")</f>
        <v>1.0</v>
      </c>
    </row>
    <row r="340" spans="1:13" ht="24" customHeight="1">
      <c r="A340" t="s">
        <v>230</v>
      </c>
      <c r="B340">
        <v>1</v>
      </c>
      <c r="C340" t="s">
        <v>107</v>
      </c>
      <c r="D340" s="5">
        <v>31</v>
      </c>
      <c r="E340" s="2">
        <f>IF(AND(ISNUMBER(F340),ISNUMBER('Reference data'!$B$3)),F340*'Reference data'!$B$3,"Unknown")</f>
        <v>3.260022e-05</v>
      </c>
      <c r="F340" s="2">
        <f>IF(D340=0,0,IF(ISNUMBER('Reference data'!E17),D340*'Reference data'!E17/1000000,"Unknown"))</f>
        <v>3.72e-05</v>
      </c>
      <c r="G340" s="5">
        <f>IF(ISNUMBER(E340),ROUND(E340*'Reference data'!$B$2,0),"Unknown")</f>
        <v>3.0</v>
      </c>
      <c r="H340" s="5">
        <f>IF(ISNUMBER(F340),ROUND(F340*'Reference data'!$B$2,0),"Unknown")</f>
        <v>4.0</v>
      </c>
    </row>
    <row r="341" spans="1:13" ht="281" customHeight="1">
      <c r="A341" t="s">
        <v>230</v>
      </c>
      <c r="B341">
        <v>1</v>
      </c>
      <c r="C341" t="s">
        <v>108</v>
      </c>
      <c r="I341" s="6" t="s">
        <v>232</v>
      </c>
    </row>
    <row r="342" spans="1:13" ht="24" customHeight="1">
      <c r="A342" t="s">
        <v>230</v>
      </c>
      <c r="B342">
        <v>1</v>
      </c>
      <c r="C342" t="s">
        <v>103</v>
      </c>
    </row>
    <row r="343" spans="1:13" ht="24" customHeight="1">
      <c r="A343" t="s">
        <v>230</v>
      </c>
      <c r="B343">
        <v>1</v>
      </c>
      <c r="C343" t="s">
        <v>104</v>
      </c>
    </row>
    <row r="344" spans="1:13" s="4" customFormat="1" ht="24" customHeight="1">
      <c r="A344" s="4" t="s">
        <v>230</v>
      </c>
      <c r="B344" s="4">
        <v>1</v>
      </c>
      <c r="C344" s="4" t="s">
        <v>110</v>
      </c>
      <c r="E344" s="2">
        <f>IF(COUNT('Turns'!E333,'Turns'!E334,'Turns'!E336,'Turns'!E339,'Turns'!E340)=5,SUM('Turns'!E333,'Turns'!E334,'Turns'!E336,'Turns'!E339,'Turns'!E340),"Unknown")</f>
        <v>0.000208641408</v>
      </c>
      <c r="F344" s="2">
        <f>IF(COUNT('Turns'!F333,'Turns'!F334,'Turns'!F336,'Turns'!F339,'Turns'!F340)=5,SUM('Turns'!F333,'Turns'!F334,'Turns'!F336,'Turns'!F339,'Turns'!F340),"Unknown")</f>
        <v>0.00023808</v>
      </c>
      <c r="G344" s="5">
        <f>IF(ISNUMBER(E344),ROUND(E344*'Reference data'!$B$2,0),"Unknown")</f>
        <v>21.0</v>
      </c>
      <c r="H344" s="5">
        <f>IF(ISNUMBER(F344),ROUND(F344*'Reference data'!$B$2,0),"Unknown")</f>
        <v>24.0</v>
      </c>
      <c r="K344" s="4" t="s">
        <v>111</v>
      </c>
    </row>
    <row r="345" spans="1:13" s="4" customFormat="1" ht="24" customHeight="1">
      <c r="B345" s="4">
        <v>1</v>
      </c>
      <c r="C345" s="4" t="s">
        <v>112</v>
      </c>
      <c r="K345" s="4" t="s">
        <v>111</v>
      </c>
      <c r="M345" s="4" t="s">
        <v>233</v>
      </c>
    </row>
    <row r="346" spans="1:13" ht="24" customHeight="1">
      <c r="B346">
        <v>1</v>
      </c>
      <c r="C346" t="s">
        <v>115</v>
      </c>
      <c r="I346" s="6" t="s">
        <v>116</v>
      </c>
    </row>
    <row r="347" spans="1:13" ht="409" customHeight="1">
      <c r="B347">
        <v>1</v>
      </c>
      <c r="C347" t="s">
        <v>117</v>
      </c>
      <c r="I347" s="6" t="s">
        <v>234</v>
      </c>
    </row>
    <row r="348" spans="1:13" s="4" customFormat="1" ht="24" customHeight="1">
      <c r="A348" s="4" t="s">
        <v>235</v>
      </c>
      <c r="B348" s="4">
        <v>1</v>
      </c>
      <c r="C348" s="4" t="s">
        <v>94</v>
      </c>
      <c r="D348" s="4">
        <v>7541</v>
      </c>
      <c r="J348" s="4" t="s">
        <v>95</v>
      </c>
      <c r="M348" s="4" t="s">
        <v>236</v>
      </c>
    </row>
    <row r="349" spans="1:13" ht="24" customHeight="1">
      <c r="A349" t="s">
        <v>235</v>
      </c>
      <c r="B349">
        <v>1</v>
      </c>
      <c r="C349" t="s">
        <v>121</v>
      </c>
      <c r="D349" s="5">
        <v>6709</v>
      </c>
      <c r="E349" s="2">
        <f>IF(AND(ISNUMBER(F349),ISNUMBER('Reference data'!$B$3)),F349*'Reference data'!$B$3,"Unknown")</f>
        <v>0.000117588643</v>
      </c>
      <c r="F349" s="2">
        <f>IF(D349=0,0,IF(ISNUMBER('Reference data'!C17),D349*'Reference data'!C17/1000000,"Unknown"))</f>
        <v>0.00013418</v>
      </c>
      <c r="G349" s="5">
        <f>IF(ISNUMBER(E349),ROUND(E349*'Reference data'!$B$2,0),"Unknown")</f>
        <v>12.0</v>
      </c>
      <c r="H349" s="5">
        <f>IF(ISNUMBER(F349),ROUND(F349*'Reference data'!$B$2,0),"Unknown")</f>
        <v>13.0</v>
      </c>
    </row>
    <row r="350" spans="1:13" ht="24" customHeight="1">
      <c r="A350" t="s">
        <v>235</v>
      </c>
      <c r="B350">
        <v>1</v>
      </c>
      <c r="C350" t="s">
        <v>97</v>
      </c>
      <c r="D350" s="5">
        <v>3</v>
      </c>
      <c r="E350" s="2">
        <f>IF(AND(ISNUMBER(F350),ISNUMBER('Reference data'!$B$3)),F350*'Reference data'!$B$3,"Unknown")</f>
        <v>5.2581e-07</v>
      </c>
      <c r="F350" s="2">
        <f>IF(D350=0,0,IF(ISNUMBER('Reference data'!B17),D350*'Reference data'!B17/1000000,"Unknown"))</f>
        <v>6e-07</v>
      </c>
      <c r="G350" s="5">
        <f>IF(ISNUMBER(E350),ROUND(E350*'Reference data'!$B$2,0),"Unknown")</f>
        <v>0.0</v>
      </c>
      <c r="H350" s="5">
        <f>IF(ISNUMBER(F350),ROUND(F350*'Reference data'!$B$2,0),"Unknown")</f>
        <v>0.0</v>
      </c>
    </row>
    <row r="351" spans="1:13" ht="409" customHeight="1">
      <c r="A351" t="s">
        <v>235</v>
      </c>
      <c r="B351">
        <v>1</v>
      </c>
      <c r="C351" t="s">
        <v>122</v>
      </c>
      <c r="I351" s="6" t="s">
        <v>234</v>
      </c>
    </row>
    <row r="352" spans="1:13" ht="24" customHeight="1">
      <c r="A352" t="s">
        <v>235</v>
      </c>
      <c r="B352">
        <v>1</v>
      </c>
      <c r="C352" t="s">
        <v>103</v>
      </c>
      <c r="D352" s="5">
        <v>829</v>
      </c>
      <c r="E352" s="2">
        <f>IF(AND(ISNUMBER(F352),ISNUMBER('Reference data'!$B$3)),F352*'Reference data'!$B$3,"Unknown")</f>
        <v>0.0001816235375</v>
      </c>
      <c r="F352" s="2">
        <f>IF(D352=0,0,IF(ISNUMBER('Reference data'!D17),D352*'Reference data'!D17/1000000,"Unknown"))</f>
        <v>0.00020725</v>
      </c>
      <c r="G352" s="5">
        <f>IF(ISNUMBER(E352),ROUND(E352*'Reference data'!$B$2,0),"Unknown")</f>
        <v>18.0</v>
      </c>
      <c r="H352" s="5">
        <f>IF(ISNUMBER(F352),ROUND(F352*'Reference data'!$B$2,0),"Unknown")</f>
        <v>21.0</v>
      </c>
    </row>
    <row r="353" spans="1:13" ht="24" customHeight="1">
      <c r="A353" t="s">
        <v>235</v>
      </c>
      <c r="B353">
        <v>1</v>
      </c>
      <c r="C353" t="s">
        <v>104</v>
      </c>
    </row>
    <row r="354" spans="1:13" s="4" customFormat="1" ht="24" customHeight="1">
      <c r="A354" s="4" t="s">
        <v>235</v>
      </c>
      <c r="B354" s="4">
        <v>1</v>
      </c>
      <c r="C354" s="4" t="s">
        <v>105</v>
      </c>
      <c r="D354" s="4">
        <v>103</v>
      </c>
    </row>
    <row r="355" spans="1:13" ht="24" customHeight="1">
      <c r="A355" t="s">
        <v>235</v>
      </c>
      <c r="B355">
        <v>1</v>
      </c>
      <c r="C355" t="s">
        <v>106</v>
      </c>
      <c r="D355" s="5">
        <v>12</v>
      </c>
      <c r="E355" s="2">
        <f>IF(AND(ISNUMBER(F355),ISNUMBER('Reference data'!$B$3)),F355*'Reference data'!$B$3,"Unknown")</f>
        <v>1.261944e-05</v>
      </c>
      <c r="F355" s="2">
        <f>IF(D355=0,0,IF(ISNUMBER('Reference data'!F17),D355*'Reference data'!F17/1000000,"Unknown"))</f>
        <v>1.44e-05</v>
      </c>
      <c r="G355" s="5">
        <f>IF(ISNUMBER(E355),ROUND(E355*'Reference data'!$B$2,0),"Unknown")</f>
        <v>1.0</v>
      </c>
      <c r="H355" s="5">
        <f>IF(ISNUMBER(F355),ROUND(F355*'Reference data'!$B$2,0),"Unknown")</f>
        <v>1.0</v>
      </c>
    </row>
    <row r="356" spans="1:13" ht="24" customHeight="1">
      <c r="A356" t="s">
        <v>235</v>
      </c>
      <c r="B356">
        <v>1</v>
      </c>
      <c r="C356" t="s">
        <v>107</v>
      </c>
      <c r="D356" s="5">
        <v>91</v>
      </c>
      <c r="E356" s="2">
        <f>IF(AND(ISNUMBER(F356),ISNUMBER('Reference data'!$B$3)),F356*'Reference data'!$B$3,"Unknown")</f>
        <v>9.569742e-05</v>
      </c>
      <c r="F356" s="2">
        <f>IF(D356=0,0,IF(ISNUMBER('Reference data'!E17),D356*'Reference data'!E17/1000000,"Unknown"))</f>
        <v>0.0001092</v>
      </c>
      <c r="G356" s="5">
        <f>IF(ISNUMBER(E356),ROUND(E356*'Reference data'!$B$2,0),"Unknown")</f>
        <v>10.0</v>
      </c>
      <c r="H356" s="5">
        <f>IF(ISNUMBER(F356),ROUND(F356*'Reference data'!$B$2,0),"Unknown")</f>
        <v>11.0</v>
      </c>
    </row>
    <row r="357" spans="1:13" ht="307" customHeight="1">
      <c r="A357" t="s">
        <v>235</v>
      </c>
      <c r="B357">
        <v>1</v>
      </c>
      <c r="C357" t="s">
        <v>108</v>
      </c>
      <c r="I357" s="6" t="s">
        <v>237</v>
      </c>
    </row>
    <row r="358" spans="1:13" ht="24" customHeight="1">
      <c r="A358" t="s">
        <v>235</v>
      </c>
      <c r="B358">
        <v>1</v>
      </c>
      <c r="C358" t="s">
        <v>103</v>
      </c>
    </row>
    <row r="359" spans="1:13" ht="24" customHeight="1">
      <c r="A359" t="s">
        <v>235</v>
      </c>
      <c r="B359">
        <v>1</v>
      </c>
      <c r="C359" t="s">
        <v>104</v>
      </c>
    </row>
    <row r="360" spans="1:13" s="4" customFormat="1" ht="24" customHeight="1">
      <c r="A360" s="4" t="s">
        <v>235</v>
      </c>
      <c r="B360" s="4">
        <v>1</v>
      </c>
      <c r="C360" s="4" t="s">
        <v>110</v>
      </c>
      <c r="E360" s="2">
        <f>IF(COUNT('Turns'!E349,'Turns'!E350,'Turns'!E352,'Turns'!E355,'Turns'!E356)=5,SUM('Turns'!E349,'Turns'!E350,'Turns'!E352,'Turns'!E355,'Turns'!E356),"Unknown")</f>
        <v>0.0004080548505</v>
      </c>
      <c r="F360" s="2">
        <f>IF(COUNT('Turns'!F349,'Turns'!F350,'Turns'!F352,'Turns'!F355,'Turns'!F356)=5,SUM('Turns'!F349,'Turns'!F350,'Turns'!F352,'Turns'!F355,'Turns'!F356),"Unknown")</f>
        <v>0.00046563</v>
      </c>
      <c r="G360" s="5">
        <f>IF(ISNUMBER(E360),ROUND(E360*'Reference data'!$B$2,0),"Unknown")</f>
        <v>41.0</v>
      </c>
      <c r="H360" s="5">
        <f>IF(ISNUMBER(F360),ROUND(F360*'Reference data'!$B$2,0),"Unknown")</f>
        <v>47.0</v>
      </c>
      <c r="K360" s="4" t="s">
        <v>111</v>
      </c>
    </row>
    <row r="361" spans="1:13" s="4" customFormat="1" ht="24" customHeight="1">
      <c r="B361" s="4">
        <v>2</v>
      </c>
      <c r="C361" s="4" t="s">
        <v>238</v>
      </c>
      <c r="E361" s="2">
        <f>IF(COUNT('Turns'!E375,'Turns'!E391,'Turns'!E404,'Turns'!E420,'Turns'!E433,'Turns'!E452,'Turns'!E468,'Turns'!E484,'Turns'!E496,'Turns'!E518,'Turns'!E531,'Turns'!E546,'Turns'!E561,'Turns'!E574,'Turns'!E589,'Turns'!E605)=16,SUM('Turns'!E375,'Turns'!E391,'Turns'!E404,'Turns'!E420,'Turns'!E433,'Turns'!E452,'Turns'!E468,'Turns'!E484,'Turns'!E496,'Turns'!E518,'Turns'!E531,'Turns'!E546,'Turns'!E561,'Turns'!E574,'Turns'!E589,'Turns'!E605),"Unknown")</f>
        <v>0.014751564496</v>
      </c>
      <c r="F361" s="2">
        <f>IF(COUNT('Turns'!F375,'Turns'!F391,'Turns'!F404,'Turns'!F420,'Turns'!F433,'Turns'!F452,'Turns'!F468,'Turns'!F484,'Turns'!F496,'Turns'!F518,'Turns'!F531,'Turns'!F546,'Turns'!F561,'Turns'!F574,'Turns'!F589,'Turns'!F605)=16,SUM('Turns'!F375,'Turns'!F391,'Turns'!F404,'Turns'!F420,'Turns'!F433,'Turns'!F452,'Turns'!F468,'Turns'!F484,'Turns'!F496,'Turns'!F518,'Turns'!F531,'Turns'!F546,'Turns'!F561,'Turns'!F574,'Turns'!F589,'Turns'!F605),"Unknown")</f>
        <v>0.01683296</v>
      </c>
      <c r="G361" s="5">
        <f>IF(ISNUMBER(E361),ROUND(E361*'Reference data'!$B$2,0),"Unknown")</f>
        <v>1475.0</v>
      </c>
      <c r="H361" s="5">
        <f>IF(ISNUMBER(F361),ROUND(F361*'Reference data'!$B$2,0),"Unknown")</f>
        <v>1683.0</v>
      </c>
    </row>
    <row r="362" spans="1:13" s="4" customFormat="1" ht="24" customHeight="1">
      <c r="A362" s="4" t="s">
        <v>239</v>
      </c>
      <c r="B362" s="4">
        <v>2</v>
      </c>
      <c r="C362" s="4" t="s">
        <v>94</v>
      </c>
      <c r="D362" s="4">
        <v>7467</v>
      </c>
      <c r="J362" s="4" t="s">
        <v>95</v>
      </c>
      <c r="M362" s="4" t="s">
        <v>240</v>
      </c>
    </row>
    <row r="363" spans="1:13" ht="24" customHeight="1">
      <c r="A363" t="s">
        <v>239</v>
      </c>
      <c r="B363">
        <v>2</v>
      </c>
      <c r="C363" t="s">
        <v>121</v>
      </c>
      <c r="D363" s="5">
        <v>1950</v>
      </c>
      <c r="E363" s="2">
        <f>IF(AND(ISNUMBER(F363),ISNUMBER('Reference data'!$B$3)),F363*'Reference data'!$B$3,"Unknown")</f>
        <v>3.417765e-05</v>
      </c>
      <c r="F363" s="2">
        <f>IF(D363=0,0,IF(ISNUMBER('Reference data'!C17),D363*'Reference data'!C17/1000000,"Unknown"))</f>
        <v>3.9e-05</v>
      </c>
      <c r="G363" s="5">
        <f>IF(ISNUMBER(E363),ROUND(E363*'Reference data'!$B$2,0),"Unknown")</f>
        <v>3.0</v>
      </c>
      <c r="H363" s="5">
        <f>IF(ISNUMBER(F363),ROUND(F363*'Reference data'!$B$2,0),"Unknown")</f>
        <v>4.0</v>
      </c>
    </row>
    <row r="364" spans="1:13" ht="24" customHeight="1">
      <c r="A364" t="s">
        <v>239</v>
      </c>
      <c r="B364">
        <v>2</v>
      </c>
      <c r="C364" t="s">
        <v>97</v>
      </c>
      <c r="D364" s="5">
        <v>3</v>
      </c>
      <c r="E364" s="2">
        <f>IF(AND(ISNUMBER(F364),ISNUMBER('Reference data'!$B$3)),F364*'Reference data'!$B$3,"Unknown")</f>
        <v>5.2581e-07</v>
      </c>
      <c r="F364" s="2">
        <f>IF(D364=0,0,IF(ISNUMBER('Reference data'!B17),D364*'Reference data'!B17/1000000,"Unknown"))</f>
        <v>6e-07</v>
      </c>
      <c r="G364" s="5">
        <f>IF(ISNUMBER(E364),ROUND(E364*'Reference data'!$B$2,0),"Unknown")</f>
        <v>0.0</v>
      </c>
      <c r="H364" s="5">
        <f>IF(ISNUMBER(F364),ROUND(F364*'Reference data'!$B$2,0),"Unknown")</f>
        <v>0.0</v>
      </c>
    </row>
    <row r="365" spans="1:13" ht="34" customHeight="1">
      <c r="A365" t="s">
        <v>239</v>
      </c>
      <c r="B365">
        <v>2</v>
      </c>
      <c r="C365" t="s">
        <v>101</v>
      </c>
      <c r="I365" s="6" t="s">
        <v>102</v>
      </c>
    </row>
    <row r="366" spans="1:13" ht="409" customHeight="1">
      <c r="A366" t="s">
        <v>239</v>
      </c>
      <c r="B366">
        <v>2</v>
      </c>
      <c r="C366" t="s">
        <v>122</v>
      </c>
      <c r="I366" s="6" t="s">
        <v>241</v>
      </c>
    </row>
    <row r="367" spans="1:13" ht="24" customHeight="1">
      <c r="A367" t="s">
        <v>239</v>
      </c>
      <c r="B367">
        <v>2</v>
      </c>
      <c r="C367" t="s">
        <v>103</v>
      </c>
      <c r="D367" s="5">
        <v>5514</v>
      </c>
      <c r="E367" s="2">
        <f>IF(AND(ISNUMBER(F367),ISNUMBER('Reference data'!$B$3)),F367*'Reference data'!$B$3,"Unknown")</f>
        <v>0.001208048475</v>
      </c>
      <c r="F367" s="2">
        <f>IF(D367=0,0,IF(ISNUMBER('Reference data'!D17),D367*'Reference data'!D17/1000000,"Unknown"))</f>
        <v>0.0013785</v>
      </c>
      <c r="G367" s="5">
        <f>IF(ISNUMBER(E367),ROUND(E367*'Reference data'!$B$2,0),"Unknown")</f>
        <v>121.0</v>
      </c>
      <c r="H367" s="5">
        <f>IF(ISNUMBER(F367),ROUND(F367*'Reference data'!$B$2,0),"Unknown")</f>
        <v>138.0</v>
      </c>
    </row>
    <row r="368" spans="1:13" ht="24" customHeight="1">
      <c r="A368" t="s">
        <v>239</v>
      </c>
      <c r="B368">
        <v>2</v>
      </c>
      <c r="C368" t="s">
        <v>104</v>
      </c>
    </row>
    <row r="369" spans="1:13" s="4" customFormat="1" ht="24" customHeight="1">
      <c r="A369" s="4" t="s">
        <v>239</v>
      </c>
      <c r="B369" s="4">
        <v>2</v>
      </c>
      <c r="C369" s="4" t="s">
        <v>105</v>
      </c>
      <c r="D369" s="4">
        <v>77</v>
      </c>
    </row>
    <row r="370" spans="1:13" ht="24" customHeight="1">
      <c r="A370" t="s">
        <v>239</v>
      </c>
      <c r="B370">
        <v>2</v>
      </c>
      <c r="C370" t="s">
        <v>106</v>
      </c>
      <c r="D370" s="5">
        <v>46</v>
      </c>
      <c r="E370" s="2">
        <f>IF(AND(ISNUMBER(F370),ISNUMBER('Reference data'!$B$3)),F370*'Reference data'!$B$3,"Unknown")</f>
        <v>4.837452e-05</v>
      </c>
      <c r="F370" s="2">
        <f>IF(D370=0,0,IF(ISNUMBER('Reference data'!F17),D370*'Reference data'!F17/1000000,"Unknown"))</f>
        <v>5.52e-05</v>
      </c>
      <c r="G370" s="5">
        <f>IF(ISNUMBER(E370),ROUND(E370*'Reference data'!$B$2,0),"Unknown")</f>
        <v>5.0</v>
      </c>
      <c r="H370" s="5">
        <f>IF(ISNUMBER(F370),ROUND(F370*'Reference data'!$B$2,0),"Unknown")</f>
        <v>6.0</v>
      </c>
    </row>
    <row r="371" spans="1:13" ht="24" customHeight="1">
      <c r="A371" t="s">
        <v>239</v>
      </c>
      <c r="B371">
        <v>2</v>
      </c>
      <c r="C371" t="s">
        <v>107</v>
      </c>
      <c r="D371" s="5">
        <v>31</v>
      </c>
      <c r="E371" s="2">
        <f>IF(AND(ISNUMBER(F371),ISNUMBER('Reference data'!$B$3)),F371*'Reference data'!$B$3,"Unknown")</f>
        <v>3.260022e-05</v>
      </c>
      <c r="F371" s="2">
        <f>IF(D371=0,0,IF(ISNUMBER('Reference data'!E17),D371*'Reference data'!E17/1000000,"Unknown"))</f>
        <v>3.72e-05</v>
      </c>
      <c r="G371" s="5">
        <f>IF(ISNUMBER(E371),ROUND(E371*'Reference data'!$B$2,0),"Unknown")</f>
        <v>3.0</v>
      </c>
      <c r="H371" s="5">
        <f>IF(ISNUMBER(F371),ROUND(F371*'Reference data'!$B$2,0),"Unknown")</f>
        <v>4.0</v>
      </c>
    </row>
    <row r="372" spans="1:13" ht="320" customHeight="1">
      <c r="A372" t="s">
        <v>239</v>
      </c>
      <c r="B372">
        <v>2</v>
      </c>
      <c r="C372" t="s">
        <v>108</v>
      </c>
      <c r="I372" s="6" t="s">
        <v>242</v>
      </c>
    </row>
    <row r="373" spans="1:13" ht="24" customHeight="1">
      <c r="A373" t="s">
        <v>239</v>
      </c>
      <c r="B373">
        <v>2</v>
      </c>
      <c r="C373" t="s">
        <v>103</v>
      </c>
    </row>
    <row r="374" spans="1:13" ht="24" customHeight="1">
      <c r="A374" t="s">
        <v>239</v>
      </c>
      <c r="B374">
        <v>2</v>
      </c>
      <c r="C374" t="s">
        <v>104</v>
      </c>
    </row>
    <row r="375" spans="1:13" s="4" customFormat="1" ht="24" customHeight="1">
      <c r="A375" s="4" t="s">
        <v>239</v>
      </c>
      <c r="B375" s="4">
        <v>2</v>
      </c>
      <c r="C375" s="4" t="s">
        <v>110</v>
      </c>
      <c r="E375" s="2">
        <f>IF(COUNT('Turns'!E363,'Turns'!E364,'Turns'!E367,'Turns'!E370,'Turns'!E371)=5,SUM('Turns'!E363,'Turns'!E364,'Turns'!E367,'Turns'!E370,'Turns'!E371),"Unknown")</f>
        <v>0.001323726675</v>
      </c>
      <c r="F375" s="2">
        <f>IF(COUNT('Turns'!F363,'Turns'!F364,'Turns'!F367,'Turns'!F370,'Turns'!F371)=5,SUM('Turns'!F363,'Turns'!F364,'Turns'!F367,'Turns'!F370,'Turns'!F371),"Unknown")</f>
        <v>0.0015105</v>
      </c>
      <c r="G375" s="5">
        <f>IF(ISNUMBER(E375),ROUND(E375*'Reference data'!$B$2,0),"Unknown")</f>
        <v>132.0</v>
      </c>
      <c r="H375" s="5">
        <f>IF(ISNUMBER(F375),ROUND(F375*'Reference data'!$B$2,0),"Unknown")</f>
        <v>151.0</v>
      </c>
      <c r="K375" s="4" t="s">
        <v>111</v>
      </c>
    </row>
    <row r="376" spans="1:13" s="4" customFormat="1" ht="24" customHeight="1">
      <c r="B376" s="4">
        <v>2</v>
      </c>
      <c r="C376" s="4" t="s">
        <v>112</v>
      </c>
      <c r="K376" s="4" t="s">
        <v>111</v>
      </c>
      <c r="M376" s="4" t="s">
        <v>243</v>
      </c>
    </row>
    <row r="377" spans="1:13" ht="24" customHeight="1">
      <c r="B377">
        <v>2</v>
      </c>
      <c r="C377" t="s">
        <v>115</v>
      </c>
      <c r="I377" s="6" t="s">
        <v>116</v>
      </c>
    </row>
    <row r="378" spans="1:13" ht="409" customHeight="1">
      <c r="B378">
        <v>2</v>
      </c>
      <c r="C378" t="s">
        <v>117</v>
      </c>
      <c r="I378" s="6" t="s">
        <v>234</v>
      </c>
    </row>
    <row r="379" spans="1:13" s="4" customFormat="1" ht="24" customHeight="1">
      <c r="A379" s="4" t="s">
        <v>244</v>
      </c>
      <c r="B379" s="4">
        <v>2</v>
      </c>
      <c r="C379" s="4" t="s">
        <v>94</v>
      </c>
      <c r="D379" s="4">
        <v>5960</v>
      </c>
      <c r="J379" s="4" t="s">
        <v>95</v>
      </c>
      <c r="M379" s="4" t="s">
        <v>245</v>
      </c>
    </row>
    <row r="380" spans="1:13" ht="24" customHeight="1">
      <c r="A380" t="s">
        <v>244</v>
      </c>
      <c r="B380">
        <v>2</v>
      </c>
      <c r="C380" t="s">
        <v>97</v>
      </c>
      <c r="D380" s="5">
        <v>3</v>
      </c>
      <c r="E380" s="2">
        <f>IF(AND(ISNUMBER(F380),ISNUMBER('Reference data'!$B$3)),F380*'Reference data'!$B$3,"Unknown")</f>
        <v>5.2581e-07</v>
      </c>
      <c r="F380" s="2">
        <f>IF(D380=0,0,IF(ISNUMBER('Reference data'!B17),D380*'Reference data'!B17/1000000,"Unknown"))</f>
        <v>6e-07</v>
      </c>
      <c r="G380" s="5">
        <f>IF(ISNUMBER(E380),ROUND(E380*'Reference data'!$B$2,0),"Unknown")</f>
        <v>0.0</v>
      </c>
      <c r="H380" s="5">
        <f>IF(ISNUMBER(F380),ROUND(F380*'Reference data'!$B$2,0),"Unknown")</f>
        <v>0.0</v>
      </c>
    </row>
    <row r="381" spans="1:13" ht="24" customHeight="1">
      <c r="A381" t="s">
        <v>244</v>
      </c>
      <c r="B381">
        <v>2</v>
      </c>
      <c r="C381" t="s">
        <v>98</v>
      </c>
    </row>
    <row r="382" spans="1:13" ht="24" customHeight="1">
      <c r="A382" t="s">
        <v>244</v>
      </c>
      <c r="B382">
        <v>2</v>
      </c>
      <c r="C382" t="s">
        <v>99</v>
      </c>
      <c r="I382" s="6" t="s">
        <v>183</v>
      </c>
    </row>
    <row r="383" spans="1:13" ht="24" customHeight="1">
      <c r="A383" t="s">
        <v>244</v>
      </c>
      <c r="B383">
        <v>2</v>
      </c>
      <c r="C383" t="s">
        <v>103</v>
      </c>
      <c r="D383" s="5">
        <v>5957</v>
      </c>
      <c r="E383" s="2">
        <f>IF(AND(ISNUMBER(F383),ISNUMBER('Reference data'!$B$3)),F383*'Reference data'!$B$3,"Unknown")</f>
        <v>0.0013051042375</v>
      </c>
      <c r="F383" s="2">
        <f>IF(D383=0,0,IF(ISNUMBER('Reference data'!D17),D383*'Reference data'!D17/1000000,"Unknown"))</f>
        <v>0.00148925</v>
      </c>
      <c r="G383" s="5">
        <f>IF(ISNUMBER(E383),ROUND(E383*'Reference data'!$B$2,0),"Unknown")</f>
        <v>131.0</v>
      </c>
      <c r="H383" s="5">
        <f>IF(ISNUMBER(F383),ROUND(F383*'Reference data'!$B$2,0),"Unknown")</f>
        <v>149.0</v>
      </c>
    </row>
    <row r="384" spans="1:13" ht="24" customHeight="1">
      <c r="A384" t="s">
        <v>244</v>
      </c>
      <c r="B384">
        <v>2</v>
      </c>
      <c r="C384" t="s">
        <v>104</v>
      </c>
    </row>
    <row r="385" spans="1:13" s="4" customFormat="1" ht="24" customHeight="1">
      <c r="A385" s="4" t="s">
        <v>244</v>
      </c>
      <c r="B385" s="4">
        <v>2</v>
      </c>
      <c r="C385" s="4" t="s">
        <v>105</v>
      </c>
      <c r="D385" s="4">
        <v>791</v>
      </c>
    </row>
    <row r="386" spans="1:13" ht="24" customHeight="1">
      <c r="A386" t="s">
        <v>244</v>
      </c>
      <c r="B386">
        <v>2</v>
      </c>
      <c r="C386" t="s">
        <v>106</v>
      </c>
      <c r="D386" s="5">
        <v>85</v>
      </c>
      <c r="E386" s="2">
        <f>IF(AND(ISNUMBER(F386),ISNUMBER('Reference data'!$B$3)),F386*'Reference data'!$B$3,"Unknown")</f>
        <v>8.93877e-05</v>
      </c>
      <c r="F386" s="2">
        <f>IF(D386=0,0,IF(ISNUMBER('Reference data'!F17),D386*'Reference data'!F17/1000000,"Unknown"))</f>
        <v>0.000102</v>
      </c>
      <c r="G386" s="5">
        <f>IF(ISNUMBER(E386),ROUND(E386*'Reference data'!$B$2,0),"Unknown")</f>
        <v>9.0</v>
      </c>
      <c r="H386" s="5">
        <f>IF(ISNUMBER(F386),ROUND(F386*'Reference data'!$B$2,0),"Unknown")</f>
        <v>10.0</v>
      </c>
    </row>
    <row r="387" spans="1:13" ht="24" customHeight="1">
      <c r="A387" t="s">
        <v>244</v>
      </c>
      <c r="B387">
        <v>2</v>
      </c>
      <c r="C387" t="s">
        <v>107</v>
      </c>
      <c r="D387" s="5">
        <v>706</v>
      </c>
      <c r="E387" s="2">
        <f>IF(AND(ISNUMBER(F387),ISNUMBER('Reference data'!$B$3)),F387*'Reference data'!$B$3,"Unknown")</f>
        <v>0.00074244372</v>
      </c>
      <c r="F387" s="2">
        <f>IF(D387=0,0,IF(ISNUMBER('Reference data'!E17),D387*'Reference data'!E17/1000000,"Unknown"))</f>
        <v>0.0008472</v>
      </c>
      <c r="G387" s="5">
        <f>IF(ISNUMBER(E387),ROUND(E387*'Reference data'!$B$2,0),"Unknown")</f>
        <v>74.0</v>
      </c>
      <c r="H387" s="5">
        <f>IF(ISNUMBER(F387),ROUND(F387*'Reference data'!$B$2,0),"Unknown")</f>
        <v>85.0</v>
      </c>
    </row>
    <row r="388" spans="1:13" ht="409" customHeight="1">
      <c r="A388" t="s">
        <v>244</v>
      </c>
      <c r="B388">
        <v>2</v>
      </c>
      <c r="C388" t="s">
        <v>108</v>
      </c>
      <c r="I388" s="6" t="s">
        <v>246</v>
      </c>
    </row>
    <row r="389" spans="1:13" ht="24" customHeight="1">
      <c r="A389" t="s">
        <v>244</v>
      </c>
      <c r="B389">
        <v>2</v>
      </c>
      <c r="C389" t="s">
        <v>103</v>
      </c>
    </row>
    <row r="390" spans="1:13" ht="24" customHeight="1">
      <c r="A390" t="s">
        <v>244</v>
      </c>
      <c r="B390">
        <v>2</v>
      </c>
      <c r="C390" t="s">
        <v>104</v>
      </c>
    </row>
    <row r="391" spans="1:13" s="4" customFormat="1" ht="24" customHeight="1">
      <c r="A391" s="4" t="s">
        <v>244</v>
      </c>
      <c r="B391" s="4">
        <v>2</v>
      </c>
      <c r="C391" s="4" t="s">
        <v>110</v>
      </c>
      <c r="E391" s="2">
        <f>IF(COUNT('Turns'!E380,'Turns'!E383,'Turns'!E386,'Turns'!E387)=4,SUM('Turns'!E380,'Turns'!E383,'Turns'!E386,'Turns'!E387),"Unknown")</f>
        <v>0.0021374614675</v>
      </c>
      <c r="F391" s="2">
        <f>IF(COUNT('Turns'!F380,'Turns'!F383,'Turns'!F386,'Turns'!F387)=4,SUM('Turns'!F380,'Turns'!F383,'Turns'!F386,'Turns'!F387),"Unknown")</f>
        <v>0.00243905</v>
      </c>
      <c r="G391" s="5">
        <f>IF(ISNUMBER(E391),ROUND(E391*'Reference data'!$B$2,0),"Unknown")</f>
        <v>214.0</v>
      </c>
      <c r="H391" s="5">
        <f>IF(ISNUMBER(F391),ROUND(F391*'Reference data'!$B$2,0),"Unknown")</f>
        <v>244.0</v>
      </c>
      <c r="K391" s="4" t="s">
        <v>111</v>
      </c>
    </row>
    <row r="392" spans="1:13" s="4" customFormat="1" ht="24" customHeight="1">
      <c r="A392" s="4" t="s">
        <v>247</v>
      </c>
      <c r="B392" s="4">
        <v>2</v>
      </c>
      <c r="C392" s="4" t="s">
        <v>94</v>
      </c>
      <c r="D392" s="4">
        <v>3531</v>
      </c>
      <c r="J392" s="4" t="s">
        <v>95</v>
      </c>
      <c r="M392" s="4" t="s">
        <v>248</v>
      </c>
    </row>
    <row r="393" spans="1:13" ht="24" customHeight="1">
      <c r="A393" t="s">
        <v>247</v>
      </c>
      <c r="B393">
        <v>2</v>
      </c>
      <c r="C393" t="s">
        <v>121</v>
      </c>
      <c r="D393" s="5">
        <v>1950</v>
      </c>
      <c r="E393" s="2">
        <f>IF(AND(ISNUMBER(F393),ISNUMBER('Reference data'!$B$3)),F393*'Reference data'!$B$3,"Unknown")</f>
        <v>3.417765e-05</v>
      </c>
      <c r="F393" s="2">
        <f>IF(D393=0,0,IF(ISNUMBER('Reference data'!C17),D393*'Reference data'!C17/1000000,"Unknown"))</f>
        <v>3.9e-05</v>
      </c>
      <c r="G393" s="5">
        <f>IF(ISNUMBER(E393),ROUND(E393*'Reference data'!$B$2,0),"Unknown")</f>
        <v>3.0</v>
      </c>
      <c r="H393" s="5">
        <f>IF(ISNUMBER(F393),ROUND(F393*'Reference data'!$B$2,0),"Unknown")</f>
        <v>4.0</v>
      </c>
    </row>
    <row r="394" spans="1:13" ht="24" customHeight="1">
      <c r="A394" t="s">
        <v>247</v>
      </c>
      <c r="B394">
        <v>2</v>
      </c>
      <c r="C394" t="s">
        <v>97</v>
      </c>
      <c r="D394" s="5">
        <v>3</v>
      </c>
      <c r="E394" s="2">
        <f>IF(AND(ISNUMBER(F394),ISNUMBER('Reference data'!$B$3)),F394*'Reference data'!$B$3,"Unknown")</f>
        <v>5.2581e-07</v>
      </c>
      <c r="F394" s="2">
        <f>IF(D394=0,0,IF(ISNUMBER('Reference data'!B17),D394*'Reference data'!B17/1000000,"Unknown"))</f>
        <v>6e-07</v>
      </c>
      <c r="G394" s="5">
        <f>IF(ISNUMBER(E394),ROUND(E394*'Reference data'!$B$2,0),"Unknown")</f>
        <v>0.0</v>
      </c>
      <c r="H394" s="5">
        <f>IF(ISNUMBER(F394),ROUND(F394*'Reference data'!$B$2,0),"Unknown")</f>
        <v>0.0</v>
      </c>
    </row>
    <row r="395" spans="1:13" ht="409" customHeight="1">
      <c r="A395" t="s">
        <v>247</v>
      </c>
      <c r="B395">
        <v>2</v>
      </c>
      <c r="C395" t="s">
        <v>122</v>
      </c>
      <c r="I395" s="6" t="s">
        <v>234</v>
      </c>
    </row>
    <row r="396" spans="1:13" ht="24" customHeight="1">
      <c r="A396" t="s">
        <v>247</v>
      </c>
      <c r="B396">
        <v>2</v>
      </c>
      <c r="C396" t="s">
        <v>103</v>
      </c>
      <c r="D396" s="5">
        <v>1578</v>
      </c>
      <c r="E396" s="2">
        <f>IF(AND(ISNUMBER(F396),ISNUMBER('Reference data'!$B$3)),F396*'Reference data'!$B$3,"Unknown")</f>
        <v>0.000345720075</v>
      </c>
      <c r="F396" s="2">
        <f>IF(D396=0,0,IF(ISNUMBER('Reference data'!D17),D396*'Reference data'!D17/1000000,"Unknown"))</f>
        <v>0.0003945</v>
      </c>
      <c r="G396" s="5">
        <f>IF(ISNUMBER(E396),ROUND(E396*'Reference data'!$B$2,0),"Unknown")</f>
        <v>35.0</v>
      </c>
      <c r="H396" s="5">
        <f>IF(ISNUMBER(F396),ROUND(F396*'Reference data'!$B$2,0),"Unknown")</f>
        <v>39.0</v>
      </c>
    </row>
    <row r="397" spans="1:13" ht="24" customHeight="1">
      <c r="A397" t="s">
        <v>247</v>
      </c>
      <c r="B397">
        <v>2</v>
      </c>
      <c r="C397" t="s">
        <v>104</v>
      </c>
    </row>
    <row r="398" spans="1:13" s="4" customFormat="1" ht="24" customHeight="1">
      <c r="A398" s="4" t="s">
        <v>247</v>
      </c>
      <c r="B398" s="4">
        <v>2</v>
      </c>
      <c r="C398" s="4" t="s">
        <v>105</v>
      </c>
      <c r="D398" s="4">
        <v>468</v>
      </c>
    </row>
    <row r="399" spans="1:13" ht="24" customHeight="1">
      <c r="A399" t="s">
        <v>247</v>
      </c>
      <c r="B399">
        <v>2</v>
      </c>
      <c r="C399" t="s">
        <v>106</v>
      </c>
      <c r="D399" s="5">
        <v>23</v>
      </c>
      <c r="E399" s="2">
        <f>IF(AND(ISNUMBER(F399),ISNUMBER('Reference data'!$B$3)),F399*'Reference data'!$B$3,"Unknown")</f>
        <v>2.418726e-05</v>
      </c>
      <c r="F399" s="2">
        <f>IF(D399=0,0,IF(ISNUMBER('Reference data'!F17),D399*'Reference data'!F17/1000000,"Unknown"))</f>
        <v>2.76e-05</v>
      </c>
      <c r="G399" s="5">
        <f>IF(ISNUMBER(E399),ROUND(E399*'Reference data'!$B$2,0),"Unknown")</f>
        <v>2.0</v>
      </c>
      <c r="H399" s="5">
        <f>IF(ISNUMBER(F399),ROUND(F399*'Reference data'!$B$2,0),"Unknown")</f>
        <v>3.0</v>
      </c>
    </row>
    <row r="400" spans="1:13" ht="24" customHeight="1">
      <c r="A400" t="s">
        <v>247</v>
      </c>
      <c r="B400">
        <v>2</v>
      </c>
      <c r="C400" t="s">
        <v>107</v>
      </c>
      <c r="D400" s="5">
        <v>445</v>
      </c>
      <c r="E400" s="2">
        <f>IF(AND(ISNUMBER(F400),ISNUMBER('Reference data'!$B$3)),F400*'Reference data'!$B$3,"Unknown")</f>
        <v>0.0004679709</v>
      </c>
      <c r="F400" s="2">
        <f>IF(D400=0,0,IF(ISNUMBER('Reference data'!E17),D400*'Reference data'!E17/1000000,"Unknown"))</f>
        <v>0.000534</v>
      </c>
      <c r="G400" s="5">
        <f>IF(ISNUMBER(E400),ROUND(E400*'Reference data'!$B$2,0),"Unknown")</f>
        <v>47.0</v>
      </c>
      <c r="H400" s="5">
        <f>IF(ISNUMBER(F400),ROUND(F400*'Reference data'!$B$2,0),"Unknown")</f>
        <v>53.0</v>
      </c>
    </row>
    <row r="401" spans="1:13" ht="409" customHeight="1">
      <c r="A401" t="s">
        <v>247</v>
      </c>
      <c r="B401">
        <v>2</v>
      </c>
      <c r="C401" t="s">
        <v>108</v>
      </c>
      <c r="I401" s="6" t="s">
        <v>249</v>
      </c>
    </row>
    <row r="402" spans="1:13" ht="24" customHeight="1">
      <c r="A402" t="s">
        <v>247</v>
      </c>
      <c r="B402">
        <v>2</v>
      </c>
      <c r="C402" t="s">
        <v>103</v>
      </c>
    </row>
    <row r="403" spans="1:13" ht="24" customHeight="1">
      <c r="A403" t="s">
        <v>247</v>
      </c>
      <c r="B403">
        <v>2</v>
      </c>
      <c r="C403" t="s">
        <v>104</v>
      </c>
    </row>
    <row r="404" spans="1:13" s="4" customFormat="1" ht="24" customHeight="1">
      <c r="A404" s="4" t="s">
        <v>247</v>
      </c>
      <c r="B404" s="4">
        <v>2</v>
      </c>
      <c r="C404" s="4" t="s">
        <v>110</v>
      </c>
      <c r="E404" s="2">
        <f>IF(COUNT('Turns'!E393,'Turns'!E394,'Turns'!E396,'Turns'!E399,'Turns'!E400)=5,SUM('Turns'!E393,'Turns'!E394,'Turns'!E396,'Turns'!E399,'Turns'!E400),"Unknown")</f>
        <v>0.000872581695</v>
      </c>
      <c r="F404" s="2">
        <f>IF(COUNT('Turns'!F393,'Turns'!F394,'Turns'!F396,'Turns'!F399,'Turns'!F400)=5,SUM('Turns'!F393,'Turns'!F394,'Turns'!F396,'Turns'!F399,'Turns'!F400),"Unknown")</f>
        <v>0.0009957</v>
      </c>
      <c r="G404" s="5">
        <f>IF(ISNUMBER(E404),ROUND(E404*'Reference data'!$B$2,0),"Unknown")</f>
        <v>87.0</v>
      </c>
      <c r="H404" s="5">
        <f>IF(ISNUMBER(F404),ROUND(F404*'Reference data'!$B$2,0),"Unknown")</f>
        <v>100.0</v>
      </c>
      <c r="K404" s="4" t="s">
        <v>111</v>
      </c>
    </row>
    <row r="405" spans="1:13" s="4" customFormat="1" ht="24" customHeight="1">
      <c r="B405" s="4">
        <v>2</v>
      </c>
      <c r="C405" s="4" t="s">
        <v>172</v>
      </c>
      <c r="K405" s="4" t="s">
        <v>111</v>
      </c>
      <c r="M405" s="4" t="s">
        <v>250</v>
      </c>
    </row>
    <row r="406" spans="1:13" ht="333" customHeight="1">
      <c r="B406">
        <v>2</v>
      </c>
      <c r="C406" t="s">
        <v>115</v>
      </c>
      <c r="I406" s="6" t="s">
        <v>251</v>
      </c>
    </row>
    <row r="407" spans="1:13" ht="24" customHeight="1">
      <c r="B407">
        <v>2</v>
      </c>
      <c r="C407" t="s">
        <v>117</v>
      </c>
      <c r="I407" s="6" t="s">
        <v>175</v>
      </c>
    </row>
    <row r="408" spans="1:13" s="4" customFormat="1" ht="24" customHeight="1">
      <c r="A408" s="4" t="s">
        <v>252</v>
      </c>
      <c r="B408" s="4">
        <v>2</v>
      </c>
      <c r="C408" s="4" t="s">
        <v>94</v>
      </c>
      <c r="D408" s="4">
        <v>4024</v>
      </c>
      <c r="J408" s="4" t="s">
        <v>95</v>
      </c>
      <c r="M408" s="4" t="s">
        <v>253</v>
      </c>
    </row>
    <row r="409" spans="1:13" ht="24" customHeight="1">
      <c r="A409" t="s">
        <v>252</v>
      </c>
      <c r="B409">
        <v>2</v>
      </c>
      <c r="C409" t="s">
        <v>121</v>
      </c>
      <c r="D409" s="5">
        <v>3528</v>
      </c>
      <c r="E409" s="2">
        <f>IF(AND(ISNUMBER(F409),ISNUMBER('Reference data'!$B$3)),F409*'Reference data'!$B$3,"Unknown")</f>
        <v>6.1835256e-05</v>
      </c>
      <c r="F409" s="2">
        <f>IF(D409=0,0,IF(ISNUMBER('Reference data'!C17),D409*'Reference data'!C17/1000000,"Unknown"))</f>
        <v>7.056e-05</v>
      </c>
      <c r="G409" s="5">
        <f>IF(ISNUMBER(E409),ROUND(E409*'Reference data'!$B$2,0),"Unknown")</f>
        <v>6.0</v>
      </c>
      <c r="H409" s="5">
        <f>IF(ISNUMBER(F409),ROUND(F409*'Reference data'!$B$2,0),"Unknown")</f>
        <v>7.0</v>
      </c>
    </row>
    <row r="410" spans="1:13" ht="24" customHeight="1">
      <c r="A410" t="s">
        <v>252</v>
      </c>
      <c r="B410">
        <v>2</v>
      </c>
      <c r="C410" t="s">
        <v>97</v>
      </c>
      <c r="D410" s="5">
        <v>3</v>
      </c>
      <c r="E410" s="2">
        <f>IF(AND(ISNUMBER(F410),ISNUMBER('Reference data'!$B$3)),F410*'Reference data'!$B$3,"Unknown")</f>
        <v>5.2581e-07</v>
      </c>
      <c r="F410" s="2">
        <f>IF(D410=0,0,IF(ISNUMBER('Reference data'!B17),D410*'Reference data'!B17/1000000,"Unknown"))</f>
        <v>6e-07</v>
      </c>
      <c r="G410" s="5">
        <f>IF(ISNUMBER(E410),ROUND(E410*'Reference data'!$B$2,0),"Unknown")</f>
        <v>0.0</v>
      </c>
      <c r="H410" s="5">
        <f>IF(ISNUMBER(F410),ROUND(F410*'Reference data'!$B$2,0),"Unknown")</f>
        <v>0.0</v>
      </c>
    </row>
    <row r="411" spans="1:13" ht="24" customHeight="1">
      <c r="A411" t="s">
        <v>252</v>
      </c>
      <c r="B411">
        <v>2</v>
      </c>
      <c r="C411" t="s">
        <v>122</v>
      </c>
      <c r="I411" s="6" t="s">
        <v>175</v>
      </c>
    </row>
    <row r="412" spans="1:13" ht="24" customHeight="1">
      <c r="A412" t="s">
        <v>252</v>
      </c>
      <c r="B412">
        <v>2</v>
      </c>
      <c r="C412" t="s">
        <v>103</v>
      </c>
      <c r="D412" s="5">
        <v>493</v>
      </c>
      <c r="E412" s="2">
        <f>IF(AND(ISNUMBER(F412),ISNUMBER('Reference data'!$B$3)),F412*'Reference data'!$B$3,"Unknown")</f>
        <v>0.0001080101375</v>
      </c>
      <c r="F412" s="2">
        <f>IF(D412=0,0,IF(ISNUMBER('Reference data'!D17),D412*'Reference data'!D17/1000000,"Unknown"))</f>
        <v>0.00012325</v>
      </c>
      <c r="G412" s="5">
        <f>IF(ISNUMBER(E412),ROUND(E412*'Reference data'!$B$2,0),"Unknown")</f>
        <v>11.0</v>
      </c>
      <c r="H412" s="5">
        <f>IF(ISNUMBER(F412),ROUND(F412*'Reference data'!$B$2,0),"Unknown")</f>
        <v>12.0</v>
      </c>
    </row>
    <row r="413" spans="1:13" ht="24" customHeight="1">
      <c r="A413" t="s">
        <v>252</v>
      </c>
      <c r="B413">
        <v>2</v>
      </c>
      <c r="C413" t="s">
        <v>104</v>
      </c>
    </row>
    <row r="414" spans="1:13" s="4" customFormat="1" ht="24" customHeight="1">
      <c r="A414" s="4" t="s">
        <v>252</v>
      </c>
      <c r="B414" s="4">
        <v>2</v>
      </c>
      <c r="C414" s="4" t="s">
        <v>105</v>
      </c>
      <c r="D414" s="4">
        <v>171</v>
      </c>
    </row>
    <row r="415" spans="1:13" ht="24" customHeight="1">
      <c r="A415" t="s">
        <v>252</v>
      </c>
      <c r="B415">
        <v>2</v>
      </c>
      <c r="C415" t="s">
        <v>106</v>
      </c>
      <c r="D415" s="5">
        <v>27</v>
      </c>
      <c r="E415" s="2">
        <f>IF(AND(ISNUMBER(F415),ISNUMBER('Reference data'!$B$3)),F415*'Reference data'!$B$3,"Unknown")</f>
        <v>2.839374e-05</v>
      </c>
      <c r="F415" s="2">
        <f>IF(D415=0,0,IF(ISNUMBER('Reference data'!F17),D415*'Reference data'!F17/1000000,"Unknown"))</f>
        <v>3.24e-05</v>
      </c>
      <c r="G415" s="5">
        <f>IF(ISNUMBER(E415),ROUND(E415*'Reference data'!$B$2,0),"Unknown")</f>
        <v>3.0</v>
      </c>
      <c r="H415" s="5">
        <f>IF(ISNUMBER(F415),ROUND(F415*'Reference data'!$B$2,0),"Unknown")</f>
        <v>3.0</v>
      </c>
    </row>
    <row r="416" spans="1:13" ht="24" customHeight="1">
      <c r="A416" t="s">
        <v>252</v>
      </c>
      <c r="B416">
        <v>2</v>
      </c>
      <c r="C416" t="s">
        <v>107</v>
      </c>
      <c r="D416" s="5">
        <v>144</v>
      </c>
      <c r="E416" s="2">
        <f>IF(AND(ISNUMBER(F416),ISNUMBER('Reference data'!$B$3)),F416*'Reference data'!$B$3,"Unknown")</f>
        <v>0.00015143328</v>
      </c>
      <c r="F416" s="2">
        <f>IF(D416=0,0,IF(ISNUMBER('Reference data'!E17),D416*'Reference data'!E17/1000000,"Unknown"))</f>
        <v>0.0001728</v>
      </c>
      <c r="G416" s="5">
        <f>IF(ISNUMBER(E416),ROUND(E416*'Reference data'!$B$2,0),"Unknown")</f>
        <v>15.0</v>
      </c>
      <c r="H416" s="5">
        <f>IF(ISNUMBER(F416),ROUND(F416*'Reference data'!$B$2,0),"Unknown")</f>
        <v>17.0</v>
      </c>
    </row>
    <row r="417" spans="1:13" ht="359" customHeight="1">
      <c r="A417" t="s">
        <v>252</v>
      </c>
      <c r="B417">
        <v>2</v>
      </c>
      <c r="C417" t="s">
        <v>108</v>
      </c>
      <c r="I417" s="6" t="s">
        <v>254</v>
      </c>
    </row>
    <row r="418" spans="1:13" ht="24" customHeight="1">
      <c r="A418" t="s">
        <v>252</v>
      </c>
      <c r="B418">
        <v>2</v>
      </c>
      <c r="C418" t="s">
        <v>103</v>
      </c>
    </row>
    <row r="419" spans="1:13" ht="24" customHeight="1">
      <c r="A419" t="s">
        <v>252</v>
      </c>
      <c r="B419">
        <v>2</v>
      </c>
      <c r="C419" t="s">
        <v>104</v>
      </c>
    </row>
    <row r="420" spans="1:13" s="4" customFormat="1" ht="24" customHeight="1">
      <c r="A420" s="4" t="s">
        <v>252</v>
      </c>
      <c r="B420" s="4">
        <v>2</v>
      </c>
      <c r="C420" s="4" t="s">
        <v>110</v>
      </c>
      <c r="E420" s="2">
        <f>IF(COUNT('Turns'!E409,'Turns'!E410,'Turns'!E412,'Turns'!E415,'Turns'!E416)=5,SUM('Turns'!E409,'Turns'!E410,'Turns'!E412,'Turns'!E415,'Turns'!E416),"Unknown")</f>
        <v>0.0003501982235</v>
      </c>
      <c r="F420" s="2">
        <f>IF(COUNT('Turns'!F409,'Turns'!F410,'Turns'!F412,'Turns'!F415,'Turns'!F416)=5,SUM('Turns'!F409,'Turns'!F410,'Turns'!F412,'Turns'!F415,'Turns'!F416),"Unknown")</f>
        <v>0.00039961</v>
      </c>
      <c r="G420" s="5">
        <f>IF(ISNUMBER(E420),ROUND(E420*'Reference data'!$B$2,0),"Unknown")</f>
        <v>35.0</v>
      </c>
      <c r="H420" s="5">
        <f>IF(ISNUMBER(F420),ROUND(F420*'Reference data'!$B$2,0),"Unknown")</f>
        <v>40.0</v>
      </c>
      <c r="K420" s="4" t="s">
        <v>111</v>
      </c>
    </row>
    <row r="421" spans="1:13" s="4" customFormat="1" ht="24" customHeight="1">
      <c r="A421" s="4" t="s">
        <v>255</v>
      </c>
      <c r="B421" s="4">
        <v>2</v>
      </c>
      <c r="C421" s="4" t="s">
        <v>94</v>
      </c>
      <c r="D421" s="4">
        <v>4336</v>
      </c>
      <c r="J421" s="4" t="s">
        <v>95</v>
      </c>
      <c r="M421" s="4" t="s">
        <v>256</v>
      </c>
    </row>
    <row r="422" spans="1:13" ht="24" customHeight="1">
      <c r="A422" t="s">
        <v>255</v>
      </c>
      <c r="B422">
        <v>2</v>
      </c>
      <c r="C422" t="s">
        <v>121</v>
      </c>
      <c r="D422" s="5">
        <v>0</v>
      </c>
      <c r="E422" s="2">
        <f>IF(AND(ISNUMBER(F422),ISNUMBER('Reference data'!$B$3)),F422*'Reference data'!$B$3,"Unknown")</f>
        <v>0.0</v>
      </c>
      <c r="F422" s="2">
        <f>IF(D422=0,0,IF(ISNUMBER('Reference data'!C17),D422*'Reference data'!C17/1000000,"Unknown"))</f>
        <v>0.0</v>
      </c>
      <c r="G422" s="5">
        <f>IF(ISNUMBER(E422),ROUND(E422*'Reference data'!$B$2,0),"Unknown")</f>
        <v>0.0</v>
      </c>
      <c r="H422" s="5">
        <f>IF(ISNUMBER(F422),ROUND(F422*'Reference data'!$B$2,0),"Unknown")</f>
        <v>0.0</v>
      </c>
    </row>
    <row r="423" spans="1:13" ht="24" customHeight="1">
      <c r="A423" t="s">
        <v>255</v>
      </c>
      <c r="B423">
        <v>2</v>
      </c>
      <c r="C423" t="s">
        <v>97</v>
      </c>
      <c r="D423" s="5">
        <v>3</v>
      </c>
      <c r="E423" s="2">
        <f>IF(AND(ISNUMBER(F423),ISNUMBER('Reference data'!$B$3)),F423*'Reference data'!$B$3,"Unknown")</f>
        <v>5.2581e-07</v>
      </c>
      <c r="F423" s="2">
        <f>IF(D423=0,0,IF(ISNUMBER('Reference data'!B17),D423*'Reference data'!B17/1000000,"Unknown"))</f>
        <v>6e-07</v>
      </c>
      <c r="G423" s="5">
        <f>IF(ISNUMBER(E423),ROUND(E423*'Reference data'!$B$2,0),"Unknown")</f>
        <v>0.0</v>
      </c>
      <c r="H423" s="5">
        <f>IF(ISNUMBER(F423),ROUND(F423*'Reference data'!$B$2,0),"Unknown")</f>
        <v>0.0</v>
      </c>
    </row>
    <row r="424" spans="1:13" ht="409" customHeight="1">
      <c r="A424" t="s">
        <v>255</v>
      </c>
      <c r="B424">
        <v>2</v>
      </c>
      <c r="C424" t="s">
        <v>122</v>
      </c>
      <c r="I424" s="6" t="s">
        <v>257</v>
      </c>
    </row>
    <row r="425" spans="1:13" ht="24" customHeight="1">
      <c r="A425" t="s">
        <v>255</v>
      </c>
      <c r="B425">
        <v>2</v>
      </c>
      <c r="C425" t="s">
        <v>103</v>
      </c>
      <c r="D425" s="5">
        <v>4333</v>
      </c>
      <c r="E425" s="2">
        <f>IF(AND(ISNUMBER(F425),ISNUMBER('Reference data'!$B$3)),F425*'Reference data'!$B$3,"Unknown")</f>
        <v>0.0009493061375</v>
      </c>
      <c r="F425" s="2">
        <f>IF(D425=0,0,IF(ISNUMBER('Reference data'!D17),D425*'Reference data'!D17/1000000,"Unknown"))</f>
        <v>0.00108325</v>
      </c>
      <c r="G425" s="5">
        <f>IF(ISNUMBER(E425),ROUND(E425*'Reference data'!$B$2,0),"Unknown")</f>
        <v>95.0</v>
      </c>
      <c r="H425" s="5">
        <f>IF(ISNUMBER(F425),ROUND(F425*'Reference data'!$B$2,0),"Unknown")</f>
        <v>108.0</v>
      </c>
    </row>
    <row r="426" spans="1:13" ht="24" customHeight="1">
      <c r="A426" t="s">
        <v>255</v>
      </c>
      <c r="B426">
        <v>2</v>
      </c>
      <c r="C426" t="s">
        <v>104</v>
      </c>
    </row>
    <row r="427" spans="1:13" s="4" customFormat="1" ht="24" customHeight="1">
      <c r="A427" s="4" t="s">
        <v>255</v>
      </c>
      <c r="B427" s="4">
        <v>2</v>
      </c>
      <c r="C427" s="4" t="s">
        <v>105</v>
      </c>
      <c r="D427" s="4">
        <v>85</v>
      </c>
    </row>
    <row r="428" spans="1:13" ht="24" customHeight="1">
      <c r="A428" t="s">
        <v>255</v>
      </c>
      <c r="B428">
        <v>2</v>
      </c>
      <c r="C428" t="s">
        <v>106</v>
      </c>
      <c r="D428" s="5">
        <v>12</v>
      </c>
      <c r="E428" s="2">
        <f>IF(AND(ISNUMBER(F428),ISNUMBER('Reference data'!$B$3)),F428*'Reference data'!$B$3,"Unknown")</f>
        <v>1.261944e-05</v>
      </c>
      <c r="F428" s="2">
        <f>IF(D428=0,0,IF(ISNUMBER('Reference data'!F17),D428*'Reference data'!F17/1000000,"Unknown"))</f>
        <v>1.44e-05</v>
      </c>
      <c r="G428" s="5">
        <f>IF(ISNUMBER(E428),ROUND(E428*'Reference data'!$B$2,0),"Unknown")</f>
        <v>1.0</v>
      </c>
      <c r="H428" s="5">
        <f>IF(ISNUMBER(F428),ROUND(F428*'Reference data'!$B$2,0),"Unknown")</f>
        <v>1.0</v>
      </c>
    </row>
    <row r="429" spans="1:13" ht="24" customHeight="1">
      <c r="A429" t="s">
        <v>255</v>
      </c>
      <c r="B429">
        <v>2</v>
      </c>
      <c r="C429" t="s">
        <v>107</v>
      </c>
      <c r="D429" s="5">
        <v>73</v>
      </c>
      <c r="E429" s="2">
        <f>IF(AND(ISNUMBER(F429),ISNUMBER('Reference data'!$B$3)),F429*'Reference data'!$B$3,"Unknown")</f>
        <v>7.676826e-05</v>
      </c>
      <c r="F429" s="2">
        <f>IF(D429=0,0,IF(ISNUMBER('Reference data'!E17),D429*'Reference data'!E17/1000000,"Unknown"))</f>
        <v>8.76e-05</v>
      </c>
      <c r="G429" s="5">
        <f>IF(ISNUMBER(E429),ROUND(E429*'Reference data'!$B$2,0),"Unknown")</f>
        <v>8.0</v>
      </c>
      <c r="H429" s="5">
        <f>IF(ISNUMBER(F429),ROUND(F429*'Reference data'!$B$2,0),"Unknown")</f>
        <v>9.0</v>
      </c>
    </row>
    <row r="430" spans="1:13" ht="346" customHeight="1">
      <c r="A430" t="s">
        <v>255</v>
      </c>
      <c r="B430">
        <v>2</v>
      </c>
      <c r="C430" t="s">
        <v>108</v>
      </c>
      <c r="I430" s="6" t="s">
        <v>258</v>
      </c>
    </row>
    <row r="431" spans="1:13" ht="24" customHeight="1">
      <c r="A431" t="s">
        <v>255</v>
      </c>
      <c r="B431">
        <v>2</v>
      </c>
      <c r="C431" t="s">
        <v>103</v>
      </c>
    </row>
    <row r="432" spans="1:13" ht="24" customHeight="1">
      <c r="A432" t="s">
        <v>255</v>
      </c>
      <c r="B432">
        <v>2</v>
      </c>
      <c r="C432" t="s">
        <v>104</v>
      </c>
    </row>
    <row r="433" spans="1:13" s="4" customFormat="1" ht="24" customHeight="1">
      <c r="A433" s="4" t="s">
        <v>255</v>
      </c>
      <c r="B433" s="4">
        <v>2</v>
      </c>
      <c r="C433" s="4" t="s">
        <v>110</v>
      </c>
      <c r="E433" s="2">
        <f>IF(COUNT('Turns'!E422,'Turns'!E423,'Turns'!E425,'Turns'!E428,'Turns'!E429)=5,SUM('Turns'!E422,'Turns'!E423,'Turns'!E425,'Turns'!E428,'Turns'!E429),"Unknown")</f>
        <v>0.0010392196475</v>
      </c>
      <c r="F433" s="2">
        <f>IF(COUNT('Turns'!F422,'Turns'!F423,'Turns'!F425,'Turns'!F428,'Turns'!F429)=5,SUM('Turns'!F422,'Turns'!F423,'Turns'!F425,'Turns'!F428,'Turns'!F429),"Unknown")</f>
        <v>0.00118585</v>
      </c>
      <c r="G433" s="5">
        <f>IF(ISNUMBER(E433),ROUND(E433*'Reference data'!$B$2,0),"Unknown")</f>
        <v>104.0</v>
      </c>
      <c r="H433" s="5">
        <f>IF(ISNUMBER(F433),ROUND(F433*'Reference data'!$B$2,0),"Unknown")</f>
        <v>119.0</v>
      </c>
      <c r="K433" s="4" t="s">
        <v>111</v>
      </c>
    </row>
    <row r="434" spans="1:13" s="4" customFormat="1" ht="24" customHeight="1">
      <c r="B434" s="4">
        <v>2</v>
      </c>
      <c r="C434" s="4" t="s">
        <v>112</v>
      </c>
      <c r="K434" s="4" t="s">
        <v>111</v>
      </c>
      <c r="M434" s="4" t="s">
        <v>259</v>
      </c>
    </row>
    <row r="435" spans="1:13" ht="24" customHeight="1">
      <c r="B435">
        <v>2</v>
      </c>
      <c r="C435" t="s">
        <v>115</v>
      </c>
      <c r="I435" s="6" t="s">
        <v>214</v>
      </c>
    </row>
    <row r="436" spans="1:13" ht="409" customHeight="1">
      <c r="B436">
        <v>2</v>
      </c>
      <c r="C436" t="s">
        <v>117</v>
      </c>
      <c r="I436" s="6" t="s">
        <v>215</v>
      </c>
    </row>
    <row r="437" spans="1:13" s="4" customFormat="1" ht="24" customHeight="1">
      <c r="B437" s="4">
        <v>2</v>
      </c>
      <c r="C437" s="4" t="s">
        <v>112</v>
      </c>
      <c r="K437" s="4" t="s">
        <v>111</v>
      </c>
      <c r="M437" s="4" t="s">
        <v>260</v>
      </c>
    </row>
    <row r="438" spans="1:13" ht="24" customHeight="1">
      <c r="B438">
        <v>2</v>
      </c>
      <c r="C438" t="s">
        <v>115</v>
      </c>
      <c r="I438" s="6" t="s">
        <v>162</v>
      </c>
    </row>
    <row r="439" spans="1:13" ht="409" customHeight="1">
      <c r="B439">
        <v>2</v>
      </c>
      <c r="C439" t="s">
        <v>117</v>
      </c>
      <c r="I439" s="6" t="s">
        <v>152</v>
      </c>
    </row>
    <row r="440" spans="1:13" s="4" customFormat="1" ht="24" customHeight="1">
      <c r="A440" s="4" t="s">
        <v>261</v>
      </c>
      <c r="B440" s="4">
        <v>2</v>
      </c>
      <c r="C440" s="4" t="s">
        <v>94</v>
      </c>
      <c r="D440" s="4">
        <v>5152</v>
      </c>
      <c r="J440" s="4" t="s">
        <v>95</v>
      </c>
      <c r="M440" s="4" t="s">
        <v>262</v>
      </c>
    </row>
    <row r="441" spans="1:13" ht="24" customHeight="1">
      <c r="A441" t="s">
        <v>261</v>
      </c>
      <c r="B441">
        <v>2</v>
      </c>
      <c r="C441" t="s">
        <v>121</v>
      </c>
      <c r="D441" s="5">
        <v>4333</v>
      </c>
      <c r="E441" s="2">
        <f>IF(AND(ISNUMBER(F441),ISNUMBER('Reference data'!$B$3)),F441*'Reference data'!$B$3,"Unknown")</f>
        <v>7.5944491e-05</v>
      </c>
      <c r="F441" s="2">
        <f>IF(D441=0,0,IF(ISNUMBER('Reference data'!C17),D441*'Reference data'!C17/1000000,"Unknown"))</f>
        <v>8.666e-05</v>
      </c>
      <c r="G441" s="5">
        <f>IF(ISNUMBER(E441),ROUND(E441*'Reference data'!$B$2,0),"Unknown")</f>
        <v>8.0</v>
      </c>
      <c r="H441" s="5">
        <f>IF(ISNUMBER(F441),ROUND(F441*'Reference data'!$B$2,0),"Unknown")</f>
        <v>9.0</v>
      </c>
    </row>
    <row r="442" spans="1:13" ht="24" customHeight="1">
      <c r="A442" t="s">
        <v>261</v>
      </c>
      <c r="B442">
        <v>2</v>
      </c>
      <c r="C442" t="s">
        <v>97</v>
      </c>
      <c r="D442" s="5">
        <v>3</v>
      </c>
      <c r="E442" s="2">
        <f>IF(AND(ISNUMBER(F442),ISNUMBER('Reference data'!$B$3)),F442*'Reference data'!$B$3,"Unknown")</f>
        <v>5.2581e-07</v>
      </c>
      <c r="F442" s="2">
        <f>IF(D442=0,0,IF(ISNUMBER('Reference data'!B17),D442*'Reference data'!B17/1000000,"Unknown"))</f>
        <v>6e-07</v>
      </c>
      <c r="G442" s="5">
        <f>IF(ISNUMBER(E442),ROUND(E442*'Reference data'!$B$2,0),"Unknown")</f>
        <v>0.0</v>
      </c>
      <c r="H442" s="5">
        <f>IF(ISNUMBER(F442),ROUND(F442*'Reference data'!$B$2,0),"Unknown")</f>
        <v>0.0</v>
      </c>
    </row>
    <row r="443" spans="1:13" ht="409" customHeight="1">
      <c r="A443" t="s">
        <v>261</v>
      </c>
      <c r="B443">
        <v>2</v>
      </c>
      <c r="C443" t="s">
        <v>122</v>
      </c>
      <c r="I443" s="6" t="s">
        <v>263</v>
      </c>
    </row>
    <row r="444" spans="1:13" ht="24" customHeight="1">
      <c r="A444" t="s">
        <v>261</v>
      </c>
      <c r="B444">
        <v>2</v>
      </c>
      <c r="C444" t="s">
        <v>103</v>
      </c>
      <c r="D444" s="5">
        <v>816</v>
      </c>
      <c r="E444" s="2">
        <f>IF(AND(ISNUMBER(F444),ISNUMBER('Reference data'!$B$3)),F444*'Reference data'!$B$3,"Unknown")</f>
        <v>0.0001787754</v>
      </c>
      <c r="F444" s="2">
        <f>IF(D444=0,0,IF(ISNUMBER('Reference data'!D17),D444*'Reference data'!D17/1000000,"Unknown"))</f>
        <v>0.000204</v>
      </c>
      <c r="G444" s="5">
        <f>IF(ISNUMBER(E444),ROUND(E444*'Reference data'!$B$2,0),"Unknown")</f>
        <v>18.0</v>
      </c>
      <c r="H444" s="5">
        <f>IF(ISNUMBER(F444),ROUND(F444*'Reference data'!$B$2,0),"Unknown")</f>
        <v>20.0</v>
      </c>
    </row>
    <row r="445" spans="1:13" ht="24" customHeight="1">
      <c r="A445" t="s">
        <v>261</v>
      </c>
      <c r="B445">
        <v>2</v>
      </c>
      <c r="C445" t="s">
        <v>104</v>
      </c>
    </row>
    <row r="446" spans="1:13" s="4" customFormat="1" ht="24" customHeight="1">
      <c r="A446" s="4" t="s">
        <v>261</v>
      </c>
      <c r="B446" s="4">
        <v>2</v>
      </c>
      <c r="C446" s="4" t="s">
        <v>105</v>
      </c>
      <c r="D446" s="4">
        <v>568</v>
      </c>
    </row>
    <row r="447" spans="1:13" ht="24" customHeight="1">
      <c r="A447" t="s">
        <v>261</v>
      </c>
      <c r="B447">
        <v>2</v>
      </c>
      <c r="C447" t="s">
        <v>106</v>
      </c>
      <c r="D447" s="5">
        <v>98</v>
      </c>
      <c r="E447" s="2">
        <f>IF(AND(ISNUMBER(F447),ISNUMBER('Reference data'!$B$3)),F447*'Reference data'!$B$3,"Unknown")</f>
        <v>0.00010305876</v>
      </c>
      <c r="F447" s="2">
        <f>IF(D447=0,0,IF(ISNUMBER('Reference data'!F17),D447*'Reference data'!F17/1000000,"Unknown"))</f>
        <v>0.0001176</v>
      </c>
      <c r="G447" s="5">
        <f>IF(ISNUMBER(E447),ROUND(E447*'Reference data'!$B$2,0),"Unknown")</f>
        <v>10.0</v>
      </c>
      <c r="H447" s="5">
        <f>IF(ISNUMBER(F447),ROUND(F447*'Reference data'!$B$2,0),"Unknown")</f>
        <v>12.0</v>
      </c>
    </row>
    <row r="448" spans="1:13" ht="24" customHeight="1">
      <c r="A448" t="s">
        <v>261</v>
      </c>
      <c r="B448">
        <v>2</v>
      </c>
      <c r="C448" t="s">
        <v>107</v>
      </c>
      <c r="D448" s="5">
        <v>470</v>
      </c>
      <c r="E448" s="2">
        <f>IF(AND(ISNUMBER(F448),ISNUMBER('Reference data'!$B$3)),F448*'Reference data'!$B$3,"Unknown")</f>
        <v>0.0004942614</v>
      </c>
      <c r="F448" s="2">
        <f>IF(D448=0,0,IF(ISNUMBER('Reference data'!E17),D448*'Reference data'!E17/1000000,"Unknown"))</f>
        <v>0.000564</v>
      </c>
      <c r="G448" s="5">
        <f>IF(ISNUMBER(E448),ROUND(E448*'Reference data'!$B$2,0),"Unknown")</f>
        <v>49.0</v>
      </c>
      <c r="H448" s="5">
        <f>IF(ISNUMBER(F448),ROUND(F448*'Reference data'!$B$2,0),"Unknown")</f>
        <v>56.0</v>
      </c>
    </row>
    <row r="449" spans="1:13" ht="409" customHeight="1">
      <c r="A449" t="s">
        <v>261</v>
      </c>
      <c r="B449">
        <v>2</v>
      </c>
      <c r="C449" t="s">
        <v>108</v>
      </c>
      <c r="I449" s="6" t="s">
        <v>264</v>
      </c>
    </row>
    <row r="450" spans="1:13" ht="24" customHeight="1">
      <c r="A450" t="s">
        <v>261</v>
      </c>
      <c r="B450">
        <v>2</v>
      </c>
      <c r="C450" t="s">
        <v>103</v>
      </c>
    </row>
    <row r="451" spans="1:13" ht="24" customHeight="1">
      <c r="A451" t="s">
        <v>261</v>
      </c>
      <c r="B451">
        <v>2</v>
      </c>
      <c r="C451" t="s">
        <v>104</v>
      </c>
    </row>
    <row r="452" spans="1:13" s="4" customFormat="1" ht="24" customHeight="1">
      <c r="A452" s="4" t="s">
        <v>261</v>
      </c>
      <c r="B452" s="4">
        <v>2</v>
      </c>
      <c r="C452" s="4" t="s">
        <v>110</v>
      </c>
      <c r="E452" s="2">
        <f>IF(COUNT('Turns'!E441,'Turns'!E442,'Turns'!E444,'Turns'!E447,'Turns'!E448)=5,SUM('Turns'!E441,'Turns'!E442,'Turns'!E444,'Turns'!E447,'Turns'!E448),"Unknown")</f>
        <v>0.000852565861</v>
      </c>
      <c r="F452" s="2">
        <f>IF(COUNT('Turns'!F441,'Turns'!F442,'Turns'!F444,'Turns'!F447,'Turns'!F448)=5,SUM('Turns'!F441,'Turns'!F442,'Turns'!F444,'Turns'!F447,'Turns'!F448),"Unknown")</f>
        <v>0.00097286</v>
      </c>
      <c r="G452" s="5">
        <f>IF(ISNUMBER(E452),ROUND(E452*'Reference data'!$B$2,0),"Unknown")</f>
        <v>85.0</v>
      </c>
      <c r="H452" s="5">
        <f>IF(ISNUMBER(F452),ROUND(F452*'Reference data'!$B$2,0),"Unknown")</f>
        <v>97.0</v>
      </c>
      <c r="K452" s="4" t="s">
        <v>111</v>
      </c>
    </row>
    <row r="453" spans="1:13" s="4" customFormat="1" ht="24" customHeight="1">
      <c r="B453" s="4">
        <v>2</v>
      </c>
      <c r="C453" s="4" t="s">
        <v>172</v>
      </c>
      <c r="K453" s="4" t="s">
        <v>111</v>
      </c>
      <c r="M453" s="4" t="s">
        <v>265</v>
      </c>
    </row>
    <row r="454" spans="1:13" ht="242" customHeight="1">
      <c r="B454">
        <v>2</v>
      </c>
      <c r="C454" t="s">
        <v>115</v>
      </c>
      <c r="I454" s="6" t="s">
        <v>266</v>
      </c>
    </row>
    <row r="455" spans="1:13" ht="24" customHeight="1">
      <c r="B455">
        <v>2</v>
      </c>
      <c r="C455" t="s">
        <v>117</v>
      </c>
      <c r="I455" s="6" t="s">
        <v>267</v>
      </c>
    </row>
    <row r="456" spans="1:13" s="4" customFormat="1" ht="24" customHeight="1">
      <c r="A456" s="4" t="s">
        <v>268</v>
      </c>
      <c r="B456" s="4">
        <v>2</v>
      </c>
      <c r="C456" s="4" t="s">
        <v>94</v>
      </c>
      <c r="D456" s="4">
        <v>5747</v>
      </c>
      <c r="J456" s="4" t="s">
        <v>95</v>
      </c>
      <c r="M456" s="4" t="s">
        <v>269</v>
      </c>
    </row>
    <row r="457" spans="1:13" ht="24" customHeight="1">
      <c r="A457" t="s">
        <v>268</v>
      </c>
      <c r="B457">
        <v>2</v>
      </c>
      <c r="C457" t="s">
        <v>121</v>
      </c>
      <c r="D457" s="5">
        <v>5149</v>
      </c>
      <c r="E457" s="2">
        <f>IF(AND(ISNUMBER(F457),ISNUMBER('Reference data'!$B$3)),F457*'Reference data'!$B$3,"Unknown")</f>
        <v>9.0246523e-05</v>
      </c>
      <c r="F457" s="2">
        <f>IF(D457=0,0,IF(ISNUMBER('Reference data'!C17),D457*'Reference data'!C17/1000000,"Unknown"))</f>
        <v>0.00010298</v>
      </c>
      <c r="G457" s="5">
        <f>IF(ISNUMBER(E457),ROUND(E457*'Reference data'!$B$2,0),"Unknown")</f>
        <v>9.0</v>
      </c>
      <c r="H457" s="5">
        <f>IF(ISNUMBER(F457),ROUND(F457*'Reference data'!$B$2,0),"Unknown")</f>
        <v>10.0</v>
      </c>
    </row>
    <row r="458" spans="1:13" ht="24" customHeight="1">
      <c r="A458" t="s">
        <v>268</v>
      </c>
      <c r="B458">
        <v>2</v>
      </c>
      <c r="C458" t="s">
        <v>97</v>
      </c>
      <c r="D458" s="5">
        <v>3</v>
      </c>
      <c r="E458" s="2">
        <f>IF(AND(ISNUMBER(F458),ISNUMBER('Reference data'!$B$3)),F458*'Reference data'!$B$3,"Unknown")</f>
        <v>5.2581e-07</v>
      </c>
      <c r="F458" s="2">
        <f>IF(D458=0,0,IF(ISNUMBER('Reference data'!B17),D458*'Reference data'!B17/1000000,"Unknown"))</f>
        <v>6e-07</v>
      </c>
      <c r="G458" s="5">
        <f>IF(ISNUMBER(E458),ROUND(E458*'Reference data'!$B$2,0),"Unknown")</f>
        <v>0.0</v>
      </c>
      <c r="H458" s="5">
        <f>IF(ISNUMBER(F458),ROUND(F458*'Reference data'!$B$2,0),"Unknown")</f>
        <v>0.0</v>
      </c>
    </row>
    <row r="459" spans="1:13" ht="24" customHeight="1">
      <c r="A459" t="s">
        <v>268</v>
      </c>
      <c r="B459">
        <v>2</v>
      </c>
      <c r="C459" t="s">
        <v>122</v>
      </c>
      <c r="I459" s="6" t="s">
        <v>267</v>
      </c>
    </row>
    <row r="460" spans="1:13" ht="24" customHeight="1">
      <c r="A460" t="s">
        <v>268</v>
      </c>
      <c r="B460">
        <v>2</v>
      </c>
      <c r="C460" t="s">
        <v>103</v>
      </c>
      <c r="D460" s="5">
        <v>595</v>
      </c>
      <c r="E460" s="2">
        <f>IF(AND(ISNUMBER(F460),ISNUMBER('Reference data'!$B$3)),F460*'Reference data'!$B$3,"Unknown")</f>
        <v>0.0001303570625</v>
      </c>
      <c r="F460" s="2">
        <f>IF(D460=0,0,IF(ISNUMBER('Reference data'!D17),D460*'Reference data'!D17/1000000,"Unknown"))</f>
        <v>0.00014875</v>
      </c>
      <c r="G460" s="5">
        <f>IF(ISNUMBER(E460),ROUND(E460*'Reference data'!$B$2,0),"Unknown")</f>
        <v>13.0</v>
      </c>
      <c r="H460" s="5">
        <f>IF(ISNUMBER(F460),ROUND(F460*'Reference data'!$B$2,0),"Unknown")</f>
        <v>15.0</v>
      </c>
    </row>
    <row r="461" spans="1:13" ht="24" customHeight="1">
      <c r="A461" t="s">
        <v>268</v>
      </c>
      <c r="B461">
        <v>2</v>
      </c>
      <c r="C461" t="s">
        <v>104</v>
      </c>
    </row>
    <row r="462" spans="1:13" s="4" customFormat="1" ht="24" customHeight="1">
      <c r="A462" s="4" t="s">
        <v>268</v>
      </c>
      <c r="B462" s="4">
        <v>2</v>
      </c>
      <c r="C462" s="4" t="s">
        <v>105</v>
      </c>
      <c r="D462" s="4">
        <v>55</v>
      </c>
    </row>
    <row r="463" spans="1:13" ht="24" customHeight="1">
      <c r="A463" t="s">
        <v>268</v>
      </c>
      <c r="B463">
        <v>2</v>
      </c>
      <c r="C463" t="s">
        <v>106</v>
      </c>
      <c r="D463" s="5">
        <v>23</v>
      </c>
      <c r="E463" s="2">
        <f>IF(AND(ISNUMBER(F463),ISNUMBER('Reference data'!$B$3)),F463*'Reference data'!$B$3,"Unknown")</f>
        <v>2.418726e-05</v>
      </c>
      <c r="F463" s="2">
        <f>IF(D463=0,0,IF(ISNUMBER('Reference data'!F17),D463*'Reference data'!F17/1000000,"Unknown"))</f>
        <v>2.76e-05</v>
      </c>
      <c r="G463" s="5">
        <f>IF(ISNUMBER(E463),ROUND(E463*'Reference data'!$B$2,0),"Unknown")</f>
        <v>2.0</v>
      </c>
      <c r="H463" s="5">
        <f>IF(ISNUMBER(F463),ROUND(F463*'Reference data'!$B$2,0),"Unknown")</f>
        <v>3.0</v>
      </c>
    </row>
    <row r="464" spans="1:13" ht="24" customHeight="1">
      <c r="A464" t="s">
        <v>268</v>
      </c>
      <c r="B464">
        <v>2</v>
      </c>
      <c r="C464" t="s">
        <v>107</v>
      </c>
      <c r="D464" s="5">
        <v>32</v>
      </c>
      <c r="E464" s="2">
        <f>IF(AND(ISNUMBER(F464),ISNUMBER('Reference data'!$B$3)),F464*'Reference data'!$B$3,"Unknown")</f>
        <v>3.365184e-05</v>
      </c>
      <c r="F464" s="2">
        <f>IF(D464=0,0,IF(ISNUMBER('Reference data'!E17),D464*'Reference data'!E17/1000000,"Unknown"))</f>
        <v>3.84e-05</v>
      </c>
      <c r="G464" s="5">
        <f>IF(ISNUMBER(E464),ROUND(E464*'Reference data'!$B$2,0),"Unknown")</f>
        <v>3.0</v>
      </c>
      <c r="H464" s="5">
        <f>IF(ISNUMBER(F464),ROUND(F464*'Reference data'!$B$2,0),"Unknown")</f>
        <v>4.0</v>
      </c>
    </row>
    <row r="465" spans="1:13" ht="294" customHeight="1">
      <c r="A465" t="s">
        <v>268</v>
      </c>
      <c r="B465">
        <v>2</v>
      </c>
      <c r="C465" t="s">
        <v>108</v>
      </c>
      <c r="I465" s="6" t="s">
        <v>270</v>
      </c>
    </row>
    <row r="466" spans="1:13" ht="24" customHeight="1">
      <c r="A466" t="s">
        <v>268</v>
      </c>
      <c r="B466">
        <v>2</v>
      </c>
      <c r="C466" t="s">
        <v>103</v>
      </c>
    </row>
    <row r="467" spans="1:13" ht="24" customHeight="1">
      <c r="A467" t="s">
        <v>268</v>
      </c>
      <c r="B467">
        <v>2</v>
      </c>
      <c r="C467" t="s">
        <v>104</v>
      </c>
    </row>
    <row r="468" spans="1:13" s="4" customFormat="1" ht="24" customHeight="1">
      <c r="A468" s="4" t="s">
        <v>268</v>
      </c>
      <c r="B468" s="4">
        <v>2</v>
      </c>
      <c r="C468" s="4" t="s">
        <v>110</v>
      </c>
      <c r="E468" s="2">
        <f>IF(COUNT('Turns'!E457,'Turns'!E458,'Turns'!E460,'Turns'!E463,'Turns'!E464)=5,SUM('Turns'!E457,'Turns'!E458,'Turns'!E460,'Turns'!E463,'Turns'!E464),"Unknown")</f>
        <v>0.0002789684955</v>
      </c>
      <c r="F468" s="2">
        <f>IF(COUNT('Turns'!F457,'Turns'!F458,'Turns'!F460,'Turns'!F463,'Turns'!F464)=5,SUM('Turns'!F457,'Turns'!F458,'Turns'!F460,'Turns'!F463,'Turns'!F464),"Unknown")</f>
        <v>0.00031833</v>
      </c>
      <c r="G468" s="5">
        <f>IF(ISNUMBER(E468),ROUND(E468*'Reference data'!$B$2,0),"Unknown")</f>
        <v>28.0</v>
      </c>
      <c r="H468" s="5">
        <f>IF(ISNUMBER(F468),ROUND(F468*'Reference data'!$B$2,0),"Unknown")</f>
        <v>32.0</v>
      </c>
      <c r="K468" s="4" t="s">
        <v>111</v>
      </c>
    </row>
    <row r="469" spans="1:13" s="4" customFormat="1" ht="24" customHeight="1">
      <c r="B469" s="4">
        <v>2</v>
      </c>
      <c r="C469" s="4" t="s">
        <v>112</v>
      </c>
      <c r="K469" s="4" t="s">
        <v>111</v>
      </c>
      <c r="M469" s="4" t="s">
        <v>271</v>
      </c>
    </row>
    <row r="470" spans="1:13" ht="24" customHeight="1">
      <c r="B470">
        <v>2</v>
      </c>
      <c r="C470" t="s">
        <v>115</v>
      </c>
      <c r="I470" s="6" t="s">
        <v>272</v>
      </c>
    </row>
    <row r="471" spans="1:13" ht="409" customHeight="1">
      <c r="B471">
        <v>2</v>
      </c>
      <c r="C471" t="s">
        <v>117</v>
      </c>
      <c r="I471" s="6" t="s">
        <v>273</v>
      </c>
    </row>
    <row r="472" spans="1:13" s="4" customFormat="1" ht="24" customHeight="1">
      <c r="A472" s="4" t="s">
        <v>274</v>
      </c>
      <c r="B472" s="4">
        <v>2</v>
      </c>
      <c r="C472" s="4" t="s">
        <v>94</v>
      </c>
      <c r="D472" s="4">
        <v>6397</v>
      </c>
      <c r="J472" s="4" t="s">
        <v>95</v>
      </c>
      <c r="M472" s="4" t="s">
        <v>275</v>
      </c>
    </row>
    <row r="473" spans="1:13" ht="24" customHeight="1">
      <c r="A473" t="s">
        <v>274</v>
      </c>
      <c r="B473">
        <v>2</v>
      </c>
      <c r="C473" t="s">
        <v>121</v>
      </c>
      <c r="D473" s="5">
        <v>5744</v>
      </c>
      <c r="E473" s="2">
        <f>IF(AND(ISNUMBER(F473),ISNUMBER('Reference data'!$B$3)),F473*'Reference data'!$B$3,"Unknown")</f>
        <v>0.000100675088</v>
      </c>
      <c r="F473" s="2">
        <f>IF(D473=0,0,IF(ISNUMBER('Reference data'!C17),D473*'Reference data'!C17/1000000,"Unknown"))</f>
        <v>0.00011488</v>
      </c>
      <c r="G473" s="5">
        <f>IF(ISNUMBER(E473),ROUND(E473*'Reference data'!$B$2,0),"Unknown")</f>
        <v>10.0</v>
      </c>
      <c r="H473" s="5">
        <f>IF(ISNUMBER(F473),ROUND(F473*'Reference data'!$B$2,0),"Unknown")</f>
        <v>11.0</v>
      </c>
    </row>
    <row r="474" spans="1:13" ht="24" customHeight="1">
      <c r="A474" t="s">
        <v>274</v>
      </c>
      <c r="B474">
        <v>2</v>
      </c>
      <c r="C474" t="s">
        <v>97</v>
      </c>
      <c r="D474" s="5">
        <v>3</v>
      </c>
      <c r="E474" s="2">
        <f>IF(AND(ISNUMBER(F474),ISNUMBER('Reference data'!$B$3)),F474*'Reference data'!$B$3,"Unknown")</f>
        <v>5.2581e-07</v>
      </c>
      <c r="F474" s="2">
        <f>IF(D474=0,0,IF(ISNUMBER('Reference data'!B17),D474*'Reference data'!B17/1000000,"Unknown"))</f>
        <v>6e-07</v>
      </c>
      <c r="G474" s="5">
        <f>IF(ISNUMBER(E474),ROUND(E474*'Reference data'!$B$2,0),"Unknown")</f>
        <v>0.0</v>
      </c>
      <c r="H474" s="5">
        <f>IF(ISNUMBER(F474),ROUND(F474*'Reference data'!$B$2,0),"Unknown")</f>
        <v>0.0</v>
      </c>
    </row>
    <row r="475" spans="1:13" ht="409" customHeight="1">
      <c r="A475" t="s">
        <v>274</v>
      </c>
      <c r="B475">
        <v>2</v>
      </c>
      <c r="C475" t="s">
        <v>122</v>
      </c>
      <c r="I475" s="6" t="s">
        <v>273</v>
      </c>
    </row>
    <row r="476" spans="1:13" ht="24" customHeight="1">
      <c r="A476" t="s">
        <v>274</v>
      </c>
      <c r="B476">
        <v>2</v>
      </c>
      <c r="C476" t="s">
        <v>103</v>
      </c>
      <c r="D476" s="5">
        <v>650</v>
      </c>
      <c r="E476" s="2">
        <f>IF(AND(ISNUMBER(F476),ISNUMBER('Reference data'!$B$3)),F476*'Reference data'!$B$3,"Unknown")</f>
        <v>0.000142406875</v>
      </c>
      <c r="F476" s="2">
        <f>IF(D476=0,0,IF(ISNUMBER('Reference data'!D17),D476*'Reference data'!D17/1000000,"Unknown"))</f>
        <v>0.0001625</v>
      </c>
      <c r="G476" s="5">
        <f>IF(ISNUMBER(E476),ROUND(E476*'Reference data'!$B$2,0),"Unknown")</f>
        <v>14.0</v>
      </c>
      <c r="H476" s="5">
        <f>IF(ISNUMBER(F476),ROUND(F476*'Reference data'!$B$2,0),"Unknown")</f>
        <v>16.0</v>
      </c>
    </row>
    <row r="477" spans="1:13" ht="24" customHeight="1">
      <c r="A477" t="s">
        <v>274</v>
      </c>
      <c r="B477">
        <v>2</v>
      </c>
      <c r="C477" t="s">
        <v>104</v>
      </c>
    </row>
    <row r="478" spans="1:13" s="4" customFormat="1" ht="24" customHeight="1">
      <c r="A478" s="4" t="s">
        <v>274</v>
      </c>
      <c r="B478" s="4">
        <v>2</v>
      </c>
      <c r="C478" s="4" t="s">
        <v>105</v>
      </c>
      <c r="D478" s="4">
        <v>164</v>
      </c>
    </row>
    <row r="479" spans="1:13" ht="24" customHeight="1">
      <c r="A479" t="s">
        <v>274</v>
      </c>
      <c r="B479">
        <v>2</v>
      </c>
      <c r="C479" t="s">
        <v>106</v>
      </c>
      <c r="D479" s="5">
        <v>65</v>
      </c>
      <c r="E479" s="2">
        <f>IF(AND(ISNUMBER(F479),ISNUMBER('Reference data'!$B$3)),F479*'Reference data'!$B$3,"Unknown")</f>
        <v>6.83553e-05</v>
      </c>
      <c r="F479" s="2">
        <f>IF(D479=0,0,IF(ISNUMBER('Reference data'!F17),D479*'Reference data'!F17/1000000,"Unknown"))</f>
        <v>7.8e-05</v>
      </c>
      <c r="G479" s="5">
        <f>IF(ISNUMBER(E479),ROUND(E479*'Reference data'!$B$2,0),"Unknown")</f>
        <v>7.0</v>
      </c>
      <c r="H479" s="5">
        <f>IF(ISNUMBER(F479),ROUND(F479*'Reference data'!$B$2,0),"Unknown")</f>
        <v>8.0</v>
      </c>
    </row>
    <row r="480" spans="1:13" ht="24" customHeight="1">
      <c r="A480" t="s">
        <v>274</v>
      </c>
      <c r="B480">
        <v>2</v>
      </c>
      <c r="C480" t="s">
        <v>107</v>
      </c>
      <c r="D480" s="5">
        <v>99</v>
      </c>
      <c r="E480" s="2">
        <f>IF(AND(ISNUMBER(F480),ISNUMBER('Reference data'!$B$3)),F480*'Reference data'!$B$3,"Unknown")</f>
        <v>0.00010411038</v>
      </c>
      <c r="F480" s="2">
        <f>IF(D480=0,0,IF(ISNUMBER('Reference data'!E17),D480*'Reference data'!E17/1000000,"Unknown"))</f>
        <v>0.0001188</v>
      </c>
      <c r="G480" s="5">
        <f>IF(ISNUMBER(E480),ROUND(E480*'Reference data'!$B$2,0),"Unknown")</f>
        <v>10.0</v>
      </c>
      <c r="H480" s="5">
        <f>IF(ISNUMBER(F480),ROUND(F480*'Reference data'!$B$2,0),"Unknown")</f>
        <v>12.0</v>
      </c>
    </row>
    <row r="481" spans="1:13" ht="359" customHeight="1">
      <c r="A481" t="s">
        <v>274</v>
      </c>
      <c r="B481">
        <v>2</v>
      </c>
      <c r="C481" t="s">
        <v>108</v>
      </c>
      <c r="I481" s="6" t="s">
        <v>276</v>
      </c>
    </row>
    <row r="482" spans="1:13" ht="24" customHeight="1">
      <c r="A482" t="s">
        <v>274</v>
      </c>
      <c r="B482">
        <v>2</v>
      </c>
      <c r="C482" t="s">
        <v>103</v>
      </c>
    </row>
    <row r="483" spans="1:13" ht="24" customHeight="1">
      <c r="A483" t="s">
        <v>274</v>
      </c>
      <c r="B483">
        <v>2</v>
      </c>
      <c r="C483" t="s">
        <v>104</v>
      </c>
    </row>
    <row r="484" spans="1:13" s="4" customFormat="1" ht="24" customHeight="1">
      <c r="A484" s="4" t="s">
        <v>274</v>
      </c>
      <c r="B484" s="4">
        <v>2</v>
      </c>
      <c r="C484" s="4" t="s">
        <v>110</v>
      </c>
      <c r="E484" s="2">
        <f>IF(COUNT('Turns'!E473,'Turns'!E474,'Turns'!E476,'Turns'!E479,'Turns'!E480)=5,SUM('Turns'!E473,'Turns'!E474,'Turns'!E476,'Turns'!E479,'Turns'!E480),"Unknown")</f>
        <v>0.000416073453</v>
      </c>
      <c r="F484" s="2">
        <f>IF(COUNT('Turns'!F473,'Turns'!F474,'Turns'!F476,'Turns'!F479,'Turns'!F480)=5,SUM('Turns'!F473,'Turns'!F474,'Turns'!F476,'Turns'!F479,'Turns'!F480),"Unknown")</f>
        <v>0.00047478</v>
      </c>
      <c r="G484" s="5">
        <f>IF(ISNUMBER(E484),ROUND(E484*'Reference data'!$B$2,0),"Unknown")</f>
        <v>42.0</v>
      </c>
      <c r="H484" s="5">
        <f>IF(ISNUMBER(F484),ROUND(F484*'Reference data'!$B$2,0),"Unknown")</f>
        <v>47.0</v>
      </c>
      <c r="K484" s="4" t="s">
        <v>111</v>
      </c>
    </row>
    <row r="485" spans="1:13" s="4" customFormat="1" ht="24" customHeight="1">
      <c r="A485" s="4" t="s">
        <v>277</v>
      </c>
      <c r="B485" s="4">
        <v>2</v>
      </c>
      <c r="C485" s="4" t="s">
        <v>94</v>
      </c>
      <c r="D485" s="4">
        <v>1379</v>
      </c>
      <c r="J485" s="4" t="s">
        <v>95</v>
      </c>
      <c r="M485" s="4" t="s">
        <v>278</v>
      </c>
    </row>
    <row r="486" spans="1:13" ht="24" customHeight="1">
      <c r="A486" t="s">
        <v>277</v>
      </c>
      <c r="B486">
        <v>2</v>
      </c>
      <c r="C486" t="s">
        <v>121</v>
      </c>
      <c r="D486" s="5">
        <v>0</v>
      </c>
      <c r="E486" s="2">
        <f>IF(AND(ISNUMBER(F486),ISNUMBER('Reference data'!$B$3)),F486*'Reference data'!$B$3,"Unknown")</f>
        <v>0.0</v>
      </c>
      <c r="F486" s="2">
        <f>IF(D486=0,0,IF(ISNUMBER('Reference data'!C17),D486*'Reference data'!C17/1000000,"Unknown"))</f>
        <v>0.0</v>
      </c>
      <c r="G486" s="5">
        <f>IF(ISNUMBER(E486),ROUND(E486*'Reference data'!$B$2,0),"Unknown")</f>
        <v>0.0</v>
      </c>
      <c r="H486" s="5">
        <f>IF(ISNUMBER(F486),ROUND(F486*'Reference data'!$B$2,0),"Unknown")</f>
        <v>0.0</v>
      </c>
    </row>
    <row r="487" spans="1:13" ht="24" customHeight="1">
      <c r="A487" t="s">
        <v>277</v>
      </c>
      <c r="B487">
        <v>2</v>
      </c>
      <c r="C487" t="s">
        <v>97</v>
      </c>
      <c r="D487" s="5">
        <v>3</v>
      </c>
      <c r="E487" s="2">
        <f>IF(AND(ISNUMBER(F487),ISNUMBER('Reference data'!$B$3)),F487*'Reference data'!$B$3,"Unknown")</f>
        <v>5.2581e-07</v>
      </c>
      <c r="F487" s="2">
        <f>IF(D487=0,0,IF(ISNUMBER('Reference data'!B17),D487*'Reference data'!B17/1000000,"Unknown"))</f>
        <v>6e-07</v>
      </c>
      <c r="G487" s="5">
        <f>IF(ISNUMBER(E487),ROUND(E487*'Reference data'!$B$2,0),"Unknown")</f>
        <v>0.0</v>
      </c>
      <c r="H487" s="5">
        <f>IF(ISNUMBER(F487),ROUND(F487*'Reference data'!$B$2,0),"Unknown")</f>
        <v>0.0</v>
      </c>
    </row>
    <row r="488" spans="1:13" ht="24" customHeight="1">
      <c r="A488" t="s">
        <v>277</v>
      </c>
      <c r="B488">
        <v>2</v>
      </c>
      <c r="C488" t="s">
        <v>103</v>
      </c>
      <c r="D488" s="5">
        <v>1376</v>
      </c>
      <c r="E488" s="2">
        <f>IF(AND(ISNUMBER(F488),ISNUMBER('Reference data'!$B$3)),F488*'Reference data'!$B$3,"Unknown")</f>
        <v>0.0003014644</v>
      </c>
      <c r="F488" s="2">
        <f>IF(D488=0,0,IF(ISNUMBER('Reference data'!D17),D488*'Reference data'!D17/1000000,"Unknown"))</f>
        <v>0.000344</v>
      </c>
      <c r="G488" s="5">
        <f>IF(ISNUMBER(E488),ROUND(E488*'Reference data'!$B$2,0),"Unknown")</f>
        <v>30.0</v>
      </c>
      <c r="H488" s="5">
        <f>IF(ISNUMBER(F488),ROUND(F488*'Reference data'!$B$2,0),"Unknown")</f>
        <v>34.0</v>
      </c>
    </row>
    <row r="489" spans="1:13" ht="24" customHeight="1">
      <c r="A489" t="s">
        <v>277</v>
      </c>
      <c r="B489">
        <v>2</v>
      </c>
      <c r="C489" t="s">
        <v>104</v>
      </c>
    </row>
    <row r="490" spans="1:13" s="4" customFormat="1" ht="24" customHeight="1">
      <c r="A490" s="4" t="s">
        <v>277</v>
      </c>
      <c r="B490" s="4">
        <v>2</v>
      </c>
      <c r="C490" s="4" t="s">
        <v>105</v>
      </c>
      <c r="D490" s="4">
        <v>121</v>
      </c>
    </row>
    <row r="491" spans="1:13" ht="24" customHeight="1">
      <c r="A491" t="s">
        <v>277</v>
      </c>
      <c r="B491">
        <v>2</v>
      </c>
      <c r="C491" t="s">
        <v>106</v>
      </c>
      <c r="D491" s="5">
        <v>23</v>
      </c>
      <c r="E491" s="2">
        <f>IF(AND(ISNUMBER(F491),ISNUMBER('Reference data'!$B$3)),F491*'Reference data'!$B$3,"Unknown")</f>
        <v>2.418726e-05</v>
      </c>
      <c r="F491" s="2">
        <f>IF(D491=0,0,IF(ISNUMBER('Reference data'!F17),D491*'Reference data'!F17/1000000,"Unknown"))</f>
        <v>2.76e-05</v>
      </c>
      <c r="G491" s="5">
        <f>IF(ISNUMBER(E491),ROUND(E491*'Reference data'!$B$2,0),"Unknown")</f>
        <v>2.0</v>
      </c>
      <c r="H491" s="5">
        <f>IF(ISNUMBER(F491),ROUND(F491*'Reference data'!$B$2,0),"Unknown")</f>
        <v>3.0</v>
      </c>
    </row>
    <row r="492" spans="1:13" ht="24" customHeight="1">
      <c r="A492" t="s">
        <v>277</v>
      </c>
      <c r="B492">
        <v>2</v>
      </c>
      <c r="C492" t="s">
        <v>107</v>
      </c>
      <c r="D492" s="5">
        <v>98</v>
      </c>
      <c r="E492" s="2">
        <f>IF(AND(ISNUMBER(F492),ISNUMBER('Reference data'!$B$3)),F492*'Reference data'!$B$3,"Unknown")</f>
        <v>0.00010305876</v>
      </c>
      <c r="F492" s="2">
        <f>IF(D492=0,0,IF(ISNUMBER('Reference data'!E17),D492*'Reference data'!E17/1000000,"Unknown"))</f>
        <v>0.0001176</v>
      </c>
      <c r="G492" s="5">
        <f>IF(ISNUMBER(E492),ROUND(E492*'Reference data'!$B$2,0),"Unknown")</f>
        <v>10.0</v>
      </c>
      <c r="H492" s="5">
        <f>IF(ISNUMBER(F492),ROUND(F492*'Reference data'!$B$2,0),"Unknown")</f>
        <v>12.0</v>
      </c>
    </row>
    <row r="493" spans="1:13" ht="409" customHeight="1">
      <c r="A493" t="s">
        <v>277</v>
      </c>
      <c r="B493">
        <v>2</v>
      </c>
      <c r="C493" t="s">
        <v>108</v>
      </c>
      <c r="I493" s="6" t="s">
        <v>279</v>
      </c>
    </row>
    <row r="494" spans="1:13" ht="24" customHeight="1">
      <c r="A494" t="s">
        <v>277</v>
      </c>
      <c r="B494">
        <v>2</v>
      </c>
      <c r="C494" t="s">
        <v>103</v>
      </c>
    </row>
    <row r="495" spans="1:13" ht="24" customHeight="1">
      <c r="A495" t="s">
        <v>277</v>
      </c>
      <c r="B495">
        <v>2</v>
      </c>
      <c r="C495" t="s">
        <v>104</v>
      </c>
    </row>
    <row r="496" spans="1:13" s="4" customFormat="1" ht="24" customHeight="1">
      <c r="A496" s="4" t="s">
        <v>277</v>
      </c>
      <c r="B496" s="4">
        <v>2</v>
      </c>
      <c r="C496" s="4" t="s">
        <v>110</v>
      </c>
      <c r="E496" s="2">
        <f>IF(COUNT('Turns'!E486,'Turns'!E487,'Turns'!E488,'Turns'!E491,'Turns'!E492)=5,SUM('Turns'!E486,'Turns'!E487,'Turns'!E488,'Turns'!E491,'Turns'!E492),"Unknown")</f>
        <v>0.00042923623</v>
      </c>
      <c r="F496" s="2">
        <f>IF(COUNT('Turns'!F486,'Turns'!F487,'Turns'!F488,'Turns'!F491,'Turns'!F492)=5,SUM('Turns'!F486,'Turns'!F487,'Turns'!F488,'Turns'!F491,'Turns'!F492),"Unknown")</f>
        <v>0.0004898</v>
      </c>
      <c r="G496" s="5">
        <f>IF(ISNUMBER(E496),ROUND(E496*'Reference data'!$B$2,0),"Unknown")</f>
        <v>43.0</v>
      </c>
      <c r="H496" s="5">
        <f>IF(ISNUMBER(F496),ROUND(F496*'Reference data'!$B$2,0),"Unknown")</f>
        <v>49.0</v>
      </c>
      <c r="K496" s="4" t="s">
        <v>111</v>
      </c>
    </row>
    <row r="497" spans="1:13" s="4" customFormat="1" ht="24" customHeight="1">
      <c r="B497" s="4">
        <v>2</v>
      </c>
      <c r="C497" s="4" t="s">
        <v>112</v>
      </c>
      <c r="K497" s="4" t="s">
        <v>111</v>
      </c>
      <c r="M497" s="4" t="s">
        <v>280</v>
      </c>
    </row>
    <row r="498" spans="1:13" ht="24" customHeight="1">
      <c r="B498">
        <v>2</v>
      </c>
      <c r="C498" t="s">
        <v>115</v>
      </c>
      <c r="I498" s="6" t="s">
        <v>116</v>
      </c>
    </row>
    <row r="499" spans="1:13" ht="409" customHeight="1">
      <c r="B499">
        <v>2</v>
      </c>
      <c r="C499" t="s">
        <v>117</v>
      </c>
      <c r="I499" s="6" t="s">
        <v>281</v>
      </c>
    </row>
    <row r="500" spans="1:13" s="4" customFormat="1" ht="24" customHeight="1">
      <c r="B500" s="4">
        <v>2</v>
      </c>
      <c r="C500" s="4" t="s">
        <v>112</v>
      </c>
      <c r="K500" s="4" t="s">
        <v>111</v>
      </c>
      <c r="M500" s="4" t="s">
        <v>282</v>
      </c>
    </row>
    <row r="501" spans="1:13" ht="24" customHeight="1">
      <c r="B501">
        <v>2</v>
      </c>
      <c r="C501" t="s">
        <v>115</v>
      </c>
      <c r="I501" s="6" t="s">
        <v>214</v>
      </c>
    </row>
    <row r="502" spans="1:13" ht="409" customHeight="1">
      <c r="B502">
        <v>2</v>
      </c>
      <c r="C502" t="s">
        <v>117</v>
      </c>
      <c r="I502" s="6" t="s">
        <v>273</v>
      </c>
    </row>
    <row r="503" spans="1:13" s="4" customFormat="1" ht="24" customHeight="1">
      <c r="B503" s="4">
        <v>2</v>
      </c>
      <c r="C503" s="4" t="s">
        <v>112</v>
      </c>
      <c r="K503" s="4" t="s">
        <v>111</v>
      </c>
      <c r="M503" s="4" t="s">
        <v>283</v>
      </c>
    </row>
    <row r="504" spans="1:13" ht="24" customHeight="1">
      <c r="B504">
        <v>2</v>
      </c>
      <c r="C504" t="s">
        <v>115</v>
      </c>
      <c r="I504" s="6" t="s">
        <v>162</v>
      </c>
    </row>
    <row r="505" spans="1:13" ht="409" customHeight="1">
      <c r="B505">
        <v>2</v>
      </c>
      <c r="C505" t="s">
        <v>117</v>
      </c>
      <c r="I505" s="6" t="s">
        <v>152</v>
      </c>
    </row>
    <row r="506" spans="1:13" s="4" customFormat="1" ht="24" customHeight="1">
      <c r="A506" s="4" t="s">
        <v>284</v>
      </c>
      <c r="B506" s="4">
        <v>2</v>
      </c>
      <c r="C506" s="4" t="s">
        <v>94</v>
      </c>
      <c r="D506" s="4">
        <v>3541</v>
      </c>
      <c r="J506" s="4" t="s">
        <v>95</v>
      </c>
      <c r="M506" s="4" t="s">
        <v>285</v>
      </c>
    </row>
    <row r="507" spans="1:13" ht="24" customHeight="1">
      <c r="A507" t="s">
        <v>284</v>
      </c>
      <c r="B507">
        <v>2</v>
      </c>
      <c r="C507" t="s">
        <v>121</v>
      </c>
      <c r="D507" s="5">
        <v>1376</v>
      </c>
      <c r="E507" s="2">
        <f>IF(AND(ISNUMBER(F507),ISNUMBER('Reference data'!$B$3)),F507*'Reference data'!$B$3,"Unknown")</f>
        <v>2.4117152e-05</v>
      </c>
      <c r="F507" s="2">
        <f>IF(D507=0,0,IF(ISNUMBER('Reference data'!C17),D507*'Reference data'!C17/1000000,"Unknown"))</f>
        <v>2.752e-05</v>
      </c>
      <c r="G507" s="5">
        <f>IF(ISNUMBER(E507),ROUND(E507*'Reference data'!$B$2,0),"Unknown")</f>
        <v>2.0</v>
      </c>
      <c r="H507" s="5">
        <f>IF(ISNUMBER(F507),ROUND(F507*'Reference data'!$B$2,0),"Unknown")</f>
        <v>3.0</v>
      </c>
    </row>
    <row r="508" spans="1:13" ht="24" customHeight="1">
      <c r="A508" t="s">
        <v>284</v>
      </c>
      <c r="B508">
        <v>2</v>
      </c>
      <c r="C508" t="s">
        <v>97</v>
      </c>
      <c r="D508" s="5">
        <v>3</v>
      </c>
      <c r="E508" s="2">
        <f>IF(AND(ISNUMBER(F508),ISNUMBER('Reference data'!$B$3)),F508*'Reference data'!$B$3,"Unknown")</f>
        <v>5.2581e-07</v>
      </c>
      <c r="F508" s="2">
        <f>IF(D508=0,0,IF(ISNUMBER('Reference data'!B17),D508*'Reference data'!B17/1000000,"Unknown"))</f>
        <v>6e-07</v>
      </c>
      <c r="G508" s="5">
        <f>IF(ISNUMBER(E508),ROUND(E508*'Reference data'!$B$2,0),"Unknown")</f>
        <v>0.0</v>
      </c>
      <c r="H508" s="5">
        <f>IF(ISNUMBER(F508),ROUND(F508*'Reference data'!$B$2,0),"Unknown")</f>
        <v>0.0</v>
      </c>
    </row>
    <row r="509" spans="1:13" ht="409" customHeight="1">
      <c r="A509" t="s">
        <v>284</v>
      </c>
      <c r="B509">
        <v>2</v>
      </c>
      <c r="C509" t="s">
        <v>122</v>
      </c>
      <c r="I509" s="6" t="s">
        <v>286</v>
      </c>
    </row>
    <row r="510" spans="1:13" ht="24" customHeight="1">
      <c r="A510" t="s">
        <v>284</v>
      </c>
      <c r="B510">
        <v>2</v>
      </c>
      <c r="C510" t="s">
        <v>103</v>
      </c>
      <c r="D510" s="5">
        <v>2162</v>
      </c>
      <c r="E510" s="2">
        <f>IF(AND(ISNUMBER(F510),ISNUMBER('Reference data'!$B$3)),F510*'Reference data'!$B$3,"Unknown")</f>
        <v>0.000473667175</v>
      </c>
      <c r="F510" s="2">
        <f>IF(D510=0,0,IF(ISNUMBER('Reference data'!D17),D510*'Reference data'!D17/1000000,"Unknown"))</f>
        <v>0.0005405</v>
      </c>
      <c r="G510" s="5">
        <f>IF(ISNUMBER(E510),ROUND(E510*'Reference data'!$B$2,0),"Unknown")</f>
        <v>47.0</v>
      </c>
      <c r="H510" s="5">
        <f>IF(ISNUMBER(F510),ROUND(F510*'Reference data'!$B$2,0),"Unknown")</f>
        <v>54.0</v>
      </c>
    </row>
    <row r="511" spans="1:13" ht="24" customHeight="1">
      <c r="A511" t="s">
        <v>284</v>
      </c>
      <c r="B511">
        <v>2</v>
      </c>
      <c r="C511" t="s">
        <v>104</v>
      </c>
    </row>
    <row r="512" spans="1:13" s="4" customFormat="1" ht="24" customHeight="1">
      <c r="A512" s="4" t="s">
        <v>284</v>
      </c>
      <c r="B512" s="4">
        <v>2</v>
      </c>
      <c r="C512" s="4" t="s">
        <v>105</v>
      </c>
      <c r="D512" s="4">
        <v>404</v>
      </c>
    </row>
    <row r="513" spans="1:13" ht="24" customHeight="1">
      <c r="A513" t="s">
        <v>284</v>
      </c>
      <c r="B513">
        <v>2</v>
      </c>
      <c r="C513" t="s">
        <v>106</v>
      </c>
      <c r="D513" s="5">
        <v>192</v>
      </c>
      <c r="E513" s="2">
        <f>IF(AND(ISNUMBER(F513),ISNUMBER('Reference data'!$B$3)),F513*'Reference data'!$B$3,"Unknown")</f>
        <v>0.00020191104</v>
      </c>
      <c r="F513" s="2">
        <f>IF(D513=0,0,IF(ISNUMBER('Reference data'!F17),D513*'Reference data'!F17/1000000,"Unknown"))</f>
        <v>0.0002304</v>
      </c>
      <c r="G513" s="5">
        <f>IF(ISNUMBER(E513),ROUND(E513*'Reference data'!$B$2,0),"Unknown")</f>
        <v>20.0</v>
      </c>
      <c r="H513" s="5">
        <f>IF(ISNUMBER(F513),ROUND(F513*'Reference data'!$B$2,0),"Unknown")</f>
        <v>23.0</v>
      </c>
    </row>
    <row r="514" spans="1:13" ht="24" customHeight="1">
      <c r="A514" t="s">
        <v>284</v>
      </c>
      <c r="B514">
        <v>2</v>
      </c>
      <c r="C514" t="s">
        <v>107</v>
      </c>
      <c r="D514" s="5">
        <v>212</v>
      </c>
      <c r="E514" s="2">
        <f>IF(AND(ISNUMBER(F514),ISNUMBER('Reference data'!$B$3)),F514*'Reference data'!$B$3,"Unknown")</f>
        <v>0.00022294344</v>
      </c>
      <c r="F514" s="2">
        <f>IF(D514=0,0,IF(ISNUMBER('Reference data'!E17),D514*'Reference data'!E17/1000000,"Unknown"))</f>
        <v>0.0002544</v>
      </c>
      <c r="G514" s="5">
        <f>IF(ISNUMBER(E514),ROUND(E514*'Reference data'!$B$2,0),"Unknown")</f>
        <v>22.0</v>
      </c>
      <c r="H514" s="5">
        <f>IF(ISNUMBER(F514),ROUND(F514*'Reference data'!$B$2,0),"Unknown")</f>
        <v>25.0</v>
      </c>
    </row>
    <row r="515" spans="1:13" ht="409" customHeight="1">
      <c r="A515" t="s">
        <v>284</v>
      </c>
      <c r="B515">
        <v>2</v>
      </c>
      <c r="C515" t="s">
        <v>108</v>
      </c>
      <c r="I515" s="6" t="s">
        <v>287</v>
      </c>
    </row>
    <row r="516" spans="1:13" ht="24" customHeight="1">
      <c r="A516" t="s">
        <v>284</v>
      </c>
      <c r="B516">
        <v>2</v>
      </c>
      <c r="C516" t="s">
        <v>103</v>
      </c>
    </row>
    <row r="517" spans="1:13" ht="24" customHeight="1">
      <c r="A517" t="s">
        <v>284</v>
      </c>
      <c r="B517">
        <v>2</v>
      </c>
      <c r="C517" t="s">
        <v>104</v>
      </c>
    </row>
    <row r="518" spans="1:13" s="4" customFormat="1" ht="24" customHeight="1">
      <c r="A518" s="4" t="s">
        <v>284</v>
      </c>
      <c r="B518" s="4">
        <v>2</v>
      </c>
      <c r="C518" s="4" t="s">
        <v>110</v>
      </c>
      <c r="E518" s="2">
        <f>IF(COUNT('Turns'!E507,'Turns'!E508,'Turns'!E510,'Turns'!E513,'Turns'!E514)=5,SUM('Turns'!E507,'Turns'!E508,'Turns'!E510,'Turns'!E513,'Turns'!E514),"Unknown")</f>
        <v>0.000923164617</v>
      </c>
      <c r="F518" s="2">
        <f>IF(COUNT('Turns'!F507,'Turns'!F508,'Turns'!F510,'Turns'!F513,'Turns'!F514)=5,SUM('Turns'!F507,'Turns'!F508,'Turns'!F510,'Turns'!F513,'Turns'!F514),"Unknown")</f>
        <v>0.00105342</v>
      </c>
      <c r="G518" s="5">
        <f>IF(ISNUMBER(E518),ROUND(E518*'Reference data'!$B$2,0),"Unknown")</f>
        <v>92.0</v>
      </c>
      <c r="H518" s="5">
        <f>IF(ISNUMBER(F518),ROUND(F518*'Reference data'!$B$2,0),"Unknown")</f>
        <v>105.0</v>
      </c>
      <c r="K518" s="4" t="s">
        <v>111</v>
      </c>
    </row>
    <row r="519" spans="1:13" s="4" customFormat="1" ht="24" customHeight="1">
      <c r="A519" s="4" t="s">
        <v>288</v>
      </c>
      <c r="B519" s="4">
        <v>2</v>
      </c>
      <c r="C519" s="4" t="s">
        <v>94</v>
      </c>
      <c r="D519" s="4">
        <v>7515</v>
      </c>
      <c r="J519" s="4" t="s">
        <v>95</v>
      </c>
      <c r="M519" s="4" t="s">
        <v>289</v>
      </c>
    </row>
    <row r="520" spans="1:13" ht="24" customHeight="1">
      <c r="A520" t="s">
        <v>288</v>
      </c>
      <c r="B520">
        <v>2</v>
      </c>
      <c r="C520" t="s">
        <v>121</v>
      </c>
      <c r="D520" s="5">
        <v>0</v>
      </c>
      <c r="E520" s="2">
        <f>IF(AND(ISNUMBER(F520),ISNUMBER('Reference data'!$B$3)),F520*'Reference data'!$B$3,"Unknown")</f>
        <v>0.0</v>
      </c>
      <c r="F520" s="2">
        <f>IF(D520=0,0,IF(ISNUMBER('Reference data'!C17),D520*'Reference data'!C17/1000000,"Unknown"))</f>
        <v>0.0</v>
      </c>
      <c r="G520" s="5">
        <f>IF(ISNUMBER(E520),ROUND(E520*'Reference data'!$B$2,0),"Unknown")</f>
        <v>0.0</v>
      </c>
      <c r="H520" s="5">
        <f>IF(ISNUMBER(F520),ROUND(F520*'Reference data'!$B$2,0),"Unknown")</f>
        <v>0.0</v>
      </c>
    </row>
    <row r="521" spans="1:13" ht="24" customHeight="1">
      <c r="A521" t="s">
        <v>288</v>
      </c>
      <c r="B521">
        <v>2</v>
      </c>
      <c r="C521" t="s">
        <v>97</v>
      </c>
      <c r="D521" s="5">
        <v>3</v>
      </c>
      <c r="E521" s="2">
        <f>IF(AND(ISNUMBER(F521),ISNUMBER('Reference data'!$B$3)),F521*'Reference data'!$B$3,"Unknown")</f>
        <v>5.2581e-07</v>
      </c>
      <c r="F521" s="2">
        <f>IF(D521=0,0,IF(ISNUMBER('Reference data'!B17),D521*'Reference data'!B17/1000000,"Unknown"))</f>
        <v>6e-07</v>
      </c>
      <c r="G521" s="5">
        <f>IF(ISNUMBER(E521),ROUND(E521*'Reference data'!$B$2,0),"Unknown")</f>
        <v>0.0</v>
      </c>
      <c r="H521" s="5">
        <f>IF(ISNUMBER(F521),ROUND(F521*'Reference data'!$B$2,0),"Unknown")</f>
        <v>0.0</v>
      </c>
    </row>
    <row r="522" spans="1:13" ht="409" customHeight="1">
      <c r="A522" t="s">
        <v>288</v>
      </c>
      <c r="B522">
        <v>2</v>
      </c>
      <c r="C522" t="s">
        <v>122</v>
      </c>
      <c r="I522" s="6" t="s">
        <v>290</v>
      </c>
    </row>
    <row r="523" spans="1:13" ht="24" customHeight="1">
      <c r="A523" t="s">
        <v>288</v>
      </c>
      <c r="B523">
        <v>2</v>
      </c>
      <c r="C523" t="s">
        <v>103</v>
      </c>
      <c r="D523" s="5">
        <v>7512</v>
      </c>
      <c r="E523" s="2">
        <f>IF(AND(ISNUMBER(F523),ISNUMBER('Reference data'!$B$3)),F523*'Reference data'!$B$3,"Unknown")</f>
        <v>0.0016457853</v>
      </c>
      <c r="F523" s="2">
        <f>IF(D523=0,0,IF(ISNUMBER('Reference data'!D17),D523*'Reference data'!D17/1000000,"Unknown"))</f>
        <v>0.001878</v>
      </c>
      <c r="G523" s="5">
        <f>IF(ISNUMBER(E523),ROUND(E523*'Reference data'!$B$2,0),"Unknown")</f>
        <v>165.0</v>
      </c>
      <c r="H523" s="5">
        <f>IF(ISNUMBER(F523),ROUND(F523*'Reference data'!$B$2,0),"Unknown")</f>
        <v>188.0</v>
      </c>
    </row>
    <row r="524" spans="1:13" ht="24" customHeight="1">
      <c r="A524" t="s">
        <v>288</v>
      </c>
      <c r="B524">
        <v>2</v>
      </c>
      <c r="C524" t="s">
        <v>104</v>
      </c>
    </row>
    <row r="525" spans="1:13" s="4" customFormat="1" ht="24" customHeight="1">
      <c r="A525" s="4" t="s">
        <v>288</v>
      </c>
      <c r="B525" s="4">
        <v>2</v>
      </c>
      <c r="C525" s="4" t="s">
        <v>105</v>
      </c>
      <c r="D525" s="4">
        <v>275</v>
      </c>
    </row>
    <row r="526" spans="1:13" ht="24" customHeight="1">
      <c r="A526" t="s">
        <v>288</v>
      </c>
      <c r="B526">
        <v>2</v>
      </c>
      <c r="C526" t="s">
        <v>106</v>
      </c>
      <c r="D526" s="5">
        <v>92</v>
      </c>
      <c r="E526" s="2">
        <f>IF(AND(ISNUMBER(F526),ISNUMBER('Reference data'!$B$3)),F526*'Reference data'!$B$3,"Unknown")</f>
        <v>9.674904e-05</v>
      </c>
      <c r="F526" s="2">
        <f>IF(D526=0,0,IF(ISNUMBER('Reference data'!F17),D526*'Reference data'!F17/1000000,"Unknown"))</f>
        <v>0.0001104</v>
      </c>
      <c r="G526" s="5">
        <f>IF(ISNUMBER(E526),ROUND(E526*'Reference data'!$B$2,0),"Unknown")</f>
        <v>10.0</v>
      </c>
      <c r="H526" s="5">
        <f>IF(ISNUMBER(F526),ROUND(F526*'Reference data'!$B$2,0),"Unknown")</f>
        <v>11.0</v>
      </c>
    </row>
    <row r="527" spans="1:13" ht="24" customHeight="1">
      <c r="A527" t="s">
        <v>288</v>
      </c>
      <c r="B527">
        <v>2</v>
      </c>
      <c r="C527" t="s">
        <v>107</v>
      </c>
      <c r="D527" s="5">
        <v>183</v>
      </c>
      <c r="E527" s="2">
        <f>IF(AND(ISNUMBER(F527),ISNUMBER('Reference data'!$B$3)),F527*'Reference data'!$B$3,"Unknown")</f>
        <v>0.00019244646</v>
      </c>
      <c r="F527" s="2">
        <f>IF(D527=0,0,IF(ISNUMBER('Reference data'!E17),D527*'Reference data'!E17/1000000,"Unknown"))</f>
        <v>0.0002196</v>
      </c>
      <c r="G527" s="5">
        <f>IF(ISNUMBER(E527),ROUND(E527*'Reference data'!$B$2,0),"Unknown")</f>
        <v>19.0</v>
      </c>
      <c r="H527" s="5">
        <f>IF(ISNUMBER(F527),ROUND(F527*'Reference data'!$B$2,0),"Unknown")</f>
        <v>22.0</v>
      </c>
    </row>
    <row r="528" spans="1:13" ht="409" customHeight="1">
      <c r="A528" t="s">
        <v>288</v>
      </c>
      <c r="B528">
        <v>2</v>
      </c>
      <c r="C528" t="s">
        <v>108</v>
      </c>
      <c r="I528" s="6" t="s">
        <v>291</v>
      </c>
    </row>
    <row r="529" spans="1:13" ht="24" customHeight="1">
      <c r="A529" t="s">
        <v>288</v>
      </c>
      <c r="B529">
        <v>2</v>
      </c>
      <c r="C529" t="s">
        <v>103</v>
      </c>
    </row>
    <row r="530" spans="1:13" ht="24" customHeight="1">
      <c r="A530" t="s">
        <v>288</v>
      </c>
      <c r="B530">
        <v>2</v>
      </c>
      <c r="C530" t="s">
        <v>104</v>
      </c>
    </row>
    <row r="531" spans="1:13" s="4" customFormat="1" ht="24" customHeight="1">
      <c r="A531" s="4" t="s">
        <v>288</v>
      </c>
      <c r="B531" s="4">
        <v>2</v>
      </c>
      <c r="C531" s="4" t="s">
        <v>110</v>
      </c>
      <c r="E531" s="2">
        <f>IF(COUNT('Turns'!E520,'Turns'!E521,'Turns'!E523,'Turns'!E526,'Turns'!E527)=5,SUM('Turns'!E520,'Turns'!E521,'Turns'!E523,'Turns'!E526,'Turns'!E527),"Unknown")</f>
        <v>0.00193550661</v>
      </c>
      <c r="F531" s="2">
        <f>IF(COUNT('Turns'!F520,'Turns'!F521,'Turns'!F523,'Turns'!F526,'Turns'!F527)=5,SUM('Turns'!F520,'Turns'!F521,'Turns'!F523,'Turns'!F526,'Turns'!F527),"Unknown")</f>
        <v>0.0022086</v>
      </c>
      <c r="G531" s="5">
        <f>IF(ISNUMBER(E531),ROUND(E531*'Reference data'!$B$2,0),"Unknown")</f>
        <v>194.0</v>
      </c>
      <c r="H531" s="5">
        <f>IF(ISNUMBER(F531),ROUND(F531*'Reference data'!$B$2,0),"Unknown")</f>
        <v>221.0</v>
      </c>
      <c r="K531" s="4" t="s">
        <v>111</v>
      </c>
    </row>
    <row r="532" spans="1:13" s="4" customFormat="1" ht="24" customHeight="1">
      <c r="B532" s="4">
        <v>2</v>
      </c>
      <c r="C532" s="4" t="s">
        <v>172</v>
      </c>
      <c r="K532" s="4" t="s">
        <v>111</v>
      </c>
      <c r="M532" s="4" t="s">
        <v>292</v>
      </c>
    </row>
    <row r="533" spans="1:13" ht="138" customHeight="1">
      <c r="B533">
        <v>2</v>
      </c>
      <c r="C533" t="s">
        <v>115</v>
      </c>
      <c r="I533" s="6" t="s">
        <v>293</v>
      </c>
    </row>
    <row r="534" spans="1:13" ht="24" customHeight="1">
      <c r="B534">
        <v>2</v>
      </c>
      <c r="C534" t="s">
        <v>117</v>
      </c>
      <c r="I534" s="6" t="s">
        <v>175</v>
      </c>
    </row>
    <row r="535" spans="1:13" s="4" customFormat="1" ht="24" customHeight="1">
      <c r="A535" s="4" t="s">
        <v>294</v>
      </c>
      <c r="B535" s="4">
        <v>2</v>
      </c>
      <c r="C535" s="4" t="s">
        <v>94</v>
      </c>
      <c r="D535" s="4">
        <v>7815</v>
      </c>
      <c r="J535" s="4" t="s">
        <v>95</v>
      </c>
      <c r="M535" s="4" t="s">
        <v>295</v>
      </c>
    </row>
    <row r="536" spans="1:13" ht="24" customHeight="1">
      <c r="A536" t="s">
        <v>294</v>
      </c>
      <c r="B536">
        <v>2</v>
      </c>
      <c r="C536" t="s">
        <v>121</v>
      </c>
      <c r="D536" s="5">
        <v>7512</v>
      </c>
      <c r="E536" s="2">
        <f>IF(AND(ISNUMBER(F536),ISNUMBER('Reference data'!$B$3)),F536*'Reference data'!$B$3,"Unknown")</f>
        <v>0.000131662824</v>
      </c>
      <c r="F536" s="2">
        <f>IF(D536=0,0,IF(ISNUMBER('Reference data'!C17),D536*'Reference data'!C17/1000000,"Unknown"))</f>
        <v>0.00015024</v>
      </c>
      <c r="G536" s="5">
        <f>IF(ISNUMBER(E536),ROUND(E536*'Reference data'!$B$2,0),"Unknown")</f>
        <v>13.0</v>
      </c>
      <c r="H536" s="5">
        <f>IF(ISNUMBER(F536),ROUND(F536*'Reference data'!$B$2,0),"Unknown")</f>
        <v>15.0</v>
      </c>
    </row>
    <row r="537" spans="1:13" ht="24" customHeight="1">
      <c r="A537" t="s">
        <v>294</v>
      </c>
      <c r="B537">
        <v>2</v>
      </c>
      <c r="C537" t="s">
        <v>97</v>
      </c>
      <c r="D537" s="5">
        <v>3</v>
      </c>
      <c r="E537" s="2">
        <f>IF(AND(ISNUMBER(F537),ISNUMBER('Reference data'!$B$3)),F537*'Reference data'!$B$3,"Unknown")</f>
        <v>5.2581e-07</v>
      </c>
      <c r="F537" s="2">
        <f>IF(D537=0,0,IF(ISNUMBER('Reference data'!B17),D537*'Reference data'!B17/1000000,"Unknown"))</f>
        <v>6e-07</v>
      </c>
      <c r="G537" s="5">
        <f>IF(ISNUMBER(E537),ROUND(E537*'Reference data'!$B$2,0),"Unknown")</f>
        <v>0.0</v>
      </c>
      <c r="H537" s="5">
        <f>IF(ISNUMBER(F537),ROUND(F537*'Reference data'!$B$2,0),"Unknown")</f>
        <v>0.0</v>
      </c>
    </row>
    <row r="538" spans="1:13" ht="24" customHeight="1">
      <c r="A538" t="s">
        <v>294</v>
      </c>
      <c r="B538">
        <v>2</v>
      </c>
      <c r="C538" t="s">
        <v>122</v>
      </c>
      <c r="I538" s="6" t="s">
        <v>175</v>
      </c>
    </row>
    <row r="539" spans="1:13" ht="24" customHeight="1">
      <c r="A539" t="s">
        <v>294</v>
      </c>
      <c r="B539">
        <v>2</v>
      </c>
      <c r="C539" t="s">
        <v>103</v>
      </c>
      <c r="D539" s="5">
        <v>300</v>
      </c>
      <c r="E539" s="2">
        <f>IF(AND(ISNUMBER(F539),ISNUMBER('Reference data'!$B$3)),F539*'Reference data'!$B$3,"Unknown")</f>
        <v>6.572625e-05</v>
      </c>
      <c r="F539" s="2">
        <f>IF(D539=0,0,IF(ISNUMBER('Reference data'!D17),D539*'Reference data'!D17/1000000,"Unknown"))</f>
        <v>7.5e-05</v>
      </c>
      <c r="G539" s="5">
        <f>IF(ISNUMBER(E539),ROUND(E539*'Reference data'!$B$2,0),"Unknown")</f>
        <v>7.0</v>
      </c>
      <c r="H539" s="5">
        <f>IF(ISNUMBER(F539),ROUND(F539*'Reference data'!$B$2,0),"Unknown")</f>
        <v>8.0</v>
      </c>
    </row>
    <row r="540" spans="1:13" ht="24" customHeight="1">
      <c r="A540" t="s">
        <v>294</v>
      </c>
      <c r="B540">
        <v>2</v>
      </c>
      <c r="C540" t="s">
        <v>104</v>
      </c>
    </row>
    <row r="541" spans="1:13" s="4" customFormat="1" ht="24" customHeight="1">
      <c r="A541" s="4" t="s">
        <v>294</v>
      </c>
      <c r="B541" s="4">
        <v>2</v>
      </c>
      <c r="C541" s="4" t="s">
        <v>105</v>
      </c>
      <c r="D541" s="4">
        <v>29</v>
      </c>
    </row>
    <row r="542" spans="1:13" ht="24" customHeight="1">
      <c r="A542" t="s">
        <v>294</v>
      </c>
      <c r="B542">
        <v>2</v>
      </c>
      <c r="C542" t="s">
        <v>107</v>
      </c>
      <c r="D542" s="5">
        <v>29</v>
      </c>
      <c r="E542" s="2">
        <f>IF(AND(ISNUMBER(F542),ISNUMBER('Reference data'!$B$3)),F542*'Reference data'!$B$3,"Unknown")</f>
        <v>3.049698e-05</v>
      </c>
      <c r="F542" s="2">
        <f>IF(D542=0,0,IF(ISNUMBER('Reference data'!E17),D542*'Reference data'!E17/1000000,"Unknown"))</f>
        <v>3.48e-05</v>
      </c>
      <c r="G542" s="5">
        <f>IF(ISNUMBER(E542),ROUND(E542*'Reference data'!$B$2,0),"Unknown")</f>
        <v>3.0</v>
      </c>
      <c r="H542" s="5">
        <f>IF(ISNUMBER(F542),ROUND(F542*'Reference data'!$B$2,0),"Unknown")</f>
        <v>3.0</v>
      </c>
    </row>
    <row r="543" spans="1:13" ht="73" customHeight="1">
      <c r="A543" t="s">
        <v>294</v>
      </c>
      <c r="B543">
        <v>2</v>
      </c>
      <c r="C543" t="s">
        <v>108</v>
      </c>
      <c r="I543" s="6" t="s">
        <v>296</v>
      </c>
    </row>
    <row r="544" spans="1:13" ht="24" customHeight="1">
      <c r="A544" t="s">
        <v>294</v>
      </c>
      <c r="B544">
        <v>2</v>
      </c>
      <c r="C544" t="s">
        <v>103</v>
      </c>
    </row>
    <row r="545" spans="1:13" ht="24" customHeight="1">
      <c r="A545" t="s">
        <v>294</v>
      </c>
      <c r="B545">
        <v>2</v>
      </c>
      <c r="C545" t="s">
        <v>104</v>
      </c>
    </row>
    <row r="546" spans="1:13" s="4" customFormat="1" ht="24" customHeight="1">
      <c r="A546" s="4" t="s">
        <v>294</v>
      </c>
      <c r="B546" s="4">
        <v>2</v>
      </c>
      <c r="C546" s="4" t="s">
        <v>110</v>
      </c>
      <c r="E546" s="2">
        <f>IF(COUNT('Turns'!E536,'Turns'!E537,'Turns'!E539,'Turns'!E542)=4,SUM('Turns'!E536,'Turns'!E537,'Turns'!E539,'Turns'!E542),"Unknown")</f>
        <v>0.000228411864</v>
      </c>
      <c r="F546" s="2">
        <f>IF(COUNT('Turns'!F536,'Turns'!F537,'Turns'!F539,'Turns'!F542)=4,SUM('Turns'!F536,'Turns'!F537,'Turns'!F539,'Turns'!F542),"Unknown")</f>
        <v>0.00026064</v>
      </c>
      <c r="G546" s="5">
        <f>IF(ISNUMBER(E546),ROUND(E546*'Reference data'!$B$2,0),"Unknown")</f>
        <v>23.0</v>
      </c>
      <c r="H546" s="5">
        <f>IF(ISNUMBER(F546),ROUND(F546*'Reference data'!$B$2,0),"Unknown")</f>
        <v>26.0</v>
      </c>
      <c r="K546" s="4" t="s">
        <v>111</v>
      </c>
    </row>
    <row r="547" spans="1:13" s="4" customFormat="1" ht="24" customHeight="1">
      <c r="B547" s="4">
        <v>2</v>
      </c>
      <c r="C547" s="4" t="s">
        <v>112</v>
      </c>
      <c r="K547" s="4" t="s">
        <v>111</v>
      </c>
      <c r="M547" s="4" t="s">
        <v>297</v>
      </c>
    </row>
    <row r="548" spans="1:13" ht="24" customHeight="1">
      <c r="B548">
        <v>2</v>
      </c>
      <c r="C548" t="s">
        <v>115</v>
      </c>
      <c r="I548" s="6" t="s">
        <v>116</v>
      </c>
    </row>
    <row r="549" spans="1:13" ht="409" customHeight="1">
      <c r="B549">
        <v>2</v>
      </c>
      <c r="C549" t="s">
        <v>117</v>
      </c>
      <c r="I549" s="6" t="s">
        <v>298</v>
      </c>
    </row>
    <row r="550" spans="1:13" s="4" customFormat="1" ht="24" customHeight="1">
      <c r="A550" s="4" t="s">
        <v>299</v>
      </c>
      <c r="B550" s="4">
        <v>2</v>
      </c>
      <c r="C550" s="4" t="s">
        <v>94</v>
      </c>
      <c r="D550" s="4">
        <v>5847</v>
      </c>
      <c r="J550" s="4" t="s">
        <v>95</v>
      </c>
      <c r="M550" s="4" t="s">
        <v>300</v>
      </c>
    </row>
    <row r="551" spans="1:13" ht="24" customHeight="1">
      <c r="A551" t="s">
        <v>299</v>
      </c>
      <c r="B551">
        <v>2</v>
      </c>
      <c r="C551" t="s">
        <v>121</v>
      </c>
      <c r="D551" s="5">
        <v>0</v>
      </c>
      <c r="E551" s="2">
        <f>IF(AND(ISNUMBER(F551),ISNUMBER('Reference data'!$B$3)),F551*'Reference data'!$B$3,"Unknown")</f>
        <v>0.0</v>
      </c>
      <c r="F551" s="2">
        <f>IF(D551=0,0,IF(ISNUMBER('Reference data'!C17),D551*'Reference data'!C17/1000000,"Unknown"))</f>
        <v>0.0</v>
      </c>
      <c r="G551" s="5">
        <f>IF(ISNUMBER(E551),ROUND(E551*'Reference data'!$B$2,0),"Unknown")</f>
        <v>0.0</v>
      </c>
      <c r="H551" s="5">
        <f>IF(ISNUMBER(F551),ROUND(F551*'Reference data'!$B$2,0),"Unknown")</f>
        <v>0.0</v>
      </c>
    </row>
    <row r="552" spans="1:13" ht="24" customHeight="1">
      <c r="A552" t="s">
        <v>299</v>
      </c>
      <c r="B552">
        <v>2</v>
      </c>
      <c r="C552" t="s">
        <v>97</v>
      </c>
      <c r="D552" s="5">
        <v>3</v>
      </c>
      <c r="E552" s="2">
        <f>IF(AND(ISNUMBER(F552),ISNUMBER('Reference data'!$B$3)),F552*'Reference data'!$B$3,"Unknown")</f>
        <v>5.2581e-07</v>
      </c>
      <c r="F552" s="2">
        <f>IF(D552=0,0,IF(ISNUMBER('Reference data'!B17),D552*'Reference data'!B17/1000000,"Unknown"))</f>
        <v>6e-07</v>
      </c>
      <c r="G552" s="5">
        <f>IF(ISNUMBER(E552),ROUND(E552*'Reference data'!$B$2,0),"Unknown")</f>
        <v>0.0</v>
      </c>
      <c r="H552" s="5">
        <f>IF(ISNUMBER(F552),ROUND(F552*'Reference data'!$B$2,0),"Unknown")</f>
        <v>0.0</v>
      </c>
    </row>
    <row r="553" spans="1:13" ht="24" customHeight="1">
      <c r="A553" t="s">
        <v>299</v>
      </c>
      <c r="B553">
        <v>2</v>
      </c>
      <c r="C553" t="s">
        <v>103</v>
      </c>
      <c r="D553" s="5">
        <v>5844</v>
      </c>
      <c r="E553" s="2">
        <f>IF(AND(ISNUMBER(F553),ISNUMBER('Reference data'!$B$3)),F553*'Reference data'!$B$3,"Unknown")</f>
        <v>0.00128034735</v>
      </c>
      <c r="F553" s="2">
        <f>IF(D553=0,0,IF(ISNUMBER('Reference data'!D17),D553*'Reference data'!D17/1000000,"Unknown"))</f>
        <v>0.001461</v>
      </c>
      <c r="G553" s="5">
        <f>IF(ISNUMBER(E553),ROUND(E553*'Reference data'!$B$2,0),"Unknown")</f>
        <v>128.0</v>
      </c>
      <c r="H553" s="5">
        <f>IF(ISNUMBER(F553),ROUND(F553*'Reference data'!$B$2,0),"Unknown")</f>
        <v>146.0</v>
      </c>
    </row>
    <row r="554" spans="1:13" ht="24" customHeight="1">
      <c r="A554" t="s">
        <v>299</v>
      </c>
      <c r="B554">
        <v>2</v>
      </c>
      <c r="C554" t="s">
        <v>104</v>
      </c>
    </row>
    <row r="555" spans="1:13" s="4" customFormat="1" ht="24" customHeight="1">
      <c r="A555" s="4" t="s">
        <v>299</v>
      </c>
      <c r="B555" s="4">
        <v>2</v>
      </c>
      <c r="C555" s="4" t="s">
        <v>105</v>
      </c>
      <c r="D555" s="4">
        <v>989</v>
      </c>
    </row>
    <row r="556" spans="1:13" ht="24" customHeight="1">
      <c r="A556" t="s">
        <v>299</v>
      </c>
      <c r="B556">
        <v>2</v>
      </c>
      <c r="C556" t="s">
        <v>106</v>
      </c>
      <c r="D556" s="5">
        <v>235</v>
      </c>
      <c r="E556" s="2">
        <f>IF(AND(ISNUMBER(F556),ISNUMBER('Reference data'!$B$3)),F556*'Reference data'!$B$3,"Unknown")</f>
        <v>0.0002471307</v>
      </c>
      <c r="F556" s="2">
        <f>IF(D556=0,0,IF(ISNUMBER('Reference data'!F17),D556*'Reference data'!F17/1000000,"Unknown"))</f>
        <v>0.000282</v>
      </c>
      <c r="G556" s="5">
        <f>IF(ISNUMBER(E556),ROUND(E556*'Reference data'!$B$2,0),"Unknown")</f>
        <v>25.0</v>
      </c>
      <c r="H556" s="5">
        <f>IF(ISNUMBER(F556),ROUND(F556*'Reference data'!$B$2,0),"Unknown")</f>
        <v>28.0</v>
      </c>
    </row>
    <row r="557" spans="1:13" ht="24" customHeight="1">
      <c r="A557" t="s">
        <v>299</v>
      </c>
      <c r="B557">
        <v>2</v>
      </c>
      <c r="C557" t="s">
        <v>107</v>
      </c>
      <c r="D557" s="5">
        <v>754</v>
      </c>
      <c r="E557" s="2">
        <f>IF(AND(ISNUMBER(F557),ISNUMBER('Reference data'!$B$3)),F557*'Reference data'!$B$3,"Unknown")</f>
        <v>0.00079292148</v>
      </c>
      <c r="F557" s="2">
        <f>IF(D557=0,0,IF(ISNUMBER('Reference data'!E17),D557*'Reference data'!E17/1000000,"Unknown"))</f>
        <v>0.0009048</v>
      </c>
      <c r="G557" s="5">
        <f>IF(ISNUMBER(E557),ROUND(E557*'Reference data'!$B$2,0),"Unknown")</f>
        <v>79.0</v>
      </c>
      <c r="H557" s="5">
        <f>IF(ISNUMBER(F557),ROUND(F557*'Reference data'!$B$2,0),"Unknown")</f>
        <v>90.0</v>
      </c>
    </row>
    <row r="558" spans="1:13" ht="409" customHeight="1">
      <c r="A558" t="s">
        <v>299</v>
      </c>
      <c r="B558">
        <v>2</v>
      </c>
      <c r="C558" t="s">
        <v>108</v>
      </c>
      <c r="I558" s="6" t="s">
        <v>301</v>
      </c>
    </row>
    <row r="559" spans="1:13" ht="24" customHeight="1">
      <c r="A559" t="s">
        <v>299</v>
      </c>
      <c r="B559">
        <v>2</v>
      </c>
      <c r="C559" t="s">
        <v>103</v>
      </c>
    </row>
    <row r="560" spans="1:13" ht="24" customHeight="1">
      <c r="A560" t="s">
        <v>299</v>
      </c>
      <c r="B560">
        <v>2</v>
      </c>
      <c r="C560" t="s">
        <v>104</v>
      </c>
    </row>
    <row r="561" spans="1:13" s="4" customFormat="1" ht="24" customHeight="1">
      <c r="A561" s="4" t="s">
        <v>299</v>
      </c>
      <c r="B561" s="4">
        <v>2</v>
      </c>
      <c r="C561" s="4" t="s">
        <v>110</v>
      </c>
      <c r="E561" s="2">
        <f>IF(COUNT('Turns'!E551,'Turns'!E552,'Turns'!E553,'Turns'!E556,'Turns'!E557)=5,SUM('Turns'!E551,'Turns'!E552,'Turns'!E553,'Turns'!E556,'Turns'!E557),"Unknown")</f>
        <v>0.00232092534</v>
      </c>
      <c r="F561" s="2">
        <f>IF(COUNT('Turns'!F551,'Turns'!F552,'Turns'!F553,'Turns'!F556,'Turns'!F557)=5,SUM('Turns'!F551,'Turns'!F552,'Turns'!F553,'Turns'!F556,'Turns'!F557),"Unknown")</f>
        <v>0.0026484</v>
      </c>
      <c r="G561" s="5">
        <f>IF(ISNUMBER(E561),ROUND(E561*'Reference data'!$B$2,0),"Unknown")</f>
        <v>232.0</v>
      </c>
      <c r="H561" s="5">
        <f>IF(ISNUMBER(F561),ROUND(F561*'Reference data'!$B$2,0),"Unknown")</f>
        <v>265.0</v>
      </c>
      <c r="K561" s="4" t="s">
        <v>111</v>
      </c>
    </row>
    <row r="562" spans="1:13" s="4" customFormat="1" ht="24" customHeight="1">
      <c r="A562" s="4" t="s">
        <v>302</v>
      </c>
      <c r="B562" s="4">
        <v>2</v>
      </c>
      <c r="C562" s="4" t="s">
        <v>94</v>
      </c>
      <c r="D562" s="4">
        <v>4227</v>
      </c>
      <c r="J562" s="4" t="s">
        <v>95</v>
      </c>
      <c r="M562" s="4" t="s">
        <v>303</v>
      </c>
    </row>
    <row r="563" spans="1:13" ht="24" customHeight="1">
      <c r="A563" t="s">
        <v>302</v>
      </c>
      <c r="B563">
        <v>2</v>
      </c>
      <c r="C563" t="s">
        <v>121</v>
      </c>
      <c r="D563" s="5">
        <v>2291</v>
      </c>
      <c r="E563" s="2">
        <f>IF(AND(ISNUMBER(F563),ISNUMBER('Reference data'!$B$3)),F563*'Reference data'!$B$3,"Unknown")</f>
        <v>4.0154357e-05</v>
      </c>
      <c r="F563" s="2">
        <f>IF(D563=0,0,IF(ISNUMBER('Reference data'!C17),D563*'Reference data'!C17/1000000,"Unknown"))</f>
        <v>4.582e-05</v>
      </c>
      <c r="G563" s="5">
        <f>IF(ISNUMBER(E563),ROUND(E563*'Reference data'!$B$2,0),"Unknown")</f>
        <v>4.0</v>
      </c>
      <c r="H563" s="5">
        <f>IF(ISNUMBER(F563),ROUND(F563*'Reference data'!$B$2,0),"Unknown")</f>
        <v>5.0</v>
      </c>
    </row>
    <row r="564" spans="1:13" ht="24" customHeight="1">
      <c r="A564" t="s">
        <v>302</v>
      </c>
      <c r="B564">
        <v>2</v>
      </c>
      <c r="C564" t="s">
        <v>97</v>
      </c>
      <c r="D564" s="5">
        <v>3</v>
      </c>
      <c r="E564" s="2">
        <f>IF(AND(ISNUMBER(F564),ISNUMBER('Reference data'!$B$3)),F564*'Reference data'!$B$3,"Unknown")</f>
        <v>5.2581e-07</v>
      </c>
      <c r="F564" s="2">
        <f>IF(D564=0,0,IF(ISNUMBER('Reference data'!B17),D564*'Reference data'!B17/1000000,"Unknown"))</f>
        <v>6e-07</v>
      </c>
      <c r="G564" s="5">
        <f>IF(ISNUMBER(E564),ROUND(E564*'Reference data'!$B$2,0),"Unknown")</f>
        <v>0.0</v>
      </c>
      <c r="H564" s="5">
        <f>IF(ISNUMBER(F564),ROUND(F564*'Reference data'!$B$2,0),"Unknown")</f>
        <v>0.0</v>
      </c>
    </row>
    <row r="565" spans="1:13" ht="409" customHeight="1">
      <c r="A565" t="s">
        <v>302</v>
      </c>
      <c r="B565">
        <v>2</v>
      </c>
      <c r="C565" t="s">
        <v>122</v>
      </c>
      <c r="I565" s="6" t="s">
        <v>298</v>
      </c>
    </row>
    <row r="566" spans="1:13" ht="24" customHeight="1">
      <c r="A566" t="s">
        <v>302</v>
      </c>
      <c r="B566">
        <v>2</v>
      </c>
      <c r="C566" t="s">
        <v>103</v>
      </c>
      <c r="D566" s="5">
        <v>1933</v>
      </c>
      <c r="E566" s="2">
        <f>IF(AND(ISNUMBER(F566),ISNUMBER('Reference data'!$B$3)),F566*'Reference data'!$B$3,"Unknown")</f>
        <v>0.0004234961375</v>
      </c>
      <c r="F566" s="2">
        <f>IF(D566=0,0,IF(ISNUMBER('Reference data'!D17),D566*'Reference data'!D17/1000000,"Unknown"))</f>
        <v>0.00048325</v>
      </c>
      <c r="G566" s="5">
        <f>IF(ISNUMBER(E566),ROUND(E566*'Reference data'!$B$2,0),"Unknown")</f>
        <v>42.0</v>
      </c>
      <c r="H566" s="5">
        <f>IF(ISNUMBER(F566),ROUND(F566*'Reference data'!$B$2,0),"Unknown")</f>
        <v>48.0</v>
      </c>
    </row>
    <row r="567" spans="1:13" ht="24" customHeight="1">
      <c r="A567" t="s">
        <v>302</v>
      </c>
      <c r="B567">
        <v>2</v>
      </c>
      <c r="C567" t="s">
        <v>104</v>
      </c>
    </row>
    <row r="568" spans="1:13" s="4" customFormat="1" ht="24" customHeight="1">
      <c r="A568" s="4" t="s">
        <v>302</v>
      </c>
      <c r="B568" s="4">
        <v>2</v>
      </c>
      <c r="C568" s="4" t="s">
        <v>105</v>
      </c>
      <c r="D568" s="4">
        <v>447</v>
      </c>
    </row>
    <row r="569" spans="1:13" ht="24" customHeight="1">
      <c r="A569" t="s">
        <v>302</v>
      </c>
      <c r="B569">
        <v>2</v>
      </c>
      <c r="C569" t="s">
        <v>106</v>
      </c>
      <c r="D569" s="5">
        <v>90</v>
      </c>
      <c r="E569" s="2">
        <f>IF(AND(ISNUMBER(F569),ISNUMBER('Reference data'!$B$3)),F569*'Reference data'!$B$3,"Unknown")</f>
        <v>9.46458e-05</v>
      </c>
      <c r="F569" s="2">
        <f>IF(D569=0,0,IF(ISNUMBER('Reference data'!F17),D569*'Reference data'!F17/1000000,"Unknown"))</f>
        <v>0.000108</v>
      </c>
      <c r="G569" s="5">
        <f>IF(ISNUMBER(E569),ROUND(E569*'Reference data'!$B$2,0),"Unknown")</f>
        <v>9.0</v>
      </c>
      <c r="H569" s="5">
        <f>IF(ISNUMBER(F569),ROUND(F569*'Reference data'!$B$2,0),"Unknown")</f>
        <v>11.0</v>
      </c>
    </row>
    <row r="570" spans="1:13" ht="24" customHeight="1">
      <c r="A570" t="s">
        <v>302</v>
      </c>
      <c r="B570">
        <v>2</v>
      </c>
      <c r="C570" t="s">
        <v>107</v>
      </c>
      <c r="D570" s="5">
        <v>357</v>
      </c>
      <c r="E570" s="2">
        <f>IF(AND(ISNUMBER(F570),ISNUMBER('Reference data'!$B$3)),F570*'Reference data'!$B$3,"Unknown")</f>
        <v>0.00037542834</v>
      </c>
      <c r="F570" s="2">
        <f>IF(D570=0,0,IF(ISNUMBER('Reference data'!E17),D570*'Reference data'!E17/1000000,"Unknown"))</f>
        <v>0.0004284</v>
      </c>
      <c r="G570" s="5">
        <f>IF(ISNUMBER(E570),ROUND(E570*'Reference data'!$B$2,0),"Unknown")</f>
        <v>38.0</v>
      </c>
      <c r="H570" s="5">
        <f>IF(ISNUMBER(F570),ROUND(F570*'Reference data'!$B$2,0),"Unknown")</f>
        <v>43.0</v>
      </c>
    </row>
    <row r="571" spans="1:13" ht="409" customHeight="1">
      <c r="A571" t="s">
        <v>302</v>
      </c>
      <c r="B571">
        <v>2</v>
      </c>
      <c r="C571" t="s">
        <v>108</v>
      </c>
      <c r="I571" s="6" t="s">
        <v>304</v>
      </c>
    </row>
    <row r="572" spans="1:13" ht="24" customHeight="1">
      <c r="A572" t="s">
        <v>302</v>
      </c>
      <c r="B572">
        <v>2</v>
      </c>
      <c r="C572" t="s">
        <v>103</v>
      </c>
    </row>
    <row r="573" spans="1:13" ht="24" customHeight="1">
      <c r="A573" t="s">
        <v>302</v>
      </c>
      <c r="B573">
        <v>2</v>
      </c>
      <c r="C573" t="s">
        <v>104</v>
      </c>
    </row>
    <row r="574" spans="1:13" s="4" customFormat="1" ht="24" customHeight="1">
      <c r="A574" s="4" t="s">
        <v>302</v>
      </c>
      <c r="B574" s="4">
        <v>2</v>
      </c>
      <c r="C574" s="4" t="s">
        <v>110</v>
      </c>
      <c r="E574" s="2">
        <f>IF(COUNT('Turns'!E563,'Turns'!E564,'Turns'!E566,'Turns'!E569,'Turns'!E570)=5,SUM('Turns'!E563,'Turns'!E564,'Turns'!E566,'Turns'!E569,'Turns'!E570),"Unknown")</f>
        <v>0.0009342504445</v>
      </c>
      <c r="F574" s="2">
        <f>IF(COUNT('Turns'!F563,'Turns'!F564,'Turns'!F566,'Turns'!F569,'Turns'!F570)=5,SUM('Turns'!F563,'Turns'!F564,'Turns'!F566,'Turns'!F569,'Turns'!F570),"Unknown")</f>
        <v>0.00106607</v>
      </c>
      <c r="G574" s="5">
        <f>IF(ISNUMBER(E574),ROUND(E574*'Reference data'!$B$2,0),"Unknown")</f>
        <v>93.0</v>
      </c>
      <c r="H574" s="5">
        <f>IF(ISNUMBER(F574),ROUND(F574*'Reference data'!$B$2,0),"Unknown")</f>
        <v>107.0</v>
      </c>
      <c r="K574" s="4" t="s">
        <v>111</v>
      </c>
    </row>
    <row r="575" spans="1:13" s="4" customFormat="1" ht="24" customHeight="1">
      <c r="B575" s="4">
        <v>2</v>
      </c>
      <c r="C575" s="4" t="s">
        <v>172</v>
      </c>
      <c r="K575" s="4" t="s">
        <v>111</v>
      </c>
      <c r="M575" s="4" t="s">
        <v>305</v>
      </c>
    </row>
    <row r="576" spans="1:13" ht="268" customHeight="1">
      <c r="B576">
        <v>2</v>
      </c>
      <c r="C576" t="s">
        <v>115</v>
      </c>
      <c r="I576" s="6" t="s">
        <v>306</v>
      </c>
    </row>
    <row r="577" spans="1:13" ht="24" customHeight="1">
      <c r="B577">
        <v>2</v>
      </c>
      <c r="C577" t="s">
        <v>117</v>
      </c>
      <c r="I577" s="6" t="s">
        <v>175</v>
      </c>
    </row>
    <row r="578" spans="1:13" s="4" customFormat="1" ht="24" customHeight="1">
      <c r="A578" s="4" t="s">
        <v>307</v>
      </c>
      <c r="B578" s="4">
        <v>2</v>
      </c>
      <c r="C578" s="4" t="s">
        <v>94</v>
      </c>
      <c r="D578" s="4">
        <v>4699</v>
      </c>
      <c r="J578" s="4" t="s">
        <v>95</v>
      </c>
      <c r="M578" s="4" t="s">
        <v>308</v>
      </c>
    </row>
    <row r="579" spans="1:13" ht="24" customHeight="1">
      <c r="A579" t="s">
        <v>307</v>
      </c>
      <c r="B579">
        <v>2</v>
      </c>
      <c r="C579" t="s">
        <v>121</v>
      </c>
      <c r="D579" s="5">
        <v>4224</v>
      </c>
      <c r="E579" s="2">
        <f>IF(AND(ISNUMBER(F579),ISNUMBER('Reference data'!$B$3)),F579*'Reference data'!$B$3,"Unknown")</f>
        <v>7.4034048e-05</v>
      </c>
      <c r="F579" s="2">
        <f>IF(D579=0,0,IF(ISNUMBER('Reference data'!C17),D579*'Reference data'!C17/1000000,"Unknown"))</f>
        <v>8.448e-05</v>
      </c>
      <c r="G579" s="5">
        <f>IF(ISNUMBER(E579),ROUND(E579*'Reference data'!$B$2,0),"Unknown")</f>
        <v>7.0</v>
      </c>
      <c r="H579" s="5">
        <f>IF(ISNUMBER(F579),ROUND(F579*'Reference data'!$B$2,0),"Unknown")</f>
        <v>8.0</v>
      </c>
    </row>
    <row r="580" spans="1:13" ht="24" customHeight="1">
      <c r="A580" t="s">
        <v>307</v>
      </c>
      <c r="B580">
        <v>2</v>
      </c>
      <c r="C580" t="s">
        <v>97</v>
      </c>
      <c r="D580" s="5">
        <v>3</v>
      </c>
      <c r="E580" s="2">
        <f>IF(AND(ISNUMBER(F580),ISNUMBER('Reference data'!$B$3)),F580*'Reference data'!$B$3,"Unknown")</f>
        <v>5.2581e-07</v>
      </c>
      <c r="F580" s="2">
        <f>IF(D580=0,0,IF(ISNUMBER('Reference data'!B17),D580*'Reference data'!B17/1000000,"Unknown"))</f>
        <v>6e-07</v>
      </c>
      <c r="G580" s="5">
        <f>IF(ISNUMBER(E580),ROUND(E580*'Reference data'!$B$2,0),"Unknown")</f>
        <v>0.0</v>
      </c>
      <c r="H580" s="5">
        <f>IF(ISNUMBER(F580),ROUND(F580*'Reference data'!$B$2,0),"Unknown")</f>
        <v>0.0</v>
      </c>
    </row>
    <row r="581" spans="1:13" ht="24" customHeight="1">
      <c r="A581" t="s">
        <v>307</v>
      </c>
      <c r="B581">
        <v>2</v>
      </c>
      <c r="C581" t="s">
        <v>122</v>
      </c>
      <c r="I581" s="6" t="s">
        <v>175</v>
      </c>
    </row>
    <row r="582" spans="1:13" ht="24" customHeight="1">
      <c r="A582" t="s">
        <v>307</v>
      </c>
      <c r="B582">
        <v>2</v>
      </c>
      <c r="C582" t="s">
        <v>103</v>
      </c>
      <c r="D582" s="5">
        <v>472</v>
      </c>
      <c r="E582" s="2">
        <f>IF(AND(ISNUMBER(F582),ISNUMBER('Reference data'!$B$3)),F582*'Reference data'!$B$3,"Unknown")</f>
        <v>0.0001034093</v>
      </c>
      <c r="F582" s="2">
        <f>IF(D582=0,0,IF(ISNUMBER('Reference data'!D17),D582*'Reference data'!D17/1000000,"Unknown"))</f>
        <v>0.000118</v>
      </c>
      <c r="G582" s="5">
        <f>IF(ISNUMBER(E582),ROUND(E582*'Reference data'!$B$2,0),"Unknown")</f>
        <v>10.0</v>
      </c>
      <c r="H582" s="5">
        <f>IF(ISNUMBER(F582),ROUND(F582*'Reference data'!$B$2,0),"Unknown")</f>
        <v>12.0</v>
      </c>
    </row>
    <row r="583" spans="1:13" ht="24" customHeight="1">
      <c r="A583" t="s">
        <v>307</v>
      </c>
      <c r="B583">
        <v>2</v>
      </c>
      <c r="C583" t="s">
        <v>104</v>
      </c>
    </row>
    <row r="584" spans="1:13" s="4" customFormat="1" ht="24" customHeight="1">
      <c r="A584" s="4" t="s">
        <v>307</v>
      </c>
      <c r="B584" s="4">
        <v>2</v>
      </c>
      <c r="C584" s="4" t="s">
        <v>105</v>
      </c>
      <c r="D584" s="4">
        <v>29</v>
      </c>
    </row>
    <row r="585" spans="1:13" ht="24" customHeight="1">
      <c r="A585" t="s">
        <v>307</v>
      </c>
      <c r="B585">
        <v>2</v>
      </c>
      <c r="C585" t="s">
        <v>107</v>
      </c>
      <c r="D585" s="5">
        <v>29</v>
      </c>
      <c r="E585" s="2">
        <f>IF(AND(ISNUMBER(F585),ISNUMBER('Reference data'!$B$3)),F585*'Reference data'!$B$3,"Unknown")</f>
        <v>3.049698e-05</v>
      </c>
      <c r="F585" s="2">
        <f>IF(D585=0,0,IF(ISNUMBER('Reference data'!E17),D585*'Reference data'!E17/1000000,"Unknown"))</f>
        <v>3.48e-05</v>
      </c>
      <c r="G585" s="5">
        <f>IF(ISNUMBER(E585),ROUND(E585*'Reference data'!$B$2,0),"Unknown")</f>
        <v>3.0</v>
      </c>
      <c r="H585" s="5">
        <f>IF(ISNUMBER(F585),ROUND(F585*'Reference data'!$B$2,0),"Unknown")</f>
        <v>3.0</v>
      </c>
    </row>
    <row r="586" spans="1:13" ht="73" customHeight="1">
      <c r="A586" t="s">
        <v>307</v>
      </c>
      <c r="B586">
        <v>2</v>
      </c>
      <c r="C586" t="s">
        <v>108</v>
      </c>
      <c r="I586" s="6" t="s">
        <v>309</v>
      </c>
    </row>
    <row r="587" spans="1:13" ht="24" customHeight="1">
      <c r="A587" t="s">
        <v>307</v>
      </c>
      <c r="B587">
        <v>2</v>
      </c>
      <c r="C587" t="s">
        <v>103</v>
      </c>
    </row>
    <row r="588" spans="1:13" ht="24" customHeight="1">
      <c r="A588" t="s">
        <v>307</v>
      </c>
      <c r="B588">
        <v>2</v>
      </c>
      <c r="C588" t="s">
        <v>104</v>
      </c>
    </row>
    <row r="589" spans="1:13" s="4" customFormat="1" ht="24" customHeight="1">
      <c r="A589" s="4" t="s">
        <v>307</v>
      </c>
      <c r="B589" s="4">
        <v>2</v>
      </c>
      <c r="C589" s="4" t="s">
        <v>110</v>
      </c>
      <c r="E589" s="2">
        <f>IF(COUNT('Turns'!E579,'Turns'!E580,'Turns'!E582,'Turns'!E585)=4,SUM('Turns'!E579,'Turns'!E580,'Turns'!E582,'Turns'!E585),"Unknown")</f>
        <v>0.000208466138</v>
      </c>
      <c r="F589" s="2">
        <f>IF(COUNT('Turns'!F579,'Turns'!F580,'Turns'!F582,'Turns'!F585)=4,SUM('Turns'!F579,'Turns'!F580,'Turns'!F582,'Turns'!F585),"Unknown")</f>
        <v>0.00023788</v>
      </c>
      <c r="G589" s="5">
        <f>IF(ISNUMBER(E589),ROUND(E589*'Reference data'!$B$2,0),"Unknown")</f>
        <v>21.0</v>
      </c>
      <c r="H589" s="5">
        <f>IF(ISNUMBER(F589),ROUND(F589*'Reference data'!$B$2,0),"Unknown")</f>
        <v>24.0</v>
      </c>
      <c r="K589" s="4" t="s">
        <v>111</v>
      </c>
    </row>
    <row r="590" spans="1:13" s="4" customFormat="1" ht="24" customHeight="1">
      <c r="B590" s="4">
        <v>2</v>
      </c>
      <c r="C590" s="4" t="s">
        <v>112</v>
      </c>
      <c r="K590" s="4" t="s">
        <v>111</v>
      </c>
      <c r="M590" s="4" t="s">
        <v>310</v>
      </c>
    </row>
    <row r="591" spans="1:13" ht="24" customHeight="1">
      <c r="B591">
        <v>2</v>
      </c>
      <c r="C591" t="s">
        <v>115</v>
      </c>
      <c r="I591" s="6" t="s">
        <v>116</v>
      </c>
    </row>
    <row r="592" spans="1:13" ht="409" customHeight="1">
      <c r="B592">
        <v>2</v>
      </c>
      <c r="C592" t="s">
        <v>117</v>
      </c>
      <c r="I592" s="6" t="s">
        <v>311</v>
      </c>
    </row>
    <row r="593" spans="1:13" s="4" customFormat="1" ht="24" customHeight="1">
      <c r="A593" s="4" t="s">
        <v>312</v>
      </c>
      <c r="B593" s="4">
        <v>2</v>
      </c>
      <c r="C593" s="4" t="s">
        <v>94</v>
      </c>
      <c r="D593" s="4">
        <v>5978</v>
      </c>
      <c r="J593" s="4" t="s">
        <v>95</v>
      </c>
      <c r="M593" s="4" t="s">
        <v>313</v>
      </c>
    </row>
    <row r="594" spans="1:13" ht="24" customHeight="1">
      <c r="A594" t="s">
        <v>312</v>
      </c>
      <c r="B594">
        <v>2</v>
      </c>
      <c r="C594" t="s">
        <v>121</v>
      </c>
      <c r="D594" s="5">
        <v>4696</v>
      </c>
      <c r="E594" s="2">
        <f>IF(AND(ISNUMBER(F594),ISNUMBER('Reference data'!$B$3)),F594*'Reference data'!$B$3,"Unknown")</f>
        <v>8.2306792e-05</v>
      </c>
      <c r="F594" s="2">
        <f>IF(D594=0,0,IF(ISNUMBER('Reference data'!C17),D594*'Reference data'!C17/1000000,"Unknown"))</f>
        <v>9.392e-05</v>
      </c>
      <c r="G594" s="5">
        <f>IF(ISNUMBER(E594),ROUND(E594*'Reference data'!$B$2,0),"Unknown")</f>
        <v>8.0</v>
      </c>
      <c r="H594" s="5">
        <f>IF(ISNUMBER(F594),ROUND(F594*'Reference data'!$B$2,0),"Unknown")</f>
        <v>9.0</v>
      </c>
    </row>
    <row r="595" spans="1:13" ht="24" customHeight="1">
      <c r="A595" t="s">
        <v>312</v>
      </c>
      <c r="B595">
        <v>2</v>
      </c>
      <c r="C595" t="s">
        <v>97</v>
      </c>
      <c r="D595" s="5">
        <v>3</v>
      </c>
      <c r="E595" s="2">
        <f>IF(AND(ISNUMBER(F595),ISNUMBER('Reference data'!$B$3)),F595*'Reference data'!$B$3,"Unknown")</f>
        <v>5.2581e-07</v>
      </c>
      <c r="F595" s="2">
        <f>IF(D595=0,0,IF(ISNUMBER('Reference data'!B17),D595*'Reference data'!B17/1000000,"Unknown"))</f>
        <v>6e-07</v>
      </c>
      <c r="G595" s="5">
        <f>IF(ISNUMBER(E595),ROUND(E595*'Reference data'!$B$2,0),"Unknown")</f>
        <v>0.0</v>
      </c>
      <c r="H595" s="5">
        <f>IF(ISNUMBER(F595),ROUND(F595*'Reference data'!$B$2,0),"Unknown")</f>
        <v>0.0</v>
      </c>
    </row>
    <row r="596" spans="1:13" ht="409" customHeight="1">
      <c r="A596" t="s">
        <v>312</v>
      </c>
      <c r="B596">
        <v>2</v>
      </c>
      <c r="C596" t="s">
        <v>122</v>
      </c>
      <c r="I596" s="6" t="s">
        <v>311</v>
      </c>
    </row>
    <row r="597" spans="1:13" ht="24" customHeight="1">
      <c r="A597" t="s">
        <v>312</v>
      </c>
      <c r="B597">
        <v>2</v>
      </c>
      <c r="C597" t="s">
        <v>103</v>
      </c>
      <c r="D597" s="5">
        <v>1279</v>
      </c>
      <c r="E597" s="2">
        <f>IF(AND(ISNUMBER(F597),ISNUMBER('Reference data'!$B$3)),F597*'Reference data'!$B$3,"Unknown")</f>
        <v>0.0002802129125</v>
      </c>
      <c r="F597" s="2">
        <f>IF(D597=0,0,IF(ISNUMBER('Reference data'!D17),D597*'Reference data'!D17/1000000,"Unknown"))</f>
        <v>0.00031975</v>
      </c>
      <c r="G597" s="5">
        <f>IF(ISNUMBER(E597),ROUND(E597*'Reference data'!$B$2,0),"Unknown")</f>
        <v>28.0</v>
      </c>
      <c r="H597" s="5">
        <f>IF(ISNUMBER(F597),ROUND(F597*'Reference data'!$B$2,0),"Unknown")</f>
        <v>32.0</v>
      </c>
    </row>
    <row r="598" spans="1:13" ht="24" customHeight="1">
      <c r="A598" t="s">
        <v>312</v>
      </c>
      <c r="B598">
        <v>2</v>
      </c>
      <c r="C598" t="s">
        <v>104</v>
      </c>
    </row>
    <row r="599" spans="1:13" s="4" customFormat="1" ht="24" customHeight="1">
      <c r="A599" s="4" t="s">
        <v>312</v>
      </c>
      <c r="B599" s="4">
        <v>2</v>
      </c>
      <c r="C599" s="4" t="s">
        <v>105</v>
      </c>
      <c r="D599" s="4">
        <v>131</v>
      </c>
    </row>
    <row r="600" spans="1:13" ht="24" customHeight="1">
      <c r="A600" t="s">
        <v>312</v>
      </c>
      <c r="B600">
        <v>2</v>
      </c>
      <c r="C600" t="s">
        <v>106</v>
      </c>
      <c r="D600" s="5">
        <v>54</v>
      </c>
      <c r="E600" s="2">
        <f>IF(AND(ISNUMBER(F600),ISNUMBER('Reference data'!$B$3)),F600*'Reference data'!$B$3,"Unknown")</f>
        <v>5.678748e-05</v>
      </c>
      <c r="F600" s="2">
        <f>IF(D600=0,0,IF(ISNUMBER('Reference data'!F17),D600*'Reference data'!F17/1000000,"Unknown"))</f>
        <v>6.48e-05</v>
      </c>
      <c r="G600" s="5">
        <f>IF(ISNUMBER(E600),ROUND(E600*'Reference data'!$B$2,0),"Unknown")</f>
        <v>6.0</v>
      </c>
      <c r="H600" s="5">
        <f>IF(ISNUMBER(F600),ROUND(F600*'Reference data'!$B$2,0),"Unknown")</f>
        <v>6.0</v>
      </c>
    </row>
    <row r="601" spans="1:13" ht="24" customHeight="1">
      <c r="A601" t="s">
        <v>312</v>
      </c>
      <c r="B601">
        <v>2</v>
      </c>
      <c r="C601" t="s">
        <v>107</v>
      </c>
      <c r="D601" s="5">
        <v>77</v>
      </c>
      <c r="E601" s="2">
        <f>IF(AND(ISNUMBER(F601),ISNUMBER('Reference data'!$B$3)),F601*'Reference data'!$B$3,"Unknown")</f>
        <v>8.097474e-05</v>
      </c>
      <c r="F601" s="2">
        <f>IF(D601=0,0,IF(ISNUMBER('Reference data'!E17),D601*'Reference data'!E17/1000000,"Unknown"))</f>
        <v>9.24e-05</v>
      </c>
      <c r="G601" s="5">
        <f>IF(ISNUMBER(E601),ROUND(E601*'Reference data'!$B$2,0),"Unknown")</f>
        <v>8.0</v>
      </c>
      <c r="H601" s="5">
        <f>IF(ISNUMBER(F601),ROUND(F601*'Reference data'!$B$2,0),"Unknown")</f>
        <v>9.0</v>
      </c>
    </row>
    <row r="602" spans="1:13" ht="346" customHeight="1">
      <c r="A602" t="s">
        <v>312</v>
      </c>
      <c r="B602">
        <v>2</v>
      </c>
      <c r="C602" t="s">
        <v>108</v>
      </c>
      <c r="I602" s="6" t="s">
        <v>314</v>
      </c>
    </row>
    <row r="603" spans="1:13" ht="24" customHeight="1">
      <c r="A603" t="s">
        <v>312</v>
      </c>
      <c r="B603">
        <v>2</v>
      </c>
      <c r="C603" t="s">
        <v>103</v>
      </c>
    </row>
    <row r="604" spans="1:13" ht="24" customHeight="1">
      <c r="A604" t="s">
        <v>312</v>
      </c>
      <c r="B604">
        <v>2</v>
      </c>
      <c r="C604" t="s">
        <v>104</v>
      </c>
    </row>
    <row r="605" spans="1:13" s="4" customFormat="1" ht="24" customHeight="1">
      <c r="A605" s="4" t="s">
        <v>312</v>
      </c>
      <c r="B605" s="4">
        <v>2</v>
      </c>
      <c r="C605" s="4" t="s">
        <v>110</v>
      </c>
      <c r="E605" s="2">
        <f>IF(COUNT('Turns'!E594,'Turns'!E595,'Turns'!E597,'Turns'!E600,'Turns'!E601)=5,SUM('Turns'!E594,'Turns'!E595,'Turns'!E597,'Turns'!E600,'Turns'!E601),"Unknown")</f>
        <v>0.0005008077345</v>
      </c>
      <c r="F605" s="2">
        <f>IF(COUNT('Turns'!F594,'Turns'!F595,'Turns'!F597,'Turns'!F600,'Turns'!F601)=5,SUM('Turns'!F594,'Turns'!F595,'Turns'!F597,'Turns'!F600,'Turns'!F601),"Unknown")</f>
        <v>0.00057147</v>
      </c>
      <c r="G605" s="5">
        <f>IF(ISNUMBER(E605),ROUND(E605*'Reference data'!$B$2,0),"Unknown")</f>
        <v>50.0</v>
      </c>
      <c r="H605" s="5">
        <f>IF(ISNUMBER(F605),ROUND(F605*'Reference data'!$B$2,0),"Unknown")</f>
        <v>57.0</v>
      </c>
      <c r="K605" s="4" t="s">
        <v>111</v>
      </c>
    </row>
  </sheetData>
  <conditionalFormatting sqref="A2:AE605">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217"/>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315</v>
      </c>
      <c r="B2" s="1">
        <v>0</v>
      </c>
      <c r="C2" s="1" t="s">
        <v>316</v>
      </c>
      <c r="D2" s="1" t="s">
        <v>47</v>
      </c>
      <c r="E2" s="1" t="s">
        <v>111</v>
      </c>
      <c r="G2" s="6" t="s">
        <v>317</v>
      </c>
      <c r="H2" t="s">
        <v>49</v>
      </c>
      <c r="J2" s="2">
        <f>IF(COUNT('Turns'!D5,'Turns'!D23,'Turns'!D39,'Turns'!D51,'Turns'!D72,'Turns'!D88,'Turns'!D104,'Turns'!D116,'Turns'!D136,'Turns'!D148,'Turns'!D166,'Turns'!D181,'Turns'!D195,'Turns'!D208,'Turns'!D227,'Turns'!D243,'Turns'!D256,'Turns'!D271,'Turns'!D289,'Turns'!D302,'Turns'!D318,'Turns'!D334,'Turns'!D350)=23,SUM('Turns'!D5,'Turns'!D23,'Turns'!D39,'Turns'!D51,'Turns'!D72,'Turns'!D88,'Turns'!D104,'Turns'!D116,'Turns'!D136,'Turns'!D148,'Turns'!D166,'Turns'!D181,'Turns'!D195,'Turns'!D208,'Turns'!D227,'Turns'!D243,'Turns'!D256,'Turns'!D271,'Turns'!D289,'Turns'!D302,'Turns'!D318,'Turns'!D334,'Turns'!D350),"Unknown")</f>
        <v>69.0</v>
      </c>
      <c r="K2" s="2">
        <f>IF(COUNT('Turns'!E5,'Turns'!E23,'Turns'!E39,'Turns'!E51,'Turns'!E72,'Turns'!E88,'Turns'!E104,'Turns'!E116,'Turns'!E136,'Turns'!E148,'Turns'!E166,'Turns'!E181,'Turns'!E195,'Turns'!E208,'Turns'!E227,'Turns'!E243,'Turns'!E256,'Turns'!E271,'Turns'!E289,'Turns'!E302,'Turns'!E318,'Turns'!E334,'Turns'!E350)=23,SUM('Turns'!E5,'Turns'!E23,'Turns'!E39,'Turns'!E51,'Turns'!E72,'Turns'!E88,'Turns'!E104,'Turns'!E116,'Turns'!E136,'Turns'!E148,'Turns'!E166,'Turns'!E181,'Turns'!E195,'Turns'!E208,'Turns'!E227,'Turns'!E243,'Turns'!E256,'Turns'!E271,'Turns'!E289,'Turns'!E302,'Turns'!E318,'Turns'!E334,'Turns'!E350),"Unknown")</f>
        <v>1.209363e-05</v>
      </c>
      <c r="L2" s="2">
        <f>IF(COUNT('Turns'!F5,'Turns'!F23,'Turns'!F39,'Turns'!F51,'Turns'!F72,'Turns'!F88,'Turns'!F104,'Turns'!F116,'Turns'!F136,'Turns'!F148,'Turns'!F166,'Turns'!F181,'Turns'!F195,'Turns'!F208,'Turns'!F227,'Turns'!F243,'Turns'!F256,'Turns'!F271,'Turns'!F289,'Turns'!F302,'Turns'!F318,'Turns'!F334,'Turns'!F350)=23,SUM('Turns'!F5,'Turns'!F23,'Turns'!F39,'Turns'!F51,'Turns'!F72,'Turns'!F88,'Turns'!F104,'Turns'!F116,'Turns'!F136,'Turns'!F148,'Turns'!F166,'Turns'!F181,'Turns'!F195,'Turns'!F208,'Turns'!F227,'Turns'!F243,'Turns'!F256,'Turns'!F271,'Turns'!F289,'Turns'!F302,'Turns'!F318,'Turns'!F334,'Turns'!F350),"Unknown")</f>
        <v>1.38e-05</v>
      </c>
      <c r="M2" s="2">
        <f>IF(COUNT('Turns'!D22,'Turns'!D38,'Turns'!D71,'Turns'!D87,'Turns'!D103,'Turns'!D135,'Turns'!D165,'Turns'!D194,'Turns'!D207,'Turns'!D226,'Turns'!D242,'Turns'!D255,'Turns'!D270,'Turns'!D288,'Turns'!D301,'Turns'!D317,'Turns'!D333,'Turns'!D349)=18,SUM('Turns'!D22,'Turns'!D38,'Turns'!D71,'Turns'!D87,'Turns'!D103,'Turns'!D135,'Turns'!D165,'Turns'!D194,'Turns'!D207,'Turns'!D226,'Turns'!D242,'Turns'!D255,'Turns'!D270,'Turns'!D288,'Turns'!D301,'Turns'!D317,'Turns'!D333,'Turns'!D349),"Unknown")</f>
        <v>63344.0</v>
      </c>
      <c r="N2" s="2">
        <f>IF(COUNT('Turns'!E22,'Turns'!E38,'Turns'!E71,'Turns'!E87,'Turns'!E103,'Turns'!E135,'Turns'!E165,'Turns'!E194,'Turns'!E207,'Turns'!E226,'Turns'!E242,'Turns'!E255,'Turns'!E270,'Turns'!E288,'Turns'!E301,'Turns'!E317,'Turns'!E333,'Turns'!E349)=18,SUM('Turns'!E22,'Turns'!E38,'Turns'!E71,'Turns'!E87,'Turns'!E103,'Turns'!E135,'Turns'!E165,'Turns'!E194,'Turns'!E207,'Turns'!E226,'Turns'!E242,'Turns'!E255,'Turns'!E270,'Turns'!E288,'Turns'!E301,'Turns'!E317,'Turns'!E333,'Turns'!E349),"Unknown")</f>
        <v>0.001110230288</v>
      </c>
      <c r="O2" s="2">
        <f>IF(COUNT('Turns'!F22,'Turns'!F38,'Turns'!F71,'Turns'!F87,'Turns'!F103,'Turns'!F135,'Turns'!F165,'Turns'!F194,'Turns'!F207,'Turns'!F226,'Turns'!F242,'Turns'!F255,'Turns'!F270,'Turns'!F288,'Turns'!F301,'Turns'!F317,'Turns'!F333,'Turns'!F349)=18,SUM('Turns'!F22,'Turns'!F38,'Turns'!F71,'Turns'!F87,'Turns'!F103,'Turns'!F135,'Turns'!F165,'Turns'!F194,'Turns'!F207,'Turns'!F226,'Turns'!F242,'Turns'!F255,'Turns'!F270,'Turns'!F288,'Turns'!F301,'Turns'!F317,'Turns'!F333,'Turns'!F349),"Unknown")</f>
        <v>0.00126688</v>
      </c>
      <c r="P2" s="2">
        <f>IF(COUNT('Turns'!D9,'Turns'!D25,'Turns'!D41,'Turns'!D55,'Turns'!D74,'Turns'!D90,'Turns'!D106,'Turns'!D119,'Turns'!D138,'Turns'!D152,'Turns'!D168,'Turns'!D184,'Turns'!D197,'Turns'!D210,'Turns'!D229,'Turns'!D245,'Turns'!D257,'Turns'!D273,'Turns'!D291,'Turns'!D304,'Turns'!D320,'Turns'!D336,'Turns'!D352)=23,SUM('Turns'!D9,'Turns'!D25,'Turns'!D41,'Turns'!D55,'Turns'!D74,'Turns'!D90,'Turns'!D106,'Turns'!D119,'Turns'!D138,'Turns'!D152,'Turns'!D168,'Turns'!D184,'Turns'!D197,'Turns'!D210,'Turns'!D229,'Turns'!D245,'Turns'!D257,'Turns'!D273,'Turns'!D291,'Turns'!D304,'Turns'!D320,'Turns'!D336,'Turns'!D352),"Unknown")</f>
        <v>42785.0</v>
      </c>
      <c r="Q2" s="2">
        <f>IF(COUNT('Turns'!E9,'Turns'!E25,'Turns'!E41,'Turns'!E55,'Turns'!E74,'Turns'!E90,'Turns'!E106,'Turns'!E119,'Turns'!E138,'Turns'!E152,'Turns'!E168,'Turns'!E184,'Turns'!E197,'Turns'!E210,'Turns'!E229,'Turns'!E245,'Turns'!E257,'Turns'!E273,'Turns'!E291,'Turns'!E304,'Turns'!E320,'Turns'!E336,'Turns'!E352)=23,SUM('Turns'!E9,'Turns'!E25,'Turns'!E41,'Turns'!E55,'Turns'!E74,'Turns'!E90,'Turns'!E106,'Turns'!E119,'Turns'!E138,'Turns'!E152,'Turns'!E168,'Turns'!E184,'Turns'!E197,'Turns'!E210,'Turns'!E229,'Turns'!E245,'Turns'!E257,'Turns'!E273,'Turns'!E291,'Turns'!E304,'Turns'!E320,'Turns'!E336,'Turns'!E352),"Unknown")</f>
        <v>0.0093736586875</v>
      </c>
      <c r="R2" s="2">
        <f>IF(COUNT('Turns'!F9,'Turns'!F25,'Turns'!F41,'Turns'!F55,'Turns'!F74,'Turns'!F90,'Turns'!F106,'Turns'!F119,'Turns'!F138,'Turns'!F152,'Turns'!F168,'Turns'!F184,'Turns'!F197,'Turns'!F210,'Turns'!F229,'Turns'!F245,'Turns'!F257,'Turns'!F273,'Turns'!F291,'Turns'!F304,'Turns'!F320,'Turns'!F336,'Turns'!F352)=23,SUM('Turns'!F9,'Turns'!F25,'Turns'!F41,'Turns'!F55,'Turns'!F74,'Turns'!F90,'Turns'!F106,'Turns'!F119,'Turns'!F138,'Turns'!F152,'Turns'!F168,'Turns'!F184,'Turns'!F197,'Turns'!F210,'Turns'!F229,'Turns'!F245,'Turns'!F257,'Turns'!F273,'Turns'!F291,'Turns'!F304,'Turns'!F320,'Turns'!F336,'Turns'!F352),"Unknown")</f>
        <v>0.01069625</v>
      </c>
      <c r="S2" s="2">
        <f>IF(COUNT('Turns'!D13,'Turns'!D29,'Turns'!D45,'Turns'!D59,'Turns'!D78,'Turns'!D94,'Turns'!D110,'Turns'!D123,'Turns'!D142,'Turns'!D156,'Turns'!D172,'Turns'!D188,'Turns'!D201,'Turns'!D214,'Turns'!D233,'Turns'!D249,'Turns'!D261,'Turns'!D276,'Turns'!D295,'Turns'!D308,'Turns'!D324,'Turns'!D340,'Turns'!D356)=23,SUM('Turns'!D13,'Turns'!D29,'Turns'!D45,'Turns'!D59,'Turns'!D78,'Turns'!D94,'Turns'!D110,'Turns'!D123,'Turns'!D142,'Turns'!D156,'Turns'!D172,'Turns'!D188,'Turns'!D201,'Turns'!D214,'Turns'!D233,'Turns'!D249,'Turns'!D261,'Turns'!D276,'Turns'!D295,'Turns'!D308,'Turns'!D324,'Turns'!D340,'Turns'!D356),"Unknown")</f>
        <v>4063.0</v>
      </c>
      <c r="T2" s="2">
        <f>IF(COUNT('Turns'!E13,'Turns'!E29,'Turns'!E45,'Turns'!E59,'Turns'!E78,'Turns'!E94,'Turns'!E110,'Turns'!E123,'Turns'!E142,'Turns'!E156,'Turns'!E172,'Turns'!E188,'Turns'!E201,'Turns'!E214,'Turns'!E233,'Turns'!E249,'Turns'!E261,'Turns'!E276,'Turns'!E295,'Turns'!E308,'Turns'!E324,'Turns'!E340,'Turns'!E356)=23,SUM('Turns'!E13,'Turns'!E29,'Turns'!E45,'Turns'!E59,'Turns'!E78,'Turns'!E94,'Turns'!E110,'Turns'!E123,'Turns'!E142,'Turns'!E156,'Turns'!E172,'Turns'!E188,'Turns'!E201,'Turns'!E214,'Turns'!E233,'Turns'!E249,'Turns'!E261,'Turns'!E276,'Turns'!E295,'Turns'!E308,'Turns'!E324,'Turns'!E340,'Turns'!E356),"Unknown")</f>
        <v>0.00427273206</v>
      </c>
      <c r="U2" s="2">
        <f>IF(COUNT('Turns'!F13,'Turns'!F29,'Turns'!F45,'Turns'!F59,'Turns'!F78,'Turns'!F94,'Turns'!F110,'Turns'!F123,'Turns'!F142,'Turns'!F156,'Turns'!F172,'Turns'!F188,'Turns'!F201,'Turns'!F214,'Turns'!F233,'Turns'!F249,'Turns'!F261,'Turns'!F276,'Turns'!F295,'Turns'!F308,'Turns'!F324,'Turns'!F340,'Turns'!F356)=23,SUM('Turns'!F13,'Turns'!F29,'Turns'!F45,'Turns'!F59,'Turns'!F78,'Turns'!F94,'Turns'!F110,'Turns'!F123,'Turns'!F142,'Turns'!F156,'Turns'!F172,'Turns'!F188,'Turns'!F201,'Turns'!F214,'Turns'!F233,'Turns'!F249,'Turns'!F261,'Turns'!F276,'Turns'!F295,'Turns'!F308,'Turns'!F324,'Turns'!F340,'Turns'!F356),"Unknown")</f>
        <v>0.0048756</v>
      </c>
      <c r="V2" s="2">
        <f>IF(COUNT('Turns'!D12,'Turns'!D28,'Turns'!D44,'Turns'!D58,'Turns'!D77,'Turns'!D93,'Turns'!D109,'Turns'!D122,'Turns'!D141,'Turns'!D155,'Turns'!D171,'Turns'!D187,'Turns'!D200,'Turns'!D213,'Turns'!D232,'Turns'!D248,'Turns'!D260,'Turns'!D294,'Turns'!D307,'Turns'!D323,'Turns'!D339,'Turns'!D355)=22,SUM('Turns'!D12,'Turns'!D28,'Turns'!D44,'Turns'!D58,'Turns'!D77,'Turns'!D93,'Turns'!D109,'Turns'!D122,'Turns'!D141,'Turns'!D155,'Turns'!D171,'Turns'!D187,'Turns'!D200,'Turns'!D213,'Turns'!D232,'Turns'!D248,'Turns'!D260,'Turns'!D294,'Turns'!D307,'Turns'!D323,'Turns'!D339,'Turns'!D355),"Unknown")</f>
        <v>1715.0</v>
      </c>
      <c r="W2" s="2">
        <f>IF(COUNT('Turns'!E12,'Turns'!E28,'Turns'!E44,'Turns'!E58,'Turns'!E77,'Turns'!E93,'Turns'!E109,'Turns'!E122,'Turns'!E141,'Turns'!E155,'Turns'!E171,'Turns'!E187,'Turns'!E200,'Turns'!E213,'Turns'!E232,'Turns'!E248,'Turns'!E260,'Turns'!E294,'Turns'!E307,'Turns'!E323,'Turns'!E339,'Turns'!E355)=22,SUM('Turns'!E12,'Turns'!E28,'Turns'!E44,'Turns'!E58,'Turns'!E77,'Turns'!E93,'Turns'!E109,'Turns'!E122,'Turns'!E141,'Turns'!E155,'Turns'!E171,'Turns'!E187,'Turns'!E200,'Turns'!E213,'Turns'!E232,'Turns'!E248,'Turns'!E260,'Turns'!E294,'Turns'!E307,'Turns'!E323,'Turns'!E339,'Turns'!E355),"Unknown")</f>
        <v>0.0018035283</v>
      </c>
      <c r="X2" s="2">
        <f>IF(COUNT('Turns'!F12,'Turns'!F28,'Turns'!F44,'Turns'!F58,'Turns'!F77,'Turns'!F93,'Turns'!F109,'Turns'!F122,'Turns'!F141,'Turns'!F155,'Turns'!F171,'Turns'!F187,'Turns'!F200,'Turns'!F213,'Turns'!F232,'Turns'!F248,'Turns'!F260,'Turns'!F294,'Turns'!F307,'Turns'!F323,'Turns'!F339,'Turns'!F355)=22,SUM('Turns'!F12,'Turns'!F28,'Turns'!F44,'Turns'!F58,'Turns'!F77,'Turns'!F93,'Turns'!F109,'Turns'!F122,'Turns'!F141,'Turns'!F155,'Turns'!F171,'Turns'!F187,'Turns'!F200,'Turns'!F213,'Turns'!F232,'Turns'!F248,'Turns'!F260,'Turns'!F294,'Turns'!F307,'Turns'!F323,'Turns'!F339,'Turns'!F355),"Unknown")</f>
        <v>0.002058</v>
      </c>
      <c r="Y2" s="2">
        <f>IF(COUNT('Turns'!E17,'Turns'!E33,'Turns'!E49,'Turns'!E63,'Turns'!E82,'Turns'!E98,'Turns'!E114,'Turns'!E127,'Turns'!E146,'Turns'!E160,'Turns'!E176,'Turns'!E192,'Turns'!E205,'Turns'!E218,'Turns'!E237,'Turns'!E253,'Turns'!E265,'Turns'!E280,'Turns'!E299,'Turns'!E312,'Turns'!E328,'Turns'!E344,'Turns'!E360)=23,SUM('Turns'!E17,'Turns'!E33,'Turns'!E49,'Turns'!E63,'Turns'!E82,'Turns'!E98,'Turns'!E114,'Turns'!E127,'Turns'!E146,'Turns'!E160,'Turns'!E176,'Turns'!E192,'Turns'!E205,'Turns'!E218,'Turns'!E237,'Turns'!E253,'Turns'!E265,'Turns'!E280,'Turns'!E299,'Turns'!E312,'Turns'!E328,'Turns'!E344,'Turns'!E360),"Unknown")</f>
        <v>0.0165722429655</v>
      </c>
      <c r="Z2" s="2">
        <f>IF(COUNT('Turns'!F17,'Turns'!F33,'Turns'!F49,'Turns'!F63,'Turns'!F82,'Turns'!F98,'Turns'!F114,'Turns'!F127,'Turns'!F146,'Turns'!F160,'Turns'!F176,'Turns'!F192,'Turns'!F205,'Turns'!F218,'Turns'!F237,'Turns'!F253,'Turns'!F265,'Turns'!F280,'Turns'!F299,'Turns'!F312,'Turns'!F328,'Turns'!F344,'Turns'!F360)=23,SUM('Turns'!F17,'Turns'!F33,'Turns'!F49,'Turns'!F63,'Turns'!F82,'Turns'!F98,'Turns'!F114,'Turns'!F127,'Turns'!F146,'Turns'!F160,'Turns'!F176,'Turns'!F192,'Turns'!F205,'Turns'!F218,'Turns'!F237,'Turns'!F253,'Turns'!F265,'Turns'!F280,'Turns'!F299,'Turns'!F312,'Turns'!F328,'Turns'!F344,'Turns'!F360),"Unknown")</f>
        <v>0.01891053</v>
      </c>
      <c r="AA2" s="5">
        <f>IF(ISNUMBER(Y2),ROUND(Y2*'Reference data'!$B$2,0),"Unknown")</f>
        <v>1657.0</v>
      </c>
      <c r="AB2" s="5">
        <f>IF(ISNUMBER(Z2),ROUND(Z2*'Reference data'!$B$2,0),"Unknown")</f>
        <v>1891.0</v>
      </c>
      <c r="AD2" s="1">
        <v>77243.27899999999</v>
      </c>
      <c r="AE2" s="1" t="s">
        <v>318</v>
      </c>
    </row>
    <row r="3" spans="1:31" ht="54" customHeight="1">
      <c r="A3" s="6" t="s">
        <v>319</v>
      </c>
      <c r="B3" s="1">
        <v>1</v>
      </c>
      <c r="C3" s="1" t="s">
        <v>316</v>
      </c>
      <c r="D3" s="1" t="s">
        <v>47</v>
      </c>
      <c r="E3" s="1" t="s">
        <v>111</v>
      </c>
      <c r="G3" s="6" t="s">
        <v>320</v>
      </c>
      <c r="H3" t="s">
        <v>321</v>
      </c>
      <c r="I3" t="s">
        <v>49</v>
      </c>
      <c r="J3" s="2">
        <f>IF(COUNT('Turns'!D5,'Turns'!D23,'Turns'!D39)=3,SUM('Turns'!D5,'Turns'!D23,'Turns'!D39),"Unknown")</f>
        <v>9.0</v>
      </c>
      <c r="K3" s="2">
        <f>IF(COUNT('Turns'!E5,'Turns'!E23,'Turns'!E39)=3,SUM('Turns'!E5,'Turns'!E23,'Turns'!E39),"Unknown")</f>
        <v>1.57743e-06</v>
      </c>
      <c r="L3" s="2">
        <f>IF(COUNT('Turns'!F5,'Turns'!F23,'Turns'!F39)=3,SUM('Turns'!F5,'Turns'!F23,'Turns'!F39),"Unknown")</f>
        <v>1.8e-06</v>
      </c>
      <c r="M3" s="2">
        <f>IF(COUNT('Turns'!D22,'Turns'!D38)=2,SUM('Turns'!D22,'Turns'!D38),"Unknown")</f>
        <v>6282.0</v>
      </c>
      <c r="N3" s="2">
        <f>IF(COUNT('Turns'!E22,'Turns'!E38)=2,SUM('Turns'!E22,'Turns'!E38),"Unknown")</f>
        <v>0.000110104614</v>
      </c>
      <c r="O3" s="2">
        <f>IF(COUNT('Turns'!F22,'Turns'!F38)=2,SUM('Turns'!F22,'Turns'!F38),"Unknown")</f>
        <v>0.00012564</v>
      </c>
      <c r="P3" s="2">
        <f>IF(COUNT('Turns'!D9,'Turns'!D25,'Turns'!D41)=3,SUM('Turns'!D9,'Turns'!D25,'Turns'!D41),"Unknown")</f>
        <v>4001.0</v>
      </c>
      <c r="Q3" s="2">
        <f>IF(COUNT('Turns'!E9,'Turns'!E25,'Turns'!E41)=3,SUM('Turns'!E9,'Turns'!E25,'Turns'!E41),"Unknown")</f>
        <v>0.0008765690875</v>
      </c>
      <c r="R3" s="2">
        <f>IF(COUNT('Turns'!F9,'Turns'!F25,'Turns'!F41)=3,SUM('Turns'!F9,'Turns'!F25,'Turns'!F41),"Unknown")</f>
        <v>0.00100025</v>
      </c>
      <c r="S3" s="2">
        <f>IF(COUNT('Turns'!D13,'Turns'!D29,'Turns'!D45)=3,SUM('Turns'!D13,'Turns'!D29,'Turns'!D45),"Unknown")</f>
        <v>902.0</v>
      </c>
      <c r="T3" s="2">
        <f>IF(COUNT('Turns'!E13,'Turns'!E29,'Turns'!E45)=3,SUM('Turns'!E13,'Turns'!E29,'Turns'!E45),"Unknown")</f>
        <v>0.00094856124</v>
      </c>
      <c r="U3" s="2">
        <f>IF(COUNT('Turns'!F13,'Turns'!F29,'Turns'!F45)=3,SUM('Turns'!F13,'Turns'!F29,'Turns'!F45),"Unknown")</f>
        <v>0.0010824</v>
      </c>
      <c r="V3" s="2">
        <f>IF(COUNT('Turns'!D12,'Turns'!D28,'Turns'!D44)=3,SUM('Turns'!D12,'Turns'!D28,'Turns'!D44),"Unknown")</f>
        <v>161.0</v>
      </c>
      <c r="W3" s="2">
        <f>IF(COUNT('Turns'!E12,'Turns'!E28,'Turns'!E44)=3,SUM('Turns'!E12,'Turns'!E28,'Turns'!E44),"Unknown")</f>
        <v>0.00016931082</v>
      </c>
      <c r="X3" s="2">
        <f>IF(COUNT('Turns'!F12,'Turns'!F28,'Turns'!F44)=3,SUM('Turns'!F12,'Turns'!F28,'Turns'!F44),"Unknown")</f>
        <v>0.0001932</v>
      </c>
      <c r="Y3" s="2">
        <f>IF(COUNT('Turns'!E17,'Turns'!E33,'Turns'!E49)=3,SUM('Turns'!E17,'Turns'!E33,'Turns'!E49),"Unknown")</f>
        <v>0.0021061231915</v>
      </c>
      <c r="Z3" s="2">
        <f>IF(COUNT('Turns'!F17,'Turns'!F33,'Turns'!F49)=3,SUM('Turns'!F17,'Turns'!F33,'Turns'!F49),"Unknown")</f>
        <v>0.00240329</v>
      </c>
      <c r="AA3" s="5">
        <f>IF(ISNUMBER(Y3),ROUND(Y3*'Reference data'!$B$2,0),"Unknown")</f>
        <v>211.0</v>
      </c>
      <c r="AB3" s="5">
        <f>IF(ISNUMBER(Z3),ROUND(Z3*'Reference data'!$B$2,0),"Unknown")</f>
        <v>240.0</v>
      </c>
      <c r="AD3" s="1">
        <v>11923.646</v>
      </c>
      <c r="AE3" s="1" t="s">
        <v>318</v>
      </c>
    </row>
    <row r="4" spans="1:31" ht="54" customHeight="1">
      <c r="A4" s="6" t="s">
        <v>322</v>
      </c>
      <c r="B4" s="1">
        <v>2</v>
      </c>
      <c r="C4" s="1" t="s">
        <v>316</v>
      </c>
      <c r="D4" s="1" t="s">
        <v>47</v>
      </c>
      <c r="E4" s="1" t="s">
        <v>111</v>
      </c>
      <c r="G4" s="6" t="s">
        <v>323</v>
      </c>
      <c r="H4" t="s">
        <v>324</v>
      </c>
      <c r="I4" t="s">
        <v>321</v>
      </c>
      <c r="J4" s="2">
        <f>IF(COUNT('Turns'!D5,'Turns'!D23,'Turns'!D39)=3,SUM('Turns'!D5,'Turns'!D23,'Turns'!D39),"Unknown")</f>
        <v>9.0</v>
      </c>
      <c r="K4" s="2">
        <f>IF(COUNT('Turns'!E5,'Turns'!E23,'Turns'!E39)=3,SUM('Turns'!E5,'Turns'!E23,'Turns'!E39),"Unknown")</f>
        <v>1.57743e-06</v>
      </c>
      <c r="L4" s="2">
        <f>IF(COUNT('Turns'!F5,'Turns'!F23,'Turns'!F39)=3,SUM('Turns'!F5,'Turns'!F23,'Turns'!F39),"Unknown")</f>
        <v>1.8e-06</v>
      </c>
      <c r="M4" s="2">
        <f>IF(COUNT('Turns'!D22,'Turns'!D38)=2,SUM('Turns'!D22,'Turns'!D38),"Unknown")</f>
        <v>6282.0</v>
      </c>
      <c r="N4" s="2">
        <f>IF(COUNT('Turns'!E22,'Turns'!E38)=2,SUM('Turns'!E22,'Turns'!E38),"Unknown")</f>
        <v>0.000110104614</v>
      </c>
      <c r="O4" s="2">
        <f>IF(COUNT('Turns'!F22,'Turns'!F38)=2,SUM('Turns'!F22,'Turns'!F38),"Unknown")</f>
        <v>0.00012564</v>
      </c>
      <c r="P4" s="2">
        <f>IF(COUNT('Turns'!D9,'Turns'!D25,'Turns'!D41)=3,SUM('Turns'!D9,'Turns'!D25,'Turns'!D41),"Unknown")</f>
        <v>4001.0</v>
      </c>
      <c r="Q4" s="2">
        <f>IF(COUNT('Turns'!E9,'Turns'!E25,'Turns'!E41)=3,SUM('Turns'!E9,'Turns'!E25,'Turns'!E41),"Unknown")</f>
        <v>0.0008765690875</v>
      </c>
      <c r="R4" s="2">
        <f>IF(COUNT('Turns'!F9,'Turns'!F25,'Turns'!F41)=3,SUM('Turns'!F9,'Turns'!F25,'Turns'!F41),"Unknown")</f>
        <v>0.00100025</v>
      </c>
      <c r="S4" s="2">
        <f>IF(COUNT('Turns'!D13,'Turns'!D29,'Turns'!D45)=3,SUM('Turns'!D13,'Turns'!D29,'Turns'!D45),"Unknown")</f>
        <v>902.0</v>
      </c>
      <c r="T4" s="2">
        <f>IF(COUNT('Turns'!E13,'Turns'!E29,'Turns'!E45)=3,SUM('Turns'!E13,'Turns'!E29,'Turns'!E45),"Unknown")</f>
        <v>0.00094856124</v>
      </c>
      <c r="U4" s="2">
        <f>IF(COUNT('Turns'!F13,'Turns'!F29,'Turns'!F45)=3,SUM('Turns'!F13,'Turns'!F29,'Turns'!F45),"Unknown")</f>
        <v>0.0010824</v>
      </c>
      <c r="V4" s="2">
        <f>IF(COUNT('Turns'!D12,'Turns'!D28,'Turns'!D44)=3,SUM('Turns'!D12,'Turns'!D28,'Turns'!D44),"Unknown")</f>
        <v>161.0</v>
      </c>
      <c r="W4" s="2">
        <f>IF(COUNT('Turns'!E12,'Turns'!E28,'Turns'!E44)=3,SUM('Turns'!E12,'Turns'!E28,'Turns'!E44),"Unknown")</f>
        <v>0.00016931082</v>
      </c>
      <c r="X4" s="2">
        <f>IF(COUNT('Turns'!F12,'Turns'!F28,'Turns'!F44)=3,SUM('Turns'!F12,'Turns'!F28,'Turns'!F44),"Unknown")</f>
        <v>0.0001932</v>
      </c>
      <c r="Y4" s="2">
        <f>IF(COUNT('Turns'!E17,'Turns'!E33,'Turns'!E49)=3,SUM('Turns'!E17,'Turns'!E33,'Turns'!E49),"Unknown")</f>
        <v>0.0021061231915</v>
      </c>
      <c r="Z4" s="2">
        <f>IF(COUNT('Turns'!F17,'Turns'!F33,'Turns'!F49)=3,SUM('Turns'!F17,'Turns'!F33,'Turns'!F49),"Unknown")</f>
        <v>0.00240329</v>
      </c>
      <c r="AA4" s="5">
        <f>IF(ISNUMBER(Y4),ROUND(Y4*'Reference data'!$B$2,0),"Unknown")</f>
        <v>211.0</v>
      </c>
      <c r="AB4" s="5">
        <f>IF(ISNUMBER(Z4),ROUND(Z4*'Reference data'!$B$2,0),"Unknown")</f>
        <v>240.0</v>
      </c>
      <c r="AD4" s="1">
        <v>11920.75</v>
      </c>
      <c r="AE4" s="1" t="s">
        <v>318</v>
      </c>
    </row>
    <row r="5" spans="1:31" ht="54" customHeight="1">
      <c r="A5" s="6" t="s">
        <v>325</v>
      </c>
      <c r="B5" s="1">
        <v>3</v>
      </c>
      <c r="C5" s="1" t="s">
        <v>316</v>
      </c>
      <c r="D5" s="1" t="s">
        <v>47</v>
      </c>
      <c r="E5" s="1" t="s">
        <v>111</v>
      </c>
      <c r="G5" s="6" t="s">
        <v>326</v>
      </c>
      <c r="H5" t="s">
        <v>327</v>
      </c>
      <c r="I5" t="s">
        <v>324</v>
      </c>
      <c r="J5" s="2">
        <f>IF(COUNT('Turns'!D5,'Turns'!D23,'Turns'!D39)=3,SUM('Turns'!D5,'Turns'!D23,'Turns'!D39),"Unknown")</f>
        <v>9.0</v>
      </c>
      <c r="K5" s="2">
        <f>IF(COUNT('Turns'!E5,'Turns'!E23,'Turns'!E39)=3,SUM('Turns'!E5,'Turns'!E23,'Turns'!E39),"Unknown")</f>
        <v>1.57743e-06</v>
      </c>
      <c r="L5" s="2">
        <f>IF(COUNT('Turns'!F5,'Turns'!F23,'Turns'!F39)=3,SUM('Turns'!F5,'Turns'!F23,'Turns'!F39),"Unknown")</f>
        <v>1.8e-06</v>
      </c>
      <c r="M5" s="2">
        <f>IF(COUNT('Turns'!D22,'Turns'!D38)=2,SUM('Turns'!D22,'Turns'!D38),"Unknown")</f>
        <v>6282.0</v>
      </c>
      <c r="N5" s="2">
        <f>IF(COUNT('Turns'!E22,'Turns'!E38)=2,SUM('Turns'!E22,'Turns'!E38),"Unknown")</f>
        <v>0.000110104614</v>
      </c>
      <c r="O5" s="2">
        <f>IF(COUNT('Turns'!F22,'Turns'!F38)=2,SUM('Turns'!F22,'Turns'!F38),"Unknown")</f>
        <v>0.00012564</v>
      </c>
      <c r="P5" s="2">
        <f>IF(COUNT('Turns'!D9,'Turns'!D25,'Turns'!D41)=3,SUM('Turns'!D9,'Turns'!D25,'Turns'!D41),"Unknown")</f>
        <v>4001.0</v>
      </c>
      <c r="Q5" s="2">
        <f>IF(COUNT('Turns'!E9,'Turns'!E25,'Turns'!E41)=3,SUM('Turns'!E9,'Turns'!E25,'Turns'!E41),"Unknown")</f>
        <v>0.0008765690875</v>
      </c>
      <c r="R5" s="2">
        <f>IF(COUNT('Turns'!F9,'Turns'!F25,'Turns'!F41)=3,SUM('Turns'!F9,'Turns'!F25,'Turns'!F41),"Unknown")</f>
        <v>0.00100025</v>
      </c>
      <c r="S5" s="2">
        <f>IF(COUNT('Turns'!D13,'Turns'!D29,'Turns'!D45)=3,SUM('Turns'!D13,'Turns'!D29,'Turns'!D45),"Unknown")</f>
        <v>902.0</v>
      </c>
      <c r="T5" s="2">
        <f>IF(COUNT('Turns'!E13,'Turns'!E29,'Turns'!E45)=3,SUM('Turns'!E13,'Turns'!E29,'Turns'!E45),"Unknown")</f>
        <v>0.00094856124</v>
      </c>
      <c r="U5" s="2">
        <f>IF(COUNT('Turns'!F13,'Turns'!F29,'Turns'!F45)=3,SUM('Turns'!F13,'Turns'!F29,'Turns'!F45),"Unknown")</f>
        <v>0.0010824</v>
      </c>
      <c r="V5" s="2">
        <f>IF(COUNT('Turns'!D12,'Turns'!D28,'Turns'!D44)=3,SUM('Turns'!D12,'Turns'!D28,'Turns'!D44),"Unknown")</f>
        <v>161.0</v>
      </c>
      <c r="W5" s="2">
        <f>IF(COUNT('Turns'!E12,'Turns'!E28,'Turns'!E44)=3,SUM('Turns'!E12,'Turns'!E28,'Turns'!E44),"Unknown")</f>
        <v>0.00016931082</v>
      </c>
      <c r="X5" s="2">
        <f>IF(COUNT('Turns'!F12,'Turns'!F28,'Turns'!F44)=3,SUM('Turns'!F12,'Turns'!F28,'Turns'!F44),"Unknown")</f>
        <v>0.0001932</v>
      </c>
      <c r="Y5" s="2">
        <f>IF(COUNT('Turns'!E17,'Turns'!E33,'Turns'!E49)=3,SUM('Turns'!E17,'Turns'!E33,'Turns'!E49),"Unknown")</f>
        <v>0.0021061231915</v>
      </c>
      <c r="Z5" s="2">
        <f>IF(COUNT('Turns'!F17,'Turns'!F33,'Turns'!F49)=3,SUM('Turns'!F17,'Turns'!F33,'Turns'!F49),"Unknown")</f>
        <v>0.00240329</v>
      </c>
      <c r="AA5" s="5">
        <f>IF(ISNUMBER(Y5),ROUND(Y5*'Reference data'!$B$2,0),"Unknown")</f>
        <v>211.0</v>
      </c>
      <c r="AB5" s="5">
        <f>IF(ISNUMBER(Z5),ROUND(Z5*'Reference data'!$B$2,0),"Unknown")</f>
        <v>240.0</v>
      </c>
      <c r="AD5" s="1">
        <v>11919.253</v>
      </c>
      <c r="AE5" s="1" t="s">
        <v>318</v>
      </c>
    </row>
    <row r="6" spans="1:31" ht="54" customHeight="1">
      <c r="A6" s="6" t="s">
        <v>328</v>
      </c>
      <c r="B6" s="1">
        <v>4</v>
      </c>
      <c r="C6" s="1" t="s">
        <v>316</v>
      </c>
      <c r="D6" s="1" t="s">
        <v>47</v>
      </c>
      <c r="E6" s="1" t="s">
        <v>111</v>
      </c>
      <c r="G6" s="6" t="s">
        <v>329</v>
      </c>
      <c r="H6" t="s">
        <v>330</v>
      </c>
      <c r="I6" t="s">
        <v>327</v>
      </c>
      <c r="AD6" s="1">
        <v>0.548</v>
      </c>
      <c r="AE6" s="1" t="s">
        <v>331</v>
      </c>
    </row>
    <row r="7" spans="1:31" ht="54" customHeight="1">
      <c r="A7" s="6" t="s">
        <v>332</v>
      </c>
      <c r="B7" s="1">
        <v>4</v>
      </c>
      <c r="C7" s="1" t="s">
        <v>316</v>
      </c>
      <c r="D7" s="1" t="s">
        <v>47</v>
      </c>
      <c r="E7" s="1" t="s">
        <v>111</v>
      </c>
      <c r="G7" s="6" t="s">
        <v>333</v>
      </c>
      <c r="H7" t="s">
        <v>334</v>
      </c>
      <c r="I7" t="s">
        <v>327</v>
      </c>
      <c r="J7" s="2">
        <f>IF(COUNT('Turns'!D5)=1,SUM('Turns'!D5),"Unknown")</f>
        <v>3.0</v>
      </c>
      <c r="K7" s="2">
        <f>IF(COUNT('Turns'!E5)=1,SUM('Turns'!E5),"Unknown")</f>
        <v>5.2581e-07</v>
      </c>
      <c r="L7" s="2">
        <f>IF(COUNT('Turns'!F5)=1,SUM('Turns'!F5),"Unknown")</f>
        <v>6e-07</v>
      </c>
      <c r="M7" s="2">
        <v>0</v>
      </c>
      <c r="N7" s="2">
        <v>0</v>
      </c>
      <c r="O7" s="2">
        <v>0</v>
      </c>
      <c r="P7" s="2">
        <f>IF(COUNT('Turns'!D9)=1,SUM('Turns'!D9),"Unknown")</f>
        <v>3104.0</v>
      </c>
      <c r="Q7" s="2">
        <f>IF(COUNT('Turns'!E9)=1,SUM('Turns'!E9),"Unknown")</f>
        <v>0.0006800476</v>
      </c>
      <c r="R7" s="2">
        <f>IF(COUNT('Turns'!F9)=1,SUM('Turns'!F9),"Unknown")</f>
        <v>0.000776</v>
      </c>
      <c r="S7" s="2">
        <f>IF(COUNT('Turns'!D13)=1,SUM('Turns'!D13),"Unknown")</f>
        <v>31.0</v>
      </c>
      <c r="T7" s="2">
        <f>IF(COUNT('Turns'!E13)=1,SUM('Turns'!E13),"Unknown")</f>
        <v>3.260022e-05</v>
      </c>
      <c r="U7" s="2">
        <f>IF(COUNT('Turns'!F13)=1,SUM('Turns'!F13),"Unknown")</f>
        <v>3.72e-05</v>
      </c>
      <c r="V7" s="2">
        <f>IF(COUNT('Turns'!D12)=1,SUM('Turns'!D12),"Unknown")</f>
        <v>23.0</v>
      </c>
      <c r="W7" s="2">
        <f>IF(COUNT('Turns'!E12)=1,SUM('Turns'!E12),"Unknown")</f>
        <v>2.418726e-05</v>
      </c>
      <c r="X7" s="2">
        <f>IF(COUNT('Turns'!F12)=1,SUM('Turns'!F12),"Unknown")</f>
        <v>2.76e-05</v>
      </c>
      <c r="Y7" s="2">
        <f>IF(COUNT('Turns'!E17)=1,SUM('Turns'!E17),"Unknown")</f>
        <v>0.00073736089</v>
      </c>
      <c r="Z7" s="2">
        <f>IF(COUNT('Turns'!F17)=1,SUM('Turns'!F17),"Unknown")</f>
        <v>0.0008414</v>
      </c>
      <c r="AA7" s="5">
        <f>IF(ISNUMBER(Y7),ROUND(Y7*'Reference data'!$B$2,0),"Unknown")</f>
        <v>74.0</v>
      </c>
      <c r="AB7" s="5">
        <f>IF(ISNUMBER(Z7),ROUND(Z7*'Reference data'!$B$2,0),"Unknown")</f>
        <v>84.0</v>
      </c>
      <c r="AD7" s="1">
        <v>1571.726</v>
      </c>
      <c r="AE7" s="1" t="s">
        <v>318</v>
      </c>
    </row>
    <row r="8" spans="1:31" ht="54" customHeight="1">
      <c r="A8" s="6" t="s">
        <v>335</v>
      </c>
      <c r="B8" s="1">
        <v>5</v>
      </c>
      <c r="C8" s="1" t="s">
        <v>336</v>
      </c>
      <c r="D8" s="1" t="s">
        <v>95</v>
      </c>
      <c r="E8" s="1" t="s">
        <v>111</v>
      </c>
      <c r="F8" s="1">
        <v>3107</v>
      </c>
      <c r="G8" s="6" t="s">
        <v>337</v>
      </c>
      <c r="H8" t="s">
        <v>96</v>
      </c>
      <c r="I8" t="s">
        <v>334</v>
      </c>
      <c r="J8" s="2">
        <f>IF(COUNT('Turns'!D5)=1,SUM('Turns'!D5),"Unknown")</f>
        <v>3.0</v>
      </c>
      <c r="K8" s="2">
        <f>IF(COUNT('Turns'!E5)=1,SUM('Turns'!E5),"Unknown")</f>
        <v>5.2581e-07</v>
      </c>
      <c r="L8" s="2">
        <f>IF(COUNT('Turns'!F5)=1,SUM('Turns'!F5),"Unknown")</f>
        <v>6e-07</v>
      </c>
      <c r="M8" s="2">
        <v>0</v>
      </c>
      <c r="N8" s="2">
        <v>0</v>
      </c>
      <c r="O8" s="2">
        <v>0</v>
      </c>
      <c r="P8" s="2">
        <f>IF(COUNT('Turns'!D9)=1,SUM('Turns'!D9),"Unknown")</f>
        <v>3104.0</v>
      </c>
      <c r="Q8" s="2">
        <f>IF(COUNT('Turns'!E9)=1,SUM('Turns'!E9),"Unknown")</f>
        <v>0.0006800476</v>
      </c>
      <c r="R8" s="2">
        <f>IF(COUNT('Turns'!F9)=1,SUM('Turns'!F9),"Unknown")</f>
        <v>0.000776</v>
      </c>
      <c r="S8" s="2">
        <f>IF(COUNT('Turns'!D13)=1,SUM('Turns'!D13),"Unknown")</f>
        <v>31.0</v>
      </c>
      <c r="T8" s="2">
        <f>IF(COUNT('Turns'!E13)=1,SUM('Turns'!E13),"Unknown")</f>
        <v>3.260022e-05</v>
      </c>
      <c r="U8" s="2">
        <f>IF(COUNT('Turns'!F13)=1,SUM('Turns'!F13),"Unknown")</f>
        <v>3.72e-05</v>
      </c>
      <c r="V8" s="2">
        <f>IF(COUNT('Turns'!D12)=1,SUM('Turns'!D12),"Unknown")</f>
        <v>23.0</v>
      </c>
      <c r="W8" s="2">
        <f>IF(COUNT('Turns'!E12)=1,SUM('Turns'!E12),"Unknown")</f>
        <v>2.418726e-05</v>
      </c>
      <c r="X8" s="2">
        <f>IF(COUNT('Turns'!F12)=1,SUM('Turns'!F12),"Unknown")</f>
        <v>2.76e-05</v>
      </c>
      <c r="Y8" s="2">
        <f>IF(COUNT('Turns'!E17)=1,SUM('Turns'!E17),"Unknown")</f>
        <v>0.00073736089</v>
      </c>
      <c r="Z8" s="2">
        <f>IF(COUNT('Turns'!F17)=1,SUM('Turns'!F17),"Unknown")</f>
        <v>0.0008414</v>
      </c>
      <c r="AA8" s="5">
        <f>IF(ISNUMBER(Y8),ROUND(Y8*'Reference data'!$B$2,0),"Unknown")</f>
        <v>74.0</v>
      </c>
      <c r="AB8" s="5">
        <f>IF(ISNUMBER(Z8),ROUND(Z8*'Reference data'!$B$2,0),"Unknown")</f>
        <v>84.0</v>
      </c>
      <c r="AC8" s="1" t="s">
        <v>93</v>
      </c>
      <c r="AD8" s="1">
        <v>1566.717</v>
      </c>
      <c r="AE8" s="1" t="s">
        <v>338</v>
      </c>
    </row>
    <row r="9" spans="1:31" ht="54" customHeight="1">
      <c r="A9" s="6" t="s">
        <v>339</v>
      </c>
      <c r="B9" s="1">
        <v>4</v>
      </c>
      <c r="C9" s="1" t="s">
        <v>316</v>
      </c>
      <c r="D9" s="1" t="s">
        <v>47</v>
      </c>
      <c r="E9" s="1" t="s">
        <v>111</v>
      </c>
      <c r="G9" s="6" t="s">
        <v>340</v>
      </c>
      <c r="H9" t="s">
        <v>341</v>
      </c>
      <c r="I9" t="s">
        <v>327</v>
      </c>
      <c r="AD9" s="1">
        <v>2.278</v>
      </c>
      <c r="AE9" s="1" t="s">
        <v>331</v>
      </c>
    </row>
    <row r="10" spans="1:31" ht="54" customHeight="1">
      <c r="A10" s="6" t="s">
        <v>342</v>
      </c>
      <c r="B10" s="1">
        <v>5</v>
      </c>
      <c r="C10" s="1" t="s">
        <v>343</v>
      </c>
      <c r="D10" s="1" t="s">
        <v>47</v>
      </c>
      <c r="E10" s="1" t="s">
        <v>113</v>
      </c>
      <c r="G10" s="6" t="s">
        <v>344</v>
      </c>
      <c r="H10" t="s">
        <v>114</v>
      </c>
      <c r="I10" t="s">
        <v>341</v>
      </c>
      <c r="AD10" s="1">
        <v>0.716</v>
      </c>
      <c r="AE10" s="1" t="s">
        <v>331</v>
      </c>
    </row>
    <row r="11" spans="1:31" ht="54" customHeight="1">
      <c r="A11" s="6" t="s">
        <v>328</v>
      </c>
      <c r="B11" s="1">
        <v>4</v>
      </c>
      <c r="C11" s="1" t="s">
        <v>316</v>
      </c>
      <c r="D11" s="1" t="s">
        <v>47</v>
      </c>
      <c r="E11" s="1" t="s">
        <v>111</v>
      </c>
      <c r="G11" s="6" t="s">
        <v>329</v>
      </c>
      <c r="H11" t="s">
        <v>345</v>
      </c>
      <c r="I11" t="s">
        <v>327</v>
      </c>
      <c r="AD11" s="1">
        <v>0.538</v>
      </c>
      <c r="AE11" s="1" t="s">
        <v>331</v>
      </c>
    </row>
    <row r="12" spans="1:31" ht="54" customHeight="1">
      <c r="A12" s="6" t="s">
        <v>332</v>
      </c>
      <c r="B12" s="1">
        <v>4</v>
      </c>
      <c r="C12" s="1" t="s">
        <v>316</v>
      </c>
      <c r="D12" s="1" t="s">
        <v>47</v>
      </c>
      <c r="E12" s="1" t="s">
        <v>111</v>
      </c>
      <c r="G12" s="6" t="s">
        <v>333</v>
      </c>
      <c r="H12" t="s">
        <v>346</v>
      </c>
      <c r="I12" t="s">
        <v>327</v>
      </c>
      <c r="J12" s="2">
        <f>IF(COUNT('Turns'!D23)=1,SUM('Turns'!D23),"Unknown")</f>
        <v>3.0</v>
      </c>
      <c r="K12" s="2">
        <f>IF(COUNT('Turns'!E23)=1,SUM('Turns'!E23),"Unknown")</f>
        <v>5.2581e-07</v>
      </c>
      <c r="L12" s="2">
        <f>IF(COUNT('Turns'!F23)=1,SUM('Turns'!F23),"Unknown")</f>
        <v>6e-07</v>
      </c>
      <c r="M12" s="2">
        <f>IF(COUNT('Turns'!D22)=1,SUM('Turns'!D22),"Unknown")</f>
        <v>3104.0</v>
      </c>
      <c r="N12" s="2">
        <f>IF(COUNT('Turns'!E22)=1,SUM('Turns'!E22),"Unknown")</f>
        <v>5.4403808e-05</v>
      </c>
      <c r="O12" s="2">
        <f>IF(COUNT('Turns'!F22)=1,SUM('Turns'!F22),"Unknown")</f>
        <v>6.208e-05</v>
      </c>
      <c r="P12" s="2">
        <f>IF(COUNT('Turns'!D25)=1,SUM('Turns'!D25),"Unknown")</f>
        <v>74.0</v>
      </c>
      <c r="Q12" s="2">
        <f>IF(COUNT('Turns'!E25)=1,SUM('Turns'!E25),"Unknown")</f>
        <v>1.6212475e-05</v>
      </c>
      <c r="R12" s="2">
        <f>IF(COUNT('Turns'!F25)=1,SUM('Turns'!F25),"Unknown")</f>
        <v>1.85e-05</v>
      </c>
      <c r="S12" s="2">
        <f>IF(COUNT('Turns'!D29)=1,SUM('Turns'!D29),"Unknown")</f>
        <v>706.0</v>
      </c>
      <c r="T12" s="2">
        <f>IF(COUNT('Turns'!E29)=1,SUM('Turns'!E29),"Unknown")</f>
        <v>0.00074244372</v>
      </c>
      <c r="U12" s="2">
        <f>IF(COUNT('Turns'!F29)=1,SUM('Turns'!F29),"Unknown")</f>
        <v>0.0008472</v>
      </c>
      <c r="V12" s="2">
        <f>IF(COUNT('Turns'!D28)=1,SUM('Turns'!D28),"Unknown")</f>
        <v>101.0</v>
      </c>
      <c r="W12" s="2">
        <f>IF(COUNT('Turns'!E28)=1,SUM('Turns'!E28),"Unknown")</f>
        <v>0.00010621362</v>
      </c>
      <c r="X12" s="2">
        <f>IF(COUNT('Turns'!F28)=1,SUM('Turns'!F28),"Unknown")</f>
        <v>0.0001212</v>
      </c>
      <c r="Y12" s="2">
        <f>IF(COUNT('Turns'!E33)=1,SUM('Turns'!E33),"Unknown")</f>
        <v>0.000919799433</v>
      </c>
      <c r="Z12" s="2">
        <f>IF(COUNT('Turns'!F33)=1,SUM('Turns'!F33),"Unknown")</f>
        <v>0.00104958</v>
      </c>
      <c r="AA12" s="5">
        <f>IF(ISNUMBER(Y12),ROUND(Y12*'Reference data'!$B$2,0),"Unknown")</f>
        <v>92.0</v>
      </c>
      <c r="AB12" s="5">
        <f>IF(ISNUMBER(Z12),ROUND(Z12*'Reference data'!$B$2,0),"Unknown")</f>
        <v>105.0</v>
      </c>
      <c r="AD12" s="1">
        <v>7876.687</v>
      </c>
      <c r="AE12" s="1" t="s">
        <v>318</v>
      </c>
    </row>
    <row r="13" spans="1:31" ht="54" customHeight="1">
      <c r="A13" s="6" t="s">
        <v>335</v>
      </c>
      <c r="B13" s="1">
        <v>5</v>
      </c>
      <c r="C13" s="1" t="s">
        <v>336</v>
      </c>
      <c r="D13" s="1" t="s">
        <v>95</v>
      </c>
      <c r="E13" s="1" t="s">
        <v>111</v>
      </c>
      <c r="F13" s="1">
        <v>3181</v>
      </c>
      <c r="G13" s="6" t="s">
        <v>337</v>
      </c>
      <c r="H13" t="s">
        <v>120</v>
      </c>
      <c r="I13" t="s">
        <v>346</v>
      </c>
      <c r="J13" s="2">
        <f>IF(COUNT('Turns'!D23)=1,SUM('Turns'!D23),"Unknown")</f>
        <v>3.0</v>
      </c>
      <c r="K13" s="2">
        <f>IF(COUNT('Turns'!E23)=1,SUM('Turns'!E23),"Unknown")</f>
        <v>5.2581e-07</v>
      </c>
      <c r="L13" s="2">
        <f>IF(COUNT('Turns'!F23)=1,SUM('Turns'!F23),"Unknown")</f>
        <v>6e-07</v>
      </c>
      <c r="M13" s="2">
        <f>IF(COUNT('Turns'!D22)=1,SUM('Turns'!D22),"Unknown")</f>
        <v>3104.0</v>
      </c>
      <c r="N13" s="2">
        <f>IF(COUNT('Turns'!E22)=1,SUM('Turns'!E22),"Unknown")</f>
        <v>5.4403808e-05</v>
      </c>
      <c r="O13" s="2">
        <f>IF(COUNT('Turns'!F22)=1,SUM('Turns'!F22),"Unknown")</f>
        <v>6.208e-05</v>
      </c>
      <c r="P13" s="2">
        <f>IF(COUNT('Turns'!D25)=1,SUM('Turns'!D25),"Unknown")</f>
        <v>74.0</v>
      </c>
      <c r="Q13" s="2">
        <f>IF(COUNT('Turns'!E25)=1,SUM('Turns'!E25),"Unknown")</f>
        <v>1.6212475e-05</v>
      </c>
      <c r="R13" s="2">
        <f>IF(COUNT('Turns'!F25)=1,SUM('Turns'!F25),"Unknown")</f>
        <v>1.85e-05</v>
      </c>
      <c r="S13" s="2">
        <f>IF(COUNT('Turns'!D29)=1,SUM('Turns'!D29),"Unknown")</f>
        <v>706.0</v>
      </c>
      <c r="T13" s="2">
        <f>IF(COUNT('Turns'!E29)=1,SUM('Turns'!E29),"Unknown")</f>
        <v>0.00074244372</v>
      </c>
      <c r="U13" s="2">
        <f>IF(COUNT('Turns'!F29)=1,SUM('Turns'!F29),"Unknown")</f>
        <v>0.0008472</v>
      </c>
      <c r="V13" s="2">
        <f>IF(COUNT('Turns'!D28)=1,SUM('Turns'!D28),"Unknown")</f>
        <v>101.0</v>
      </c>
      <c r="W13" s="2">
        <f>IF(COUNT('Turns'!E28)=1,SUM('Turns'!E28),"Unknown")</f>
        <v>0.00010621362</v>
      </c>
      <c r="X13" s="2">
        <f>IF(COUNT('Turns'!F28)=1,SUM('Turns'!F28),"Unknown")</f>
        <v>0.0001212</v>
      </c>
      <c r="Y13" s="2">
        <f>IF(COUNT('Turns'!E33)=1,SUM('Turns'!E33),"Unknown")</f>
        <v>0.000919799433</v>
      </c>
      <c r="Z13" s="2">
        <f>IF(COUNT('Turns'!F33)=1,SUM('Turns'!F33),"Unknown")</f>
        <v>0.00104958</v>
      </c>
      <c r="AA13" s="5">
        <f>IF(ISNUMBER(Y13),ROUND(Y13*'Reference data'!$B$2,0),"Unknown")</f>
        <v>92.0</v>
      </c>
      <c r="AB13" s="5">
        <f>IF(ISNUMBER(Z13),ROUND(Z13*'Reference data'!$B$2,0),"Unknown")</f>
        <v>105.0</v>
      </c>
      <c r="AC13" s="1" t="s">
        <v>119</v>
      </c>
      <c r="AD13" s="1">
        <v>7873.431</v>
      </c>
      <c r="AE13" s="1" t="s">
        <v>338</v>
      </c>
    </row>
    <row r="14" spans="1:31" ht="54" customHeight="1">
      <c r="A14" s="6" t="s">
        <v>339</v>
      </c>
      <c r="B14" s="1">
        <v>4</v>
      </c>
      <c r="C14" s="1" t="s">
        <v>316</v>
      </c>
      <c r="D14" s="1" t="s">
        <v>47</v>
      </c>
      <c r="E14" s="1" t="s">
        <v>111</v>
      </c>
      <c r="G14" s="6" t="s">
        <v>340</v>
      </c>
      <c r="H14" t="s">
        <v>347</v>
      </c>
      <c r="I14" t="s">
        <v>327</v>
      </c>
      <c r="AD14" s="1">
        <v>4.089</v>
      </c>
      <c r="AE14" s="1" t="s">
        <v>331</v>
      </c>
    </row>
    <row r="15" spans="1:31" ht="54" customHeight="1">
      <c r="A15" s="6" t="s">
        <v>348</v>
      </c>
      <c r="B15" s="1">
        <v>5</v>
      </c>
      <c r="C15" s="1" t="s">
        <v>343</v>
      </c>
      <c r="D15" s="1" t="s">
        <v>47</v>
      </c>
      <c r="E15" s="1" t="s">
        <v>111</v>
      </c>
      <c r="G15" s="6" t="s">
        <v>349</v>
      </c>
      <c r="H15" t="s">
        <v>125</v>
      </c>
      <c r="I15" t="s">
        <v>347</v>
      </c>
      <c r="AD15" s="1">
        <v>1.639</v>
      </c>
      <c r="AE15" s="1" t="s">
        <v>331</v>
      </c>
    </row>
    <row r="16" spans="1:31" ht="54" customHeight="1">
      <c r="A16" s="6" t="s">
        <v>328</v>
      </c>
      <c r="B16" s="1">
        <v>4</v>
      </c>
      <c r="C16" s="1" t="s">
        <v>316</v>
      </c>
      <c r="D16" s="1" t="s">
        <v>47</v>
      </c>
      <c r="E16" s="1" t="s">
        <v>111</v>
      </c>
      <c r="G16" s="6" t="s">
        <v>329</v>
      </c>
      <c r="H16" t="s">
        <v>350</v>
      </c>
      <c r="I16" t="s">
        <v>327</v>
      </c>
      <c r="AD16" s="1">
        <v>1.069</v>
      </c>
      <c r="AE16" s="1" t="s">
        <v>331</v>
      </c>
    </row>
    <row r="17" spans="1:31" ht="54" customHeight="1">
      <c r="A17" s="6" t="s">
        <v>332</v>
      </c>
      <c r="B17" s="1">
        <v>4</v>
      </c>
      <c r="C17" s="1" t="s">
        <v>316</v>
      </c>
      <c r="D17" s="1" t="s">
        <v>47</v>
      </c>
      <c r="E17" s="1" t="s">
        <v>111</v>
      </c>
      <c r="G17" s="6" t="s">
        <v>333</v>
      </c>
      <c r="H17" t="s">
        <v>351</v>
      </c>
      <c r="I17" t="s">
        <v>327</v>
      </c>
      <c r="J17" s="2">
        <f>IF(COUNT('Turns'!D39)=1,SUM('Turns'!D39),"Unknown")</f>
        <v>3.0</v>
      </c>
      <c r="K17" s="2">
        <f>IF(COUNT('Turns'!E39)=1,SUM('Turns'!E39),"Unknown")</f>
        <v>5.2581e-07</v>
      </c>
      <c r="L17" s="2">
        <f>IF(COUNT('Turns'!F39)=1,SUM('Turns'!F39),"Unknown")</f>
        <v>6e-07</v>
      </c>
      <c r="M17" s="2">
        <f>IF(COUNT('Turns'!D38)=1,SUM('Turns'!D38),"Unknown")</f>
        <v>3178.0</v>
      </c>
      <c r="N17" s="2">
        <f>IF(COUNT('Turns'!E38)=1,SUM('Turns'!E38),"Unknown")</f>
        <v>5.5700806e-05</v>
      </c>
      <c r="O17" s="2">
        <f>IF(COUNT('Turns'!F38)=1,SUM('Turns'!F38),"Unknown")</f>
        <v>6.356e-05</v>
      </c>
      <c r="P17" s="2">
        <f>IF(COUNT('Turns'!D41)=1,SUM('Turns'!D41),"Unknown")</f>
        <v>823.0</v>
      </c>
      <c r="Q17" s="2">
        <f>IF(COUNT('Turns'!E41)=1,SUM('Turns'!E41),"Unknown")</f>
        <v>0.0001803090125</v>
      </c>
      <c r="R17" s="2">
        <f>IF(COUNT('Turns'!F41)=1,SUM('Turns'!F41),"Unknown")</f>
        <v>0.00020575</v>
      </c>
      <c r="S17" s="2">
        <f>IF(COUNT('Turns'!D45)=1,SUM('Turns'!D45),"Unknown")</f>
        <v>165.0</v>
      </c>
      <c r="T17" s="2">
        <f>IF(COUNT('Turns'!E45)=1,SUM('Turns'!E45),"Unknown")</f>
        <v>0.0001735173</v>
      </c>
      <c r="U17" s="2">
        <f>IF(COUNT('Turns'!F45)=1,SUM('Turns'!F45),"Unknown")</f>
        <v>0.000198</v>
      </c>
      <c r="V17" s="2">
        <f>IF(COUNT('Turns'!D44)=1,SUM('Turns'!D44),"Unknown")</f>
        <v>37.0</v>
      </c>
      <c r="W17" s="2">
        <f>IF(COUNT('Turns'!E44)=1,SUM('Turns'!E44),"Unknown")</f>
        <v>3.890994e-05</v>
      </c>
      <c r="X17" s="2">
        <f>IF(COUNT('Turns'!F44)=1,SUM('Turns'!F44),"Unknown")</f>
        <v>4.44e-05</v>
      </c>
      <c r="Y17" s="2">
        <f>IF(COUNT('Turns'!E49)=1,SUM('Turns'!E49),"Unknown")</f>
        <v>0.0004489628685</v>
      </c>
      <c r="Z17" s="2">
        <f>IF(COUNT('Turns'!F49)=1,SUM('Turns'!F49),"Unknown")</f>
        <v>0.00051231</v>
      </c>
      <c r="AA17" s="5">
        <f>IF(ISNUMBER(Y17),ROUND(Y17*'Reference data'!$B$2,0),"Unknown")</f>
        <v>45.0</v>
      </c>
      <c r="AB17" s="5">
        <f>IF(ISNUMBER(Z17),ROUND(Z17*'Reference data'!$B$2,0),"Unknown")</f>
        <v>51.0</v>
      </c>
      <c r="AD17" s="1">
        <v>2453.274</v>
      </c>
      <c r="AE17" s="1" t="s">
        <v>318</v>
      </c>
    </row>
    <row r="18" spans="1:31" ht="54" customHeight="1">
      <c r="A18" s="6" t="s">
        <v>335</v>
      </c>
      <c r="B18" s="1">
        <v>5</v>
      </c>
      <c r="C18" s="1" t="s">
        <v>336</v>
      </c>
      <c r="D18" s="1" t="s">
        <v>95</v>
      </c>
      <c r="E18" s="1" t="s">
        <v>111</v>
      </c>
      <c r="F18" s="1">
        <v>4004</v>
      </c>
      <c r="G18" s="6" t="s">
        <v>337</v>
      </c>
      <c r="H18" t="s">
        <v>129</v>
      </c>
      <c r="I18" t="s">
        <v>351</v>
      </c>
      <c r="J18" s="2">
        <f>IF(COUNT('Turns'!D39)=1,SUM('Turns'!D39),"Unknown")</f>
        <v>3.0</v>
      </c>
      <c r="K18" s="2">
        <f>IF(COUNT('Turns'!E39)=1,SUM('Turns'!E39),"Unknown")</f>
        <v>5.2581e-07</v>
      </c>
      <c r="L18" s="2">
        <f>IF(COUNT('Turns'!F39)=1,SUM('Turns'!F39),"Unknown")</f>
        <v>6e-07</v>
      </c>
      <c r="M18" s="2">
        <f>IF(COUNT('Turns'!D38)=1,SUM('Turns'!D38),"Unknown")</f>
        <v>3178.0</v>
      </c>
      <c r="N18" s="2">
        <f>IF(COUNT('Turns'!E38)=1,SUM('Turns'!E38),"Unknown")</f>
        <v>5.5700806e-05</v>
      </c>
      <c r="O18" s="2">
        <f>IF(COUNT('Turns'!F38)=1,SUM('Turns'!F38),"Unknown")</f>
        <v>6.356e-05</v>
      </c>
      <c r="P18" s="2">
        <f>IF(COUNT('Turns'!D41)=1,SUM('Turns'!D41),"Unknown")</f>
        <v>823.0</v>
      </c>
      <c r="Q18" s="2">
        <f>IF(COUNT('Turns'!E41)=1,SUM('Turns'!E41),"Unknown")</f>
        <v>0.0001803090125</v>
      </c>
      <c r="R18" s="2">
        <f>IF(COUNT('Turns'!F41)=1,SUM('Turns'!F41),"Unknown")</f>
        <v>0.00020575</v>
      </c>
      <c r="S18" s="2">
        <f>IF(COUNT('Turns'!D45)=1,SUM('Turns'!D45),"Unknown")</f>
        <v>165.0</v>
      </c>
      <c r="T18" s="2">
        <f>IF(COUNT('Turns'!E45)=1,SUM('Turns'!E45),"Unknown")</f>
        <v>0.0001735173</v>
      </c>
      <c r="U18" s="2">
        <f>IF(COUNT('Turns'!F45)=1,SUM('Turns'!F45),"Unknown")</f>
        <v>0.000198</v>
      </c>
      <c r="V18" s="2">
        <f>IF(COUNT('Turns'!D44)=1,SUM('Turns'!D44),"Unknown")</f>
        <v>37.0</v>
      </c>
      <c r="W18" s="2">
        <f>IF(COUNT('Turns'!E44)=1,SUM('Turns'!E44),"Unknown")</f>
        <v>3.890994e-05</v>
      </c>
      <c r="X18" s="2">
        <f>IF(COUNT('Turns'!F44)=1,SUM('Turns'!F44),"Unknown")</f>
        <v>4.44e-05</v>
      </c>
      <c r="Y18" s="2">
        <f>IF(COUNT('Turns'!E49)=1,SUM('Turns'!E49),"Unknown")</f>
        <v>0.0004489628685</v>
      </c>
      <c r="Z18" s="2">
        <f>IF(COUNT('Turns'!F49)=1,SUM('Turns'!F49),"Unknown")</f>
        <v>0.00051231</v>
      </c>
      <c r="AA18" s="5">
        <f>IF(ISNUMBER(Y18),ROUND(Y18*'Reference data'!$B$2,0),"Unknown")</f>
        <v>45.0</v>
      </c>
      <c r="AB18" s="5">
        <f>IF(ISNUMBER(Z18),ROUND(Z18*'Reference data'!$B$2,0),"Unknown")</f>
        <v>51.0</v>
      </c>
      <c r="AC18" s="1" t="s">
        <v>128</v>
      </c>
      <c r="AD18" s="1">
        <v>2448.498</v>
      </c>
      <c r="AE18" s="1" t="s">
        <v>338</v>
      </c>
    </row>
    <row r="19" spans="1:31" ht="54" customHeight="1">
      <c r="A19" s="6" t="s">
        <v>352</v>
      </c>
      <c r="B19" s="1">
        <v>2</v>
      </c>
      <c r="C19" s="1" t="s">
        <v>316</v>
      </c>
      <c r="D19" s="1" t="s">
        <v>47</v>
      </c>
      <c r="E19" s="1" t="s">
        <v>111</v>
      </c>
      <c r="G19" s="6" t="s">
        <v>353</v>
      </c>
      <c r="H19" t="s">
        <v>354</v>
      </c>
      <c r="I19" t="s">
        <v>321</v>
      </c>
      <c r="AD19" s="1">
        <v>0.551</v>
      </c>
      <c r="AE19" s="1" t="s">
        <v>331</v>
      </c>
    </row>
    <row r="20" spans="1:31" ht="54" customHeight="1">
      <c r="A20" s="6" t="s">
        <v>355</v>
      </c>
      <c r="B20" s="1">
        <v>1</v>
      </c>
      <c r="C20" s="1" t="s">
        <v>316</v>
      </c>
      <c r="D20" s="1" t="s">
        <v>47</v>
      </c>
      <c r="E20" s="1" t="s">
        <v>111</v>
      </c>
      <c r="G20" s="6" t="s">
        <v>356</v>
      </c>
      <c r="H20" t="s">
        <v>357</v>
      </c>
      <c r="I20" t="s">
        <v>49</v>
      </c>
      <c r="J20" s="2">
        <f>IF(COUNT('Turns'!D51,'Turns'!D72,'Turns'!D88,'Turns'!D104)=4,SUM('Turns'!D51,'Turns'!D72,'Turns'!D88,'Turns'!D104),"Unknown")</f>
        <v>12.0</v>
      </c>
      <c r="K20" s="2">
        <f>IF(COUNT('Turns'!E51,'Turns'!E72,'Turns'!E88,'Turns'!E104)=4,SUM('Turns'!E51,'Turns'!E72,'Turns'!E88,'Turns'!E104),"Unknown")</f>
        <v>2.10324e-06</v>
      </c>
      <c r="L20" s="2">
        <f>IF(COUNT('Turns'!F51,'Turns'!F72,'Turns'!F88,'Turns'!F104)=4,SUM('Turns'!F51,'Turns'!F72,'Turns'!F88,'Turns'!F104),"Unknown")</f>
        <v>2.4e-06</v>
      </c>
      <c r="M20" s="2">
        <f>IF(COUNT('Turns'!D71,'Turns'!D87,'Turns'!D103)=3,SUM('Turns'!D71,'Turns'!D87,'Turns'!D103),"Unknown")</f>
        <v>15506.0</v>
      </c>
      <c r="N20" s="2">
        <f>IF(COUNT('Turns'!E71,'Turns'!E87,'Turns'!E103)=3,SUM('Turns'!E71,'Turns'!E87,'Turns'!E103),"Unknown")</f>
        <v>0.000271773662</v>
      </c>
      <c r="O20" s="2">
        <f>IF(COUNT('Turns'!F71,'Turns'!F87,'Turns'!F103)=3,SUM('Turns'!F71,'Turns'!F87,'Turns'!F103),"Unknown")</f>
        <v>0.00031012</v>
      </c>
      <c r="P20" s="2">
        <f>IF(COUNT('Turns'!D55,'Turns'!D74,'Turns'!D90,'Turns'!D106)=4,SUM('Turns'!D55,'Turns'!D74,'Turns'!D90,'Turns'!D106),"Unknown")</f>
        <v>6404.0</v>
      </c>
      <c r="Q20" s="2">
        <f>IF(COUNT('Turns'!E55,'Turns'!E74,'Turns'!E90,'Turns'!E106)=4,SUM('Turns'!E55,'Turns'!E74,'Turns'!E90,'Turns'!E106),"Unknown")</f>
        <v>0.00140303635</v>
      </c>
      <c r="R20" s="2">
        <f>IF(COUNT('Turns'!F55,'Turns'!F74,'Turns'!F90,'Turns'!F106)=4,SUM('Turns'!F55,'Turns'!F74,'Turns'!F90,'Turns'!F106),"Unknown")</f>
        <v>0.001601</v>
      </c>
      <c r="S20" s="2">
        <f>IF(COUNT('Turns'!D59,'Turns'!D78,'Turns'!D94,'Turns'!D110)=4,SUM('Turns'!D59,'Turns'!D78,'Turns'!D94,'Turns'!D110),"Unknown")</f>
        <v>719.0</v>
      </c>
      <c r="T20" s="2">
        <f>IF(COUNT('Turns'!E59,'Turns'!E78,'Turns'!E94,'Turns'!E110)=4,SUM('Turns'!E59,'Turns'!E78,'Turns'!E94,'Turns'!E110),"Unknown")</f>
        <v>0.00075611478</v>
      </c>
      <c r="U20" s="2">
        <f>IF(COUNT('Turns'!F59,'Turns'!F78,'Turns'!F94,'Turns'!F110)=4,SUM('Turns'!F59,'Turns'!F78,'Turns'!F94,'Turns'!F110),"Unknown")</f>
        <v>0.0008628</v>
      </c>
      <c r="V20" s="2">
        <f>IF(COUNT('Turns'!D58,'Turns'!D77,'Turns'!D93,'Turns'!D109)=4,SUM('Turns'!D58,'Turns'!D77,'Turns'!D93,'Turns'!D109),"Unknown")</f>
        <v>464.0</v>
      </c>
      <c r="W20" s="2">
        <f>IF(COUNT('Turns'!E58,'Turns'!E77,'Turns'!E93,'Turns'!E109)=4,SUM('Turns'!E58,'Turns'!E77,'Turns'!E93,'Turns'!E109),"Unknown")</f>
        <v>0.00048795168</v>
      </c>
      <c r="X20" s="2">
        <f>IF(COUNT('Turns'!F58,'Turns'!F77,'Turns'!F93,'Turns'!F109)=4,SUM('Turns'!F58,'Turns'!F77,'Turns'!F93,'Turns'!F109),"Unknown")</f>
        <v>0.0005568</v>
      </c>
      <c r="Y20" s="2">
        <f>IF(COUNT('Turns'!E63,'Turns'!E82,'Turns'!E98,'Turns'!E114)=4,SUM('Turns'!E63,'Turns'!E82,'Turns'!E98,'Turns'!E114),"Unknown")</f>
        <v>0.002920979712</v>
      </c>
      <c r="Z20" s="2">
        <f>IF(COUNT('Turns'!F63,'Turns'!F82,'Turns'!F98,'Turns'!F114)=4,SUM('Turns'!F63,'Turns'!F82,'Turns'!F98,'Turns'!F114),"Unknown")</f>
        <v>0.00333312</v>
      </c>
      <c r="AA20" s="5">
        <f>IF(ISNUMBER(Y20),ROUND(Y20*'Reference data'!$B$2,0),"Unknown")</f>
        <v>292.0</v>
      </c>
      <c r="AB20" s="5">
        <f>IF(ISNUMBER(Z20),ROUND(Z20*'Reference data'!$B$2,0),"Unknown")</f>
        <v>333.0</v>
      </c>
      <c r="AD20" s="1">
        <v>15979.532</v>
      </c>
      <c r="AE20" s="1" t="s">
        <v>318</v>
      </c>
    </row>
    <row r="21" spans="1:31" ht="54" customHeight="1">
      <c r="A21" s="6" t="s">
        <v>322</v>
      </c>
      <c r="B21" s="1">
        <v>2</v>
      </c>
      <c r="C21" s="1" t="s">
        <v>316</v>
      </c>
      <c r="D21" s="1" t="s">
        <v>47</v>
      </c>
      <c r="E21" s="1" t="s">
        <v>111</v>
      </c>
      <c r="G21" s="6" t="s">
        <v>323</v>
      </c>
      <c r="H21" t="s">
        <v>358</v>
      </c>
      <c r="I21" t="s">
        <v>357</v>
      </c>
      <c r="J21" s="2">
        <f>IF(COUNT('Turns'!D51,'Turns'!D72,'Turns'!D88,'Turns'!D104)=4,SUM('Turns'!D51,'Turns'!D72,'Turns'!D88,'Turns'!D104),"Unknown")</f>
        <v>12.0</v>
      </c>
      <c r="K21" s="2">
        <f>IF(COUNT('Turns'!E51,'Turns'!E72,'Turns'!E88,'Turns'!E104)=4,SUM('Turns'!E51,'Turns'!E72,'Turns'!E88,'Turns'!E104),"Unknown")</f>
        <v>2.10324e-06</v>
      </c>
      <c r="L21" s="2">
        <f>IF(COUNT('Turns'!F51,'Turns'!F72,'Turns'!F88,'Turns'!F104)=4,SUM('Turns'!F51,'Turns'!F72,'Turns'!F88,'Turns'!F104),"Unknown")</f>
        <v>2.4e-06</v>
      </c>
      <c r="M21" s="2">
        <f>IF(COUNT('Turns'!D71,'Turns'!D87,'Turns'!D103)=3,SUM('Turns'!D71,'Turns'!D87,'Turns'!D103),"Unknown")</f>
        <v>15506.0</v>
      </c>
      <c r="N21" s="2">
        <f>IF(COUNT('Turns'!E71,'Turns'!E87,'Turns'!E103)=3,SUM('Turns'!E71,'Turns'!E87,'Turns'!E103),"Unknown")</f>
        <v>0.000271773662</v>
      </c>
      <c r="O21" s="2">
        <f>IF(COUNT('Turns'!F71,'Turns'!F87,'Turns'!F103)=3,SUM('Turns'!F71,'Turns'!F87,'Turns'!F103),"Unknown")</f>
        <v>0.00031012</v>
      </c>
      <c r="P21" s="2">
        <f>IF(COUNT('Turns'!D55,'Turns'!D74,'Turns'!D90,'Turns'!D106)=4,SUM('Turns'!D55,'Turns'!D74,'Turns'!D90,'Turns'!D106),"Unknown")</f>
        <v>6404.0</v>
      </c>
      <c r="Q21" s="2">
        <f>IF(COUNT('Turns'!E55,'Turns'!E74,'Turns'!E90,'Turns'!E106)=4,SUM('Turns'!E55,'Turns'!E74,'Turns'!E90,'Turns'!E106),"Unknown")</f>
        <v>0.00140303635</v>
      </c>
      <c r="R21" s="2">
        <f>IF(COUNT('Turns'!F55,'Turns'!F74,'Turns'!F90,'Turns'!F106)=4,SUM('Turns'!F55,'Turns'!F74,'Turns'!F90,'Turns'!F106),"Unknown")</f>
        <v>0.001601</v>
      </c>
      <c r="S21" s="2">
        <f>IF(COUNT('Turns'!D59,'Turns'!D78,'Turns'!D94,'Turns'!D110)=4,SUM('Turns'!D59,'Turns'!D78,'Turns'!D94,'Turns'!D110),"Unknown")</f>
        <v>719.0</v>
      </c>
      <c r="T21" s="2">
        <f>IF(COUNT('Turns'!E59,'Turns'!E78,'Turns'!E94,'Turns'!E110)=4,SUM('Turns'!E59,'Turns'!E78,'Turns'!E94,'Turns'!E110),"Unknown")</f>
        <v>0.00075611478</v>
      </c>
      <c r="U21" s="2">
        <f>IF(COUNT('Turns'!F59,'Turns'!F78,'Turns'!F94,'Turns'!F110)=4,SUM('Turns'!F59,'Turns'!F78,'Turns'!F94,'Turns'!F110),"Unknown")</f>
        <v>0.0008628</v>
      </c>
      <c r="V21" s="2">
        <f>IF(COUNT('Turns'!D58,'Turns'!D77,'Turns'!D93,'Turns'!D109)=4,SUM('Turns'!D58,'Turns'!D77,'Turns'!D93,'Turns'!D109),"Unknown")</f>
        <v>464.0</v>
      </c>
      <c r="W21" s="2">
        <f>IF(COUNT('Turns'!E58,'Turns'!E77,'Turns'!E93,'Turns'!E109)=4,SUM('Turns'!E58,'Turns'!E77,'Turns'!E93,'Turns'!E109),"Unknown")</f>
        <v>0.00048795168</v>
      </c>
      <c r="X21" s="2">
        <f>IF(COUNT('Turns'!F58,'Turns'!F77,'Turns'!F93,'Turns'!F109)=4,SUM('Turns'!F58,'Turns'!F77,'Turns'!F93,'Turns'!F109),"Unknown")</f>
        <v>0.0005568</v>
      </c>
      <c r="Y21" s="2">
        <f>IF(COUNT('Turns'!E63,'Turns'!E82,'Turns'!E98,'Turns'!E114)=4,SUM('Turns'!E63,'Turns'!E82,'Turns'!E98,'Turns'!E114),"Unknown")</f>
        <v>0.002920979712</v>
      </c>
      <c r="Z21" s="2">
        <f>IF(COUNT('Turns'!F63,'Turns'!F82,'Turns'!F98,'Turns'!F114)=4,SUM('Turns'!F63,'Turns'!F82,'Turns'!F98,'Turns'!F114),"Unknown")</f>
        <v>0.00333312</v>
      </c>
      <c r="AA21" s="5">
        <f>IF(ISNUMBER(Y21),ROUND(Y21*'Reference data'!$B$2,0),"Unknown")</f>
        <v>292.0</v>
      </c>
      <c r="AB21" s="5">
        <f>IF(ISNUMBER(Z21),ROUND(Z21*'Reference data'!$B$2,0),"Unknown")</f>
        <v>333.0</v>
      </c>
      <c r="AD21" s="1">
        <v>15977.648</v>
      </c>
      <c r="AE21" s="1" t="s">
        <v>318</v>
      </c>
    </row>
    <row r="22" spans="1:31" ht="54" customHeight="1">
      <c r="A22" s="6" t="s">
        <v>359</v>
      </c>
      <c r="B22" s="1">
        <v>3</v>
      </c>
      <c r="C22" s="1" t="s">
        <v>316</v>
      </c>
      <c r="D22" s="1" t="s">
        <v>47</v>
      </c>
      <c r="E22" s="1" t="s">
        <v>111</v>
      </c>
      <c r="G22" s="6" t="s">
        <v>360</v>
      </c>
      <c r="H22" t="s">
        <v>361</v>
      </c>
      <c r="I22" t="s">
        <v>358</v>
      </c>
      <c r="J22" s="2">
        <f>IF(COUNT('Turns'!D51,'Turns'!D72,'Turns'!D88,'Turns'!D104)=4,SUM('Turns'!D51,'Turns'!D72,'Turns'!D88,'Turns'!D104),"Unknown")</f>
        <v>12.0</v>
      </c>
      <c r="K22" s="2">
        <f>IF(COUNT('Turns'!E51,'Turns'!E72,'Turns'!E88,'Turns'!E104)=4,SUM('Turns'!E51,'Turns'!E72,'Turns'!E88,'Turns'!E104),"Unknown")</f>
        <v>2.10324e-06</v>
      </c>
      <c r="L22" s="2">
        <f>IF(COUNT('Turns'!F51,'Turns'!F72,'Turns'!F88,'Turns'!F104)=4,SUM('Turns'!F51,'Turns'!F72,'Turns'!F88,'Turns'!F104),"Unknown")</f>
        <v>2.4e-06</v>
      </c>
      <c r="M22" s="2">
        <f>IF(COUNT('Turns'!D71,'Turns'!D87,'Turns'!D103)=3,SUM('Turns'!D71,'Turns'!D87,'Turns'!D103),"Unknown")</f>
        <v>15506.0</v>
      </c>
      <c r="N22" s="2">
        <f>IF(COUNT('Turns'!E71,'Turns'!E87,'Turns'!E103)=3,SUM('Turns'!E71,'Turns'!E87,'Turns'!E103),"Unknown")</f>
        <v>0.000271773662</v>
      </c>
      <c r="O22" s="2">
        <f>IF(COUNT('Turns'!F71,'Turns'!F87,'Turns'!F103)=3,SUM('Turns'!F71,'Turns'!F87,'Turns'!F103),"Unknown")</f>
        <v>0.00031012</v>
      </c>
      <c r="P22" s="2">
        <f>IF(COUNT('Turns'!D55,'Turns'!D74,'Turns'!D90,'Turns'!D106)=4,SUM('Turns'!D55,'Turns'!D74,'Turns'!D90,'Turns'!D106),"Unknown")</f>
        <v>6404.0</v>
      </c>
      <c r="Q22" s="2">
        <f>IF(COUNT('Turns'!E55,'Turns'!E74,'Turns'!E90,'Turns'!E106)=4,SUM('Turns'!E55,'Turns'!E74,'Turns'!E90,'Turns'!E106),"Unknown")</f>
        <v>0.00140303635</v>
      </c>
      <c r="R22" s="2">
        <f>IF(COUNT('Turns'!F55,'Turns'!F74,'Turns'!F90,'Turns'!F106)=4,SUM('Turns'!F55,'Turns'!F74,'Turns'!F90,'Turns'!F106),"Unknown")</f>
        <v>0.001601</v>
      </c>
      <c r="S22" s="2">
        <f>IF(COUNT('Turns'!D59,'Turns'!D78,'Turns'!D94,'Turns'!D110)=4,SUM('Turns'!D59,'Turns'!D78,'Turns'!D94,'Turns'!D110),"Unknown")</f>
        <v>719.0</v>
      </c>
      <c r="T22" s="2">
        <f>IF(COUNT('Turns'!E59,'Turns'!E78,'Turns'!E94,'Turns'!E110)=4,SUM('Turns'!E59,'Turns'!E78,'Turns'!E94,'Turns'!E110),"Unknown")</f>
        <v>0.00075611478</v>
      </c>
      <c r="U22" s="2">
        <f>IF(COUNT('Turns'!F59,'Turns'!F78,'Turns'!F94,'Turns'!F110)=4,SUM('Turns'!F59,'Turns'!F78,'Turns'!F94,'Turns'!F110),"Unknown")</f>
        <v>0.0008628</v>
      </c>
      <c r="V22" s="2">
        <f>IF(COUNT('Turns'!D58,'Turns'!D77,'Turns'!D93,'Turns'!D109)=4,SUM('Turns'!D58,'Turns'!D77,'Turns'!D93,'Turns'!D109),"Unknown")</f>
        <v>464.0</v>
      </c>
      <c r="W22" s="2">
        <f>IF(COUNT('Turns'!E58,'Turns'!E77,'Turns'!E93,'Turns'!E109)=4,SUM('Turns'!E58,'Turns'!E77,'Turns'!E93,'Turns'!E109),"Unknown")</f>
        <v>0.00048795168</v>
      </c>
      <c r="X22" s="2">
        <f>IF(COUNT('Turns'!F58,'Turns'!F77,'Turns'!F93,'Turns'!F109)=4,SUM('Turns'!F58,'Turns'!F77,'Turns'!F93,'Turns'!F109),"Unknown")</f>
        <v>0.0005568</v>
      </c>
      <c r="Y22" s="2">
        <f>IF(COUNT('Turns'!E63,'Turns'!E82,'Turns'!E98,'Turns'!E114)=4,SUM('Turns'!E63,'Turns'!E82,'Turns'!E98,'Turns'!E114),"Unknown")</f>
        <v>0.002920979712</v>
      </c>
      <c r="Z22" s="2">
        <f>IF(COUNT('Turns'!F63,'Turns'!F82,'Turns'!F98,'Turns'!F114)=4,SUM('Turns'!F63,'Turns'!F82,'Turns'!F98,'Turns'!F114),"Unknown")</f>
        <v>0.00333312</v>
      </c>
      <c r="AA22" s="5">
        <f>IF(ISNUMBER(Y22),ROUND(Y22*'Reference data'!$B$2,0),"Unknown")</f>
        <v>292.0</v>
      </c>
      <c r="AB22" s="5">
        <f>IF(ISNUMBER(Z22),ROUND(Z22*'Reference data'!$B$2,0),"Unknown")</f>
        <v>333.0</v>
      </c>
      <c r="AD22" s="1">
        <v>15975.714</v>
      </c>
      <c r="AE22" s="1" t="s">
        <v>318</v>
      </c>
    </row>
    <row r="23" spans="1:31" ht="54" customHeight="1">
      <c r="A23" s="6" t="s">
        <v>328</v>
      </c>
      <c r="B23" s="1">
        <v>4</v>
      </c>
      <c r="C23" s="1" t="s">
        <v>316</v>
      </c>
      <c r="D23" s="1" t="s">
        <v>47</v>
      </c>
      <c r="E23" s="1" t="s">
        <v>111</v>
      </c>
      <c r="G23" s="6" t="s">
        <v>329</v>
      </c>
      <c r="H23" t="s">
        <v>362</v>
      </c>
      <c r="I23" t="s">
        <v>361</v>
      </c>
      <c r="AD23" s="1">
        <v>1.245</v>
      </c>
      <c r="AE23" s="1" t="s">
        <v>331</v>
      </c>
    </row>
    <row r="24" spans="1:31" ht="54" customHeight="1">
      <c r="A24" s="6" t="s">
        <v>332</v>
      </c>
      <c r="B24" s="1">
        <v>4</v>
      </c>
      <c r="C24" s="1" t="s">
        <v>316</v>
      </c>
      <c r="D24" s="1" t="s">
        <v>47</v>
      </c>
      <c r="E24" s="1" t="s">
        <v>111</v>
      </c>
      <c r="G24" s="6" t="s">
        <v>333</v>
      </c>
      <c r="H24" t="s">
        <v>363</v>
      </c>
      <c r="I24" t="s">
        <v>361</v>
      </c>
      <c r="J24" s="2">
        <f>IF(COUNT('Turns'!D51)=1,SUM('Turns'!D51),"Unknown")</f>
        <v>3.0</v>
      </c>
      <c r="K24" s="2">
        <f>IF(COUNT('Turns'!E51)=1,SUM('Turns'!E51),"Unknown")</f>
        <v>5.2581e-07</v>
      </c>
      <c r="L24" s="2">
        <f>IF(COUNT('Turns'!F51)=1,SUM('Turns'!F51),"Unknown")</f>
        <v>6e-07</v>
      </c>
      <c r="M24" s="2">
        <v>0</v>
      </c>
      <c r="N24" s="2">
        <v>0</v>
      </c>
      <c r="O24" s="2">
        <v>0</v>
      </c>
      <c r="P24" s="2">
        <f>IF(COUNT('Turns'!D55)=1,SUM('Turns'!D55),"Unknown")</f>
        <v>4386.0</v>
      </c>
      <c r="Q24" s="2">
        <f>IF(COUNT('Turns'!E55)=1,SUM('Turns'!E55),"Unknown")</f>
        <v>0.000960917775</v>
      </c>
      <c r="R24" s="2">
        <f>IF(COUNT('Turns'!F55)=1,SUM('Turns'!F55),"Unknown")</f>
        <v>0.0010965</v>
      </c>
      <c r="S24" s="2">
        <f>IF(COUNT('Turns'!D59)=1,SUM('Turns'!D59),"Unknown")</f>
        <v>72.0</v>
      </c>
      <c r="T24" s="2">
        <f>IF(COUNT('Turns'!E59)=1,SUM('Turns'!E59),"Unknown")</f>
        <v>7.571664e-05</v>
      </c>
      <c r="U24" s="2">
        <f>IF(COUNT('Turns'!F59)=1,SUM('Turns'!F59),"Unknown")</f>
        <v>8.64e-05</v>
      </c>
      <c r="V24" s="2">
        <f>IF(COUNT('Turns'!D58)=1,SUM('Turns'!D58),"Unknown")</f>
        <v>16.0</v>
      </c>
      <c r="W24" s="2">
        <f>IF(COUNT('Turns'!E58)=1,SUM('Turns'!E58),"Unknown")</f>
        <v>1.682592e-05</v>
      </c>
      <c r="X24" s="2">
        <f>IF(COUNT('Turns'!F58)=1,SUM('Turns'!F58),"Unknown")</f>
        <v>1.92e-05</v>
      </c>
      <c r="Y24" s="2">
        <f>IF(COUNT('Turns'!E63)=1,SUM('Turns'!E63),"Unknown")</f>
        <v>0.001053986145</v>
      </c>
      <c r="Z24" s="2">
        <f>IF(COUNT('Turns'!F63)=1,SUM('Turns'!F63),"Unknown")</f>
        <v>0.0012027</v>
      </c>
      <c r="AA24" s="5">
        <f>IF(ISNUMBER(Y24),ROUND(Y24*'Reference data'!$B$2,0),"Unknown")</f>
        <v>105.0</v>
      </c>
      <c r="AB24" s="5">
        <f>IF(ISNUMBER(Z24),ROUND(Z24*'Reference data'!$B$2,0),"Unknown")</f>
        <v>120.0</v>
      </c>
      <c r="AD24" s="1">
        <v>1819.064</v>
      </c>
      <c r="AE24" s="1" t="s">
        <v>318</v>
      </c>
    </row>
    <row r="25" spans="1:31" ht="54" customHeight="1">
      <c r="A25" s="6" t="s">
        <v>335</v>
      </c>
      <c r="B25" s="1">
        <v>5</v>
      </c>
      <c r="C25" s="1" t="s">
        <v>336</v>
      </c>
      <c r="D25" s="1" t="s">
        <v>95</v>
      </c>
      <c r="E25" s="1" t="s">
        <v>111</v>
      </c>
      <c r="F25" s="1">
        <v>4389</v>
      </c>
      <c r="G25" s="6" t="s">
        <v>337</v>
      </c>
      <c r="H25" t="s">
        <v>132</v>
      </c>
      <c r="I25" t="s">
        <v>363</v>
      </c>
      <c r="J25" s="2">
        <f>IF(COUNT('Turns'!D51)=1,SUM('Turns'!D51),"Unknown")</f>
        <v>3.0</v>
      </c>
      <c r="K25" s="2">
        <f>IF(COUNT('Turns'!E51)=1,SUM('Turns'!E51),"Unknown")</f>
        <v>5.2581e-07</v>
      </c>
      <c r="L25" s="2">
        <f>IF(COUNT('Turns'!F51)=1,SUM('Turns'!F51),"Unknown")</f>
        <v>6e-07</v>
      </c>
      <c r="M25" s="2">
        <v>0</v>
      </c>
      <c r="N25" s="2">
        <v>0</v>
      </c>
      <c r="O25" s="2">
        <v>0</v>
      </c>
      <c r="P25" s="2">
        <f>IF(COUNT('Turns'!D55)=1,SUM('Turns'!D55),"Unknown")</f>
        <v>4386.0</v>
      </c>
      <c r="Q25" s="2">
        <f>IF(COUNT('Turns'!E55)=1,SUM('Turns'!E55),"Unknown")</f>
        <v>0.000960917775</v>
      </c>
      <c r="R25" s="2">
        <f>IF(COUNT('Turns'!F55)=1,SUM('Turns'!F55),"Unknown")</f>
        <v>0.0010965</v>
      </c>
      <c r="S25" s="2">
        <f>IF(COUNT('Turns'!D59)=1,SUM('Turns'!D59),"Unknown")</f>
        <v>72.0</v>
      </c>
      <c r="T25" s="2">
        <f>IF(COUNT('Turns'!E59)=1,SUM('Turns'!E59),"Unknown")</f>
        <v>7.571664e-05</v>
      </c>
      <c r="U25" s="2">
        <f>IF(COUNT('Turns'!F59)=1,SUM('Turns'!F59),"Unknown")</f>
        <v>8.64e-05</v>
      </c>
      <c r="V25" s="2">
        <f>IF(COUNT('Turns'!D58)=1,SUM('Turns'!D58),"Unknown")</f>
        <v>16.0</v>
      </c>
      <c r="W25" s="2">
        <f>IF(COUNT('Turns'!E58)=1,SUM('Turns'!E58),"Unknown")</f>
        <v>1.682592e-05</v>
      </c>
      <c r="X25" s="2">
        <f>IF(COUNT('Turns'!F58)=1,SUM('Turns'!F58),"Unknown")</f>
        <v>1.92e-05</v>
      </c>
      <c r="Y25" s="2">
        <f>IF(COUNT('Turns'!E63)=1,SUM('Turns'!E63),"Unknown")</f>
        <v>0.001053986145</v>
      </c>
      <c r="Z25" s="2">
        <f>IF(COUNT('Turns'!F63)=1,SUM('Turns'!F63),"Unknown")</f>
        <v>0.0012027</v>
      </c>
      <c r="AA25" s="5">
        <f>IF(ISNUMBER(Y25),ROUND(Y25*'Reference data'!$B$2,0),"Unknown")</f>
        <v>105.0</v>
      </c>
      <c r="AB25" s="5">
        <f>IF(ISNUMBER(Z25),ROUND(Z25*'Reference data'!$B$2,0),"Unknown")</f>
        <v>120.0</v>
      </c>
      <c r="AC25" s="1" t="s">
        <v>131</v>
      </c>
      <c r="AD25" s="1">
        <v>1810.383</v>
      </c>
      <c r="AE25" s="1" t="s">
        <v>338</v>
      </c>
    </row>
    <row r="26" spans="1:31" ht="54" customHeight="1">
      <c r="A26" s="6" t="s">
        <v>339</v>
      </c>
      <c r="B26" s="1">
        <v>4</v>
      </c>
      <c r="C26" s="1" t="s">
        <v>316</v>
      </c>
      <c r="D26" s="1" t="s">
        <v>47</v>
      </c>
      <c r="E26" s="1" t="s">
        <v>111</v>
      </c>
      <c r="G26" s="6" t="s">
        <v>340</v>
      </c>
      <c r="H26" t="s">
        <v>364</v>
      </c>
      <c r="I26" t="s">
        <v>361</v>
      </c>
      <c r="AD26" s="1">
        <v>7.45</v>
      </c>
      <c r="AE26" s="1" t="s">
        <v>331</v>
      </c>
    </row>
    <row r="27" spans="1:31" ht="54" customHeight="1">
      <c r="A27" s="6" t="s">
        <v>342</v>
      </c>
      <c r="B27" s="1">
        <v>5</v>
      </c>
      <c r="C27" s="1" t="s">
        <v>343</v>
      </c>
      <c r="D27" s="1" t="s">
        <v>47</v>
      </c>
      <c r="E27" s="1" t="s">
        <v>111</v>
      </c>
      <c r="G27" s="6" t="s">
        <v>344</v>
      </c>
      <c r="H27" t="s">
        <v>136</v>
      </c>
      <c r="I27" t="s">
        <v>364</v>
      </c>
      <c r="AD27" s="1">
        <v>3.997</v>
      </c>
      <c r="AE27" s="1" t="s">
        <v>331</v>
      </c>
    </row>
    <row r="28" spans="1:31" ht="54" customHeight="1">
      <c r="A28" s="6" t="s">
        <v>339</v>
      </c>
      <c r="B28" s="1">
        <v>4</v>
      </c>
      <c r="C28" s="1" t="s">
        <v>316</v>
      </c>
      <c r="D28" s="1" t="s">
        <v>47</v>
      </c>
      <c r="E28" s="1" t="s">
        <v>111</v>
      </c>
      <c r="G28" s="6" t="s">
        <v>340</v>
      </c>
      <c r="H28" t="s">
        <v>365</v>
      </c>
      <c r="I28" t="s">
        <v>361</v>
      </c>
      <c r="AD28" s="1">
        <v>5.124</v>
      </c>
      <c r="AE28" s="1" t="s">
        <v>331</v>
      </c>
    </row>
    <row r="29" spans="1:31" ht="54" customHeight="1">
      <c r="A29" s="6" t="s">
        <v>342</v>
      </c>
      <c r="B29" s="1">
        <v>5</v>
      </c>
      <c r="C29" s="1" t="s">
        <v>343</v>
      </c>
      <c r="D29" s="1" t="s">
        <v>47</v>
      </c>
      <c r="E29" s="1" t="s">
        <v>113</v>
      </c>
      <c r="G29" s="6" t="s">
        <v>344</v>
      </c>
      <c r="H29" t="s">
        <v>138</v>
      </c>
      <c r="I29" t="s">
        <v>365</v>
      </c>
      <c r="AD29" s="1">
        <v>1.752</v>
      </c>
      <c r="AE29" s="1" t="s">
        <v>331</v>
      </c>
    </row>
    <row r="30" spans="1:31" ht="54" customHeight="1">
      <c r="A30" s="6" t="s">
        <v>328</v>
      </c>
      <c r="B30" s="1">
        <v>4</v>
      </c>
      <c r="C30" s="1" t="s">
        <v>316</v>
      </c>
      <c r="D30" s="1" t="s">
        <v>47</v>
      </c>
      <c r="E30" s="1" t="s">
        <v>111</v>
      </c>
      <c r="G30" s="6" t="s">
        <v>329</v>
      </c>
      <c r="H30" t="s">
        <v>366</v>
      </c>
      <c r="I30" t="s">
        <v>361</v>
      </c>
      <c r="AD30" s="1">
        <v>1.434</v>
      </c>
      <c r="AE30" s="1" t="s">
        <v>331</v>
      </c>
    </row>
    <row r="31" spans="1:31" ht="54" customHeight="1">
      <c r="A31" s="6" t="s">
        <v>332</v>
      </c>
      <c r="B31" s="1">
        <v>4</v>
      </c>
      <c r="C31" s="1" t="s">
        <v>316</v>
      </c>
      <c r="D31" s="1" t="s">
        <v>47</v>
      </c>
      <c r="E31" s="1" t="s">
        <v>111</v>
      </c>
      <c r="G31" s="6" t="s">
        <v>333</v>
      </c>
      <c r="H31" t="s">
        <v>367</v>
      </c>
      <c r="I31" t="s">
        <v>361</v>
      </c>
      <c r="J31" s="2">
        <f>IF(COUNT('Turns'!D72)=1,SUM('Turns'!D72),"Unknown")</f>
        <v>3.0</v>
      </c>
      <c r="K31" s="2">
        <f>IF(COUNT('Turns'!E72)=1,SUM('Turns'!E72),"Unknown")</f>
        <v>5.2581e-07</v>
      </c>
      <c r="L31" s="2">
        <f>IF(COUNT('Turns'!F72)=1,SUM('Turns'!F72),"Unknown")</f>
        <v>6e-07</v>
      </c>
      <c r="M31" s="2">
        <f>IF(COUNT('Turns'!D71)=1,SUM('Turns'!D71),"Unknown")</f>
        <v>4386.0</v>
      </c>
      <c r="N31" s="2">
        <f>IF(COUNT('Turns'!E71)=1,SUM('Turns'!E71),"Unknown")</f>
        <v>7.6873422e-05</v>
      </c>
      <c r="O31" s="2">
        <f>IF(COUNT('Turns'!F71)=1,SUM('Turns'!F71),"Unknown")</f>
        <v>8.772e-05</v>
      </c>
      <c r="P31" s="2">
        <f>IF(COUNT('Turns'!D74)=1,SUM('Turns'!D74),"Unknown")</f>
        <v>760.0</v>
      </c>
      <c r="Q31" s="2">
        <f>IF(COUNT('Turns'!E74)=1,SUM('Turns'!E74),"Unknown")</f>
        <v>0.0001665065</v>
      </c>
      <c r="R31" s="2">
        <f>IF(COUNT('Turns'!F74)=1,SUM('Turns'!F74),"Unknown")</f>
        <v>0.00019</v>
      </c>
      <c r="S31" s="2">
        <f>IF(COUNT('Turns'!D78)=1,SUM('Turns'!D78),"Unknown")</f>
        <v>434.0</v>
      </c>
      <c r="T31" s="2">
        <f>IF(COUNT('Turns'!E78)=1,SUM('Turns'!E78),"Unknown")</f>
        <v>0.00045640308</v>
      </c>
      <c r="U31" s="2">
        <f>IF(COUNT('Turns'!F78)=1,SUM('Turns'!F78),"Unknown")</f>
        <v>0.0005208</v>
      </c>
      <c r="V31" s="2">
        <f>IF(COUNT('Turns'!D77)=1,SUM('Turns'!D77),"Unknown")</f>
        <v>378.0</v>
      </c>
      <c r="W31" s="2">
        <f>IF(COUNT('Turns'!E77)=1,SUM('Turns'!E77),"Unknown")</f>
        <v>0.00039751236</v>
      </c>
      <c r="X31" s="2">
        <f>IF(COUNT('Turns'!F77)=1,SUM('Turns'!F77),"Unknown")</f>
        <v>0.0004536</v>
      </c>
      <c r="Y31" s="2">
        <f>IF(COUNT('Turns'!E82)=1,SUM('Turns'!E82),"Unknown")</f>
        <v>0.001097821172</v>
      </c>
      <c r="Z31" s="2">
        <f>IF(COUNT('Turns'!F82)=1,SUM('Turns'!F82),"Unknown")</f>
        <v>0.00125272</v>
      </c>
      <c r="AA31" s="5">
        <f>IF(ISNUMBER(Y31),ROUND(Y31*'Reference data'!$B$2,0),"Unknown")</f>
        <v>110.0</v>
      </c>
      <c r="AB31" s="5">
        <f>IF(ISNUMBER(Z31),ROUND(Z31*'Reference data'!$B$2,0),"Unknown")</f>
        <v>125.0</v>
      </c>
      <c r="AD31" s="1">
        <v>9323.972</v>
      </c>
      <c r="AE31" s="1" t="s">
        <v>318</v>
      </c>
    </row>
    <row r="32" spans="1:31" ht="54" customHeight="1">
      <c r="A32" s="6" t="s">
        <v>335</v>
      </c>
      <c r="B32" s="1">
        <v>5</v>
      </c>
      <c r="C32" s="1" t="s">
        <v>336</v>
      </c>
      <c r="D32" s="1" t="s">
        <v>95</v>
      </c>
      <c r="E32" s="1" t="s">
        <v>111</v>
      </c>
      <c r="F32" s="1">
        <v>5149</v>
      </c>
      <c r="G32" s="6" t="s">
        <v>337</v>
      </c>
      <c r="H32" t="s">
        <v>142</v>
      </c>
      <c r="I32" t="s">
        <v>367</v>
      </c>
      <c r="J32" s="2">
        <f>IF(COUNT('Turns'!D72)=1,SUM('Turns'!D72),"Unknown")</f>
        <v>3.0</v>
      </c>
      <c r="K32" s="2">
        <f>IF(COUNT('Turns'!E72)=1,SUM('Turns'!E72),"Unknown")</f>
        <v>5.2581e-07</v>
      </c>
      <c r="L32" s="2">
        <f>IF(COUNT('Turns'!F72)=1,SUM('Turns'!F72),"Unknown")</f>
        <v>6e-07</v>
      </c>
      <c r="M32" s="2">
        <f>IF(COUNT('Turns'!D71)=1,SUM('Turns'!D71),"Unknown")</f>
        <v>4386.0</v>
      </c>
      <c r="N32" s="2">
        <f>IF(COUNT('Turns'!E71)=1,SUM('Turns'!E71),"Unknown")</f>
        <v>7.6873422e-05</v>
      </c>
      <c r="O32" s="2">
        <f>IF(COUNT('Turns'!F71)=1,SUM('Turns'!F71),"Unknown")</f>
        <v>8.772e-05</v>
      </c>
      <c r="P32" s="2">
        <f>IF(COUNT('Turns'!D74)=1,SUM('Turns'!D74),"Unknown")</f>
        <v>760.0</v>
      </c>
      <c r="Q32" s="2">
        <f>IF(COUNT('Turns'!E74)=1,SUM('Turns'!E74),"Unknown")</f>
        <v>0.0001665065</v>
      </c>
      <c r="R32" s="2">
        <f>IF(COUNT('Turns'!F74)=1,SUM('Turns'!F74),"Unknown")</f>
        <v>0.00019</v>
      </c>
      <c r="S32" s="2">
        <f>IF(COUNT('Turns'!D78)=1,SUM('Turns'!D78),"Unknown")</f>
        <v>434.0</v>
      </c>
      <c r="T32" s="2">
        <f>IF(COUNT('Turns'!E78)=1,SUM('Turns'!E78),"Unknown")</f>
        <v>0.00045640308</v>
      </c>
      <c r="U32" s="2">
        <f>IF(COUNT('Turns'!F78)=1,SUM('Turns'!F78),"Unknown")</f>
        <v>0.0005208</v>
      </c>
      <c r="V32" s="2">
        <f>IF(COUNT('Turns'!D77)=1,SUM('Turns'!D77),"Unknown")</f>
        <v>378.0</v>
      </c>
      <c r="W32" s="2">
        <f>IF(COUNT('Turns'!E77)=1,SUM('Turns'!E77),"Unknown")</f>
        <v>0.00039751236</v>
      </c>
      <c r="X32" s="2">
        <f>IF(COUNT('Turns'!F77)=1,SUM('Turns'!F77),"Unknown")</f>
        <v>0.0004536</v>
      </c>
      <c r="Y32" s="2">
        <f>IF(COUNT('Turns'!E82)=1,SUM('Turns'!E82),"Unknown")</f>
        <v>0.001097821172</v>
      </c>
      <c r="Z32" s="2">
        <f>IF(COUNT('Turns'!F82)=1,SUM('Turns'!F82),"Unknown")</f>
        <v>0.00125272</v>
      </c>
      <c r="AA32" s="5">
        <f>IF(ISNUMBER(Y32),ROUND(Y32*'Reference data'!$B$2,0),"Unknown")</f>
        <v>110.0</v>
      </c>
      <c r="AB32" s="5">
        <f>IF(ISNUMBER(Z32),ROUND(Z32*'Reference data'!$B$2,0),"Unknown")</f>
        <v>125.0</v>
      </c>
      <c r="AC32" s="1" t="s">
        <v>141</v>
      </c>
      <c r="AD32" s="1">
        <v>9317.589</v>
      </c>
      <c r="AE32" s="1" t="s">
        <v>338</v>
      </c>
    </row>
    <row r="33" spans="1:31" ht="54" customHeight="1">
      <c r="A33" s="6" t="s">
        <v>339</v>
      </c>
      <c r="B33" s="1">
        <v>4</v>
      </c>
      <c r="C33" s="1" t="s">
        <v>316</v>
      </c>
      <c r="D33" s="1" t="s">
        <v>47</v>
      </c>
      <c r="E33" s="1" t="s">
        <v>111</v>
      </c>
      <c r="G33" s="6" t="s">
        <v>340</v>
      </c>
      <c r="H33" t="s">
        <v>368</v>
      </c>
      <c r="I33" t="s">
        <v>361</v>
      </c>
      <c r="AD33" s="1">
        <v>4.151</v>
      </c>
      <c r="AE33" s="1" t="s">
        <v>331</v>
      </c>
    </row>
    <row r="34" spans="1:31" ht="54" customHeight="1">
      <c r="A34" s="6" t="s">
        <v>348</v>
      </c>
      <c r="B34" s="1">
        <v>5</v>
      </c>
      <c r="C34" s="1" t="s">
        <v>343</v>
      </c>
      <c r="D34" s="1" t="s">
        <v>47</v>
      </c>
      <c r="E34" s="1" t="s">
        <v>111</v>
      </c>
      <c r="G34" s="6" t="s">
        <v>349</v>
      </c>
      <c r="H34" t="s">
        <v>145</v>
      </c>
      <c r="I34" t="s">
        <v>368</v>
      </c>
      <c r="AD34" s="1">
        <v>1.63</v>
      </c>
      <c r="AE34" s="1" t="s">
        <v>331</v>
      </c>
    </row>
    <row r="35" spans="1:31" ht="54" customHeight="1">
      <c r="A35" s="6" t="s">
        <v>328</v>
      </c>
      <c r="B35" s="1">
        <v>4</v>
      </c>
      <c r="C35" s="1" t="s">
        <v>316</v>
      </c>
      <c r="D35" s="1" t="s">
        <v>47</v>
      </c>
      <c r="E35" s="1" t="s">
        <v>111</v>
      </c>
      <c r="G35" s="6" t="s">
        <v>329</v>
      </c>
      <c r="H35" t="s">
        <v>369</v>
      </c>
      <c r="I35" t="s">
        <v>361</v>
      </c>
      <c r="AD35" s="1">
        <v>1.634</v>
      </c>
      <c r="AE35" s="1" t="s">
        <v>331</v>
      </c>
    </row>
    <row r="36" spans="1:31" ht="54" customHeight="1">
      <c r="A36" s="6" t="s">
        <v>332</v>
      </c>
      <c r="B36" s="1">
        <v>4</v>
      </c>
      <c r="C36" s="1" t="s">
        <v>316</v>
      </c>
      <c r="D36" s="1" t="s">
        <v>47</v>
      </c>
      <c r="E36" s="1" t="s">
        <v>111</v>
      </c>
      <c r="G36" s="6" t="s">
        <v>333</v>
      </c>
      <c r="H36" t="s">
        <v>370</v>
      </c>
      <c r="I36" t="s">
        <v>361</v>
      </c>
      <c r="J36" s="2">
        <f>IF(COUNT('Turns'!D88)=1,SUM('Turns'!D88),"Unknown")</f>
        <v>3.0</v>
      </c>
      <c r="K36" s="2">
        <f>IF(COUNT('Turns'!E88)=1,SUM('Turns'!E88),"Unknown")</f>
        <v>5.2581e-07</v>
      </c>
      <c r="L36" s="2">
        <f>IF(COUNT('Turns'!F88)=1,SUM('Turns'!F88),"Unknown")</f>
        <v>6e-07</v>
      </c>
      <c r="M36" s="2">
        <f>IF(COUNT('Turns'!D87)=1,SUM('Turns'!D87),"Unknown")</f>
        <v>5146.0</v>
      </c>
      <c r="N36" s="2">
        <f>IF(COUNT('Turns'!E87)=1,SUM('Turns'!E87),"Unknown")</f>
        <v>9.0193942e-05</v>
      </c>
      <c r="O36" s="2">
        <f>IF(COUNT('Turns'!F87)=1,SUM('Turns'!F87),"Unknown")</f>
        <v>0.00010292</v>
      </c>
      <c r="P36" s="2">
        <f>IF(COUNT('Turns'!D90)=1,SUM('Turns'!D90),"Unknown")</f>
        <v>828.0</v>
      </c>
      <c r="Q36" s="2">
        <f>IF(COUNT('Turns'!E90)=1,SUM('Turns'!E90),"Unknown")</f>
        <v>0.00018140445</v>
      </c>
      <c r="R36" s="2">
        <f>IF(COUNT('Turns'!F90)=1,SUM('Turns'!F90),"Unknown")</f>
        <v>0.000207</v>
      </c>
      <c r="S36" s="2">
        <f>IF(COUNT('Turns'!D94)=1,SUM('Turns'!D94),"Unknown")</f>
        <v>31.0</v>
      </c>
      <c r="T36" s="2">
        <f>IF(COUNT('Turns'!E94)=1,SUM('Turns'!E94),"Unknown")</f>
        <v>3.260022e-05</v>
      </c>
      <c r="U36" s="2">
        <f>IF(COUNT('Turns'!F94)=1,SUM('Turns'!F94),"Unknown")</f>
        <v>3.72e-05</v>
      </c>
      <c r="V36" s="2">
        <f>IF(COUNT('Turns'!D93)=1,SUM('Turns'!D93),"Unknown")</f>
        <v>25.0</v>
      </c>
      <c r="W36" s="2">
        <f>IF(COUNT('Turns'!E93)=1,SUM('Turns'!E93),"Unknown")</f>
        <v>2.62905e-05</v>
      </c>
      <c r="X36" s="2">
        <f>IF(COUNT('Turns'!F93)=1,SUM('Turns'!F93),"Unknown")</f>
        <v>3e-05</v>
      </c>
      <c r="Y36" s="2">
        <f>IF(COUNT('Turns'!E98)=1,SUM('Turns'!E98),"Unknown")</f>
        <v>0.000331014922</v>
      </c>
      <c r="Z36" s="2">
        <f>IF(COUNT('Turns'!F98)=1,SUM('Turns'!F98),"Unknown")</f>
        <v>0.00037772</v>
      </c>
      <c r="AA36" s="5">
        <f>IF(ISNUMBER(Y36),ROUND(Y36*'Reference data'!$B$2,0),"Unknown")</f>
        <v>33.0</v>
      </c>
      <c r="AB36" s="5">
        <f>IF(ISNUMBER(Z36),ROUND(Z36*'Reference data'!$B$2,0),"Unknown")</f>
        <v>38.0</v>
      </c>
      <c r="AD36" s="1">
        <v>1733.357</v>
      </c>
      <c r="AE36" s="1" t="s">
        <v>318</v>
      </c>
    </row>
    <row r="37" spans="1:31" ht="54" customHeight="1">
      <c r="A37" s="6" t="s">
        <v>335</v>
      </c>
      <c r="B37" s="1">
        <v>5</v>
      </c>
      <c r="C37" s="1" t="s">
        <v>336</v>
      </c>
      <c r="D37" s="1" t="s">
        <v>95</v>
      </c>
      <c r="E37" s="1" t="s">
        <v>111</v>
      </c>
      <c r="F37" s="1">
        <v>5977</v>
      </c>
      <c r="G37" s="6" t="s">
        <v>337</v>
      </c>
      <c r="H37" t="s">
        <v>149</v>
      </c>
      <c r="I37" t="s">
        <v>370</v>
      </c>
      <c r="J37" s="2">
        <f>IF(COUNT('Turns'!D88)=1,SUM('Turns'!D88),"Unknown")</f>
        <v>3.0</v>
      </c>
      <c r="K37" s="2">
        <f>IF(COUNT('Turns'!E88)=1,SUM('Turns'!E88),"Unknown")</f>
        <v>5.2581e-07</v>
      </c>
      <c r="L37" s="2">
        <f>IF(COUNT('Turns'!F88)=1,SUM('Turns'!F88),"Unknown")</f>
        <v>6e-07</v>
      </c>
      <c r="M37" s="2">
        <f>IF(COUNT('Turns'!D87)=1,SUM('Turns'!D87),"Unknown")</f>
        <v>5146.0</v>
      </c>
      <c r="N37" s="2">
        <f>IF(COUNT('Turns'!E87)=1,SUM('Turns'!E87),"Unknown")</f>
        <v>9.0193942e-05</v>
      </c>
      <c r="O37" s="2">
        <f>IF(COUNT('Turns'!F87)=1,SUM('Turns'!F87),"Unknown")</f>
        <v>0.00010292</v>
      </c>
      <c r="P37" s="2">
        <f>IF(COUNT('Turns'!D90)=1,SUM('Turns'!D90),"Unknown")</f>
        <v>828.0</v>
      </c>
      <c r="Q37" s="2">
        <f>IF(COUNT('Turns'!E90)=1,SUM('Turns'!E90),"Unknown")</f>
        <v>0.00018140445</v>
      </c>
      <c r="R37" s="2">
        <f>IF(COUNT('Turns'!F90)=1,SUM('Turns'!F90),"Unknown")</f>
        <v>0.000207</v>
      </c>
      <c r="S37" s="2">
        <f>IF(COUNT('Turns'!D94)=1,SUM('Turns'!D94),"Unknown")</f>
        <v>31.0</v>
      </c>
      <c r="T37" s="2">
        <f>IF(COUNT('Turns'!E94)=1,SUM('Turns'!E94),"Unknown")</f>
        <v>3.260022e-05</v>
      </c>
      <c r="U37" s="2">
        <f>IF(COUNT('Turns'!F94)=1,SUM('Turns'!F94),"Unknown")</f>
        <v>3.72e-05</v>
      </c>
      <c r="V37" s="2">
        <f>IF(COUNT('Turns'!D93)=1,SUM('Turns'!D93),"Unknown")</f>
        <v>25.0</v>
      </c>
      <c r="W37" s="2">
        <f>IF(COUNT('Turns'!E93)=1,SUM('Turns'!E93),"Unknown")</f>
        <v>2.62905e-05</v>
      </c>
      <c r="X37" s="2">
        <f>IF(COUNT('Turns'!F93)=1,SUM('Turns'!F93),"Unknown")</f>
        <v>3e-05</v>
      </c>
      <c r="Y37" s="2">
        <f>IF(COUNT('Turns'!E98)=1,SUM('Turns'!E98),"Unknown")</f>
        <v>0.000331014922</v>
      </c>
      <c r="Z37" s="2">
        <f>IF(COUNT('Turns'!F98)=1,SUM('Turns'!F98),"Unknown")</f>
        <v>0.00037772</v>
      </c>
      <c r="AA37" s="5">
        <f>IF(ISNUMBER(Y37),ROUND(Y37*'Reference data'!$B$2,0),"Unknown")</f>
        <v>33.0</v>
      </c>
      <c r="AB37" s="5">
        <f>IF(ISNUMBER(Z37),ROUND(Z37*'Reference data'!$B$2,0),"Unknown")</f>
        <v>38.0</v>
      </c>
      <c r="AC37" s="1" t="s">
        <v>148</v>
      </c>
      <c r="AD37" s="1">
        <v>1727.805</v>
      </c>
      <c r="AE37" s="1" t="s">
        <v>338</v>
      </c>
    </row>
    <row r="38" spans="1:31" ht="54" customHeight="1">
      <c r="A38" s="6" t="s">
        <v>339</v>
      </c>
      <c r="B38" s="1">
        <v>4</v>
      </c>
      <c r="C38" s="1" t="s">
        <v>316</v>
      </c>
      <c r="D38" s="1" t="s">
        <v>47</v>
      </c>
      <c r="E38" s="1" t="s">
        <v>111</v>
      </c>
      <c r="G38" s="6" t="s">
        <v>340</v>
      </c>
      <c r="H38" t="s">
        <v>371</v>
      </c>
      <c r="I38" t="s">
        <v>361</v>
      </c>
      <c r="AD38" s="1">
        <v>6.345</v>
      </c>
      <c r="AE38" s="1" t="s">
        <v>331</v>
      </c>
    </row>
    <row r="39" spans="1:31" ht="54" customHeight="1">
      <c r="A39" s="6" t="s">
        <v>342</v>
      </c>
      <c r="B39" s="1">
        <v>5</v>
      </c>
      <c r="C39" s="1" t="s">
        <v>343</v>
      </c>
      <c r="D39" s="1" t="s">
        <v>47</v>
      </c>
      <c r="E39" s="1" t="s">
        <v>111</v>
      </c>
      <c r="G39" s="6" t="s">
        <v>344</v>
      </c>
      <c r="H39" t="s">
        <v>151</v>
      </c>
      <c r="I39" t="s">
        <v>371</v>
      </c>
      <c r="AD39" s="1">
        <v>3.595</v>
      </c>
      <c r="AE39" s="1" t="s">
        <v>331</v>
      </c>
    </row>
    <row r="40" spans="1:31" ht="54" customHeight="1">
      <c r="A40" s="6" t="s">
        <v>328</v>
      </c>
      <c r="B40" s="1">
        <v>4</v>
      </c>
      <c r="C40" s="1" t="s">
        <v>316</v>
      </c>
      <c r="D40" s="1" t="s">
        <v>47</v>
      </c>
      <c r="E40" s="1" t="s">
        <v>111</v>
      </c>
      <c r="G40" s="6" t="s">
        <v>329</v>
      </c>
      <c r="H40" t="s">
        <v>372</v>
      </c>
      <c r="I40" t="s">
        <v>361</v>
      </c>
      <c r="AD40" s="1">
        <v>1.92</v>
      </c>
      <c r="AE40" s="1" t="s">
        <v>331</v>
      </c>
    </row>
    <row r="41" spans="1:31" ht="54" customHeight="1">
      <c r="A41" s="6" t="s">
        <v>332</v>
      </c>
      <c r="B41" s="1">
        <v>4</v>
      </c>
      <c r="C41" s="1" t="s">
        <v>316</v>
      </c>
      <c r="D41" s="1" t="s">
        <v>47</v>
      </c>
      <c r="E41" s="1" t="s">
        <v>111</v>
      </c>
      <c r="G41" s="6" t="s">
        <v>333</v>
      </c>
      <c r="H41" t="s">
        <v>373</v>
      </c>
      <c r="I41" t="s">
        <v>361</v>
      </c>
      <c r="J41" s="2">
        <f>IF(COUNT('Turns'!D104)=1,SUM('Turns'!D104),"Unknown")</f>
        <v>3.0</v>
      </c>
      <c r="K41" s="2">
        <f>IF(COUNT('Turns'!E104)=1,SUM('Turns'!E104),"Unknown")</f>
        <v>5.2581e-07</v>
      </c>
      <c r="L41" s="2">
        <f>IF(COUNT('Turns'!F104)=1,SUM('Turns'!F104),"Unknown")</f>
        <v>6e-07</v>
      </c>
      <c r="M41" s="2">
        <f>IF(COUNT('Turns'!D103)=1,SUM('Turns'!D103),"Unknown")</f>
        <v>5974.0</v>
      </c>
      <c r="N41" s="2">
        <f>IF(COUNT('Turns'!E103)=1,SUM('Turns'!E103),"Unknown")</f>
        <v>0.000104706298</v>
      </c>
      <c r="O41" s="2">
        <f>IF(COUNT('Turns'!F103)=1,SUM('Turns'!F103),"Unknown")</f>
        <v>0.00011948</v>
      </c>
      <c r="P41" s="2">
        <f>IF(COUNT('Turns'!D106)=1,SUM('Turns'!D106),"Unknown")</f>
        <v>430.0</v>
      </c>
      <c r="Q41" s="2">
        <f>IF(COUNT('Turns'!E106)=1,SUM('Turns'!E106),"Unknown")</f>
        <v>9.4207625e-05</v>
      </c>
      <c r="R41" s="2">
        <f>IF(COUNT('Turns'!F106)=1,SUM('Turns'!F106),"Unknown")</f>
        <v>0.0001075</v>
      </c>
      <c r="S41" s="2">
        <f>IF(COUNT('Turns'!D110)=1,SUM('Turns'!D110),"Unknown")</f>
        <v>182.0</v>
      </c>
      <c r="T41" s="2">
        <f>IF(COUNT('Turns'!E110)=1,SUM('Turns'!E110),"Unknown")</f>
        <v>0.00019139484</v>
      </c>
      <c r="U41" s="2">
        <f>IF(COUNT('Turns'!F110)=1,SUM('Turns'!F110),"Unknown")</f>
        <v>0.0002184</v>
      </c>
      <c r="V41" s="2">
        <f>IF(COUNT('Turns'!D109)=1,SUM('Turns'!D109),"Unknown")</f>
        <v>45.0</v>
      </c>
      <c r="W41" s="2">
        <f>IF(COUNT('Turns'!E109)=1,SUM('Turns'!E109),"Unknown")</f>
        <v>4.73229e-05</v>
      </c>
      <c r="X41" s="2">
        <f>IF(COUNT('Turns'!F109)=1,SUM('Turns'!F109),"Unknown")</f>
        <v>5.4e-05</v>
      </c>
      <c r="Y41" s="2">
        <f>IF(COUNT('Turns'!E114)=1,SUM('Turns'!E114),"Unknown")</f>
        <v>0.000438157473</v>
      </c>
      <c r="Z41" s="2">
        <f>IF(COUNT('Turns'!F114)=1,SUM('Turns'!F114),"Unknown")</f>
        <v>0.00049998</v>
      </c>
      <c r="AA41" s="5">
        <f>IF(ISNUMBER(Y41),ROUND(Y41*'Reference data'!$B$2,0),"Unknown")</f>
        <v>44.0</v>
      </c>
      <c r="AB41" s="5">
        <f>IF(ISNUMBER(Z41),ROUND(Z41*'Reference data'!$B$2,0),"Unknown")</f>
        <v>50.0</v>
      </c>
      <c r="AD41" s="1">
        <v>3058.409</v>
      </c>
      <c r="AE41" s="1" t="s">
        <v>318</v>
      </c>
    </row>
    <row r="42" spans="1:31" ht="54" customHeight="1">
      <c r="A42" s="6" t="s">
        <v>335</v>
      </c>
      <c r="B42" s="1">
        <v>5</v>
      </c>
      <c r="C42" s="1" t="s">
        <v>336</v>
      </c>
      <c r="D42" s="1" t="s">
        <v>95</v>
      </c>
      <c r="E42" s="1" t="s">
        <v>111</v>
      </c>
      <c r="F42" s="1">
        <v>6407</v>
      </c>
      <c r="G42" s="6" t="s">
        <v>337</v>
      </c>
      <c r="H42" t="s">
        <v>154</v>
      </c>
      <c r="I42" t="s">
        <v>373</v>
      </c>
      <c r="J42" s="2">
        <f>IF(COUNT('Turns'!D104)=1,SUM('Turns'!D104),"Unknown")</f>
        <v>3.0</v>
      </c>
      <c r="K42" s="2">
        <f>IF(COUNT('Turns'!E104)=1,SUM('Turns'!E104),"Unknown")</f>
        <v>5.2581e-07</v>
      </c>
      <c r="L42" s="2">
        <f>IF(COUNT('Turns'!F104)=1,SUM('Turns'!F104),"Unknown")</f>
        <v>6e-07</v>
      </c>
      <c r="M42" s="2">
        <f>IF(COUNT('Turns'!D103)=1,SUM('Turns'!D103),"Unknown")</f>
        <v>5974.0</v>
      </c>
      <c r="N42" s="2">
        <f>IF(COUNT('Turns'!E103)=1,SUM('Turns'!E103),"Unknown")</f>
        <v>0.000104706298</v>
      </c>
      <c r="O42" s="2">
        <f>IF(COUNT('Turns'!F103)=1,SUM('Turns'!F103),"Unknown")</f>
        <v>0.00011948</v>
      </c>
      <c r="P42" s="2">
        <f>IF(COUNT('Turns'!D106)=1,SUM('Turns'!D106),"Unknown")</f>
        <v>430.0</v>
      </c>
      <c r="Q42" s="2">
        <f>IF(COUNT('Turns'!E106)=1,SUM('Turns'!E106),"Unknown")</f>
        <v>9.4207625e-05</v>
      </c>
      <c r="R42" s="2">
        <f>IF(COUNT('Turns'!F106)=1,SUM('Turns'!F106),"Unknown")</f>
        <v>0.0001075</v>
      </c>
      <c r="S42" s="2">
        <f>IF(COUNT('Turns'!D110)=1,SUM('Turns'!D110),"Unknown")</f>
        <v>182.0</v>
      </c>
      <c r="T42" s="2">
        <f>IF(COUNT('Turns'!E110)=1,SUM('Turns'!E110),"Unknown")</f>
        <v>0.00019139484</v>
      </c>
      <c r="U42" s="2">
        <f>IF(COUNT('Turns'!F110)=1,SUM('Turns'!F110),"Unknown")</f>
        <v>0.0002184</v>
      </c>
      <c r="V42" s="2">
        <f>IF(COUNT('Turns'!D109)=1,SUM('Turns'!D109),"Unknown")</f>
        <v>45.0</v>
      </c>
      <c r="W42" s="2">
        <f>IF(COUNT('Turns'!E109)=1,SUM('Turns'!E109),"Unknown")</f>
        <v>4.73229e-05</v>
      </c>
      <c r="X42" s="2">
        <f>IF(COUNT('Turns'!F109)=1,SUM('Turns'!F109),"Unknown")</f>
        <v>5.4e-05</v>
      </c>
      <c r="Y42" s="2">
        <f>IF(COUNT('Turns'!E114)=1,SUM('Turns'!E114),"Unknown")</f>
        <v>0.000438157473</v>
      </c>
      <c r="Z42" s="2">
        <f>IF(COUNT('Turns'!F114)=1,SUM('Turns'!F114),"Unknown")</f>
        <v>0.00049998</v>
      </c>
      <c r="AA42" s="5">
        <f>IF(ISNUMBER(Y42),ROUND(Y42*'Reference data'!$B$2,0),"Unknown")</f>
        <v>44.0</v>
      </c>
      <c r="AB42" s="5">
        <f>IF(ISNUMBER(Z42),ROUND(Z42*'Reference data'!$B$2,0),"Unknown")</f>
        <v>50.0</v>
      </c>
      <c r="AC42" s="1" t="s">
        <v>153</v>
      </c>
      <c r="AD42" s="1">
        <v>3052.754</v>
      </c>
      <c r="AE42" s="1" t="s">
        <v>338</v>
      </c>
    </row>
    <row r="43" spans="1:31" ht="54" customHeight="1">
      <c r="A43" s="6" t="s">
        <v>374</v>
      </c>
      <c r="B43" s="1">
        <v>1</v>
      </c>
      <c r="C43" s="1" t="s">
        <v>316</v>
      </c>
      <c r="D43" s="1" t="s">
        <v>47</v>
      </c>
      <c r="E43" s="1" t="s">
        <v>111</v>
      </c>
      <c r="G43" s="6" t="s">
        <v>375</v>
      </c>
      <c r="H43" t="s">
        <v>376</v>
      </c>
      <c r="I43" t="s">
        <v>49</v>
      </c>
      <c r="J43" s="2">
        <f>IF(COUNT('Turns'!D116,'Turns'!D136)=2,SUM('Turns'!D116,'Turns'!D136),"Unknown")</f>
        <v>6.0</v>
      </c>
      <c r="K43" s="2">
        <f>IF(COUNT('Turns'!E116,'Turns'!E136)=2,SUM('Turns'!E116,'Turns'!E136),"Unknown")</f>
        <v>1.05162e-06</v>
      </c>
      <c r="L43" s="2">
        <f>IF(COUNT('Turns'!F116,'Turns'!F136)=2,SUM('Turns'!F116,'Turns'!F136),"Unknown")</f>
        <v>1.2e-06</v>
      </c>
      <c r="M43" s="2">
        <f>IF(COUNT('Turns'!D135)=1,SUM('Turns'!D135),"Unknown")</f>
        <v>1418.0</v>
      </c>
      <c r="N43" s="2">
        <f>IF(COUNT('Turns'!E135)=1,SUM('Turns'!E135),"Unknown")</f>
        <v>2.4853286e-05</v>
      </c>
      <c r="O43" s="2">
        <f>IF(COUNT('Turns'!F135)=1,SUM('Turns'!F135),"Unknown")</f>
        <v>2.836e-05</v>
      </c>
      <c r="P43" s="2">
        <f>IF(COUNT('Turns'!D119,'Turns'!D138)=2,SUM('Turns'!D119,'Turns'!D138),"Unknown")</f>
        <v>2535.0</v>
      </c>
      <c r="Q43" s="2">
        <f>IF(COUNT('Turns'!E119,'Turns'!E138)=2,SUM('Turns'!E119,'Turns'!E138),"Unknown")</f>
        <v>0.0005553868125</v>
      </c>
      <c r="R43" s="2">
        <f>IF(COUNT('Turns'!F119,'Turns'!F138)=2,SUM('Turns'!F119,'Turns'!F138),"Unknown")</f>
        <v>0.00063375</v>
      </c>
      <c r="S43" s="2">
        <f>IF(COUNT('Turns'!D123,'Turns'!D142)=2,SUM('Turns'!D123,'Turns'!D142),"Unknown")</f>
        <v>268.0</v>
      </c>
      <c r="T43" s="2">
        <f>IF(COUNT('Turns'!E123,'Turns'!E142)=2,SUM('Turns'!E123,'Turns'!E142),"Unknown")</f>
        <v>0.00028183416</v>
      </c>
      <c r="U43" s="2">
        <f>IF(COUNT('Turns'!F123,'Turns'!F142)=2,SUM('Turns'!F123,'Turns'!F142),"Unknown")</f>
        <v>0.0003216</v>
      </c>
      <c r="V43" s="2">
        <f>IF(COUNT('Turns'!D122,'Turns'!D141)=2,SUM('Turns'!D122,'Turns'!D141),"Unknown")</f>
        <v>535.0</v>
      </c>
      <c r="W43" s="2">
        <f>IF(COUNT('Turns'!E122,'Turns'!E141)=2,SUM('Turns'!E122,'Turns'!E141),"Unknown")</f>
        <v>0.0005626167</v>
      </c>
      <c r="X43" s="2">
        <f>IF(COUNT('Turns'!F122,'Turns'!F141)=2,SUM('Turns'!F122,'Turns'!F141),"Unknown")</f>
        <v>0.000642</v>
      </c>
      <c r="Y43" s="2">
        <f>IF(COUNT('Turns'!E127,'Turns'!E146)=2,SUM('Turns'!E127,'Turns'!E146),"Unknown")</f>
        <v>0.0014257425785</v>
      </c>
      <c r="Z43" s="2">
        <f>IF(COUNT('Turns'!F127,'Turns'!F146)=2,SUM('Turns'!F127,'Turns'!F146),"Unknown")</f>
        <v>0.00162691</v>
      </c>
      <c r="AA43" s="5">
        <f>IF(ISNUMBER(Y43),ROUND(Y43*'Reference data'!$B$2,0),"Unknown")</f>
        <v>143.0</v>
      </c>
      <c r="AB43" s="5">
        <f>IF(ISNUMBER(Z43),ROUND(Z43*'Reference data'!$B$2,0),"Unknown")</f>
        <v>163.0</v>
      </c>
      <c r="AD43" s="1">
        <v>10511.99</v>
      </c>
      <c r="AE43" s="1" t="s">
        <v>318</v>
      </c>
    </row>
    <row r="44" spans="1:31" ht="54" customHeight="1">
      <c r="A44" s="6" t="s">
        <v>322</v>
      </c>
      <c r="B44" s="1">
        <v>2</v>
      </c>
      <c r="C44" s="1" t="s">
        <v>316</v>
      </c>
      <c r="D44" s="1" t="s">
        <v>47</v>
      </c>
      <c r="E44" s="1" t="s">
        <v>111</v>
      </c>
      <c r="G44" s="6" t="s">
        <v>323</v>
      </c>
      <c r="H44" t="s">
        <v>377</v>
      </c>
      <c r="I44" t="s">
        <v>376</v>
      </c>
      <c r="J44" s="2">
        <f>IF(COUNT('Turns'!D116,'Turns'!D136)=2,SUM('Turns'!D116,'Turns'!D136),"Unknown")</f>
        <v>6.0</v>
      </c>
      <c r="K44" s="2">
        <f>IF(COUNT('Turns'!E116,'Turns'!E136)=2,SUM('Turns'!E116,'Turns'!E136),"Unknown")</f>
        <v>1.05162e-06</v>
      </c>
      <c r="L44" s="2">
        <f>IF(COUNT('Turns'!F116,'Turns'!F136)=2,SUM('Turns'!F116,'Turns'!F136),"Unknown")</f>
        <v>1.2e-06</v>
      </c>
      <c r="M44" s="2">
        <f>IF(COUNT('Turns'!D135)=1,SUM('Turns'!D135),"Unknown")</f>
        <v>1418.0</v>
      </c>
      <c r="N44" s="2">
        <f>IF(COUNT('Turns'!E135)=1,SUM('Turns'!E135),"Unknown")</f>
        <v>2.4853286e-05</v>
      </c>
      <c r="O44" s="2">
        <f>IF(COUNT('Turns'!F135)=1,SUM('Turns'!F135),"Unknown")</f>
        <v>2.836e-05</v>
      </c>
      <c r="P44" s="2">
        <f>IF(COUNT('Turns'!D119,'Turns'!D138)=2,SUM('Turns'!D119,'Turns'!D138),"Unknown")</f>
        <v>2535.0</v>
      </c>
      <c r="Q44" s="2">
        <f>IF(COUNT('Turns'!E119,'Turns'!E138)=2,SUM('Turns'!E119,'Turns'!E138),"Unknown")</f>
        <v>0.0005553868125</v>
      </c>
      <c r="R44" s="2">
        <f>IF(COUNT('Turns'!F119,'Turns'!F138)=2,SUM('Turns'!F119,'Turns'!F138),"Unknown")</f>
        <v>0.00063375</v>
      </c>
      <c r="S44" s="2">
        <f>IF(COUNT('Turns'!D123,'Turns'!D142)=2,SUM('Turns'!D123,'Turns'!D142),"Unknown")</f>
        <v>268.0</v>
      </c>
      <c r="T44" s="2">
        <f>IF(COUNT('Turns'!E123,'Turns'!E142)=2,SUM('Turns'!E123,'Turns'!E142),"Unknown")</f>
        <v>0.00028183416</v>
      </c>
      <c r="U44" s="2">
        <f>IF(COUNT('Turns'!F123,'Turns'!F142)=2,SUM('Turns'!F123,'Turns'!F142),"Unknown")</f>
        <v>0.0003216</v>
      </c>
      <c r="V44" s="2">
        <f>IF(COUNT('Turns'!D122,'Turns'!D141)=2,SUM('Turns'!D122,'Turns'!D141),"Unknown")</f>
        <v>535.0</v>
      </c>
      <c r="W44" s="2">
        <f>IF(COUNT('Turns'!E122,'Turns'!E141)=2,SUM('Turns'!E122,'Turns'!E141),"Unknown")</f>
        <v>0.0005626167</v>
      </c>
      <c r="X44" s="2">
        <f>IF(COUNT('Turns'!F122,'Turns'!F141)=2,SUM('Turns'!F122,'Turns'!F141),"Unknown")</f>
        <v>0.000642</v>
      </c>
      <c r="Y44" s="2">
        <f>IF(COUNT('Turns'!E127,'Turns'!E146)=2,SUM('Turns'!E127,'Turns'!E146),"Unknown")</f>
        <v>0.0014257425785</v>
      </c>
      <c r="Z44" s="2">
        <f>IF(COUNT('Turns'!F127,'Turns'!F146)=2,SUM('Turns'!F127,'Turns'!F146),"Unknown")</f>
        <v>0.00162691</v>
      </c>
      <c r="AA44" s="5">
        <f>IF(ISNUMBER(Y44),ROUND(Y44*'Reference data'!$B$2,0),"Unknown")</f>
        <v>143.0</v>
      </c>
      <c r="AB44" s="5">
        <f>IF(ISNUMBER(Z44),ROUND(Z44*'Reference data'!$B$2,0),"Unknown")</f>
        <v>163.0</v>
      </c>
      <c r="AD44" s="1">
        <v>10509.018</v>
      </c>
      <c r="AE44" s="1" t="s">
        <v>318</v>
      </c>
    </row>
    <row r="45" spans="1:31" ht="54" customHeight="1">
      <c r="A45" s="6" t="s">
        <v>378</v>
      </c>
      <c r="B45" s="1">
        <v>3</v>
      </c>
      <c r="C45" s="1" t="s">
        <v>316</v>
      </c>
      <c r="D45" s="1" t="s">
        <v>47</v>
      </c>
      <c r="E45" s="1" t="s">
        <v>111</v>
      </c>
      <c r="G45" s="6" t="s">
        <v>379</v>
      </c>
      <c r="H45" t="s">
        <v>380</v>
      </c>
      <c r="I45" t="s">
        <v>377</v>
      </c>
      <c r="J45" s="2">
        <f>IF(COUNT('Turns'!D116,'Turns'!D136)=2,SUM('Turns'!D116,'Turns'!D136),"Unknown")</f>
        <v>6.0</v>
      </c>
      <c r="K45" s="2">
        <f>IF(COUNT('Turns'!E116,'Turns'!E136)=2,SUM('Turns'!E116,'Turns'!E136),"Unknown")</f>
        <v>1.05162e-06</v>
      </c>
      <c r="L45" s="2">
        <f>IF(COUNT('Turns'!F116,'Turns'!F136)=2,SUM('Turns'!F116,'Turns'!F136),"Unknown")</f>
        <v>1.2e-06</v>
      </c>
      <c r="M45" s="2">
        <f>IF(COUNT('Turns'!D135)=1,SUM('Turns'!D135),"Unknown")</f>
        <v>1418.0</v>
      </c>
      <c r="N45" s="2">
        <f>IF(COUNT('Turns'!E135)=1,SUM('Turns'!E135),"Unknown")</f>
        <v>2.4853286e-05</v>
      </c>
      <c r="O45" s="2">
        <f>IF(COUNT('Turns'!F135)=1,SUM('Turns'!F135),"Unknown")</f>
        <v>2.836e-05</v>
      </c>
      <c r="P45" s="2">
        <f>IF(COUNT('Turns'!D119,'Turns'!D138)=2,SUM('Turns'!D119,'Turns'!D138),"Unknown")</f>
        <v>2535.0</v>
      </c>
      <c r="Q45" s="2">
        <f>IF(COUNT('Turns'!E119,'Turns'!E138)=2,SUM('Turns'!E119,'Turns'!E138),"Unknown")</f>
        <v>0.0005553868125</v>
      </c>
      <c r="R45" s="2">
        <f>IF(COUNT('Turns'!F119,'Turns'!F138)=2,SUM('Turns'!F119,'Turns'!F138),"Unknown")</f>
        <v>0.00063375</v>
      </c>
      <c r="S45" s="2">
        <f>IF(COUNT('Turns'!D123,'Turns'!D142)=2,SUM('Turns'!D123,'Turns'!D142),"Unknown")</f>
        <v>268.0</v>
      </c>
      <c r="T45" s="2">
        <f>IF(COUNT('Turns'!E123,'Turns'!E142)=2,SUM('Turns'!E123,'Turns'!E142),"Unknown")</f>
        <v>0.00028183416</v>
      </c>
      <c r="U45" s="2">
        <f>IF(COUNT('Turns'!F123,'Turns'!F142)=2,SUM('Turns'!F123,'Turns'!F142),"Unknown")</f>
        <v>0.0003216</v>
      </c>
      <c r="V45" s="2">
        <f>IF(COUNT('Turns'!D122,'Turns'!D141)=2,SUM('Turns'!D122,'Turns'!D141),"Unknown")</f>
        <v>535.0</v>
      </c>
      <c r="W45" s="2">
        <f>IF(COUNT('Turns'!E122,'Turns'!E141)=2,SUM('Turns'!E122,'Turns'!E141),"Unknown")</f>
        <v>0.0005626167</v>
      </c>
      <c r="X45" s="2">
        <f>IF(COUNT('Turns'!F122,'Turns'!F141)=2,SUM('Turns'!F122,'Turns'!F141),"Unknown")</f>
        <v>0.000642</v>
      </c>
      <c r="Y45" s="2">
        <f>IF(COUNT('Turns'!E127,'Turns'!E146)=2,SUM('Turns'!E127,'Turns'!E146),"Unknown")</f>
        <v>0.0014257425785</v>
      </c>
      <c r="Z45" s="2">
        <f>IF(COUNT('Turns'!F127,'Turns'!F146)=2,SUM('Turns'!F127,'Turns'!F146),"Unknown")</f>
        <v>0.00162691</v>
      </c>
      <c r="AA45" s="5">
        <f>IF(ISNUMBER(Y45),ROUND(Y45*'Reference data'!$B$2,0),"Unknown")</f>
        <v>143.0</v>
      </c>
      <c r="AB45" s="5">
        <f>IF(ISNUMBER(Z45),ROUND(Z45*'Reference data'!$B$2,0),"Unknown")</f>
        <v>163.0</v>
      </c>
      <c r="AD45" s="1">
        <v>10507.117</v>
      </c>
      <c r="AE45" s="1" t="s">
        <v>318</v>
      </c>
    </row>
    <row r="46" spans="1:31" ht="54" customHeight="1">
      <c r="A46" s="6" t="s">
        <v>332</v>
      </c>
      <c r="B46" s="1">
        <v>4</v>
      </c>
      <c r="C46" s="1" t="s">
        <v>316</v>
      </c>
      <c r="D46" s="1" t="s">
        <v>47</v>
      </c>
      <c r="E46" s="1" t="s">
        <v>111</v>
      </c>
      <c r="G46" s="6" t="s">
        <v>333</v>
      </c>
      <c r="H46" t="s">
        <v>381</v>
      </c>
      <c r="I46" t="s">
        <v>380</v>
      </c>
      <c r="J46" s="2">
        <f>IF(COUNT('Turns'!D116)=1,SUM('Turns'!D116),"Unknown")</f>
        <v>3.0</v>
      </c>
      <c r="K46" s="2">
        <f>IF(COUNT('Turns'!E116)=1,SUM('Turns'!E116),"Unknown")</f>
        <v>5.2581e-07</v>
      </c>
      <c r="L46" s="2">
        <f>IF(COUNT('Turns'!F116)=1,SUM('Turns'!F116),"Unknown")</f>
        <v>6e-07</v>
      </c>
      <c r="M46" s="2">
        <v>0</v>
      </c>
      <c r="N46" s="2">
        <v>0</v>
      </c>
      <c r="O46" s="2">
        <v>0</v>
      </c>
      <c r="P46" s="2">
        <f>IF(COUNT('Turns'!D119)=1,SUM('Turns'!D119),"Unknown")</f>
        <v>1418.0</v>
      </c>
      <c r="Q46" s="2">
        <f>IF(COUNT('Turns'!E119)=1,SUM('Turns'!E119),"Unknown")</f>
        <v>0.000310666075</v>
      </c>
      <c r="R46" s="2">
        <f>IF(COUNT('Turns'!F119)=1,SUM('Turns'!F119),"Unknown")</f>
        <v>0.0003545</v>
      </c>
      <c r="S46" s="2">
        <f>IF(COUNT('Turns'!D123)=1,SUM('Turns'!D123),"Unknown")</f>
        <v>72.0</v>
      </c>
      <c r="T46" s="2">
        <f>IF(COUNT('Turns'!E123)=1,SUM('Turns'!E123),"Unknown")</f>
        <v>7.571664e-05</v>
      </c>
      <c r="U46" s="2">
        <f>IF(COUNT('Turns'!F123)=1,SUM('Turns'!F123),"Unknown")</f>
        <v>8.64e-05</v>
      </c>
      <c r="V46" s="2">
        <f>IF(COUNT('Turns'!D122)=1,SUM('Turns'!D122),"Unknown")</f>
        <v>19.0</v>
      </c>
      <c r="W46" s="2">
        <f>IF(COUNT('Turns'!E122)=1,SUM('Turns'!E122),"Unknown")</f>
        <v>1.998078e-05</v>
      </c>
      <c r="X46" s="2">
        <f>IF(COUNT('Turns'!F122)=1,SUM('Turns'!F122),"Unknown")</f>
        <v>2.28e-05</v>
      </c>
      <c r="Y46" s="2">
        <f>IF(COUNT('Turns'!E127)=1,SUM('Turns'!E127),"Unknown")</f>
        <v>0.000406889305</v>
      </c>
      <c r="Z46" s="2">
        <f>IF(COUNT('Turns'!F127)=1,SUM('Turns'!F127),"Unknown")</f>
        <v>0.0004643</v>
      </c>
      <c r="AA46" s="5">
        <f>IF(ISNUMBER(Y46),ROUND(Y46*'Reference data'!$B$2,0),"Unknown")</f>
        <v>41.0</v>
      </c>
      <c r="AB46" s="5">
        <f>IF(ISNUMBER(Z46),ROUND(Z46*'Reference data'!$B$2,0),"Unknown")</f>
        <v>46.0</v>
      </c>
      <c r="AD46" s="1">
        <v>1485.829</v>
      </c>
      <c r="AE46" s="1" t="s">
        <v>318</v>
      </c>
    </row>
    <row r="47" spans="1:31" ht="54" customHeight="1">
      <c r="A47" s="6" t="s">
        <v>335</v>
      </c>
      <c r="B47" s="1">
        <v>5</v>
      </c>
      <c r="C47" s="1" t="s">
        <v>336</v>
      </c>
      <c r="D47" s="1" t="s">
        <v>95</v>
      </c>
      <c r="E47" s="1" t="s">
        <v>111</v>
      </c>
      <c r="F47" s="1">
        <v>1421</v>
      </c>
      <c r="G47" s="6" t="s">
        <v>337</v>
      </c>
      <c r="H47" t="s">
        <v>157</v>
      </c>
      <c r="I47" t="s">
        <v>381</v>
      </c>
      <c r="J47" s="2">
        <f>IF(COUNT('Turns'!D116)=1,SUM('Turns'!D116),"Unknown")</f>
        <v>3.0</v>
      </c>
      <c r="K47" s="2">
        <f>IF(COUNT('Turns'!E116)=1,SUM('Turns'!E116),"Unknown")</f>
        <v>5.2581e-07</v>
      </c>
      <c r="L47" s="2">
        <f>IF(COUNT('Turns'!F116)=1,SUM('Turns'!F116),"Unknown")</f>
        <v>6e-07</v>
      </c>
      <c r="M47" s="2">
        <v>0</v>
      </c>
      <c r="N47" s="2">
        <v>0</v>
      </c>
      <c r="O47" s="2">
        <v>0</v>
      </c>
      <c r="P47" s="2">
        <f>IF(COUNT('Turns'!D119)=1,SUM('Turns'!D119),"Unknown")</f>
        <v>1418.0</v>
      </c>
      <c r="Q47" s="2">
        <f>IF(COUNT('Turns'!E119)=1,SUM('Turns'!E119),"Unknown")</f>
        <v>0.000310666075</v>
      </c>
      <c r="R47" s="2">
        <f>IF(COUNT('Turns'!F119)=1,SUM('Turns'!F119),"Unknown")</f>
        <v>0.0003545</v>
      </c>
      <c r="S47" s="2">
        <f>IF(COUNT('Turns'!D123)=1,SUM('Turns'!D123),"Unknown")</f>
        <v>72.0</v>
      </c>
      <c r="T47" s="2">
        <f>IF(COUNT('Turns'!E123)=1,SUM('Turns'!E123),"Unknown")</f>
        <v>7.571664e-05</v>
      </c>
      <c r="U47" s="2">
        <f>IF(COUNT('Turns'!F123)=1,SUM('Turns'!F123),"Unknown")</f>
        <v>8.64e-05</v>
      </c>
      <c r="V47" s="2">
        <f>IF(COUNT('Turns'!D122)=1,SUM('Turns'!D122),"Unknown")</f>
        <v>19.0</v>
      </c>
      <c r="W47" s="2">
        <f>IF(COUNT('Turns'!E122)=1,SUM('Turns'!E122),"Unknown")</f>
        <v>1.998078e-05</v>
      </c>
      <c r="X47" s="2">
        <f>IF(COUNT('Turns'!F122)=1,SUM('Turns'!F122),"Unknown")</f>
        <v>2.28e-05</v>
      </c>
      <c r="Y47" s="2">
        <f>IF(COUNT('Turns'!E127)=1,SUM('Turns'!E127),"Unknown")</f>
        <v>0.000406889305</v>
      </c>
      <c r="Z47" s="2">
        <f>IF(COUNT('Turns'!F127)=1,SUM('Turns'!F127),"Unknown")</f>
        <v>0.0004643</v>
      </c>
      <c r="AA47" s="5">
        <f>IF(ISNUMBER(Y47),ROUND(Y47*'Reference data'!$B$2,0),"Unknown")</f>
        <v>41.0</v>
      </c>
      <c r="AB47" s="5">
        <f>IF(ISNUMBER(Z47),ROUND(Z47*'Reference data'!$B$2,0),"Unknown")</f>
        <v>46.0</v>
      </c>
      <c r="AC47" s="1" t="s">
        <v>156</v>
      </c>
      <c r="AD47" s="1">
        <v>1480.409</v>
      </c>
      <c r="AE47" s="1" t="s">
        <v>338</v>
      </c>
    </row>
    <row r="48" spans="1:31" ht="54" customHeight="1">
      <c r="A48" s="6" t="s">
        <v>339</v>
      </c>
      <c r="B48" s="1">
        <v>4</v>
      </c>
      <c r="C48" s="1" t="s">
        <v>316</v>
      </c>
      <c r="D48" s="1" t="s">
        <v>47</v>
      </c>
      <c r="E48" s="1" t="s">
        <v>111</v>
      </c>
      <c r="G48" s="6" t="s">
        <v>340</v>
      </c>
      <c r="H48" t="s">
        <v>382</v>
      </c>
      <c r="I48" t="s">
        <v>380</v>
      </c>
      <c r="AD48" s="1">
        <v>8.176</v>
      </c>
      <c r="AE48" s="1" t="s">
        <v>331</v>
      </c>
    </row>
    <row r="49" spans="1:31" ht="54" customHeight="1">
      <c r="A49" s="6" t="s">
        <v>342</v>
      </c>
      <c r="B49" s="1">
        <v>5</v>
      </c>
      <c r="C49" s="1" t="s">
        <v>343</v>
      </c>
      <c r="D49" s="1" t="s">
        <v>47</v>
      </c>
      <c r="E49" s="1" t="s">
        <v>111</v>
      </c>
      <c r="G49" s="6" t="s">
        <v>344</v>
      </c>
      <c r="H49" t="s">
        <v>160</v>
      </c>
      <c r="I49" t="s">
        <v>382</v>
      </c>
      <c r="AD49" s="1">
        <v>3.731</v>
      </c>
      <c r="AE49" s="1" t="s">
        <v>331</v>
      </c>
    </row>
    <row r="50" spans="1:31" ht="54" customHeight="1">
      <c r="A50" s="6" t="s">
        <v>339</v>
      </c>
      <c r="B50" s="1">
        <v>4</v>
      </c>
      <c r="C50" s="1" t="s">
        <v>316</v>
      </c>
      <c r="D50" s="1" t="s">
        <v>47</v>
      </c>
      <c r="E50" s="1" t="s">
        <v>111</v>
      </c>
      <c r="G50" s="6" t="s">
        <v>340</v>
      </c>
      <c r="H50" t="s">
        <v>383</v>
      </c>
      <c r="I50" t="s">
        <v>380</v>
      </c>
      <c r="AD50" s="1">
        <v>7.539</v>
      </c>
      <c r="AE50" s="1" t="s">
        <v>331</v>
      </c>
    </row>
    <row r="51" spans="1:31" ht="54" customHeight="1">
      <c r="A51" s="6" t="s">
        <v>342</v>
      </c>
      <c r="B51" s="1">
        <v>5</v>
      </c>
      <c r="C51" s="1" t="s">
        <v>343</v>
      </c>
      <c r="D51" s="1" t="s">
        <v>47</v>
      </c>
      <c r="E51" s="1" t="s">
        <v>111</v>
      </c>
      <c r="G51" s="6" t="s">
        <v>344</v>
      </c>
      <c r="H51" t="s">
        <v>161</v>
      </c>
      <c r="I51" t="s">
        <v>383</v>
      </c>
      <c r="AD51" s="1">
        <v>2.225</v>
      </c>
      <c r="AE51" s="1" t="s">
        <v>331</v>
      </c>
    </row>
    <row r="52" spans="1:31" ht="54" customHeight="1">
      <c r="A52" s="6" t="s">
        <v>332</v>
      </c>
      <c r="B52" s="1">
        <v>4</v>
      </c>
      <c r="C52" s="1" t="s">
        <v>316</v>
      </c>
      <c r="D52" s="1" t="s">
        <v>47</v>
      </c>
      <c r="E52" s="1" t="s">
        <v>111</v>
      </c>
      <c r="G52" s="6" t="s">
        <v>333</v>
      </c>
      <c r="H52" t="s">
        <v>384</v>
      </c>
      <c r="I52" t="s">
        <v>380</v>
      </c>
      <c r="J52" s="2">
        <f>IF(COUNT('Turns'!D136)=1,SUM('Turns'!D136),"Unknown")</f>
        <v>3.0</v>
      </c>
      <c r="K52" s="2">
        <f>IF(COUNT('Turns'!E136)=1,SUM('Turns'!E136),"Unknown")</f>
        <v>5.2581e-07</v>
      </c>
      <c r="L52" s="2">
        <f>IF(COUNT('Turns'!F136)=1,SUM('Turns'!F136),"Unknown")</f>
        <v>6e-07</v>
      </c>
      <c r="M52" s="2">
        <f>IF(COUNT('Turns'!D135)=1,SUM('Turns'!D135),"Unknown")</f>
        <v>1418.0</v>
      </c>
      <c r="N52" s="2">
        <f>IF(COUNT('Turns'!E135)=1,SUM('Turns'!E135),"Unknown")</f>
        <v>2.4853286e-05</v>
      </c>
      <c r="O52" s="2">
        <f>IF(COUNT('Turns'!F135)=1,SUM('Turns'!F135),"Unknown")</f>
        <v>2.836e-05</v>
      </c>
      <c r="P52" s="2">
        <f>IF(COUNT('Turns'!D138)=1,SUM('Turns'!D138),"Unknown")</f>
        <v>1117.0</v>
      </c>
      <c r="Q52" s="2">
        <f>IF(COUNT('Turns'!E138)=1,SUM('Turns'!E138),"Unknown")</f>
        <v>0.0002447207375</v>
      </c>
      <c r="R52" s="2">
        <f>IF(COUNT('Turns'!F138)=1,SUM('Turns'!F138),"Unknown")</f>
        <v>0.00027925</v>
      </c>
      <c r="S52" s="2">
        <f>IF(COUNT('Turns'!D142)=1,SUM('Turns'!D142),"Unknown")</f>
        <v>196.0</v>
      </c>
      <c r="T52" s="2">
        <f>IF(COUNT('Turns'!E142)=1,SUM('Turns'!E142),"Unknown")</f>
        <v>0.00020611752</v>
      </c>
      <c r="U52" s="2">
        <f>IF(COUNT('Turns'!F142)=1,SUM('Turns'!F142),"Unknown")</f>
        <v>0.0002352</v>
      </c>
      <c r="V52" s="2">
        <f>IF(COUNT('Turns'!D141)=1,SUM('Turns'!D141),"Unknown")</f>
        <v>516.0</v>
      </c>
      <c r="W52" s="2">
        <f>IF(COUNT('Turns'!E141)=1,SUM('Turns'!E141),"Unknown")</f>
        <v>0.00054263592</v>
      </c>
      <c r="X52" s="2">
        <f>IF(COUNT('Turns'!F141)=1,SUM('Turns'!F141),"Unknown")</f>
        <v>0.0006192</v>
      </c>
      <c r="Y52" s="2">
        <f>IF(COUNT('Turns'!E146)=1,SUM('Turns'!E146),"Unknown")</f>
        <v>0.0010188532735</v>
      </c>
      <c r="Z52" s="2">
        <f>IF(COUNT('Turns'!F146)=1,SUM('Turns'!F146),"Unknown")</f>
        <v>0.00116261</v>
      </c>
      <c r="AA52" s="5">
        <f>IF(ISNUMBER(Y52),ROUND(Y52*'Reference data'!$B$2,0),"Unknown")</f>
        <v>102.0</v>
      </c>
      <c r="AB52" s="5">
        <f>IF(ISNUMBER(Z52),ROUND(Z52*'Reference data'!$B$2,0),"Unknown")</f>
        <v>116.0</v>
      </c>
      <c r="AD52" s="1">
        <v>9005.794</v>
      </c>
      <c r="AE52" s="1" t="s">
        <v>318</v>
      </c>
    </row>
    <row r="53" spans="1:31" ht="54" customHeight="1">
      <c r="A53" s="6" t="s">
        <v>335</v>
      </c>
      <c r="B53" s="1">
        <v>5</v>
      </c>
      <c r="C53" s="1" t="s">
        <v>336</v>
      </c>
      <c r="D53" s="1" t="s">
        <v>95</v>
      </c>
      <c r="E53" s="1" t="s">
        <v>111</v>
      </c>
      <c r="F53" s="1">
        <v>2538</v>
      </c>
      <c r="G53" s="6" t="s">
        <v>337</v>
      </c>
      <c r="H53" t="s">
        <v>164</v>
      </c>
      <c r="I53" t="s">
        <v>384</v>
      </c>
      <c r="J53" s="2">
        <f>IF(COUNT('Turns'!D136)=1,SUM('Turns'!D136),"Unknown")</f>
        <v>3.0</v>
      </c>
      <c r="K53" s="2">
        <f>IF(COUNT('Turns'!E136)=1,SUM('Turns'!E136),"Unknown")</f>
        <v>5.2581e-07</v>
      </c>
      <c r="L53" s="2">
        <f>IF(COUNT('Turns'!F136)=1,SUM('Turns'!F136),"Unknown")</f>
        <v>6e-07</v>
      </c>
      <c r="M53" s="2">
        <f>IF(COUNT('Turns'!D135)=1,SUM('Turns'!D135),"Unknown")</f>
        <v>1418.0</v>
      </c>
      <c r="N53" s="2">
        <f>IF(COUNT('Turns'!E135)=1,SUM('Turns'!E135),"Unknown")</f>
        <v>2.4853286e-05</v>
      </c>
      <c r="O53" s="2">
        <f>IF(COUNT('Turns'!F135)=1,SUM('Turns'!F135),"Unknown")</f>
        <v>2.836e-05</v>
      </c>
      <c r="P53" s="2">
        <f>IF(COUNT('Turns'!D138)=1,SUM('Turns'!D138),"Unknown")</f>
        <v>1117.0</v>
      </c>
      <c r="Q53" s="2">
        <f>IF(COUNT('Turns'!E138)=1,SUM('Turns'!E138),"Unknown")</f>
        <v>0.0002447207375</v>
      </c>
      <c r="R53" s="2">
        <f>IF(COUNT('Turns'!F138)=1,SUM('Turns'!F138),"Unknown")</f>
        <v>0.00027925</v>
      </c>
      <c r="S53" s="2">
        <f>IF(COUNT('Turns'!D142)=1,SUM('Turns'!D142),"Unknown")</f>
        <v>196.0</v>
      </c>
      <c r="T53" s="2">
        <f>IF(COUNT('Turns'!E142)=1,SUM('Turns'!E142),"Unknown")</f>
        <v>0.00020611752</v>
      </c>
      <c r="U53" s="2">
        <f>IF(COUNT('Turns'!F142)=1,SUM('Turns'!F142),"Unknown")</f>
        <v>0.0002352</v>
      </c>
      <c r="V53" s="2">
        <f>IF(COUNT('Turns'!D141)=1,SUM('Turns'!D141),"Unknown")</f>
        <v>516.0</v>
      </c>
      <c r="W53" s="2">
        <f>IF(COUNT('Turns'!E141)=1,SUM('Turns'!E141),"Unknown")</f>
        <v>0.00054263592</v>
      </c>
      <c r="X53" s="2">
        <f>IF(COUNT('Turns'!F141)=1,SUM('Turns'!F141),"Unknown")</f>
        <v>0.0006192</v>
      </c>
      <c r="Y53" s="2">
        <f>IF(COUNT('Turns'!E146)=1,SUM('Turns'!E146),"Unknown")</f>
        <v>0.0010188532735</v>
      </c>
      <c r="Z53" s="2">
        <f>IF(COUNT('Turns'!F146)=1,SUM('Turns'!F146),"Unknown")</f>
        <v>0.00116261</v>
      </c>
      <c r="AA53" s="5">
        <f>IF(ISNUMBER(Y53),ROUND(Y53*'Reference data'!$B$2,0),"Unknown")</f>
        <v>102.0</v>
      </c>
      <c r="AB53" s="5">
        <f>IF(ISNUMBER(Z53),ROUND(Z53*'Reference data'!$B$2,0),"Unknown")</f>
        <v>116.0</v>
      </c>
      <c r="AC53" s="1" t="s">
        <v>163</v>
      </c>
      <c r="AD53" s="1">
        <v>9000.865</v>
      </c>
      <c r="AE53" s="1" t="s">
        <v>338</v>
      </c>
    </row>
    <row r="54" spans="1:31" ht="54" customHeight="1">
      <c r="A54" s="6" t="s">
        <v>385</v>
      </c>
      <c r="B54" s="1">
        <v>2</v>
      </c>
      <c r="C54" s="1" t="s">
        <v>316</v>
      </c>
      <c r="D54" s="1" t="s">
        <v>47</v>
      </c>
      <c r="E54" s="1" t="s">
        <v>111</v>
      </c>
      <c r="G54" s="6" t="s">
        <v>386</v>
      </c>
      <c r="H54" t="s">
        <v>387</v>
      </c>
      <c r="I54" t="s">
        <v>376</v>
      </c>
      <c r="AD54" s="1">
        <v>0.584</v>
      </c>
      <c r="AE54" s="1" t="s">
        <v>331</v>
      </c>
    </row>
    <row r="55" spans="1:31" ht="54" customHeight="1">
      <c r="A55" s="6" t="s">
        <v>388</v>
      </c>
      <c r="B55" s="1">
        <v>1</v>
      </c>
      <c r="C55" s="1" t="s">
        <v>316</v>
      </c>
      <c r="D55" s="1" t="s">
        <v>47</v>
      </c>
      <c r="E55" s="1" t="s">
        <v>111</v>
      </c>
      <c r="G55" s="6" t="s">
        <v>389</v>
      </c>
      <c r="H55" t="s">
        <v>390</v>
      </c>
      <c r="I55" t="s">
        <v>49</v>
      </c>
      <c r="J55" s="2">
        <f>IF(COUNT('Turns'!D148,'Turns'!D166,'Turns'!D181,'Turns'!D195)=4,SUM('Turns'!D148,'Turns'!D166,'Turns'!D181,'Turns'!D195),"Unknown")</f>
        <v>12.0</v>
      </c>
      <c r="K55" s="2">
        <f>IF(COUNT('Turns'!E148,'Turns'!E166,'Turns'!E181,'Turns'!E195)=4,SUM('Turns'!E148,'Turns'!E166,'Turns'!E181,'Turns'!E195),"Unknown")</f>
        <v>2.10324e-06</v>
      </c>
      <c r="L55" s="2">
        <f>IF(COUNT('Turns'!F148,'Turns'!F166,'Turns'!F181,'Turns'!F195)=4,SUM('Turns'!F148,'Turns'!F166,'Turns'!F181,'Turns'!F195),"Unknown")</f>
        <v>2.4e-06</v>
      </c>
      <c r="M55" s="2">
        <f>IF(COUNT('Turns'!D165,'Turns'!D194)=2,SUM('Turns'!D165,'Turns'!D194),"Unknown")</f>
        <v>9857.0</v>
      </c>
      <c r="N55" s="2">
        <f>IF(COUNT('Turns'!E165,'Turns'!E194)=2,SUM('Turns'!E165,'Turns'!E194),"Unknown")</f>
        <v>0.000172763639</v>
      </c>
      <c r="O55" s="2">
        <f>IF(COUNT('Turns'!F165,'Turns'!F194)=2,SUM('Turns'!F165,'Turns'!F194),"Unknown")</f>
        <v>0.00019714</v>
      </c>
      <c r="P55" s="2">
        <f>IF(COUNT('Turns'!D152,'Turns'!D168,'Turns'!D184,'Turns'!D197)=4,SUM('Turns'!D152,'Turns'!D168,'Turns'!D184,'Turns'!D197),"Unknown")</f>
        <v>14639.0</v>
      </c>
      <c r="Q55" s="2">
        <f>IF(COUNT('Turns'!E152,'Turns'!E168,'Turns'!E184,'Turns'!E197)=4,SUM('Turns'!E152,'Turns'!E168,'Turns'!E184,'Turns'!E197),"Unknown")</f>
        <v>0.0032072219125</v>
      </c>
      <c r="R55" s="2">
        <f>IF(COUNT('Turns'!F152,'Turns'!F168,'Turns'!F184,'Turns'!F197)=4,SUM('Turns'!F152,'Turns'!F168,'Turns'!F184,'Turns'!F197),"Unknown")</f>
        <v>0.00365975</v>
      </c>
      <c r="S55" s="2">
        <f>IF(COUNT('Turns'!D156,'Turns'!D172,'Turns'!D188,'Turns'!D201)=4,SUM('Turns'!D156,'Turns'!D172,'Turns'!D188,'Turns'!D201),"Unknown")</f>
        <v>929.0</v>
      </c>
      <c r="T55" s="2">
        <f>IF(COUNT('Turns'!E156,'Turns'!E172,'Turns'!E188,'Turns'!E201)=4,SUM('Turns'!E156,'Turns'!E172,'Turns'!E188,'Turns'!E201),"Unknown")</f>
        <v>0.00097695498</v>
      </c>
      <c r="U55" s="2">
        <f>IF(COUNT('Turns'!F156,'Turns'!F172,'Turns'!F188,'Turns'!F201)=4,SUM('Turns'!F156,'Turns'!F172,'Turns'!F188,'Turns'!F201),"Unknown")</f>
        <v>0.0011148</v>
      </c>
      <c r="V55" s="2">
        <f>IF(COUNT('Turns'!D155,'Turns'!D171,'Turns'!D187,'Turns'!D200)=4,SUM('Turns'!D155,'Turns'!D171,'Turns'!D187,'Turns'!D200),"Unknown")</f>
        <v>146.0</v>
      </c>
      <c r="W55" s="2">
        <f>IF(COUNT('Turns'!E155,'Turns'!E171,'Turns'!E187,'Turns'!E200)=4,SUM('Turns'!E155,'Turns'!E171,'Turns'!E187,'Turns'!E200),"Unknown")</f>
        <v>0.00015353652</v>
      </c>
      <c r="X55" s="2">
        <f>IF(COUNT('Turns'!F155,'Turns'!F171,'Turns'!F187,'Turns'!F200)=4,SUM('Turns'!F155,'Turns'!F171,'Turns'!F187,'Turns'!F200),"Unknown")</f>
        <v>0.0001752</v>
      </c>
      <c r="Y55" s="2">
        <f>IF(COUNT('Turns'!E160,'Turns'!E176,'Turns'!E192,'Turns'!E205)=4,SUM('Turns'!E160,'Turns'!E176,'Turns'!E192,'Turns'!E205),"Unknown")</f>
        <v>0.0045125802915</v>
      </c>
      <c r="Z55" s="2">
        <f>IF(COUNT('Turns'!F160,'Turns'!F176,'Turns'!F192,'Turns'!F205)=4,SUM('Turns'!F160,'Turns'!F176,'Turns'!F192,'Turns'!F205),"Unknown")</f>
        <v>0.00514929</v>
      </c>
      <c r="AA55" s="5">
        <f>IF(ISNUMBER(Y55),ROUND(Y55*'Reference data'!$B$2,0),"Unknown")</f>
        <v>451.0</v>
      </c>
      <c r="AB55" s="5">
        <f>IF(ISNUMBER(Z55),ROUND(Z55*'Reference data'!$B$2,0),"Unknown")</f>
        <v>515.0</v>
      </c>
      <c r="AD55" s="1">
        <v>11962.611</v>
      </c>
      <c r="AE55" s="1" t="s">
        <v>318</v>
      </c>
    </row>
    <row r="56" spans="1:31" ht="54" customHeight="1">
      <c r="A56" s="6" t="s">
        <v>322</v>
      </c>
      <c r="B56" s="1">
        <v>2</v>
      </c>
      <c r="C56" s="1" t="s">
        <v>316</v>
      </c>
      <c r="D56" s="1" t="s">
        <v>47</v>
      </c>
      <c r="E56" s="1" t="s">
        <v>111</v>
      </c>
      <c r="G56" s="6" t="s">
        <v>323</v>
      </c>
      <c r="H56" t="s">
        <v>391</v>
      </c>
      <c r="I56" t="s">
        <v>390</v>
      </c>
      <c r="J56" s="2">
        <f>IF(COUNT('Turns'!D148,'Turns'!D166,'Turns'!D181,'Turns'!D195)=4,SUM('Turns'!D148,'Turns'!D166,'Turns'!D181,'Turns'!D195),"Unknown")</f>
        <v>12.0</v>
      </c>
      <c r="K56" s="2">
        <f>IF(COUNT('Turns'!E148,'Turns'!E166,'Turns'!E181,'Turns'!E195)=4,SUM('Turns'!E148,'Turns'!E166,'Turns'!E181,'Turns'!E195),"Unknown")</f>
        <v>2.10324e-06</v>
      </c>
      <c r="L56" s="2">
        <f>IF(COUNT('Turns'!F148,'Turns'!F166,'Turns'!F181,'Turns'!F195)=4,SUM('Turns'!F148,'Turns'!F166,'Turns'!F181,'Turns'!F195),"Unknown")</f>
        <v>2.4e-06</v>
      </c>
      <c r="M56" s="2">
        <f>IF(COUNT('Turns'!D165,'Turns'!D194)=2,SUM('Turns'!D165,'Turns'!D194),"Unknown")</f>
        <v>9857.0</v>
      </c>
      <c r="N56" s="2">
        <f>IF(COUNT('Turns'!E165,'Turns'!E194)=2,SUM('Turns'!E165,'Turns'!E194),"Unknown")</f>
        <v>0.000172763639</v>
      </c>
      <c r="O56" s="2">
        <f>IF(COUNT('Turns'!F165,'Turns'!F194)=2,SUM('Turns'!F165,'Turns'!F194),"Unknown")</f>
        <v>0.00019714</v>
      </c>
      <c r="P56" s="2">
        <f>IF(COUNT('Turns'!D152,'Turns'!D168,'Turns'!D184,'Turns'!D197)=4,SUM('Turns'!D152,'Turns'!D168,'Turns'!D184,'Turns'!D197),"Unknown")</f>
        <v>14639.0</v>
      </c>
      <c r="Q56" s="2">
        <f>IF(COUNT('Turns'!E152,'Turns'!E168,'Turns'!E184,'Turns'!E197)=4,SUM('Turns'!E152,'Turns'!E168,'Turns'!E184,'Turns'!E197),"Unknown")</f>
        <v>0.0032072219125</v>
      </c>
      <c r="R56" s="2">
        <f>IF(COUNT('Turns'!F152,'Turns'!F168,'Turns'!F184,'Turns'!F197)=4,SUM('Turns'!F152,'Turns'!F168,'Turns'!F184,'Turns'!F197),"Unknown")</f>
        <v>0.00365975</v>
      </c>
      <c r="S56" s="2">
        <f>IF(COUNT('Turns'!D156,'Turns'!D172,'Turns'!D188,'Turns'!D201)=4,SUM('Turns'!D156,'Turns'!D172,'Turns'!D188,'Turns'!D201),"Unknown")</f>
        <v>929.0</v>
      </c>
      <c r="T56" s="2">
        <f>IF(COUNT('Turns'!E156,'Turns'!E172,'Turns'!E188,'Turns'!E201)=4,SUM('Turns'!E156,'Turns'!E172,'Turns'!E188,'Turns'!E201),"Unknown")</f>
        <v>0.00097695498</v>
      </c>
      <c r="U56" s="2">
        <f>IF(COUNT('Turns'!F156,'Turns'!F172,'Turns'!F188,'Turns'!F201)=4,SUM('Turns'!F156,'Turns'!F172,'Turns'!F188,'Turns'!F201),"Unknown")</f>
        <v>0.0011148</v>
      </c>
      <c r="V56" s="2">
        <f>IF(COUNT('Turns'!D155,'Turns'!D171,'Turns'!D187,'Turns'!D200)=4,SUM('Turns'!D155,'Turns'!D171,'Turns'!D187,'Turns'!D200),"Unknown")</f>
        <v>146.0</v>
      </c>
      <c r="W56" s="2">
        <f>IF(COUNT('Turns'!E155,'Turns'!E171,'Turns'!E187,'Turns'!E200)=4,SUM('Turns'!E155,'Turns'!E171,'Turns'!E187,'Turns'!E200),"Unknown")</f>
        <v>0.00015353652</v>
      </c>
      <c r="X56" s="2">
        <f>IF(COUNT('Turns'!F155,'Turns'!F171,'Turns'!F187,'Turns'!F200)=4,SUM('Turns'!F155,'Turns'!F171,'Turns'!F187,'Turns'!F200),"Unknown")</f>
        <v>0.0001752</v>
      </c>
      <c r="Y56" s="2">
        <f>IF(COUNT('Turns'!E160,'Turns'!E176,'Turns'!E192,'Turns'!E205)=4,SUM('Turns'!E160,'Turns'!E176,'Turns'!E192,'Turns'!E205),"Unknown")</f>
        <v>0.0045125802915</v>
      </c>
      <c r="Z56" s="2">
        <f>IF(COUNT('Turns'!F160,'Turns'!F176,'Turns'!F192,'Turns'!F205)=4,SUM('Turns'!F160,'Turns'!F176,'Turns'!F192,'Turns'!F205),"Unknown")</f>
        <v>0.00514929</v>
      </c>
      <c r="AA56" s="5">
        <f>IF(ISNUMBER(Y56),ROUND(Y56*'Reference data'!$B$2,0),"Unknown")</f>
        <v>451.0</v>
      </c>
      <c r="AB56" s="5">
        <f>IF(ISNUMBER(Z56),ROUND(Z56*'Reference data'!$B$2,0),"Unknown")</f>
        <v>515.0</v>
      </c>
      <c r="AD56" s="1">
        <v>11960.511</v>
      </c>
      <c r="AE56" s="1" t="s">
        <v>318</v>
      </c>
    </row>
    <row r="57" spans="1:31" ht="54" customHeight="1">
      <c r="A57" s="6" t="s">
        <v>325</v>
      </c>
      <c r="B57" s="1">
        <v>3</v>
      </c>
      <c r="C57" s="1" t="s">
        <v>316</v>
      </c>
      <c r="D57" s="1" t="s">
        <v>47</v>
      </c>
      <c r="E57" s="1" t="s">
        <v>111</v>
      </c>
      <c r="G57" s="6" t="s">
        <v>326</v>
      </c>
      <c r="H57" t="s">
        <v>392</v>
      </c>
      <c r="I57" t="s">
        <v>391</v>
      </c>
      <c r="J57" s="2">
        <f>IF(COUNT('Turns'!D148,'Turns'!D166,'Turns'!D181,'Turns'!D195)=4,SUM('Turns'!D148,'Turns'!D166,'Turns'!D181,'Turns'!D195),"Unknown")</f>
        <v>12.0</v>
      </c>
      <c r="K57" s="2">
        <f>IF(COUNT('Turns'!E148,'Turns'!E166,'Turns'!E181,'Turns'!E195)=4,SUM('Turns'!E148,'Turns'!E166,'Turns'!E181,'Turns'!E195),"Unknown")</f>
        <v>2.10324e-06</v>
      </c>
      <c r="L57" s="2">
        <f>IF(COUNT('Turns'!F148,'Turns'!F166,'Turns'!F181,'Turns'!F195)=4,SUM('Turns'!F148,'Turns'!F166,'Turns'!F181,'Turns'!F195),"Unknown")</f>
        <v>2.4e-06</v>
      </c>
      <c r="M57" s="2">
        <f>IF(COUNT('Turns'!D165,'Turns'!D194)=2,SUM('Turns'!D165,'Turns'!D194),"Unknown")</f>
        <v>9857.0</v>
      </c>
      <c r="N57" s="2">
        <f>IF(COUNT('Turns'!E165,'Turns'!E194)=2,SUM('Turns'!E165,'Turns'!E194),"Unknown")</f>
        <v>0.000172763639</v>
      </c>
      <c r="O57" s="2">
        <f>IF(COUNT('Turns'!F165,'Turns'!F194)=2,SUM('Turns'!F165,'Turns'!F194),"Unknown")</f>
        <v>0.00019714</v>
      </c>
      <c r="P57" s="2">
        <f>IF(COUNT('Turns'!D152,'Turns'!D168,'Turns'!D184,'Turns'!D197)=4,SUM('Turns'!D152,'Turns'!D168,'Turns'!D184,'Turns'!D197),"Unknown")</f>
        <v>14639.0</v>
      </c>
      <c r="Q57" s="2">
        <f>IF(COUNT('Turns'!E152,'Turns'!E168,'Turns'!E184,'Turns'!E197)=4,SUM('Turns'!E152,'Turns'!E168,'Turns'!E184,'Turns'!E197),"Unknown")</f>
        <v>0.0032072219125</v>
      </c>
      <c r="R57" s="2">
        <f>IF(COUNT('Turns'!F152,'Turns'!F168,'Turns'!F184,'Turns'!F197)=4,SUM('Turns'!F152,'Turns'!F168,'Turns'!F184,'Turns'!F197),"Unknown")</f>
        <v>0.00365975</v>
      </c>
      <c r="S57" s="2">
        <f>IF(COUNT('Turns'!D156,'Turns'!D172,'Turns'!D188,'Turns'!D201)=4,SUM('Turns'!D156,'Turns'!D172,'Turns'!D188,'Turns'!D201),"Unknown")</f>
        <v>929.0</v>
      </c>
      <c r="T57" s="2">
        <f>IF(COUNT('Turns'!E156,'Turns'!E172,'Turns'!E188,'Turns'!E201)=4,SUM('Turns'!E156,'Turns'!E172,'Turns'!E188,'Turns'!E201),"Unknown")</f>
        <v>0.00097695498</v>
      </c>
      <c r="U57" s="2">
        <f>IF(COUNT('Turns'!F156,'Turns'!F172,'Turns'!F188,'Turns'!F201)=4,SUM('Turns'!F156,'Turns'!F172,'Turns'!F188,'Turns'!F201),"Unknown")</f>
        <v>0.0011148</v>
      </c>
      <c r="V57" s="2">
        <f>IF(COUNT('Turns'!D155,'Turns'!D171,'Turns'!D187,'Turns'!D200)=4,SUM('Turns'!D155,'Turns'!D171,'Turns'!D187,'Turns'!D200),"Unknown")</f>
        <v>146.0</v>
      </c>
      <c r="W57" s="2">
        <f>IF(COUNT('Turns'!E155,'Turns'!E171,'Turns'!E187,'Turns'!E200)=4,SUM('Turns'!E155,'Turns'!E171,'Turns'!E187,'Turns'!E200),"Unknown")</f>
        <v>0.00015353652</v>
      </c>
      <c r="X57" s="2">
        <f>IF(COUNT('Turns'!F155,'Turns'!F171,'Turns'!F187,'Turns'!F200)=4,SUM('Turns'!F155,'Turns'!F171,'Turns'!F187,'Turns'!F200),"Unknown")</f>
        <v>0.0001752</v>
      </c>
      <c r="Y57" s="2">
        <f>IF(COUNT('Turns'!E160,'Turns'!E176,'Turns'!E192,'Turns'!E205)=4,SUM('Turns'!E160,'Turns'!E176,'Turns'!E192,'Turns'!E205),"Unknown")</f>
        <v>0.0045125802915</v>
      </c>
      <c r="Z57" s="2">
        <f>IF(COUNT('Turns'!F160,'Turns'!F176,'Turns'!F192,'Turns'!F205)=4,SUM('Turns'!F160,'Turns'!F176,'Turns'!F192,'Turns'!F205),"Unknown")</f>
        <v>0.00514929</v>
      </c>
      <c r="AA57" s="5">
        <f>IF(ISNUMBER(Y57),ROUND(Y57*'Reference data'!$B$2,0),"Unknown")</f>
        <v>451.0</v>
      </c>
      <c r="AB57" s="5">
        <f>IF(ISNUMBER(Z57),ROUND(Z57*'Reference data'!$B$2,0),"Unknown")</f>
        <v>515.0</v>
      </c>
      <c r="AD57" s="1">
        <v>11958.875</v>
      </c>
      <c r="AE57" s="1" t="s">
        <v>318</v>
      </c>
    </row>
    <row r="58" spans="1:31" ht="54" customHeight="1">
      <c r="A58" s="6" t="s">
        <v>328</v>
      </c>
      <c r="B58" s="1">
        <v>4</v>
      </c>
      <c r="C58" s="1" t="s">
        <v>316</v>
      </c>
      <c r="D58" s="1" t="s">
        <v>47</v>
      </c>
      <c r="E58" s="1" t="s">
        <v>111</v>
      </c>
      <c r="G58" s="6" t="s">
        <v>329</v>
      </c>
      <c r="H58" t="s">
        <v>393</v>
      </c>
      <c r="I58" t="s">
        <v>392</v>
      </c>
      <c r="AD58" s="1">
        <v>2.179</v>
      </c>
      <c r="AE58" s="1" t="s">
        <v>331</v>
      </c>
    </row>
    <row r="59" spans="1:31" ht="54" customHeight="1">
      <c r="A59" s="6" t="s">
        <v>332</v>
      </c>
      <c r="B59" s="1">
        <v>4</v>
      </c>
      <c r="C59" s="1" t="s">
        <v>316</v>
      </c>
      <c r="D59" s="1" t="s">
        <v>47</v>
      </c>
      <c r="E59" s="1" t="s">
        <v>111</v>
      </c>
      <c r="G59" s="6" t="s">
        <v>333</v>
      </c>
      <c r="H59" t="s">
        <v>394</v>
      </c>
      <c r="I59" t="s">
        <v>392</v>
      </c>
      <c r="J59" s="2">
        <f>IF(COUNT('Turns'!D148)=1,SUM('Turns'!D148),"Unknown")</f>
        <v>3.0</v>
      </c>
      <c r="K59" s="2">
        <f>IF(COUNT('Turns'!E148)=1,SUM('Turns'!E148),"Unknown")</f>
        <v>5.2581e-07</v>
      </c>
      <c r="L59" s="2">
        <f>IF(COUNT('Turns'!F148)=1,SUM('Turns'!F148),"Unknown")</f>
        <v>6e-07</v>
      </c>
      <c r="M59" s="2">
        <v>0</v>
      </c>
      <c r="N59" s="2">
        <v>0</v>
      </c>
      <c r="O59" s="2">
        <v>0</v>
      </c>
      <c r="P59" s="2">
        <f>IF(COUNT('Turns'!D152)=1,SUM('Turns'!D152),"Unknown")</f>
        <v>7560.0</v>
      </c>
      <c r="Q59" s="2">
        <f>IF(COUNT('Turns'!E152)=1,SUM('Turns'!E152),"Unknown")</f>
        <v>0.0016563015</v>
      </c>
      <c r="R59" s="2">
        <f>IF(COUNT('Turns'!F152)=1,SUM('Turns'!F152),"Unknown")</f>
        <v>0.00189</v>
      </c>
      <c r="S59" s="2">
        <f>IF(COUNT('Turns'!D156)=1,SUM('Turns'!D156),"Unknown")</f>
        <v>140.0</v>
      </c>
      <c r="T59" s="2">
        <f>IF(COUNT('Turns'!E156)=1,SUM('Turns'!E156),"Unknown")</f>
        <v>0.0001472268</v>
      </c>
      <c r="U59" s="2">
        <f>IF(COUNT('Turns'!F156)=1,SUM('Turns'!F156),"Unknown")</f>
        <v>0.000168</v>
      </c>
      <c r="V59" s="2">
        <f>IF(COUNT('Turns'!D155)=1,SUM('Turns'!D155),"Unknown")</f>
        <v>51.0</v>
      </c>
      <c r="W59" s="2">
        <f>IF(COUNT('Turns'!E155)=1,SUM('Turns'!E155),"Unknown")</f>
        <v>5.363262e-05</v>
      </c>
      <c r="X59" s="2">
        <f>IF(COUNT('Turns'!F155)=1,SUM('Turns'!F155),"Unknown")</f>
        <v>6.12e-05</v>
      </c>
      <c r="Y59" s="2">
        <f>IF(COUNT('Turns'!E160)=1,SUM('Turns'!E160),"Unknown")</f>
        <v>0.00185768673</v>
      </c>
      <c r="Z59" s="2">
        <f>IF(COUNT('Turns'!F160)=1,SUM('Turns'!F160),"Unknown")</f>
        <v>0.0021198</v>
      </c>
      <c r="AA59" s="5">
        <f>IF(ISNUMBER(Y59),ROUND(Y59*'Reference data'!$B$2,0),"Unknown")</f>
        <v>186.0</v>
      </c>
      <c r="AB59" s="5">
        <f>IF(ISNUMBER(Z59),ROUND(Z59*'Reference data'!$B$2,0),"Unknown")</f>
        <v>212.0</v>
      </c>
      <c r="AD59" s="1">
        <v>2481.173</v>
      </c>
      <c r="AE59" s="1" t="s">
        <v>318</v>
      </c>
    </row>
    <row r="60" spans="1:31" ht="54" customHeight="1">
      <c r="A60" s="6" t="s">
        <v>335</v>
      </c>
      <c r="B60" s="1">
        <v>5</v>
      </c>
      <c r="C60" s="1" t="s">
        <v>336</v>
      </c>
      <c r="D60" s="1" t="s">
        <v>95</v>
      </c>
      <c r="E60" s="1" t="s">
        <v>111</v>
      </c>
      <c r="F60" s="1">
        <v>7563</v>
      </c>
      <c r="G60" s="6" t="s">
        <v>337</v>
      </c>
      <c r="H60" t="s">
        <v>168</v>
      </c>
      <c r="I60" t="s">
        <v>394</v>
      </c>
      <c r="J60" s="2">
        <f>IF(COUNT('Turns'!D148)=1,SUM('Turns'!D148),"Unknown")</f>
        <v>3.0</v>
      </c>
      <c r="K60" s="2">
        <f>IF(COUNT('Turns'!E148)=1,SUM('Turns'!E148),"Unknown")</f>
        <v>5.2581e-07</v>
      </c>
      <c r="L60" s="2">
        <f>IF(COUNT('Turns'!F148)=1,SUM('Turns'!F148),"Unknown")</f>
        <v>6e-07</v>
      </c>
      <c r="M60" s="2">
        <v>0</v>
      </c>
      <c r="N60" s="2">
        <v>0</v>
      </c>
      <c r="O60" s="2">
        <v>0</v>
      </c>
      <c r="P60" s="2">
        <f>IF(COUNT('Turns'!D152)=1,SUM('Turns'!D152),"Unknown")</f>
        <v>7560.0</v>
      </c>
      <c r="Q60" s="2">
        <f>IF(COUNT('Turns'!E152)=1,SUM('Turns'!E152),"Unknown")</f>
        <v>0.0016563015</v>
      </c>
      <c r="R60" s="2">
        <f>IF(COUNT('Turns'!F152)=1,SUM('Turns'!F152),"Unknown")</f>
        <v>0.00189</v>
      </c>
      <c r="S60" s="2">
        <f>IF(COUNT('Turns'!D156)=1,SUM('Turns'!D156),"Unknown")</f>
        <v>140.0</v>
      </c>
      <c r="T60" s="2">
        <f>IF(COUNT('Turns'!E156)=1,SUM('Turns'!E156),"Unknown")</f>
        <v>0.0001472268</v>
      </c>
      <c r="U60" s="2">
        <f>IF(COUNT('Turns'!F156)=1,SUM('Turns'!F156),"Unknown")</f>
        <v>0.000168</v>
      </c>
      <c r="V60" s="2">
        <f>IF(COUNT('Turns'!D155)=1,SUM('Turns'!D155),"Unknown")</f>
        <v>51.0</v>
      </c>
      <c r="W60" s="2">
        <f>IF(COUNT('Turns'!E155)=1,SUM('Turns'!E155),"Unknown")</f>
        <v>5.363262e-05</v>
      </c>
      <c r="X60" s="2">
        <f>IF(COUNT('Turns'!F155)=1,SUM('Turns'!F155),"Unknown")</f>
        <v>6.12e-05</v>
      </c>
      <c r="Y60" s="2">
        <f>IF(COUNT('Turns'!E160)=1,SUM('Turns'!E160),"Unknown")</f>
        <v>0.00185768673</v>
      </c>
      <c r="Z60" s="2">
        <f>IF(COUNT('Turns'!F160)=1,SUM('Turns'!F160),"Unknown")</f>
        <v>0.0021198</v>
      </c>
      <c r="AA60" s="5">
        <f>IF(ISNUMBER(Y60),ROUND(Y60*'Reference data'!$B$2,0),"Unknown")</f>
        <v>186.0</v>
      </c>
      <c r="AB60" s="5">
        <f>IF(ISNUMBER(Z60),ROUND(Z60*'Reference data'!$B$2,0),"Unknown")</f>
        <v>212.0</v>
      </c>
      <c r="AC60" s="1" t="s">
        <v>167</v>
      </c>
      <c r="AD60" s="1">
        <v>2473.586</v>
      </c>
      <c r="AE60" s="1" t="s">
        <v>338</v>
      </c>
    </row>
    <row r="61" spans="1:31" ht="54" customHeight="1">
      <c r="A61" s="6" t="s">
        <v>339</v>
      </c>
      <c r="B61" s="1">
        <v>4</v>
      </c>
      <c r="C61" s="1" t="s">
        <v>316</v>
      </c>
      <c r="D61" s="1" t="s">
        <v>47</v>
      </c>
      <c r="E61" s="1" t="s">
        <v>111</v>
      </c>
      <c r="G61" s="6" t="s">
        <v>340</v>
      </c>
      <c r="H61" t="s">
        <v>395</v>
      </c>
      <c r="I61" t="s">
        <v>392</v>
      </c>
      <c r="AD61" s="1">
        <v>5.302</v>
      </c>
      <c r="AE61" s="1" t="s">
        <v>331</v>
      </c>
    </row>
    <row r="62" spans="1:31" ht="54" customHeight="1">
      <c r="A62" s="6" t="s">
        <v>396</v>
      </c>
      <c r="B62" s="1">
        <v>5</v>
      </c>
      <c r="C62" s="1" t="s">
        <v>343</v>
      </c>
      <c r="D62" s="1" t="s">
        <v>47</v>
      </c>
      <c r="E62" s="1" t="s">
        <v>111</v>
      </c>
      <c r="G62" s="6" t="s">
        <v>397</v>
      </c>
      <c r="H62" t="s">
        <v>173</v>
      </c>
      <c r="I62" t="s">
        <v>395</v>
      </c>
      <c r="AD62" s="1">
        <v>2.754</v>
      </c>
      <c r="AE62" s="1" t="s">
        <v>331</v>
      </c>
    </row>
    <row r="63" spans="1:31" ht="54" customHeight="1">
      <c r="A63" s="6" t="s">
        <v>328</v>
      </c>
      <c r="B63" s="1">
        <v>4</v>
      </c>
      <c r="C63" s="1" t="s">
        <v>316</v>
      </c>
      <c r="D63" s="1" t="s">
        <v>47</v>
      </c>
      <c r="E63" s="1" t="s">
        <v>111</v>
      </c>
      <c r="G63" s="6" t="s">
        <v>329</v>
      </c>
      <c r="H63" t="s">
        <v>398</v>
      </c>
      <c r="I63" t="s">
        <v>392</v>
      </c>
      <c r="AD63" s="1">
        <v>2.202</v>
      </c>
      <c r="AE63" s="1" t="s">
        <v>331</v>
      </c>
    </row>
    <row r="64" spans="1:31" ht="54" customHeight="1">
      <c r="A64" s="6" t="s">
        <v>332</v>
      </c>
      <c r="B64" s="1">
        <v>4</v>
      </c>
      <c r="C64" s="1" t="s">
        <v>316</v>
      </c>
      <c r="D64" s="1" t="s">
        <v>47</v>
      </c>
      <c r="E64" s="1" t="s">
        <v>111</v>
      </c>
      <c r="G64" s="6" t="s">
        <v>333</v>
      </c>
      <c r="H64" t="s">
        <v>399</v>
      </c>
      <c r="I64" t="s">
        <v>392</v>
      </c>
      <c r="J64" s="2">
        <f>IF(COUNT('Turns'!D166)=1,SUM('Turns'!D166),"Unknown")</f>
        <v>3.0</v>
      </c>
      <c r="K64" s="2">
        <f>IF(COUNT('Turns'!E166)=1,SUM('Turns'!E166),"Unknown")</f>
        <v>5.2581e-07</v>
      </c>
      <c r="L64" s="2">
        <f>IF(COUNT('Turns'!F166)=1,SUM('Turns'!F166),"Unknown")</f>
        <v>6e-07</v>
      </c>
      <c r="M64" s="2">
        <f>IF(COUNT('Turns'!D165)=1,SUM('Turns'!D165),"Unknown")</f>
        <v>7560.0</v>
      </c>
      <c r="N64" s="2">
        <f>IF(COUNT('Turns'!E165)=1,SUM('Turns'!E165),"Unknown")</f>
        <v>0.00013250412</v>
      </c>
      <c r="O64" s="2">
        <f>IF(COUNT('Turns'!F165)=1,SUM('Turns'!F165),"Unknown")</f>
        <v>0.0001512</v>
      </c>
      <c r="P64" s="2">
        <f>IF(COUNT('Turns'!D168)=1,SUM('Turns'!D168),"Unknown")</f>
        <v>217.0</v>
      </c>
      <c r="Q64" s="2">
        <f>IF(COUNT('Turns'!E168)=1,SUM('Turns'!E168),"Unknown")</f>
        <v>4.75419875e-05</v>
      </c>
      <c r="R64" s="2">
        <f>IF(COUNT('Turns'!F168)=1,SUM('Turns'!F168),"Unknown")</f>
        <v>5.425e-05</v>
      </c>
      <c r="S64" s="2">
        <f>IF(COUNT('Turns'!D172)=1,SUM('Turns'!D172),"Unknown")</f>
        <v>31.0</v>
      </c>
      <c r="T64" s="2">
        <f>IF(COUNT('Turns'!E172)=1,SUM('Turns'!E172),"Unknown")</f>
        <v>3.260022e-05</v>
      </c>
      <c r="U64" s="2">
        <f>IF(COUNT('Turns'!F172)=1,SUM('Turns'!F172),"Unknown")</f>
        <v>3.72e-05</v>
      </c>
      <c r="V64" s="2">
        <f>IF(COUNT('Turns'!D171)=1,SUM('Turns'!D171),"Unknown")</f>
        <v>11.0</v>
      </c>
      <c r="W64" s="2">
        <f>IF(COUNT('Turns'!E171)=1,SUM('Turns'!E171),"Unknown")</f>
        <v>1.156782e-05</v>
      </c>
      <c r="X64" s="2">
        <f>IF(COUNT('Turns'!F171)=1,SUM('Turns'!F171),"Unknown")</f>
        <v>1.32e-05</v>
      </c>
      <c r="Y64" s="2">
        <f>IF(COUNT('Turns'!E176)=1,SUM('Turns'!E176),"Unknown")</f>
        <v>0.0002247399575</v>
      </c>
      <c r="Z64" s="2">
        <f>IF(COUNT('Turns'!F176)=1,SUM('Turns'!F176),"Unknown")</f>
        <v>0.00025645</v>
      </c>
      <c r="AA64" s="5">
        <f>IF(ISNUMBER(Y64),ROUND(Y64*'Reference data'!$B$2,0),"Unknown")</f>
        <v>22.0</v>
      </c>
      <c r="AB64" s="5">
        <f>IF(ISNUMBER(Z64),ROUND(Z64*'Reference data'!$B$2,0),"Unknown")</f>
        <v>26.0</v>
      </c>
      <c r="AD64" s="1">
        <v>1304.528</v>
      </c>
      <c r="AE64" s="1" t="s">
        <v>318</v>
      </c>
    </row>
    <row r="65" spans="1:31" ht="54" customHeight="1">
      <c r="A65" s="6" t="s">
        <v>335</v>
      </c>
      <c r="B65" s="1">
        <v>5</v>
      </c>
      <c r="C65" s="1" t="s">
        <v>336</v>
      </c>
      <c r="D65" s="1" t="s">
        <v>95</v>
      </c>
      <c r="E65" s="1" t="s">
        <v>111</v>
      </c>
      <c r="F65" s="1">
        <v>7780</v>
      </c>
      <c r="G65" s="6" t="s">
        <v>337</v>
      </c>
      <c r="H65" t="s">
        <v>177</v>
      </c>
      <c r="I65" t="s">
        <v>399</v>
      </c>
      <c r="J65" s="2">
        <f>IF(COUNT('Turns'!D166)=1,SUM('Turns'!D166),"Unknown")</f>
        <v>3.0</v>
      </c>
      <c r="K65" s="2">
        <f>IF(COUNT('Turns'!E166)=1,SUM('Turns'!E166),"Unknown")</f>
        <v>5.2581e-07</v>
      </c>
      <c r="L65" s="2">
        <f>IF(COUNT('Turns'!F166)=1,SUM('Turns'!F166),"Unknown")</f>
        <v>6e-07</v>
      </c>
      <c r="M65" s="2">
        <f>IF(COUNT('Turns'!D165)=1,SUM('Turns'!D165),"Unknown")</f>
        <v>7560.0</v>
      </c>
      <c r="N65" s="2">
        <f>IF(COUNT('Turns'!E165)=1,SUM('Turns'!E165),"Unknown")</f>
        <v>0.00013250412</v>
      </c>
      <c r="O65" s="2">
        <f>IF(COUNT('Turns'!F165)=1,SUM('Turns'!F165),"Unknown")</f>
        <v>0.0001512</v>
      </c>
      <c r="P65" s="2">
        <f>IF(COUNT('Turns'!D168)=1,SUM('Turns'!D168),"Unknown")</f>
        <v>217.0</v>
      </c>
      <c r="Q65" s="2">
        <f>IF(COUNT('Turns'!E168)=1,SUM('Turns'!E168),"Unknown")</f>
        <v>4.75419875e-05</v>
      </c>
      <c r="R65" s="2">
        <f>IF(COUNT('Turns'!F168)=1,SUM('Turns'!F168),"Unknown")</f>
        <v>5.425e-05</v>
      </c>
      <c r="S65" s="2">
        <f>IF(COUNT('Turns'!D172)=1,SUM('Turns'!D172),"Unknown")</f>
        <v>31.0</v>
      </c>
      <c r="T65" s="2">
        <f>IF(COUNT('Turns'!E172)=1,SUM('Turns'!E172),"Unknown")</f>
        <v>3.260022e-05</v>
      </c>
      <c r="U65" s="2">
        <f>IF(COUNT('Turns'!F172)=1,SUM('Turns'!F172),"Unknown")</f>
        <v>3.72e-05</v>
      </c>
      <c r="V65" s="2">
        <f>IF(COUNT('Turns'!D171)=1,SUM('Turns'!D171),"Unknown")</f>
        <v>11.0</v>
      </c>
      <c r="W65" s="2">
        <f>IF(COUNT('Turns'!E171)=1,SUM('Turns'!E171),"Unknown")</f>
        <v>1.156782e-05</v>
      </c>
      <c r="X65" s="2">
        <f>IF(COUNT('Turns'!F171)=1,SUM('Turns'!F171),"Unknown")</f>
        <v>1.32e-05</v>
      </c>
      <c r="Y65" s="2">
        <f>IF(COUNT('Turns'!E176)=1,SUM('Turns'!E176),"Unknown")</f>
        <v>0.0002247399575</v>
      </c>
      <c r="Z65" s="2">
        <f>IF(COUNT('Turns'!F176)=1,SUM('Turns'!F176),"Unknown")</f>
        <v>0.00025645</v>
      </c>
      <c r="AA65" s="5">
        <f>IF(ISNUMBER(Y65),ROUND(Y65*'Reference data'!$B$2,0),"Unknown")</f>
        <v>22.0</v>
      </c>
      <c r="AB65" s="5">
        <f>IF(ISNUMBER(Z65),ROUND(Z65*'Reference data'!$B$2,0),"Unknown")</f>
        <v>26.0</v>
      </c>
      <c r="AC65" s="1" t="s">
        <v>176</v>
      </c>
      <c r="AD65" s="1">
        <v>1297.966</v>
      </c>
      <c r="AE65" s="1" t="s">
        <v>338</v>
      </c>
    </row>
    <row r="66" spans="1:31" ht="54" customHeight="1">
      <c r="A66" s="6" t="s">
        <v>339</v>
      </c>
      <c r="B66" s="1">
        <v>4</v>
      </c>
      <c r="C66" s="1" t="s">
        <v>316</v>
      </c>
      <c r="D66" s="1" t="s">
        <v>47</v>
      </c>
      <c r="E66" s="1" t="s">
        <v>111</v>
      </c>
      <c r="G66" s="6" t="s">
        <v>340</v>
      </c>
      <c r="H66" t="s">
        <v>400</v>
      </c>
      <c r="I66" t="s">
        <v>392</v>
      </c>
      <c r="AD66" s="1">
        <v>6.069</v>
      </c>
      <c r="AE66" s="1" t="s">
        <v>331</v>
      </c>
    </row>
    <row r="67" spans="1:31" ht="54" customHeight="1">
      <c r="A67" s="6" t="s">
        <v>342</v>
      </c>
      <c r="B67" s="1">
        <v>5</v>
      </c>
      <c r="C67" s="1" t="s">
        <v>343</v>
      </c>
      <c r="D67" s="1" t="s">
        <v>47</v>
      </c>
      <c r="E67" s="1" t="s">
        <v>111</v>
      </c>
      <c r="G67" s="6" t="s">
        <v>344</v>
      </c>
      <c r="H67" t="s">
        <v>179</v>
      </c>
      <c r="I67" t="s">
        <v>400</v>
      </c>
      <c r="AD67" s="1">
        <v>3.111</v>
      </c>
      <c r="AE67" s="1" t="s">
        <v>331</v>
      </c>
    </row>
    <row r="68" spans="1:31" ht="54" customHeight="1">
      <c r="A68" s="6" t="s">
        <v>328</v>
      </c>
      <c r="B68" s="1">
        <v>4</v>
      </c>
      <c r="C68" s="1" t="s">
        <v>316</v>
      </c>
      <c r="D68" s="1" t="s">
        <v>47</v>
      </c>
      <c r="E68" s="1" t="s">
        <v>111</v>
      </c>
      <c r="G68" s="6" t="s">
        <v>401</v>
      </c>
      <c r="H68" t="s">
        <v>402</v>
      </c>
      <c r="I68" t="s">
        <v>392</v>
      </c>
      <c r="J68" s="2">
        <f>IF(COUNT('Turns'!D181)=1,SUM('Turns'!D181),"Unknown")</f>
        <v>3.0</v>
      </c>
      <c r="K68" s="2">
        <f>IF(COUNT('Turns'!E181)=1,SUM('Turns'!E181),"Unknown")</f>
        <v>5.2581e-07</v>
      </c>
      <c r="L68" s="2">
        <f>IF(COUNT('Turns'!F181)=1,SUM('Turns'!F181),"Unknown")</f>
        <v>6e-07</v>
      </c>
      <c r="M68" s="2">
        <v>0</v>
      </c>
      <c r="N68" s="2">
        <v>0</v>
      </c>
      <c r="O68" s="2">
        <v>0</v>
      </c>
      <c r="P68" s="2">
        <f>IF(COUNT('Turns'!D184)=1,SUM('Turns'!D184),"Unknown")</f>
        <v>5506.0</v>
      </c>
      <c r="Q68" s="2">
        <f>IF(COUNT('Turns'!E184)=1,SUM('Turns'!E184),"Unknown")</f>
        <v>0.001206295775</v>
      </c>
      <c r="R68" s="2">
        <f>IF(COUNT('Turns'!F184)=1,SUM('Turns'!F184),"Unknown")</f>
        <v>0.0013765</v>
      </c>
      <c r="S68" s="2">
        <f>IF(COUNT('Turns'!D188)=1,SUM('Turns'!D188),"Unknown")</f>
        <v>596.0</v>
      </c>
      <c r="T68" s="2">
        <f>IF(COUNT('Turns'!E188)=1,SUM('Turns'!E188),"Unknown")</f>
        <v>0.00062676552</v>
      </c>
      <c r="U68" s="2">
        <f>IF(COUNT('Turns'!F188)=1,SUM('Turns'!F188),"Unknown")</f>
        <v>0.0007152</v>
      </c>
      <c r="V68" s="2">
        <f>IF(COUNT('Turns'!D187)=1,SUM('Turns'!D187),"Unknown")</f>
        <v>71.0</v>
      </c>
      <c r="W68" s="2">
        <f>IF(COUNT('Turns'!E187)=1,SUM('Turns'!E187),"Unknown")</f>
        <v>7.466502e-05</v>
      </c>
      <c r="X68" s="2">
        <f>IF(COUNT('Turns'!F187)=1,SUM('Turns'!F187),"Unknown")</f>
        <v>8.52e-05</v>
      </c>
      <c r="Y68" s="2">
        <f>IF(COUNT('Turns'!E192)=1,SUM('Turns'!E192),"Unknown")</f>
        <v>0.001908252125</v>
      </c>
      <c r="Z68" s="2">
        <f>IF(COUNT('Turns'!F192)=1,SUM('Turns'!F192),"Unknown")</f>
        <v>0.0021775</v>
      </c>
      <c r="AA68" s="5">
        <f>IF(ISNUMBER(Y68),ROUND(Y68*'Reference data'!$B$2,0),"Unknown")</f>
        <v>191.0</v>
      </c>
      <c r="AB68" s="5">
        <f>IF(ISNUMBER(Z68),ROUND(Z68*'Reference data'!$B$2,0),"Unknown")</f>
        <v>218.0</v>
      </c>
      <c r="AD68" s="1">
        <v>6040.304</v>
      </c>
      <c r="AE68" s="1" t="s">
        <v>318</v>
      </c>
    </row>
    <row r="69" spans="1:31" ht="54" customHeight="1">
      <c r="A69" s="6" t="s">
        <v>403</v>
      </c>
      <c r="B69" s="1">
        <v>5</v>
      </c>
      <c r="C69" s="1" t="s">
        <v>316</v>
      </c>
      <c r="D69" s="1" t="s">
        <v>47</v>
      </c>
      <c r="E69" s="1" t="s">
        <v>111</v>
      </c>
      <c r="G69" s="6" t="s">
        <v>404</v>
      </c>
      <c r="H69" t="s">
        <v>405</v>
      </c>
      <c r="I69" t="s">
        <v>402</v>
      </c>
      <c r="J69" s="2">
        <f>IF(COUNT('Turns'!D181)=1,SUM('Turns'!D181),"Unknown")</f>
        <v>3.0</v>
      </c>
      <c r="K69" s="2">
        <f>IF(COUNT('Turns'!E181)=1,SUM('Turns'!E181),"Unknown")</f>
        <v>5.2581e-07</v>
      </c>
      <c r="L69" s="2">
        <f>IF(COUNT('Turns'!F181)=1,SUM('Turns'!F181),"Unknown")</f>
        <v>6e-07</v>
      </c>
      <c r="M69" s="2">
        <v>0</v>
      </c>
      <c r="N69" s="2">
        <v>0</v>
      </c>
      <c r="O69" s="2">
        <v>0</v>
      </c>
      <c r="P69" s="2">
        <f>IF(COUNT('Turns'!D184)=1,SUM('Turns'!D184),"Unknown")</f>
        <v>5506.0</v>
      </c>
      <c r="Q69" s="2">
        <f>IF(COUNT('Turns'!E184)=1,SUM('Turns'!E184),"Unknown")</f>
        <v>0.001206295775</v>
      </c>
      <c r="R69" s="2">
        <f>IF(COUNT('Turns'!F184)=1,SUM('Turns'!F184),"Unknown")</f>
        <v>0.0013765</v>
      </c>
      <c r="S69" s="2">
        <f>IF(COUNT('Turns'!D188)=1,SUM('Turns'!D188),"Unknown")</f>
        <v>596.0</v>
      </c>
      <c r="T69" s="2">
        <f>IF(COUNT('Turns'!E188)=1,SUM('Turns'!E188),"Unknown")</f>
        <v>0.00062676552</v>
      </c>
      <c r="U69" s="2">
        <f>IF(COUNT('Turns'!F188)=1,SUM('Turns'!F188),"Unknown")</f>
        <v>0.0007152</v>
      </c>
      <c r="V69" s="2">
        <f>IF(COUNT('Turns'!D187)=1,SUM('Turns'!D187),"Unknown")</f>
        <v>71.0</v>
      </c>
      <c r="W69" s="2">
        <f>IF(COUNT('Turns'!E187)=1,SUM('Turns'!E187),"Unknown")</f>
        <v>7.466502e-05</v>
      </c>
      <c r="X69" s="2">
        <f>IF(COUNT('Turns'!F187)=1,SUM('Turns'!F187),"Unknown")</f>
        <v>8.52e-05</v>
      </c>
      <c r="Y69" s="2">
        <f>IF(COUNT('Turns'!E192)=1,SUM('Turns'!E192),"Unknown")</f>
        <v>0.001908252125</v>
      </c>
      <c r="Z69" s="2">
        <f>IF(COUNT('Turns'!F192)=1,SUM('Turns'!F192),"Unknown")</f>
        <v>0.0021775</v>
      </c>
      <c r="AA69" s="5">
        <f>IF(ISNUMBER(Y69),ROUND(Y69*'Reference data'!$B$2,0),"Unknown")</f>
        <v>191.0</v>
      </c>
      <c r="AB69" s="5">
        <f>IF(ISNUMBER(Z69),ROUND(Z69*'Reference data'!$B$2,0),"Unknown")</f>
        <v>218.0</v>
      </c>
      <c r="AD69" s="1">
        <v>6034.682</v>
      </c>
      <c r="AE69" s="1" t="s">
        <v>318</v>
      </c>
    </row>
    <row r="70" spans="1:31" ht="54" customHeight="1">
      <c r="A70" s="6" t="s">
        <v>406</v>
      </c>
      <c r="B70" s="1">
        <v>6</v>
      </c>
      <c r="C70" s="1" t="s">
        <v>336</v>
      </c>
      <c r="D70" s="1" t="s">
        <v>95</v>
      </c>
      <c r="E70" s="1" t="s">
        <v>111</v>
      </c>
      <c r="F70" s="1">
        <v>5509</v>
      </c>
      <c r="G70" s="6" t="s">
        <v>337</v>
      </c>
      <c r="H70" t="s">
        <v>182</v>
      </c>
      <c r="I70" t="s">
        <v>405</v>
      </c>
      <c r="J70" s="2">
        <f>IF(COUNT('Turns'!D181)=1,SUM('Turns'!D181),"Unknown")</f>
        <v>3.0</v>
      </c>
      <c r="K70" s="2">
        <f>IF(COUNT('Turns'!E181)=1,SUM('Turns'!E181),"Unknown")</f>
        <v>5.2581e-07</v>
      </c>
      <c r="L70" s="2">
        <f>IF(COUNT('Turns'!F181)=1,SUM('Turns'!F181),"Unknown")</f>
        <v>6e-07</v>
      </c>
      <c r="M70" s="2">
        <v>0</v>
      </c>
      <c r="N70" s="2">
        <v>0</v>
      </c>
      <c r="O70" s="2">
        <v>0</v>
      </c>
      <c r="P70" s="2">
        <f>IF(COUNT('Turns'!D184)=1,SUM('Turns'!D184),"Unknown")</f>
        <v>5506.0</v>
      </c>
      <c r="Q70" s="2">
        <f>IF(COUNT('Turns'!E184)=1,SUM('Turns'!E184),"Unknown")</f>
        <v>0.001206295775</v>
      </c>
      <c r="R70" s="2">
        <f>IF(COUNT('Turns'!F184)=1,SUM('Turns'!F184),"Unknown")</f>
        <v>0.0013765</v>
      </c>
      <c r="S70" s="2">
        <f>IF(COUNT('Turns'!D188)=1,SUM('Turns'!D188),"Unknown")</f>
        <v>596.0</v>
      </c>
      <c r="T70" s="2">
        <f>IF(COUNT('Turns'!E188)=1,SUM('Turns'!E188),"Unknown")</f>
        <v>0.00062676552</v>
      </c>
      <c r="U70" s="2">
        <f>IF(COUNT('Turns'!F188)=1,SUM('Turns'!F188),"Unknown")</f>
        <v>0.0007152</v>
      </c>
      <c r="V70" s="2">
        <f>IF(COUNT('Turns'!D187)=1,SUM('Turns'!D187),"Unknown")</f>
        <v>71.0</v>
      </c>
      <c r="W70" s="2">
        <f>IF(COUNT('Turns'!E187)=1,SUM('Turns'!E187),"Unknown")</f>
        <v>7.466502e-05</v>
      </c>
      <c r="X70" s="2">
        <f>IF(COUNT('Turns'!F187)=1,SUM('Turns'!F187),"Unknown")</f>
        <v>8.52e-05</v>
      </c>
      <c r="Y70" s="2">
        <f>IF(COUNT('Turns'!E192)=1,SUM('Turns'!E192),"Unknown")</f>
        <v>0.001908252125</v>
      </c>
      <c r="Z70" s="2">
        <f>IF(COUNT('Turns'!F192)=1,SUM('Turns'!F192),"Unknown")</f>
        <v>0.0021775</v>
      </c>
      <c r="AA70" s="5">
        <f>IF(ISNUMBER(Y70),ROUND(Y70*'Reference data'!$B$2,0),"Unknown")</f>
        <v>191.0</v>
      </c>
      <c r="AB70" s="5">
        <f>IF(ISNUMBER(Z70),ROUND(Z70*'Reference data'!$B$2,0),"Unknown")</f>
        <v>218.0</v>
      </c>
      <c r="AC70" s="1" t="s">
        <v>181</v>
      </c>
      <c r="AD70" s="1">
        <v>6031.534</v>
      </c>
      <c r="AE70" s="1" t="s">
        <v>338</v>
      </c>
    </row>
    <row r="71" spans="1:31" ht="54" customHeight="1">
      <c r="A71" s="6" t="s">
        <v>332</v>
      </c>
      <c r="B71" s="1">
        <v>4</v>
      </c>
      <c r="C71" s="1" t="s">
        <v>316</v>
      </c>
      <c r="D71" s="1" t="s">
        <v>47</v>
      </c>
      <c r="E71" s="1" t="s">
        <v>111</v>
      </c>
      <c r="G71" s="6" t="s">
        <v>333</v>
      </c>
      <c r="H71" t="s">
        <v>407</v>
      </c>
      <c r="I71" t="s">
        <v>392</v>
      </c>
      <c r="J71" s="2">
        <f>IF(COUNT('Turns'!D195)=1,SUM('Turns'!D195),"Unknown")</f>
        <v>3.0</v>
      </c>
      <c r="K71" s="2">
        <f>IF(COUNT('Turns'!E195)=1,SUM('Turns'!E195),"Unknown")</f>
        <v>5.2581e-07</v>
      </c>
      <c r="L71" s="2">
        <f>IF(COUNT('Turns'!F195)=1,SUM('Turns'!F195),"Unknown")</f>
        <v>6e-07</v>
      </c>
      <c r="M71" s="2">
        <f>IF(COUNT('Turns'!D194)=1,SUM('Turns'!D194),"Unknown")</f>
        <v>2297.0</v>
      </c>
      <c r="N71" s="2">
        <f>IF(COUNT('Turns'!E194)=1,SUM('Turns'!E194),"Unknown")</f>
        <v>4.0259519e-05</v>
      </c>
      <c r="O71" s="2">
        <f>IF(COUNT('Turns'!F194)=1,SUM('Turns'!F194),"Unknown")</f>
        <v>4.594e-05</v>
      </c>
      <c r="P71" s="2">
        <f>IF(COUNT('Turns'!D197)=1,SUM('Turns'!D197),"Unknown")</f>
        <v>1356.0</v>
      </c>
      <c r="Q71" s="2">
        <f>IF(COUNT('Turns'!E197)=1,SUM('Turns'!E197),"Unknown")</f>
        <v>0.00029708265</v>
      </c>
      <c r="R71" s="2">
        <f>IF(COUNT('Turns'!F197)=1,SUM('Turns'!F197),"Unknown")</f>
        <v>0.000339</v>
      </c>
      <c r="S71" s="2">
        <f>IF(COUNT('Turns'!D201)=1,SUM('Turns'!D201),"Unknown")</f>
        <v>162.0</v>
      </c>
      <c r="T71" s="2">
        <f>IF(COUNT('Turns'!E201)=1,SUM('Turns'!E201),"Unknown")</f>
        <v>0.00017036244</v>
      </c>
      <c r="U71" s="2">
        <f>IF(COUNT('Turns'!F201)=1,SUM('Turns'!F201),"Unknown")</f>
        <v>0.0001944</v>
      </c>
      <c r="V71" s="2">
        <f>IF(COUNT('Turns'!D200)=1,SUM('Turns'!D200),"Unknown")</f>
        <v>13.0</v>
      </c>
      <c r="W71" s="2">
        <f>IF(COUNT('Turns'!E200)=1,SUM('Turns'!E200),"Unknown")</f>
        <v>1.367106e-05</v>
      </c>
      <c r="X71" s="2">
        <f>IF(COUNT('Turns'!F200)=1,SUM('Turns'!F200),"Unknown")</f>
        <v>1.56e-05</v>
      </c>
      <c r="Y71" s="2">
        <f>IF(COUNT('Turns'!E205)=1,SUM('Turns'!E205),"Unknown")</f>
        <v>0.000521901479</v>
      </c>
      <c r="Z71" s="2">
        <f>IF(COUNT('Turns'!F205)=1,SUM('Turns'!F205),"Unknown")</f>
        <v>0.00059554</v>
      </c>
      <c r="AA71" s="5">
        <f>IF(ISNUMBER(Y71),ROUND(Y71*'Reference data'!$B$2,0),"Unknown")</f>
        <v>52.0</v>
      </c>
      <c r="AB71" s="5">
        <f>IF(ISNUMBER(Z71),ROUND(Z71*'Reference data'!$B$2,0),"Unknown")</f>
        <v>60.0</v>
      </c>
      <c r="AD71" s="1">
        <v>2102.218</v>
      </c>
      <c r="AE71" s="1" t="s">
        <v>318</v>
      </c>
    </row>
    <row r="72" spans="1:31" ht="54" customHeight="1">
      <c r="A72" s="6" t="s">
        <v>335</v>
      </c>
      <c r="B72" s="1">
        <v>5</v>
      </c>
      <c r="C72" s="1" t="s">
        <v>336</v>
      </c>
      <c r="D72" s="1" t="s">
        <v>95</v>
      </c>
      <c r="E72" s="1" t="s">
        <v>111</v>
      </c>
      <c r="F72" s="1">
        <v>3656</v>
      </c>
      <c r="G72" s="6" t="s">
        <v>337</v>
      </c>
      <c r="H72" t="s">
        <v>186</v>
      </c>
      <c r="I72" t="s">
        <v>407</v>
      </c>
      <c r="J72" s="2">
        <f>IF(COUNT('Turns'!D195)=1,SUM('Turns'!D195),"Unknown")</f>
        <v>3.0</v>
      </c>
      <c r="K72" s="2">
        <f>IF(COUNT('Turns'!E195)=1,SUM('Turns'!E195),"Unknown")</f>
        <v>5.2581e-07</v>
      </c>
      <c r="L72" s="2">
        <f>IF(COUNT('Turns'!F195)=1,SUM('Turns'!F195),"Unknown")</f>
        <v>6e-07</v>
      </c>
      <c r="M72" s="2">
        <f>IF(COUNT('Turns'!D194)=1,SUM('Turns'!D194),"Unknown")</f>
        <v>2297.0</v>
      </c>
      <c r="N72" s="2">
        <f>IF(COUNT('Turns'!E194)=1,SUM('Turns'!E194),"Unknown")</f>
        <v>4.0259519e-05</v>
      </c>
      <c r="O72" s="2">
        <f>IF(COUNT('Turns'!F194)=1,SUM('Turns'!F194),"Unknown")</f>
        <v>4.594e-05</v>
      </c>
      <c r="P72" s="2">
        <f>IF(COUNT('Turns'!D197)=1,SUM('Turns'!D197),"Unknown")</f>
        <v>1356.0</v>
      </c>
      <c r="Q72" s="2">
        <f>IF(COUNT('Turns'!E197)=1,SUM('Turns'!E197),"Unknown")</f>
        <v>0.00029708265</v>
      </c>
      <c r="R72" s="2">
        <f>IF(COUNT('Turns'!F197)=1,SUM('Turns'!F197),"Unknown")</f>
        <v>0.000339</v>
      </c>
      <c r="S72" s="2">
        <f>IF(COUNT('Turns'!D201)=1,SUM('Turns'!D201),"Unknown")</f>
        <v>162.0</v>
      </c>
      <c r="T72" s="2">
        <f>IF(COUNT('Turns'!E201)=1,SUM('Turns'!E201),"Unknown")</f>
        <v>0.00017036244</v>
      </c>
      <c r="U72" s="2">
        <f>IF(COUNT('Turns'!F201)=1,SUM('Turns'!F201),"Unknown")</f>
        <v>0.0001944</v>
      </c>
      <c r="V72" s="2">
        <f>IF(COUNT('Turns'!D200)=1,SUM('Turns'!D200),"Unknown")</f>
        <v>13.0</v>
      </c>
      <c r="W72" s="2">
        <f>IF(COUNT('Turns'!E200)=1,SUM('Turns'!E200),"Unknown")</f>
        <v>1.367106e-05</v>
      </c>
      <c r="X72" s="2">
        <f>IF(COUNT('Turns'!F200)=1,SUM('Turns'!F200),"Unknown")</f>
        <v>1.56e-05</v>
      </c>
      <c r="Y72" s="2">
        <f>IF(COUNT('Turns'!E205)=1,SUM('Turns'!E205),"Unknown")</f>
        <v>0.000521901479</v>
      </c>
      <c r="Z72" s="2">
        <f>IF(COUNT('Turns'!F205)=1,SUM('Turns'!F205),"Unknown")</f>
        <v>0.00059554</v>
      </c>
      <c r="AA72" s="5">
        <f>IF(ISNUMBER(Y72),ROUND(Y72*'Reference data'!$B$2,0),"Unknown")</f>
        <v>52.0</v>
      </c>
      <c r="AB72" s="5">
        <f>IF(ISNUMBER(Z72),ROUND(Z72*'Reference data'!$B$2,0),"Unknown")</f>
        <v>60.0</v>
      </c>
      <c r="AC72" s="1" t="s">
        <v>185</v>
      </c>
      <c r="AD72" s="1">
        <v>2097.021</v>
      </c>
      <c r="AE72" s="1" t="s">
        <v>338</v>
      </c>
    </row>
    <row r="73" spans="1:31" ht="54" customHeight="1">
      <c r="A73" s="6" t="s">
        <v>352</v>
      </c>
      <c r="B73" s="1">
        <v>2</v>
      </c>
      <c r="C73" s="1" t="s">
        <v>316</v>
      </c>
      <c r="D73" s="1" t="s">
        <v>47</v>
      </c>
      <c r="E73" s="1" t="s">
        <v>111</v>
      </c>
      <c r="G73" s="6" t="s">
        <v>353</v>
      </c>
      <c r="H73" t="s">
        <v>408</v>
      </c>
      <c r="I73" t="s">
        <v>390</v>
      </c>
      <c r="AD73" s="1">
        <v>0.408</v>
      </c>
      <c r="AE73" s="1" t="s">
        <v>331</v>
      </c>
    </row>
    <row r="74" spans="1:31" ht="54" customHeight="1">
      <c r="A74" s="6" t="s">
        <v>355</v>
      </c>
      <c r="B74" s="1">
        <v>1</v>
      </c>
      <c r="C74" s="1" t="s">
        <v>316</v>
      </c>
      <c r="D74" s="1" t="s">
        <v>47</v>
      </c>
      <c r="E74" s="1" t="s">
        <v>111</v>
      </c>
      <c r="G74" s="6" t="s">
        <v>356</v>
      </c>
      <c r="H74" t="s">
        <v>409</v>
      </c>
      <c r="I74" t="s">
        <v>49</v>
      </c>
      <c r="J74" s="2">
        <f>IF(COUNT('Turns'!D208,'Turns'!D227,'Turns'!D243)=3,SUM('Turns'!D208,'Turns'!D227,'Turns'!D243),"Unknown")</f>
        <v>9.0</v>
      </c>
      <c r="K74" s="2">
        <f>IF(COUNT('Turns'!E208,'Turns'!E227,'Turns'!E243)=3,SUM('Turns'!E208,'Turns'!E227,'Turns'!E243),"Unknown")</f>
        <v>1.57743e-06</v>
      </c>
      <c r="L74" s="2">
        <f>IF(COUNT('Turns'!F208,'Turns'!F227,'Turns'!F243)=3,SUM('Turns'!F208,'Turns'!F227,'Turns'!F243),"Unknown")</f>
        <v>1.8e-06</v>
      </c>
      <c r="M74" s="2">
        <f>IF(COUNT('Turns'!D207,'Turns'!D226,'Turns'!D242)=3,SUM('Turns'!D207,'Turns'!D226,'Turns'!D242),"Unknown")</f>
        <v>7796.0</v>
      </c>
      <c r="N74" s="2">
        <f>IF(COUNT('Turns'!E207,'Turns'!E226,'Turns'!E242)=3,SUM('Turns'!E207,'Turns'!E226,'Turns'!E242),"Unknown")</f>
        <v>0.000136640492</v>
      </c>
      <c r="O74" s="2">
        <f>IF(COUNT('Turns'!F207,'Turns'!F226,'Turns'!F242)=3,SUM('Turns'!F207,'Turns'!F226,'Turns'!F242),"Unknown")</f>
        <v>0.00015592</v>
      </c>
      <c r="P74" s="2">
        <f>IF(COUNT('Turns'!D210,'Turns'!D229,'Turns'!D245)=3,SUM('Turns'!D210,'Turns'!D229,'Turns'!D245),"Unknown")</f>
        <v>4682.0</v>
      </c>
      <c r="Q74" s="2">
        <f>IF(COUNT('Turns'!E210,'Turns'!E229,'Turns'!E245)=3,SUM('Turns'!E210,'Turns'!E229,'Turns'!E245),"Unknown")</f>
        <v>0.001025767675</v>
      </c>
      <c r="R74" s="2">
        <f>IF(COUNT('Turns'!F210,'Turns'!F229,'Turns'!F245)=3,SUM('Turns'!F210,'Turns'!F229,'Turns'!F245),"Unknown")</f>
        <v>0.0011705</v>
      </c>
      <c r="S74" s="2">
        <f>IF(COUNT('Turns'!D214,'Turns'!D233,'Turns'!D249)=3,SUM('Turns'!D214,'Turns'!D233,'Turns'!D249),"Unknown")</f>
        <v>664.0</v>
      </c>
      <c r="T74" s="2">
        <f>IF(COUNT('Turns'!E214,'Turns'!E233,'Turns'!E249)=3,SUM('Turns'!E214,'Turns'!E233,'Turns'!E249),"Unknown")</f>
        <v>0.00069827568</v>
      </c>
      <c r="U74" s="2">
        <f>IF(COUNT('Turns'!F214,'Turns'!F233,'Turns'!F249)=3,SUM('Turns'!F214,'Turns'!F233,'Turns'!F249),"Unknown")</f>
        <v>0.0007968</v>
      </c>
      <c r="V74" s="2">
        <f>IF(COUNT('Turns'!D213,'Turns'!D232,'Turns'!D248)=3,SUM('Turns'!D213,'Turns'!D232,'Turns'!D248),"Unknown")</f>
        <v>155.0</v>
      </c>
      <c r="W74" s="2">
        <f>IF(COUNT('Turns'!E213,'Turns'!E232,'Turns'!E248)=3,SUM('Turns'!E213,'Turns'!E232,'Turns'!E248),"Unknown")</f>
        <v>0.0001630011</v>
      </c>
      <c r="X74" s="2">
        <f>IF(COUNT('Turns'!F213,'Turns'!F232,'Turns'!F248)=3,SUM('Turns'!F213,'Turns'!F232,'Turns'!F248),"Unknown")</f>
        <v>0.000186</v>
      </c>
      <c r="Y74" s="2">
        <f>IF(COUNT('Turns'!E218,'Turns'!E237,'Turns'!E253)=3,SUM('Turns'!E218,'Turns'!E237,'Turns'!E253),"Unknown")</f>
        <v>0.002025262377</v>
      </c>
      <c r="Z74" s="2">
        <f>IF(COUNT('Turns'!F218,'Turns'!F237,'Turns'!F253)=3,SUM('Turns'!F218,'Turns'!F237,'Turns'!F253),"Unknown")</f>
        <v>0.00231102</v>
      </c>
      <c r="AA74" s="5">
        <f>IF(ISNUMBER(Y74),ROUND(Y74*'Reference data'!$B$2,0),"Unknown")</f>
        <v>203.0</v>
      </c>
      <c r="AB74" s="5">
        <f>IF(ISNUMBER(Z74),ROUND(Z74*'Reference data'!$B$2,0),"Unknown")</f>
        <v>231.0</v>
      </c>
      <c r="AD74" s="1">
        <v>11173.351</v>
      </c>
      <c r="AE74" s="1" t="s">
        <v>318</v>
      </c>
    </row>
    <row r="75" spans="1:31" ht="54" customHeight="1">
      <c r="A75" s="6" t="s">
        <v>322</v>
      </c>
      <c r="B75" s="1">
        <v>2</v>
      </c>
      <c r="C75" s="1" t="s">
        <v>316</v>
      </c>
      <c r="D75" s="1" t="s">
        <v>47</v>
      </c>
      <c r="E75" s="1" t="s">
        <v>111</v>
      </c>
      <c r="G75" s="6" t="s">
        <v>323</v>
      </c>
      <c r="H75" t="s">
        <v>410</v>
      </c>
      <c r="I75" t="s">
        <v>409</v>
      </c>
      <c r="J75" s="2">
        <f>IF(COUNT('Turns'!D208,'Turns'!D227,'Turns'!D243)=3,SUM('Turns'!D208,'Turns'!D227,'Turns'!D243),"Unknown")</f>
        <v>9.0</v>
      </c>
      <c r="K75" s="2">
        <f>IF(COUNT('Turns'!E208,'Turns'!E227,'Turns'!E243)=3,SUM('Turns'!E208,'Turns'!E227,'Turns'!E243),"Unknown")</f>
        <v>1.57743e-06</v>
      </c>
      <c r="L75" s="2">
        <f>IF(COUNT('Turns'!F208,'Turns'!F227,'Turns'!F243)=3,SUM('Turns'!F208,'Turns'!F227,'Turns'!F243),"Unknown")</f>
        <v>1.8e-06</v>
      </c>
      <c r="M75" s="2">
        <f>IF(COUNT('Turns'!D207,'Turns'!D226,'Turns'!D242)=3,SUM('Turns'!D207,'Turns'!D226,'Turns'!D242),"Unknown")</f>
        <v>7796.0</v>
      </c>
      <c r="N75" s="2">
        <f>IF(COUNT('Turns'!E207,'Turns'!E226,'Turns'!E242)=3,SUM('Turns'!E207,'Turns'!E226,'Turns'!E242),"Unknown")</f>
        <v>0.000136640492</v>
      </c>
      <c r="O75" s="2">
        <f>IF(COUNT('Turns'!F207,'Turns'!F226,'Turns'!F242)=3,SUM('Turns'!F207,'Turns'!F226,'Turns'!F242),"Unknown")</f>
        <v>0.00015592</v>
      </c>
      <c r="P75" s="2">
        <f>IF(COUNT('Turns'!D210,'Turns'!D229,'Turns'!D245)=3,SUM('Turns'!D210,'Turns'!D229,'Turns'!D245),"Unknown")</f>
        <v>4682.0</v>
      </c>
      <c r="Q75" s="2">
        <f>IF(COUNT('Turns'!E210,'Turns'!E229,'Turns'!E245)=3,SUM('Turns'!E210,'Turns'!E229,'Turns'!E245),"Unknown")</f>
        <v>0.001025767675</v>
      </c>
      <c r="R75" s="2">
        <f>IF(COUNT('Turns'!F210,'Turns'!F229,'Turns'!F245)=3,SUM('Turns'!F210,'Turns'!F229,'Turns'!F245),"Unknown")</f>
        <v>0.0011705</v>
      </c>
      <c r="S75" s="2">
        <f>IF(COUNT('Turns'!D214,'Turns'!D233,'Turns'!D249)=3,SUM('Turns'!D214,'Turns'!D233,'Turns'!D249),"Unknown")</f>
        <v>664.0</v>
      </c>
      <c r="T75" s="2">
        <f>IF(COUNT('Turns'!E214,'Turns'!E233,'Turns'!E249)=3,SUM('Turns'!E214,'Turns'!E233,'Turns'!E249),"Unknown")</f>
        <v>0.00069827568</v>
      </c>
      <c r="U75" s="2">
        <f>IF(COUNT('Turns'!F214,'Turns'!F233,'Turns'!F249)=3,SUM('Turns'!F214,'Turns'!F233,'Turns'!F249),"Unknown")</f>
        <v>0.0007968</v>
      </c>
      <c r="V75" s="2">
        <f>IF(COUNT('Turns'!D213,'Turns'!D232,'Turns'!D248)=3,SUM('Turns'!D213,'Turns'!D232,'Turns'!D248),"Unknown")</f>
        <v>155.0</v>
      </c>
      <c r="W75" s="2">
        <f>IF(COUNT('Turns'!E213,'Turns'!E232,'Turns'!E248)=3,SUM('Turns'!E213,'Turns'!E232,'Turns'!E248),"Unknown")</f>
        <v>0.0001630011</v>
      </c>
      <c r="X75" s="2">
        <f>IF(COUNT('Turns'!F213,'Turns'!F232,'Turns'!F248)=3,SUM('Turns'!F213,'Turns'!F232,'Turns'!F248),"Unknown")</f>
        <v>0.000186</v>
      </c>
      <c r="Y75" s="2">
        <f>IF(COUNT('Turns'!E218,'Turns'!E237,'Turns'!E253)=3,SUM('Turns'!E218,'Turns'!E237,'Turns'!E253),"Unknown")</f>
        <v>0.002025262377</v>
      </c>
      <c r="Z75" s="2">
        <f>IF(COUNT('Turns'!F218,'Turns'!F237,'Turns'!F253)=3,SUM('Turns'!F218,'Turns'!F237,'Turns'!F253),"Unknown")</f>
        <v>0.00231102</v>
      </c>
      <c r="AA75" s="5">
        <f>IF(ISNUMBER(Y75),ROUND(Y75*'Reference data'!$B$2,0),"Unknown")</f>
        <v>203.0</v>
      </c>
      <c r="AB75" s="5">
        <f>IF(ISNUMBER(Z75),ROUND(Z75*'Reference data'!$B$2,0),"Unknown")</f>
        <v>231.0</v>
      </c>
      <c r="AD75" s="1">
        <v>11172.268</v>
      </c>
      <c r="AE75" s="1" t="s">
        <v>318</v>
      </c>
    </row>
    <row r="76" spans="1:31" ht="54" customHeight="1">
      <c r="A76" s="6" t="s">
        <v>359</v>
      </c>
      <c r="B76" s="1">
        <v>3</v>
      </c>
      <c r="C76" s="1" t="s">
        <v>316</v>
      </c>
      <c r="D76" s="1" t="s">
        <v>47</v>
      </c>
      <c r="E76" s="1" t="s">
        <v>111</v>
      </c>
      <c r="G76" s="6" t="s">
        <v>360</v>
      </c>
      <c r="H76" t="s">
        <v>411</v>
      </c>
      <c r="I76" t="s">
        <v>410</v>
      </c>
      <c r="J76" s="2">
        <f>IF(COUNT('Turns'!D208,'Turns'!D227,'Turns'!D243)=3,SUM('Turns'!D208,'Turns'!D227,'Turns'!D243),"Unknown")</f>
        <v>9.0</v>
      </c>
      <c r="K76" s="2">
        <f>IF(COUNT('Turns'!E208,'Turns'!E227,'Turns'!E243)=3,SUM('Turns'!E208,'Turns'!E227,'Turns'!E243),"Unknown")</f>
        <v>1.57743e-06</v>
      </c>
      <c r="L76" s="2">
        <f>IF(COUNT('Turns'!F208,'Turns'!F227,'Turns'!F243)=3,SUM('Turns'!F208,'Turns'!F227,'Turns'!F243),"Unknown")</f>
        <v>1.8e-06</v>
      </c>
      <c r="M76" s="2">
        <f>IF(COUNT('Turns'!D207,'Turns'!D226,'Turns'!D242)=3,SUM('Turns'!D207,'Turns'!D226,'Turns'!D242),"Unknown")</f>
        <v>7796.0</v>
      </c>
      <c r="N76" s="2">
        <f>IF(COUNT('Turns'!E207,'Turns'!E226,'Turns'!E242)=3,SUM('Turns'!E207,'Turns'!E226,'Turns'!E242),"Unknown")</f>
        <v>0.000136640492</v>
      </c>
      <c r="O76" s="2">
        <f>IF(COUNT('Turns'!F207,'Turns'!F226,'Turns'!F242)=3,SUM('Turns'!F207,'Turns'!F226,'Turns'!F242),"Unknown")</f>
        <v>0.00015592</v>
      </c>
      <c r="P76" s="2">
        <f>IF(COUNT('Turns'!D210,'Turns'!D229,'Turns'!D245)=3,SUM('Turns'!D210,'Turns'!D229,'Turns'!D245),"Unknown")</f>
        <v>4682.0</v>
      </c>
      <c r="Q76" s="2">
        <f>IF(COUNT('Turns'!E210,'Turns'!E229,'Turns'!E245)=3,SUM('Turns'!E210,'Turns'!E229,'Turns'!E245),"Unknown")</f>
        <v>0.001025767675</v>
      </c>
      <c r="R76" s="2">
        <f>IF(COUNT('Turns'!F210,'Turns'!F229,'Turns'!F245)=3,SUM('Turns'!F210,'Turns'!F229,'Turns'!F245),"Unknown")</f>
        <v>0.0011705</v>
      </c>
      <c r="S76" s="2">
        <f>IF(COUNT('Turns'!D214,'Turns'!D233,'Turns'!D249)=3,SUM('Turns'!D214,'Turns'!D233,'Turns'!D249),"Unknown")</f>
        <v>664.0</v>
      </c>
      <c r="T76" s="2">
        <f>IF(COUNT('Turns'!E214,'Turns'!E233,'Turns'!E249)=3,SUM('Turns'!E214,'Turns'!E233,'Turns'!E249),"Unknown")</f>
        <v>0.00069827568</v>
      </c>
      <c r="U76" s="2">
        <f>IF(COUNT('Turns'!F214,'Turns'!F233,'Turns'!F249)=3,SUM('Turns'!F214,'Turns'!F233,'Turns'!F249),"Unknown")</f>
        <v>0.0007968</v>
      </c>
      <c r="V76" s="2">
        <f>IF(COUNT('Turns'!D213,'Turns'!D232,'Turns'!D248)=3,SUM('Turns'!D213,'Turns'!D232,'Turns'!D248),"Unknown")</f>
        <v>155.0</v>
      </c>
      <c r="W76" s="2">
        <f>IF(COUNT('Turns'!E213,'Turns'!E232,'Turns'!E248)=3,SUM('Turns'!E213,'Turns'!E232,'Turns'!E248),"Unknown")</f>
        <v>0.0001630011</v>
      </c>
      <c r="X76" s="2">
        <f>IF(COUNT('Turns'!F213,'Turns'!F232,'Turns'!F248)=3,SUM('Turns'!F213,'Turns'!F232,'Turns'!F248),"Unknown")</f>
        <v>0.000186</v>
      </c>
      <c r="Y76" s="2">
        <f>IF(COUNT('Turns'!E218,'Turns'!E237,'Turns'!E253)=3,SUM('Turns'!E218,'Turns'!E237,'Turns'!E253),"Unknown")</f>
        <v>0.002025262377</v>
      </c>
      <c r="Z76" s="2">
        <f>IF(COUNT('Turns'!F218,'Turns'!F237,'Turns'!F253)=3,SUM('Turns'!F218,'Turns'!F237,'Turns'!F253),"Unknown")</f>
        <v>0.00231102</v>
      </c>
      <c r="AA76" s="5">
        <f>IF(ISNUMBER(Y76),ROUND(Y76*'Reference data'!$B$2,0),"Unknown")</f>
        <v>203.0</v>
      </c>
      <c r="AB76" s="5">
        <f>IF(ISNUMBER(Z76),ROUND(Z76*'Reference data'!$B$2,0),"Unknown")</f>
        <v>231.0</v>
      </c>
      <c r="AD76" s="1">
        <v>11170.512</v>
      </c>
      <c r="AE76" s="1" t="s">
        <v>318</v>
      </c>
    </row>
    <row r="77" spans="1:31" ht="54" customHeight="1">
      <c r="A77" s="6" t="s">
        <v>328</v>
      </c>
      <c r="B77" s="1">
        <v>4</v>
      </c>
      <c r="C77" s="1" t="s">
        <v>316</v>
      </c>
      <c r="D77" s="1" t="s">
        <v>47</v>
      </c>
      <c r="E77" s="1" t="s">
        <v>111</v>
      </c>
      <c r="G77" s="6" t="s">
        <v>329</v>
      </c>
      <c r="H77" t="s">
        <v>412</v>
      </c>
      <c r="I77" t="s">
        <v>411</v>
      </c>
      <c r="AD77" s="1">
        <v>0.889</v>
      </c>
      <c r="AE77" s="1" t="s">
        <v>331</v>
      </c>
    </row>
    <row r="78" spans="1:31" ht="54" customHeight="1">
      <c r="A78" s="6" t="s">
        <v>332</v>
      </c>
      <c r="B78" s="1">
        <v>4</v>
      </c>
      <c r="C78" s="1" t="s">
        <v>316</v>
      </c>
      <c r="D78" s="1" t="s">
        <v>47</v>
      </c>
      <c r="E78" s="1" t="s">
        <v>111</v>
      </c>
      <c r="G78" s="6" t="s">
        <v>333</v>
      </c>
      <c r="H78" t="s">
        <v>413</v>
      </c>
      <c r="I78" t="s">
        <v>411</v>
      </c>
      <c r="J78" s="2">
        <f>IF(COUNT('Turns'!D208)=1,SUM('Turns'!D208),"Unknown")</f>
        <v>3.0</v>
      </c>
      <c r="K78" s="2">
        <f>IF(COUNT('Turns'!E208)=1,SUM('Turns'!E208),"Unknown")</f>
        <v>5.2581e-07</v>
      </c>
      <c r="L78" s="2">
        <f>IF(COUNT('Turns'!F208)=1,SUM('Turns'!F208),"Unknown")</f>
        <v>6e-07</v>
      </c>
      <c r="M78" s="2">
        <f>IF(COUNT('Turns'!D207)=1,SUM('Turns'!D207),"Unknown")</f>
        <v>0.0</v>
      </c>
      <c r="N78" s="2">
        <f>IF(COUNT('Turns'!E207)=1,SUM('Turns'!E207),"Unknown")</f>
        <v>0.0</v>
      </c>
      <c r="O78" s="2">
        <f>IF(COUNT('Turns'!F207)=1,SUM('Turns'!F207),"Unknown")</f>
        <v>0.0</v>
      </c>
      <c r="P78" s="2">
        <f>IF(COUNT('Turns'!D210)=1,SUM('Turns'!D210),"Unknown")</f>
        <v>3658.0</v>
      </c>
      <c r="Q78" s="2">
        <f>IF(COUNT('Turns'!E210)=1,SUM('Turns'!E210),"Unknown")</f>
        <v>0.000801422075</v>
      </c>
      <c r="R78" s="2">
        <f>IF(COUNT('Turns'!F210)=1,SUM('Turns'!F210),"Unknown")</f>
        <v>0.0009145</v>
      </c>
      <c r="S78" s="2">
        <f>IF(COUNT('Turns'!D214)=1,SUM('Turns'!D214),"Unknown")</f>
        <v>73.0</v>
      </c>
      <c r="T78" s="2">
        <f>IF(COUNT('Turns'!E214)=1,SUM('Turns'!E214),"Unknown")</f>
        <v>7.676826e-05</v>
      </c>
      <c r="U78" s="2">
        <f>IF(COUNT('Turns'!F214)=1,SUM('Turns'!F214),"Unknown")</f>
        <v>8.76e-05</v>
      </c>
      <c r="V78" s="2">
        <f>IF(COUNT('Turns'!D213)=1,SUM('Turns'!D213),"Unknown")</f>
        <v>14.0</v>
      </c>
      <c r="W78" s="2">
        <f>IF(COUNT('Turns'!E213)=1,SUM('Turns'!E213),"Unknown")</f>
        <v>1.472268e-05</v>
      </c>
      <c r="X78" s="2">
        <f>IF(COUNT('Turns'!F213)=1,SUM('Turns'!F213),"Unknown")</f>
        <v>1.68e-05</v>
      </c>
      <c r="Y78" s="2">
        <f>IF(COUNT('Turns'!E218)=1,SUM('Turns'!E218),"Unknown")</f>
        <v>0.000893438825</v>
      </c>
      <c r="Z78" s="2">
        <f>IF(COUNT('Turns'!F218)=1,SUM('Turns'!F218),"Unknown")</f>
        <v>0.0010195</v>
      </c>
      <c r="AA78" s="5">
        <f>IF(ISNUMBER(Y78),ROUND(Y78*'Reference data'!$B$2,0),"Unknown")</f>
        <v>89.0</v>
      </c>
      <c r="AB78" s="5">
        <f>IF(ISNUMBER(Z78),ROUND(Z78*'Reference data'!$B$2,0),"Unknown")</f>
        <v>102.0</v>
      </c>
      <c r="AD78" s="1">
        <v>1629.705</v>
      </c>
      <c r="AE78" s="1" t="s">
        <v>318</v>
      </c>
    </row>
    <row r="79" spans="1:31" ht="54" customHeight="1">
      <c r="A79" s="6" t="s">
        <v>335</v>
      </c>
      <c r="B79" s="1">
        <v>5</v>
      </c>
      <c r="C79" s="1" t="s">
        <v>336</v>
      </c>
      <c r="D79" s="1" t="s">
        <v>95</v>
      </c>
      <c r="E79" s="1" t="s">
        <v>111</v>
      </c>
      <c r="F79" s="1">
        <v>3661</v>
      </c>
      <c r="G79" s="6" t="s">
        <v>337</v>
      </c>
      <c r="H79" t="s">
        <v>189</v>
      </c>
      <c r="I79" t="s">
        <v>413</v>
      </c>
      <c r="J79" s="2">
        <f>IF(COUNT('Turns'!D208)=1,SUM('Turns'!D208),"Unknown")</f>
        <v>3.0</v>
      </c>
      <c r="K79" s="2">
        <f>IF(COUNT('Turns'!E208)=1,SUM('Turns'!E208),"Unknown")</f>
        <v>5.2581e-07</v>
      </c>
      <c r="L79" s="2">
        <f>IF(COUNT('Turns'!F208)=1,SUM('Turns'!F208),"Unknown")</f>
        <v>6e-07</v>
      </c>
      <c r="M79" s="2">
        <f>IF(COUNT('Turns'!D207)=1,SUM('Turns'!D207),"Unknown")</f>
        <v>0.0</v>
      </c>
      <c r="N79" s="2">
        <f>IF(COUNT('Turns'!E207)=1,SUM('Turns'!E207),"Unknown")</f>
        <v>0.0</v>
      </c>
      <c r="O79" s="2">
        <f>IF(COUNT('Turns'!F207)=1,SUM('Turns'!F207),"Unknown")</f>
        <v>0.0</v>
      </c>
      <c r="P79" s="2">
        <f>IF(COUNT('Turns'!D210)=1,SUM('Turns'!D210),"Unknown")</f>
        <v>3658.0</v>
      </c>
      <c r="Q79" s="2">
        <f>IF(COUNT('Turns'!E210)=1,SUM('Turns'!E210),"Unknown")</f>
        <v>0.000801422075</v>
      </c>
      <c r="R79" s="2">
        <f>IF(COUNT('Turns'!F210)=1,SUM('Turns'!F210),"Unknown")</f>
        <v>0.0009145</v>
      </c>
      <c r="S79" s="2">
        <f>IF(COUNT('Turns'!D214)=1,SUM('Turns'!D214),"Unknown")</f>
        <v>73.0</v>
      </c>
      <c r="T79" s="2">
        <f>IF(COUNT('Turns'!E214)=1,SUM('Turns'!E214),"Unknown")</f>
        <v>7.676826e-05</v>
      </c>
      <c r="U79" s="2">
        <f>IF(COUNT('Turns'!F214)=1,SUM('Turns'!F214),"Unknown")</f>
        <v>8.76e-05</v>
      </c>
      <c r="V79" s="2">
        <f>IF(COUNT('Turns'!D213)=1,SUM('Turns'!D213),"Unknown")</f>
        <v>14.0</v>
      </c>
      <c r="W79" s="2">
        <f>IF(COUNT('Turns'!E213)=1,SUM('Turns'!E213),"Unknown")</f>
        <v>1.472268e-05</v>
      </c>
      <c r="X79" s="2">
        <f>IF(COUNT('Turns'!F213)=1,SUM('Turns'!F213),"Unknown")</f>
        <v>1.68e-05</v>
      </c>
      <c r="Y79" s="2">
        <f>IF(COUNT('Turns'!E218)=1,SUM('Turns'!E218),"Unknown")</f>
        <v>0.000893438825</v>
      </c>
      <c r="Z79" s="2">
        <f>IF(COUNT('Turns'!F218)=1,SUM('Turns'!F218),"Unknown")</f>
        <v>0.0010195</v>
      </c>
      <c r="AA79" s="5">
        <f>IF(ISNUMBER(Y79),ROUND(Y79*'Reference data'!$B$2,0),"Unknown")</f>
        <v>89.0</v>
      </c>
      <c r="AB79" s="5">
        <f>IF(ISNUMBER(Z79),ROUND(Z79*'Reference data'!$B$2,0),"Unknown")</f>
        <v>102.0</v>
      </c>
      <c r="AC79" s="1" t="s">
        <v>188</v>
      </c>
      <c r="AD79" s="1">
        <v>1625.21</v>
      </c>
      <c r="AE79" s="1" t="s">
        <v>338</v>
      </c>
    </row>
    <row r="80" spans="1:31" ht="54" customHeight="1">
      <c r="A80" s="6" t="s">
        <v>339</v>
      </c>
      <c r="B80" s="1">
        <v>4</v>
      </c>
      <c r="C80" s="1" t="s">
        <v>316</v>
      </c>
      <c r="D80" s="1" t="s">
        <v>47</v>
      </c>
      <c r="E80" s="1" t="s">
        <v>111</v>
      </c>
      <c r="G80" s="6" t="s">
        <v>340</v>
      </c>
      <c r="H80" t="s">
        <v>414</v>
      </c>
      <c r="I80" t="s">
        <v>411</v>
      </c>
      <c r="AD80" s="1">
        <v>7.127</v>
      </c>
      <c r="AE80" s="1" t="s">
        <v>331</v>
      </c>
    </row>
    <row r="81" spans="1:31" ht="54" customHeight="1">
      <c r="A81" s="6" t="s">
        <v>342</v>
      </c>
      <c r="B81" s="1">
        <v>5</v>
      </c>
      <c r="C81" s="1" t="s">
        <v>343</v>
      </c>
      <c r="D81" s="1" t="s">
        <v>47</v>
      </c>
      <c r="E81" s="1" t="s">
        <v>111</v>
      </c>
      <c r="G81" s="6" t="s">
        <v>344</v>
      </c>
      <c r="H81" t="s">
        <v>191</v>
      </c>
      <c r="I81" t="s">
        <v>414</v>
      </c>
      <c r="AD81" s="1">
        <v>4.043</v>
      </c>
      <c r="AE81" s="1" t="s">
        <v>331</v>
      </c>
    </row>
    <row r="82" spans="1:31" ht="54" customHeight="1">
      <c r="A82" s="6" t="s">
        <v>339</v>
      </c>
      <c r="B82" s="1">
        <v>4</v>
      </c>
      <c r="C82" s="1" t="s">
        <v>316</v>
      </c>
      <c r="D82" s="1" t="s">
        <v>47</v>
      </c>
      <c r="E82" s="1" t="s">
        <v>111</v>
      </c>
      <c r="G82" s="6" t="s">
        <v>340</v>
      </c>
      <c r="H82" t="s">
        <v>415</v>
      </c>
      <c r="I82" t="s">
        <v>411</v>
      </c>
      <c r="AD82" s="1">
        <v>5.121</v>
      </c>
      <c r="AE82" s="1" t="s">
        <v>331</v>
      </c>
    </row>
    <row r="83" spans="1:31" ht="54" customHeight="1">
      <c r="A83" s="6" t="s">
        <v>342</v>
      </c>
      <c r="B83" s="1">
        <v>5</v>
      </c>
      <c r="C83" s="1" t="s">
        <v>343</v>
      </c>
      <c r="D83" s="1" t="s">
        <v>47</v>
      </c>
      <c r="E83" s="1" t="s">
        <v>113</v>
      </c>
      <c r="G83" s="6" t="s">
        <v>344</v>
      </c>
      <c r="H83" t="s">
        <v>192</v>
      </c>
      <c r="I83" t="s">
        <v>415</v>
      </c>
      <c r="AD83" s="1">
        <v>1.763</v>
      </c>
      <c r="AE83" s="1" t="s">
        <v>331</v>
      </c>
    </row>
    <row r="84" spans="1:31" ht="54" customHeight="1">
      <c r="A84" s="6" t="s">
        <v>328</v>
      </c>
      <c r="B84" s="1">
        <v>4</v>
      </c>
      <c r="C84" s="1" t="s">
        <v>316</v>
      </c>
      <c r="D84" s="1" t="s">
        <v>47</v>
      </c>
      <c r="E84" s="1" t="s">
        <v>111</v>
      </c>
      <c r="G84" s="6" t="s">
        <v>329</v>
      </c>
      <c r="H84" t="s">
        <v>416</v>
      </c>
      <c r="I84" t="s">
        <v>411</v>
      </c>
      <c r="AD84" s="1">
        <v>1.099</v>
      </c>
      <c r="AE84" s="1" t="s">
        <v>331</v>
      </c>
    </row>
    <row r="85" spans="1:31" ht="54" customHeight="1">
      <c r="A85" s="6" t="s">
        <v>332</v>
      </c>
      <c r="B85" s="1">
        <v>4</v>
      </c>
      <c r="C85" s="1" t="s">
        <v>316</v>
      </c>
      <c r="D85" s="1" t="s">
        <v>47</v>
      </c>
      <c r="E85" s="1" t="s">
        <v>111</v>
      </c>
      <c r="G85" s="6" t="s">
        <v>333</v>
      </c>
      <c r="H85" t="s">
        <v>417</v>
      </c>
      <c r="I85" t="s">
        <v>411</v>
      </c>
      <c r="J85" s="2">
        <f>IF(COUNT('Turns'!D227)=1,SUM('Turns'!D227),"Unknown")</f>
        <v>3.0</v>
      </c>
      <c r="K85" s="2">
        <f>IF(COUNT('Turns'!E227)=1,SUM('Turns'!E227),"Unknown")</f>
        <v>5.2581e-07</v>
      </c>
      <c r="L85" s="2">
        <f>IF(COUNT('Turns'!F227)=1,SUM('Turns'!F227),"Unknown")</f>
        <v>6e-07</v>
      </c>
      <c r="M85" s="2">
        <f>IF(COUNT('Turns'!D226)=1,SUM('Turns'!D226),"Unknown")</f>
        <v>3658.0</v>
      </c>
      <c r="N85" s="2">
        <f>IF(COUNT('Turns'!E226)=1,SUM('Turns'!E226),"Unknown")</f>
        <v>6.4113766e-05</v>
      </c>
      <c r="O85" s="2">
        <f>IF(COUNT('Turns'!F226)=1,SUM('Turns'!F226),"Unknown")</f>
        <v>7.316e-05</v>
      </c>
      <c r="P85" s="2">
        <f>IF(COUNT('Turns'!D229)=1,SUM('Turns'!D229),"Unknown")</f>
        <v>480.0</v>
      </c>
      <c r="Q85" s="2">
        <f>IF(COUNT('Turns'!E229)=1,SUM('Turns'!E229),"Unknown")</f>
        <v>0.000105162</v>
      </c>
      <c r="R85" s="2">
        <f>IF(COUNT('Turns'!F229)=1,SUM('Turns'!F229),"Unknown")</f>
        <v>0.00012</v>
      </c>
      <c r="S85" s="2">
        <f>IF(COUNT('Turns'!D233)=1,SUM('Turns'!D233),"Unknown")</f>
        <v>436.0</v>
      </c>
      <c r="T85" s="2">
        <f>IF(COUNT('Turns'!E233)=1,SUM('Turns'!E233),"Unknown")</f>
        <v>0.00045850632</v>
      </c>
      <c r="U85" s="2">
        <f>IF(COUNT('Turns'!F233)=1,SUM('Turns'!F233),"Unknown")</f>
        <v>0.0005232</v>
      </c>
      <c r="V85" s="2">
        <f>IF(COUNT('Turns'!D232)=1,SUM('Turns'!D232),"Unknown")</f>
        <v>91.0</v>
      </c>
      <c r="W85" s="2">
        <f>IF(COUNT('Turns'!E232)=1,SUM('Turns'!E232),"Unknown")</f>
        <v>9.569742e-05</v>
      </c>
      <c r="X85" s="2">
        <f>IF(COUNT('Turns'!F232)=1,SUM('Turns'!F232),"Unknown")</f>
        <v>0.0001092</v>
      </c>
      <c r="Y85" s="2">
        <f>IF(COUNT('Turns'!E237)=1,SUM('Turns'!E237),"Unknown")</f>
        <v>0.000724005316</v>
      </c>
      <c r="Z85" s="2">
        <f>IF(COUNT('Turns'!F237)=1,SUM('Turns'!F237),"Unknown")</f>
        <v>0.00082616</v>
      </c>
      <c r="AA85" s="5">
        <f>IF(ISNUMBER(Y85),ROUND(Y85*'Reference data'!$B$2,0),"Unknown")</f>
        <v>72.0</v>
      </c>
      <c r="AB85" s="5">
        <f>IF(ISNUMBER(Z85),ROUND(Z85*'Reference data'!$B$2,0),"Unknown")</f>
        <v>83.0</v>
      </c>
      <c r="AD85" s="1">
        <v>6352.559</v>
      </c>
      <c r="AE85" s="1" t="s">
        <v>318</v>
      </c>
    </row>
    <row r="86" spans="1:31" ht="54" customHeight="1">
      <c r="A86" s="6" t="s">
        <v>335</v>
      </c>
      <c r="B86" s="1">
        <v>5</v>
      </c>
      <c r="C86" s="1" t="s">
        <v>336</v>
      </c>
      <c r="D86" s="1" t="s">
        <v>95</v>
      </c>
      <c r="E86" s="1" t="s">
        <v>111</v>
      </c>
      <c r="F86" s="1">
        <v>4141</v>
      </c>
      <c r="G86" s="6" t="s">
        <v>337</v>
      </c>
      <c r="H86" t="s">
        <v>196</v>
      </c>
      <c r="I86" t="s">
        <v>417</v>
      </c>
      <c r="J86" s="2">
        <f>IF(COUNT('Turns'!D227)=1,SUM('Turns'!D227),"Unknown")</f>
        <v>3.0</v>
      </c>
      <c r="K86" s="2">
        <f>IF(COUNT('Turns'!E227)=1,SUM('Turns'!E227),"Unknown")</f>
        <v>5.2581e-07</v>
      </c>
      <c r="L86" s="2">
        <f>IF(COUNT('Turns'!F227)=1,SUM('Turns'!F227),"Unknown")</f>
        <v>6e-07</v>
      </c>
      <c r="M86" s="2">
        <f>IF(COUNT('Turns'!D226)=1,SUM('Turns'!D226),"Unknown")</f>
        <v>3658.0</v>
      </c>
      <c r="N86" s="2">
        <f>IF(COUNT('Turns'!E226)=1,SUM('Turns'!E226),"Unknown")</f>
        <v>6.4113766e-05</v>
      </c>
      <c r="O86" s="2">
        <f>IF(COUNT('Turns'!F226)=1,SUM('Turns'!F226),"Unknown")</f>
        <v>7.316e-05</v>
      </c>
      <c r="P86" s="2">
        <f>IF(COUNT('Turns'!D229)=1,SUM('Turns'!D229),"Unknown")</f>
        <v>480.0</v>
      </c>
      <c r="Q86" s="2">
        <f>IF(COUNT('Turns'!E229)=1,SUM('Turns'!E229),"Unknown")</f>
        <v>0.000105162</v>
      </c>
      <c r="R86" s="2">
        <f>IF(COUNT('Turns'!F229)=1,SUM('Turns'!F229),"Unknown")</f>
        <v>0.00012</v>
      </c>
      <c r="S86" s="2">
        <f>IF(COUNT('Turns'!D233)=1,SUM('Turns'!D233),"Unknown")</f>
        <v>436.0</v>
      </c>
      <c r="T86" s="2">
        <f>IF(COUNT('Turns'!E233)=1,SUM('Turns'!E233),"Unknown")</f>
        <v>0.00045850632</v>
      </c>
      <c r="U86" s="2">
        <f>IF(COUNT('Turns'!F233)=1,SUM('Turns'!F233),"Unknown")</f>
        <v>0.0005232</v>
      </c>
      <c r="V86" s="2">
        <f>IF(COUNT('Turns'!D232)=1,SUM('Turns'!D232),"Unknown")</f>
        <v>91.0</v>
      </c>
      <c r="W86" s="2">
        <f>IF(COUNT('Turns'!E232)=1,SUM('Turns'!E232),"Unknown")</f>
        <v>9.569742e-05</v>
      </c>
      <c r="X86" s="2">
        <f>IF(COUNT('Turns'!F232)=1,SUM('Turns'!F232),"Unknown")</f>
        <v>0.0001092</v>
      </c>
      <c r="Y86" s="2">
        <f>IF(COUNT('Turns'!E237)=1,SUM('Turns'!E237),"Unknown")</f>
        <v>0.000724005316</v>
      </c>
      <c r="Z86" s="2">
        <f>IF(COUNT('Turns'!F237)=1,SUM('Turns'!F237),"Unknown")</f>
        <v>0.00082616</v>
      </c>
      <c r="AA86" s="5">
        <f>IF(ISNUMBER(Y86),ROUND(Y86*'Reference data'!$B$2,0),"Unknown")</f>
        <v>72.0</v>
      </c>
      <c r="AB86" s="5">
        <f>IF(ISNUMBER(Z86),ROUND(Z86*'Reference data'!$B$2,0),"Unknown")</f>
        <v>83.0</v>
      </c>
      <c r="AC86" s="1" t="s">
        <v>195</v>
      </c>
      <c r="AD86" s="1">
        <v>6348.864</v>
      </c>
      <c r="AE86" s="1" t="s">
        <v>338</v>
      </c>
    </row>
    <row r="87" spans="1:31" ht="54" customHeight="1">
      <c r="A87" s="6" t="s">
        <v>339</v>
      </c>
      <c r="B87" s="1">
        <v>4</v>
      </c>
      <c r="C87" s="1" t="s">
        <v>316</v>
      </c>
      <c r="D87" s="1" t="s">
        <v>47</v>
      </c>
      <c r="E87" s="1" t="s">
        <v>111</v>
      </c>
      <c r="G87" s="6" t="s">
        <v>340</v>
      </c>
      <c r="H87" t="s">
        <v>418</v>
      </c>
      <c r="I87" t="s">
        <v>411</v>
      </c>
      <c r="AD87" s="1">
        <v>1.805</v>
      </c>
      <c r="AE87" s="1" t="s">
        <v>331</v>
      </c>
    </row>
    <row r="88" spans="1:31" ht="54" customHeight="1">
      <c r="A88" s="6" t="s">
        <v>348</v>
      </c>
      <c r="B88" s="1">
        <v>5</v>
      </c>
      <c r="C88" s="1" t="s">
        <v>343</v>
      </c>
      <c r="D88" s="1" t="s">
        <v>47</v>
      </c>
      <c r="E88" s="1" t="s">
        <v>111</v>
      </c>
      <c r="G88" s="6" t="s">
        <v>349</v>
      </c>
      <c r="H88" t="s">
        <v>199</v>
      </c>
      <c r="I88" t="s">
        <v>418</v>
      </c>
      <c r="AD88" s="1">
        <v>0.748</v>
      </c>
      <c r="AE88" s="1" t="s">
        <v>331</v>
      </c>
    </row>
    <row r="89" spans="1:31" ht="54" customHeight="1">
      <c r="A89" s="6" t="s">
        <v>328</v>
      </c>
      <c r="B89" s="1">
        <v>4</v>
      </c>
      <c r="C89" s="1" t="s">
        <v>316</v>
      </c>
      <c r="D89" s="1" t="s">
        <v>47</v>
      </c>
      <c r="E89" s="1" t="s">
        <v>111</v>
      </c>
      <c r="G89" s="6" t="s">
        <v>329</v>
      </c>
      <c r="H89" t="s">
        <v>419</v>
      </c>
      <c r="I89" t="s">
        <v>411</v>
      </c>
      <c r="AD89" s="1">
        <v>0.544</v>
      </c>
      <c r="AE89" s="1" t="s">
        <v>331</v>
      </c>
    </row>
    <row r="90" spans="1:31" ht="54" customHeight="1">
      <c r="A90" s="6" t="s">
        <v>332</v>
      </c>
      <c r="B90" s="1">
        <v>4</v>
      </c>
      <c r="C90" s="1" t="s">
        <v>316</v>
      </c>
      <c r="D90" s="1" t="s">
        <v>47</v>
      </c>
      <c r="E90" s="1" t="s">
        <v>111</v>
      </c>
      <c r="G90" s="6" t="s">
        <v>333</v>
      </c>
      <c r="H90" t="s">
        <v>420</v>
      </c>
      <c r="I90" t="s">
        <v>411</v>
      </c>
      <c r="J90" s="2">
        <f>IF(COUNT('Turns'!D243)=1,SUM('Turns'!D243),"Unknown")</f>
        <v>3.0</v>
      </c>
      <c r="K90" s="2">
        <f>IF(COUNT('Turns'!E243)=1,SUM('Turns'!E243),"Unknown")</f>
        <v>5.2581e-07</v>
      </c>
      <c r="L90" s="2">
        <f>IF(COUNT('Turns'!F243)=1,SUM('Turns'!F243),"Unknown")</f>
        <v>6e-07</v>
      </c>
      <c r="M90" s="2">
        <f>IF(COUNT('Turns'!D242)=1,SUM('Turns'!D242),"Unknown")</f>
        <v>4138.0</v>
      </c>
      <c r="N90" s="2">
        <f>IF(COUNT('Turns'!E242)=1,SUM('Turns'!E242),"Unknown")</f>
        <v>7.2526726e-05</v>
      </c>
      <c r="O90" s="2">
        <f>IF(COUNT('Turns'!F242)=1,SUM('Turns'!F242),"Unknown")</f>
        <v>8.276e-05</v>
      </c>
      <c r="P90" s="2">
        <f>IF(COUNT('Turns'!D245)=1,SUM('Turns'!D245),"Unknown")</f>
        <v>544.0</v>
      </c>
      <c r="Q90" s="2">
        <f>IF(COUNT('Turns'!E245)=1,SUM('Turns'!E245),"Unknown")</f>
        <v>0.0001191836</v>
      </c>
      <c r="R90" s="2">
        <f>IF(COUNT('Turns'!F245)=1,SUM('Turns'!F245),"Unknown")</f>
        <v>0.000136</v>
      </c>
      <c r="S90" s="2">
        <f>IF(COUNT('Turns'!D249)=1,SUM('Turns'!D249),"Unknown")</f>
        <v>155.0</v>
      </c>
      <c r="T90" s="2">
        <f>IF(COUNT('Turns'!E249)=1,SUM('Turns'!E249),"Unknown")</f>
        <v>0.0001630011</v>
      </c>
      <c r="U90" s="2">
        <f>IF(COUNT('Turns'!F249)=1,SUM('Turns'!F249),"Unknown")</f>
        <v>0.000186</v>
      </c>
      <c r="V90" s="2">
        <f>IF(COUNT('Turns'!D248)=1,SUM('Turns'!D248),"Unknown")</f>
        <v>50.0</v>
      </c>
      <c r="W90" s="2">
        <f>IF(COUNT('Turns'!E248)=1,SUM('Turns'!E248),"Unknown")</f>
        <v>5.2581e-05</v>
      </c>
      <c r="X90" s="2">
        <f>IF(COUNT('Turns'!F248)=1,SUM('Turns'!F248),"Unknown")</f>
        <v>6e-05</v>
      </c>
      <c r="Y90" s="2">
        <f>IF(COUNT('Turns'!E253)=1,SUM('Turns'!E253),"Unknown")</f>
        <v>0.000407818236</v>
      </c>
      <c r="Z90" s="2">
        <f>IF(COUNT('Turns'!F253)=1,SUM('Turns'!F253),"Unknown")</f>
        <v>0.00046536</v>
      </c>
      <c r="AA90" s="5">
        <f>IF(ISNUMBER(Y90),ROUND(Y90*'Reference data'!$B$2,0),"Unknown")</f>
        <v>41.0</v>
      </c>
      <c r="AB90" s="5">
        <f>IF(ISNUMBER(Z90),ROUND(Z90*'Reference data'!$B$2,0),"Unknown")</f>
        <v>47.0</v>
      </c>
      <c r="AD90" s="1">
        <v>3166.772</v>
      </c>
      <c r="AE90" s="1" t="s">
        <v>318</v>
      </c>
    </row>
    <row r="91" spans="1:31" ht="54" customHeight="1">
      <c r="A91" s="6" t="s">
        <v>335</v>
      </c>
      <c r="B91" s="1">
        <v>5</v>
      </c>
      <c r="C91" s="1" t="s">
        <v>336</v>
      </c>
      <c r="D91" s="1" t="s">
        <v>95</v>
      </c>
      <c r="E91" s="1" t="s">
        <v>111</v>
      </c>
      <c r="F91" s="1">
        <v>4685</v>
      </c>
      <c r="G91" s="6" t="s">
        <v>337</v>
      </c>
      <c r="H91" t="s">
        <v>203</v>
      </c>
      <c r="I91" t="s">
        <v>420</v>
      </c>
      <c r="J91" s="2">
        <f>IF(COUNT('Turns'!D243)=1,SUM('Turns'!D243),"Unknown")</f>
        <v>3.0</v>
      </c>
      <c r="K91" s="2">
        <f>IF(COUNT('Turns'!E243)=1,SUM('Turns'!E243),"Unknown")</f>
        <v>5.2581e-07</v>
      </c>
      <c r="L91" s="2">
        <f>IF(COUNT('Turns'!F243)=1,SUM('Turns'!F243),"Unknown")</f>
        <v>6e-07</v>
      </c>
      <c r="M91" s="2">
        <f>IF(COUNT('Turns'!D242)=1,SUM('Turns'!D242),"Unknown")</f>
        <v>4138.0</v>
      </c>
      <c r="N91" s="2">
        <f>IF(COUNT('Turns'!E242)=1,SUM('Turns'!E242),"Unknown")</f>
        <v>7.2526726e-05</v>
      </c>
      <c r="O91" s="2">
        <f>IF(COUNT('Turns'!F242)=1,SUM('Turns'!F242),"Unknown")</f>
        <v>8.276e-05</v>
      </c>
      <c r="P91" s="2">
        <f>IF(COUNT('Turns'!D245)=1,SUM('Turns'!D245),"Unknown")</f>
        <v>544.0</v>
      </c>
      <c r="Q91" s="2">
        <f>IF(COUNT('Turns'!E245)=1,SUM('Turns'!E245),"Unknown")</f>
        <v>0.0001191836</v>
      </c>
      <c r="R91" s="2">
        <f>IF(COUNT('Turns'!F245)=1,SUM('Turns'!F245),"Unknown")</f>
        <v>0.000136</v>
      </c>
      <c r="S91" s="2">
        <f>IF(COUNT('Turns'!D249)=1,SUM('Turns'!D249),"Unknown")</f>
        <v>155.0</v>
      </c>
      <c r="T91" s="2">
        <f>IF(COUNT('Turns'!E249)=1,SUM('Turns'!E249),"Unknown")</f>
        <v>0.0001630011</v>
      </c>
      <c r="U91" s="2">
        <f>IF(COUNT('Turns'!F249)=1,SUM('Turns'!F249),"Unknown")</f>
        <v>0.000186</v>
      </c>
      <c r="V91" s="2">
        <f>IF(COUNT('Turns'!D248)=1,SUM('Turns'!D248),"Unknown")</f>
        <v>50.0</v>
      </c>
      <c r="W91" s="2">
        <f>IF(COUNT('Turns'!E248)=1,SUM('Turns'!E248),"Unknown")</f>
        <v>5.2581e-05</v>
      </c>
      <c r="X91" s="2">
        <f>IF(COUNT('Turns'!F248)=1,SUM('Turns'!F248),"Unknown")</f>
        <v>6e-05</v>
      </c>
      <c r="Y91" s="2">
        <f>IF(COUNT('Turns'!E253)=1,SUM('Turns'!E253),"Unknown")</f>
        <v>0.000407818236</v>
      </c>
      <c r="Z91" s="2">
        <f>IF(COUNT('Turns'!F253)=1,SUM('Turns'!F253),"Unknown")</f>
        <v>0.00046536</v>
      </c>
      <c r="AA91" s="5">
        <f>IF(ISNUMBER(Y91),ROUND(Y91*'Reference data'!$B$2,0),"Unknown")</f>
        <v>41.0</v>
      </c>
      <c r="AB91" s="5">
        <f>IF(ISNUMBER(Z91),ROUND(Z91*'Reference data'!$B$2,0),"Unknown")</f>
        <v>47.0</v>
      </c>
      <c r="AC91" s="1" t="s">
        <v>202</v>
      </c>
      <c r="AD91" s="1">
        <v>3163.086</v>
      </c>
      <c r="AE91" s="1" t="s">
        <v>338</v>
      </c>
    </row>
    <row r="92" spans="1:31" ht="54" customHeight="1">
      <c r="A92" s="6" t="s">
        <v>374</v>
      </c>
      <c r="B92" s="1">
        <v>1</v>
      </c>
      <c r="C92" s="1" t="s">
        <v>316</v>
      </c>
      <c r="D92" s="1" t="s">
        <v>47</v>
      </c>
      <c r="E92" s="1" t="s">
        <v>111</v>
      </c>
      <c r="G92" s="6" t="s">
        <v>375</v>
      </c>
      <c r="H92" t="s">
        <v>421</v>
      </c>
      <c r="I92" t="s">
        <v>49</v>
      </c>
      <c r="J92" s="2">
        <f>IF(COUNT('Turns'!D256,'Turns'!D271,'Turns'!D289)=3,SUM('Turns'!D256,'Turns'!D271,'Turns'!D289),"Unknown")</f>
        <v>9.0</v>
      </c>
      <c r="K92" s="2">
        <f>IF(COUNT('Turns'!E256,'Turns'!E271,'Turns'!E289)=3,SUM('Turns'!E256,'Turns'!E271,'Turns'!E289),"Unknown")</f>
        <v>1.57743e-06</v>
      </c>
      <c r="L92" s="2">
        <f>IF(COUNT('Turns'!F256,'Turns'!F271,'Turns'!F289)=3,SUM('Turns'!F256,'Turns'!F271,'Turns'!F289),"Unknown")</f>
        <v>1.8e-06</v>
      </c>
      <c r="M92" s="2">
        <f>IF(COUNT('Turns'!D255,'Turns'!D270,'Turns'!D288)=3,SUM('Turns'!D255,'Turns'!D270,'Turns'!D288),"Unknown")</f>
        <v>3596.0</v>
      </c>
      <c r="N92" s="2">
        <f>IF(COUNT('Turns'!E255,'Turns'!E270,'Turns'!E288)=3,SUM('Turns'!E255,'Turns'!E270,'Turns'!E288),"Unknown")</f>
        <v>6.3027092e-05</v>
      </c>
      <c r="O92" s="2">
        <f>IF(COUNT('Turns'!F255,'Turns'!F270,'Turns'!F288)=3,SUM('Turns'!F255,'Turns'!F270,'Turns'!F288),"Unknown")</f>
        <v>7.192e-05</v>
      </c>
      <c r="P92" s="2">
        <f>IF(COUNT('Turns'!D257,'Turns'!D273,'Turns'!D291)=3,SUM('Turns'!D257,'Turns'!D273,'Turns'!D291),"Unknown")</f>
        <v>2986.0</v>
      </c>
      <c r="Q92" s="2">
        <f>IF(COUNT('Turns'!E257,'Turns'!E273,'Turns'!E291)=3,SUM('Turns'!E257,'Turns'!E273,'Turns'!E291),"Unknown")</f>
        <v>0.000654195275</v>
      </c>
      <c r="R92" s="2">
        <f>IF(COUNT('Turns'!F257,'Turns'!F273,'Turns'!F291)=3,SUM('Turns'!F257,'Turns'!F273,'Turns'!F291),"Unknown")</f>
        <v>0.0007465</v>
      </c>
      <c r="S92" s="2">
        <f>IF(COUNT('Turns'!D261,'Turns'!D276,'Turns'!D295)=3,SUM('Turns'!D261,'Turns'!D276,'Turns'!D295),"Unknown")</f>
        <v>252.0</v>
      </c>
      <c r="T92" s="2">
        <f>IF(COUNT('Turns'!E261,'Turns'!E276,'Turns'!E295)=3,SUM('Turns'!E261,'Turns'!E276,'Turns'!E295),"Unknown")</f>
        <v>0.00026500824</v>
      </c>
      <c r="U92" s="2">
        <f>IF(COUNT('Turns'!F261,'Turns'!F276,'Turns'!F295)=3,SUM('Turns'!F261,'Turns'!F276,'Turns'!F295),"Unknown")</f>
        <v>0.0003024</v>
      </c>
      <c r="V92" s="2">
        <f>IF(COUNT('Turns'!D260,'Turns'!D294)=2,SUM('Turns'!D260,'Turns'!D294),"Unknown")</f>
        <v>165.0</v>
      </c>
      <c r="W92" s="2">
        <f>IF(COUNT('Turns'!E260,'Turns'!E294)=2,SUM('Turns'!E260,'Turns'!E294),"Unknown")</f>
        <v>0.0001735173</v>
      </c>
      <c r="X92" s="2">
        <f>IF(COUNT('Turns'!F260,'Turns'!F294)=2,SUM('Turns'!F260,'Turns'!F294),"Unknown")</f>
        <v>0.000198</v>
      </c>
      <c r="Y92" s="2">
        <f>IF(COUNT('Turns'!E265,'Turns'!E280,'Turns'!E299)=3,SUM('Turns'!E265,'Turns'!E280,'Turns'!E299),"Unknown")</f>
        <v>0.001157325337</v>
      </c>
      <c r="Z92" s="2">
        <f>IF(COUNT('Turns'!F265,'Turns'!F280,'Turns'!F299)=3,SUM('Turns'!F265,'Turns'!F280,'Turns'!F299),"Unknown")</f>
        <v>0.00132062</v>
      </c>
      <c r="AA92" s="5">
        <f>IF(ISNUMBER(Y92),ROUND(Y92*'Reference data'!$B$2,0),"Unknown")</f>
        <v>116.0</v>
      </c>
      <c r="AB92" s="5">
        <f>IF(ISNUMBER(Z92),ROUND(Z92*'Reference data'!$B$2,0),"Unknown")</f>
        <v>132.0</v>
      </c>
      <c r="AD92" s="1">
        <v>7659.786</v>
      </c>
      <c r="AE92" s="1" t="s">
        <v>318</v>
      </c>
    </row>
    <row r="93" spans="1:31" ht="54" customHeight="1">
      <c r="A93" s="6" t="s">
        <v>322</v>
      </c>
      <c r="B93" s="1">
        <v>2</v>
      </c>
      <c r="C93" s="1" t="s">
        <v>316</v>
      </c>
      <c r="D93" s="1" t="s">
        <v>47</v>
      </c>
      <c r="E93" s="1" t="s">
        <v>111</v>
      </c>
      <c r="G93" s="6" t="s">
        <v>323</v>
      </c>
      <c r="H93" t="s">
        <v>422</v>
      </c>
      <c r="I93" t="s">
        <v>421</v>
      </c>
      <c r="J93" s="2">
        <f>IF(COUNT('Turns'!D256,'Turns'!D271,'Turns'!D289)=3,SUM('Turns'!D256,'Turns'!D271,'Turns'!D289),"Unknown")</f>
        <v>9.0</v>
      </c>
      <c r="K93" s="2">
        <f>IF(COUNT('Turns'!E256,'Turns'!E271,'Turns'!E289)=3,SUM('Turns'!E256,'Turns'!E271,'Turns'!E289),"Unknown")</f>
        <v>1.57743e-06</v>
      </c>
      <c r="L93" s="2">
        <f>IF(COUNT('Turns'!F256,'Turns'!F271,'Turns'!F289)=3,SUM('Turns'!F256,'Turns'!F271,'Turns'!F289),"Unknown")</f>
        <v>1.8e-06</v>
      </c>
      <c r="M93" s="2">
        <f>IF(COUNT('Turns'!D255,'Turns'!D270,'Turns'!D288)=3,SUM('Turns'!D255,'Turns'!D270,'Turns'!D288),"Unknown")</f>
        <v>3596.0</v>
      </c>
      <c r="N93" s="2">
        <f>IF(COUNT('Turns'!E255,'Turns'!E270,'Turns'!E288)=3,SUM('Turns'!E255,'Turns'!E270,'Turns'!E288),"Unknown")</f>
        <v>6.3027092e-05</v>
      </c>
      <c r="O93" s="2">
        <f>IF(COUNT('Turns'!F255,'Turns'!F270,'Turns'!F288)=3,SUM('Turns'!F255,'Turns'!F270,'Turns'!F288),"Unknown")</f>
        <v>7.192e-05</v>
      </c>
      <c r="P93" s="2">
        <f>IF(COUNT('Turns'!D257,'Turns'!D273,'Turns'!D291)=3,SUM('Turns'!D257,'Turns'!D273,'Turns'!D291),"Unknown")</f>
        <v>2986.0</v>
      </c>
      <c r="Q93" s="2">
        <f>IF(COUNT('Turns'!E257,'Turns'!E273,'Turns'!E291)=3,SUM('Turns'!E257,'Turns'!E273,'Turns'!E291),"Unknown")</f>
        <v>0.000654195275</v>
      </c>
      <c r="R93" s="2">
        <f>IF(COUNT('Turns'!F257,'Turns'!F273,'Turns'!F291)=3,SUM('Turns'!F257,'Turns'!F273,'Turns'!F291),"Unknown")</f>
        <v>0.0007465</v>
      </c>
      <c r="S93" s="2">
        <f>IF(COUNT('Turns'!D261,'Turns'!D276,'Turns'!D295)=3,SUM('Turns'!D261,'Turns'!D276,'Turns'!D295),"Unknown")</f>
        <v>252.0</v>
      </c>
      <c r="T93" s="2">
        <f>IF(COUNT('Turns'!E261,'Turns'!E276,'Turns'!E295)=3,SUM('Turns'!E261,'Turns'!E276,'Turns'!E295),"Unknown")</f>
        <v>0.00026500824</v>
      </c>
      <c r="U93" s="2">
        <f>IF(COUNT('Turns'!F261,'Turns'!F276,'Turns'!F295)=3,SUM('Turns'!F261,'Turns'!F276,'Turns'!F295),"Unknown")</f>
        <v>0.0003024</v>
      </c>
      <c r="V93" s="2">
        <f>IF(COUNT('Turns'!D260,'Turns'!D294)=2,SUM('Turns'!D260,'Turns'!D294),"Unknown")</f>
        <v>165.0</v>
      </c>
      <c r="W93" s="2">
        <f>IF(COUNT('Turns'!E260,'Turns'!E294)=2,SUM('Turns'!E260,'Turns'!E294),"Unknown")</f>
        <v>0.0001735173</v>
      </c>
      <c r="X93" s="2">
        <f>IF(COUNT('Turns'!F260,'Turns'!F294)=2,SUM('Turns'!F260,'Turns'!F294),"Unknown")</f>
        <v>0.000198</v>
      </c>
      <c r="Y93" s="2">
        <f>IF(COUNT('Turns'!E265,'Turns'!E280,'Turns'!E299)=3,SUM('Turns'!E265,'Turns'!E280,'Turns'!E299),"Unknown")</f>
        <v>0.001157325337</v>
      </c>
      <c r="Z93" s="2">
        <f>IF(COUNT('Turns'!F265,'Turns'!F280,'Turns'!F299)=3,SUM('Turns'!F265,'Turns'!F280,'Turns'!F299),"Unknown")</f>
        <v>0.00132062</v>
      </c>
      <c r="AA93" s="5">
        <f>IF(ISNUMBER(Y93),ROUND(Y93*'Reference data'!$B$2,0),"Unknown")</f>
        <v>116.0</v>
      </c>
      <c r="AB93" s="5">
        <f>IF(ISNUMBER(Z93),ROUND(Z93*'Reference data'!$B$2,0),"Unknown")</f>
        <v>132.0</v>
      </c>
      <c r="AD93" s="1">
        <v>7658.024</v>
      </c>
      <c r="AE93" s="1" t="s">
        <v>318</v>
      </c>
    </row>
    <row r="94" spans="1:31" ht="54" customHeight="1">
      <c r="A94" s="6" t="s">
        <v>378</v>
      </c>
      <c r="B94" s="1">
        <v>3</v>
      </c>
      <c r="C94" s="1" t="s">
        <v>316</v>
      </c>
      <c r="D94" s="1" t="s">
        <v>47</v>
      </c>
      <c r="E94" s="1" t="s">
        <v>111</v>
      </c>
      <c r="G94" s="6" t="s">
        <v>379</v>
      </c>
      <c r="H94" t="s">
        <v>423</v>
      </c>
      <c r="I94" t="s">
        <v>422</v>
      </c>
      <c r="J94" s="2">
        <f>IF(COUNT('Turns'!D256,'Turns'!D271,'Turns'!D289)=3,SUM('Turns'!D256,'Turns'!D271,'Turns'!D289),"Unknown")</f>
        <v>9.0</v>
      </c>
      <c r="K94" s="2">
        <f>IF(COUNT('Turns'!E256,'Turns'!E271,'Turns'!E289)=3,SUM('Turns'!E256,'Turns'!E271,'Turns'!E289),"Unknown")</f>
        <v>1.57743e-06</v>
      </c>
      <c r="L94" s="2">
        <f>IF(COUNT('Turns'!F256,'Turns'!F271,'Turns'!F289)=3,SUM('Turns'!F256,'Turns'!F271,'Turns'!F289),"Unknown")</f>
        <v>1.8e-06</v>
      </c>
      <c r="M94" s="2">
        <f>IF(COUNT('Turns'!D255,'Turns'!D270,'Turns'!D288)=3,SUM('Turns'!D255,'Turns'!D270,'Turns'!D288),"Unknown")</f>
        <v>3596.0</v>
      </c>
      <c r="N94" s="2">
        <f>IF(COUNT('Turns'!E255,'Turns'!E270,'Turns'!E288)=3,SUM('Turns'!E255,'Turns'!E270,'Turns'!E288),"Unknown")</f>
        <v>6.3027092e-05</v>
      </c>
      <c r="O94" s="2">
        <f>IF(COUNT('Turns'!F255,'Turns'!F270,'Turns'!F288)=3,SUM('Turns'!F255,'Turns'!F270,'Turns'!F288),"Unknown")</f>
        <v>7.192e-05</v>
      </c>
      <c r="P94" s="2">
        <f>IF(COUNT('Turns'!D257,'Turns'!D273,'Turns'!D291)=3,SUM('Turns'!D257,'Turns'!D273,'Turns'!D291),"Unknown")</f>
        <v>2986.0</v>
      </c>
      <c r="Q94" s="2">
        <f>IF(COUNT('Turns'!E257,'Turns'!E273,'Turns'!E291)=3,SUM('Turns'!E257,'Turns'!E273,'Turns'!E291),"Unknown")</f>
        <v>0.000654195275</v>
      </c>
      <c r="R94" s="2">
        <f>IF(COUNT('Turns'!F257,'Turns'!F273,'Turns'!F291)=3,SUM('Turns'!F257,'Turns'!F273,'Turns'!F291),"Unknown")</f>
        <v>0.0007465</v>
      </c>
      <c r="S94" s="2">
        <f>IF(COUNT('Turns'!D261,'Turns'!D276,'Turns'!D295)=3,SUM('Turns'!D261,'Turns'!D276,'Turns'!D295),"Unknown")</f>
        <v>252.0</v>
      </c>
      <c r="T94" s="2">
        <f>IF(COUNT('Turns'!E261,'Turns'!E276,'Turns'!E295)=3,SUM('Turns'!E261,'Turns'!E276,'Turns'!E295),"Unknown")</f>
        <v>0.00026500824</v>
      </c>
      <c r="U94" s="2">
        <f>IF(COUNT('Turns'!F261,'Turns'!F276,'Turns'!F295)=3,SUM('Turns'!F261,'Turns'!F276,'Turns'!F295),"Unknown")</f>
        <v>0.0003024</v>
      </c>
      <c r="V94" s="2">
        <f>IF(COUNT('Turns'!D260,'Turns'!D294)=2,SUM('Turns'!D260,'Turns'!D294),"Unknown")</f>
        <v>165.0</v>
      </c>
      <c r="W94" s="2">
        <f>IF(COUNT('Turns'!E260,'Turns'!E294)=2,SUM('Turns'!E260,'Turns'!E294),"Unknown")</f>
        <v>0.0001735173</v>
      </c>
      <c r="X94" s="2">
        <f>IF(COUNT('Turns'!F260,'Turns'!F294)=2,SUM('Turns'!F260,'Turns'!F294),"Unknown")</f>
        <v>0.000198</v>
      </c>
      <c r="Y94" s="2">
        <f>IF(COUNT('Turns'!E265,'Turns'!E280,'Turns'!E299)=3,SUM('Turns'!E265,'Turns'!E280,'Turns'!E299),"Unknown")</f>
        <v>0.001157325337</v>
      </c>
      <c r="Z94" s="2">
        <f>IF(COUNT('Turns'!F265,'Turns'!F280,'Turns'!F299)=3,SUM('Turns'!F265,'Turns'!F280,'Turns'!F299),"Unknown")</f>
        <v>0.00132062</v>
      </c>
      <c r="AA94" s="5">
        <f>IF(ISNUMBER(Y94),ROUND(Y94*'Reference data'!$B$2,0),"Unknown")</f>
        <v>116.0</v>
      </c>
      <c r="AB94" s="5">
        <f>IF(ISNUMBER(Z94),ROUND(Z94*'Reference data'!$B$2,0),"Unknown")</f>
        <v>132.0</v>
      </c>
      <c r="AD94" s="1">
        <v>7656.835</v>
      </c>
      <c r="AE94" s="1" t="s">
        <v>318</v>
      </c>
    </row>
    <row r="95" spans="1:31" ht="54" customHeight="1">
      <c r="A95" s="6" t="s">
        <v>332</v>
      </c>
      <c r="B95" s="1">
        <v>4</v>
      </c>
      <c r="C95" s="1" t="s">
        <v>316</v>
      </c>
      <c r="D95" s="1" t="s">
        <v>47</v>
      </c>
      <c r="E95" s="1" t="s">
        <v>111</v>
      </c>
      <c r="G95" s="6" t="s">
        <v>333</v>
      </c>
      <c r="H95" t="s">
        <v>424</v>
      </c>
      <c r="I95" t="s">
        <v>423</v>
      </c>
      <c r="J95" s="2">
        <f>IF(COUNT('Turns'!D256)=1,SUM('Turns'!D256),"Unknown")</f>
        <v>3.0</v>
      </c>
      <c r="K95" s="2">
        <f>IF(COUNT('Turns'!E256)=1,SUM('Turns'!E256),"Unknown")</f>
        <v>5.2581e-07</v>
      </c>
      <c r="L95" s="2">
        <f>IF(COUNT('Turns'!F256)=1,SUM('Turns'!F256),"Unknown")</f>
        <v>6e-07</v>
      </c>
      <c r="M95" s="2">
        <f>IF(COUNT('Turns'!D255)=1,SUM('Turns'!D255),"Unknown")</f>
        <v>0.0</v>
      </c>
      <c r="N95" s="2">
        <f>IF(COUNT('Turns'!E255)=1,SUM('Turns'!E255),"Unknown")</f>
        <v>0.0</v>
      </c>
      <c r="O95" s="2">
        <f>IF(COUNT('Turns'!F255)=1,SUM('Turns'!F255),"Unknown")</f>
        <v>0.0</v>
      </c>
      <c r="P95" s="2">
        <f>IF(COUNT('Turns'!D257)=1,SUM('Turns'!D257),"Unknown")</f>
        <v>1412.0</v>
      </c>
      <c r="Q95" s="2">
        <f>IF(COUNT('Turns'!E257)=1,SUM('Turns'!E257),"Unknown")</f>
        <v>0.00030935155</v>
      </c>
      <c r="R95" s="2">
        <f>IF(COUNT('Turns'!F257)=1,SUM('Turns'!F257),"Unknown")</f>
        <v>0.000353</v>
      </c>
      <c r="S95" s="2">
        <f>IF(COUNT('Turns'!D261)=1,SUM('Turns'!D261),"Unknown")</f>
        <v>31.0</v>
      </c>
      <c r="T95" s="2">
        <f>IF(COUNT('Turns'!E261)=1,SUM('Turns'!E261),"Unknown")</f>
        <v>3.260022e-05</v>
      </c>
      <c r="U95" s="2">
        <f>IF(COUNT('Turns'!F261)=1,SUM('Turns'!F261),"Unknown")</f>
        <v>3.72e-05</v>
      </c>
      <c r="V95" s="2">
        <f>IF(COUNT('Turns'!D260)=1,SUM('Turns'!D260),"Unknown")</f>
        <v>31.0</v>
      </c>
      <c r="W95" s="2">
        <f>IF(COUNT('Turns'!E260)=1,SUM('Turns'!E260),"Unknown")</f>
        <v>3.260022e-05</v>
      </c>
      <c r="X95" s="2">
        <f>IF(COUNT('Turns'!F260)=1,SUM('Turns'!F260),"Unknown")</f>
        <v>3.72e-05</v>
      </c>
      <c r="Y95" s="2">
        <f>IF(COUNT('Turns'!E265)=1,SUM('Turns'!E265),"Unknown")</f>
        <v>0.0003750778</v>
      </c>
      <c r="Z95" s="2">
        <f>IF(COUNT('Turns'!F265)=1,SUM('Turns'!F265),"Unknown")</f>
        <v>0.000428</v>
      </c>
      <c r="AA95" s="5">
        <f>IF(ISNUMBER(Y95),ROUND(Y95*'Reference data'!$B$2,0),"Unknown")</f>
        <v>38.0</v>
      </c>
      <c r="AB95" s="5">
        <f>IF(ISNUMBER(Z95),ROUND(Z95*'Reference data'!$B$2,0),"Unknown")</f>
        <v>43.0</v>
      </c>
      <c r="AD95" s="1">
        <v>1810.062</v>
      </c>
      <c r="AE95" s="1" t="s">
        <v>318</v>
      </c>
    </row>
    <row r="96" spans="1:31" ht="54" customHeight="1">
      <c r="A96" s="6" t="s">
        <v>335</v>
      </c>
      <c r="B96" s="1">
        <v>5</v>
      </c>
      <c r="C96" s="1" t="s">
        <v>336</v>
      </c>
      <c r="D96" s="1" t="s">
        <v>95</v>
      </c>
      <c r="E96" s="1" t="s">
        <v>111</v>
      </c>
      <c r="F96" s="1">
        <v>1415</v>
      </c>
      <c r="G96" s="6" t="s">
        <v>337</v>
      </c>
      <c r="H96" t="s">
        <v>206</v>
      </c>
      <c r="I96" t="s">
        <v>424</v>
      </c>
      <c r="J96" s="2">
        <f>IF(COUNT('Turns'!D256)=1,SUM('Turns'!D256),"Unknown")</f>
        <v>3.0</v>
      </c>
      <c r="K96" s="2">
        <f>IF(COUNT('Turns'!E256)=1,SUM('Turns'!E256),"Unknown")</f>
        <v>5.2581e-07</v>
      </c>
      <c r="L96" s="2">
        <f>IF(COUNT('Turns'!F256)=1,SUM('Turns'!F256),"Unknown")</f>
        <v>6e-07</v>
      </c>
      <c r="M96" s="2">
        <f>IF(COUNT('Turns'!D255)=1,SUM('Turns'!D255),"Unknown")</f>
        <v>0.0</v>
      </c>
      <c r="N96" s="2">
        <f>IF(COUNT('Turns'!E255)=1,SUM('Turns'!E255),"Unknown")</f>
        <v>0.0</v>
      </c>
      <c r="O96" s="2">
        <f>IF(COUNT('Turns'!F255)=1,SUM('Turns'!F255),"Unknown")</f>
        <v>0.0</v>
      </c>
      <c r="P96" s="2">
        <f>IF(COUNT('Turns'!D257)=1,SUM('Turns'!D257),"Unknown")</f>
        <v>1412.0</v>
      </c>
      <c r="Q96" s="2">
        <f>IF(COUNT('Turns'!E257)=1,SUM('Turns'!E257),"Unknown")</f>
        <v>0.00030935155</v>
      </c>
      <c r="R96" s="2">
        <f>IF(COUNT('Turns'!F257)=1,SUM('Turns'!F257),"Unknown")</f>
        <v>0.000353</v>
      </c>
      <c r="S96" s="2">
        <f>IF(COUNT('Turns'!D261)=1,SUM('Turns'!D261),"Unknown")</f>
        <v>31.0</v>
      </c>
      <c r="T96" s="2">
        <f>IF(COUNT('Turns'!E261)=1,SUM('Turns'!E261),"Unknown")</f>
        <v>3.260022e-05</v>
      </c>
      <c r="U96" s="2">
        <f>IF(COUNT('Turns'!F261)=1,SUM('Turns'!F261),"Unknown")</f>
        <v>3.72e-05</v>
      </c>
      <c r="V96" s="2">
        <f>IF(COUNT('Turns'!D260)=1,SUM('Turns'!D260),"Unknown")</f>
        <v>31.0</v>
      </c>
      <c r="W96" s="2">
        <f>IF(COUNT('Turns'!E260)=1,SUM('Turns'!E260),"Unknown")</f>
        <v>3.260022e-05</v>
      </c>
      <c r="X96" s="2">
        <f>IF(COUNT('Turns'!F260)=1,SUM('Turns'!F260),"Unknown")</f>
        <v>3.72e-05</v>
      </c>
      <c r="Y96" s="2">
        <f>IF(COUNT('Turns'!E265)=1,SUM('Turns'!E265),"Unknown")</f>
        <v>0.0003750778</v>
      </c>
      <c r="Z96" s="2">
        <f>IF(COUNT('Turns'!F265)=1,SUM('Turns'!F265),"Unknown")</f>
        <v>0.000428</v>
      </c>
      <c r="AA96" s="5">
        <f>IF(ISNUMBER(Y96),ROUND(Y96*'Reference data'!$B$2,0),"Unknown")</f>
        <v>38.0</v>
      </c>
      <c r="AB96" s="5">
        <f>IF(ISNUMBER(Z96),ROUND(Z96*'Reference data'!$B$2,0),"Unknown")</f>
        <v>43.0</v>
      </c>
      <c r="AC96" s="1" t="s">
        <v>205</v>
      </c>
      <c r="AD96" s="1">
        <v>1807.112</v>
      </c>
      <c r="AE96" s="1" t="s">
        <v>338</v>
      </c>
    </row>
    <row r="97" spans="1:31" ht="54" customHeight="1">
      <c r="A97" s="6" t="s">
        <v>339</v>
      </c>
      <c r="B97" s="1">
        <v>4</v>
      </c>
      <c r="C97" s="1" t="s">
        <v>316</v>
      </c>
      <c r="D97" s="1" t="s">
        <v>47</v>
      </c>
      <c r="E97" s="1" t="s">
        <v>111</v>
      </c>
      <c r="G97" s="6" t="s">
        <v>340</v>
      </c>
      <c r="H97" t="s">
        <v>425</v>
      </c>
      <c r="I97" t="s">
        <v>423</v>
      </c>
      <c r="AD97" s="1">
        <v>5.296</v>
      </c>
      <c r="AE97" s="1" t="s">
        <v>331</v>
      </c>
    </row>
    <row r="98" spans="1:31" ht="54" customHeight="1">
      <c r="A98" s="6" t="s">
        <v>342</v>
      </c>
      <c r="B98" s="1">
        <v>5</v>
      </c>
      <c r="C98" s="1" t="s">
        <v>343</v>
      </c>
      <c r="D98" s="1" t="s">
        <v>47</v>
      </c>
      <c r="E98" s="1" t="s">
        <v>111</v>
      </c>
      <c r="G98" s="6" t="s">
        <v>344</v>
      </c>
      <c r="H98" t="s">
        <v>208</v>
      </c>
      <c r="I98" t="s">
        <v>425</v>
      </c>
      <c r="AD98" s="1">
        <v>2.66</v>
      </c>
      <c r="AE98" s="1" t="s">
        <v>331</v>
      </c>
    </row>
    <row r="99" spans="1:31" ht="54" customHeight="1">
      <c r="A99" s="6" t="s">
        <v>332</v>
      </c>
      <c r="B99" s="1">
        <v>4</v>
      </c>
      <c r="C99" s="1" t="s">
        <v>316</v>
      </c>
      <c r="D99" s="1" t="s">
        <v>47</v>
      </c>
      <c r="E99" s="1" t="s">
        <v>111</v>
      </c>
      <c r="G99" s="6" t="s">
        <v>333</v>
      </c>
      <c r="H99" t="s">
        <v>426</v>
      </c>
      <c r="I99" t="s">
        <v>423</v>
      </c>
      <c r="J99" s="2">
        <f>IF(COUNT('Turns'!D271)=1,SUM('Turns'!D271),"Unknown")</f>
        <v>3.0</v>
      </c>
      <c r="K99" s="2">
        <f>IF(COUNT('Turns'!E271)=1,SUM('Turns'!E271),"Unknown")</f>
        <v>5.2581e-07</v>
      </c>
      <c r="L99" s="2">
        <f>IF(COUNT('Turns'!F271)=1,SUM('Turns'!F271),"Unknown")</f>
        <v>6e-07</v>
      </c>
      <c r="M99" s="2">
        <f>IF(COUNT('Turns'!D270)=1,SUM('Turns'!D270),"Unknown")</f>
        <v>1412.0</v>
      </c>
      <c r="N99" s="2">
        <f>IF(COUNT('Turns'!E270)=1,SUM('Turns'!E270),"Unknown")</f>
        <v>2.4748124e-05</v>
      </c>
      <c r="O99" s="2">
        <f>IF(COUNT('Turns'!F270)=1,SUM('Turns'!F270),"Unknown")</f>
        <v>2.824e-05</v>
      </c>
      <c r="P99" s="2">
        <f>IF(COUNT('Turns'!D273)=1,SUM('Turns'!D273),"Unknown")</f>
        <v>772.0</v>
      </c>
      <c r="Q99" s="2">
        <f>IF(COUNT('Turns'!E273)=1,SUM('Turns'!E273),"Unknown")</f>
        <v>0.00016913555</v>
      </c>
      <c r="R99" s="2">
        <f>IF(COUNT('Turns'!F273)=1,SUM('Turns'!F273),"Unknown")</f>
        <v>0.000193</v>
      </c>
      <c r="S99" s="2">
        <f>IF(COUNT('Turns'!D276)=1,SUM('Turns'!D276),"Unknown")</f>
        <v>71.0</v>
      </c>
      <c r="T99" s="2">
        <f>IF(COUNT('Turns'!E276)=1,SUM('Turns'!E276),"Unknown")</f>
        <v>7.466502e-05</v>
      </c>
      <c r="U99" s="2">
        <f>IF(COUNT('Turns'!F276)=1,SUM('Turns'!F276),"Unknown")</f>
        <v>8.52e-05</v>
      </c>
      <c r="V99" s="2">
        <v>0</v>
      </c>
      <c r="W99" s="2">
        <v>0</v>
      </c>
      <c r="X99" s="2">
        <v>0</v>
      </c>
      <c r="Y99" s="2">
        <f>IF(COUNT('Turns'!E280)=1,SUM('Turns'!E280),"Unknown")</f>
        <v>0.000269074504</v>
      </c>
      <c r="Z99" s="2">
        <f>IF(COUNT('Turns'!F280)=1,SUM('Turns'!F280),"Unknown")</f>
        <v>0.00030704</v>
      </c>
      <c r="AA99" s="5">
        <f>IF(ISNUMBER(Y99),ROUND(Y99*'Reference data'!$B$2,0),"Unknown")</f>
        <v>27.0</v>
      </c>
      <c r="AB99" s="5">
        <f>IF(ISNUMBER(Z99),ROUND(Z99*'Reference data'!$B$2,0),"Unknown")</f>
        <v>31.0</v>
      </c>
      <c r="AD99" s="1">
        <v>1969.527</v>
      </c>
      <c r="AE99" s="1" t="s">
        <v>318</v>
      </c>
    </row>
    <row r="100" spans="1:31" ht="54" customHeight="1">
      <c r="A100" s="6" t="s">
        <v>335</v>
      </c>
      <c r="B100" s="1">
        <v>5</v>
      </c>
      <c r="C100" s="1" t="s">
        <v>336</v>
      </c>
      <c r="D100" s="1" t="s">
        <v>95</v>
      </c>
      <c r="E100" s="1" t="s">
        <v>111</v>
      </c>
      <c r="F100" s="1">
        <v>2187</v>
      </c>
      <c r="G100" s="6" t="s">
        <v>337</v>
      </c>
      <c r="H100" t="s">
        <v>210</v>
      </c>
      <c r="I100" t="s">
        <v>426</v>
      </c>
      <c r="J100" s="2">
        <f>IF(COUNT('Turns'!D271)=1,SUM('Turns'!D271),"Unknown")</f>
        <v>3.0</v>
      </c>
      <c r="K100" s="2">
        <f>IF(COUNT('Turns'!E271)=1,SUM('Turns'!E271),"Unknown")</f>
        <v>5.2581e-07</v>
      </c>
      <c r="L100" s="2">
        <f>IF(COUNT('Turns'!F271)=1,SUM('Turns'!F271),"Unknown")</f>
        <v>6e-07</v>
      </c>
      <c r="M100" s="2">
        <f>IF(COUNT('Turns'!D270)=1,SUM('Turns'!D270),"Unknown")</f>
        <v>1412.0</v>
      </c>
      <c r="N100" s="2">
        <f>IF(COUNT('Turns'!E270)=1,SUM('Turns'!E270),"Unknown")</f>
        <v>2.4748124e-05</v>
      </c>
      <c r="O100" s="2">
        <f>IF(COUNT('Turns'!F270)=1,SUM('Turns'!F270),"Unknown")</f>
        <v>2.824e-05</v>
      </c>
      <c r="P100" s="2">
        <f>IF(COUNT('Turns'!D273)=1,SUM('Turns'!D273),"Unknown")</f>
        <v>772.0</v>
      </c>
      <c r="Q100" s="2">
        <f>IF(COUNT('Turns'!E273)=1,SUM('Turns'!E273),"Unknown")</f>
        <v>0.00016913555</v>
      </c>
      <c r="R100" s="2">
        <f>IF(COUNT('Turns'!F273)=1,SUM('Turns'!F273),"Unknown")</f>
        <v>0.000193</v>
      </c>
      <c r="S100" s="2">
        <f>IF(COUNT('Turns'!D276)=1,SUM('Turns'!D276),"Unknown")</f>
        <v>71.0</v>
      </c>
      <c r="T100" s="2">
        <f>IF(COUNT('Turns'!E276)=1,SUM('Turns'!E276),"Unknown")</f>
        <v>7.466502e-05</v>
      </c>
      <c r="U100" s="2">
        <f>IF(COUNT('Turns'!F276)=1,SUM('Turns'!F276),"Unknown")</f>
        <v>8.52e-05</v>
      </c>
      <c r="V100" s="2">
        <v>0</v>
      </c>
      <c r="W100" s="2">
        <v>0</v>
      </c>
      <c r="X100" s="2">
        <v>0</v>
      </c>
      <c r="Y100" s="2">
        <f>IF(COUNT('Turns'!E280)=1,SUM('Turns'!E280),"Unknown")</f>
        <v>0.000269074504</v>
      </c>
      <c r="Z100" s="2">
        <f>IF(COUNT('Turns'!F280)=1,SUM('Turns'!F280),"Unknown")</f>
        <v>0.00030704</v>
      </c>
      <c r="AA100" s="5">
        <f>IF(ISNUMBER(Y100),ROUND(Y100*'Reference data'!$B$2,0),"Unknown")</f>
        <v>27.0</v>
      </c>
      <c r="AB100" s="5">
        <f>IF(ISNUMBER(Z100),ROUND(Z100*'Reference data'!$B$2,0),"Unknown")</f>
        <v>31.0</v>
      </c>
      <c r="AC100" s="1" t="s">
        <v>209</v>
      </c>
      <c r="AD100" s="1">
        <v>1966.311</v>
      </c>
      <c r="AE100" s="1" t="s">
        <v>338</v>
      </c>
    </row>
    <row r="101" spans="1:31" ht="54" customHeight="1">
      <c r="A101" s="6" t="s">
        <v>339</v>
      </c>
      <c r="B101" s="1">
        <v>4</v>
      </c>
      <c r="C101" s="1" t="s">
        <v>316</v>
      </c>
      <c r="D101" s="1" t="s">
        <v>47</v>
      </c>
      <c r="E101" s="1" t="s">
        <v>111</v>
      </c>
      <c r="G101" s="6" t="s">
        <v>340</v>
      </c>
      <c r="H101" t="s">
        <v>427</v>
      </c>
      <c r="I101" t="s">
        <v>423</v>
      </c>
      <c r="AD101" s="1">
        <v>6.848</v>
      </c>
      <c r="AE101" s="1" t="s">
        <v>331</v>
      </c>
    </row>
    <row r="102" spans="1:31" ht="54" customHeight="1">
      <c r="A102" s="6" t="s">
        <v>342</v>
      </c>
      <c r="B102" s="1">
        <v>5</v>
      </c>
      <c r="C102" s="1" t="s">
        <v>343</v>
      </c>
      <c r="D102" s="1" t="s">
        <v>47</v>
      </c>
      <c r="E102" s="1" t="s">
        <v>111</v>
      </c>
      <c r="G102" s="6" t="s">
        <v>344</v>
      </c>
      <c r="H102" t="s">
        <v>212</v>
      </c>
      <c r="I102" t="s">
        <v>427</v>
      </c>
      <c r="AD102" s="1">
        <v>2.863</v>
      </c>
      <c r="AE102" s="1" t="s">
        <v>331</v>
      </c>
    </row>
    <row r="103" spans="1:31" ht="54" customHeight="1">
      <c r="A103" s="6" t="s">
        <v>339</v>
      </c>
      <c r="B103" s="1">
        <v>4</v>
      </c>
      <c r="C103" s="1" t="s">
        <v>316</v>
      </c>
      <c r="D103" s="1" t="s">
        <v>47</v>
      </c>
      <c r="E103" s="1" t="s">
        <v>111</v>
      </c>
      <c r="G103" s="6" t="s">
        <v>340</v>
      </c>
      <c r="H103" t="s">
        <v>428</v>
      </c>
      <c r="I103" t="s">
        <v>423</v>
      </c>
      <c r="AD103" s="1">
        <v>6.294</v>
      </c>
      <c r="AE103" s="1" t="s">
        <v>331</v>
      </c>
    </row>
    <row r="104" spans="1:31" ht="54" customHeight="1">
      <c r="A104" s="6" t="s">
        <v>342</v>
      </c>
      <c r="B104" s="1">
        <v>5</v>
      </c>
      <c r="C104" s="1" t="s">
        <v>343</v>
      </c>
      <c r="D104" s="1" t="s">
        <v>47</v>
      </c>
      <c r="E104" s="1" t="s">
        <v>111</v>
      </c>
      <c r="G104" s="6" t="s">
        <v>344</v>
      </c>
      <c r="H104" t="s">
        <v>213</v>
      </c>
      <c r="I104" t="s">
        <v>428</v>
      </c>
      <c r="AD104" s="1">
        <v>2.253</v>
      </c>
      <c r="AE104" s="1" t="s">
        <v>331</v>
      </c>
    </row>
    <row r="105" spans="1:31" ht="54" customHeight="1">
      <c r="A105" s="6" t="s">
        <v>332</v>
      </c>
      <c r="B105" s="1">
        <v>4</v>
      </c>
      <c r="C105" s="1" t="s">
        <v>316</v>
      </c>
      <c r="D105" s="1" t="s">
        <v>47</v>
      </c>
      <c r="E105" s="1" t="s">
        <v>111</v>
      </c>
      <c r="G105" s="6" t="s">
        <v>333</v>
      </c>
      <c r="H105" t="s">
        <v>429</v>
      </c>
      <c r="I105" t="s">
        <v>423</v>
      </c>
      <c r="J105" s="2">
        <f>IF(COUNT('Turns'!D289)=1,SUM('Turns'!D289),"Unknown")</f>
        <v>3.0</v>
      </c>
      <c r="K105" s="2">
        <f>IF(COUNT('Turns'!E289)=1,SUM('Turns'!E289),"Unknown")</f>
        <v>5.2581e-07</v>
      </c>
      <c r="L105" s="2">
        <f>IF(COUNT('Turns'!F289)=1,SUM('Turns'!F289),"Unknown")</f>
        <v>6e-07</v>
      </c>
      <c r="M105" s="2">
        <f>IF(COUNT('Turns'!D288)=1,SUM('Turns'!D288),"Unknown")</f>
        <v>2184.0</v>
      </c>
      <c r="N105" s="2">
        <f>IF(COUNT('Turns'!E288)=1,SUM('Turns'!E288),"Unknown")</f>
        <v>3.8278968e-05</v>
      </c>
      <c r="O105" s="2">
        <f>IF(COUNT('Turns'!F288)=1,SUM('Turns'!F288),"Unknown")</f>
        <v>4.368e-05</v>
      </c>
      <c r="P105" s="2">
        <f>IF(COUNT('Turns'!D291)=1,SUM('Turns'!D291),"Unknown")</f>
        <v>802.0</v>
      </c>
      <c r="Q105" s="2">
        <f>IF(COUNT('Turns'!E291)=1,SUM('Turns'!E291),"Unknown")</f>
        <v>0.000175708175</v>
      </c>
      <c r="R105" s="2">
        <f>IF(COUNT('Turns'!F291)=1,SUM('Turns'!F291),"Unknown")</f>
        <v>0.0002005</v>
      </c>
      <c r="S105" s="2">
        <f>IF(COUNT('Turns'!D295)=1,SUM('Turns'!D295),"Unknown")</f>
        <v>150.0</v>
      </c>
      <c r="T105" s="2">
        <f>IF(COUNT('Turns'!E295)=1,SUM('Turns'!E295),"Unknown")</f>
        <v>0.000157743</v>
      </c>
      <c r="U105" s="2">
        <f>IF(COUNT('Turns'!F295)=1,SUM('Turns'!F295),"Unknown")</f>
        <v>0.00018</v>
      </c>
      <c r="V105" s="2">
        <f>IF(COUNT('Turns'!D294)=1,SUM('Turns'!D294),"Unknown")</f>
        <v>134.0</v>
      </c>
      <c r="W105" s="2">
        <f>IF(COUNT('Turns'!E294)=1,SUM('Turns'!E294),"Unknown")</f>
        <v>0.00014091708</v>
      </c>
      <c r="X105" s="2">
        <f>IF(COUNT('Turns'!F294)=1,SUM('Turns'!F294),"Unknown")</f>
        <v>0.0001608</v>
      </c>
      <c r="Y105" s="2">
        <f>IF(COUNT('Turns'!E299)=1,SUM('Turns'!E299),"Unknown")</f>
        <v>0.000513173033</v>
      </c>
      <c r="Z105" s="2">
        <f>IF(COUNT('Turns'!F299)=1,SUM('Turns'!F299),"Unknown")</f>
        <v>0.00058558</v>
      </c>
      <c r="AA105" s="5">
        <f>IF(ISNUMBER(Y105),ROUND(Y105*'Reference data'!$B$2,0),"Unknown")</f>
        <v>51.0</v>
      </c>
      <c r="AB105" s="5">
        <f>IF(ISNUMBER(Z105),ROUND(Z105*'Reference data'!$B$2,0),"Unknown")</f>
        <v>59.0</v>
      </c>
      <c r="AD105" s="1">
        <v>3856.952</v>
      </c>
      <c r="AE105" s="1" t="s">
        <v>318</v>
      </c>
    </row>
    <row r="106" spans="1:31" ht="54" customHeight="1">
      <c r="A106" s="6" t="s">
        <v>335</v>
      </c>
      <c r="B106" s="1">
        <v>5</v>
      </c>
      <c r="C106" s="1" t="s">
        <v>336</v>
      </c>
      <c r="D106" s="1" t="s">
        <v>95</v>
      </c>
      <c r="E106" s="1" t="s">
        <v>111</v>
      </c>
      <c r="F106" s="1">
        <v>2989</v>
      </c>
      <c r="G106" s="6" t="s">
        <v>337</v>
      </c>
      <c r="H106" t="s">
        <v>217</v>
      </c>
      <c r="I106" t="s">
        <v>429</v>
      </c>
      <c r="J106" s="2">
        <f>IF(COUNT('Turns'!D289)=1,SUM('Turns'!D289),"Unknown")</f>
        <v>3.0</v>
      </c>
      <c r="K106" s="2">
        <f>IF(COUNT('Turns'!E289)=1,SUM('Turns'!E289),"Unknown")</f>
        <v>5.2581e-07</v>
      </c>
      <c r="L106" s="2">
        <f>IF(COUNT('Turns'!F289)=1,SUM('Turns'!F289),"Unknown")</f>
        <v>6e-07</v>
      </c>
      <c r="M106" s="2">
        <f>IF(COUNT('Turns'!D288)=1,SUM('Turns'!D288),"Unknown")</f>
        <v>2184.0</v>
      </c>
      <c r="N106" s="2">
        <f>IF(COUNT('Turns'!E288)=1,SUM('Turns'!E288),"Unknown")</f>
        <v>3.8278968e-05</v>
      </c>
      <c r="O106" s="2">
        <f>IF(COUNT('Turns'!F288)=1,SUM('Turns'!F288),"Unknown")</f>
        <v>4.368e-05</v>
      </c>
      <c r="P106" s="2">
        <f>IF(COUNT('Turns'!D291)=1,SUM('Turns'!D291),"Unknown")</f>
        <v>802.0</v>
      </c>
      <c r="Q106" s="2">
        <f>IF(COUNT('Turns'!E291)=1,SUM('Turns'!E291),"Unknown")</f>
        <v>0.000175708175</v>
      </c>
      <c r="R106" s="2">
        <f>IF(COUNT('Turns'!F291)=1,SUM('Turns'!F291),"Unknown")</f>
        <v>0.0002005</v>
      </c>
      <c r="S106" s="2">
        <f>IF(COUNT('Turns'!D295)=1,SUM('Turns'!D295),"Unknown")</f>
        <v>150.0</v>
      </c>
      <c r="T106" s="2">
        <f>IF(COUNT('Turns'!E295)=1,SUM('Turns'!E295),"Unknown")</f>
        <v>0.000157743</v>
      </c>
      <c r="U106" s="2">
        <f>IF(COUNT('Turns'!F295)=1,SUM('Turns'!F295),"Unknown")</f>
        <v>0.00018</v>
      </c>
      <c r="V106" s="2">
        <f>IF(COUNT('Turns'!D294)=1,SUM('Turns'!D294),"Unknown")</f>
        <v>134.0</v>
      </c>
      <c r="W106" s="2">
        <f>IF(COUNT('Turns'!E294)=1,SUM('Turns'!E294),"Unknown")</f>
        <v>0.00014091708</v>
      </c>
      <c r="X106" s="2">
        <f>IF(COUNT('Turns'!F294)=1,SUM('Turns'!F294),"Unknown")</f>
        <v>0.0001608</v>
      </c>
      <c r="Y106" s="2">
        <f>IF(COUNT('Turns'!E299)=1,SUM('Turns'!E299),"Unknown")</f>
        <v>0.000513173033</v>
      </c>
      <c r="Z106" s="2">
        <f>IF(COUNT('Turns'!F299)=1,SUM('Turns'!F299),"Unknown")</f>
        <v>0.00058558</v>
      </c>
      <c r="AA106" s="5">
        <f>IF(ISNUMBER(Y106),ROUND(Y106*'Reference data'!$B$2,0),"Unknown")</f>
        <v>51.0</v>
      </c>
      <c r="AB106" s="5">
        <f>IF(ISNUMBER(Z106),ROUND(Z106*'Reference data'!$B$2,0),"Unknown")</f>
        <v>59.0</v>
      </c>
      <c r="AC106" s="1" t="s">
        <v>216</v>
      </c>
      <c r="AD106" s="1">
        <v>3854.29</v>
      </c>
      <c r="AE106" s="1" t="s">
        <v>338</v>
      </c>
    </row>
    <row r="107" spans="1:31" ht="54" customHeight="1">
      <c r="A107" s="6" t="s">
        <v>385</v>
      </c>
      <c r="B107" s="1">
        <v>2</v>
      </c>
      <c r="C107" s="1" t="s">
        <v>316</v>
      </c>
      <c r="D107" s="1" t="s">
        <v>47</v>
      </c>
      <c r="E107" s="1" t="s">
        <v>111</v>
      </c>
      <c r="G107" s="6" t="s">
        <v>386</v>
      </c>
      <c r="H107" t="s">
        <v>430</v>
      </c>
      <c r="I107" t="s">
        <v>421</v>
      </c>
      <c r="AD107" s="1">
        <v>0.35</v>
      </c>
      <c r="AE107" s="1" t="s">
        <v>331</v>
      </c>
    </row>
    <row r="108" spans="1:31" ht="54" customHeight="1">
      <c r="A108" s="6" t="s">
        <v>388</v>
      </c>
      <c r="B108" s="1">
        <v>1</v>
      </c>
      <c r="C108" s="1" t="s">
        <v>316</v>
      </c>
      <c r="D108" s="1" t="s">
        <v>47</v>
      </c>
      <c r="E108" s="1" t="s">
        <v>111</v>
      </c>
      <c r="G108" s="6" t="s">
        <v>389</v>
      </c>
      <c r="H108" t="s">
        <v>431</v>
      </c>
      <c r="I108" t="s">
        <v>49</v>
      </c>
      <c r="J108" s="2">
        <f>IF(COUNT('Turns'!D302,'Turns'!D318,'Turns'!D334,'Turns'!D350)=4,SUM('Turns'!D302,'Turns'!D318,'Turns'!D334,'Turns'!D350),"Unknown")</f>
        <v>12.0</v>
      </c>
      <c r="K108" s="2">
        <f>IF(COUNT('Turns'!E302,'Turns'!E318,'Turns'!E334,'Turns'!E350)=4,SUM('Turns'!E302,'Turns'!E318,'Turns'!E334,'Turns'!E350),"Unknown")</f>
        <v>2.10324e-06</v>
      </c>
      <c r="L108" s="2">
        <f>IF(COUNT('Turns'!F302,'Turns'!F318,'Turns'!F334,'Turns'!F350)=4,SUM('Turns'!F302,'Turns'!F318,'Turns'!F334,'Turns'!F350),"Unknown")</f>
        <v>2.4e-06</v>
      </c>
      <c r="M108" s="2">
        <f>IF(COUNT('Turns'!D301,'Turns'!D317,'Turns'!D333,'Turns'!D349)=4,SUM('Turns'!D301,'Turns'!D317,'Turns'!D333,'Turns'!D349),"Unknown")</f>
        <v>18889.0</v>
      </c>
      <c r="N108" s="2">
        <f>IF(COUNT('Turns'!E301,'Turns'!E317,'Turns'!E333,'Turns'!E349)=4,SUM('Turns'!E301,'Turns'!E317,'Turns'!E333,'Turns'!E349),"Unknown")</f>
        <v>0.000331067503</v>
      </c>
      <c r="O108" s="2">
        <f>IF(COUNT('Turns'!F301,'Turns'!F317,'Turns'!F333,'Turns'!F349)=4,SUM('Turns'!F301,'Turns'!F317,'Turns'!F333,'Turns'!F349),"Unknown")</f>
        <v>0.00037778</v>
      </c>
      <c r="P108" s="2">
        <f>IF(COUNT('Turns'!D304,'Turns'!D320,'Turns'!D336,'Turns'!D352)=4,SUM('Turns'!D304,'Turns'!D320,'Turns'!D336,'Turns'!D352),"Unknown")</f>
        <v>7538.0</v>
      </c>
      <c r="Q108" s="2">
        <f>IF(COUNT('Turns'!E304,'Turns'!E320,'Turns'!E336,'Turns'!E352)=4,SUM('Turns'!E304,'Turns'!E320,'Turns'!E336,'Turns'!E352),"Unknown")</f>
        <v>0.001651481575</v>
      </c>
      <c r="R108" s="2">
        <f>IF(COUNT('Turns'!F304,'Turns'!F320,'Turns'!F336,'Turns'!F352)=4,SUM('Turns'!F304,'Turns'!F320,'Turns'!F336,'Turns'!F352),"Unknown")</f>
        <v>0.0018845</v>
      </c>
      <c r="S108" s="2">
        <f>IF(COUNT('Turns'!D308,'Turns'!D324,'Turns'!D340,'Turns'!D356)=4,SUM('Turns'!D308,'Turns'!D324,'Turns'!D340,'Turns'!D356),"Unknown")</f>
        <v>329.0</v>
      </c>
      <c r="T108" s="2">
        <f>IF(COUNT('Turns'!E308,'Turns'!E324,'Turns'!E340,'Turns'!E356)=4,SUM('Turns'!E308,'Turns'!E324,'Turns'!E340,'Turns'!E356),"Unknown")</f>
        <v>0.00034598298</v>
      </c>
      <c r="U108" s="2">
        <f>IF(COUNT('Turns'!F308,'Turns'!F324,'Turns'!F340,'Turns'!F356)=4,SUM('Turns'!F308,'Turns'!F324,'Turns'!F340,'Turns'!F356),"Unknown")</f>
        <v>0.0003948</v>
      </c>
      <c r="V108" s="2">
        <f>IF(COUNT('Turns'!D307,'Turns'!D323,'Turns'!D339,'Turns'!D355)=4,SUM('Turns'!D307,'Turns'!D323,'Turns'!D339,'Turns'!D355),"Unknown")</f>
        <v>89.0</v>
      </c>
      <c r="W108" s="2">
        <f>IF(COUNT('Turns'!E307,'Turns'!E323,'Turns'!E339,'Turns'!E355)=4,SUM('Turns'!E307,'Turns'!E323,'Turns'!E339,'Turns'!E355),"Unknown")</f>
        <v>9.359418e-05</v>
      </c>
      <c r="X108" s="2">
        <f>IF(COUNT('Turns'!F307,'Turns'!F323,'Turns'!F339,'Turns'!F355)=4,SUM('Turns'!F307,'Turns'!F323,'Turns'!F339,'Turns'!F355),"Unknown")</f>
        <v>0.0001068</v>
      </c>
      <c r="Y108" s="2">
        <f>IF(COUNT('Turns'!E312,'Turns'!E328,'Turns'!E344,'Turns'!E360)=4,SUM('Turns'!E312,'Turns'!E328,'Turns'!E344,'Turns'!E360),"Unknown")</f>
        <v>0.002424229478</v>
      </c>
      <c r="Z108" s="2">
        <f>IF(COUNT('Turns'!F312,'Turns'!F328,'Turns'!F344,'Turns'!F360)=4,SUM('Turns'!F312,'Turns'!F328,'Turns'!F344,'Turns'!F360),"Unknown")</f>
        <v>0.00276628</v>
      </c>
      <c r="AA108" s="5">
        <f>IF(ISNUMBER(Y108),ROUND(Y108*'Reference data'!$B$2,0),"Unknown")</f>
        <v>242.0</v>
      </c>
      <c r="AB108" s="5">
        <f>IF(ISNUMBER(Z108),ROUND(Z108*'Reference data'!$B$2,0),"Unknown")</f>
        <v>277.0</v>
      </c>
      <c r="AD108" s="1">
        <v>8016.708</v>
      </c>
      <c r="AE108" s="1" t="s">
        <v>318</v>
      </c>
    </row>
    <row r="109" spans="1:31" ht="54" customHeight="1">
      <c r="A109" s="6" t="s">
        <v>322</v>
      </c>
      <c r="B109" s="1">
        <v>2</v>
      </c>
      <c r="C109" s="1" t="s">
        <v>316</v>
      </c>
      <c r="D109" s="1" t="s">
        <v>47</v>
      </c>
      <c r="E109" s="1" t="s">
        <v>111</v>
      </c>
      <c r="G109" s="6" t="s">
        <v>323</v>
      </c>
      <c r="H109" t="s">
        <v>432</v>
      </c>
      <c r="I109" t="s">
        <v>431</v>
      </c>
      <c r="J109" s="2">
        <f>IF(COUNT('Turns'!D302,'Turns'!D318,'Turns'!D334,'Turns'!D350)=4,SUM('Turns'!D302,'Turns'!D318,'Turns'!D334,'Turns'!D350),"Unknown")</f>
        <v>12.0</v>
      </c>
      <c r="K109" s="2">
        <f>IF(COUNT('Turns'!E302,'Turns'!E318,'Turns'!E334,'Turns'!E350)=4,SUM('Turns'!E302,'Turns'!E318,'Turns'!E334,'Turns'!E350),"Unknown")</f>
        <v>2.10324e-06</v>
      </c>
      <c r="L109" s="2">
        <f>IF(COUNT('Turns'!F302,'Turns'!F318,'Turns'!F334,'Turns'!F350)=4,SUM('Turns'!F302,'Turns'!F318,'Turns'!F334,'Turns'!F350),"Unknown")</f>
        <v>2.4e-06</v>
      </c>
      <c r="M109" s="2">
        <f>IF(COUNT('Turns'!D301,'Turns'!D317,'Turns'!D333,'Turns'!D349)=4,SUM('Turns'!D301,'Turns'!D317,'Turns'!D333,'Turns'!D349),"Unknown")</f>
        <v>18889.0</v>
      </c>
      <c r="N109" s="2">
        <f>IF(COUNT('Turns'!E301,'Turns'!E317,'Turns'!E333,'Turns'!E349)=4,SUM('Turns'!E301,'Turns'!E317,'Turns'!E333,'Turns'!E349),"Unknown")</f>
        <v>0.000331067503</v>
      </c>
      <c r="O109" s="2">
        <f>IF(COUNT('Turns'!F301,'Turns'!F317,'Turns'!F333,'Turns'!F349)=4,SUM('Turns'!F301,'Turns'!F317,'Turns'!F333,'Turns'!F349),"Unknown")</f>
        <v>0.00037778</v>
      </c>
      <c r="P109" s="2">
        <f>IF(COUNT('Turns'!D304,'Turns'!D320,'Turns'!D336,'Turns'!D352)=4,SUM('Turns'!D304,'Turns'!D320,'Turns'!D336,'Turns'!D352),"Unknown")</f>
        <v>7538.0</v>
      </c>
      <c r="Q109" s="2">
        <f>IF(COUNT('Turns'!E304,'Turns'!E320,'Turns'!E336,'Turns'!E352)=4,SUM('Turns'!E304,'Turns'!E320,'Turns'!E336,'Turns'!E352),"Unknown")</f>
        <v>0.001651481575</v>
      </c>
      <c r="R109" s="2">
        <f>IF(COUNT('Turns'!F304,'Turns'!F320,'Turns'!F336,'Turns'!F352)=4,SUM('Turns'!F304,'Turns'!F320,'Turns'!F336,'Turns'!F352),"Unknown")</f>
        <v>0.0018845</v>
      </c>
      <c r="S109" s="2">
        <f>IF(COUNT('Turns'!D308,'Turns'!D324,'Turns'!D340,'Turns'!D356)=4,SUM('Turns'!D308,'Turns'!D324,'Turns'!D340,'Turns'!D356),"Unknown")</f>
        <v>329.0</v>
      </c>
      <c r="T109" s="2">
        <f>IF(COUNT('Turns'!E308,'Turns'!E324,'Turns'!E340,'Turns'!E356)=4,SUM('Turns'!E308,'Turns'!E324,'Turns'!E340,'Turns'!E356),"Unknown")</f>
        <v>0.00034598298</v>
      </c>
      <c r="U109" s="2">
        <f>IF(COUNT('Turns'!F308,'Turns'!F324,'Turns'!F340,'Turns'!F356)=4,SUM('Turns'!F308,'Turns'!F324,'Turns'!F340,'Turns'!F356),"Unknown")</f>
        <v>0.0003948</v>
      </c>
      <c r="V109" s="2">
        <f>IF(COUNT('Turns'!D307,'Turns'!D323,'Turns'!D339,'Turns'!D355)=4,SUM('Turns'!D307,'Turns'!D323,'Turns'!D339,'Turns'!D355),"Unknown")</f>
        <v>89.0</v>
      </c>
      <c r="W109" s="2">
        <f>IF(COUNT('Turns'!E307,'Turns'!E323,'Turns'!E339,'Turns'!E355)=4,SUM('Turns'!E307,'Turns'!E323,'Turns'!E339,'Turns'!E355),"Unknown")</f>
        <v>9.359418e-05</v>
      </c>
      <c r="X109" s="2">
        <f>IF(COUNT('Turns'!F307,'Turns'!F323,'Turns'!F339,'Turns'!F355)=4,SUM('Turns'!F307,'Turns'!F323,'Turns'!F339,'Turns'!F355),"Unknown")</f>
        <v>0.0001068</v>
      </c>
      <c r="Y109" s="2">
        <f>IF(COUNT('Turns'!E312,'Turns'!E328,'Turns'!E344,'Turns'!E360)=4,SUM('Turns'!E312,'Turns'!E328,'Turns'!E344,'Turns'!E360),"Unknown")</f>
        <v>0.002424229478</v>
      </c>
      <c r="Z109" s="2">
        <f>IF(COUNT('Turns'!F312,'Turns'!F328,'Turns'!F344,'Turns'!F360)=4,SUM('Turns'!F312,'Turns'!F328,'Turns'!F344,'Turns'!F360),"Unknown")</f>
        <v>0.00276628</v>
      </c>
      <c r="AA109" s="5">
        <f>IF(ISNUMBER(Y109),ROUND(Y109*'Reference data'!$B$2,0),"Unknown")</f>
        <v>242.0</v>
      </c>
      <c r="AB109" s="5">
        <f>IF(ISNUMBER(Z109),ROUND(Z109*'Reference data'!$B$2,0),"Unknown")</f>
        <v>277.0</v>
      </c>
      <c r="AD109" s="1">
        <v>8014.205</v>
      </c>
      <c r="AE109" s="1" t="s">
        <v>318</v>
      </c>
    </row>
    <row r="110" spans="1:31" ht="54" customHeight="1">
      <c r="A110" s="6" t="s">
        <v>325</v>
      </c>
      <c r="B110" s="1">
        <v>3</v>
      </c>
      <c r="C110" s="1" t="s">
        <v>316</v>
      </c>
      <c r="D110" s="1" t="s">
        <v>47</v>
      </c>
      <c r="E110" s="1" t="s">
        <v>111</v>
      </c>
      <c r="G110" s="6" t="s">
        <v>326</v>
      </c>
      <c r="H110" t="s">
        <v>433</v>
      </c>
      <c r="I110" t="s">
        <v>432</v>
      </c>
      <c r="J110" s="2">
        <f>IF(COUNT('Turns'!D302,'Turns'!D318,'Turns'!D334,'Turns'!D350)=4,SUM('Turns'!D302,'Turns'!D318,'Turns'!D334,'Turns'!D350),"Unknown")</f>
        <v>12.0</v>
      </c>
      <c r="K110" s="2">
        <f>IF(COUNT('Turns'!E302,'Turns'!E318,'Turns'!E334,'Turns'!E350)=4,SUM('Turns'!E302,'Turns'!E318,'Turns'!E334,'Turns'!E350),"Unknown")</f>
        <v>2.10324e-06</v>
      </c>
      <c r="L110" s="2">
        <f>IF(COUNT('Turns'!F302,'Turns'!F318,'Turns'!F334,'Turns'!F350)=4,SUM('Turns'!F302,'Turns'!F318,'Turns'!F334,'Turns'!F350),"Unknown")</f>
        <v>2.4e-06</v>
      </c>
      <c r="M110" s="2">
        <f>IF(COUNT('Turns'!D301,'Turns'!D317,'Turns'!D333,'Turns'!D349)=4,SUM('Turns'!D301,'Turns'!D317,'Turns'!D333,'Turns'!D349),"Unknown")</f>
        <v>18889.0</v>
      </c>
      <c r="N110" s="2">
        <f>IF(COUNT('Turns'!E301,'Turns'!E317,'Turns'!E333,'Turns'!E349)=4,SUM('Turns'!E301,'Turns'!E317,'Turns'!E333,'Turns'!E349),"Unknown")</f>
        <v>0.000331067503</v>
      </c>
      <c r="O110" s="2">
        <f>IF(COUNT('Turns'!F301,'Turns'!F317,'Turns'!F333,'Turns'!F349)=4,SUM('Turns'!F301,'Turns'!F317,'Turns'!F333,'Turns'!F349),"Unknown")</f>
        <v>0.00037778</v>
      </c>
      <c r="P110" s="2">
        <f>IF(COUNT('Turns'!D304,'Turns'!D320,'Turns'!D336,'Turns'!D352)=4,SUM('Turns'!D304,'Turns'!D320,'Turns'!D336,'Turns'!D352),"Unknown")</f>
        <v>7538.0</v>
      </c>
      <c r="Q110" s="2">
        <f>IF(COUNT('Turns'!E304,'Turns'!E320,'Turns'!E336,'Turns'!E352)=4,SUM('Turns'!E304,'Turns'!E320,'Turns'!E336,'Turns'!E352),"Unknown")</f>
        <v>0.001651481575</v>
      </c>
      <c r="R110" s="2">
        <f>IF(COUNT('Turns'!F304,'Turns'!F320,'Turns'!F336,'Turns'!F352)=4,SUM('Turns'!F304,'Turns'!F320,'Turns'!F336,'Turns'!F352),"Unknown")</f>
        <v>0.0018845</v>
      </c>
      <c r="S110" s="2">
        <f>IF(COUNT('Turns'!D308,'Turns'!D324,'Turns'!D340,'Turns'!D356)=4,SUM('Turns'!D308,'Turns'!D324,'Turns'!D340,'Turns'!D356),"Unknown")</f>
        <v>329.0</v>
      </c>
      <c r="T110" s="2">
        <f>IF(COUNT('Turns'!E308,'Turns'!E324,'Turns'!E340,'Turns'!E356)=4,SUM('Turns'!E308,'Turns'!E324,'Turns'!E340,'Turns'!E356),"Unknown")</f>
        <v>0.00034598298</v>
      </c>
      <c r="U110" s="2">
        <f>IF(COUNT('Turns'!F308,'Turns'!F324,'Turns'!F340,'Turns'!F356)=4,SUM('Turns'!F308,'Turns'!F324,'Turns'!F340,'Turns'!F356),"Unknown")</f>
        <v>0.0003948</v>
      </c>
      <c r="V110" s="2">
        <f>IF(COUNT('Turns'!D307,'Turns'!D323,'Turns'!D339,'Turns'!D355)=4,SUM('Turns'!D307,'Turns'!D323,'Turns'!D339,'Turns'!D355),"Unknown")</f>
        <v>89.0</v>
      </c>
      <c r="W110" s="2">
        <f>IF(COUNT('Turns'!E307,'Turns'!E323,'Turns'!E339,'Turns'!E355)=4,SUM('Turns'!E307,'Turns'!E323,'Turns'!E339,'Turns'!E355),"Unknown")</f>
        <v>9.359418e-05</v>
      </c>
      <c r="X110" s="2">
        <f>IF(COUNT('Turns'!F307,'Turns'!F323,'Turns'!F339,'Turns'!F355)=4,SUM('Turns'!F307,'Turns'!F323,'Turns'!F339,'Turns'!F355),"Unknown")</f>
        <v>0.0001068</v>
      </c>
      <c r="Y110" s="2">
        <f>IF(COUNT('Turns'!E312,'Turns'!E328,'Turns'!E344,'Turns'!E360)=4,SUM('Turns'!E312,'Turns'!E328,'Turns'!E344,'Turns'!E360),"Unknown")</f>
        <v>0.002424229478</v>
      </c>
      <c r="Z110" s="2">
        <f>IF(COUNT('Turns'!F312,'Turns'!F328,'Turns'!F344,'Turns'!F360)=4,SUM('Turns'!F312,'Turns'!F328,'Turns'!F344,'Turns'!F360),"Unknown")</f>
        <v>0.00276628</v>
      </c>
      <c r="AA110" s="5">
        <f>IF(ISNUMBER(Y110),ROUND(Y110*'Reference data'!$B$2,0),"Unknown")</f>
        <v>242.0</v>
      </c>
      <c r="AB110" s="5">
        <f>IF(ISNUMBER(Z110),ROUND(Z110*'Reference data'!$B$2,0),"Unknown")</f>
        <v>277.0</v>
      </c>
      <c r="AD110" s="1">
        <v>8012.887</v>
      </c>
      <c r="AE110" s="1" t="s">
        <v>318</v>
      </c>
    </row>
    <row r="111" spans="1:31" ht="54" customHeight="1">
      <c r="A111" s="6" t="s">
        <v>328</v>
      </c>
      <c r="B111" s="1">
        <v>4</v>
      </c>
      <c r="C111" s="1" t="s">
        <v>316</v>
      </c>
      <c r="D111" s="1" t="s">
        <v>47</v>
      </c>
      <c r="E111" s="1" t="s">
        <v>111</v>
      </c>
      <c r="G111" s="6" t="s">
        <v>329</v>
      </c>
      <c r="H111" t="s">
        <v>434</v>
      </c>
      <c r="I111" t="s">
        <v>433</v>
      </c>
      <c r="AD111" s="1">
        <v>0.836</v>
      </c>
      <c r="AE111" s="1" t="s">
        <v>331</v>
      </c>
    </row>
    <row r="112" spans="1:31" ht="54" customHeight="1">
      <c r="A112" s="6" t="s">
        <v>332</v>
      </c>
      <c r="B112" s="1">
        <v>4</v>
      </c>
      <c r="C112" s="1" t="s">
        <v>316</v>
      </c>
      <c r="D112" s="1" t="s">
        <v>47</v>
      </c>
      <c r="E112" s="1" t="s">
        <v>111</v>
      </c>
      <c r="G112" s="6" t="s">
        <v>333</v>
      </c>
      <c r="H112" t="s">
        <v>435</v>
      </c>
      <c r="I112" t="s">
        <v>433</v>
      </c>
      <c r="J112" s="2">
        <f>IF(COUNT('Turns'!D302)=1,SUM('Turns'!D302),"Unknown")</f>
        <v>3.0</v>
      </c>
      <c r="K112" s="2">
        <f>IF(COUNT('Turns'!E302)=1,SUM('Turns'!E302),"Unknown")</f>
        <v>5.2581e-07</v>
      </c>
      <c r="L112" s="2">
        <f>IF(COUNT('Turns'!F302)=1,SUM('Turns'!F302),"Unknown")</f>
        <v>6e-07</v>
      </c>
      <c r="M112" s="2">
        <f>IF(COUNT('Turns'!D301)=1,SUM('Turns'!D301),"Unknown")</f>
        <v>0.0</v>
      </c>
      <c r="N112" s="2">
        <f>IF(COUNT('Turns'!E301)=1,SUM('Turns'!E301),"Unknown")</f>
        <v>0.0</v>
      </c>
      <c r="O112" s="2">
        <f>IF(COUNT('Turns'!F301)=1,SUM('Turns'!F301),"Unknown")</f>
        <v>0.0</v>
      </c>
      <c r="P112" s="2">
        <f>IF(COUNT('Turns'!D304)=1,SUM('Turns'!D304),"Unknown")</f>
        <v>5701.0</v>
      </c>
      <c r="Q112" s="2">
        <f>IF(COUNT('Turns'!E304)=1,SUM('Turns'!E304),"Unknown")</f>
        <v>0.0012490178375</v>
      </c>
      <c r="R112" s="2">
        <f>IF(COUNT('Turns'!F304)=1,SUM('Turns'!F304),"Unknown")</f>
        <v>0.00142525</v>
      </c>
      <c r="S112" s="2">
        <f>IF(COUNT('Turns'!D308)=1,SUM('Turns'!D308),"Unknown")</f>
        <v>31.0</v>
      </c>
      <c r="T112" s="2">
        <f>IF(COUNT('Turns'!E308)=1,SUM('Turns'!E308),"Unknown")</f>
        <v>3.260022e-05</v>
      </c>
      <c r="U112" s="2">
        <f>IF(COUNT('Turns'!F308)=1,SUM('Turns'!F308),"Unknown")</f>
        <v>3.72e-05</v>
      </c>
      <c r="V112" s="2">
        <f>IF(COUNT('Turns'!D307)=1,SUM('Turns'!D307),"Unknown")</f>
        <v>37.0</v>
      </c>
      <c r="W112" s="2">
        <f>IF(COUNT('Turns'!E307)=1,SUM('Turns'!E307),"Unknown")</f>
        <v>3.890994e-05</v>
      </c>
      <c r="X112" s="2">
        <f>IF(COUNT('Turns'!F307)=1,SUM('Turns'!F307),"Unknown")</f>
        <v>4.44e-05</v>
      </c>
      <c r="Y112" s="2">
        <f>IF(COUNT('Turns'!E312)=1,SUM('Turns'!E312),"Unknown")</f>
        <v>0.0013210538075</v>
      </c>
      <c r="Z112" s="2">
        <f>IF(COUNT('Turns'!F312)=1,SUM('Turns'!F312),"Unknown")</f>
        <v>0.00150745</v>
      </c>
      <c r="AA112" s="5">
        <f>IF(ISNUMBER(Y112),ROUND(Y112*'Reference data'!$B$2,0),"Unknown")</f>
        <v>132.0</v>
      </c>
      <c r="AB112" s="5">
        <f>IF(ISNUMBER(Z112),ROUND(Z112*'Reference data'!$B$2,0),"Unknown")</f>
        <v>151.0</v>
      </c>
      <c r="AD112" s="1">
        <v>2317.476</v>
      </c>
      <c r="AE112" s="1" t="s">
        <v>318</v>
      </c>
    </row>
    <row r="113" spans="1:31" ht="54" customHeight="1">
      <c r="A113" s="6" t="s">
        <v>335</v>
      </c>
      <c r="B113" s="1">
        <v>5</v>
      </c>
      <c r="C113" s="1" t="s">
        <v>336</v>
      </c>
      <c r="D113" s="1" t="s">
        <v>95</v>
      </c>
      <c r="E113" s="1" t="s">
        <v>111</v>
      </c>
      <c r="F113" s="1">
        <v>5704</v>
      </c>
      <c r="G113" s="6" t="s">
        <v>337</v>
      </c>
      <c r="H113" t="s">
        <v>221</v>
      </c>
      <c r="I113" t="s">
        <v>435</v>
      </c>
      <c r="J113" s="2">
        <f>IF(COUNT('Turns'!D302)=1,SUM('Turns'!D302),"Unknown")</f>
        <v>3.0</v>
      </c>
      <c r="K113" s="2">
        <f>IF(COUNT('Turns'!E302)=1,SUM('Turns'!E302),"Unknown")</f>
        <v>5.2581e-07</v>
      </c>
      <c r="L113" s="2">
        <f>IF(COUNT('Turns'!F302)=1,SUM('Turns'!F302),"Unknown")</f>
        <v>6e-07</v>
      </c>
      <c r="M113" s="2">
        <f>IF(COUNT('Turns'!D301)=1,SUM('Turns'!D301),"Unknown")</f>
        <v>0.0</v>
      </c>
      <c r="N113" s="2">
        <f>IF(COUNT('Turns'!E301)=1,SUM('Turns'!E301),"Unknown")</f>
        <v>0.0</v>
      </c>
      <c r="O113" s="2">
        <f>IF(COUNT('Turns'!F301)=1,SUM('Turns'!F301),"Unknown")</f>
        <v>0.0</v>
      </c>
      <c r="P113" s="2">
        <f>IF(COUNT('Turns'!D304)=1,SUM('Turns'!D304),"Unknown")</f>
        <v>5701.0</v>
      </c>
      <c r="Q113" s="2">
        <f>IF(COUNT('Turns'!E304)=1,SUM('Turns'!E304),"Unknown")</f>
        <v>0.0012490178375</v>
      </c>
      <c r="R113" s="2">
        <f>IF(COUNT('Turns'!F304)=1,SUM('Turns'!F304),"Unknown")</f>
        <v>0.00142525</v>
      </c>
      <c r="S113" s="2">
        <f>IF(COUNT('Turns'!D308)=1,SUM('Turns'!D308),"Unknown")</f>
        <v>31.0</v>
      </c>
      <c r="T113" s="2">
        <f>IF(COUNT('Turns'!E308)=1,SUM('Turns'!E308),"Unknown")</f>
        <v>3.260022e-05</v>
      </c>
      <c r="U113" s="2">
        <f>IF(COUNT('Turns'!F308)=1,SUM('Turns'!F308),"Unknown")</f>
        <v>3.72e-05</v>
      </c>
      <c r="V113" s="2">
        <f>IF(COUNT('Turns'!D307)=1,SUM('Turns'!D307),"Unknown")</f>
        <v>37.0</v>
      </c>
      <c r="W113" s="2">
        <f>IF(COUNT('Turns'!E307)=1,SUM('Turns'!E307),"Unknown")</f>
        <v>3.890994e-05</v>
      </c>
      <c r="X113" s="2">
        <f>IF(COUNT('Turns'!F307)=1,SUM('Turns'!F307),"Unknown")</f>
        <v>4.44e-05</v>
      </c>
      <c r="Y113" s="2">
        <f>IF(COUNT('Turns'!E312)=1,SUM('Turns'!E312),"Unknown")</f>
        <v>0.0013210538075</v>
      </c>
      <c r="Z113" s="2">
        <f>IF(COUNT('Turns'!F312)=1,SUM('Turns'!F312),"Unknown")</f>
        <v>0.00150745</v>
      </c>
      <c r="AA113" s="5">
        <f>IF(ISNUMBER(Y113),ROUND(Y113*'Reference data'!$B$2,0),"Unknown")</f>
        <v>132.0</v>
      </c>
      <c r="AB113" s="5">
        <f>IF(ISNUMBER(Z113),ROUND(Z113*'Reference data'!$B$2,0),"Unknown")</f>
        <v>151.0</v>
      </c>
      <c r="AC113" s="1" t="s">
        <v>220</v>
      </c>
      <c r="AD113" s="1">
        <v>2313.727</v>
      </c>
      <c r="AE113" s="1" t="s">
        <v>338</v>
      </c>
    </row>
    <row r="114" spans="1:31" ht="54" customHeight="1">
      <c r="A114" s="6" t="s">
        <v>339</v>
      </c>
      <c r="B114" s="1">
        <v>4</v>
      </c>
      <c r="C114" s="1" t="s">
        <v>316</v>
      </c>
      <c r="D114" s="1" t="s">
        <v>47</v>
      </c>
      <c r="E114" s="1" t="s">
        <v>111</v>
      </c>
      <c r="G114" s="6" t="s">
        <v>340</v>
      </c>
      <c r="H114" t="s">
        <v>436</v>
      </c>
      <c r="I114" t="s">
        <v>433</v>
      </c>
      <c r="AD114" s="1">
        <v>2.607</v>
      </c>
      <c r="AE114" s="1" t="s">
        <v>331</v>
      </c>
    </row>
    <row r="115" spans="1:31" ht="54" customHeight="1">
      <c r="A115" s="6" t="s">
        <v>342</v>
      </c>
      <c r="B115" s="1">
        <v>5</v>
      </c>
      <c r="C115" s="1" t="s">
        <v>343</v>
      </c>
      <c r="D115" s="1" t="s">
        <v>47</v>
      </c>
      <c r="E115" s="1" t="s">
        <v>111</v>
      </c>
      <c r="G115" s="6" t="s">
        <v>344</v>
      </c>
      <c r="H115" t="s">
        <v>224</v>
      </c>
      <c r="I115" t="s">
        <v>436</v>
      </c>
      <c r="AD115" s="1">
        <v>1.171</v>
      </c>
      <c r="AE115" s="1" t="s">
        <v>331</v>
      </c>
    </row>
    <row r="116" spans="1:31" ht="54" customHeight="1">
      <c r="A116" s="6" t="s">
        <v>328</v>
      </c>
      <c r="B116" s="1">
        <v>4</v>
      </c>
      <c r="C116" s="1" t="s">
        <v>316</v>
      </c>
      <c r="D116" s="1" t="s">
        <v>47</v>
      </c>
      <c r="E116" s="1" t="s">
        <v>111</v>
      </c>
      <c r="G116" s="6" t="s">
        <v>329</v>
      </c>
      <c r="H116" t="s">
        <v>437</v>
      </c>
      <c r="I116" t="s">
        <v>433</v>
      </c>
      <c r="AD116" s="1">
        <v>1.301</v>
      </c>
      <c r="AE116" s="1" t="s">
        <v>331</v>
      </c>
    </row>
    <row r="117" spans="1:31" ht="54" customHeight="1">
      <c r="A117" s="6" t="s">
        <v>332</v>
      </c>
      <c r="B117" s="1">
        <v>4</v>
      </c>
      <c r="C117" s="1" t="s">
        <v>316</v>
      </c>
      <c r="D117" s="1" t="s">
        <v>47</v>
      </c>
      <c r="E117" s="1" t="s">
        <v>111</v>
      </c>
      <c r="G117" s="6" t="s">
        <v>333</v>
      </c>
      <c r="H117" t="s">
        <v>438</v>
      </c>
      <c r="I117" t="s">
        <v>433</v>
      </c>
      <c r="J117" s="2">
        <f>IF(COUNT('Turns'!D318)=1,SUM('Turns'!D318),"Unknown")</f>
        <v>3.0</v>
      </c>
      <c r="K117" s="2">
        <f>IF(COUNT('Turns'!E318)=1,SUM('Turns'!E318),"Unknown")</f>
        <v>5.2581e-07</v>
      </c>
      <c r="L117" s="2">
        <f>IF(COUNT('Turns'!F318)=1,SUM('Turns'!F318),"Unknown")</f>
        <v>6e-07</v>
      </c>
      <c r="M117" s="2">
        <f>IF(COUNT('Turns'!D317)=1,SUM('Turns'!D317),"Unknown")</f>
        <v>5701.0</v>
      </c>
      <c r="N117" s="2">
        <f>IF(COUNT('Turns'!E317)=1,SUM('Turns'!E317),"Unknown")</f>
        <v>9.9921427e-05</v>
      </c>
      <c r="O117" s="2">
        <f>IF(COUNT('Turns'!F317)=1,SUM('Turns'!F317),"Unknown")</f>
        <v>0.00011402</v>
      </c>
      <c r="P117" s="2">
        <f>IF(COUNT('Turns'!D320)=1,SUM('Turns'!D320),"Unknown")</f>
        <v>778.0</v>
      </c>
      <c r="Q117" s="2">
        <f>IF(COUNT('Turns'!E320)=1,SUM('Turns'!E320),"Unknown")</f>
        <v>0.000170450075</v>
      </c>
      <c r="R117" s="2">
        <f>IF(COUNT('Turns'!F320)=1,SUM('Turns'!F320),"Unknown")</f>
        <v>0.0001945</v>
      </c>
      <c r="S117" s="2">
        <f>IF(COUNT('Turns'!D324)=1,SUM('Turns'!D324),"Unknown")</f>
        <v>176.0</v>
      </c>
      <c r="T117" s="2">
        <f>IF(COUNT('Turns'!E324)=1,SUM('Turns'!E324),"Unknown")</f>
        <v>0.00018508512</v>
      </c>
      <c r="U117" s="2">
        <f>IF(COUNT('Turns'!F324)=1,SUM('Turns'!F324),"Unknown")</f>
        <v>0.0002112</v>
      </c>
      <c r="V117" s="2">
        <f>IF(COUNT('Turns'!D323)=1,SUM('Turns'!D323),"Unknown")</f>
        <v>29.0</v>
      </c>
      <c r="W117" s="2">
        <f>IF(COUNT('Turns'!E323)=1,SUM('Turns'!E323),"Unknown")</f>
        <v>3.049698e-05</v>
      </c>
      <c r="X117" s="2">
        <f>IF(COUNT('Turns'!F323)=1,SUM('Turns'!F323),"Unknown")</f>
        <v>3.48e-05</v>
      </c>
      <c r="Y117" s="2">
        <f>IF(COUNT('Turns'!E328)=1,SUM('Turns'!E328),"Unknown")</f>
        <v>0.000486479412</v>
      </c>
      <c r="Z117" s="2">
        <f>IF(COUNT('Turns'!F328)=1,SUM('Turns'!F328),"Unknown")</f>
        <v>0.00055512</v>
      </c>
      <c r="AA117" s="5">
        <f>IF(ISNUMBER(Y117),ROUND(Y117*'Reference data'!$B$2,0),"Unknown")</f>
        <v>49.0</v>
      </c>
      <c r="AB117" s="5">
        <f>IF(ISNUMBER(Z117),ROUND(Z117*'Reference data'!$B$2,0),"Unknown")</f>
        <v>56.0</v>
      </c>
      <c r="AD117" s="1">
        <v>2512.482</v>
      </c>
      <c r="AE117" s="1" t="s">
        <v>318</v>
      </c>
    </row>
    <row r="118" spans="1:31" ht="54" customHeight="1">
      <c r="A118" s="6" t="s">
        <v>335</v>
      </c>
      <c r="B118" s="1">
        <v>5</v>
      </c>
      <c r="C118" s="1" t="s">
        <v>336</v>
      </c>
      <c r="D118" s="1" t="s">
        <v>95</v>
      </c>
      <c r="E118" s="1" t="s">
        <v>111</v>
      </c>
      <c r="F118" s="1">
        <v>6482</v>
      </c>
      <c r="G118" s="6" t="s">
        <v>337</v>
      </c>
      <c r="H118" t="s">
        <v>226</v>
      </c>
      <c r="I118" t="s">
        <v>438</v>
      </c>
      <c r="J118" s="2">
        <f>IF(COUNT('Turns'!D318)=1,SUM('Turns'!D318),"Unknown")</f>
        <v>3.0</v>
      </c>
      <c r="K118" s="2">
        <f>IF(COUNT('Turns'!E318)=1,SUM('Turns'!E318),"Unknown")</f>
        <v>5.2581e-07</v>
      </c>
      <c r="L118" s="2">
        <f>IF(COUNT('Turns'!F318)=1,SUM('Turns'!F318),"Unknown")</f>
        <v>6e-07</v>
      </c>
      <c r="M118" s="2">
        <f>IF(COUNT('Turns'!D317)=1,SUM('Turns'!D317),"Unknown")</f>
        <v>5701.0</v>
      </c>
      <c r="N118" s="2">
        <f>IF(COUNT('Turns'!E317)=1,SUM('Turns'!E317),"Unknown")</f>
        <v>9.9921427e-05</v>
      </c>
      <c r="O118" s="2">
        <f>IF(COUNT('Turns'!F317)=1,SUM('Turns'!F317),"Unknown")</f>
        <v>0.00011402</v>
      </c>
      <c r="P118" s="2">
        <f>IF(COUNT('Turns'!D320)=1,SUM('Turns'!D320),"Unknown")</f>
        <v>778.0</v>
      </c>
      <c r="Q118" s="2">
        <f>IF(COUNT('Turns'!E320)=1,SUM('Turns'!E320),"Unknown")</f>
        <v>0.000170450075</v>
      </c>
      <c r="R118" s="2">
        <f>IF(COUNT('Turns'!F320)=1,SUM('Turns'!F320),"Unknown")</f>
        <v>0.0001945</v>
      </c>
      <c r="S118" s="2">
        <f>IF(COUNT('Turns'!D324)=1,SUM('Turns'!D324),"Unknown")</f>
        <v>176.0</v>
      </c>
      <c r="T118" s="2">
        <f>IF(COUNT('Turns'!E324)=1,SUM('Turns'!E324),"Unknown")</f>
        <v>0.00018508512</v>
      </c>
      <c r="U118" s="2">
        <f>IF(COUNT('Turns'!F324)=1,SUM('Turns'!F324),"Unknown")</f>
        <v>0.0002112</v>
      </c>
      <c r="V118" s="2">
        <f>IF(COUNT('Turns'!D323)=1,SUM('Turns'!D323),"Unknown")</f>
        <v>29.0</v>
      </c>
      <c r="W118" s="2">
        <f>IF(COUNT('Turns'!E323)=1,SUM('Turns'!E323),"Unknown")</f>
        <v>3.049698e-05</v>
      </c>
      <c r="X118" s="2">
        <f>IF(COUNT('Turns'!F323)=1,SUM('Turns'!F323),"Unknown")</f>
        <v>3.48e-05</v>
      </c>
      <c r="Y118" s="2">
        <f>IF(COUNT('Turns'!E328)=1,SUM('Turns'!E328),"Unknown")</f>
        <v>0.000486479412</v>
      </c>
      <c r="Z118" s="2">
        <f>IF(COUNT('Turns'!F328)=1,SUM('Turns'!F328),"Unknown")</f>
        <v>0.00055512</v>
      </c>
      <c r="AA118" s="5">
        <f>IF(ISNUMBER(Y118),ROUND(Y118*'Reference data'!$B$2,0),"Unknown")</f>
        <v>49.0</v>
      </c>
      <c r="AB118" s="5">
        <f>IF(ISNUMBER(Z118),ROUND(Z118*'Reference data'!$B$2,0),"Unknown")</f>
        <v>56.0</v>
      </c>
      <c r="AC118" s="1" t="s">
        <v>225</v>
      </c>
      <c r="AD118" s="1">
        <v>2507.673</v>
      </c>
      <c r="AE118" s="1" t="s">
        <v>338</v>
      </c>
    </row>
    <row r="119" spans="1:31" ht="54" customHeight="1">
      <c r="A119" s="6" t="s">
        <v>339</v>
      </c>
      <c r="B119" s="1">
        <v>4</v>
      </c>
      <c r="C119" s="1" t="s">
        <v>316</v>
      </c>
      <c r="D119" s="1" t="s">
        <v>47</v>
      </c>
      <c r="E119" s="1" t="s">
        <v>111</v>
      </c>
      <c r="G119" s="6" t="s">
        <v>340</v>
      </c>
      <c r="H119" t="s">
        <v>439</v>
      </c>
      <c r="I119" t="s">
        <v>433</v>
      </c>
      <c r="AD119" s="1">
        <v>6.306</v>
      </c>
      <c r="AE119" s="1" t="s">
        <v>331</v>
      </c>
    </row>
    <row r="120" spans="1:31" ht="54" customHeight="1">
      <c r="A120" s="6" t="s">
        <v>396</v>
      </c>
      <c r="B120" s="1">
        <v>5</v>
      </c>
      <c r="C120" s="1" t="s">
        <v>343</v>
      </c>
      <c r="D120" s="1" t="s">
        <v>47</v>
      </c>
      <c r="E120" s="1" t="s">
        <v>111</v>
      </c>
      <c r="G120" s="6" t="s">
        <v>397</v>
      </c>
      <c r="H120" t="s">
        <v>228</v>
      </c>
      <c r="I120" t="s">
        <v>439</v>
      </c>
      <c r="AD120" s="1">
        <v>2.811</v>
      </c>
      <c r="AE120" s="1" t="s">
        <v>331</v>
      </c>
    </row>
    <row r="121" spans="1:31" ht="54" customHeight="1">
      <c r="A121" s="6" t="s">
        <v>328</v>
      </c>
      <c r="B121" s="1">
        <v>4</v>
      </c>
      <c r="C121" s="1" t="s">
        <v>316</v>
      </c>
      <c r="D121" s="1" t="s">
        <v>47</v>
      </c>
      <c r="E121" s="1" t="s">
        <v>111</v>
      </c>
      <c r="G121" s="6" t="s">
        <v>329</v>
      </c>
      <c r="H121" t="s">
        <v>440</v>
      </c>
      <c r="I121" t="s">
        <v>433</v>
      </c>
      <c r="AD121" s="1">
        <v>2.377</v>
      </c>
      <c r="AE121" s="1" t="s">
        <v>331</v>
      </c>
    </row>
    <row r="122" spans="1:31" ht="54" customHeight="1">
      <c r="A122" s="6" t="s">
        <v>332</v>
      </c>
      <c r="B122" s="1">
        <v>4</v>
      </c>
      <c r="C122" s="1" t="s">
        <v>316</v>
      </c>
      <c r="D122" s="1" t="s">
        <v>47</v>
      </c>
      <c r="E122" s="1" t="s">
        <v>111</v>
      </c>
      <c r="G122" s="6" t="s">
        <v>333</v>
      </c>
      <c r="H122" t="s">
        <v>441</v>
      </c>
      <c r="I122" t="s">
        <v>433</v>
      </c>
      <c r="J122" s="2">
        <f>IF(COUNT('Turns'!D334)=1,SUM('Turns'!D334),"Unknown")</f>
        <v>3.0</v>
      </c>
      <c r="K122" s="2">
        <f>IF(COUNT('Turns'!E334)=1,SUM('Turns'!E334),"Unknown")</f>
        <v>5.2581e-07</v>
      </c>
      <c r="L122" s="2">
        <f>IF(COUNT('Turns'!F334)=1,SUM('Turns'!F334),"Unknown")</f>
        <v>6e-07</v>
      </c>
      <c r="M122" s="2">
        <f>IF(COUNT('Turns'!D333)=1,SUM('Turns'!D333),"Unknown")</f>
        <v>6479.0</v>
      </c>
      <c r="N122" s="2">
        <f>IF(COUNT('Turns'!E333)=1,SUM('Turns'!E333),"Unknown")</f>
        <v>0.000113557433</v>
      </c>
      <c r="O122" s="2">
        <f>IF(COUNT('Turns'!F333)=1,SUM('Turns'!F333),"Unknown")</f>
        <v>0.00012958</v>
      </c>
      <c r="P122" s="2">
        <f>IF(COUNT('Turns'!D336)=1,SUM('Turns'!D336),"Unknown")</f>
        <v>230.0</v>
      </c>
      <c r="Q122" s="2">
        <f>IF(COUNT('Turns'!E336)=1,SUM('Turns'!E336),"Unknown")</f>
        <v>5.0390125e-05</v>
      </c>
      <c r="R122" s="2">
        <f>IF(COUNT('Turns'!F336)=1,SUM('Turns'!F336),"Unknown")</f>
        <v>5.75e-05</v>
      </c>
      <c r="S122" s="2">
        <f>IF(COUNT('Turns'!D340)=1,SUM('Turns'!D340),"Unknown")</f>
        <v>31.0</v>
      </c>
      <c r="T122" s="2">
        <f>IF(COUNT('Turns'!E340)=1,SUM('Turns'!E340),"Unknown")</f>
        <v>3.260022e-05</v>
      </c>
      <c r="U122" s="2">
        <f>IF(COUNT('Turns'!F340)=1,SUM('Turns'!F340),"Unknown")</f>
        <v>3.72e-05</v>
      </c>
      <c r="V122" s="2">
        <f>IF(COUNT('Turns'!D339)=1,SUM('Turns'!D339),"Unknown")</f>
        <v>11.0</v>
      </c>
      <c r="W122" s="2">
        <f>IF(COUNT('Turns'!E339)=1,SUM('Turns'!E339),"Unknown")</f>
        <v>1.156782e-05</v>
      </c>
      <c r="X122" s="2">
        <f>IF(COUNT('Turns'!F339)=1,SUM('Turns'!F339),"Unknown")</f>
        <v>1.32e-05</v>
      </c>
      <c r="Y122" s="2">
        <f>IF(COUNT('Turns'!E344)=1,SUM('Turns'!E344),"Unknown")</f>
        <v>0.000208641408</v>
      </c>
      <c r="Z122" s="2">
        <f>IF(COUNT('Turns'!F344)=1,SUM('Turns'!F344),"Unknown")</f>
        <v>0.00023808</v>
      </c>
      <c r="AA122" s="5">
        <f>IF(ISNUMBER(Y122),ROUND(Y122*'Reference data'!$B$2,0),"Unknown")</f>
        <v>21.0</v>
      </c>
      <c r="AB122" s="5">
        <f>IF(ISNUMBER(Z122),ROUND(Z122*'Reference data'!$B$2,0),"Unknown")</f>
        <v>24.0</v>
      </c>
      <c r="AD122" s="1">
        <v>1441.799</v>
      </c>
      <c r="AE122" s="1" t="s">
        <v>318</v>
      </c>
    </row>
    <row r="123" spans="1:31" ht="54" customHeight="1">
      <c r="A123" s="6" t="s">
        <v>335</v>
      </c>
      <c r="B123" s="1">
        <v>5</v>
      </c>
      <c r="C123" s="1" t="s">
        <v>336</v>
      </c>
      <c r="D123" s="1" t="s">
        <v>95</v>
      </c>
      <c r="E123" s="1" t="s">
        <v>111</v>
      </c>
      <c r="F123" s="1">
        <v>6712</v>
      </c>
      <c r="G123" s="6" t="s">
        <v>337</v>
      </c>
      <c r="H123" t="s">
        <v>231</v>
      </c>
      <c r="I123" t="s">
        <v>441</v>
      </c>
      <c r="J123" s="2">
        <f>IF(COUNT('Turns'!D334)=1,SUM('Turns'!D334),"Unknown")</f>
        <v>3.0</v>
      </c>
      <c r="K123" s="2">
        <f>IF(COUNT('Turns'!E334)=1,SUM('Turns'!E334),"Unknown")</f>
        <v>5.2581e-07</v>
      </c>
      <c r="L123" s="2">
        <f>IF(COUNT('Turns'!F334)=1,SUM('Turns'!F334),"Unknown")</f>
        <v>6e-07</v>
      </c>
      <c r="M123" s="2">
        <f>IF(COUNT('Turns'!D333)=1,SUM('Turns'!D333),"Unknown")</f>
        <v>6479.0</v>
      </c>
      <c r="N123" s="2">
        <f>IF(COUNT('Turns'!E333)=1,SUM('Turns'!E333),"Unknown")</f>
        <v>0.000113557433</v>
      </c>
      <c r="O123" s="2">
        <f>IF(COUNT('Turns'!F333)=1,SUM('Turns'!F333),"Unknown")</f>
        <v>0.00012958</v>
      </c>
      <c r="P123" s="2">
        <f>IF(COUNT('Turns'!D336)=1,SUM('Turns'!D336),"Unknown")</f>
        <v>230.0</v>
      </c>
      <c r="Q123" s="2">
        <f>IF(COUNT('Turns'!E336)=1,SUM('Turns'!E336),"Unknown")</f>
        <v>5.0390125e-05</v>
      </c>
      <c r="R123" s="2">
        <f>IF(COUNT('Turns'!F336)=1,SUM('Turns'!F336),"Unknown")</f>
        <v>5.75e-05</v>
      </c>
      <c r="S123" s="2">
        <f>IF(COUNT('Turns'!D340)=1,SUM('Turns'!D340),"Unknown")</f>
        <v>31.0</v>
      </c>
      <c r="T123" s="2">
        <f>IF(COUNT('Turns'!E340)=1,SUM('Turns'!E340),"Unknown")</f>
        <v>3.260022e-05</v>
      </c>
      <c r="U123" s="2">
        <f>IF(COUNT('Turns'!F340)=1,SUM('Turns'!F340),"Unknown")</f>
        <v>3.72e-05</v>
      </c>
      <c r="V123" s="2">
        <f>IF(COUNT('Turns'!D339)=1,SUM('Turns'!D339),"Unknown")</f>
        <v>11.0</v>
      </c>
      <c r="W123" s="2">
        <f>IF(COUNT('Turns'!E339)=1,SUM('Turns'!E339),"Unknown")</f>
        <v>1.156782e-05</v>
      </c>
      <c r="X123" s="2">
        <f>IF(COUNT('Turns'!F339)=1,SUM('Turns'!F339),"Unknown")</f>
        <v>1.32e-05</v>
      </c>
      <c r="Y123" s="2">
        <f>IF(COUNT('Turns'!E344)=1,SUM('Turns'!E344),"Unknown")</f>
        <v>0.000208641408</v>
      </c>
      <c r="Z123" s="2">
        <f>IF(COUNT('Turns'!F344)=1,SUM('Turns'!F344),"Unknown")</f>
        <v>0.00023808</v>
      </c>
      <c r="AA123" s="5">
        <f>IF(ISNUMBER(Y123),ROUND(Y123*'Reference data'!$B$2,0),"Unknown")</f>
        <v>21.0</v>
      </c>
      <c r="AB123" s="5">
        <f>IF(ISNUMBER(Z123),ROUND(Z123*'Reference data'!$B$2,0),"Unknown")</f>
        <v>24.0</v>
      </c>
      <c r="AC123" s="1" t="s">
        <v>230</v>
      </c>
      <c r="AD123" s="1">
        <v>1434.437</v>
      </c>
      <c r="AE123" s="1" t="s">
        <v>338</v>
      </c>
    </row>
    <row r="124" spans="1:31" ht="54" customHeight="1">
      <c r="A124" s="6" t="s">
        <v>339</v>
      </c>
      <c r="B124" s="1">
        <v>4</v>
      </c>
      <c r="C124" s="1" t="s">
        <v>316</v>
      </c>
      <c r="D124" s="1" t="s">
        <v>47</v>
      </c>
      <c r="E124" s="1" t="s">
        <v>111</v>
      </c>
      <c r="G124" s="6" t="s">
        <v>340</v>
      </c>
      <c r="H124" t="s">
        <v>442</v>
      </c>
      <c r="I124" t="s">
        <v>433</v>
      </c>
      <c r="AD124" s="1">
        <v>6.484</v>
      </c>
      <c r="AE124" s="1" t="s">
        <v>331</v>
      </c>
    </row>
    <row r="125" spans="1:31" ht="54" customHeight="1">
      <c r="A125" s="6" t="s">
        <v>342</v>
      </c>
      <c r="B125" s="1">
        <v>5</v>
      </c>
      <c r="C125" s="1" t="s">
        <v>343</v>
      </c>
      <c r="D125" s="1" t="s">
        <v>47</v>
      </c>
      <c r="E125" s="1" t="s">
        <v>111</v>
      </c>
      <c r="G125" s="6" t="s">
        <v>344</v>
      </c>
      <c r="H125" t="s">
        <v>233</v>
      </c>
      <c r="I125" t="s">
        <v>442</v>
      </c>
      <c r="AD125" s="1">
        <v>3.853</v>
      </c>
      <c r="AE125" s="1" t="s">
        <v>331</v>
      </c>
    </row>
    <row r="126" spans="1:31" ht="54" customHeight="1">
      <c r="A126" s="6" t="s">
        <v>328</v>
      </c>
      <c r="B126" s="1">
        <v>4</v>
      </c>
      <c r="C126" s="1" t="s">
        <v>316</v>
      </c>
      <c r="D126" s="1" t="s">
        <v>47</v>
      </c>
      <c r="E126" s="1" t="s">
        <v>111</v>
      </c>
      <c r="G126" s="6" t="s">
        <v>329</v>
      </c>
      <c r="H126" t="s">
        <v>443</v>
      </c>
      <c r="I126" t="s">
        <v>433</v>
      </c>
      <c r="AD126" s="1">
        <v>2.1</v>
      </c>
      <c r="AE126" s="1" t="s">
        <v>331</v>
      </c>
    </row>
    <row r="127" spans="1:31" ht="54" customHeight="1">
      <c r="A127" s="6" t="s">
        <v>332</v>
      </c>
      <c r="B127" s="1">
        <v>4</v>
      </c>
      <c r="C127" s="1" t="s">
        <v>316</v>
      </c>
      <c r="D127" s="1" t="s">
        <v>47</v>
      </c>
      <c r="E127" s="1" t="s">
        <v>111</v>
      </c>
      <c r="G127" s="6" t="s">
        <v>333</v>
      </c>
      <c r="H127" t="s">
        <v>444</v>
      </c>
      <c r="I127" t="s">
        <v>433</v>
      </c>
      <c r="J127" s="2">
        <f>IF(COUNT('Turns'!D350)=1,SUM('Turns'!D350),"Unknown")</f>
        <v>3.0</v>
      </c>
      <c r="K127" s="2">
        <f>IF(COUNT('Turns'!E350)=1,SUM('Turns'!E350),"Unknown")</f>
        <v>5.2581e-07</v>
      </c>
      <c r="L127" s="2">
        <f>IF(COUNT('Turns'!F350)=1,SUM('Turns'!F350),"Unknown")</f>
        <v>6e-07</v>
      </c>
      <c r="M127" s="2">
        <f>IF(COUNT('Turns'!D349)=1,SUM('Turns'!D349),"Unknown")</f>
        <v>6709.0</v>
      </c>
      <c r="N127" s="2">
        <f>IF(COUNT('Turns'!E349)=1,SUM('Turns'!E349),"Unknown")</f>
        <v>0.000117588643</v>
      </c>
      <c r="O127" s="2">
        <f>IF(COUNT('Turns'!F349)=1,SUM('Turns'!F349),"Unknown")</f>
        <v>0.00013418</v>
      </c>
      <c r="P127" s="2">
        <f>IF(COUNT('Turns'!D352)=1,SUM('Turns'!D352),"Unknown")</f>
        <v>829.0</v>
      </c>
      <c r="Q127" s="2">
        <f>IF(COUNT('Turns'!E352)=1,SUM('Turns'!E352),"Unknown")</f>
        <v>0.0001816235375</v>
      </c>
      <c r="R127" s="2">
        <f>IF(COUNT('Turns'!F352)=1,SUM('Turns'!F352),"Unknown")</f>
        <v>0.00020725</v>
      </c>
      <c r="S127" s="2">
        <f>IF(COUNT('Turns'!D356)=1,SUM('Turns'!D356),"Unknown")</f>
        <v>91.0</v>
      </c>
      <c r="T127" s="2">
        <f>IF(COUNT('Turns'!E356)=1,SUM('Turns'!E356),"Unknown")</f>
        <v>9.569742e-05</v>
      </c>
      <c r="U127" s="2">
        <f>IF(COUNT('Turns'!F356)=1,SUM('Turns'!F356),"Unknown")</f>
        <v>0.0001092</v>
      </c>
      <c r="V127" s="2">
        <f>IF(COUNT('Turns'!D355)=1,SUM('Turns'!D355),"Unknown")</f>
        <v>12.0</v>
      </c>
      <c r="W127" s="2">
        <f>IF(COUNT('Turns'!E355)=1,SUM('Turns'!E355),"Unknown")</f>
        <v>1.261944e-05</v>
      </c>
      <c r="X127" s="2">
        <f>IF(COUNT('Turns'!F355)=1,SUM('Turns'!F355),"Unknown")</f>
        <v>1.44e-05</v>
      </c>
      <c r="Y127" s="2">
        <f>IF(COUNT('Turns'!E360)=1,SUM('Turns'!E360),"Unknown")</f>
        <v>0.0004080548505</v>
      </c>
      <c r="Z127" s="2">
        <f>IF(COUNT('Turns'!F360)=1,SUM('Turns'!F360),"Unknown")</f>
        <v>0.00046563</v>
      </c>
      <c r="AA127" s="5">
        <f>IF(ISNUMBER(Y127),ROUND(Y127*'Reference data'!$B$2,0),"Unknown")</f>
        <v>41.0</v>
      </c>
      <c r="AB127" s="5">
        <f>IF(ISNUMBER(Z127),ROUND(Z127*'Reference data'!$B$2,0),"Unknown")</f>
        <v>47.0</v>
      </c>
      <c r="AD127" s="1">
        <v>1703.642</v>
      </c>
      <c r="AE127" s="1" t="s">
        <v>318</v>
      </c>
    </row>
    <row r="128" spans="1:31" ht="54" customHeight="1">
      <c r="A128" s="6" t="s">
        <v>335</v>
      </c>
      <c r="B128" s="1">
        <v>5</v>
      </c>
      <c r="C128" s="1" t="s">
        <v>336</v>
      </c>
      <c r="D128" s="1" t="s">
        <v>95</v>
      </c>
      <c r="E128" s="1" t="s">
        <v>111</v>
      </c>
      <c r="F128" s="1">
        <v>7541</v>
      </c>
      <c r="G128" s="6" t="s">
        <v>337</v>
      </c>
      <c r="H128" t="s">
        <v>236</v>
      </c>
      <c r="I128" t="s">
        <v>444</v>
      </c>
      <c r="J128" s="2">
        <f>IF(COUNT('Turns'!D350)=1,SUM('Turns'!D350),"Unknown")</f>
        <v>3.0</v>
      </c>
      <c r="K128" s="2">
        <f>IF(COUNT('Turns'!E350)=1,SUM('Turns'!E350),"Unknown")</f>
        <v>5.2581e-07</v>
      </c>
      <c r="L128" s="2">
        <f>IF(COUNT('Turns'!F350)=1,SUM('Turns'!F350),"Unknown")</f>
        <v>6e-07</v>
      </c>
      <c r="M128" s="2">
        <f>IF(COUNT('Turns'!D349)=1,SUM('Turns'!D349),"Unknown")</f>
        <v>6709.0</v>
      </c>
      <c r="N128" s="2">
        <f>IF(COUNT('Turns'!E349)=1,SUM('Turns'!E349),"Unknown")</f>
        <v>0.000117588643</v>
      </c>
      <c r="O128" s="2">
        <f>IF(COUNT('Turns'!F349)=1,SUM('Turns'!F349),"Unknown")</f>
        <v>0.00013418</v>
      </c>
      <c r="P128" s="2">
        <f>IF(COUNT('Turns'!D352)=1,SUM('Turns'!D352),"Unknown")</f>
        <v>829.0</v>
      </c>
      <c r="Q128" s="2">
        <f>IF(COUNT('Turns'!E352)=1,SUM('Turns'!E352),"Unknown")</f>
        <v>0.0001816235375</v>
      </c>
      <c r="R128" s="2">
        <f>IF(COUNT('Turns'!F352)=1,SUM('Turns'!F352),"Unknown")</f>
        <v>0.00020725</v>
      </c>
      <c r="S128" s="2">
        <f>IF(COUNT('Turns'!D356)=1,SUM('Turns'!D356),"Unknown")</f>
        <v>91.0</v>
      </c>
      <c r="T128" s="2">
        <f>IF(COUNT('Turns'!E356)=1,SUM('Turns'!E356),"Unknown")</f>
        <v>9.569742e-05</v>
      </c>
      <c r="U128" s="2">
        <f>IF(COUNT('Turns'!F356)=1,SUM('Turns'!F356),"Unknown")</f>
        <v>0.0001092</v>
      </c>
      <c r="V128" s="2">
        <f>IF(COUNT('Turns'!D355)=1,SUM('Turns'!D355),"Unknown")</f>
        <v>12.0</v>
      </c>
      <c r="W128" s="2">
        <f>IF(COUNT('Turns'!E355)=1,SUM('Turns'!E355),"Unknown")</f>
        <v>1.261944e-05</v>
      </c>
      <c r="X128" s="2">
        <f>IF(COUNT('Turns'!F355)=1,SUM('Turns'!F355),"Unknown")</f>
        <v>1.44e-05</v>
      </c>
      <c r="Y128" s="2">
        <f>IF(COUNT('Turns'!E360)=1,SUM('Turns'!E360),"Unknown")</f>
        <v>0.0004080548505</v>
      </c>
      <c r="Z128" s="2">
        <f>IF(COUNT('Turns'!F360)=1,SUM('Turns'!F360),"Unknown")</f>
        <v>0.00046563</v>
      </c>
      <c r="AA128" s="5">
        <f>IF(ISNUMBER(Y128),ROUND(Y128*'Reference data'!$B$2,0),"Unknown")</f>
        <v>41.0</v>
      </c>
      <c r="AB128" s="5">
        <f>IF(ISNUMBER(Z128),ROUND(Z128*'Reference data'!$B$2,0),"Unknown")</f>
        <v>47.0</v>
      </c>
      <c r="AC128" s="1" t="s">
        <v>235</v>
      </c>
      <c r="AD128" s="1">
        <v>1697.68</v>
      </c>
      <c r="AE128" s="1" t="s">
        <v>338</v>
      </c>
    </row>
    <row r="129" spans="1:31" ht="54" customHeight="1">
      <c r="A129" s="6" t="s">
        <v>352</v>
      </c>
      <c r="B129" s="1">
        <v>2</v>
      </c>
      <c r="C129" s="1" t="s">
        <v>316</v>
      </c>
      <c r="D129" s="1" t="s">
        <v>47</v>
      </c>
      <c r="E129" s="1" t="s">
        <v>111</v>
      </c>
      <c r="G129" s="6" t="s">
        <v>353</v>
      </c>
      <c r="H129" t="s">
        <v>445</v>
      </c>
      <c r="I129" t="s">
        <v>431</v>
      </c>
      <c r="AD129" s="1">
        <v>0.588</v>
      </c>
      <c r="AE129" s="1" t="s">
        <v>331</v>
      </c>
    </row>
    <row r="130" spans="1:31" ht="54" customHeight="1">
      <c r="A130" s="6" t="s">
        <v>446</v>
      </c>
      <c r="B130" s="1">
        <v>1</v>
      </c>
      <c r="C130" s="1" t="s">
        <v>316</v>
      </c>
      <c r="D130" s="1" t="s">
        <v>47</v>
      </c>
      <c r="E130" s="1" t="s">
        <v>111</v>
      </c>
      <c r="G130" s="6" t="s">
        <v>447</v>
      </c>
      <c r="H130" t="s">
        <v>448</v>
      </c>
      <c r="I130" t="s">
        <v>49</v>
      </c>
      <c r="AD130" s="1">
        <v>0.782</v>
      </c>
      <c r="AE130" s="1" t="s">
        <v>331</v>
      </c>
    </row>
    <row r="131" spans="1:31" ht="54" customHeight="1">
      <c r="A131" s="6" t="s">
        <v>315</v>
      </c>
      <c r="B131" s="1">
        <v>0</v>
      </c>
      <c r="C131" s="1" t="s">
        <v>316</v>
      </c>
      <c r="D131" s="1" t="s">
        <v>47</v>
      </c>
      <c r="E131" s="1" t="s">
        <v>111</v>
      </c>
      <c r="G131" s="6" t="s">
        <v>317</v>
      </c>
      <c r="H131" t="s">
        <v>449</v>
      </c>
      <c r="J131" s="2">
        <f>IF(COUNT('Turns'!D364,'Turns'!D380,'Turns'!D394,'Turns'!D410,'Turns'!D423,'Turns'!D442,'Turns'!D458,'Turns'!D474,'Turns'!D487,'Turns'!D508,'Turns'!D521,'Turns'!D537,'Turns'!D552,'Turns'!D564,'Turns'!D580,'Turns'!D595)=16,SUM('Turns'!D364,'Turns'!D380,'Turns'!D394,'Turns'!D410,'Turns'!D423,'Turns'!D442,'Turns'!D458,'Turns'!D474,'Turns'!D487,'Turns'!D508,'Turns'!D521,'Turns'!D537,'Turns'!D552,'Turns'!D564,'Turns'!D580,'Turns'!D595),"Unknown")</f>
        <v>48.0</v>
      </c>
      <c r="K131" s="2">
        <f>IF(COUNT('Turns'!E364,'Turns'!E380,'Turns'!E394,'Turns'!E410,'Turns'!E423,'Turns'!E442,'Turns'!E458,'Turns'!E474,'Turns'!E487,'Turns'!E508,'Turns'!E521,'Turns'!E537,'Turns'!E552,'Turns'!E564,'Turns'!E580,'Turns'!E595)=16,SUM('Turns'!E364,'Turns'!E380,'Turns'!E394,'Turns'!E410,'Turns'!E423,'Turns'!E442,'Turns'!E458,'Turns'!E474,'Turns'!E487,'Turns'!E508,'Turns'!E521,'Turns'!E537,'Turns'!E552,'Turns'!E564,'Turns'!E580,'Turns'!E595),"Unknown")</f>
        <v>8.41296e-06</v>
      </c>
      <c r="L131" s="2">
        <f>IF(COUNT('Turns'!F364,'Turns'!F380,'Turns'!F394,'Turns'!F410,'Turns'!F423,'Turns'!F442,'Turns'!F458,'Turns'!F474,'Turns'!F487,'Turns'!F508,'Turns'!F521,'Turns'!F537,'Turns'!F552,'Turns'!F564,'Turns'!F580,'Turns'!F595)=16,SUM('Turns'!F364,'Turns'!F380,'Turns'!F394,'Turns'!F410,'Turns'!F423,'Turns'!F442,'Turns'!F458,'Turns'!F474,'Turns'!F487,'Turns'!F508,'Turns'!F521,'Turns'!F537,'Turns'!F552,'Turns'!F564,'Turns'!F580,'Turns'!F595),"Unknown")</f>
        <v>9.6e-06</v>
      </c>
      <c r="M131" s="2">
        <f>IF(COUNT('Turns'!D363,'Turns'!D393,'Turns'!D409,'Turns'!D422,'Turns'!D441,'Turns'!D457,'Turns'!D473,'Turns'!D486,'Turns'!D507,'Turns'!D520,'Turns'!D536,'Turns'!D551,'Turns'!D563,'Turns'!D579,'Turns'!D594)=15,SUM('Turns'!D363,'Turns'!D393,'Turns'!D409,'Turns'!D422,'Turns'!D441,'Turns'!D457,'Turns'!D473,'Turns'!D486,'Turns'!D507,'Turns'!D520,'Turns'!D536,'Turns'!D551,'Turns'!D563,'Turns'!D579,'Turns'!D594),"Unknown")</f>
        <v>42753.0</v>
      </c>
      <c r="N131" s="2">
        <f>IF(COUNT('Turns'!E363,'Turns'!E393,'Turns'!E409,'Turns'!E422,'Turns'!E441,'Turns'!E457,'Turns'!E473,'Turns'!E486,'Turns'!E507,'Turns'!E520,'Turns'!E536,'Turns'!E551,'Turns'!E563,'Turns'!E579,'Turns'!E594)=15,SUM('Turns'!E363,'Turns'!E393,'Turns'!E409,'Turns'!E422,'Turns'!E441,'Turns'!E457,'Turns'!E473,'Turns'!E486,'Turns'!E507,'Turns'!E520,'Turns'!E536,'Turns'!E551,'Turns'!E563,'Turns'!E579,'Turns'!E594),"Unknown")</f>
        <v>0.000749331831</v>
      </c>
      <c r="O131" s="2">
        <f>IF(COUNT('Turns'!F363,'Turns'!F393,'Turns'!F409,'Turns'!F422,'Turns'!F441,'Turns'!F457,'Turns'!F473,'Turns'!F486,'Turns'!F507,'Turns'!F520,'Turns'!F536,'Turns'!F551,'Turns'!F563,'Turns'!F579,'Turns'!F594)=15,SUM('Turns'!F363,'Turns'!F393,'Turns'!F409,'Turns'!F422,'Turns'!F441,'Turns'!F457,'Turns'!F473,'Turns'!F486,'Turns'!F507,'Turns'!F520,'Turns'!F536,'Turns'!F551,'Turns'!F563,'Turns'!F579,'Turns'!F594),"Unknown")</f>
        <v>0.00085506</v>
      </c>
      <c r="P131" s="2">
        <f>IF(COUNT('Turns'!D367,'Turns'!D383,'Turns'!D396,'Turns'!D412,'Turns'!D425,'Turns'!D444,'Turns'!D460,'Turns'!D476,'Turns'!D488,'Turns'!D510,'Turns'!D523,'Turns'!D539,'Turns'!D553,'Turns'!D566,'Turns'!D582,'Turns'!D597)=16,SUM('Turns'!D367,'Turns'!D383,'Turns'!D396,'Turns'!D412,'Turns'!D425,'Turns'!D444,'Turns'!D460,'Turns'!D476,'Turns'!D488,'Turns'!D510,'Turns'!D523,'Turns'!D539,'Turns'!D553,'Turns'!D566,'Turns'!D582,'Turns'!D597),"Unknown")</f>
        <v>40814.0</v>
      </c>
      <c r="Q131" s="2">
        <f>IF(COUNT('Turns'!E367,'Turns'!E383,'Turns'!E396,'Turns'!E412,'Turns'!E425,'Turns'!E444,'Turns'!E460,'Turns'!E476,'Turns'!E488,'Turns'!E510,'Turns'!E523,'Turns'!E539,'Turns'!E553,'Turns'!E566,'Turns'!E582,'Turns'!E597)=16,SUM('Turns'!E367,'Turns'!E383,'Turns'!E396,'Turns'!E412,'Turns'!E425,'Turns'!E444,'Turns'!E460,'Turns'!E476,'Turns'!E488,'Turns'!E510,'Turns'!E523,'Turns'!E539,'Turns'!E553,'Turns'!E566,'Turns'!E582,'Turns'!E597),"Unknown")</f>
        <v>0.008941837225</v>
      </c>
      <c r="R131" s="2">
        <f>IF(COUNT('Turns'!F367,'Turns'!F383,'Turns'!F396,'Turns'!F412,'Turns'!F425,'Turns'!F444,'Turns'!F460,'Turns'!F476,'Turns'!F488,'Turns'!F510,'Turns'!F523,'Turns'!F539,'Turns'!F553,'Turns'!F566,'Turns'!F582,'Turns'!F597)=16,SUM('Turns'!F367,'Turns'!F383,'Turns'!F396,'Turns'!F412,'Turns'!F425,'Turns'!F444,'Turns'!F460,'Turns'!F476,'Turns'!F488,'Turns'!F510,'Turns'!F523,'Turns'!F539,'Turns'!F553,'Turns'!F566,'Turns'!F582,'Turns'!F597),"Unknown")</f>
        <v>0.0102035</v>
      </c>
      <c r="S131" s="2">
        <f>IF(COUNT('Turns'!D371,'Turns'!D387,'Turns'!D400,'Turns'!D416,'Turns'!D429,'Turns'!D448,'Turns'!D464,'Turns'!D480,'Turns'!D492,'Turns'!D514,'Turns'!D527,'Turns'!D542,'Turns'!D557,'Turns'!D570,'Turns'!D585,'Turns'!D601)=16,SUM('Turns'!D371,'Turns'!D387,'Turns'!D400,'Turns'!D416,'Turns'!D429,'Turns'!D448,'Turns'!D464,'Turns'!D480,'Turns'!D492,'Turns'!D514,'Turns'!D527,'Turns'!D542,'Turns'!D557,'Turns'!D570,'Turns'!D585,'Turns'!D601),"Unknown")</f>
        <v>3739.0</v>
      </c>
      <c r="T131" s="2">
        <f>IF(COUNT('Turns'!E371,'Turns'!E387,'Turns'!E400,'Turns'!E416,'Turns'!E429,'Turns'!E448,'Turns'!E464,'Turns'!E480,'Turns'!E492,'Turns'!E514,'Turns'!E527,'Turns'!E542,'Turns'!E557,'Turns'!E570,'Turns'!E585,'Turns'!E601)=16,SUM('Turns'!E371,'Turns'!E387,'Turns'!E400,'Turns'!E416,'Turns'!E429,'Turns'!E448,'Turns'!E464,'Turns'!E480,'Turns'!E492,'Turns'!E514,'Turns'!E527,'Turns'!E542,'Turns'!E557,'Turns'!E570,'Turns'!E585,'Turns'!E601),"Unknown")</f>
        <v>0.00393200718</v>
      </c>
      <c r="U131" s="2">
        <f>IF(COUNT('Turns'!F371,'Turns'!F387,'Turns'!F400,'Turns'!F416,'Turns'!F429,'Turns'!F448,'Turns'!F464,'Turns'!F480,'Turns'!F492,'Turns'!F514,'Turns'!F527,'Turns'!F542,'Turns'!F557,'Turns'!F570,'Turns'!F585,'Turns'!F601)=16,SUM('Turns'!F371,'Turns'!F387,'Turns'!F400,'Turns'!F416,'Turns'!F429,'Turns'!F448,'Turns'!F464,'Turns'!F480,'Turns'!F492,'Turns'!F514,'Turns'!F527,'Turns'!F542,'Turns'!F557,'Turns'!F570,'Turns'!F585,'Turns'!F601),"Unknown")</f>
        <v>0.0044868</v>
      </c>
      <c r="V131" s="2">
        <f>IF(COUNT('Turns'!D370,'Turns'!D386,'Turns'!D399,'Turns'!D415,'Turns'!D428,'Turns'!D447,'Turns'!D463,'Turns'!D479,'Turns'!D491,'Turns'!D513,'Turns'!D526,'Turns'!D556,'Turns'!D569,'Turns'!D600)=14,SUM('Turns'!D370,'Turns'!D386,'Turns'!D399,'Turns'!D415,'Turns'!D428,'Turns'!D447,'Turns'!D463,'Turns'!D479,'Turns'!D491,'Turns'!D513,'Turns'!D526,'Turns'!D556,'Turns'!D569,'Turns'!D600),"Unknown")</f>
        <v>1065.0</v>
      </c>
      <c r="W131" s="2">
        <f>IF(COUNT('Turns'!E370,'Turns'!E386,'Turns'!E399,'Turns'!E415,'Turns'!E428,'Turns'!E447,'Turns'!E463,'Turns'!E479,'Turns'!E491,'Turns'!E513,'Turns'!E526,'Turns'!E556,'Turns'!E569,'Turns'!E600)=14,SUM('Turns'!E370,'Turns'!E386,'Turns'!E399,'Turns'!E415,'Turns'!E428,'Turns'!E447,'Turns'!E463,'Turns'!E479,'Turns'!E491,'Turns'!E513,'Turns'!E526,'Turns'!E556,'Turns'!E569,'Turns'!E600),"Unknown")</f>
        <v>0.0011199753</v>
      </c>
      <c r="X131" s="2">
        <f>IF(COUNT('Turns'!F370,'Turns'!F386,'Turns'!F399,'Turns'!F415,'Turns'!F428,'Turns'!F447,'Turns'!F463,'Turns'!F479,'Turns'!F491,'Turns'!F513,'Turns'!F526,'Turns'!F556,'Turns'!F569,'Turns'!F600)=14,SUM('Turns'!F370,'Turns'!F386,'Turns'!F399,'Turns'!F415,'Turns'!F428,'Turns'!F447,'Turns'!F463,'Turns'!F479,'Turns'!F491,'Turns'!F513,'Turns'!F526,'Turns'!F556,'Turns'!F569,'Turns'!F600),"Unknown")</f>
        <v>0.001278</v>
      </c>
      <c r="Y131" s="2">
        <f>IF(COUNT('Turns'!E375,'Turns'!E391,'Turns'!E404,'Turns'!E420,'Turns'!E433,'Turns'!E452,'Turns'!E468,'Turns'!E484,'Turns'!E496,'Turns'!E518,'Turns'!E531,'Turns'!E546,'Turns'!E561,'Turns'!E574,'Turns'!E589,'Turns'!E605)=16,SUM('Turns'!E375,'Turns'!E391,'Turns'!E404,'Turns'!E420,'Turns'!E433,'Turns'!E452,'Turns'!E468,'Turns'!E484,'Turns'!E496,'Turns'!E518,'Turns'!E531,'Turns'!E546,'Turns'!E561,'Turns'!E574,'Turns'!E589,'Turns'!E605),"Unknown")</f>
        <v>0.014751564496</v>
      </c>
      <c r="Z131" s="2">
        <f>IF(COUNT('Turns'!F375,'Turns'!F391,'Turns'!F404,'Turns'!F420,'Turns'!F433,'Turns'!F452,'Turns'!F468,'Turns'!F484,'Turns'!F496,'Turns'!F518,'Turns'!F531,'Turns'!F546,'Turns'!F561,'Turns'!F574,'Turns'!F589,'Turns'!F605)=16,SUM('Turns'!F375,'Turns'!F391,'Turns'!F404,'Turns'!F420,'Turns'!F433,'Turns'!F452,'Turns'!F468,'Turns'!F484,'Turns'!F496,'Turns'!F518,'Turns'!F531,'Turns'!F546,'Turns'!F561,'Turns'!F574,'Turns'!F589,'Turns'!F605),"Unknown")</f>
        <v>0.01683296</v>
      </c>
      <c r="AA131" s="5">
        <f>IF(ISNUMBER(Y131),ROUND(Y131*'Reference data'!$B$2,0),"Unknown")</f>
        <v>1475.0</v>
      </c>
      <c r="AB131" s="5">
        <f>IF(ISNUMBER(Z131),ROUND(Z131*'Reference data'!$B$2,0),"Unknown")</f>
        <v>1683.0</v>
      </c>
      <c r="AD131" s="1">
        <v>62230.747</v>
      </c>
      <c r="AE131" s="1" t="s">
        <v>318</v>
      </c>
    </row>
    <row r="132" spans="1:31" ht="54" customHeight="1">
      <c r="A132" s="6" t="s">
        <v>319</v>
      </c>
      <c r="B132" s="1">
        <v>1</v>
      </c>
      <c r="C132" s="1" t="s">
        <v>316</v>
      </c>
      <c r="D132" s="1" t="s">
        <v>47</v>
      </c>
      <c r="E132" s="1" t="s">
        <v>111</v>
      </c>
      <c r="G132" s="6" t="s">
        <v>320</v>
      </c>
      <c r="H132" t="s">
        <v>450</v>
      </c>
      <c r="I132" t="s">
        <v>449</v>
      </c>
      <c r="J132" s="2">
        <f>IF(COUNT('Turns'!D364,'Turns'!D380,'Turns'!D394,'Turns'!D410)=4,SUM('Turns'!D364,'Turns'!D380,'Turns'!D394,'Turns'!D410),"Unknown")</f>
        <v>12.0</v>
      </c>
      <c r="K132" s="2">
        <f>IF(COUNT('Turns'!E364,'Turns'!E380,'Turns'!E394,'Turns'!E410)=4,SUM('Turns'!E364,'Turns'!E380,'Turns'!E394,'Turns'!E410),"Unknown")</f>
        <v>2.10324e-06</v>
      </c>
      <c r="L132" s="2">
        <f>IF(COUNT('Turns'!F364,'Turns'!F380,'Turns'!F394,'Turns'!F410)=4,SUM('Turns'!F364,'Turns'!F380,'Turns'!F394,'Turns'!F410),"Unknown")</f>
        <v>2.4e-06</v>
      </c>
      <c r="M132" s="2">
        <f>IF(COUNT('Turns'!D363,'Turns'!D393,'Turns'!D409)=3,SUM('Turns'!D363,'Turns'!D393,'Turns'!D409),"Unknown")</f>
        <v>7428.0</v>
      </c>
      <c r="N132" s="2">
        <f>IF(COUNT('Turns'!E363,'Turns'!E393,'Turns'!E409)=3,SUM('Turns'!E363,'Turns'!E393,'Turns'!E409),"Unknown")</f>
        <v>0.000130190556</v>
      </c>
      <c r="O132" s="2">
        <f>IF(COUNT('Turns'!F363,'Turns'!F393,'Turns'!F409)=3,SUM('Turns'!F363,'Turns'!F393,'Turns'!F409),"Unknown")</f>
        <v>0.00014856</v>
      </c>
      <c r="P132" s="2">
        <f>IF(COUNT('Turns'!D367,'Turns'!D383,'Turns'!D396,'Turns'!D412)=4,SUM('Turns'!D367,'Turns'!D383,'Turns'!D396,'Turns'!D412),"Unknown")</f>
        <v>13542.0</v>
      </c>
      <c r="Q132" s="2">
        <f>IF(COUNT('Turns'!E367,'Turns'!E383,'Turns'!E396,'Turns'!E412)=4,SUM('Turns'!E367,'Turns'!E383,'Turns'!E396,'Turns'!E412),"Unknown")</f>
        <v>0.002966882925</v>
      </c>
      <c r="R132" s="2">
        <f>IF(COUNT('Turns'!F367,'Turns'!F383,'Turns'!F396,'Turns'!F412)=4,SUM('Turns'!F367,'Turns'!F383,'Turns'!F396,'Turns'!F412),"Unknown")</f>
        <v>0.0033855</v>
      </c>
      <c r="S132" s="2">
        <f>IF(COUNT('Turns'!D371,'Turns'!D387,'Turns'!D400,'Turns'!D416)=4,SUM('Turns'!D371,'Turns'!D387,'Turns'!D400,'Turns'!D416),"Unknown")</f>
        <v>1326.0</v>
      </c>
      <c r="T132" s="2">
        <f>IF(COUNT('Turns'!E371,'Turns'!E387,'Turns'!E400,'Turns'!E416)=4,SUM('Turns'!E371,'Turns'!E387,'Turns'!E400,'Turns'!E416),"Unknown")</f>
        <v>0.00139444812</v>
      </c>
      <c r="U132" s="2">
        <f>IF(COUNT('Turns'!F371,'Turns'!F387,'Turns'!F400,'Turns'!F416)=4,SUM('Turns'!F371,'Turns'!F387,'Turns'!F400,'Turns'!F416),"Unknown")</f>
        <v>0.0015912</v>
      </c>
      <c r="V132" s="2">
        <f>IF(COUNT('Turns'!D370,'Turns'!D386,'Turns'!D399,'Turns'!D415)=4,SUM('Turns'!D370,'Turns'!D386,'Turns'!D399,'Turns'!D415),"Unknown")</f>
        <v>181.0</v>
      </c>
      <c r="W132" s="2">
        <f>IF(COUNT('Turns'!E370,'Turns'!E386,'Turns'!E399,'Turns'!E415)=4,SUM('Turns'!E370,'Turns'!E386,'Turns'!E399,'Turns'!E415),"Unknown")</f>
        <v>0.00019034322</v>
      </c>
      <c r="X132" s="2">
        <f>IF(COUNT('Turns'!F370,'Turns'!F386,'Turns'!F399,'Turns'!F415)=4,SUM('Turns'!F370,'Turns'!F386,'Turns'!F399,'Turns'!F415),"Unknown")</f>
        <v>0.0002172</v>
      </c>
      <c r="Y132" s="2">
        <f>IF(COUNT('Turns'!E375,'Turns'!E391,'Turns'!E404,'Turns'!E420)=4,SUM('Turns'!E375,'Turns'!E391,'Turns'!E404,'Turns'!E420),"Unknown")</f>
        <v>0.004683968061</v>
      </c>
      <c r="Z132" s="2">
        <f>IF(COUNT('Turns'!F375,'Turns'!F391,'Turns'!F404,'Turns'!F420)=4,SUM('Turns'!F375,'Turns'!F391,'Turns'!F404,'Turns'!F420),"Unknown")</f>
        <v>0.00534486</v>
      </c>
      <c r="AA132" s="5">
        <f>IF(ISNUMBER(Y132),ROUND(Y132*'Reference data'!$B$2,0),"Unknown")</f>
        <v>468.0</v>
      </c>
      <c r="AB132" s="5">
        <f>IF(ISNUMBER(Z132),ROUND(Z132*'Reference data'!$B$2,0),"Unknown")</f>
        <v>534.0</v>
      </c>
      <c r="AD132" s="1">
        <v>18048.16</v>
      </c>
      <c r="AE132" s="1" t="s">
        <v>318</v>
      </c>
    </row>
    <row r="133" spans="1:31" ht="54" customHeight="1">
      <c r="A133" s="6" t="s">
        <v>322</v>
      </c>
      <c r="B133" s="1">
        <v>2</v>
      </c>
      <c r="C133" s="1" t="s">
        <v>316</v>
      </c>
      <c r="D133" s="1" t="s">
        <v>47</v>
      </c>
      <c r="E133" s="1" t="s">
        <v>111</v>
      </c>
      <c r="G133" s="6" t="s">
        <v>323</v>
      </c>
      <c r="H133" t="s">
        <v>451</v>
      </c>
      <c r="I133" t="s">
        <v>450</v>
      </c>
      <c r="J133" s="2">
        <f>IF(COUNT('Turns'!D364,'Turns'!D380,'Turns'!D394,'Turns'!D410)=4,SUM('Turns'!D364,'Turns'!D380,'Turns'!D394,'Turns'!D410),"Unknown")</f>
        <v>12.0</v>
      </c>
      <c r="K133" s="2">
        <f>IF(COUNT('Turns'!E364,'Turns'!E380,'Turns'!E394,'Turns'!E410)=4,SUM('Turns'!E364,'Turns'!E380,'Turns'!E394,'Turns'!E410),"Unknown")</f>
        <v>2.10324e-06</v>
      </c>
      <c r="L133" s="2">
        <f>IF(COUNT('Turns'!F364,'Turns'!F380,'Turns'!F394,'Turns'!F410)=4,SUM('Turns'!F364,'Turns'!F380,'Turns'!F394,'Turns'!F410),"Unknown")</f>
        <v>2.4e-06</v>
      </c>
      <c r="M133" s="2">
        <f>IF(COUNT('Turns'!D363,'Turns'!D393,'Turns'!D409)=3,SUM('Turns'!D363,'Turns'!D393,'Turns'!D409),"Unknown")</f>
        <v>7428.0</v>
      </c>
      <c r="N133" s="2">
        <f>IF(COUNT('Turns'!E363,'Turns'!E393,'Turns'!E409)=3,SUM('Turns'!E363,'Turns'!E393,'Turns'!E409),"Unknown")</f>
        <v>0.000130190556</v>
      </c>
      <c r="O133" s="2">
        <f>IF(COUNT('Turns'!F363,'Turns'!F393,'Turns'!F409)=3,SUM('Turns'!F363,'Turns'!F393,'Turns'!F409),"Unknown")</f>
        <v>0.00014856</v>
      </c>
      <c r="P133" s="2">
        <f>IF(COUNT('Turns'!D367,'Turns'!D383,'Turns'!D396,'Turns'!D412)=4,SUM('Turns'!D367,'Turns'!D383,'Turns'!D396,'Turns'!D412),"Unknown")</f>
        <v>13542.0</v>
      </c>
      <c r="Q133" s="2">
        <f>IF(COUNT('Turns'!E367,'Turns'!E383,'Turns'!E396,'Turns'!E412)=4,SUM('Turns'!E367,'Turns'!E383,'Turns'!E396,'Turns'!E412),"Unknown")</f>
        <v>0.002966882925</v>
      </c>
      <c r="R133" s="2">
        <f>IF(COUNT('Turns'!F367,'Turns'!F383,'Turns'!F396,'Turns'!F412)=4,SUM('Turns'!F367,'Turns'!F383,'Turns'!F396,'Turns'!F412),"Unknown")</f>
        <v>0.0033855</v>
      </c>
      <c r="S133" s="2">
        <f>IF(COUNT('Turns'!D371,'Turns'!D387,'Turns'!D400,'Turns'!D416)=4,SUM('Turns'!D371,'Turns'!D387,'Turns'!D400,'Turns'!D416),"Unknown")</f>
        <v>1326.0</v>
      </c>
      <c r="T133" s="2">
        <f>IF(COUNT('Turns'!E371,'Turns'!E387,'Turns'!E400,'Turns'!E416)=4,SUM('Turns'!E371,'Turns'!E387,'Turns'!E400,'Turns'!E416),"Unknown")</f>
        <v>0.00139444812</v>
      </c>
      <c r="U133" s="2">
        <f>IF(COUNT('Turns'!F371,'Turns'!F387,'Turns'!F400,'Turns'!F416)=4,SUM('Turns'!F371,'Turns'!F387,'Turns'!F400,'Turns'!F416),"Unknown")</f>
        <v>0.0015912</v>
      </c>
      <c r="V133" s="2">
        <f>IF(COUNT('Turns'!D370,'Turns'!D386,'Turns'!D399,'Turns'!D415)=4,SUM('Turns'!D370,'Turns'!D386,'Turns'!D399,'Turns'!D415),"Unknown")</f>
        <v>181.0</v>
      </c>
      <c r="W133" s="2">
        <f>IF(COUNT('Turns'!E370,'Turns'!E386,'Turns'!E399,'Turns'!E415)=4,SUM('Turns'!E370,'Turns'!E386,'Turns'!E399,'Turns'!E415),"Unknown")</f>
        <v>0.00019034322</v>
      </c>
      <c r="X133" s="2">
        <f>IF(COUNT('Turns'!F370,'Turns'!F386,'Turns'!F399,'Turns'!F415)=4,SUM('Turns'!F370,'Turns'!F386,'Turns'!F399,'Turns'!F415),"Unknown")</f>
        <v>0.0002172</v>
      </c>
      <c r="Y133" s="2">
        <f>IF(COUNT('Turns'!E375,'Turns'!E391,'Turns'!E404,'Turns'!E420)=4,SUM('Turns'!E375,'Turns'!E391,'Turns'!E404,'Turns'!E420),"Unknown")</f>
        <v>0.004683968061</v>
      </c>
      <c r="Z133" s="2">
        <f>IF(COUNT('Turns'!F375,'Turns'!F391,'Turns'!F404,'Turns'!F420)=4,SUM('Turns'!F375,'Turns'!F391,'Turns'!F404,'Turns'!F420),"Unknown")</f>
        <v>0.00534486</v>
      </c>
      <c r="AA133" s="5">
        <f>IF(ISNUMBER(Y133),ROUND(Y133*'Reference data'!$B$2,0),"Unknown")</f>
        <v>468.0</v>
      </c>
      <c r="AB133" s="5">
        <f>IF(ISNUMBER(Z133),ROUND(Z133*'Reference data'!$B$2,0),"Unknown")</f>
        <v>534.0</v>
      </c>
      <c r="AD133" s="1">
        <v>18046.714</v>
      </c>
      <c r="AE133" s="1" t="s">
        <v>318</v>
      </c>
    </row>
    <row r="134" spans="1:31" ht="54" customHeight="1">
      <c r="A134" s="6" t="s">
        <v>325</v>
      </c>
      <c r="B134" s="1">
        <v>3</v>
      </c>
      <c r="C134" s="1" t="s">
        <v>316</v>
      </c>
      <c r="D134" s="1" t="s">
        <v>47</v>
      </c>
      <c r="E134" s="1" t="s">
        <v>111</v>
      </c>
      <c r="G134" s="6" t="s">
        <v>326</v>
      </c>
      <c r="H134" t="s">
        <v>452</v>
      </c>
      <c r="I134" t="s">
        <v>451</v>
      </c>
      <c r="J134" s="2">
        <f>IF(COUNT('Turns'!D364,'Turns'!D380,'Turns'!D394,'Turns'!D410)=4,SUM('Turns'!D364,'Turns'!D380,'Turns'!D394,'Turns'!D410),"Unknown")</f>
        <v>12.0</v>
      </c>
      <c r="K134" s="2">
        <f>IF(COUNT('Turns'!E364,'Turns'!E380,'Turns'!E394,'Turns'!E410)=4,SUM('Turns'!E364,'Turns'!E380,'Turns'!E394,'Turns'!E410),"Unknown")</f>
        <v>2.10324e-06</v>
      </c>
      <c r="L134" s="2">
        <f>IF(COUNT('Turns'!F364,'Turns'!F380,'Turns'!F394,'Turns'!F410)=4,SUM('Turns'!F364,'Turns'!F380,'Turns'!F394,'Turns'!F410),"Unknown")</f>
        <v>2.4e-06</v>
      </c>
      <c r="M134" s="2">
        <f>IF(COUNT('Turns'!D363,'Turns'!D393,'Turns'!D409)=3,SUM('Turns'!D363,'Turns'!D393,'Turns'!D409),"Unknown")</f>
        <v>7428.0</v>
      </c>
      <c r="N134" s="2">
        <f>IF(COUNT('Turns'!E363,'Turns'!E393,'Turns'!E409)=3,SUM('Turns'!E363,'Turns'!E393,'Turns'!E409),"Unknown")</f>
        <v>0.000130190556</v>
      </c>
      <c r="O134" s="2">
        <f>IF(COUNT('Turns'!F363,'Turns'!F393,'Turns'!F409)=3,SUM('Turns'!F363,'Turns'!F393,'Turns'!F409),"Unknown")</f>
        <v>0.00014856</v>
      </c>
      <c r="P134" s="2">
        <f>IF(COUNT('Turns'!D367,'Turns'!D383,'Turns'!D396,'Turns'!D412)=4,SUM('Turns'!D367,'Turns'!D383,'Turns'!D396,'Turns'!D412),"Unknown")</f>
        <v>13542.0</v>
      </c>
      <c r="Q134" s="2">
        <f>IF(COUNT('Turns'!E367,'Turns'!E383,'Turns'!E396,'Turns'!E412)=4,SUM('Turns'!E367,'Turns'!E383,'Turns'!E396,'Turns'!E412),"Unknown")</f>
        <v>0.002966882925</v>
      </c>
      <c r="R134" s="2">
        <f>IF(COUNT('Turns'!F367,'Turns'!F383,'Turns'!F396,'Turns'!F412)=4,SUM('Turns'!F367,'Turns'!F383,'Turns'!F396,'Turns'!F412),"Unknown")</f>
        <v>0.0033855</v>
      </c>
      <c r="S134" s="2">
        <f>IF(COUNT('Turns'!D371,'Turns'!D387,'Turns'!D400,'Turns'!D416)=4,SUM('Turns'!D371,'Turns'!D387,'Turns'!D400,'Turns'!D416),"Unknown")</f>
        <v>1326.0</v>
      </c>
      <c r="T134" s="2">
        <f>IF(COUNT('Turns'!E371,'Turns'!E387,'Turns'!E400,'Turns'!E416)=4,SUM('Turns'!E371,'Turns'!E387,'Turns'!E400,'Turns'!E416),"Unknown")</f>
        <v>0.00139444812</v>
      </c>
      <c r="U134" s="2">
        <f>IF(COUNT('Turns'!F371,'Turns'!F387,'Turns'!F400,'Turns'!F416)=4,SUM('Turns'!F371,'Turns'!F387,'Turns'!F400,'Turns'!F416),"Unknown")</f>
        <v>0.0015912</v>
      </c>
      <c r="V134" s="2">
        <f>IF(COUNT('Turns'!D370,'Turns'!D386,'Turns'!D399,'Turns'!D415)=4,SUM('Turns'!D370,'Turns'!D386,'Turns'!D399,'Turns'!D415),"Unknown")</f>
        <v>181.0</v>
      </c>
      <c r="W134" s="2">
        <f>IF(COUNT('Turns'!E370,'Turns'!E386,'Turns'!E399,'Turns'!E415)=4,SUM('Turns'!E370,'Turns'!E386,'Turns'!E399,'Turns'!E415),"Unknown")</f>
        <v>0.00019034322</v>
      </c>
      <c r="X134" s="2">
        <f>IF(COUNT('Turns'!F370,'Turns'!F386,'Turns'!F399,'Turns'!F415)=4,SUM('Turns'!F370,'Turns'!F386,'Turns'!F399,'Turns'!F415),"Unknown")</f>
        <v>0.0002172</v>
      </c>
      <c r="Y134" s="2">
        <f>IF(COUNT('Turns'!E375,'Turns'!E391,'Turns'!E404,'Turns'!E420)=4,SUM('Turns'!E375,'Turns'!E391,'Turns'!E404,'Turns'!E420),"Unknown")</f>
        <v>0.004683968061</v>
      </c>
      <c r="Z134" s="2">
        <f>IF(COUNT('Turns'!F375,'Turns'!F391,'Turns'!F404,'Turns'!F420)=4,SUM('Turns'!F375,'Turns'!F391,'Turns'!F404,'Turns'!F420),"Unknown")</f>
        <v>0.00534486</v>
      </c>
      <c r="AA134" s="5">
        <f>IF(ISNUMBER(Y134),ROUND(Y134*'Reference data'!$B$2,0),"Unknown")</f>
        <v>468.0</v>
      </c>
      <c r="AB134" s="5">
        <f>IF(ISNUMBER(Z134),ROUND(Z134*'Reference data'!$B$2,0),"Unknown")</f>
        <v>534.0</v>
      </c>
      <c r="AD134" s="1">
        <v>18045.578</v>
      </c>
      <c r="AE134" s="1" t="s">
        <v>318</v>
      </c>
    </row>
    <row r="135" spans="1:31" ht="54" customHeight="1">
      <c r="A135" s="6" t="s">
        <v>328</v>
      </c>
      <c r="B135" s="1">
        <v>4</v>
      </c>
      <c r="C135" s="1" t="s">
        <v>316</v>
      </c>
      <c r="D135" s="1" t="s">
        <v>47</v>
      </c>
      <c r="E135" s="1" t="s">
        <v>111</v>
      </c>
      <c r="G135" s="6" t="s">
        <v>329</v>
      </c>
      <c r="H135" t="s">
        <v>453</v>
      </c>
      <c r="I135" t="s">
        <v>452</v>
      </c>
      <c r="AD135" s="1">
        <v>2.101</v>
      </c>
      <c r="AE135" s="1" t="s">
        <v>331</v>
      </c>
    </row>
    <row r="136" spans="1:31" ht="54" customHeight="1">
      <c r="A136" s="6" t="s">
        <v>332</v>
      </c>
      <c r="B136" s="1">
        <v>4</v>
      </c>
      <c r="C136" s="1" t="s">
        <v>316</v>
      </c>
      <c r="D136" s="1" t="s">
        <v>47</v>
      </c>
      <c r="E136" s="1" t="s">
        <v>111</v>
      </c>
      <c r="G136" s="6" t="s">
        <v>333</v>
      </c>
      <c r="H136" t="s">
        <v>454</v>
      </c>
      <c r="I136" t="s">
        <v>452</v>
      </c>
      <c r="J136" s="2">
        <f>IF(COUNT('Turns'!D364)=1,SUM('Turns'!D364),"Unknown")</f>
        <v>3.0</v>
      </c>
      <c r="K136" s="2">
        <f>IF(COUNT('Turns'!E364)=1,SUM('Turns'!E364),"Unknown")</f>
        <v>5.2581e-07</v>
      </c>
      <c r="L136" s="2">
        <f>IF(COUNT('Turns'!F364)=1,SUM('Turns'!F364),"Unknown")</f>
        <v>6e-07</v>
      </c>
      <c r="M136" s="2">
        <f>IF(COUNT('Turns'!D363)=1,SUM('Turns'!D363),"Unknown")</f>
        <v>1950.0</v>
      </c>
      <c r="N136" s="2">
        <f>IF(COUNT('Turns'!E363)=1,SUM('Turns'!E363),"Unknown")</f>
        <v>3.417765e-05</v>
      </c>
      <c r="O136" s="2">
        <f>IF(COUNT('Turns'!F363)=1,SUM('Turns'!F363),"Unknown")</f>
        <v>3.9e-05</v>
      </c>
      <c r="P136" s="2">
        <f>IF(COUNT('Turns'!D367)=1,SUM('Turns'!D367),"Unknown")</f>
        <v>5514.0</v>
      </c>
      <c r="Q136" s="2">
        <f>IF(COUNT('Turns'!E367)=1,SUM('Turns'!E367),"Unknown")</f>
        <v>0.001208048475</v>
      </c>
      <c r="R136" s="2">
        <f>IF(COUNT('Turns'!F367)=1,SUM('Turns'!F367),"Unknown")</f>
        <v>0.0013785</v>
      </c>
      <c r="S136" s="2">
        <f>IF(COUNT('Turns'!D371)=1,SUM('Turns'!D371),"Unknown")</f>
        <v>31.0</v>
      </c>
      <c r="T136" s="2">
        <f>IF(COUNT('Turns'!E371)=1,SUM('Turns'!E371),"Unknown")</f>
        <v>3.260022e-05</v>
      </c>
      <c r="U136" s="2">
        <f>IF(COUNT('Turns'!F371)=1,SUM('Turns'!F371),"Unknown")</f>
        <v>3.72e-05</v>
      </c>
      <c r="V136" s="2">
        <f>IF(COUNT('Turns'!D370)=1,SUM('Turns'!D370),"Unknown")</f>
        <v>46.0</v>
      </c>
      <c r="W136" s="2">
        <f>IF(COUNT('Turns'!E370)=1,SUM('Turns'!E370),"Unknown")</f>
        <v>4.837452e-05</v>
      </c>
      <c r="X136" s="2">
        <f>IF(COUNT('Turns'!F370)=1,SUM('Turns'!F370),"Unknown")</f>
        <v>5.52e-05</v>
      </c>
      <c r="Y136" s="2">
        <f>IF(COUNT('Turns'!E375)=1,SUM('Turns'!E375),"Unknown")</f>
        <v>0.001323726675</v>
      </c>
      <c r="Z136" s="2">
        <f>IF(COUNT('Turns'!F375)=1,SUM('Turns'!F375),"Unknown")</f>
        <v>0.0015105</v>
      </c>
      <c r="AA136" s="5">
        <f>IF(ISNUMBER(Y136),ROUND(Y136*'Reference data'!$B$2,0),"Unknown")</f>
        <v>132.0</v>
      </c>
      <c r="AB136" s="5">
        <f>IF(ISNUMBER(Z136),ROUND(Z136*'Reference data'!$B$2,0),"Unknown")</f>
        <v>151.0</v>
      </c>
      <c r="AD136" s="1">
        <v>1505.849</v>
      </c>
      <c r="AE136" s="1" t="s">
        <v>318</v>
      </c>
    </row>
    <row r="137" spans="1:31" ht="54" customHeight="1">
      <c r="A137" s="6" t="s">
        <v>335</v>
      </c>
      <c r="B137" s="1">
        <v>5</v>
      </c>
      <c r="C137" s="1" t="s">
        <v>336</v>
      </c>
      <c r="D137" s="1" t="s">
        <v>95</v>
      </c>
      <c r="E137" s="1" t="s">
        <v>111</v>
      </c>
      <c r="F137" s="1">
        <v>7467</v>
      </c>
      <c r="G137" s="6" t="s">
        <v>337</v>
      </c>
      <c r="H137" t="s">
        <v>240</v>
      </c>
      <c r="I137" t="s">
        <v>454</v>
      </c>
      <c r="J137" s="2">
        <f>IF(COUNT('Turns'!D364)=1,SUM('Turns'!D364),"Unknown")</f>
        <v>3.0</v>
      </c>
      <c r="K137" s="2">
        <f>IF(COUNT('Turns'!E364)=1,SUM('Turns'!E364),"Unknown")</f>
        <v>5.2581e-07</v>
      </c>
      <c r="L137" s="2">
        <f>IF(COUNT('Turns'!F364)=1,SUM('Turns'!F364),"Unknown")</f>
        <v>6e-07</v>
      </c>
      <c r="M137" s="2">
        <f>IF(COUNT('Turns'!D363)=1,SUM('Turns'!D363),"Unknown")</f>
        <v>1950.0</v>
      </c>
      <c r="N137" s="2">
        <f>IF(COUNT('Turns'!E363)=1,SUM('Turns'!E363),"Unknown")</f>
        <v>3.417765e-05</v>
      </c>
      <c r="O137" s="2">
        <f>IF(COUNT('Turns'!F363)=1,SUM('Turns'!F363),"Unknown")</f>
        <v>3.9e-05</v>
      </c>
      <c r="P137" s="2">
        <f>IF(COUNT('Turns'!D367)=1,SUM('Turns'!D367),"Unknown")</f>
        <v>5514.0</v>
      </c>
      <c r="Q137" s="2">
        <f>IF(COUNT('Turns'!E367)=1,SUM('Turns'!E367),"Unknown")</f>
        <v>0.001208048475</v>
      </c>
      <c r="R137" s="2">
        <f>IF(COUNT('Turns'!F367)=1,SUM('Turns'!F367),"Unknown")</f>
        <v>0.0013785</v>
      </c>
      <c r="S137" s="2">
        <f>IF(COUNT('Turns'!D371)=1,SUM('Turns'!D371),"Unknown")</f>
        <v>31.0</v>
      </c>
      <c r="T137" s="2">
        <f>IF(COUNT('Turns'!E371)=1,SUM('Turns'!E371),"Unknown")</f>
        <v>3.260022e-05</v>
      </c>
      <c r="U137" s="2">
        <f>IF(COUNT('Turns'!F371)=1,SUM('Turns'!F371),"Unknown")</f>
        <v>3.72e-05</v>
      </c>
      <c r="V137" s="2">
        <f>IF(COUNT('Turns'!D370)=1,SUM('Turns'!D370),"Unknown")</f>
        <v>46.0</v>
      </c>
      <c r="W137" s="2">
        <f>IF(COUNT('Turns'!E370)=1,SUM('Turns'!E370),"Unknown")</f>
        <v>4.837452e-05</v>
      </c>
      <c r="X137" s="2">
        <f>IF(COUNT('Turns'!F370)=1,SUM('Turns'!F370),"Unknown")</f>
        <v>5.52e-05</v>
      </c>
      <c r="Y137" s="2">
        <f>IF(COUNT('Turns'!E375)=1,SUM('Turns'!E375),"Unknown")</f>
        <v>0.001323726675</v>
      </c>
      <c r="Z137" s="2">
        <f>IF(COUNT('Turns'!F375)=1,SUM('Turns'!F375),"Unknown")</f>
        <v>0.0015105</v>
      </c>
      <c r="AA137" s="5">
        <f>IF(ISNUMBER(Y137),ROUND(Y137*'Reference data'!$B$2,0),"Unknown")</f>
        <v>132.0</v>
      </c>
      <c r="AB137" s="5">
        <f>IF(ISNUMBER(Z137),ROUND(Z137*'Reference data'!$B$2,0),"Unknown")</f>
        <v>151.0</v>
      </c>
      <c r="AC137" s="1" t="s">
        <v>239</v>
      </c>
      <c r="AD137" s="1">
        <v>1500.457</v>
      </c>
      <c r="AE137" s="1" t="s">
        <v>338</v>
      </c>
    </row>
    <row r="138" spans="1:31" ht="54" customHeight="1">
      <c r="A138" s="6" t="s">
        <v>339</v>
      </c>
      <c r="B138" s="1">
        <v>4</v>
      </c>
      <c r="C138" s="1" t="s">
        <v>316</v>
      </c>
      <c r="D138" s="1" t="s">
        <v>47</v>
      </c>
      <c r="E138" s="1" t="s">
        <v>111</v>
      </c>
      <c r="G138" s="6" t="s">
        <v>340</v>
      </c>
      <c r="H138" t="s">
        <v>455</v>
      </c>
      <c r="I138" t="s">
        <v>452</v>
      </c>
      <c r="AD138" s="1">
        <v>4.758</v>
      </c>
      <c r="AE138" s="1" t="s">
        <v>331</v>
      </c>
    </row>
    <row r="139" spans="1:31" ht="54" customHeight="1">
      <c r="A139" s="6" t="s">
        <v>342</v>
      </c>
      <c r="B139" s="1">
        <v>5</v>
      </c>
      <c r="C139" s="1" t="s">
        <v>343</v>
      </c>
      <c r="D139" s="1" t="s">
        <v>47</v>
      </c>
      <c r="E139" s="1" t="s">
        <v>111</v>
      </c>
      <c r="G139" s="6" t="s">
        <v>344</v>
      </c>
      <c r="H139" t="s">
        <v>243</v>
      </c>
      <c r="I139" t="s">
        <v>455</v>
      </c>
      <c r="AD139" s="1">
        <v>1.863</v>
      </c>
      <c r="AE139" s="1" t="s">
        <v>331</v>
      </c>
    </row>
    <row r="140" spans="1:31" ht="54" customHeight="1">
      <c r="A140" s="6" t="s">
        <v>328</v>
      </c>
      <c r="B140" s="1">
        <v>4</v>
      </c>
      <c r="C140" s="1" t="s">
        <v>316</v>
      </c>
      <c r="D140" s="1" t="s">
        <v>47</v>
      </c>
      <c r="E140" s="1" t="s">
        <v>111</v>
      </c>
      <c r="G140" s="6" t="s">
        <v>456</v>
      </c>
      <c r="H140" t="s">
        <v>457</v>
      </c>
      <c r="I140" t="s">
        <v>452</v>
      </c>
      <c r="J140" s="2">
        <f>IF(COUNT('Turns'!D380)=1,SUM('Turns'!D380),"Unknown")</f>
        <v>3.0</v>
      </c>
      <c r="K140" s="2">
        <f>IF(COUNT('Turns'!E380)=1,SUM('Turns'!E380),"Unknown")</f>
        <v>5.2581e-07</v>
      </c>
      <c r="L140" s="2">
        <f>IF(COUNT('Turns'!F380)=1,SUM('Turns'!F380),"Unknown")</f>
        <v>6e-07</v>
      </c>
      <c r="M140" s="2">
        <v>0</v>
      </c>
      <c r="N140" s="2">
        <v>0</v>
      </c>
      <c r="O140" s="2">
        <v>0</v>
      </c>
      <c r="P140" s="2">
        <f>IF(COUNT('Turns'!D383)=1,SUM('Turns'!D383),"Unknown")</f>
        <v>5957.0</v>
      </c>
      <c r="Q140" s="2">
        <f>IF(COUNT('Turns'!E383)=1,SUM('Turns'!E383),"Unknown")</f>
        <v>0.0013051042375</v>
      </c>
      <c r="R140" s="2">
        <f>IF(COUNT('Turns'!F383)=1,SUM('Turns'!F383),"Unknown")</f>
        <v>0.00148925</v>
      </c>
      <c r="S140" s="2">
        <f>IF(COUNT('Turns'!D387)=1,SUM('Turns'!D387),"Unknown")</f>
        <v>706.0</v>
      </c>
      <c r="T140" s="2">
        <f>IF(COUNT('Turns'!E387)=1,SUM('Turns'!E387),"Unknown")</f>
        <v>0.00074244372</v>
      </c>
      <c r="U140" s="2">
        <f>IF(COUNT('Turns'!F387)=1,SUM('Turns'!F387),"Unknown")</f>
        <v>0.0008472</v>
      </c>
      <c r="V140" s="2">
        <f>IF(COUNT('Turns'!D386)=1,SUM('Turns'!D386),"Unknown")</f>
        <v>85.0</v>
      </c>
      <c r="W140" s="2">
        <f>IF(COUNT('Turns'!E386)=1,SUM('Turns'!E386),"Unknown")</f>
        <v>8.93877e-05</v>
      </c>
      <c r="X140" s="2">
        <f>IF(COUNT('Turns'!F386)=1,SUM('Turns'!F386),"Unknown")</f>
        <v>0.000102</v>
      </c>
      <c r="Y140" s="2">
        <f>IF(COUNT('Turns'!E391)=1,SUM('Turns'!E391),"Unknown")</f>
        <v>0.0021374614675</v>
      </c>
      <c r="Z140" s="2">
        <f>IF(COUNT('Turns'!F391)=1,SUM('Turns'!F391),"Unknown")</f>
        <v>0.00243905</v>
      </c>
      <c r="AA140" s="5">
        <f>IF(ISNUMBER(Y140),ROUND(Y140*'Reference data'!$B$2,0),"Unknown")</f>
        <v>214.0</v>
      </c>
      <c r="AB140" s="5">
        <f>IF(ISNUMBER(Z140),ROUND(Z140*'Reference data'!$B$2,0),"Unknown")</f>
        <v>244.0</v>
      </c>
      <c r="AD140" s="1">
        <v>9654.905000000001</v>
      </c>
      <c r="AE140" s="1" t="s">
        <v>318</v>
      </c>
    </row>
    <row r="141" spans="1:31" ht="54" customHeight="1">
      <c r="A141" s="6" t="s">
        <v>403</v>
      </c>
      <c r="B141" s="1">
        <v>5</v>
      </c>
      <c r="C141" s="1" t="s">
        <v>316</v>
      </c>
      <c r="D141" s="1" t="s">
        <v>47</v>
      </c>
      <c r="E141" s="1" t="s">
        <v>111</v>
      </c>
      <c r="G141" s="6" t="s">
        <v>404</v>
      </c>
      <c r="H141" t="s">
        <v>458</v>
      </c>
      <c r="I141" t="s">
        <v>457</v>
      </c>
      <c r="J141" s="2">
        <f>IF(COUNT('Turns'!D380)=1,SUM('Turns'!D380),"Unknown")</f>
        <v>3.0</v>
      </c>
      <c r="K141" s="2">
        <f>IF(COUNT('Turns'!E380)=1,SUM('Turns'!E380),"Unknown")</f>
        <v>5.2581e-07</v>
      </c>
      <c r="L141" s="2">
        <f>IF(COUNT('Turns'!F380)=1,SUM('Turns'!F380),"Unknown")</f>
        <v>6e-07</v>
      </c>
      <c r="M141" s="2">
        <v>0</v>
      </c>
      <c r="N141" s="2">
        <v>0</v>
      </c>
      <c r="O141" s="2">
        <v>0</v>
      </c>
      <c r="P141" s="2">
        <f>IF(COUNT('Turns'!D383)=1,SUM('Turns'!D383),"Unknown")</f>
        <v>5957.0</v>
      </c>
      <c r="Q141" s="2">
        <f>IF(COUNT('Turns'!E383)=1,SUM('Turns'!E383),"Unknown")</f>
        <v>0.0013051042375</v>
      </c>
      <c r="R141" s="2">
        <f>IF(COUNT('Turns'!F383)=1,SUM('Turns'!F383),"Unknown")</f>
        <v>0.00148925</v>
      </c>
      <c r="S141" s="2">
        <f>IF(COUNT('Turns'!D387)=1,SUM('Turns'!D387),"Unknown")</f>
        <v>706.0</v>
      </c>
      <c r="T141" s="2">
        <f>IF(COUNT('Turns'!E387)=1,SUM('Turns'!E387),"Unknown")</f>
        <v>0.00074244372</v>
      </c>
      <c r="U141" s="2">
        <f>IF(COUNT('Turns'!F387)=1,SUM('Turns'!F387),"Unknown")</f>
        <v>0.0008472</v>
      </c>
      <c r="V141" s="2">
        <f>IF(COUNT('Turns'!D386)=1,SUM('Turns'!D386),"Unknown")</f>
        <v>85.0</v>
      </c>
      <c r="W141" s="2">
        <f>IF(COUNT('Turns'!E386)=1,SUM('Turns'!E386),"Unknown")</f>
        <v>8.93877e-05</v>
      </c>
      <c r="X141" s="2">
        <f>IF(COUNT('Turns'!F386)=1,SUM('Turns'!F386),"Unknown")</f>
        <v>0.000102</v>
      </c>
      <c r="Y141" s="2">
        <f>IF(COUNT('Turns'!E391)=1,SUM('Turns'!E391),"Unknown")</f>
        <v>0.0021374614675</v>
      </c>
      <c r="Z141" s="2">
        <f>IF(COUNT('Turns'!F391)=1,SUM('Turns'!F391),"Unknown")</f>
        <v>0.00243905</v>
      </c>
      <c r="AA141" s="5">
        <f>IF(ISNUMBER(Y141),ROUND(Y141*'Reference data'!$B$2,0),"Unknown")</f>
        <v>214.0</v>
      </c>
      <c r="AB141" s="5">
        <f>IF(ISNUMBER(Z141),ROUND(Z141*'Reference data'!$B$2,0),"Unknown")</f>
        <v>244.0</v>
      </c>
      <c r="AD141" s="1">
        <v>9650.17</v>
      </c>
      <c r="AE141" s="1" t="s">
        <v>318</v>
      </c>
    </row>
    <row r="142" spans="1:31" ht="54" customHeight="1">
      <c r="A142" s="6" t="s">
        <v>406</v>
      </c>
      <c r="B142" s="1">
        <v>6</v>
      </c>
      <c r="C142" s="1" t="s">
        <v>336</v>
      </c>
      <c r="D142" s="1" t="s">
        <v>95</v>
      </c>
      <c r="E142" s="1" t="s">
        <v>111</v>
      </c>
      <c r="F142" s="1">
        <v>5960</v>
      </c>
      <c r="G142" s="6" t="s">
        <v>337</v>
      </c>
      <c r="H142" t="s">
        <v>245</v>
      </c>
      <c r="I142" t="s">
        <v>458</v>
      </c>
      <c r="J142" s="2">
        <f>IF(COUNT('Turns'!D380)=1,SUM('Turns'!D380),"Unknown")</f>
        <v>3.0</v>
      </c>
      <c r="K142" s="2">
        <f>IF(COUNT('Turns'!E380)=1,SUM('Turns'!E380),"Unknown")</f>
        <v>5.2581e-07</v>
      </c>
      <c r="L142" s="2">
        <f>IF(COUNT('Turns'!F380)=1,SUM('Turns'!F380),"Unknown")</f>
        <v>6e-07</v>
      </c>
      <c r="M142" s="2">
        <v>0</v>
      </c>
      <c r="N142" s="2">
        <v>0</v>
      </c>
      <c r="O142" s="2">
        <v>0</v>
      </c>
      <c r="P142" s="2">
        <f>IF(COUNT('Turns'!D383)=1,SUM('Turns'!D383),"Unknown")</f>
        <v>5957.0</v>
      </c>
      <c r="Q142" s="2">
        <f>IF(COUNT('Turns'!E383)=1,SUM('Turns'!E383),"Unknown")</f>
        <v>0.0013051042375</v>
      </c>
      <c r="R142" s="2">
        <f>IF(COUNT('Turns'!F383)=1,SUM('Turns'!F383),"Unknown")</f>
        <v>0.00148925</v>
      </c>
      <c r="S142" s="2">
        <f>IF(COUNT('Turns'!D387)=1,SUM('Turns'!D387),"Unknown")</f>
        <v>706.0</v>
      </c>
      <c r="T142" s="2">
        <f>IF(COUNT('Turns'!E387)=1,SUM('Turns'!E387),"Unknown")</f>
        <v>0.00074244372</v>
      </c>
      <c r="U142" s="2">
        <f>IF(COUNT('Turns'!F387)=1,SUM('Turns'!F387),"Unknown")</f>
        <v>0.0008472</v>
      </c>
      <c r="V142" s="2">
        <f>IF(COUNT('Turns'!D386)=1,SUM('Turns'!D386),"Unknown")</f>
        <v>85.0</v>
      </c>
      <c r="W142" s="2">
        <f>IF(COUNT('Turns'!E386)=1,SUM('Turns'!E386),"Unknown")</f>
        <v>8.93877e-05</v>
      </c>
      <c r="X142" s="2">
        <f>IF(COUNT('Turns'!F386)=1,SUM('Turns'!F386),"Unknown")</f>
        <v>0.000102</v>
      </c>
      <c r="Y142" s="2">
        <f>IF(COUNT('Turns'!E391)=1,SUM('Turns'!E391),"Unknown")</f>
        <v>0.0021374614675</v>
      </c>
      <c r="Z142" s="2">
        <f>IF(COUNT('Turns'!F391)=1,SUM('Turns'!F391),"Unknown")</f>
        <v>0.00243905</v>
      </c>
      <c r="AA142" s="5">
        <f>IF(ISNUMBER(Y142),ROUND(Y142*'Reference data'!$B$2,0),"Unknown")</f>
        <v>214.0</v>
      </c>
      <c r="AB142" s="5">
        <f>IF(ISNUMBER(Z142),ROUND(Z142*'Reference data'!$B$2,0),"Unknown")</f>
        <v>244.0</v>
      </c>
      <c r="AC142" s="1" t="s">
        <v>244</v>
      </c>
      <c r="AD142" s="1">
        <v>9647.031999999999</v>
      </c>
      <c r="AE142" s="1" t="s">
        <v>338</v>
      </c>
    </row>
    <row r="143" spans="1:31" ht="54" customHeight="1">
      <c r="A143" s="6" t="s">
        <v>332</v>
      </c>
      <c r="B143" s="1">
        <v>4</v>
      </c>
      <c r="C143" s="1" t="s">
        <v>316</v>
      </c>
      <c r="D143" s="1" t="s">
        <v>47</v>
      </c>
      <c r="E143" s="1" t="s">
        <v>111</v>
      </c>
      <c r="G143" s="6" t="s">
        <v>333</v>
      </c>
      <c r="H143" t="s">
        <v>459</v>
      </c>
      <c r="I143" t="s">
        <v>452</v>
      </c>
      <c r="J143" s="2">
        <f>IF(COUNT('Turns'!D394)=1,SUM('Turns'!D394),"Unknown")</f>
        <v>3.0</v>
      </c>
      <c r="K143" s="2">
        <f>IF(COUNT('Turns'!E394)=1,SUM('Turns'!E394),"Unknown")</f>
        <v>5.2581e-07</v>
      </c>
      <c r="L143" s="2">
        <f>IF(COUNT('Turns'!F394)=1,SUM('Turns'!F394),"Unknown")</f>
        <v>6e-07</v>
      </c>
      <c r="M143" s="2">
        <f>IF(COUNT('Turns'!D393)=1,SUM('Turns'!D393),"Unknown")</f>
        <v>1950.0</v>
      </c>
      <c r="N143" s="2">
        <f>IF(COUNT('Turns'!E393)=1,SUM('Turns'!E393),"Unknown")</f>
        <v>3.417765e-05</v>
      </c>
      <c r="O143" s="2">
        <f>IF(COUNT('Turns'!F393)=1,SUM('Turns'!F393),"Unknown")</f>
        <v>3.9e-05</v>
      </c>
      <c r="P143" s="2">
        <f>IF(COUNT('Turns'!D396)=1,SUM('Turns'!D396),"Unknown")</f>
        <v>1578.0</v>
      </c>
      <c r="Q143" s="2">
        <f>IF(COUNT('Turns'!E396)=1,SUM('Turns'!E396),"Unknown")</f>
        <v>0.000345720075</v>
      </c>
      <c r="R143" s="2">
        <f>IF(COUNT('Turns'!F396)=1,SUM('Turns'!F396),"Unknown")</f>
        <v>0.0003945</v>
      </c>
      <c r="S143" s="2">
        <f>IF(COUNT('Turns'!D400)=1,SUM('Turns'!D400),"Unknown")</f>
        <v>445.0</v>
      </c>
      <c r="T143" s="2">
        <f>IF(COUNT('Turns'!E400)=1,SUM('Turns'!E400),"Unknown")</f>
        <v>0.0004679709</v>
      </c>
      <c r="U143" s="2">
        <f>IF(COUNT('Turns'!F400)=1,SUM('Turns'!F400),"Unknown")</f>
        <v>0.000534</v>
      </c>
      <c r="V143" s="2">
        <f>IF(COUNT('Turns'!D399)=1,SUM('Turns'!D399),"Unknown")</f>
        <v>23.0</v>
      </c>
      <c r="W143" s="2">
        <f>IF(COUNT('Turns'!E399)=1,SUM('Turns'!E399),"Unknown")</f>
        <v>2.418726e-05</v>
      </c>
      <c r="X143" s="2">
        <f>IF(COUNT('Turns'!F399)=1,SUM('Turns'!F399),"Unknown")</f>
        <v>2.76e-05</v>
      </c>
      <c r="Y143" s="2">
        <f>IF(COUNT('Turns'!E404)=1,SUM('Turns'!E404),"Unknown")</f>
        <v>0.000872581695</v>
      </c>
      <c r="Z143" s="2">
        <f>IF(COUNT('Turns'!F404)=1,SUM('Turns'!F404),"Unknown")</f>
        <v>0.0009957</v>
      </c>
      <c r="AA143" s="5">
        <f>IF(ISNUMBER(Y143),ROUND(Y143*'Reference data'!$B$2,0),"Unknown")</f>
        <v>87.0</v>
      </c>
      <c r="AB143" s="5">
        <f>IF(ISNUMBER(Z143),ROUND(Z143*'Reference data'!$B$2,0),"Unknown")</f>
        <v>100.0</v>
      </c>
      <c r="AD143" s="1">
        <v>4704.144</v>
      </c>
      <c r="AE143" s="1" t="s">
        <v>318</v>
      </c>
    </row>
    <row r="144" spans="1:31" ht="54" customHeight="1">
      <c r="A144" s="6" t="s">
        <v>335</v>
      </c>
      <c r="B144" s="1">
        <v>5</v>
      </c>
      <c r="C144" s="1" t="s">
        <v>336</v>
      </c>
      <c r="D144" s="1" t="s">
        <v>95</v>
      </c>
      <c r="E144" s="1" t="s">
        <v>111</v>
      </c>
      <c r="F144" s="1">
        <v>3531</v>
      </c>
      <c r="G144" s="6" t="s">
        <v>337</v>
      </c>
      <c r="H144" t="s">
        <v>248</v>
      </c>
      <c r="I144" t="s">
        <v>459</v>
      </c>
      <c r="J144" s="2">
        <f>IF(COUNT('Turns'!D394)=1,SUM('Turns'!D394),"Unknown")</f>
        <v>3.0</v>
      </c>
      <c r="K144" s="2">
        <f>IF(COUNT('Turns'!E394)=1,SUM('Turns'!E394),"Unknown")</f>
        <v>5.2581e-07</v>
      </c>
      <c r="L144" s="2">
        <f>IF(COUNT('Turns'!F394)=1,SUM('Turns'!F394),"Unknown")</f>
        <v>6e-07</v>
      </c>
      <c r="M144" s="2">
        <f>IF(COUNT('Turns'!D393)=1,SUM('Turns'!D393),"Unknown")</f>
        <v>1950.0</v>
      </c>
      <c r="N144" s="2">
        <f>IF(COUNT('Turns'!E393)=1,SUM('Turns'!E393),"Unknown")</f>
        <v>3.417765e-05</v>
      </c>
      <c r="O144" s="2">
        <f>IF(COUNT('Turns'!F393)=1,SUM('Turns'!F393),"Unknown")</f>
        <v>3.9e-05</v>
      </c>
      <c r="P144" s="2">
        <f>IF(COUNT('Turns'!D396)=1,SUM('Turns'!D396),"Unknown")</f>
        <v>1578.0</v>
      </c>
      <c r="Q144" s="2">
        <f>IF(COUNT('Turns'!E396)=1,SUM('Turns'!E396),"Unknown")</f>
        <v>0.000345720075</v>
      </c>
      <c r="R144" s="2">
        <f>IF(COUNT('Turns'!F396)=1,SUM('Turns'!F396),"Unknown")</f>
        <v>0.0003945</v>
      </c>
      <c r="S144" s="2">
        <f>IF(COUNT('Turns'!D400)=1,SUM('Turns'!D400),"Unknown")</f>
        <v>445.0</v>
      </c>
      <c r="T144" s="2">
        <f>IF(COUNT('Turns'!E400)=1,SUM('Turns'!E400),"Unknown")</f>
        <v>0.0004679709</v>
      </c>
      <c r="U144" s="2">
        <f>IF(COUNT('Turns'!F400)=1,SUM('Turns'!F400),"Unknown")</f>
        <v>0.000534</v>
      </c>
      <c r="V144" s="2">
        <f>IF(COUNT('Turns'!D399)=1,SUM('Turns'!D399),"Unknown")</f>
        <v>23.0</v>
      </c>
      <c r="W144" s="2">
        <f>IF(COUNT('Turns'!E399)=1,SUM('Turns'!E399),"Unknown")</f>
        <v>2.418726e-05</v>
      </c>
      <c r="X144" s="2">
        <f>IF(COUNT('Turns'!F399)=1,SUM('Turns'!F399),"Unknown")</f>
        <v>2.76e-05</v>
      </c>
      <c r="Y144" s="2">
        <f>IF(COUNT('Turns'!E404)=1,SUM('Turns'!E404),"Unknown")</f>
        <v>0.000872581695</v>
      </c>
      <c r="Z144" s="2">
        <f>IF(COUNT('Turns'!F404)=1,SUM('Turns'!F404),"Unknown")</f>
        <v>0.0009957</v>
      </c>
      <c r="AA144" s="5">
        <f>IF(ISNUMBER(Y144),ROUND(Y144*'Reference data'!$B$2,0),"Unknown")</f>
        <v>87.0</v>
      </c>
      <c r="AB144" s="5">
        <f>IF(ISNUMBER(Z144),ROUND(Z144*'Reference data'!$B$2,0),"Unknown")</f>
        <v>100.0</v>
      </c>
      <c r="AC144" s="1" t="s">
        <v>247</v>
      </c>
      <c r="AD144" s="1">
        <v>4698.959</v>
      </c>
      <c r="AE144" s="1" t="s">
        <v>338</v>
      </c>
    </row>
    <row r="145" spans="1:31" ht="54" customHeight="1">
      <c r="A145" s="6" t="s">
        <v>339</v>
      </c>
      <c r="B145" s="1">
        <v>4</v>
      </c>
      <c r="C145" s="1" t="s">
        <v>316</v>
      </c>
      <c r="D145" s="1" t="s">
        <v>47</v>
      </c>
      <c r="E145" s="1" t="s">
        <v>111</v>
      </c>
      <c r="G145" s="6" t="s">
        <v>340</v>
      </c>
      <c r="H145" t="s">
        <v>460</v>
      </c>
      <c r="I145" t="s">
        <v>452</v>
      </c>
      <c r="AD145" s="1">
        <v>4.813</v>
      </c>
      <c r="AE145" s="1" t="s">
        <v>331</v>
      </c>
    </row>
    <row r="146" spans="1:31" ht="54" customHeight="1">
      <c r="A146" s="6" t="s">
        <v>396</v>
      </c>
      <c r="B146" s="1">
        <v>5</v>
      </c>
      <c r="C146" s="1" t="s">
        <v>343</v>
      </c>
      <c r="D146" s="1" t="s">
        <v>47</v>
      </c>
      <c r="E146" s="1" t="s">
        <v>111</v>
      </c>
      <c r="G146" s="6" t="s">
        <v>397</v>
      </c>
      <c r="H146" t="s">
        <v>250</v>
      </c>
      <c r="I146" t="s">
        <v>460</v>
      </c>
      <c r="AD146" s="1">
        <v>2.38</v>
      </c>
      <c r="AE146" s="1" t="s">
        <v>331</v>
      </c>
    </row>
    <row r="147" spans="1:31" ht="54" customHeight="1">
      <c r="A147" s="6" t="s">
        <v>328</v>
      </c>
      <c r="B147" s="1">
        <v>4</v>
      </c>
      <c r="C147" s="1" t="s">
        <v>316</v>
      </c>
      <c r="D147" s="1" t="s">
        <v>47</v>
      </c>
      <c r="E147" s="1" t="s">
        <v>111</v>
      </c>
      <c r="G147" s="6" t="s">
        <v>329</v>
      </c>
      <c r="H147" t="s">
        <v>461</v>
      </c>
      <c r="I147" t="s">
        <v>452</v>
      </c>
      <c r="AD147" s="1">
        <v>1.134</v>
      </c>
      <c r="AE147" s="1" t="s">
        <v>331</v>
      </c>
    </row>
    <row r="148" spans="1:31" ht="54" customHeight="1">
      <c r="A148" s="6" t="s">
        <v>332</v>
      </c>
      <c r="B148" s="1">
        <v>4</v>
      </c>
      <c r="C148" s="1" t="s">
        <v>316</v>
      </c>
      <c r="D148" s="1" t="s">
        <v>47</v>
      </c>
      <c r="E148" s="1" t="s">
        <v>111</v>
      </c>
      <c r="G148" s="6" t="s">
        <v>333</v>
      </c>
      <c r="H148" t="s">
        <v>462</v>
      </c>
      <c r="I148" t="s">
        <v>452</v>
      </c>
      <c r="J148" s="2">
        <f>IF(COUNT('Turns'!D410)=1,SUM('Turns'!D410),"Unknown")</f>
        <v>3.0</v>
      </c>
      <c r="K148" s="2">
        <f>IF(COUNT('Turns'!E410)=1,SUM('Turns'!E410),"Unknown")</f>
        <v>5.2581e-07</v>
      </c>
      <c r="L148" s="2">
        <f>IF(COUNT('Turns'!F410)=1,SUM('Turns'!F410),"Unknown")</f>
        <v>6e-07</v>
      </c>
      <c r="M148" s="2">
        <f>IF(COUNT('Turns'!D409)=1,SUM('Turns'!D409),"Unknown")</f>
        <v>3528.0</v>
      </c>
      <c r="N148" s="2">
        <f>IF(COUNT('Turns'!E409)=1,SUM('Turns'!E409),"Unknown")</f>
        <v>6.1835256e-05</v>
      </c>
      <c r="O148" s="2">
        <f>IF(COUNT('Turns'!F409)=1,SUM('Turns'!F409),"Unknown")</f>
        <v>7.056e-05</v>
      </c>
      <c r="P148" s="2">
        <f>IF(COUNT('Turns'!D412)=1,SUM('Turns'!D412),"Unknown")</f>
        <v>493.0</v>
      </c>
      <c r="Q148" s="2">
        <f>IF(COUNT('Turns'!E412)=1,SUM('Turns'!E412),"Unknown")</f>
        <v>0.0001080101375</v>
      </c>
      <c r="R148" s="2">
        <f>IF(COUNT('Turns'!F412)=1,SUM('Turns'!F412),"Unknown")</f>
        <v>0.00012325</v>
      </c>
      <c r="S148" s="2">
        <f>IF(COUNT('Turns'!D416)=1,SUM('Turns'!D416),"Unknown")</f>
        <v>144.0</v>
      </c>
      <c r="T148" s="2">
        <f>IF(COUNT('Turns'!E416)=1,SUM('Turns'!E416),"Unknown")</f>
        <v>0.00015143328</v>
      </c>
      <c r="U148" s="2">
        <f>IF(COUNT('Turns'!F416)=1,SUM('Turns'!F416),"Unknown")</f>
        <v>0.0001728</v>
      </c>
      <c r="V148" s="2">
        <f>IF(COUNT('Turns'!D415)=1,SUM('Turns'!D415),"Unknown")</f>
        <v>27.0</v>
      </c>
      <c r="W148" s="2">
        <f>IF(COUNT('Turns'!E415)=1,SUM('Turns'!E415),"Unknown")</f>
        <v>2.839374e-05</v>
      </c>
      <c r="X148" s="2">
        <f>IF(COUNT('Turns'!F415)=1,SUM('Turns'!F415),"Unknown")</f>
        <v>3.24e-05</v>
      </c>
      <c r="Y148" s="2">
        <f>IF(COUNT('Turns'!E420)=1,SUM('Turns'!E420),"Unknown")</f>
        <v>0.0003501982235</v>
      </c>
      <c r="Z148" s="2">
        <f>IF(COUNT('Turns'!F420)=1,SUM('Turns'!F420),"Unknown")</f>
        <v>0.00039961</v>
      </c>
      <c r="AA148" s="5">
        <f>IF(ISNUMBER(Y148),ROUND(Y148*'Reference data'!$B$2,0),"Unknown")</f>
        <v>35.0</v>
      </c>
      <c r="AB148" s="5">
        <f>IF(ISNUMBER(Z148),ROUND(Z148*'Reference data'!$B$2,0),"Unknown")</f>
        <v>40.0</v>
      </c>
      <c r="AD148" s="1">
        <v>2155.673</v>
      </c>
      <c r="AE148" s="1" t="s">
        <v>318</v>
      </c>
    </row>
    <row r="149" spans="1:31" ht="54" customHeight="1">
      <c r="A149" s="6" t="s">
        <v>335</v>
      </c>
      <c r="B149" s="1">
        <v>5</v>
      </c>
      <c r="C149" s="1" t="s">
        <v>336</v>
      </c>
      <c r="D149" s="1" t="s">
        <v>95</v>
      </c>
      <c r="E149" s="1" t="s">
        <v>111</v>
      </c>
      <c r="F149" s="1">
        <v>4024</v>
      </c>
      <c r="G149" s="6" t="s">
        <v>337</v>
      </c>
      <c r="H149" t="s">
        <v>253</v>
      </c>
      <c r="I149" t="s">
        <v>462</v>
      </c>
      <c r="J149" s="2">
        <f>IF(COUNT('Turns'!D410)=1,SUM('Turns'!D410),"Unknown")</f>
        <v>3.0</v>
      </c>
      <c r="K149" s="2">
        <f>IF(COUNT('Turns'!E410)=1,SUM('Turns'!E410),"Unknown")</f>
        <v>5.2581e-07</v>
      </c>
      <c r="L149" s="2">
        <f>IF(COUNT('Turns'!F410)=1,SUM('Turns'!F410),"Unknown")</f>
        <v>6e-07</v>
      </c>
      <c r="M149" s="2">
        <f>IF(COUNT('Turns'!D409)=1,SUM('Turns'!D409),"Unknown")</f>
        <v>3528.0</v>
      </c>
      <c r="N149" s="2">
        <f>IF(COUNT('Turns'!E409)=1,SUM('Turns'!E409),"Unknown")</f>
        <v>6.1835256e-05</v>
      </c>
      <c r="O149" s="2">
        <f>IF(COUNT('Turns'!F409)=1,SUM('Turns'!F409),"Unknown")</f>
        <v>7.056e-05</v>
      </c>
      <c r="P149" s="2">
        <f>IF(COUNT('Turns'!D412)=1,SUM('Turns'!D412),"Unknown")</f>
        <v>493.0</v>
      </c>
      <c r="Q149" s="2">
        <f>IF(COUNT('Turns'!E412)=1,SUM('Turns'!E412),"Unknown")</f>
        <v>0.0001080101375</v>
      </c>
      <c r="R149" s="2">
        <f>IF(COUNT('Turns'!F412)=1,SUM('Turns'!F412),"Unknown")</f>
        <v>0.00012325</v>
      </c>
      <c r="S149" s="2">
        <f>IF(COUNT('Turns'!D416)=1,SUM('Turns'!D416),"Unknown")</f>
        <v>144.0</v>
      </c>
      <c r="T149" s="2">
        <f>IF(COUNT('Turns'!E416)=1,SUM('Turns'!E416),"Unknown")</f>
        <v>0.00015143328</v>
      </c>
      <c r="U149" s="2">
        <f>IF(COUNT('Turns'!F416)=1,SUM('Turns'!F416),"Unknown")</f>
        <v>0.0001728</v>
      </c>
      <c r="V149" s="2">
        <f>IF(COUNT('Turns'!D415)=1,SUM('Turns'!D415),"Unknown")</f>
        <v>27.0</v>
      </c>
      <c r="W149" s="2">
        <f>IF(COUNT('Turns'!E415)=1,SUM('Turns'!E415),"Unknown")</f>
        <v>2.839374e-05</v>
      </c>
      <c r="X149" s="2">
        <f>IF(COUNT('Turns'!F415)=1,SUM('Turns'!F415),"Unknown")</f>
        <v>3.24e-05</v>
      </c>
      <c r="Y149" s="2">
        <f>IF(COUNT('Turns'!E420)=1,SUM('Turns'!E420),"Unknown")</f>
        <v>0.0003501982235</v>
      </c>
      <c r="Z149" s="2">
        <f>IF(COUNT('Turns'!F420)=1,SUM('Turns'!F420),"Unknown")</f>
        <v>0.00039961</v>
      </c>
      <c r="AA149" s="5">
        <f>IF(ISNUMBER(Y149),ROUND(Y149*'Reference data'!$B$2,0),"Unknown")</f>
        <v>35.0</v>
      </c>
      <c r="AB149" s="5">
        <f>IF(ISNUMBER(Z149),ROUND(Z149*'Reference data'!$B$2,0),"Unknown")</f>
        <v>40.0</v>
      </c>
      <c r="AC149" s="1" t="s">
        <v>252</v>
      </c>
      <c r="AD149" s="1">
        <v>2150.416</v>
      </c>
      <c r="AE149" s="1" t="s">
        <v>338</v>
      </c>
    </row>
    <row r="150" spans="1:31" ht="54" customHeight="1">
      <c r="A150" s="6" t="s">
        <v>352</v>
      </c>
      <c r="B150" s="1">
        <v>2</v>
      </c>
      <c r="C150" s="1" t="s">
        <v>316</v>
      </c>
      <c r="D150" s="1" t="s">
        <v>47</v>
      </c>
      <c r="E150" s="1" t="s">
        <v>111</v>
      </c>
      <c r="G150" s="6" t="s">
        <v>353</v>
      </c>
      <c r="H150" t="s">
        <v>463</v>
      </c>
      <c r="I150" t="s">
        <v>450</v>
      </c>
      <c r="AD150" s="1">
        <v>0.309</v>
      </c>
      <c r="AE150" s="1" t="s">
        <v>331</v>
      </c>
    </row>
    <row r="151" spans="1:31" ht="54" customHeight="1">
      <c r="A151" s="6" t="s">
        <v>355</v>
      </c>
      <c r="B151" s="1">
        <v>1</v>
      </c>
      <c r="C151" s="1" t="s">
        <v>316</v>
      </c>
      <c r="D151" s="1" t="s">
        <v>47</v>
      </c>
      <c r="E151" s="1" t="s">
        <v>111</v>
      </c>
      <c r="G151" s="6" t="s">
        <v>356</v>
      </c>
      <c r="H151" t="s">
        <v>464</v>
      </c>
      <c r="I151" t="s">
        <v>449</v>
      </c>
      <c r="J151" s="2">
        <f>IF(COUNT('Turns'!D423,'Turns'!D442,'Turns'!D458,'Turns'!D474)=4,SUM('Turns'!D423,'Turns'!D442,'Turns'!D458,'Turns'!D474),"Unknown")</f>
        <v>12.0</v>
      </c>
      <c r="K151" s="2">
        <f>IF(COUNT('Turns'!E423,'Turns'!E442,'Turns'!E458,'Turns'!E474)=4,SUM('Turns'!E423,'Turns'!E442,'Turns'!E458,'Turns'!E474),"Unknown")</f>
        <v>2.10324e-06</v>
      </c>
      <c r="L151" s="2">
        <f>IF(COUNT('Turns'!F423,'Turns'!F442,'Turns'!F458,'Turns'!F474)=4,SUM('Turns'!F423,'Turns'!F442,'Turns'!F458,'Turns'!F474),"Unknown")</f>
        <v>2.4e-06</v>
      </c>
      <c r="M151" s="2">
        <f>IF(COUNT('Turns'!D422,'Turns'!D441,'Turns'!D457,'Turns'!D473)=4,SUM('Turns'!D422,'Turns'!D441,'Turns'!D457,'Turns'!D473),"Unknown")</f>
        <v>15226.0</v>
      </c>
      <c r="N151" s="2">
        <f>IF(COUNT('Turns'!E422,'Turns'!E441,'Turns'!E457,'Turns'!E473)=4,SUM('Turns'!E422,'Turns'!E441,'Turns'!E457,'Turns'!E473),"Unknown")</f>
        <v>0.000266866102</v>
      </c>
      <c r="O151" s="2">
        <f>IF(COUNT('Turns'!F422,'Turns'!F441,'Turns'!F457,'Turns'!F473)=4,SUM('Turns'!F422,'Turns'!F441,'Turns'!F457,'Turns'!F473),"Unknown")</f>
        <v>0.00030452</v>
      </c>
      <c r="P151" s="2">
        <f>IF(COUNT('Turns'!D425,'Turns'!D444,'Turns'!D460,'Turns'!D476)=4,SUM('Turns'!D425,'Turns'!D444,'Turns'!D460,'Turns'!D476),"Unknown")</f>
        <v>6394.0</v>
      </c>
      <c r="Q151" s="2">
        <f>IF(COUNT('Turns'!E425,'Turns'!E444,'Turns'!E460,'Turns'!E476)=4,SUM('Turns'!E425,'Turns'!E444,'Turns'!E460,'Turns'!E476),"Unknown")</f>
        <v>0.001400845475</v>
      </c>
      <c r="R151" s="2">
        <f>IF(COUNT('Turns'!F425,'Turns'!F444,'Turns'!F460,'Turns'!F476)=4,SUM('Turns'!F425,'Turns'!F444,'Turns'!F460,'Turns'!F476),"Unknown")</f>
        <v>0.0015985</v>
      </c>
      <c r="S151" s="2">
        <f>IF(COUNT('Turns'!D429,'Turns'!D448,'Turns'!D464,'Turns'!D480)=4,SUM('Turns'!D429,'Turns'!D448,'Turns'!D464,'Turns'!D480),"Unknown")</f>
        <v>674.0</v>
      </c>
      <c r="T151" s="2">
        <f>IF(COUNT('Turns'!E429,'Turns'!E448,'Turns'!E464,'Turns'!E480)=4,SUM('Turns'!E429,'Turns'!E448,'Turns'!E464,'Turns'!E480),"Unknown")</f>
        <v>0.00070879188</v>
      </c>
      <c r="U151" s="2">
        <f>IF(COUNT('Turns'!F429,'Turns'!F448,'Turns'!F464,'Turns'!F480)=4,SUM('Turns'!F429,'Turns'!F448,'Turns'!F464,'Turns'!F480),"Unknown")</f>
        <v>0.0008088</v>
      </c>
      <c r="V151" s="2">
        <f>IF(COUNT('Turns'!D428,'Turns'!D447,'Turns'!D463,'Turns'!D479)=4,SUM('Turns'!D428,'Turns'!D447,'Turns'!D463,'Turns'!D479),"Unknown")</f>
        <v>198.0</v>
      </c>
      <c r="W151" s="2">
        <f>IF(COUNT('Turns'!E428,'Turns'!E447,'Turns'!E463,'Turns'!E479)=4,SUM('Turns'!E428,'Turns'!E447,'Turns'!E463,'Turns'!E479),"Unknown")</f>
        <v>0.00020822076</v>
      </c>
      <c r="X151" s="2">
        <f>IF(COUNT('Turns'!F428,'Turns'!F447,'Turns'!F463,'Turns'!F479)=4,SUM('Turns'!F428,'Turns'!F447,'Turns'!F463,'Turns'!F479),"Unknown")</f>
        <v>0.0002376</v>
      </c>
      <c r="Y151" s="2">
        <f>IF(COUNT('Turns'!E433,'Turns'!E452,'Turns'!E468,'Turns'!E484)=4,SUM('Turns'!E433,'Turns'!E452,'Turns'!E468,'Turns'!E484),"Unknown")</f>
        <v>0.002586827457</v>
      </c>
      <c r="Z151" s="2">
        <f>IF(COUNT('Turns'!F433,'Turns'!F452,'Turns'!F468,'Turns'!F484)=4,SUM('Turns'!F433,'Turns'!F452,'Turns'!F468,'Turns'!F484),"Unknown")</f>
        <v>0.00295182</v>
      </c>
      <c r="AA151" s="5">
        <f>IF(ISNUMBER(Y151),ROUND(Y151*'Reference data'!$B$2,0),"Unknown")</f>
        <v>259.0</v>
      </c>
      <c r="AB151" s="5">
        <f>IF(ISNUMBER(Z151),ROUND(Z151*'Reference data'!$B$2,0),"Unknown")</f>
        <v>295.0</v>
      </c>
      <c r="AD151" s="1">
        <v>13359.588</v>
      </c>
      <c r="AE151" s="1" t="s">
        <v>318</v>
      </c>
    </row>
    <row r="152" spans="1:31" ht="54" customHeight="1">
      <c r="A152" s="6" t="s">
        <v>322</v>
      </c>
      <c r="B152" s="1">
        <v>2</v>
      </c>
      <c r="C152" s="1" t="s">
        <v>316</v>
      </c>
      <c r="D152" s="1" t="s">
        <v>47</v>
      </c>
      <c r="E152" s="1" t="s">
        <v>111</v>
      </c>
      <c r="G152" s="6" t="s">
        <v>323</v>
      </c>
      <c r="H152" t="s">
        <v>465</v>
      </c>
      <c r="I152" t="s">
        <v>464</v>
      </c>
      <c r="J152" s="2">
        <f>IF(COUNT('Turns'!D423,'Turns'!D442,'Turns'!D458,'Turns'!D474)=4,SUM('Turns'!D423,'Turns'!D442,'Turns'!D458,'Turns'!D474),"Unknown")</f>
        <v>12.0</v>
      </c>
      <c r="K152" s="2">
        <f>IF(COUNT('Turns'!E423,'Turns'!E442,'Turns'!E458,'Turns'!E474)=4,SUM('Turns'!E423,'Turns'!E442,'Turns'!E458,'Turns'!E474),"Unknown")</f>
        <v>2.10324e-06</v>
      </c>
      <c r="L152" s="2">
        <f>IF(COUNT('Turns'!F423,'Turns'!F442,'Turns'!F458,'Turns'!F474)=4,SUM('Turns'!F423,'Turns'!F442,'Turns'!F458,'Turns'!F474),"Unknown")</f>
        <v>2.4e-06</v>
      </c>
      <c r="M152" s="2">
        <f>IF(COUNT('Turns'!D422,'Turns'!D441,'Turns'!D457,'Turns'!D473)=4,SUM('Turns'!D422,'Turns'!D441,'Turns'!D457,'Turns'!D473),"Unknown")</f>
        <v>15226.0</v>
      </c>
      <c r="N152" s="2">
        <f>IF(COUNT('Turns'!E422,'Turns'!E441,'Turns'!E457,'Turns'!E473)=4,SUM('Turns'!E422,'Turns'!E441,'Turns'!E457,'Turns'!E473),"Unknown")</f>
        <v>0.000266866102</v>
      </c>
      <c r="O152" s="2">
        <f>IF(COUNT('Turns'!F422,'Turns'!F441,'Turns'!F457,'Turns'!F473)=4,SUM('Turns'!F422,'Turns'!F441,'Turns'!F457,'Turns'!F473),"Unknown")</f>
        <v>0.00030452</v>
      </c>
      <c r="P152" s="2">
        <f>IF(COUNT('Turns'!D425,'Turns'!D444,'Turns'!D460,'Turns'!D476)=4,SUM('Turns'!D425,'Turns'!D444,'Turns'!D460,'Turns'!D476),"Unknown")</f>
        <v>6394.0</v>
      </c>
      <c r="Q152" s="2">
        <f>IF(COUNT('Turns'!E425,'Turns'!E444,'Turns'!E460,'Turns'!E476)=4,SUM('Turns'!E425,'Turns'!E444,'Turns'!E460,'Turns'!E476),"Unknown")</f>
        <v>0.001400845475</v>
      </c>
      <c r="R152" s="2">
        <f>IF(COUNT('Turns'!F425,'Turns'!F444,'Turns'!F460,'Turns'!F476)=4,SUM('Turns'!F425,'Turns'!F444,'Turns'!F460,'Turns'!F476),"Unknown")</f>
        <v>0.0015985</v>
      </c>
      <c r="S152" s="2">
        <f>IF(COUNT('Turns'!D429,'Turns'!D448,'Turns'!D464,'Turns'!D480)=4,SUM('Turns'!D429,'Turns'!D448,'Turns'!D464,'Turns'!D480),"Unknown")</f>
        <v>674.0</v>
      </c>
      <c r="T152" s="2">
        <f>IF(COUNT('Turns'!E429,'Turns'!E448,'Turns'!E464,'Turns'!E480)=4,SUM('Turns'!E429,'Turns'!E448,'Turns'!E464,'Turns'!E480),"Unknown")</f>
        <v>0.00070879188</v>
      </c>
      <c r="U152" s="2">
        <f>IF(COUNT('Turns'!F429,'Turns'!F448,'Turns'!F464,'Turns'!F480)=4,SUM('Turns'!F429,'Turns'!F448,'Turns'!F464,'Turns'!F480),"Unknown")</f>
        <v>0.0008088</v>
      </c>
      <c r="V152" s="2">
        <f>IF(COUNT('Turns'!D428,'Turns'!D447,'Turns'!D463,'Turns'!D479)=4,SUM('Turns'!D428,'Turns'!D447,'Turns'!D463,'Turns'!D479),"Unknown")</f>
        <v>198.0</v>
      </c>
      <c r="W152" s="2">
        <f>IF(COUNT('Turns'!E428,'Turns'!E447,'Turns'!E463,'Turns'!E479)=4,SUM('Turns'!E428,'Turns'!E447,'Turns'!E463,'Turns'!E479),"Unknown")</f>
        <v>0.00020822076</v>
      </c>
      <c r="X152" s="2">
        <f>IF(COUNT('Turns'!F428,'Turns'!F447,'Turns'!F463,'Turns'!F479)=4,SUM('Turns'!F428,'Turns'!F447,'Turns'!F463,'Turns'!F479),"Unknown")</f>
        <v>0.0002376</v>
      </c>
      <c r="Y152" s="2">
        <f>IF(COUNT('Turns'!E433,'Turns'!E452,'Turns'!E468,'Turns'!E484)=4,SUM('Turns'!E433,'Turns'!E452,'Turns'!E468,'Turns'!E484),"Unknown")</f>
        <v>0.002586827457</v>
      </c>
      <c r="Z152" s="2">
        <f>IF(COUNT('Turns'!F433,'Turns'!F452,'Turns'!F468,'Turns'!F484)=4,SUM('Turns'!F433,'Turns'!F452,'Turns'!F468,'Turns'!F484),"Unknown")</f>
        <v>0.00295182</v>
      </c>
      <c r="AA152" s="5">
        <f>IF(ISNUMBER(Y152),ROUND(Y152*'Reference data'!$B$2,0),"Unknown")</f>
        <v>259.0</v>
      </c>
      <c r="AB152" s="5">
        <f>IF(ISNUMBER(Z152),ROUND(Z152*'Reference data'!$B$2,0),"Unknown")</f>
        <v>295.0</v>
      </c>
      <c r="AD152" s="1">
        <v>13358.416</v>
      </c>
      <c r="AE152" s="1" t="s">
        <v>318</v>
      </c>
    </row>
    <row r="153" spans="1:31" ht="54" customHeight="1">
      <c r="A153" s="6" t="s">
        <v>359</v>
      </c>
      <c r="B153" s="1">
        <v>3</v>
      </c>
      <c r="C153" s="1" t="s">
        <v>316</v>
      </c>
      <c r="D153" s="1" t="s">
        <v>47</v>
      </c>
      <c r="E153" s="1" t="s">
        <v>111</v>
      </c>
      <c r="G153" s="6" t="s">
        <v>360</v>
      </c>
      <c r="H153" t="s">
        <v>466</v>
      </c>
      <c r="I153" t="s">
        <v>465</v>
      </c>
      <c r="J153" s="2">
        <f>IF(COUNT('Turns'!D423,'Turns'!D442,'Turns'!D458,'Turns'!D474)=4,SUM('Turns'!D423,'Turns'!D442,'Turns'!D458,'Turns'!D474),"Unknown")</f>
        <v>12.0</v>
      </c>
      <c r="K153" s="2">
        <f>IF(COUNT('Turns'!E423,'Turns'!E442,'Turns'!E458,'Turns'!E474)=4,SUM('Turns'!E423,'Turns'!E442,'Turns'!E458,'Turns'!E474),"Unknown")</f>
        <v>2.10324e-06</v>
      </c>
      <c r="L153" s="2">
        <f>IF(COUNT('Turns'!F423,'Turns'!F442,'Turns'!F458,'Turns'!F474)=4,SUM('Turns'!F423,'Turns'!F442,'Turns'!F458,'Turns'!F474),"Unknown")</f>
        <v>2.4e-06</v>
      </c>
      <c r="M153" s="2">
        <f>IF(COUNT('Turns'!D422,'Turns'!D441,'Turns'!D457,'Turns'!D473)=4,SUM('Turns'!D422,'Turns'!D441,'Turns'!D457,'Turns'!D473),"Unknown")</f>
        <v>15226.0</v>
      </c>
      <c r="N153" s="2">
        <f>IF(COUNT('Turns'!E422,'Turns'!E441,'Turns'!E457,'Turns'!E473)=4,SUM('Turns'!E422,'Turns'!E441,'Turns'!E457,'Turns'!E473),"Unknown")</f>
        <v>0.000266866102</v>
      </c>
      <c r="O153" s="2">
        <f>IF(COUNT('Turns'!F422,'Turns'!F441,'Turns'!F457,'Turns'!F473)=4,SUM('Turns'!F422,'Turns'!F441,'Turns'!F457,'Turns'!F473),"Unknown")</f>
        <v>0.00030452</v>
      </c>
      <c r="P153" s="2">
        <f>IF(COUNT('Turns'!D425,'Turns'!D444,'Turns'!D460,'Turns'!D476)=4,SUM('Turns'!D425,'Turns'!D444,'Turns'!D460,'Turns'!D476),"Unknown")</f>
        <v>6394.0</v>
      </c>
      <c r="Q153" s="2">
        <f>IF(COUNT('Turns'!E425,'Turns'!E444,'Turns'!E460,'Turns'!E476)=4,SUM('Turns'!E425,'Turns'!E444,'Turns'!E460,'Turns'!E476),"Unknown")</f>
        <v>0.001400845475</v>
      </c>
      <c r="R153" s="2">
        <f>IF(COUNT('Turns'!F425,'Turns'!F444,'Turns'!F460,'Turns'!F476)=4,SUM('Turns'!F425,'Turns'!F444,'Turns'!F460,'Turns'!F476),"Unknown")</f>
        <v>0.0015985</v>
      </c>
      <c r="S153" s="2">
        <f>IF(COUNT('Turns'!D429,'Turns'!D448,'Turns'!D464,'Turns'!D480)=4,SUM('Turns'!D429,'Turns'!D448,'Turns'!D464,'Turns'!D480),"Unknown")</f>
        <v>674.0</v>
      </c>
      <c r="T153" s="2">
        <f>IF(COUNT('Turns'!E429,'Turns'!E448,'Turns'!E464,'Turns'!E480)=4,SUM('Turns'!E429,'Turns'!E448,'Turns'!E464,'Turns'!E480),"Unknown")</f>
        <v>0.00070879188</v>
      </c>
      <c r="U153" s="2">
        <f>IF(COUNT('Turns'!F429,'Turns'!F448,'Turns'!F464,'Turns'!F480)=4,SUM('Turns'!F429,'Turns'!F448,'Turns'!F464,'Turns'!F480),"Unknown")</f>
        <v>0.0008088</v>
      </c>
      <c r="V153" s="2">
        <f>IF(COUNT('Turns'!D428,'Turns'!D447,'Turns'!D463,'Turns'!D479)=4,SUM('Turns'!D428,'Turns'!D447,'Turns'!D463,'Turns'!D479),"Unknown")</f>
        <v>198.0</v>
      </c>
      <c r="W153" s="2">
        <f>IF(COUNT('Turns'!E428,'Turns'!E447,'Turns'!E463,'Turns'!E479)=4,SUM('Turns'!E428,'Turns'!E447,'Turns'!E463,'Turns'!E479),"Unknown")</f>
        <v>0.00020822076</v>
      </c>
      <c r="X153" s="2">
        <f>IF(COUNT('Turns'!F428,'Turns'!F447,'Turns'!F463,'Turns'!F479)=4,SUM('Turns'!F428,'Turns'!F447,'Turns'!F463,'Turns'!F479),"Unknown")</f>
        <v>0.0002376</v>
      </c>
      <c r="Y153" s="2">
        <f>IF(COUNT('Turns'!E433,'Turns'!E452,'Turns'!E468,'Turns'!E484)=4,SUM('Turns'!E433,'Turns'!E452,'Turns'!E468,'Turns'!E484),"Unknown")</f>
        <v>0.002586827457</v>
      </c>
      <c r="Z153" s="2">
        <f>IF(COUNT('Turns'!F433,'Turns'!F452,'Turns'!F468,'Turns'!F484)=4,SUM('Turns'!F433,'Turns'!F452,'Turns'!F468,'Turns'!F484),"Unknown")</f>
        <v>0.00295182</v>
      </c>
      <c r="AA153" s="5">
        <f>IF(ISNUMBER(Y153),ROUND(Y153*'Reference data'!$B$2,0),"Unknown")</f>
        <v>259.0</v>
      </c>
      <c r="AB153" s="5">
        <f>IF(ISNUMBER(Z153),ROUND(Z153*'Reference data'!$B$2,0),"Unknown")</f>
        <v>295.0</v>
      </c>
      <c r="AD153" s="1">
        <v>13357.055</v>
      </c>
      <c r="AE153" s="1" t="s">
        <v>318</v>
      </c>
    </row>
    <row r="154" spans="1:31" ht="54" customHeight="1">
      <c r="A154" s="6" t="s">
        <v>328</v>
      </c>
      <c r="B154" s="1">
        <v>4</v>
      </c>
      <c r="C154" s="1" t="s">
        <v>316</v>
      </c>
      <c r="D154" s="1" t="s">
        <v>47</v>
      </c>
      <c r="E154" s="1" t="s">
        <v>111</v>
      </c>
      <c r="G154" s="6" t="s">
        <v>329</v>
      </c>
      <c r="H154" t="s">
        <v>467</v>
      </c>
      <c r="I154" t="s">
        <v>466</v>
      </c>
      <c r="AD154" s="1">
        <v>0.753</v>
      </c>
      <c r="AE154" s="1" t="s">
        <v>331</v>
      </c>
    </row>
    <row r="155" spans="1:31" ht="54" customHeight="1">
      <c r="A155" s="6" t="s">
        <v>332</v>
      </c>
      <c r="B155" s="1">
        <v>4</v>
      </c>
      <c r="C155" s="1" t="s">
        <v>316</v>
      </c>
      <c r="D155" s="1" t="s">
        <v>47</v>
      </c>
      <c r="E155" s="1" t="s">
        <v>111</v>
      </c>
      <c r="G155" s="6" t="s">
        <v>333</v>
      </c>
      <c r="H155" t="s">
        <v>468</v>
      </c>
      <c r="I155" t="s">
        <v>466</v>
      </c>
      <c r="J155" s="2">
        <f>IF(COUNT('Turns'!D423)=1,SUM('Turns'!D423),"Unknown")</f>
        <v>3.0</v>
      </c>
      <c r="K155" s="2">
        <f>IF(COUNT('Turns'!E423)=1,SUM('Turns'!E423),"Unknown")</f>
        <v>5.2581e-07</v>
      </c>
      <c r="L155" s="2">
        <f>IF(COUNT('Turns'!F423)=1,SUM('Turns'!F423),"Unknown")</f>
        <v>6e-07</v>
      </c>
      <c r="M155" s="2">
        <f>IF(COUNT('Turns'!D422)=1,SUM('Turns'!D422),"Unknown")</f>
        <v>0.0</v>
      </c>
      <c r="N155" s="2">
        <f>IF(COUNT('Turns'!E422)=1,SUM('Turns'!E422),"Unknown")</f>
        <v>0.0</v>
      </c>
      <c r="O155" s="2">
        <f>IF(COUNT('Turns'!F422)=1,SUM('Turns'!F422),"Unknown")</f>
        <v>0.0</v>
      </c>
      <c r="P155" s="2">
        <f>IF(COUNT('Turns'!D425)=1,SUM('Turns'!D425),"Unknown")</f>
        <v>4333.0</v>
      </c>
      <c r="Q155" s="2">
        <f>IF(COUNT('Turns'!E425)=1,SUM('Turns'!E425),"Unknown")</f>
        <v>0.0009493061375</v>
      </c>
      <c r="R155" s="2">
        <f>IF(COUNT('Turns'!F425)=1,SUM('Turns'!F425),"Unknown")</f>
        <v>0.00108325</v>
      </c>
      <c r="S155" s="2">
        <f>IF(COUNT('Turns'!D429)=1,SUM('Turns'!D429),"Unknown")</f>
        <v>73.0</v>
      </c>
      <c r="T155" s="2">
        <f>IF(COUNT('Turns'!E429)=1,SUM('Turns'!E429),"Unknown")</f>
        <v>7.676826e-05</v>
      </c>
      <c r="U155" s="2">
        <f>IF(COUNT('Turns'!F429)=1,SUM('Turns'!F429),"Unknown")</f>
        <v>8.76e-05</v>
      </c>
      <c r="V155" s="2">
        <f>IF(COUNT('Turns'!D428)=1,SUM('Turns'!D428),"Unknown")</f>
        <v>12.0</v>
      </c>
      <c r="W155" s="2">
        <f>IF(COUNT('Turns'!E428)=1,SUM('Turns'!E428),"Unknown")</f>
        <v>1.261944e-05</v>
      </c>
      <c r="X155" s="2">
        <f>IF(COUNT('Turns'!F428)=1,SUM('Turns'!F428),"Unknown")</f>
        <v>1.44e-05</v>
      </c>
      <c r="Y155" s="2">
        <f>IF(COUNT('Turns'!E433)=1,SUM('Turns'!E433),"Unknown")</f>
        <v>0.0010392196475</v>
      </c>
      <c r="Z155" s="2">
        <f>IF(COUNT('Turns'!F433)=1,SUM('Turns'!F433),"Unknown")</f>
        <v>0.00118585</v>
      </c>
      <c r="AA155" s="5">
        <f>IF(ISNUMBER(Y155),ROUND(Y155*'Reference data'!$B$2,0),"Unknown")</f>
        <v>104.0</v>
      </c>
      <c r="AB155" s="5">
        <f>IF(ISNUMBER(Z155),ROUND(Z155*'Reference data'!$B$2,0),"Unknown")</f>
        <v>119.0</v>
      </c>
      <c r="AD155" s="1">
        <v>2046.772</v>
      </c>
      <c r="AE155" s="1" t="s">
        <v>318</v>
      </c>
    </row>
    <row r="156" spans="1:31" ht="54" customHeight="1">
      <c r="A156" s="6" t="s">
        <v>335</v>
      </c>
      <c r="B156" s="1">
        <v>5</v>
      </c>
      <c r="C156" s="1" t="s">
        <v>336</v>
      </c>
      <c r="D156" s="1" t="s">
        <v>95</v>
      </c>
      <c r="E156" s="1" t="s">
        <v>111</v>
      </c>
      <c r="F156" s="1">
        <v>4336</v>
      </c>
      <c r="G156" s="6" t="s">
        <v>337</v>
      </c>
      <c r="H156" t="s">
        <v>256</v>
      </c>
      <c r="I156" t="s">
        <v>468</v>
      </c>
      <c r="J156" s="2">
        <f>IF(COUNT('Turns'!D423)=1,SUM('Turns'!D423),"Unknown")</f>
        <v>3.0</v>
      </c>
      <c r="K156" s="2">
        <f>IF(COUNT('Turns'!E423)=1,SUM('Turns'!E423),"Unknown")</f>
        <v>5.2581e-07</v>
      </c>
      <c r="L156" s="2">
        <f>IF(COUNT('Turns'!F423)=1,SUM('Turns'!F423),"Unknown")</f>
        <v>6e-07</v>
      </c>
      <c r="M156" s="2">
        <f>IF(COUNT('Turns'!D422)=1,SUM('Turns'!D422),"Unknown")</f>
        <v>0.0</v>
      </c>
      <c r="N156" s="2">
        <f>IF(COUNT('Turns'!E422)=1,SUM('Turns'!E422),"Unknown")</f>
        <v>0.0</v>
      </c>
      <c r="O156" s="2">
        <f>IF(COUNT('Turns'!F422)=1,SUM('Turns'!F422),"Unknown")</f>
        <v>0.0</v>
      </c>
      <c r="P156" s="2">
        <f>IF(COUNT('Turns'!D425)=1,SUM('Turns'!D425),"Unknown")</f>
        <v>4333.0</v>
      </c>
      <c r="Q156" s="2">
        <f>IF(COUNT('Turns'!E425)=1,SUM('Turns'!E425),"Unknown")</f>
        <v>0.0009493061375</v>
      </c>
      <c r="R156" s="2">
        <f>IF(COUNT('Turns'!F425)=1,SUM('Turns'!F425),"Unknown")</f>
        <v>0.00108325</v>
      </c>
      <c r="S156" s="2">
        <f>IF(COUNT('Turns'!D429)=1,SUM('Turns'!D429),"Unknown")</f>
        <v>73.0</v>
      </c>
      <c r="T156" s="2">
        <f>IF(COUNT('Turns'!E429)=1,SUM('Turns'!E429),"Unknown")</f>
        <v>7.676826e-05</v>
      </c>
      <c r="U156" s="2">
        <f>IF(COUNT('Turns'!F429)=1,SUM('Turns'!F429),"Unknown")</f>
        <v>8.76e-05</v>
      </c>
      <c r="V156" s="2">
        <f>IF(COUNT('Turns'!D428)=1,SUM('Turns'!D428),"Unknown")</f>
        <v>12.0</v>
      </c>
      <c r="W156" s="2">
        <f>IF(COUNT('Turns'!E428)=1,SUM('Turns'!E428),"Unknown")</f>
        <v>1.261944e-05</v>
      </c>
      <c r="X156" s="2">
        <f>IF(COUNT('Turns'!F428)=1,SUM('Turns'!F428),"Unknown")</f>
        <v>1.44e-05</v>
      </c>
      <c r="Y156" s="2">
        <f>IF(COUNT('Turns'!E433)=1,SUM('Turns'!E433),"Unknown")</f>
        <v>0.0010392196475</v>
      </c>
      <c r="Z156" s="2">
        <f>IF(COUNT('Turns'!F433)=1,SUM('Turns'!F433),"Unknown")</f>
        <v>0.00118585</v>
      </c>
      <c r="AA156" s="5">
        <f>IF(ISNUMBER(Y156),ROUND(Y156*'Reference data'!$B$2,0),"Unknown")</f>
        <v>104.0</v>
      </c>
      <c r="AB156" s="5">
        <f>IF(ISNUMBER(Z156),ROUND(Z156*'Reference data'!$B$2,0),"Unknown")</f>
        <v>119.0</v>
      </c>
      <c r="AC156" s="1" t="s">
        <v>255</v>
      </c>
      <c r="AD156" s="1">
        <v>2042.288</v>
      </c>
      <c r="AE156" s="1" t="s">
        <v>338</v>
      </c>
    </row>
    <row r="157" spans="1:31" ht="54" customHeight="1">
      <c r="A157" s="6" t="s">
        <v>339</v>
      </c>
      <c r="B157" s="1">
        <v>4</v>
      </c>
      <c r="C157" s="1" t="s">
        <v>316</v>
      </c>
      <c r="D157" s="1" t="s">
        <v>47</v>
      </c>
      <c r="E157" s="1" t="s">
        <v>111</v>
      </c>
      <c r="G157" s="6" t="s">
        <v>340</v>
      </c>
      <c r="H157" t="s">
        <v>469</v>
      </c>
      <c r="I157" t="s">
        <v>466</v>
      </c>
      <c r="AD157" s="1">
        <v>8.598000000000001</v>
      </c>
      <c r="AE157" s="1" t="s">
        <v>331</v>
      </c>
    </row>
    <row r="158" spans="1:31" ht="54" customHeight="1">
      <c r="A158" s="6" t="s">
        <v>342</v>
      </c>
      <c r="B158" s="1">
        <v>5</v>
      </c>
      <c r="C158" s="1" t="s">
        <v>343</v>
      </c>
      <c r="D158" s="1" t="s">
        <v>47</v>
      </c>
      <c r="E158" s="1" t="s">
        <v>111</v>
      </c>
      <c r="G158" s="6" t="s">
        <v>344</v>
      </c>
      <c r="H158" t="s">
        <v>259</v>
      </c>
      <c r="I158" t="s">
        <v>469</v>
      </c>
      <c r="AD158" s="1">
        <v>4.498</v>
      </c>
      <c r="AE158" s="1" t="s">
        <v>331</v>
      </c>
    </row>
    <row r="159" spans="1:31" ht="54" customHeight="1">
      <c r="A159" s="6" t="s">
        <v>339</v>
      </c>
      <c r="B159" s="1">
        <v>4</v>
      </c>
      <c r="C159" s="1" t="s">
        <v>316</v>
      </c>
      <c r="D159" s="1" t="s">
        <v>47</v>
      </c>
      <c r="E159" s="1" t="s">
        <v>111</v>
      </c>
      <c r="G159" s="6" t="s">
        <v>340</v>
      </c>
      <c r="H159" t="s">
        <v>470</v>
      </c>
      <c r="I159" t="s">
        <v>466</v>
      </c>
      <c r="AD159" s="1">
        <v>8.119999999999999</v>
      </c>
      <c r="AE159" s="1" t="s">
        <v>331</v>
      </c>
    </row>
    <row r="160" spans="1:31" ht="54" customHeight="1">
      <c r="A160" s="6" t="s">
        <v>342</v>
      </c>
      <c r="B160" s="1">
        <v>5</v>
      </c>
      <c r="C160" s="1" t="s">
        <v>343</v>
      </c>
      <c r="D160" s="1" t="s">
        <v>47</v>
      </c>
      <c r="E160" s="1" t="s">
        <v>111</v>
      </c>
      <c r="G160" s="6" t="s">
        <v>344</v>
      </c>
      <c r="H160" t="s">
        <v>260</v>
      </c>
      <c r="I160" t="s">
        <v>470</v>
      </c>
      <c r="AD160" s="1">
        <v>3.84</v>
      </c>
      <c r="AE160" s="1" t="s">
        <v>331</v>
      </c>
    </row>
    <row r="161" spans="1:31" ht="54" customHeight="1">
      <c r="A161" s="6" t="s">
        <v>328</v>
      </c>
      <c r="B161" s="1">
        <v>4</v>
      </c>
      <c r="C161" s="1" t="s">
        <v>316</v>
      </c>
      <c r="D161" s="1" t="s">
        <v>47</v>
      </c>
      <c r="E161" s="1" t="s">
        <v>111</v>
      </c>
      <c r="G161" s="6" t="s">
        <v>329</v>
      </c>
      <c r="H161" t="s">
        <v>471</v>
      </c>
      <c r="I161" t="s">
        <v>466</v>
      </c>
      <c r="AD161" s="1">
        <v>1.307</v>
      </c>
      <c r="AE161" s="1" t="s">
        <v>331</v>
      </c>
    </row>
    <row r="162" spans="1:31" ht="54" customHeight="1">
      <c r="A162" s="6" t="s">
        <v>332</v>
      </c>
      <c r="B162" s="1">
        <v>4</v>
      </c>
      <c r="C162" s="1" t="s">
        <v>316</v>
      </c>
      <c r="D162" s="1" t="s">
        <v>47</v>
      </c>
      <c r="E162" s="1" t="s">
        <v>111</v>
      </c>
      <c r="G162" s="6" t="s">
        <v>333</v>
      </c>
      <c r="H162" t="s">
        <v>472</v>
      </c>
      <c r="I162" t="s">
        <v>466</v>
      </c>
      <c r="J162" s="2">
        <f>IF(COUNT('Turns'!D442)=1,SUM('Turns'!D442),"Unknown")</f>
        <v>3.0</v>
      </c>
      <c r="K162" s="2">
        <f>IF(COUNT('Turns'!E442)=1,SUM('Turns'!E442),"Unknown")</f>
        <v>5.2581e-07</v>
      </c>
      <c r="L162" s="2">
        <f>IF(COUNT('Turns'!F442)=1,SUM('Turns'!F442),"Unknown")</f>
        <v>6e-07</v>
      </c>
      <c r="M162" s="2">
        <f>IF(COUNT('Turns'!D441)=1,SUM('Turns'!D441),"Unknown")</f>
        <v>4333.0</v>
      </c>
      <c r="N162" s="2">
        <f>IF(COUNT('Turns'!E441)=1,SUM('Turns'!E441),"Unknown")</f>
        <v>7.5944491e-05</v>
      </c>
      <c r="O162" s="2">
        <f>IF(COUNT('Turns'!F441)=1,SUM('Turns'!F441),"Unknown")</f>
        <v>8.666e-05</v>
      </c>
      <c r="P162" s="2">
        <f>IF(COUNT('Turns'!D444)=1,SUM('Turns'!D444),"Unknown")</f>
        <v>816.0</v>
      </c>
      <c r="Q162" s="2">
        <f>IF(COUNT('Turns'!E444)=1,SUM('Turns'!E444),"Unknown")</f>
        <v>0.0001787754</v>
      </c>
      <c r="R162" s="2">
        <f>IF(COUNT('Turns'!F444)=1,SUM('Turns'!F444),"Unknown")</f>
        <v>0.000204</v>
      </c>
      <c r="S162" s="2">
        <f>IF(COUNT('Turns'!D448)=1,SUM('Turns'!D448),"Unknown")</f>
        <v>470.0</v>
      </c>
      <c r="T162" s="2">
        <f>IF(COUNT('Turns'!E448)=1,SUM('Turns'!E448),"Unknown")</f>
        <v>0.0004942614</v>
      </c>
      <c r="U162" s="2">
        <f>IF(COUNT('Turns'!F448)=1,SUM('Turns'!F448),"Unknown")</f>
        <v>0.000564</v>
      </c>
      <c r="V162" s="2">
        <f>IF(COUNT('Turns'!D447)=1,SUM('Turns'!D447),"Unknown")</f>
        <v>98.0</v>
      </c>
      <c r="W162" s="2">
        <f>IF(COUNT('Turns'!E447)=1,SUM('Turns'!E447),"Unknown")</f>
        <v>0.00010305876</v>
      </c>
      <c r="X162" s="2">
        <f>IF(COUNT('Turns'!F447)=1,SUM('Turns'!F447),"Unknown")</f>
        <v>0.0001176</v>
      </c>
      <c r="Y162" s="2">
        <f>IF(COUNT('Turns'!E452)=1,SUM('Turns'!E452),"Unknown")</f>
        <v>0.000852565861</v>
      </c>
      <c r="Z162" s="2">
        <f>IF(COUNT('Turns'!F452)=1,SUM('Turns'!F452),"Unknown")</f>
        <v>0.00097286</v>
      </c>
      <c r="AA162" s="5">
        <f>IF(ISNUMBER(Y162),ROUND(Y162*'Reference data'!$B$2,0),"Unknown")</f>
        <v>85.0</v>
      </c>
      <c r="AB162" s="5">
        <f>IF(ISNUMBER(Z162),ROUND(Z162*'Reference data'!$B$2,0),"Unknown")</f>
        <v>97.0</v>
      </c>
      <c r="AD162" s="1">
        <v>6851.143</v>
      </c>
      <c r="AE162" s="1" t="s">
        <v>318</v>
      </c>
    </row>
    <row r="163" spans="1:31" ht="54" customHeight="1">
      <c r="A163" s="6" t="s">
        <v>335</v>
      </c>
      <c r="B163" s="1">
        <v>5</v>
      </c>
      <c r="C163" s="1" t="s">
        <v>336</v>
      </c>
      <c r="D163" s="1" t="s">
        <v>95</v>
      </c>
      <c r="E163" s="1" t="s">
        <v>111</v>
      </c>
      <c r="F163" s="1">
        <v>5152</v>
      </c>
      <c r="G163" s="6" t="s">
        <v>337</v>
      </c>
      <c r="H163" t="s">
        <v>262</v>
      </c>
      <c r="I163" t="s">
        <v>472</v>
      </c>
      <c r="J163" s="2">
        <f>IF(COUNT('Turns'!D442)=1,SUM('Turns'!D442),"Unknown")</f>
        <v>3.0</v>
      </c>
      <c r="K163" s="2">
        <f>IF(COUNT('Turns'!E442)=1,SUM('Turns'!E442),"Unknown")</f>
        <v>5.2581e-07</v>
      </c>
      <c r="L163" s="2">
        <f>IF(COUNT('Turns'!F442)=1,SUM('Turns'!F442),"Unknown")</f>
        <v>6e-07</v>
      </c>
      <c r="M163" s="2">
        <f>IF(COUNT('Turns'!D441)=1,SUM('Turns'!D441),"Unknown")</f>
        <v>4333.0</v>
      </c>
      <c r="N163" s="2">
        <f>IF(COUNT('Turns'!E441)=1,SUM('Turns'!E441),"Unknown")</f>
        <v>7.5944491e-05</v>
      </c>
      <c r="O163" s="2">
        <f>IF(COUNT('Turns'!F441)=1,SUM('Turns'!F441),"Unknown")</f>
        <v>8.666e-05</v>
      </c>
      <c r="P163" s="2">
        <f>IF(COUNT('Turns'!D444)=1,SUM('Turns'!D444),"Unknown")</f>
        <v>816.0</v>
      </c>
      <c r="Q163" s="2">
        <f>IF(COUNT('Turns'!E444)=1,SUM('Turns'!E444),"Unknown")</f>
        <v>0.0001787754</v>
      </c>
      <c r="R163" s="2">
        <f>IF(COUNT('Turns'!F444)=1,SUM('Turns'!F444),"Unknown")</f>
        <v>0.000204</v>
      </c>
      <c r="S163" s="2">
        <f>IF(COUNT('Turns'!D448)=1,SUM('Turns'!D448),"Unknown")</f>
        <v>470.0</v>
      </c>
      <c r="T163" s="2">
        <f>IF(COUNT('Turns'!E448)=1,SUM('Turns'!E448),"Unknown")</f>
        <v>0.0004942614</v>
      </c>
      <c r="U163" s="2">
        <f>IF(COUNT('Turns'!F448)=1,SUM('Turns'!F448),"Unknown")</f>
        <v>0.000564</v>
      </c>
      <c r="V163" s="2">
        <f>IF(COUNT('Turns'!D447)=1,SUM('Turns'!D447),"Unknown")</f>
        <v>98.0</v>
      </c>
      <c r="W163" s="2">
        <f>IF(COUNT('Turns'!E447)=1,SUM('Turns'!E447),"Unknown")</f>
        <v>0.00010305876</v>
      </c>
      <c r="X163" s="2">
        <f>IF(COUNT('Turns'!F447)=1,SUM('Turns'!F447),"Unknown")</f>
        <v>0.0001176</v>
      </c>
      <c r="Y163" s="2">
        <f>IF(COUNT('Turns'!E452)=1,SUM('Turns'!E452),"Unknown")</f>
        <v>0.000852565861</v>
      </c>
      <c r="Z163" s="2">
        <f>IF(COUNT('Turns'!F452)=1,SUM('Turns'!F452),"Unknown")</f>
        <v>0.00097286</v>
      </c>
      <c r="AA163" s="5">
        <f>IF(ISNUMBER(Y163),ROUND(Y163*'Reference data'!$B$2,0),"Unknown")</f>
        <v>85.0</v>
      </c>
      <c r="AB163" s="5">
        <f>IF(ISNUMBER(Z163),ROUND(Z163*'Reference data'!$B$2,0),"Unknown")</f>
        <v>97.0</v>
      </c>
      <c r="AC163" s="1" t="s">
        <v>261</v>
      </c>
      <c r="AD163" s="1">
        <v>6846.741</v>
      </c>
      <c r="AE163" s="1" t="s">
        <v>338</v>
      </c>
    </row>
    <row r="164" spans="1:31" ht="54" customHeight="1">
      <c r="A164" s="6" t="s">
        <v>339</v>
      </c>
      <c r="B164" s="1">
        <v>4</v>
      </c>
      <c r="C164" s="1" t="s">
        <v>316</v>
      </c>
      <c r="D164" s="1" t="s">
        <v>47</v>
      </c>
      <c r="E164" s="1" t="s">
        <v>111</v>
      </c>
      <c r="G164" s="6" t="s">
        <v>340</v>
      </c>
      <c r="H164" t="s">
        <v>473</v>
      </c>
      <c r="I164" t="s">
        <v>466</v>
      </c>
      <c r="AD164" s="1">
        <v>3.406</v>
      </c>
      <c r="AE164" s="1" t="s">
        <v>331</v>
      </c>
    </row>
    <row r="165" spans="1:31" ht="54" customHeight="1">
      <c r="A165" s="6" t="s">
        <v>396</v>
      </c>
      <c r="B165" s="1">
        <v>5</v>
      </c>
      <c r="C165" s="1" t="s">
        <v>343</v>
      </c>
      <c r="D165" s="1" t="s">
        <v>47</v>
      </c>
      <c r="E165" s="1" t="s">
        <v>111</v>
      </c>
      <c r="G165" s="6" t="s">
        <v>397</v>
      </c>
      <c r="H165" t="s">
        <v>265</v>
      </c>
      <c r="I165" t="s">
        <v>473</v>
      </c>
      <c r="AD165" s="1">
        <v>1.533</v>
      </c>
      <c r="AE165" s="1" t="s">
        <v>331</v>
      </c>
    </row>
    <row r="166" spans="1:31" ht="54" customHeight="1">
      <c r="A166" s="6" t="s">
        <v>328</v>
      </c>
      <c r="B166" s="1">
        <v>4</v>
      </c>
      <c r="C166" s="1" t="s">
        <v>316</v>
      </c>
      <c r="D166" s="1" t="s">
        <v>47</v>
      </c>
      <c r="E166" s="1" t="s">
        <v>111</v>
      </c>
      <c r="G166" s="6" t="s">
        <v>329</v>
      </c>
      <c r="H166" t="s">
        <v>474</v>
      </c>
      <c r="I166" t="s">
        <v>466</v>
      </c>
      <c r="AD166" s="1">
        <v>1.182</v>
      </c>
      <c r="AE166" s="1" t="s">
        <v>331</v>
      </c>
    </row>
    <row r="167" spans="1:31" ht="54" customHeight="1">
      <c r="A167" s="6" t="s">
        <v>332</v>
      </c>
      <c r="B167" s="1">
        <v>4</v>
      </c>
      <c r="C167" s="1" t="s">
        <v>316</v>
      </c>
      <c r="D167" s="1" t="s">
        <v>47</v>
      </c>
      <c r="E167" s="1" t="s">
        <v>111</v>
      </c>
      <c r="G167" s="6" t="s">
        <v>333</v>
      </c>
      <c r="H167" t="s">
        <v>475</v>
      </c>
      <c r="I167" t="s">
        <v>466</v>
      </c>
      <c r="J167" s="2">
        <f>IF(COUNT('Turns'!D458)=1,SUM('Turns'!D458),"Unknown")</f>
        <v>3.0</v>
      </c>
      <c r="K167" s="2">
        <f>IF(COUNT('Turns'!E458)=1,SUM('Turns'!E458),"Unknown")</f>
        <v>5.2581e-07</v>
      </c>
      <c r="L167" s="2">
        <f>IF(COUNT('Turns'!F458)=1,SUM('Turns'!F458),"Unknown")</f>
        <v>6e-07</v>
      </c>
      <c r="M167" s="2">
        <f>IF(COUNT('Turns'!D457)=1,SUM('Turns'!D457),"Unknown")</f>
        <v>5149.0</v>
      </c>
      <c r="N167" s="2">
        <f>IF(COUNT('Turns'!E457)=1,SUM('Turns'!E457),"Unknown")</f>
        <v>9.0246523e-05</v>
      </c>
      <c r="O167" s="2">
        <f>IF(COUNT('Turns'!F457)=1,SUM('Turns'!F457),"Unknown")</f>
        <v>0.00010298</v>
      </c>
      <c r="P167" s="2">
        <f>IF(COUNT('Turns'!D460)=1,SUM('Turns'!D460),"Unknown")</f>
        <v>595.0</v>
      </c>
      <c r="Q167" s="2">
        <f>IF(COUNT('Turns'!E460)=1,SUM('Turns'!E460),"Unknown")</f>
        <v>0.0001303570625</v>
      </c>
      <c r="R167" s="2">
        <f>IF(COUNT('Turns'!F460)=1,SUM('Turns'!F460),"Unknown")</f>
        <v>0.00014875</v>
      </c>
      <c r="S167" s="2">
        <f>IF(COUNT('Turns'!D464)=1,SUM('Turns'!D464),"Unknown")</f>
        <v>32.0</v>
      </c>
      <c r="T167" s="2">
        <f>IF(COUNT('Turns'!E464)=1,SUM('Turns'!E464),"Unknown")</f>
        <v>3.365184e-05</v>
      </c>
      <c r="U167" s="2">
        <f>IF(COUNT('Turns'!F464)=1,SUM('Turns'!F464),"Unknown")</f>
        <v>3.84e-05</v>
      </c>
      <c r="V167" s="2">
        <f>IF(COUNT('Turns'!D463)=1,SUM('Turns'!D463),"Unknown")</f>
        <v>23.0</v>
      </c>
      <c r="W167" s="2">
        <f>IF(COUNT('Turns'!E463)=1,SUM('Turns'!E463),"Unknown")</f>
        <v>2.418726e-05</v>
      </c>
      <c r="X167" s="2">
        <f>IF(COUNT('Turns'!F463)=1,SUM('Turns'!F463),"Unknown")</f>
        <v>2.76e-05</v>
      </c>
      <c r="Y167" s="2">
        <f>IF(COUNT('Turns'!E468)=1,SUM('Turns'!E468),"Unknown")</f>
        <v>0.0002789684955</v>
      </c>
      <c r="Z167" s="2">
        <f>IF(COUNT('Turns'!F468)=1,SUM('Turns'!F468),"Unknown")</f>
        <v>0.00031833</v>
      </c>
      <c r="AA167" s="5">
        <f>IF(ISNUMBER(Y167),ROUND(Y167*'Reference data'!$B$2,0),"Unknown")</f>
        <v>28.0</v>
      </c>
      <c r="AB167" s="5">
        <f>IF(ISNUMBER(Z167),ROUND(Z167*'Reference data'!$B$2,0),"Unknown")</f>
        <v>32.0</v>
      </c>
      <c r="AD167" s="1">
        <v>1530.333</v>
      </c>
      <c r="AE167" s="1" t="s">
        <v>318</v>
      </c>
    </row>
    <row r="168" spans="1:31" ht="54" customHeight="1">
      <c r="A168" s="6" t="s">
        <v>335</v>
      </c>
      <c r="B168" s="1">
        <v>5</v>
      </c>
      <c r="C168" s="1" t="s">
        <v>336</v>
      </c>
      <c r="D168" s="1" t="s">
        <v>95</v>
      </c>
      <c r="E168" s="1" t="s">
        <v>111</v>
      </c>
      <c r="F168" s="1">
        <v>5747</v>
      </c>
      <c r="G168" s="6" t="s">
        <v>337</v>
      </c>
      <c r="H168" t="s">
        <v>269</v>
      </c>
      <c r="I168" t="s">
        <v>475</v>
      </c>
      <c r="J168" s="2">
        <f>IF(COUNT('Turns'!D458)=1,SUM('Turns'!D458),"Unknown")</f>
        <v>3.0</v>
      </c>
      <c r="K168" s="2">
        <f>IF(COUNT('Turns'!E458)=1,SUM('Turns'!E458),"Unknown")</f>
        <v>5.2581e-07</v>
      </c>
      <c r="L168" s="2">
        <f>IF(COUNT('Turns'!F458)=1,SUM('Turns'!F458),"Unknown")</f>
        <v>6e-07</v>
      </c>
      <c r="M168" s="2">
        <f>IF(COUNT('Turns'!D457)=1,SUM('Turns'!D457),"Unknown")</f>
        <v>5149.0</v>
      </c>
      <c r="N168" s="2">
        <f>IF(COUNT('Turns'!E457)=1,SUM('Turns'!E457),"Unknown")</f>
        <v>9.0246523e-05</v>
      </c>
      <c r="O168" s="2">
        <f>IF(COUNT('Turns'!F457)=1,SUM('Turns'!F457),"Unknown")</f>
        <v>0.00010298</v>
      </c>
      <c r="P168" s="2">
        <f>IF(COUNT('Turns'!D460)=1,SUM('Turns'!D460),"Unknown")</f>
        <v>595.0</v>
      </c>
      <c r="Q168" s="2">
        <f>IF(COUNT('Turns'!E460)=1,SUM('Turns'!E460),"Unknown")</f>
        <v>0.0001303570625</v>
      </c>
      <c r="R168" s="2">
        <f>IF(COUNT('Turns'!F460)=1,SUM('Turns'!F460),"Unknown")</f>
        <v>0.00014875</v>
      </c>
      <c r="S168" s="2">
        <f>IF(COUNT('Turns'!D464)=1,SUM('Turns'!D464),"Unknown")</f>
        <v>32.0</v>
      </c>
      <c r="T168" s="2">
        <f>IF(COUNT('Turns'!E464)=1,SUM('Turns'!E464),"Unknown")</f>
        <v>3.365184e-05</v>
      </c>
      <c r="U168" s="2">
        <f>IF(COUNT('Turns'!F464)=1,SUM('Turns'!F464),"Unknown")</f>
        <v>3.84e-05</v>
      </c>
      <c r="V168" s="2">
        <f>IF(COUNT('Turns'!D463)=1,SUM('Turns'!D463),"Unknown")</f>
        <v>23.0</v>
      </c>
      <c r="W168" s="2">
        <f>IF(COUNT('Turns'!E463)=1,SUM('Turns'!E463),"Unknown")</f>
        <v>2.418726e-05</v>
      </c>
      <c r="X168" s="2">
        <f>IF(COUNT('Turns'!F463)=1,SUM('Turns'!F463),"Unknown")</f>
        <v>2.76e-05</v>
      </c>
      <c r="Y168" s="2">
        <f>IF(COUNT('Turns'!E468)=1,SUM('Turns'!E468),"Unknown")</f>
        <v>0.0002789684955</v>
      </c>
      <c r="Z168" s="2">
        <f>IF(COUNT('Turns'!F468)=1,SUM('Turns'!F468),"Unknown")</f>
        <v>0.00031833</v>
      </c>
      <c r="AA168" s="5">
        <f>IF(ISNUMBER(Y168),ROUND(Y168*'Reference data'!$B$2,0),"Unknown")</f>
        <v>28.0</v>
      </c>
      <c r="AB168" s="5">
        <f>IF(ISNUMBER(Z168),ROUND(Z168*'Reference data'!$B$2,0),"Unknown")</f>
        <v>32.0</v>
      </c>
      <c r="AC168" s="1" t="s">
        <v>268</v>
      </c>
      <c r="AD168" s="1">
        <v>1525.79</v>
      </c>
      <c r="AE168" s="1" t="s">
        <v>338</v>
      </c>
    </row>
    <row r="169" spans="1:31" ht="54" customHeight="1">
      <c r="A169" s="6" t="s">
        <v>339</v>
      </c>
      <c r="B169" s="1">
        <v>4</v>
      </c>
      <c r="C169" s="1" t="s">
        <v>316</v>
      </c>
      <c r="D169" s="1" t="s">
        <v>47</v>
      </c>
      <c r="E169" s="1" t="s">
        <v>111</v>
      </c>
      <c r="G169" s="6" t="s">
        <v>340</v>
      </c>
      <c r="H169" t="s">
        <v>476</v>
      </c>
      <c r="I169" t="s">
        <v>466</v>
      </c>
      <c r="AD169" s="1">
        <v>5.657</v>
      </c>
      <c r="AE169" s="1" t="s">
        <v>331</v>
      </c>
    </row>
    <row r="170" spans="1:31" ht="54" customHeight="1">
      <c r="A170" s="6" t="s">
        <v>342</v>
      </c>
      <c r="B170" s="1">
        <v>5</v>
      </c>
      <c r="C170" s="1" t="s">
        <v>343</v>
      </c>
      <c r="D170" s="1" t="s">
        <v>47</v>
      </c>
      <c r="E170" s="1" t="s">
        <v>111</v>
      </c>
      <c r="G170" s="6" t="s">
        <v>344</v>
      </c>
      <c r="H170" t="s">
        <v>271</v>
      </c>
      <c r="I170" t="s">
        <v>476</v>
      </c>
      <c r="AD170" s="1">
        <v>2.716</v>
      </c>
      <c r="AE170" s="1" t="s">
        <v>331</v>
      </c>
    </row>
    <row r="171" spans="1:31" ht="54" customHeight="1">
      <c r="A171" s="6" t="s">
        <v>328</v>
      </c>
      <c r="B171" s="1">
        <v>4</v>
      </c>
      <c r="C171" s="1" t="s">
        <v>316</v>
      </c>
      <c r="D171" s="1" t="s">
        <v>47</v>
      </c>
      <c r="E171" s="1" t="s">
        <v>111</v>
      </c>
      <c r="G171" s="6" t="s">
        <v>329</v>
      </c>
      <c r="H171" t="s">
        <v>477</v>
      </c>
      <c r="I171" t="s">
        <v>466</v>
      </c>
      <c r="AD171" s="1">
        <v>1.29</v>
      </c>
      <c r="AE171" s="1" t="s">
        <v>331</v>
      </c>
    </row>
    <row r="172" spans="1:31" ht="54" customHeight="1">
      <c r="A172" s="6" t="s">
        <v>332</v>
      </c>
      <c r="B172" s="1">
        <v>4</v>
      </c>
      <c r="C172" s="1" t="s">
        <v>316</v>
      </c>
      <c r="D172" s="1" t="s">
        <v>47</v>
      </c>
      <c r="E172" s="1" t="s">
        <v>111</v>
      </c>
      <c r="G172" s="6" t="s">
        <v>333</v>
      </c>
      <c r="H172" t="s">
        <v>478</v>
      </c>
      <c r="I172" t="s">
        <v>466</v>
      </c>
      <c r="J172" s="2">
        <f>IF(COUNT('Turns'!D474)=1,SUM('Turns'!D474),"Unknown")</f>
        <v>3.0</v>
      </c>
      <c r="K172" s="2">
        <f>IF(COUNT('Turns'!E474)=1,SUM('Turns'!E474),"Unknown")</f>
        <v>5.2581e-07</v>
      </c>
      <c r="L172" s="2">
        <f>IF(COUNT('Turns'!F474)=1,SUM('Turns'!F474),"Unknown")</f>
        <v>6e-07</v>
      </c>
      <c r="M172" s="2">
        <f>IF(COUNT('Turns'!D473)=1,SUM('Turns'!D473),"Unknown")</f>
        <v>5744.0</v>
      </c>
      <c r="N172" s="2">
        <f>IF(COUNT('Turns'!E473)=1,SUM('Turns'!E473),"Unknown")</f>
        <v>0.000100675088</v>
      </c>
      <c r="O172" s="2">
        <f>IF(COUNT('Turns'!F473)=1,SUM('Turns'!F473),"Unknown")</f>
        <v>0.00011488</v>
      </c>
      <c r="P172" s="2">
        <f>IF(COUNT('Turns'!D476)=1,SUM('Turns'!D476),"Unknown")</f>
        <v>650.0</v>
      </c>
      <c r="Q172" s="2">
        <f>IF(COUNT('Turns'!E476)=1,SUM('Turns'!E476),"Unknown")</f>
        <v>0.000142406875</v>
      </c>
      <c r="R172" s="2">
        <f>IF(COUNT('Turns'!F476)=1,SUM('Turns'!F476),"Unknown")</f>
        <v>0.0001625</v>
      </c>
      <c r="S172" s="2">
        <f>IF(COUNT('Turns'!D480)=1,SUM('Turns'!D480),"Unknown")</f>
        <v>99.0</v>
      </c>
      <c r="T172" s="2">
        <f>IF(COUNT('Turns'!E480)=1,SUM('Turns'!E480),"Unknown")</f>
        <v>0.00010411038</v>
      </c>
      <c r="U172" s="2">
        <f>IF(COUNT('Turns'!F480)=1,SUM('Turns'!F480),"Unknown")</f>
        <v>0.0001188</v>
      </c>
      <c r="V172" s="2">
        <f>IF(COUNT('Turns'!D479)=1,SUM('Turns'!D479),"Unknown")</f>
        <v>65.0</v>
      </c>
      <c r="W172" s="2">
        <f>IF(COUNT('Turns'!E479)=1,SUM('Turns'!E479),"Unknown")</f>
        <v>6.83553e-05</v>
      </c>
      <c r="X172" s="2">
        <f>IF(COUNT('Turns'!F479)=1,SUM('Turns'!F479),"Unknown")</f>
        <v>7.8e-05</v>
      </c>
      <c r="Y172" s="2">
        <f>IF(COUNT('Turns'!E484)=1,SUM('Turns'!E484),"Unknown")</f>
        <v>0.000416073453</v>
      </c>
      <c r="Z172" s="2">
        <f>IF(COUNT('Turns'!F484)=1,SUM('Turns'!F484),"Unknown")</f>
        <v>0.00047478</v>
      </c>
      <c r="AA172" s="5">
        <f>IF(ISNUMBER(Y172),ROUND(Y172*'Reference data'!$B$2,0),"Unknown")</f>
        <v>42.0</v>
      </c>
      <c r="AB172" s="5">
        <f>IF(ISNUMBER(Z172),ROUND(Z172*'Reference data'!$B$2,0),"Unknown")</f>
        <v>47.0</v>
      </c>
      <c r="AD172" s="1">
        <v>2893.789</v>
      </c>
      <c r="AE172" s="1" t="s">
        <v>318</v>
      </c>
    </row>
    <row r="173" spans="1:31" ht="54" customHeight="1">
      <c r="A173" s="6" t="s">
        <v>335</v>
      </c>
      <c r="B173" s="1">
        <v>5</v>
      </c>
      <c r="C173" s="1" t="s">
        <v>336</v>
      </c>
      <c r="D173" s="1" t="s">
        <v>95</v>
      </c>
      <c r="E173" s="1" t="s">
        <v>111</v>
      </c>
      <c r="F173" s="1">
        <v>6397</v>
      </c>
      <c r="G173" s="6" t="s">
        <v>337</v>
      </c>
      <c r="H173" t="s">
        <v>275</v>
      </c>
      <c r="I173" t="s">
        <v>478</v>
      </c>
      <c r="J173" s="2">
        <f>IF(COUNT('Turns'!D474)=1,SUM('Turns'!D474),"Unknown")</f>
        <v>3.0</v>
      </c>
      <c r="K173" s="2">
        <f>IF(COUNT('Turns'!E474)=1,SUM('Turns'!E474),"Unknown")</f>
        <v>5.2581e-07</v>
      </c>
      <c r="L173" s="2">
        <f>IF(COUNT('Turns'!F474)=1,SUM('Turns'!F474),"Unknown")</f>
        <v>6e-07</v>
      </c>
      <c r="M173" s="2">
        <f>IF(COUNT('Turns'!D473)=1,SUM('Turns'!D473),"Unknown")</f>
        <v>5744.0</v>
      </c>
      <c r="N173" s="2">
        <f>IF(COUNT('Turns'!E473)=1,SUM('Turns'!E473),"Unknown")</f>
        <v>0.000100675088</v>
      </c>
      <c r="O173" s="2">
        <f>IF(COUNT('Turns'!F473)=1,SUM('Turns'!F473),"Unknown")</f>
        <v>0.00011488</v>
      </c>
      <c r="P173" s="2">
        <f>IF(COUNT('Turns'!D476)=1,SUM('Turns'!D476),"Unknown")</f>
        <v>650.0</v>
      </c>
      <c r="Q173" s="2">
        <f>IF(COUNT('Turns'!E476)=1,SUM('Turns'!E476),"Unknown")</f>
        <v>0.000142406875</v>
      </c>
      <c r="R173" s="2">
        <f>IF(COUNT('Turns'!F476)=1,SUM('Turns'!F476),"Unknown")</f>
        <v>0.0001625</v>
      </c>
      <c r="S173" s="2">
        <f>IF(COUNT('Turns'!D480)=1,SUM('Turns'!D480),"Unknown")</f>
        <v>99.0</v>
      </c>
      <c r="T173" s="2">
        <f>IF(COUNT('Turns'!E480)=1,SUM('Turns'!E480),"Unknown")</f>
        <v>0.00010411038</v>
      </c>
      <c r="U173" s="2">
        <f>IF(COUNT('Turns'!F480)=1,SUM('Turns'!F480),"Unknown")</f>
        <v>0.0001188</v>
      </c>
      <c r="V173" s="2">
        <f>IF(COUNT('Turns'!D479)=1,SUM('Turns'!D479),"Unknown")</f>
        <v>65.0</v>
      </c>
      <c r="W173" s="2">
        <f>IF(COUNT('Turns'!E479)=1,SUM('Turns'!E479),"Unknown")</f>
        <v>6.83553e-05</v>
      </c>
      <c r="X173" s="2">
        <f>IF(COUNT('Turns'!F479)=1,SUM('Turns'!F479),"Unknown")</f>
        <v>7.8e-05</v>
      </c>
      <c r="Y173" s="2">
        <f>IF(COUNT('Turns'!E484)=1,SUM('Turns'!E484),"Unknown")</f>
        <v>0.000416073453</v>
      </c>
      <c r="Z173" s="2">
        <f>IF(COUNT('Turns'!F484)=1,SUM('Turns'!F484),"Unknown")</f>
        <v>0.00047478</v>
      </c>
      <c r="AA173" s="5">
        <f>IF(ISNUMBER(Y173),ROUND(Y173*'Reference data'!$B$2,0),"Unknown")</f>
        <v>42.0</v>
      </c>
      <c r="AB173" s="5">
        <f>IF(ISNUMBER(Z173),ROUND(Z173*'Reference data'!$B$2,0),"Unknown")</f>
        <v>47.0</v>
      </c>
      <c r="AC173" s="1" t="s">
        <v>274</v>
      </c>
      <c r="AD173" s="1">
        <v>2889.189</v>
      </c>
      <c r="AE173" s="1" t="s">
        <v>338</v>
      </c>
    </row>
    <row r="174" spans="1:31" ht="54" customHeight="1">
      <c r="A174" s="6" t="s">
        <v>374</v>
      </c>
      <c r="B174" s="1">
        <v>1</v>
      </c>
      <c r="C174" s="1" t="s">
        <v>316</v>
      </c>
      <c r="D174" s="1" t="s">
        <v>47</v>
      </c>
      <c r="E174" s="1" t="s">
        <v>111</v>
      </c>
      <c r="G174" s="6" t="s">
        <v>375</v>
      </c>
      <c r="H174" t="s">
        <v>479</v>
      </c>
      <c r="I174" t="s">
        <v>449</v>
      </c>
      <c r="J174" s="2">
        <f>IF(COUNT('Turns'!D487,'Turns'!D508)=2,SUM('Turns'!D487,'Turns'!D508),"Unknown")</f>
        <v>6.0</v>
      </c>
      <c r="K174" s="2">
        <f>IF(COUNT('Turns'!E487,'Turns'!E508)=2,SUM('Turns'!E487,'Turns'!E508),"Unknown")</f>
        <v>1.05162e-06</v>
      </c>
      <c r="L174" s="2">
        <f>IF(COUNT('Turns'!F487,'Turns'!F508)=2,SUM('Turns'!F487,'Turns'!F508),"Unknown")</f>
        <v>1.2e-06</v>
      </c>
      <c r="M174" s="2">
        <f>IF(COUNT('Turns'!D486,'Turns'!D507)=2,SUM('Turns'!D486,'Turns'!D507),"Unknown")</f>
        <v>1376.0</v>
      </c>
      <c r="N174" s="2">
        <f>IF(COUNT('Turns'!E486,'Turns'!E507)=2,SUM('Turns'!E486,'Turns'!E507),"Unknown")</f>
        <v>2.4117152e-05</v>
      </c>
      <c r="O174" s="2">
        <f>IF(COUNT('Turns'!F486,'Turns'!F507)=2,SUM('Turns'!F486,'Turns'!F507),"Unknown")</f>
        <v>2.752e-05</v>
      </c>
      <c r="P174" s="2">
        <f>IF(COUNT('Turns'!D488,'Turns'!D510)=2,SUM('Turns'!D488,'Turns'!D510),"Unknown")</f>
        <v>3538.0</v>
      </c>
      <c r="Q174" s="2">
        <f>IF(COUNT('Turns'!E488,'Turns'!E510)=2,SUM('Turns'!E488,'Turns'!E510),"Unknown")</f>
        <v>0.000775131575</v>
      </c>
      <c r="R174" s="2">
        <f>IF(COUNT('Turns'!F488,'Turns'!F510)=2,SUM('Turns'!F488,'Turns'!F510),"Unknown")</f>
        <v>0.0008845</v>
      </c>
      <c r="S174" s="2">
        <f>IF(COUNT('Turns'!D492,'Turns'!D514)=2,SUM('Turns'!D492,'Turns'!D514),"Unknown")</f>
        <v>310.0</v>
      </c>
      <c r="T174" s="2">
        <f>IF(COUNT('Turns'!E492,'Turns'!E514)=2,SUM('Turns'!E492,'Turns'!E514),"Unknown")</f>
        <v>0.0003260022</v>
      </c>
      <c r="U174" s="2">
        <f>IF(COUNT('Turns'!F492,'Turns'!F514)=2,SUM('Turns'!F492,'Turns'!F514),"Unknown")</f>
        <v>0.000372</v>
      </c>
      <c r="V174" s="2">
        <f>IF(COUNT('Turns'!D491,'Turns'!D513)=2,SUM('Turns'!D491,'Turns'!D513),"Unknown")</f>
        <v>215.0</v>
      </c>
      <c r="W174" s="2">
        <f>IF(COUNT('Turns'!E491,'Turns'!E513)=2,SUM('Turns'!E491,'Turns'!E513),"Unknown")</f>
        <v>0.0002260983</v>
      </c>
      <c r="X174" s="2">
        <f>IF(COUNT('Turns'!F491,'Turns'!F513)=2,SUM('Turns'!F491,'Turns'!F513),"Unknown")</f>
        <v>0.000258</v>
      </c>
      <c r="Y174" s="2">
        <f>IF(COUNT('Turns'!E496,'Turns'!E518)=2,SUM('Turns'!E496,'Turns'!E518),"Unknown")</f>
        <v>0.001352400847</v>
      </c>
      <c r="Z174" s="2">
        <f>IF(COUNT('Turns'!F496,'Turns'!F518)=2,SUM('Turns'!F496,'Turns'!F518),"Unknown")</f>
        <v>0.00154322</v>
      </c>
      <c r="AA174" s="5">
        <f>IF(ISNUMBER(Y174),ROUND(Y174*'Reference data'!$B$2,0),"Unknown")</f>
        <v>135.0</v>
      </c>
      <c r="AB174" s="5">
        <f>IF(ISNUMBER(Z174),ROUND(Z174*'Reference data'!$B$2,0),"Unknown")</f>
        <v>154.0</v>
      </c>
      <c r="AD174" s="1">
        <v>5925.226</v>
      </c>
      <c r="AE174" s="1" t="s">
        <v>318</v>
      </c>
    </row>
    <row r="175" spans="1:31" ht="54" customHeight="1">
      <c r="A175" s="6" t="s">
        <v>322</v>
      </c>
      <c r="B175" s="1">
        <v>2</v>
      </c>
      <c r="C175" s="1" t="s">
        <v>316</v>
      </c>
      <c r="D175" s="1" t="s">
        <v>47</v>
      </c>
      <c r="E175" s="1" t="s">
        <v>111</v>
      </c>
      <c r="G175" s="6" t="s">
        <v>323</v>
      </c>
      <c r="H175" t="s">
        <v>480</v>
      </c>
      <c r="I175" t="s">
        <v>479</v>
      </c>
      <c r="J175" s="2">
        <f>IF(COUNT('Turns'!D487,'Turns'!D508)=2,SUM('Turns'!D487,'Turns'!D508),"Unknown")</f>
        <v>6.0</v>
      </c>
      <c r="K175" s="2">
        <f>IF(COUNT('Turns'!E487,'Turns'!E508)=2,SUM('Turns'!E487,'Turns'!E508),"Unknown")</f>
        <v>1.05162e-06</v>
      </c>
      <c r="L175" s="2">
        <f>IF(COUNT('Turns'!F487,'Turns'!F508)=2,SUM('Turns'!F487,'Turns'!F508),"Unknown")</f>
        <v>1.2e-06</v>
      </c>
      <c r="M175" s="2">
        <f>IF(COUNT('Turns'!D486,'Turns'!D507)=2,SUM('Turns'!D486,'Turns'!D507),"Unknown")</f>
        <v>1376.0</v>
      </c>
      <c r="N175" s="2">
        <f>IF(COUNT('Turns'!E486,'Turns'!E507)=2,SUM('Turns'!E486,'Turns'!E507),"Unknown")</f>
        <v>2.4117152e-05</v>
      </c>
      <c r="O175" s="2">
        <f>IF(COUNT('Turns'!F486,'Turns'!F507)=2,SUM('Turns'!F486,'Turns'!F507),"Unknown")</f>
        <v>2.752e-05</v>
      </c>
      <c r="P175" s="2">
        <f>IF(COUNT('Turns'!D488,'Turns'!D510)=2,SUM('Turns'!D488,'Turns'!D510),"Unknown")</f>
        <v>3538.0</v>
      </c>
      <c r="Q175" s="2">
        <f>IF(COUNT('Turns'!E488,'Turns'!E510)=2,SUM('Turns'!E488,'Turns'!E510),"Unknown")</f>
        <v>0.000775131575</v>
      </c>
      <c r="R175" s="2">
        <f>IF(COUNT('Turns'!F488,'Turns'!F510)=2,SUM('Turns'!F488,'Turns'!F510),"Unknown")</f>
        <v>0.0008845</v>
      </c>
      <c r="S175" s="2">
        <f>IF(COUNT('Turns'!D492,'Turns'!D514)=2,SUM('Turns'!D492,'Turns'!D514),"Unknown")</f>
        <v>310.0</v>
      </c>
      <c r="T175" s="2">
        <f>IF(COUNT('Turns'!E492,'Turns'!E514)=2,SUM('Turns'!E492,'Turns'!E514),"Unknown")</f>
        <v>0.0003260022</v>
      </c>
      <c r="U175" s="2">
        <f>IF(COUNT('Turns'!F492,'Turns'!F514)=2,SUM('Turns'!F492,'Turns'!F514),"Unknown")</f>
        <v>0.000372</v>
      </c>
      <c r="V175" s="2">
        <f>IF(COUNT('Turns'!D491,'Turns'!D513)=2,SUM('Turns'!D491,'Turns'!D513),"Unknown")</f>
        <v>215.0</v>
      </c>
      <c r="W175" s="2">
        <f>IF(COUNT('Turns'!E491,'Turns'!E513)=2,SUM('Turns'!E491,'Turns'!E513),"Unknown")</f>
        <v>0.0002260983</v>
      </c>
      <c r="X175" s="2">
        <f>IF(COUNT('Turns'!F491,'Turns'!F513)=2,SUM('Turns'!F491,'Turns'!F513),"Unknown")</f>
        <v>0.000258</v>
      </c>
      <c r="Y175" s="2">
        <f>IF(COUNT('Turns'!E496,'Turns'!E518)=2,SUM('Turns'!E496,'Turns'!E518),"Unknown")</f>
        <v>0.001352400847</v>
      </c>
      <c r="Z175" s="2">
        <f>IF(COUNT('Turns'!F496,'Turns'!F518)=2,SUM('Turns'!F496,'Turns'!F518),"Unknown")</f>
        <v>0.00154322</v>
      </c>
      <c r="AA175" s="5">
        <f>IF(ISNUMBER(Y175),ROUND(Y175*'Reference data'!$B$2,0),"Unknown")</f>
        <v>135.0</v>
      </c>
      <c r="AB175" s="5">
        <f>IF(ISNUMBER(Z175),ROUND(Z175*'Reference data'!$B$2,0),"Unknown")</f>
        <v>154.0</v>
      </c>
      <c r="AD175" s="1">
        <v>5921.721</v>
      </c>
      <c r="AE175" s="1" t="s">
        <v>318</v>
      </c>
    </row>
    <row r="176" spans="1:31" ht="54" customHeight="1">
      <c r="A176" s="6" t="s">
        <v>378</v>
      </c>
      <c r="B176" s="1">
        <v>3</v>
      </c>
      <c r="C176" s="1" t="s">
        <v>316</v>
      </c>
      <c r="D176" s="1" t="s">
        <v>47</v>
      </c>
      <c r="E176" s="1" t="s">
        <v>111</v>
      </c>
      <c r="G176" s="6" t="s">
        <v>379</v>
      </c>
      <c r="H176" t="s">
        <v>481</v>
      </c>
      <c r="I176" t="s">
        <v>480</v>
      </c>
      <c r="J176" s="2">
        <f>IF(COUNT('Turns'!D487,'Turns'!D508)=2,SUM('Turns'!D487,'Turns'!D508),"Unknown")</f>
        <v>6.0</v>
      </c>
      <c r="K176" s="2">
        <f>IF(COUNT('Turns'!E487,'Turns'!E508)=2,SUM('Turns'!E487,'Turns'!E508),"Unknown")</f>
        <v>1.05162e-06</v>
      </c>
      <c r="L176" s="2">
        <f>IF(COUNT('Turns'!F487,'Turns'!F508)=2,SUM('Turns'!F487,'Turns'!F508),"Unknown")</f>
        <v>1.2e-06</v>
      </c>
      <c r="M176" s="2">
        <f>IF(COUNT('Turns'!D486,'Turns'!D507)=2,SUM('Turns'!D486,'Turns'!D507),"Unknown")</f>
        <v>1376.0</v>
      </c>
      <c r="N176" s="2">
        <f>IF(COUNT('Turns'!E486,'Turns'!E507)=2,SUM('Turns'!E486,'Turns'!E507),"Unknown")</f>
        <v>2.4117152e-05</v>
      </c>
      <c r="O176" s="2">
        <f>IF(COUNT('Turns'!F486,'Turns'!F507)=2,SUM('Turns'!F486,'Turns'!F507),"Unknown")</f>
        <v>2.752e-05</v>
      </c>
      <c r="P176" s="2">
        <f>IF(COUNT('Turns'!D488,'Turns'!D510)=2,SUM('Turns'!D488,'Turns'!D510),"Unknown")</f>
        <v>3538.0</v>
      </c>
      <c r="Q176" s="2">
        <f>IF(COUNT('Turns'!E488,'Turns'!E510)=2,SUM('Turns'!E488,'Turns'!E510),"Unknown")</f>
        <v>0.000775131575</v>
      </c>
      <c r="R176" s="2">
        <f>IF(COUNT('Turns'!F488,'Turns'!F510)=2,SUM('Turns'!F488,'Turns'!F510),"Unknown")</f>
        <v>0.0008845</v>
      </c>
      <c r="S176" s="2">
        <f>IF(COUNT('Turns'!D492,'Turns'!D514)=2,SUM('Turns'!D492,'Turns'!D514),"Unknown")</f>
        <v>310.0</v>
      </c>
      <c r="T176" s="2">
        <f>IF(COUNT('Turns'!E492,'Turns'!E514)=2,SUM('Turns'!E492,'Turns'!E514),"Unknown")</f>
        <v>0.0003260022</v>
      </c>
      <c r="U176" s="2">
        <f>IF(COUNT('Turns'!F492,'Turns'!F514)=2,SUM('Turns'!F492,'Turns'!F514),"Unknown")</f>
        <v>0.000372</v>
      </c>
      <c r="V176" s="2">
        <f>IF(COUNT('Turns'!D491,'Turns'!D513)=2,SUM('Turns'!D491,'Turns'!D513),"Unknown")</f>
        <v>215.0</v>
      </c>
      <c r="W176" s="2">
        <f>IF(COUNT('Turns'!E491,'Turns'!E513)=2,SUM('Turns'!E491,'Turns'!E513),"Unknown")</f>
        <v>0.0002260983</v>
      </c>
      <c r="X176" s="2">
        <f>IF(COUNT('Turns'!F491,'Turns'!F513)=2,SUM('Turns'!F491,'Turns'!F513),"Unknown")</f>
        <v>0.000258</v>
      </c>
      <c r="Y176" s="2">
        <f>IF(COUNT('Turns'!E496,'Turns'!E518)=2,SUM('Turns'!E496,'Turns'!E518),"Unknown")</f>
        <v>0.001352400847</v>
      </c>
      <c r="Z176" s="2">
        <f>IF(COUNT('Turns'!F496,'Turns'!F518)=2,SUM('Turns'!F496,'Turns'!F518),"Unknown")</f>
        <v>0.00154322</v>
      </c>
      <c r="AA176" s="5">
        <f>IF(ISNUMBER(Y176),ROUND(Y176*'Reference data'!$B$2,0),"Unknown")</f>
        <v>135.0</v>
      </c>
      <c r="AB176" s="5">
        <f>IF(ISNUMBER(Z176),ROUND(Z176*'Reference data'!$B$2,0),"Unknown")</f>
        <v>154.0</v>
      </c>
      <c r="AD176" s="1">
        <v>5919.816</v>
      </c>
      <c r="AE176" s="1" t="s">
        <v>318</v>
      </c>
    </row>
    <row r="177" spans="1:31" ht="54" customHeight="1">
      <c r="A177" s="6" t="s">
        <v>332</v>
      </c>
      <c r="B177" s="1">
        <v>4</v>
      </c>
      <c r="C177" s="1" t="s">
        <v>316</v>
      </c>
      <c r="D177" s="1" t="s">
        <v>47</v>
      </c>
      <c r="E177" s="1" t="s">
        <v>111</v>
      </c>
      <c r="G177" s="6" t="s">
        <v>333</v>
      </c>
      <c r="H177" t="s">
        <v>482</v>
      </c>
      <c r="I177" t="s">
        <v>481</v>
      </c>
      <c r="J177" s="2">
        <f>IF(COUNT('Turns'!D487)=1,SUM('Turns'!D487),"Unknown")</f>
        <v>3.0</v>
      </c>
      <c r="K177" s="2">
        <f>IF(COUNT('Turns'!E487)=1,SUM('Turns'!E487),"Unknown")</f>
        <v>5.2581e-07</v>
      </c>
      <c r="L177" s="2">
        <f>IF(COUNT('Turns'!F487)=1,SUM('Turns'!F487),"Unknown")</f>
        <v>6e-07</v>
      </c>
      <c r="M177" s="2">
        <f>IF(COUNT('Turns'!D486)=1,SUM('Turns'!D486),"Unknown")</f>
        <v>0.0</v>
      </c>
      <c r="N177" s="2">
        <f>IF(COUNT('Turns'!E486)=1,SUM('Turns'!E486),"Unknown")</f>
        <v>0.0</v>
      </c>
      <c r="O177" s="2">
        <f>IF(COUNT('Turns'!F486)=1,SUM('Turns'!F486),"Unknown")</f>
        <v>0.0</v>
      </c>
      <c r="P177" s="2">
        <f>IF(COUNT('Turns'!D488)=1,SUM('Turns'!D488),"Unknown")</f>
        <v>1376.0</v>
      </c>
      <c r="Q177" s="2">
        <f>IF(COUNT('Turns'!E488)=1,SUM('Turns'!E488),"Unknown")</f>
        <v>0.0003014644</v>
      </c>
      <c r="R177" s="2">
        <f>IF(COUNT('Turns'!F488)=1,SUM('Turns'!F488),"Unknown")</f>
        <v>0.000344</v>
      </c>
      <c r="S177" s="2">
        <f>IF(COUNT('Turns'!D492)=1,SUM('Turns'!D492),"Unknown")</f>
        <v>98.0</v>
      </c>
      <c r="T177" s="2">
        <f>IF(COUNT('Turns'!E492)=1,SUM('Turns'!E492),"Unknown")</f>
        <v>0.00010305876</v>
      </c>
      <c r="U177" s="2">
        <f>IF(COUNT('Turns'!F492)=1,SUM('Turns'!F492),"Unknown")</f>
        <v>0.0001176</v>
      </c>
      <c r="V177" s="2">
        <f>IF(COUNT('Turns'!D491)=1,SUM('Turns'!D491),"Unknown")</f>
        <v>23.0</v>
      </c>
      <c r="W177" s="2">
        <f>IF(COUNT('Turns'!E491)=1,SUM('Turns'!E491),"Unknown")</f>
        <v>2.418726e-05</v>
      </c>
      <c r="X177" s="2">
        <f>IF(COUNT('Turns'!F491)=1,SUM('Turns'!F491),"Unknown")</f>
        <v>2.76e-05</v>
      </c>
      <c r="Y177" s="2">
        <f>IF(COUNT('Turns'!E496)=1,SUM('Turns'!E496),"Unknown")</f>
        <v>0.00042923623</v>
      </c>
      <c r="Z177" s="2">
        <f>IF(COUNT('Turns'!F496)=1,SUM('Turns'!F496),"Unknown")</f>
        <v>0.0004898</v>
      </c>
      <c r="AA177" s="5">
        <f>IF(ISNUMBER(Y177),ROUND(Y177*'Reference data'!$B$2,0),"Unknown")</f>
        <v>43.0</v>
      </c>
      <c r="AB177" s="5">
        <f>IF(ISNUMBER(Z177),ROUND(Z177*'Reference data'!$B$2,0),"Unknown")</f>
        <v>49.0</v>
      </c>
      <c r="AD177" s="1">
        <v>1622.172</v>
      </c>
      <c r="AE177" s="1" t="s">
        <v>318</v>
      </c>
    </row>
    <row r="178" spans="1:31" ht="54" customHeight="1">
      <c r="A178" s="6" t="s">
        <v>335</v>
      </c>
      <c r="B178" s="1">
        <v>5</v>
      </c>
      <c r="C178" s="1" t="s">
        <v>336</v>
      </c>
      <c r="D178" s="1" t="s">
        <v>95</v>
      </c>
      <c r="E178" s="1" t="s">
        <v>111</v>
      </c>
      <c r="F178" s="1">
        <v>1379</v>
      </c>
      <c r="G178" s="6" t="s">
        <v>337</v>
      </c>
      <c r="H178" t="s">
        <v>278</v>
      </c>
      <c r="I178" t="s">
        <v>482</v>
      </c>
      <c r="J178" s="2">
        <f>IF(COUNT('Turns'!D487)=1,SUM('Turns'!D487),"Unknown")</f>
        <v>3.0</v>
      </c>
      <c r="K178" s="2">
        <f>IF(COUNT('Turns'!E487)=1,SUM('Turns'!E487),"Unknown")</f>
        <v>5.2581e-07</v>
      </c>
      <c r="L178" s="2">
        <f>IF(COUNT('Turns'!F487)=1,SUM('Turns'!F487),"Unknown")</f>
        <v>6e-07</v>
      </c>
      <c r="M178" s="2">
        <f>IF(COUNT('Turns'!D486)=1,SUM('Turns'!D486),"Unknown")</f>
        <v>0.0</v>
      </c>
      <c r="N178" s="2">
        <f>IF(COUNT('Turns'!E486)=1,SUM('Turns'!E486),"Unknown")</f>
        <v>0.0</v>
      </c>
      <c r="O178" s="2">
        <f>IF(COUNT('Turns'!F486)=1,SUM('Turns'!F486),"Unknown")</f>
        <v>0.0</v>
      </c>
      <c r="P178" s="2">
        <f>IF(COUNT('Turns'!D488)=1,SUM('Turns'!D488),"Unknown")</f>
        <v>1376.0</v>
      </c>
      <c r="Q178" s="2">
        <f>IF(COUNT('Turns'!E488)=1,SUM('Turns'!E488),"Unknown")</f>
        <v>0.0003014644</v>
      </c>
      <c r="R178" s="2">
        <f>IF(COUNT('Turns'!F488)=1,SUM('Turns'!F488),"Unknown")</f>
        <v>0.000344</v>
      </c>
      <c r="S178" s="2">
        <f>IF(COUNT('Turns'!D492)=1,SUM('Turns'!D492),"Unknown")</f>
        <v>98.0</v>
      </c>
      <c r="T178" s="2">
        <f>IF(COUNT('Turns'!E492)=1,SUM('Turns'!E492),"Unknown")</f>
        <v>0.00010305876</v>
      </c>
      <c r="U178" s="2">
        <f>IF(COUNT('Turns'!F492)=1,SUM('Turns'!F492),"Unknown")</f>
        <v>0.0001176</v>
      </c>
      <c r="V178" s="2">
        <f>IF(COUNT('Turns'!D491)=1,SUM('Turns'!D491),"Unknown")</f>
        <v>23.0</v>
      </c>
      <c r="W178" s="2">
        <f>IF(COUNT('Turns'!E491)=1,SUM('Turns'!E491),"Unknown")</f>
        <v>2.418726e-05</v>
      </c>
      <c r="X178" s="2">
        <f>IF(COUNT('Turns'!F491)=1,SUM('Turns'!F491),"Unknown")</f>
        <v>2.76e-05</v>
      </c>
      <c r="Y178" s="2">
        <f>IF(COUNT('Turns'!E496)=1,SUM('Turns'!E496),"Unknown")</f>
        <v>0.00042923623</v>
      </c>
      <c r="Z178" s="2">
        <f>IF(COUNT('Turns'!F496)=1,SUM('Turns'!F496),"Unknown")</f>
        <v>0.0004898</v>
      </c>
      <c r="AA178" s="5">
        <f>IF(ISNUMBER(Y178),ROUND(Y178*'Reference data'!$B$2,0),"Unknown")</f>
        <v>43.0</v>
      </c>
      <c r="AB178" s="5">
        <f>IF(ISNUMBER(Z178),ROUND(Z178*'Reference data'!$B$2,0),"Unknown")</f>
        <v>49.0</v>
      </c>
      <c r="AC178" s="1" t="s">
        <v>277</v>
      </c>
      <c r="AD178" s="1">
        <v>1618.777</v>
      </c>
      <c r="AE178" s="1" t="s">
        <v>338</v>
      </c>
    </row>
    <row r="179" spans="1:31" ht="54" customHeight="1">
      <c r="A179" s="6" t="s">
        <v>339</v>
      </c>
      <c r="B179" s="1">
        <v>4</v>
      </c>
      <c r="C179" s="1" t="s">
        <v>316</v>
      </c>
      <c r="D179" s="1" t="s">
        <v>47</v>
      </c>
      <c r="E179" s="1" t="s">
        <v>111</v>
      </c>
      <c r="G179" s="6" t="s">
        <v>340</v>
      </c>
      <c r="H179" t="s">
        <v>483</v>
      </c>
      <c r="I179" t="s">
        <v>481</v>
      </c>
      <c r="AD179" s="1">
        <v>11.613</v>
      </c>
      <c r="AE179" s="1" t="s">
        <v>331</v>
      </c>
    </row>
    <row r="180" spans="1:31" ht="54" customHeight="1">
      <c r="A180" s="6" t="s">
        <v>342</v>
      </c>
      <c r="B180" s="1">
        <v>5</v>
      </c>
      <c r="C180" s="1" t="s">
        <v>343</v>
      </c>
      <c r="D180" s="1" t="s">
        <v>47</v>
      </c>
      <c r="E180" s="1" t="s">
        <v>111</v>
      </c>
      <c r="G180" s="6" t="s">
        <v>344</v>
      </c>
      <c r="H180" t="s">
        <v>280</v>
      </c>
      <c r="I180" t="s">
        <v>483</v>
      </c>
      <c r="AD180" s="1">
        <v>4.962</v>
      </c>
      <c r="AE180" s="1" t="s">
        <v>331</v>
      </c>
    </row>
    <row r="181" spans="1:31" ht="54" customHeight="1">
      <c r="A181" s="6" t="s">
        <v>339</v>
      </c>
      <c r="B181" s="1">
        <v>4</v>
      </c>
      <c r="C181" s="1" t="s">
        <v>316</v>
      </c>
      <c r="D181" s="1" t="s">
        <v>47</v>
      </c>
      <c r="E181" s="1" t="s">
        <v>111</v>
      </c>
      <c r="G181" s="6" t="s">
        <v>340</v>
      </c>
      <c r="H181" t="s">
        <v>484</v>
      </c>
      <c r="I181" t="s">
        <v>481</v>
      </c>
      <c r="AD181" s="1">
        <v>9.550000000000001</v>
      </c>
      <c r="AE181" s="1" t="s">
        <v>331</v>
      </c>
    </row>
    <row r="182" spans="1:31" ht="54" customHeight="1">
      <c r="A182" s="6" t="s">
        <v>342</v>
      </c>
      <c r="B182" s="1">
        <v>5</v>
      </c>
      <c r="C182" s="1" t="s">
        <v>343</v>
      </c>
      <c r="D182" s="1" t="s">
        <v>47</v>
      </c>
      <c r="E182" s="1" t="s">
        <v>111</v>
      </c>
      <c r="G182" s="6" t="s">
        <v>344</v>
      </c>
      <c r="H182" t="s">
        <v>282</v>
      </c>
      <c r="I182" t="s">
        <v>484</v>
      </c>
      <c r="AD182" s="1">
        <v>2.95</v>
      </c>
      <c r="AE182" s="1" t="s">
        <v>331</v>
      </c>
    </row>
    <row r="183" spans="1:31" ht="54" customHeight="1">
      <c r="A183" s="6" t="s">
        <v>339</v>
      </c>
      <c r="B183" s="1">
        <v>4</v>
      </c>
      <c r="C183" s="1" t="s">
        <v>316</v>
      </c>
      <c r="D183" s="1" t="s">
        <v>47</v>
      </c>
      <c r="E183" s="1" t="s">
        <v>111</v>
      </c>
      <c r="G183" s="6" t="s">
        <v>340</v>
      </c>
      <c r="H183" t="s">
        <v>485</v>
      </c>
      <c r="I183" t="s">
        <v>481</v>
      </c>
      <c r="AD183" s="1">
        <v>10.609</v>
      </c>
      <c r="AE183" s="1" t="s">
        <v>331</v>
      </c>
    </row>
    <row r="184" spans="1:31" ht="54" customHeight="1">
      <c r="A184" s="6" t="s">
        <v>342</v>
      </c>
      <c r="B184" s="1">
        <v>5</v>
      </c>
      <c r="C184" s="1" t="s">
        <v>343</v>
      </c>
      <c r="D184" s="1" t="s">
        <v>47</v>
      </c>
      <c r="E184" s="1" t="s">
        <v>111</v>
      </c>
      <c r="G184" s="6" t="s">
        <v>344</v>
      </c>
      <c r="H184" t="s">
        <v>283</v>
      </c>
      <c r="I184" t="s">
        <v>485</v>
      </c>
      <c r="AD184" s="1">
        <v>4.051</v>
      </c>
      <c r="AE184" s="1" t="s">
        <v>331</v>
      </c>
    </row>
    <row r="185" spans="1:31" ht="54" customHeight="1">
      <c r="A185" s="6" t="s">
        <v>332</v>
      </c>
      <c r="B185" s="1">
        <v>4</v>
      </c>
      <c r="C185" s="1" t="s">
        <v>316</v>
      </c>
      <c r="D185" s="1" t="s">
        <v>47</v>
      </c>
      <c r="E185" s="1" t="s">
        <v>111</v>
      </c>
      <c r="G185" s="6" t="s">
        <v>333</v>
      </c>
      <c r="H185" t="s">
        <v>486</v>
      </c>
      <c r="I185" t="s">
        <v>481</v>
      </c>
      <c r="J185" s="2">
        <f>IF(COUNT('Turns'!D508)=1,SUM('Turns'!D508),"Unknown")</f>
        <v>3.0</v>
      </c>
      <c r="K185" s="2">
        <f>IF(COUNT('Turns'!E508)=1,SUM('Turns'!E508),"Unknown")</f>
        <v>5.2581e-07</v>
      </c>
      <c r="L185" s="2">
        <f>IF(COUNT('Turns'!F508)=1,SUM('Turns'!F508),"Unknown")</f>
        <v>6e-07</v>
      </c>
      <c r="M185" s="2">
        <f>IF(COUNT('Turns'!D507)=1,SUM('Turns'!D507),"Unknown")</f>
        <v>1376.0</v>
      </c>
      <c r="N185" s="2">
        <f>IF(COUNT('Turns'!E507)=1,SUM('Turns'!E507),"Unknown")</f>
        <v>2.4117152e-05</v>
      </c>
      <c r="O185" s="2">
        <f>IF(COUNT('Turns'!F507)=1,SUM('Turns'!F507),"Unknown")</f>
        <v>2.752e-05</v>
      </c>
      <c r="P185" s="2">
        <f>IF(COUNT('Turns'!D510)=1,SUM('Turns'!D510),"Unknown")</f>
        <v>2162.0</v>
      </c>
      <c r="Q185" s="2">
        <f>IF(COUNT('Turns'!E510)=1,SUM('Turns'!E510),"Unknown")</f>
        <v>0.000473667175</v>
      </c>
      <c r="R185" s="2">
        <f>IF(COUNT('Turns'!F510)=1,SUM('Turns'!F510),"Unknown")</f>
        <v>0.0005405</v>
      </c>
      <c r="S185" s="2">
        <f>IF(COUNT('Turns'!D514)=1,SUM('Turns'!D514),"Unknown")</f>
        <v>212.0</v>
      </c>
      <c r="T185" s="2">
        <f>IF(COUNT('Turns'!E514)=1,SUM('Turns'!E514),"Unknown")</f>
        <v>0.00022294344</v>
      </c>
      <c r="U185" s="2">
        <f>IF(COUNT('Turns'!F514)=1,SUM('Turns'!F514),"Unknown")</f>
        <v>0.0002544</v>
      </c>
      <c r="V185" s="2">
        <f>IF(COUNT('Turns'!D513)=1,SUM('Turns'!D513),"Unknown")</f>
        <v>192.0</v>
      </c>
      <c r="W185" s="2">
        <f>IF(COUNT('Turns'!E513)=1,SUM('Turns'!E513),"Unknown")</f>
        <v>0.00020191104</v>
      </c>
      <c r="X185" s="2">
        <f>IF(COUNT('Turns'!F513)=1,SUM('Turns'!F513),"Unknown")</f>
        <v>0.0002304</v>
      </c>
      <c r="Y185" s="2">
        <f>IF(COUNT('Turns'!E518)=1,SUM('Turns'!E518),"Unknown")</f>
        <v>0.000923164617</v>
      </c>
      <c r="Z185" s="2">
        <f>IF(COUNT('Turns'!F518)=1,SUM('Turns'!F518),"Unknown")</f>
        <v>0.00105342</v>
      </c>
      <c r="AA185" s="5">
        <f>IF(ISNUMBER(Y185),ROUND(Y185*'Reference data'!$B$2,0),"Unknown")</f>
        <v>92.0</v>
      </c>
      <c r="AB185" s="5">
        <f>IF(ISNUMBER(Z185),ROUND(Z185*'Reference data'!$B$2,0),"Unknown")</f>
        <v>105.0</v>
      </c>
      <c r="AD185" s="1">
        <v>4277.636</v>
      </c>
      <c r="AE185" s="1" t="s">
        <v>318</v>
      </c>
    </row>
    <row r="186" spans="1:31" ht="54" customHeight="1">
      <c r="A186" s="6" t="s">
        <v>335</v>
      </c>
      <c r="B186" s="1">
        <v>5</v>
      </c>
      <c r="C186" s="1" t="s">
        <v>336</v>
      </c>
      <c r="D186" s="1" t="s">
        <v>95</v>
      </c>
      <c r="E186" s="1" t="s">
        <v>111</v>
      </c>
      <c r="F186" s="1">
        <v>3541</v>
      </c>
      <c r="G186" s="6" t="s">
        <v>337</v>
      </c>
      <c r="H186" t="s">
        <v>285</v>
      </c>
      <c r="I186" t="s">
        <v>486</v>
      </c>
      <c r="J186" s="2">
        <f>IF(COUNT('Turns'!D508)=1,SUM('Turns'!D508),"Unknown")</f>
        <v>3.0</v>
      </c>
      <c r="K186" s="2">
        <f>IF(COUNT('Turns'!E508)=1,SUM('Turns'!E508),"Unknown")</f>
        <v>5.2581e-07</v>
      </c>
      <c r="L186" s="2">
        <f>IF(COUNT('Turns'!F508)=1,SUM('Turns'!F508),"Unknown")</f>
        <v>6e-07</v>
      </c>
      <c r="M186" s="2">
        <f>IF(COUNT('Turns'!D507)=1,SUM('Turns'!D507),"Unknown")</f>
        <v>1376.0</v>
      </c>
      <c r="N186" s="2">
        <f>IF(COUNT('Turns'!E507)=1,SUM('Turns'!E507),"Unknown")</f>
        <v>2.4117152e-05</v>
      </c>
      <c r="O186" s="2">
        <f>IF(COUNT('Turns'!F507)=1,SUM('Turns'!F507),"Unknown")</f>
        <v>2.752e-05</v>
      </c>
      <c r="P186" s="2">
        <f>IF(COUNT('Turns'!D510)=1,SUM('Turns'!D510),"Unknown")</f>
        <v>2162.0</v>
      </c>
      <c r="Q186" s="2">
        <f>IF(COUNT('Turns'!E510)=1,SUM('Turns'!E510),"Unknown")</f>
        <v>0.000473667175</v>
      </c>
      <c r="R186" s="2">
        <f>IF(COUNT('Turns'!F510)=1,SUM('Turns'!F510),"Unknown")</f>
        <v>0.0005405</v>
      </c>
      <c r="S186" s="2">
        <f>IF(COUNT('Turns'!D514)=1,SUM('Turns'!D514),"Unknown")</f>
        <v>212.0</v>
      </c>
      <c r="T186" s="2">
        <f>IF(COUNT('Turns'!E514)=1,SUM('Turns'!E514),"Unknown")</f>
        <v>0.00022294344</v>
      </c>
      <c r="U186" s="2">
        <f>IF(COUNT('Turns'!F514)=1,SUM('Turns'!F514),"Unknown")</f>
        <v>0.0002544</v>
      </c>
      <c r="V186" s="2">
        <f>IF(COUNT('Turns'!D513)=1,SUM('Turns'!D513),"Unknown")</f>
        <v>192.0</v>
      </c>
      <c r="W186" s="2">
        <f>IF(COUNT('Turns'!E513)=1,SUM('Turns'!E513),"Unknown")</f>
        <v>0.00020191104</v>
      </c>
      <c r="X186" s="2">
        <f>IF(COUNT('Turns'!F513)=1,SUM('Turns'!F513),"Unknown")</f>
        <v>0.0002304</v>
      </c>
      <c r="Y186" s="2">
        <f>IF(COUNT('Turns'!E518)=1,SUM('Turns'!E518),"Unknown")</f>
        <v>0.000923164617</v>
      </c>
      <c r="Z186" s="2">
        <f>IF(COUNT('Turns'!F518)=1,SUM('Turns'!F518),"Unknown")</f>
        <v>0.00105342</v>
      </c>
      <c r="AA186" s="5">
        <f>IF(ISNUMBER(Y186),ROUND(Y186*'Reference data'!$B$2,0),"Unknown")</f>
        <v>92.0</v>
      </c>
      <c r="AB186" s="5">
        <f>IF(ISNUMBER(Z186),ROUND(Z186*'Reference data'!$B$2,0),"Unknown")</f>
        <v>105.0</v>
      </c>
      <c r="AC186" s="1" t="s">
        <v>284</v>
      </c>
      <c r="AD186" s="1">
        <v>4272.404</v>
      </c>
      <c r="AE186" s="1" t="s">
        <v>338</v>
      </c>
    </row>
    <row r="187" spans="1:31" ht="54" customHeight="1">
      <c r="A187" s="6" t="s">
        <v>385</v>
      </c>
      <c r="B187" s="1">
        <v>2</v>
      </c>
      <c r="C187" s="1" t="s">
        <v>316</v>
      </c>
      <c r="D187" s="1" t="s">
        <v>47</v>
      </c>
      <c r="E187" s="1" t="s">
        <v>111</v>
      </c>
      <c r="G187" s="6" t="s">
        <v>386</v>
      </c>
      <c r="H187" t="s">
        <v>487</v>
      </c>
      <c r="I187" t="s">
        <v>479</v>
      </c>
      <c r="AD187" s="1">
        <v>0.586</v>
      </c>
      <c r="AE187" s="1" t="s">
        <v>331</v>
      </c>
    </row>
    <row r="188" spans="1:31" ht="54" customHeight="1">
      <c r="A188" s="6" t="s">
        <v>388</v>
      </c>
      <c r="B188" s="1">
        <v>1</v>
      </c>
      <c r="C188" s="1" t="s">
        <v>316</v>
      </c>
      <c r="D188" s="1" t="s">
        <v>47</v>
      </c>
      <c r="E188" s="1" t="s">
        <v>111</v>
      </c>
      <c r="G188" s="6" t="s">
        <v>389</v>
      </c>
      <c r="H188" t="s">
        <v>488</v>
      </c>
      <c r="I188" t="s">
        <v>449</v>
      </c>
      <c r="J188" s="2">
        <f>IF(COUNT('Turns'!D521,'Turns'!D537,'Turns'!D552,'Turns'!D564,'Turns'!D580,'Turns'!D595)=6,SUM('Turns'!D521,'Turns'!D537,'Turns'!D552,'Turns'!D564,'Turns'!D580,'Turns'!D595),"Unknown")</f>
        <v>18.0</v>
      </c>
      <c r="K188" s="2">
        <f>IF(COUNT('Turns'!E521,'Turns'!E537,'Turns'!E552,'Turns'!E564,'Turns'!E580,'Turns'!E595)=6,SUM('Turns'!E521,'Turns'!E537,'Turns'!E552,'Turns'!E564,'Turns'!E580,'Turns'!E595),"Unknown")</f>
        <v>3.15486e-06</v>
      </c>
      <c r="L188" s="2">
        <f>IF(COUNT('Turns'!F521,'Turns'!F537,'Turns'!F552,'Turns'!F564,'Turns'!F580,'Turns'!F595)=6,SUM('Turns'!F521,'Turns'!F537,'Turns'!F552,'Turns'!F564,'Turns'!F580,'Turns'!F595),"Unknown")</f>
        <v>3.6e-06</v>
      </c>
      <c r="M188" s="2">
        <f>IF(COUNT('Turns'!D520,'Turns'!D536,'Turns'!D551,'Turns'!D563,'Turns'!D579,'Turns'!D594)=6,SUM('Turns'!D520,'Turns'!D536,'Turns'!D551,'Turns'!D563,'Turns'!D579,'Turns'!D594),"Unknown")</f>
        <v>18723.0</v>
      </c>
      <c r="N188" s="2">
        <f>IF(COUNT('Turns'!E520,'Turns'!E536,'Turns'!E551,'Turns'!E563,'Turns'!E579,'Turns'!E594)=6,SUM('Turns'!E520,'Turns'!E536,'Turns'!E551,'Turns'!E563,'Turns'!E579,'Turns'!E594),"Unknown")</f>
        <v>0.000328158021</v>
      </c>
      <c r="O188" s="2">
        <f>IF(COUNT('Turns'!F520,'Turns'!F536,'Turns'!F551,'Turns'!F563,'Turns'!F579,'Turns'!F594)=6,SUM('Turns'!F520,'Turns'!F536,'Turns'!F551,'Turns'!F563,'Turns'!F579,'Turns'!F594),"Unknown")</f>
        <v>0.00037446</v>
      </c>
      <c r="P188" s="2">
        <f>IF(COUNT('Turns'!D523,'Turns'!D539,'Turns'!D553,'Turns'!D566,'Turns'!D582,'Turns'!D597)=6,SUM('Turns'!D523,'Turns'!D539,'Turns'!D553,'Turns'!D566,'Turns'!D582,'Turns'!D597),"Unknown")</f>
        <v>17340.0</v>
      </c>
      <c r="Q188" s="2">
        <f>IF(COUNT('Turns'!E523,'Turns'!E539,'Turns'!E553,'Turns'!E566,'Turns'!E582,'Turns'!E597)=6,SUM('Turns'!E523,'Turns'!E539,'Turns'!E553,'Turns'!E566,'Turns'!E582,'Turns'!E597),"Unknown")</f>
        <v>0.00379897725</v>
      </c>
      <c r="R188" s="2">
        <f>IF(COUNT('Turns'!F523,'Turns'!F539,'Turns'!F553,'Turns'!F566,'Turns'!F582,'Turns'!F597)=6,SUM('Turns'!F523,'Turns'!F539,'Turns'!F553,'Turns'!F566,'Turns'!F582,'Turns'!F597),"Unknown")</f>
        <v>0.004335</v>
      </c>
      <c r="S188" s="2">
        <f>IF(COUNT('Turns'!D527,'Turns'!D542,'Turns'!D557,'Turns'!D570,'Turns'!D585,'Turns'!D601)=6,SUM('Turns'!D527,'Turns'!D542,'Turns'!D557,'Turns'!D570,'Turns'!D585,'Turns'!D601),"Unknown")</f>
        <v>1429.0</v>
      </c>
      <c r="T188" s="2">
        <f>IF(COUNT('Turns'!E527,'Turns'!E542,'Turns'!E557,'Turns'!E570,'Turns'!E585,'Turns'!E601)=6,SUM('Turns'!E527,'Turns'!E542,'Turns'!E557,'Turns'!E570,'Turns'!E585,'Turns'!E601),"Unknown")</f>
        <v>0.00150276498</v>
      </c>
      <c r="U188" s="2">
        <f>IF(COUNT('Turns'!F527,'Turns'!F542,'Turns'!F557,'Turns'!F570,'Turns'!F585,'Turns'!F601)=6,SUM('Turns'!F527,'Turns'!F542,'Turns'!F557,'Turns'!F570,'Turns'!F585,'Turns'!F601),"Unknown")</f>
        <v>0.0017148</v>
      </c>
      <c r="V188" s="2">
        <f>IF(COUNT('Turns'!D526,'Turns'!D556,'Turns'!D569,'Turns'!D600)=4,SUM('Turns'!D526,'Turns'!D556,'Turns'!D569,'Turns'!D600),"Unknown")</f>
        <v>471.0</v>
      </c>
      <c r="W188" s="2">
        <f>IF(COUNT('Turns'!E526,'Turns'!E556,'Turns'!E569,'Turns'!E600)=4,SUM('Turns'!E526,'Turns'!E556,'Turns'!E569,'Turns'!E600),"Unknown")</f>
        <v>0.00049531302</v>
      </c>
      <c r="X188" s="2">
        <f>IF(COUNT('Turns'!F526,'Turns'!F556,'Turns'!F569,'Turns'!F600)=4,SUM('Turns'!F526,'Turns'!F556,'Turns'!F569,'Turns'!F600),"Unknown")</f>
        <v>0.0005652</v>
      </c>
      <c r="Y188" s="2">
        <f>IF(COUNT('Turns'!E531,'Turns'!E546,'Turns'!E561,'Turns'!E574,'Turns'!E589,'Turns'!E605)=6,SUM('Turns'!E531,'Turns'!E546,'Turns'!E561,'Turns'!E574,'Turns'!E589,'Turns'!E605),"Unknown")</f>
        <v>0.006128368131</v>
      </c>
      <c r="Z188" s="2">
        <f>IF(COUNT('Turns'!F531,'Turns'!F546,'Turns'!F561,'Turns'!F574,'Turns'!F589,'Turns'!F605)=6,SUM('Turns'!F531,'Turns'!F546,'Turns'!F561,'Turns'!F574,'Turns'!F589,'Turns'!F605),"Unknown")</f>
        <v>0.00699306</v>
      </c>
      <c r="AA188" s="5">
        <f>IF(ISNUMBER(Y188),ROUND(Y188*'Reference data'!$B$2,0),"Unknown")</f>
        <v>613.0</v>
      </c>
      <c r="AB188" s="5">
        <f>IF(ISNUMBER(Z188),ROUND(Z188*'Reference data'!$B$2,0),"Unknown")</f>
        <v>699.0</v>
      </c>
      <c r="AD188" s="1">
        <v>24888.636</v>
      </c>
      <c r="AE188" s="1" t="s">
        <v>318</v>
      </c>
    </row>
    <row r="189" spans="1:31" ht="54" customHeight="1">
      <c r="A189" s="6" t="s">
        <v>322</v>
      </c>
      <c r="B189" s="1">
        <v>2</v>
      </c>
      <c r="C189" s="1" t="s">
        <v>316</v>
      </c>
      <c r="D189" s="1" t="s">
        <v>47</v>
      </c>
      <c r="E189" s="1" t="s">
        <v>111</v>
      </c>
      <c r="G189" s="6" t="s">
        <v>323</v>
      </c>
      <c r="H189" t="s">
        <v>489</v>
      </c>
      <c r="I189" t="s">
        <v>488</v>
      </c>
      <c r="J189" s="2">
        <f>IF(COUNT('Turns'!D521,'Turns'!D537,'Turns'!D552,'Turns'!D564,'Turns'!D580,'Turns'!D595)=6,SUM('Turns'!D521,'Turns'!D537,'Turns'!D552,'Turns'!D564,'Turns'!D580,'Turns'!D595),"Unknown")</f>
        <v>18.0</v>
      </c>
      <c r="K189" s="2">
        <f>IF(COUNT('Turns'!E521,'Turns'!E537,'Turns'!E552,'Turns'!E564,'Turns'!E580,'Turns'!E595)=6,SUM('Turns'!E521,'Turns'!E537,'Turns'!E552,'Turns'!E564,'Turns'!E580,'Turns'!E595),"Unknown")</f>
        <v>3.15486e-06</v>
      </c>
      <c r="L189" s="2">
        <f>IF(COUNT('Turns'!F521,'Turns'!F537,'Turns'!F552,'Turns'!F564,'Turns'!F580,'Turns'!F595)=6,SUM('Turns'!F521,'Turns'!F537,'Turns'!F552,'Turns'!F564,'Turns'!F580,'Turns'!F595),"Unknown")</f>
        <v>3.6e-06</v>
      </c>
      <c r="M189" s="2">
        <f>IF(COUNT('Turns'!D520,'Turns'!D536,'Turns'!D551,'Turns'!D563,'Turns'!D579,'Turns'!D594)=6,SUM('Turns'!D520,'Turns'!D536,'Turns'!D551,'Turns'!D563,'Turns'!D579,'Turns'!D594),"Unknown")</f>
        <v>18723.0</v>
      </c>
      <c r="N189" s="2">
        <f>IF(COUNT('Turns'!E520,'Turns'!E536,'Turns'!E551,'Turns'!E563,'Turns'!E579,'Turns'!E594)=6,SUM('Turns'!E520,'Turns'!E536,'Turns'!E551,'Turns'!E563,'Turns'!E579,'Turns'!E594),"Unknown")</f>
        <v>0.000328158021</v>
      </c>
      <c r="O189" s="2">
        <f>IF(COUNT('Turns'!F520,'Turns'!F536,'Turns'!F551,'Turns'!F563,'Turns'!F579,'Turns'!F594)=6,SUM('Turns'!F520,'Turns'!F536,'Turns'!F551,'Turns'!F563,'Turns'!F579,'Turns'!F594),"Unknown")</f>
        <v>0.00037446</v>
      </c>
      <c r="P189" s="2">
        <f>IF(COUNT('Turns'!D523,'Turns'!D539,'Turns'!D553,'Turns'!D566,'Turns'!D582,'Turns'!D597)=6,SUM('Turns'!D523,'Turns'!D539,'Turns'!D553,'Turns'!D566,'Turns'!D582,'Turns'!D597),"Unknown")</f>
        <v>17340.0</v>
      </c>
      <c r="Q189" s="2">
        <f>IF(COUNT('Turns'!E523,'Turns'!E539,'Turns'!E553,'Turns'!E566,'Turns'!E582,'Turns'!E597)=6,SUM('Turns'!E523,'Turns'!E539,'Turns'!E553,'Turns'!E566,'Turns'!E582,'Turns'!E597),"Unknown")</f>
        <v>0.00379897725</v>
      </c>
      <c r="R189" s="2">
        <f>IF(COUNT('Turns'!F523,'Turns'!F539,'Turns'!F553,'Turns'!F566,'Turns'!F582,'Turns'!F597)=6,SUM('Turns'!F523,'Turns'!F539,'Turns'!F553,'Turns'!F566,'Turns'!F582,'Turns'!F597),"Unknown")</f>
        <v>0.004335</v>
      </c>
      <c r="S189" s="2">
        <f>IF(COUNT('Turns'!D527,'Turns'!D542,'Turns'!D557,'Turns'!D570,'Turns'!D585,'Turns'!D601)=6,SUM('Turns'!D527,'Turns'!D542,'Turns'!D557,'Turns'!D570,'Turns'!D585,'Turns'!D601),"Unknown")</f>
        <v>1429.0</v>
      </c>
      <c r="T189" s="2">
        <f>IF(COUNT('Turns'!E527,'Turns'!E542,'Turns'!E557,'Turns'!E570,'Turns'!E585,'Turns'!E601)=6,SUM('Turns'!E527,'Turns'!E542,'Turns'!E557,'Turns'!E570,'Turns'!E585,'Turns'!E601),"Unknown")</f>
        <v>0.00150276498</v>
      </c>
      <c r="U189" s="2">
        <f>IF(COUNT('Turns'!F527,'Turns'!F542,'Turns'!F557,'Turns'!F570,'Turns'!F585,'Turns'!F601)=6,SUM('Turns'!F527,'Turns'!F542,'Turns'!F557,'Turns'!F570,'Turns'!F585,'Turns'!F601),"Unknown")</f>
        <v>0.0017148</v>
      </c>
      <c r="V189" s="2">
        <f>IF(COUNT('Turns'!D526,'Turns'!D556,'Turns'!D569,'Turns'!D600)=4,SUM('Turns'!D526,'Turns'!D556,'Turns'!D569,'Turns'!D600),"Unknown")</f>
        <v>471.0</v>
      </c>
      <c r="W189" s="2">
        <f>IF(COUNT('Turns'!E526,'Turns'!E556,'Turns'!E569,'Turns'!E600)=4,SUM('Turns'!E526,'Turns'!E556,'Turns'!E569,'Turns'!E600),"Unknown")</f>
        <v>0.00049531302</v>
      </c>
      <c r="X189" s="2">
        <f>IF(COUNT('Turns'!F526,'Turns'!F556,'Turns'!F569,'Turns'!F600)=4,SUM('Turns'!F526,'Turns'!F556,'Turns'!F569,'Turns'!F600),"Unknown")</f>
        <v>0.0005652</v>
      </c>
      <c r="Y189" s="2">
        <f>IF(COUNT('Turns'!E531,'Turns'!E546,'Turns'!E561,'Turns'!E574,'Turns'!E589,'Turns'!E605)=6,SUM('Turns'!E531,'Turns'!E546,'Turns'!E561,'Turns'!E574,'Turns'!E589,'Turns'!E605),"Unknown")</f>
        <v>0.006128368131</v>
      </c>
      <c r="Z189" s="2">
        <f>IF(COUNT('Turns'!F531,'Turns'!F546,'Turns'!F561,'Turns'!F574,'Turns'!F589,'Turns'!F605)=6,SUM('Turns'!F531,'Turns'!F546,'Turns'!F561,'Turns'!F574,'Turns'!F589,'Turns'!F605),"Unknown")</f>
        <v>0.00699306</v>
      </c>
      <c r="AA189" s="5">
        <f>IF(ISNUMBER(Y189),ROUND(Y189*'Reference data'!$B$2,0),"Unknown")</f>
        <v>613.0</v>
      </c>
      <c r="AB189" s="5">
        <f>IF(ISNUMBER(Z189),ROUND(Z189*'Reference data'!$B$2,0),"Unknown")</f>
        <v>699.0</v>
      </c>
      <c r="AD189" s="1">
        <v>24886.687</v>
      </c>
      <c r="AE189" s="1" t="s">
        <v>318</v>
      </c>
    </row>
    <row r="190" spans="1:31" ht="54" customHeight="1">
      <c r="A190" s="6" t="s">
        <v>325</v>
      </c>
      <c r="B190" s="1">
        <v>3</v>
      </c>
      <c r="C190" s="1" t="s">
        <v>316</v>
      </c>
      <c r="D190" s="1" t="s">
        <v>47</v>
      </c>
      <c r="E190" s="1" t="s">
        <v>111</v>
      </c>
      <c r="G190" s="6" t="s">
        <v>326</v>
      </c>
      <c r="H190" t="s">
        <v>490</v>
      </c>
      <c r="I190" t="s">
        <v>489</v>
      </c>
      <c r="J190" s="2">
        <f>IF(COUNT('Turns'!D521,'Turns'!D537,'Turns'!D552,'Turns'!D564,'Turns'!D580,'Turns'!D595)=6,SUM('Turns'!D521,'Turns'!D537,'Turns'!D552,'Turns'!D564,'Turns'!D580,'Turns'!D595),"Unknown")</f>
        <v>18.0</v>
      </c>
      <c r="K190" s="2">
        <f>IF(COUNT('Turns'!E521,'Turns'!E537,'Turns'!E552,'Turns'!E564,'Turns'!E580,'Turns'!E595)=6,SUM('Turns'!E521,'Turns'!E537,'Turns'!E552,'Turns'!E564,'Turns'!E580,'Turns'!E595),"Unknown")</f>
        <v>3.15486e-06</v>
      </c>
      <c r="L190" s="2">
        <f>IF(COUNT('Turns'!F521,'Turns'!F537,'Turns'!F552,'Turns'!F564,'Turns'!F580,'Turns'!F595)=6,SUM('Turns'!F521,'Turns'!F537,'Turns'!F552,'Turns'!F564,'Turns'!F580,'Turns'!F595),"Unknown")</f>
        <v>3.6e-06</v>
      </c>
      <c r="M190" s="2">
        <f>IF(COUNT('Turns'!D520,'Turns'!D536,'Turns'!D551,'Turns'!D563,'Turns'!D579,'Turns'!D594)=6,SUM('Turns'!D520,'Turns'!D536,'Turns'!D551,'Turns'!D563,'Turns'!D579,'Turns'!D594),"Unknown")</f>
        <v>18723.0</v>
      </c>
      <c r="N190" s="2">
        <f>IF(COUNT('Turns'!E520,'Turns'!E536,'Turns'!E551,'Turns'!E563,'Turns'!E579,'Turns'!E594)=6,SUM('Turns'!E520,'Turns'!E536,'Turns'!E551,'Turns'!E563,'Turns'!E579,'Turns'!E594),"Unknown")</f>
        <v>0.000328158021</v>
      </c>
      <c r="O190" s="2">
        <f>IF(COUNT('Turns'!F520,'Turns'!F536,'Turns'!F551,'Turns'!F563,'Turns'!F579,'Turns'!F594)=6,SUM('Turns'!F520,'Turns'!F536,'Turns'!F551,'Turns'!F563,'Turns'!F579,'Turns'!F594),"Unknown")</f>
        <v>0.00037446</v>
      </c>
      <c r="P190" s="2">
        <f>IF(COUNT('Turns'!D523,'Turns'!D539,'Turns'!D553,'Turns'!D566,'Turns'!D582,'Turns'!D597)=6,SUM('Turns'!D523,'Turns'!D539,'Turns'!D553,'Turns'!D566,'Turns'!D582,'Turns'!D597),"Unknown")</f>
        <v>17340.0</v>
      </c>
      <c r="Q190" s="2">
        <f>IF(COUNT('Turns'!E523,'Turns'!E539,'Turns'!E553,'Turns'!E566,'Turns'!E582,'Turns'!E597)=6,SUM('Turns'!E523,'Turns'!E539,'Turns'!E553,'Turns'!E566,'Turns'!E582,'Turns'!E597),"Unknown")</f>
        <v>0.00379897725</v>
      </c>
      <c r="R190" s="2">
        <f>IF(COUNT('Turns'!F523,'Turns'!F539,'Turns'!F553,'Turns'!F566,'Turns'!F582,'Turns'!F597)=6,SUM('Turns'!F523,'Turns'!F539,'Turns'!F553,'Turns'!F566,'Turns'!F582,'Turns'!F597),"Unknown")</f>
        <v>0.004335</v>
      </c>
      <c r="S190" s="2">
        <f>IF(COUNT('Turns'!D527,'Turns'!D542,'Turns'!D557,'Turns'!D570,'Turns'!D585,'Turns'!D601)=6,SUM('Turns'!D527,'Turns'!D542,'Turns'!D557,'Turns'!D570,'Turns'!D585,'Turns'!D601),"Unknown")</f>
        <v>1429.0</v>
      </c>
      <c r="T190" s="2">
        <f>IF(COUNT('Turns'!E527,'Turns'!E542,'Turns'!E557,'Turns'!E570,'Turns'!E585,'Turns'!E601)=6,SUM('Turns'!E527,'Turns'!E542,'Turns'!E557,'Turns'!E570,'Turns'!E585,'Turns'!E601),"Unknown")</f>
        <v>0.00150276498</v>
      </c>
      <c r="U190" s="2">
        <f>IF(COUNT('Turns'!F527,'Turns'!F542,'Turns'!F557,'Turns'!F570,'Turns'!F585,'Turns'!F601)=6,SUM('Turns'!F527,'Turns'!F542,'Turns'!F557,'Turns'!F570,'Turns'!F585,'Turns'!F601),"Unknown")</f>
        <v>0.0017148</v>
      </c>
      <c r="V190" s="2">
        <f>IF(COUNT('Turns'!D526,'Turns'!D556,'Turns'!D569,'Turns'!D600)=4,SUM('Turns'!D526,'Turns'!D556,'Turns'!D569,'Turns'!D600),"Unknown")</f>
        <v>471.0</v>
      </c>
      <c r="W190" s="2">
        <f>IF(COUNT('Turns'!E526,'Turns'!E556,'Turns'!E569,'Turns'!E600)=4,SUM('Turns'!E526,'Turns'!E556,'Turns'!E569,'Turns'!E600),"Unknown")</f>
        <v>0.00049531302</v>
      </c>
      <c r="X190" s="2">
        <f>IF(COUNT('Turns'!F526,'Turns'!F556,'Turns'!F569,'Turns'!F600)=4,SUM('Turns'!F526,'Turns'!F556,'Turns'!F569,'Turns'!F600),"Unknown")</f>
        <v>0.0005652</v>
      </c>
      <c r="Y190" s="2">
        <f>IF(COUNT('Turns'!E531,'Turns'!E546,'Turns'!E561,'Turns'!E574,'Turns'!E589,'Turns'!E605)=6,SUM('Turns'!E531,'Turns'!E546,'Turns'!E561,'Turns'!E574,'Turns'!E589,'Turns'!E605),"Unknown")</f>
        <v>0.006128368131</v>
      </c>
      <c r="Z190" s="2">
        <f>IF(COUNT('Turns'!F531,'Turns'!F546,'Turns'!F561,'Turns'!F574,'Turns'!F589,'Turns'!F605)=6,SUM('Turns'!F531,'Turns'!F546,'Turns'!F561,'Turns'!F574,'Turns'!F589,'Turns'!F605),"Unknown")</f>
        <v>0.00699306</v>
      </c>
      <c r="AA190" s="5">
        <f>IF(ISNUMBER(Y190),ROUND(Y190*'Reference data'!$B$2,0),"Unknown")</f>
        <v>613.0</v>
      </c>
      <c r="AB190" s="5">
        <f>IF(ISNUMBER(Z190),ROUND(Z190*'Reference data'!$B$2,0),"Unknown")</f>
        <v>699.0</v>
      </c>
      <c r="AD190" s="1">
        <v>24884.774</v>
      </c>
      <c r="AE190" s="1" t="s">
        <v>318</v>
      </c>
    </row>
    <row r="191" spans="1:31" ht="54" customHeight="1">
      <c r="A191" s="6" t="s">
        <v>328</v>
      </c>
      <c r="B191" s="1">
        <v>4</v>
      </c>
      <c r="C191" s="1" t="s">
        <v>316</v>
      </c>
      <c r="D191" s="1" t="s">
        <v>47</v>
      </c>
      <c r="E191" s="1" t="s">
        <v>111</v>
      </c>
      <c r="G191" s="6" t="s">
        <v>329</v>
      </c>
      <c r="H191" t="s">
        <v>491</v>
      </c>
      <c r="I191" t="s">
        <v>490</v>
      </c>
      <c r="AD191" s="1">
        <v>1.786</v>
      </c>
      <c r="AE191" s="1" t="s">
        <v>331</v>
      </c>
    </row>
    <row r="192" spans="1:31" ht="54" customHeight="1">
      <c r="A192" s="6" t="s">
        <v>332</v>
      </c>
      <c r="B192" s="1">
        <v>4</v>
      </c>
      <c r="C192" s="1" t="s">
        <v>316</v>
      </c>
      <c r="D192" s="1" t="s">
        <v>47</v>
      </c>
      <c r="E192" s="1" t="s">
        <v>111</v>
      </c>
      <c r="G192" s="6" t="s">
        <v>333</v>
      </c>
      <c r="H192" t="s">
        <v>492</v>
      </c>
      <c r="I192" t="s">
        <v>490</v>
      </c>
      <c r="J192" s="2">
        <f>IF(COUNT('Turns'!D521)=1,SUM('Turns'!D521),"Unknown")</f>
        <v>3.0</v>
      </c>
      <c r="K192" s="2">
        <f>IF(COUNT('Turns'!E521)=1,SUM('Turns'!E521),"Unknown")</f>
        <v>5.2581e-07</v>
      </c>
      <c r="L192" s="2">
        <f>IF(COUNT('Turns'!F521)=1,SUM('Turns'!F521),"Unknown")</f>
        <v>6e-07</v>
      </c>
      <c r="M192" s="2">
        <f>IF(COUNT('Turns'!D520)=1,SUM('Turns'!D520),"Unknown")</f>
        <v>0.0</v>
      </c>
      <c r="N192" s="2">
        <f>IF(COUNT('Turns'!E520)=1,SUM('Turns'!E520),"Unknown")</f>
        <v>0.0</v>
      </c>
      <c r="O192" s="2">
        <f>IF(COUNT('Turns'!F520)=1,SUM('Turns'!F520),"Unknown")</f>
        <v>0.0</v>
      </c>
      <c r="P192" s="2">
        <f>IF(COUNT('Turns'!D523)=1,SUM('Turns'!D523),"Unknown")</f>
        <v>7512.0</v>
      </c>
      <c r="Q192" s="2">
        <f>IF(COUNT('Turns'!E523)=1,SUM('Turns'!E523),"Unknown")</f>
        <v>0.0016457853</v>
      </c>
      <c r="R192" s="2">
        <f>IF(COUNT('Turns'!F523)=1,SUM('Turns'!F523),"Unknown")</f>
        <v>0.001878</v>
      </c>
      <c r="S192" s="2">
        <f>IF(COUNT('Turns'!D527)=1,SUM('Turns'!D527),"Unknown")</f>
        <v>183.0</v>
      </c>
      <c r="T192" s="2">
        <f>IF(COUNT('Turns'!E527)=1,SUM('Turns'!E527),"Unknown")</f>
        <v>0.00019244646</v>
      </c>
      <c r="U192" s="2">
        <f>IF(COUNT('Turns'!F527)=1,SUM('Turns'!F527),"Unknown")</f>
        <v>0.0002196</v>
      </c>
      <c r="V192" s="2">
        <f>IF(COUNT('Turns'!D526)=1,SUM('Turns'!D526),"Unknown")</f>
        <v>92.0</v>
      </c>
      <c r="W192" s="2">
        <f>IF(COUNT('Turns'!E526)=1,SUM('Turns'!E526),"Unknown")</f>
        <v>9.674904e-05</v>
      </c>
      <c r="X192" s="2">
        <f>IF(COUNT('Turns'!F526)=1,SUM('Turns'!F526),"Unknown")</f>
        <v>0.0001104</v>
      </c>
      <c r="Y192" s="2">
        <f>IF(COUNT('Turns'!E531)=1,SUM('Turns'!E531),"Unknown")</f>
        <v>0.00193550661</v>
      </c>
      <c r="Z192" s="2">
        <f>IF(COUNT('Turns'!F531)=1,SUM('Turns'!F531),"Unknown")</f>
        <v>0.0022086</v>
      </c>
      <c r="AA192" s="5">
        <f>IF(ISNUMBER(Y192),ROUND(Y192*'Reference data'!$B$2,0),"Unknown")</f>
        <v>194.0</v>
      </c>
      <c r="AB192" s="5">
        <f>IF(ISNUMBER(Z192),ROUND(Z192*'Reference data'!$B$2,0),"Unknown")</f>
        <v>221.0</v>
      </c>
      <c r="AD192" s="1">
        <v>3633.197</v>
      </c>
      <c r="AE192" s="1" t="s">
        <v>318</v>
      </c>
    </row>
    <row r="193" spans="1:31" ht="54" customHeight="1">
      <c r="A193" s="6" t="s">
        <v>335</v>
      </c>
      <c r="B193" s="1">
        <v>5</v>
      </c>
      <c r="C193" s="1" t="s">
        <v>336</v>
      </c>
      <c r="D193" s="1" t="s">
        <v>95</v>
      </c>
      <c r="E193" s="1" t="s">
        <v>111</v>
      </c>
      <c r="F193" s="1">
        <v>7515</v>
      </c>
      <c r="G193" s="6" t="s">
        <v>337</v>
      </c>
      <c r="H193" t="s">
        <v>289</v>
      </c>
      <c r="I193" t="s">
        <v>492</v>
      </c>
      <c r="J193" s="2">
        <f>IF(COUNT('Turns'!D521)=1,SUM('Turns'!D521),"Unknown")</f>
        <v>3.0</v>
      </c>
      <c r="K193" s="2">
        <f>IF(COUNT('Turns'!E521)=1,SUM('Turns'!E521),"Unknown")</f>
        <v>5.2581e-07</v>
      </c>
      <c r="L193" s="2">
        <f>IF(COUNT('Turns'!F521)=1,SUM('Turns'!F521),"Unknown")</f>
        <v>6e-07</v>
      </c>
      <c r="M193" s="2">
        <f>IF(COUNT('Turns'!D520)=1,SUM('Turns'!D520),"Unknown")</f>
        <v>0.0</v>
      </c>
      <c r="N193" s="2">
        <f>IF(COUNT('Turns'!E520)=1,SUM('Turns'!E520),"Unknown")</f>
        <v>0.0</v>
      </c>
      <c r="O193" s="2">
        <f>IF(COUNT('Turns'!F520)=1,SUM('Turns'!F520),"Unknown")</f>
        <v>0.0</v>
      </c>
      <c r="P193" s="2">
        <f>IF(COUNT('Turns'!D523)=1,SUM('Turns'!D523),"Unknown")</f>
        <v>7512.0</v>
      </c>
      <c r="Q193" s="2">
        <f>IF(COUNT('Turns'!E523)=1,SUM('Turns'!E523),"Unknown")</f>
        <v>0.0016457853</v>
      </c>
      <c r="R193" s="2">
        <f>IF(COUNT('Turns'!F523)=1,SUM('Turns'!F523),"Unknown")</f>
        <v>0.001878</v>
      </c>
      <c r="S193" s="2">
        <f>IF(COUNT('Turns'!D527)=1,SUM('Turns'!D527),"Unknown")</f>
        <v>183.0</v>
      </c>
      <c r="T193" s="2">
        <f>IF(COUNT('Turns'!E527)=1,SUM('Turns'!E527),"Unknown")</f>
        <v>0.00019244646</v>
      </c>
      <c r="U193" s="2">
        <f>IF(COUNT('Turns'!F527)=1,SUM('Turns'!F527),"Unknown")</f>
        <v>0.0002196</v>
      </c>
      <c r="V193" s="2">
        <f>IF(COUNT('Turns'!D526)=1,SUM('Turns'!D526),"Unknown")</f>
        <v>92.0</v>
      </c>
      <c r="W193" s="2">
        <f>IF(COUNT('Turns'!E526)=1,SUM('Turns'!E526),"Unknown")</f>
        <v>9.674904e-05</v>
      </c>
      <c r="X193" s="2">
        <f>IF(COUNT('Turns'!F526)=1,SUM('Turns'!F526),"Unknown")</f>
        <v>0.0001104</v>
      </c>
      <c r="Y193" s="2">
        <f>IF(COUNT('Turns'!E531)=1,SUM('Turns'!E531),"Unknown")</f>
        <v>0.00193550661</v>
      </c>
      <c r="Z193" s="2">
        <f>IF(COUNT('Turns'!F531)=1,SUM('Turns'!F531),"Unknown")</f>
        <v>0.0022086</v>
      </c>
      <c r="AA193" s="5">
        <f>IF(ISNUMBER(Y193),ROUND(Y193*'Reference data'!$B$2,0),"Unknown")</f>
        <v>194.0</v>
      </c>
      <c r="AB193" s="5">
        <f>IF(ISNUMBER(Z193),ROUND(Z193*'Reference data'!$B$2,0),"Unknown")</f>
        <v>221.0</v>
      </c>
      <c r="AC193" s="1" t="s">
        <v>288</v>
      </c>
      <c r="AD193" s="1">
        <v>3626.487</v>
      </c>
      <c r="AE193" s="1" t="s">
        <v>338</v>
      </c>
    </row>
    <row r="194" spans="1:31" ht="54" customHeight="1">
      <c r="A194" s="6" t="s">
        <v>339</v>
      </c>
      <c r="B194" s="1">
        <v>4</v>
      </c>
      <c r="C194" s="1" t="s">
        <v>316</v>
      </c>
      <c r="D194" s="1" t="s">
        <v>47</v>
      </c>
      <c r="E194" s="1" t="s">
        <v>111</v>
      </c>
      <c r="G194" s="6" t="s">
        <v>340</v>
      </c>
      <c r="H194" t="s">
        <v>493</v>
      </c>
      <c r="I194" t="s">
        <v>490</v>
      </c>
      <c r="AD194" s="1">
        <v>5.556</v>
      </c>
      <c r="AE194" s="1" t="s">
        <v>331</v>
      </c>
    </row>
    <row r="195" spans="1:31" ht="54" customHeight="1">
      <c r="A195" s="6" t="s">
        <v>396</v>
      </c>
      <c r="B195" s="1">
        <v>5</v>
      </c>
      <c r="C195" s="1" t="s">
        <v>343</v>
      </c>
      <c r="D195" s="1" t="s">
        <v>47</v>
      </c>
      <c r="E195" s="1" t="s">
        <v>111</v>
      </c>
      <c r="G195" s="6" t="s">
        <v>397</v>
      </c>
      <c r="H195" t="s">
        <v>292</v>
      </c>
      <c r="I195" t="s">
        <v>493</v>
      </c>
      <c r="AD195" s="1">
        <v>3.012</v>
      </c>
      <c r="AE195" s="1" t="s">
        <v>331</v>
      </c>
    </row>
    <row r="196" spans="1:31" ht="54" customHeight="1">
      <c r="A196" s="6" t="s">
        <v>328</v>
      </c>
      <c r="B196" s="1">
        <v>4</v>
      </c>
      <c r="C196" s="1" t="s">
        <v>316</v>
      </c>
      <c r="D196" s="1" t="s">
        <v>47</v>
      </c>
      <c r="E196" s="1" t="s">
        <v>111</v>
      </c>
      <c r="G196" s="6" t="s">
        <v>329</v>
      </c>
      <c r="H196" t="s">
        <v>494</v>
      </c>
      <c r="I196" t="s">
        <v>490</v>
      </c>
      <c r="AD196" s="1">
        <v>2.136</v>
      </c>
      <c r="AE196" s="1" t="s">
        <v>331</v>
      </c>
    </row>
    <row r="197" spans="1:31" ht="54" customHeight="1">
      <c r="A197" s="6" t="s">
        <v>332</v>
      </c>
      <c r="B197" s="1">
        <v>4</v>
      </c>
      <c r="C197" s="1" t="s">
        <v>316</v>
      </c>
      <c r="D197" s="1" t="s">
        <v>47</v>
      </c>
      <c r="E197" s="1" t="s">
        <v>111</v>
      </c>
      <c r="G197" s="6" t="s">
        <v>333</v>
      </c>
      <c r="H197" t="s">
        <v>495</v>
      </c>
      <c r="I197" t="s">
        <v>490</v>
      </c>
      <c r="J197" s="2">
        <f>IF(COUNT('Turns'!D537)=1,SUM('Turns'!D537),"Unknown")</f>
        <v>3.0</v>
      </c>
      <c r="K197" s="2">
        <f>IF(COUNT('Turns'!E537)=1,SUM('Turns'!E537),"Unknown")</f>
        <v>5.2581e-07</v>
      </c>
      <c r="L197" s="2">
        <f>IF(COUNT('Turns'!F537)=1,SUM('Turns'!F537),"Unknown")</f>
        <v>6e-07</v>
      </c>
      <c r="M197" s="2">
        <f>IF(COUNT('Turns'!D536)=1,SUM('Turns'!D536),"Unknown")</f>
        <v>7512.0</v>
      </c>
      <c r="N197" s="2">
        <f>IF(COUNT('Turns'!E536)=1,SUM('Turns'!E536),"Unknown")</f>
        <v>0.000131662824</v>
      </c>
      <c r="O197" s="2">
        <f>IF(COUNT('Turns'!F536)=1,SUM('Turns'!F536),"Unknown")</f>
        <v>0.00015024</v>
      </c>
      <c r="P197" s="2">
        <f>IF(COUNT('Turns'!D539)=1,SUM('Turns'!D539),"Unknown")</f>
        <v>300.0</v>
      </c>
      <c r="Q197" s="2">
        <f>IF(COUNT('Turns'!E539)=1,SUM('Turns'!E539),"Unknown")</f>
        <v>6.572625e-05</v>
      </c>
      <c r="R197" s="2">
        <f>IF(COUNT('Turns'!F539)=1,SUM('Turns'!F539),"Unknown")</f>
        <v>7.5e-05</v>
      </c>
      <c r="S197" s="2">
        <f>IF(COUNT('Turns'!D542)=1,SUM('Turns'!D542),"Unknown")</f>
        <v>29.0</v>
      </c>
      <c r="T197" s="2">
        <f>IF(COUNT('Turns'!E542)=1,SUM('Turns'!E542),"Unknown")</f>
        <v>3.049698e-05</v>
      </c>
      <c r="U197" s="2">
        <f>IF(COUNT('Turns'!F542)=1,SUM('Turns'!F542),"Unknown")</f>
        <v>3.48e-05</v>
      </c>
      <c r="V197" s="2">
        <v>0</v>
      </c>
      <c r="W197" s="2">
        <v>0</v>
      </c>
      <c r="X197" s="2">
        <v>0</v>
      </c>
      <c r="Y197" s="2">
        <f>IF(COUNT('Turns'!E546)=1,SUM('Turns'!E546),"Unknown")</f>
        <v>0.000228411864</v>
      </c>
      <c r="Z197" s="2">
        <f>IF(COUNT('Turns'!F546)=1,SUM('Turns'!F546),"Unknown")</f>
        <v>0.00026064</v>
      </c>
      <c r="AA197" s="5">
        <f>IF(ISNUMBER(Y197),ROUND(Y197*'Reference data'!$B$2,0),"Unknown")</f>
        <v>23.0</v>
      </c>
      <c r="AB197" s="5">
        <f>IF(ISNUMBER(Z197),ROUND(Z197*'Reference data'!$B$2,0),"Unknown")</f>
        <v>26.0</v>
      </c>
      <c r="AD197" s="1">
        <v>1789.958</v>
      </c>
      <c r="AE197" s="1" t="s">
        <v>318</v>
      </c>
    </row>
    <row r="198" spans="1:31" ht="54" customHeight="1">
      <c r="A198" s="6" t="s">
        <v>335</v>
      </c>
      <c r="B198" s="1">
        <v>5</v>
      </c>
      <c r="C198" s="1" t="s">
        <v>336</v>
      </c>
      <c r="D198" s="1" t="s">
        <v>95</v>
      </c>
      <c r="E198" s="1" t="s">
        <v>111</v>
      </c>
      <c r="F198" s="1">
        <v>7815</v>
      </c>
      <c r="G198" s="6" t="s">
        <v>337</v>
      </c>
      <c r="H198" t="s">
        <v>295</v>
      </c>
      <c r="I198" t="s">
        <v>495</v>
      </c>
      <c r="J198" s="2">
        <f>IF(COUNT('Turns'!D537)=1,SUM('Turns'!D537),"Unknown")</f>
        <v>3.0</v>
      </c>
      <c r="K198" s="2">
        <f>IF(COUNT('Turns'!E537)=1,SUM('Turns'!E537),"Unknown")</f>
        <v>5.2581e-07</v>
      </c>
      <c r="L198" s="2">
        <f>IF(COUNT('Turns'!F537)=1,SUM('Turns'!F537),"Unknown")</f>
        <v>6e-07</v>
      </c>
      <c r="M198" s="2">
        <f>IF(COUNT('Turns'!D536)=1,SUM('Turns'!D536),"Unknown")</f>
        <v>7512.0</v>
      </c>
      <c r="N198" s="2">
        <f>IF(COUNT('Turns'!E536)=1,SUM('Turns'!E536),"Unknown")</f>
        <v>0.000131662824</v>
      </c>
      <c r="O198" s="2">
        <f>IF(COUNT('Turns'!F536)=1,SUM('Turns'!F536),"Unknown")</f>
        <v>0.00015024</v>
      </c>
      <c r="P198" s="2">
        <f>IF(COUNT('Turns'!D539)=1,SUM('Turns'!D539),"Unknown")</f>
        <v>300.0</v>
      </c>
      <c r="Q198" s="2">
        <f>IF(COUNT('Turns'!E539)=1,SUM('Turns'!E539),"Unknown")</f>
        <v>6.572625e-05</v>
      </c>
      <c r="R198" s="2">
        <f>IF(COUNT('Turns'!F539)=1,SUM('Turns'!F539),"Unknown")</f>
        <v>7.5e-05</v>
      </c>
      <c r="S198" s="2">
        <f>IF(COUNT('Turns'!D542)=1,SUM('Turns'!D542),"Unknown")</f>
        <v>29.0</v>
      </c>
      <c r="T198" s="2">
        <f>IF(COUNT('Turns'!E542)=1,SUM('Turns'!E542),"Unknown")</f>
        <v>3.049698e-05</v>
      </c>
      <c r="U198" s="2">
        <f>IF(COUNT('Turns'!F542)=1,SUM('Turns'!F542),"Unknown")</f>
        <v>3.48e-05</v>
      </c>
      <c r="V198" s="2">
        <v>0</v>
      </c>
      <c r="W198" s="2">
        <v>0</v>
      </c>
      <c r="X198" s="2">
        <v>0</v>
      </c>
      <c r="Y198" s="2">
        <f>IF(COUNT('Turns'!E546)=1,SUM('Turns'!E546),"Unknown")</f>
        <v>0.000228411864</v>
      </c>
      <c r="Z198" s="2">
        <f>IF(COUNT('Turns'!F546)=1,SUM('Turns'!F546),"Unknown")</f>
        <v>0.00026064</v>
      </c>
      <c r="AA198" s="5">
        <f>IF(ISNUMBER(Y198),ROUND(Y198*'Reference data'!$B$2,0),"Unknown")</f>
        <v>23.0</v>
      </c>
      <c r="AB198" s="5">
        <f>IF(ISNUMBER(Z198),ROUND(Z198*'Reference data'!$B$2,0),"Unknown")</f>
        <v>26.0</v>
      </c>
      <c r="AC198" s="1" t="s">
        <v>294</v>
      </c>
      <c r="AD198" s="1">
        <v>1781.708</v>
      </c>
      <c r="AE198" s="1" t="s">
        <v>338</v>
      </c>
    </row>
    <row r="199" spans="1:31" ht="54" customHeight="1">
      <c r="A199" s="6" t="s">
        <v>339</v>
      </c>
      <c r="B199" s="1">
        <v>4</v>
      </c>
      <c r="C199" s="1" t="s">
        <v>316</v>
      </c>
      <c r="D199" s="1" t="s">
        <v>47</v>
      </c>
      <c r="E199" s="1" t="s">
        <v>111</v>
      </c>
      <c r="G199" s="6" t="s">
        <v>340</v>
      </c>
      <c r="H199" t="s">
        <v>496</v>
      </c>
      <c r="I199" t="s">
        <v>490</v>
      </c>
      <c r="AD199" s="1">
        <v>6.519</v>
      </c>
      <c r="AE199" s="1" t="s">
        <v>331</v>
      </c>
    </row>
    <row r="200" spans="1:31" ht="54" customHeight="1">
      <c r="A200" s="6" t="s">
        <v>342</v>
      </c>
      <c r="B200" s="1">
        <v>5</v>
      </c>
      <c r="C200" s="1" t="s">
        <v>343</v>
      </c>
      <c r="D200" s="1" t="s">
        <v>47</v>
      </c>
      <c r="E200" s="1" t="s">
        <v>111</v>
      </c>
      <c r="G200" s="6" t="s">
        <v>344</v>
      </c>
      <c r="H200" t="s">
        <v>297</v>
      </c>
      <c r="I200" t="s">
        <v>496</v>
      </c>
      <c r="AD200" s="1">
        <v>3.833</v>
      </c>
      <c r="AE200" s="1" t="s">
        <v>331</v>
      </c>
    </row>
    <row r="201" spans="1:31" ht="54" customHeight="1">
      <c r="A201" s="6" t="s">
        <v>328</v>
      </c>
      <c r="B201" s="1">
        <v>4</v>
      </c>
      <c r="C201" s="1" t="s">
        <v>316</v>
      </c>
      <c r="D201" s="1" t="s">
        <v>47</v>
      </c>
      <c r="E201" s="1" t="s">
        <v>111</v>
      </c>
      <c r="G201" s="6" t="s">
        <v>497</v>
      </c>
      <c r="H201" t="s">
        <v>498</v>
      </c>
      <c r="I201" t="s">
        <v>490</v>
      </c>
      <c r="J201" s="2">
        <f>IF(COUNT('Turns'!D552)=1,SUM('Turns'!D552),"Unknown")</f>
        <v>3.0</v>
      </c>
      <c r="K201" s="2">
        <f>IF(COUNT('Turns'!E552)=1,SUM('Turns'!E552),"Unknown")</f>
        <v>5.2581e-07</v>
      </c>
      <c r="L201" s="2">
        <f>IF(COUNT('Turns'!F552)=1,SUM('Turns'!F552),"Unknown")</f>
        <v>6e-07</v>
      </c>
      <c r="M201" s="2">
        <f>IF(COUNT('Turns'!D551)=1,SUM('Turns'!D551),"Unknown")</f>
        <v>0.0</v>
      </c>
      <c r="N201" s="2">
        <f>IF(COUNT('Turns'!E551)=1,SUM('Turns'!E551),"Unknown")</f>
        <v>0.0</v>
      </c>
      <c r="O201" s="2">
        <f>IF(COUNT('Turns'!F551)=1,SUM('Turns'!F551),"Unknown")</f>
        <v>0.0</v>
      </c>
      <c r="P201" s="2">
        <f>IF(COUNT('Turns'!D553)=1,SUM('Turns'!D553),"Unknown")</f>
        <v>5844.0</v>
      </c>
      <c r="Q201" s="2">
        <f>IF(COUNT('Turns'!E553)=1,SUM('Turns'!E553),"Unknown")</f>
        <v>0.00128034735</v>
      </c>
      <c r="R201" s="2">
        <f>IF(COUNT('Turns'!F553)=1,SUM('Turns'!F553),"Unknown")</f>
        <v>0.001461</v>
      </c>
      <c r="S201" s="2">
        <f>IF(COUNT('Turns'!D557)=1,SUM('Turns'!D557),"Unknown")</f>
        <v>754.0</v>
      </c>
      <c r="T201" s="2">
        <f>IF(COUNT('Turns'!E557)=1,SUM('Turns'!E557),"Unknown")</f>
        <v>0.00079292148</v>
      </c>
      <c r="U201" s="2">
        <f>IF(COUNT('Turns'!F557)=1,SUM('Turns'!F557),"Unknown")</f>
        <v>0.0009048</v>
      </c>
      <c r="V201" s="2">
        <f>IF(COUNT('Turns'!D556)=1,SUM('Turns'!D556),"Unknown")</f>
        <v>235.0</v>
      </c>
      <c r="W201" s="2">
        <f>IF(COUNT('Turns'!E556)=1,SUM('Turns'!E556),"Unknown")</f>
        <v>0.0002471307</v>
      </c>
      <c r="X201" s="2">
        <f>IF(COUNT('Turns'!F556)=1,SUM('Turns'!F556),"Unknown")</f>
        <v>0.000282</v>
      </c>
      <c r="Y201" s="2">
        <f>IF(COUNT('Turns'!E561)=1,SUM('Turns'!E561),"Unknown")</f>
        <v>0.00232092534</v>
      </c>
      <c r="Z201" s="2">
        <f>IF(COUNT('Turns'!F561)=1,SUM('Turns'!F561),"Unknown")</f>
        <v>0.0026484</v>
      </c>
      <c r="AA201" s="5">
        <f>IF(ISNUMBER(Y201),ROUND(Y201*'Reference data'!$B$2,0),"Unknown")</f>
        <v>232.0</v>
      </c>
      <c r="AB201" s="5">
        <f>IF(ISNUMBER(Z201),ROUND(Z201*'Reference data'!$B$2,0),"Unknown")</f>
        <v>265.0</v>
      </c>
      <c r="AD201" s="1">
        <v>11044.718</v>
      </c>
      <c r="AE201" s="1" t="s">
        <v>318</v>
      </c>
    </row>
    <row r="202" spans="1:31" ht="54" customHeight="1">
      <c r="A202" s="6" t="s">
        <v>403</v>
      </c>
      <c r="B202" s="1">
        <v>5</v>
      </c>
      <c r="C202" s="1" t="s">
        <v>316</v>
      </c>
      <c r="D202" s="1" t="s">
        <v>47</v>
      </c>
      <c r="E202" s="1" t="s">
        <v>111</v>
      </c>
      <c r="G202" s="6" t="s">
        <v>404</v>
      </c>
      <c r="H202" t="s">
        <v>499</v>
      </c>
      <c r="I202" t="s">
        <v>498</v>
      </c>
      <c r="J202" s="2">
        <f>IF(COUNT('Turns'!D552)=1,SUM('Turns'!D552),"Unknown")</f>
        <v>3.0</v>
      </c>
      <c r="K202" s="2">
        <f>IF(COUNT('Turns'!E552)=1,SUM('Turns'!E552),"Unknown")</f>
        <v>5.2581e-07</v>
      </c>
      <c r="L202" s="2">
        <f>IF(COUNT('Turns'!F552)=1,SUM('Turns'!F552),"Unknown")</f>
        <v>6e-07</v>
      </c>
      <c r="M202" s="2">
        <f>IF(COUNT('Turns'!D551)=1,SUM('Turns'!D551),"Unknown")</f>
        <v>0.0</v>
      </c>
      <c r="N202" s="2">
        <f>IF(COUNT('Turns'!E551)=1,SUM('Turns'!E551),"Unknown")</f>
        <v>0.0</v>
      </c>
      <c r="O202" s="2">
        <f>IF(COUNT('Turns'!F551)=1,SUM('Turns'!F551),"Unknown")</f>
        <v>0.0</v>
      </c>
      <c r="P202" s="2">
        <f>IF(COUNT('Turns'!D553)=1,SUM('Turns'!D553),"Unknown")</f>
        <v>5844.0</v>
      </c>
      <c r="Q202" s="2">
        <f>IF(COUNT('Turns'!E553)=1,SUM('Turns'!E553),"Unknown")</f>
        <v>0.00128034735</v>
      </c>
      <c r="R202" s="2">
        <f>IF(COUNT('Turns'!F553)=1,SUM('Turns'!F553),"Unknown")</f>
        <v>0.001461</v>
      </c>
      <c r="S202" s="2">
        <f>IF(COUNT('Turns'!D557)=1,SUM('Turns'!D557),"Unknown")</f>
        <v>754.0</v>
      </c>
      <c r="T202" s="2">
        <f>IF(COUNT('Turns'!E557)=1,SUM('Turns'!E557),"Unknown")</f>
        <v>0.00079292148</v>
      </c>
      <c r="U202" s="2">
        <f>IF(COUNT('Turns'!F557)=1,SUM('Turns'!F557),"Unknown")</f>
        <v>0.0009048</v>
      </c>
      <c r="V202" s="2">
        <f>IF(COUNT('Turns'!D556)=1,SUM('Turns'!D556),"Unknown")</f>
        <v>235.0</v>
      </c>
      <c r="W202" s="2">
        <f>IF(COUNT('Turns'!E556)=1,SUM('Turns'!E556),"Unknown")</f>
        <v>0.0002471307</v>
      </c>
      <c r="X202" s="2">
        <f>IF(COUNT('Turns'!F556)=1,SUM('Turns'!F556),"Unknown")</f>
        <v>0.000282</v>
      </c>
      <c r="Y202" s="2">
        <f>IF(COUNT('Turns'!E561)=1,SUM('Turns'!E561),"Unknown")</f>
        <v>0.00232092534</v>
      </c>
      <c r="Z202" s="2">
        <f>IF(COUNT('Turns'!F561)=1,SUM('Turns'!F561),"Unknown")</f>
        <v>0.0026484</v>
      </c>
      <c r="AA202" s="5">
        <f>IF(ISNUMBER(Y202),ROUND(Y202*'Reference data'!$B$2,0),"Unknown")</f>
        <v>232.0</v>
      </c>
      <c r="AB202" s="5">
        <f>IF(ISNUMBER(Z202),ROUND(Z202*'Reference data'!$B$2,0),"Unknown")</f>
        <v>265.0</v>
      </c>
      <c r="AD202" s="1">
        <v>11038.965</v>
      </c>
      <c r="AE202" s="1" t="s">
        <v>318</v>
      </c>
    </row>
    <row r="203" spans="1:31" ht="54" customHeight="1">
      <c r="A203" s="6" t="s">
        <v>406</v>
      </c>
      <c r="B203" s="1">
        <v>6</v>
      </c>
      <c r="C203" s="1" t="s">
        <v>336</v>
      </c>
      <c r="D203" s="1" t="s">
        <v>95</v>
      </c>
      <c r="E203" s="1" t="s">
        <v>111</v>
      </c>
      <c r="F203" s="1">
        <v>5847</v>
      </c>
      <c r="G203" s="6" t="s">
        <v>337</v>
      </c>
      <c r="H203" t="s">
        <v>300</v>
      </c>
      <c r="I203" t="s">
        <v>499</v>
      </c>
      <c r="J203" s="2">
        <f>IF(COUNT('Turns'!D552)=1,SUM('Turns'!D552),"Unknown")</f>
        <v>3.0</v>
      </c>
      <c r="K203" s="2">
        <f>IF(COUNT('Turns'!E552)=1,SUM('Turns'!E552),"Unknown")</f>
        <v>5.2581e-07</v>
      </c>
      <c r="L203" s="2">
        <f>IF(COUNT('Turns'!F552)=1,SUM('Turns'!F552),"Unknown")</f>
        <v>6e-07</v>
      </c>
      <c r="M203" s="2">
        <f>IF(COUNT('Turns'!D551)=1,SUM('Turns'!D551),"Unknown")</f>
        <v>0.0</v>
      </c>
      <c r="N203" s="2">
        <f>IF(COUNT('Turns'!E551)=1,SUM('Turns'!E551),"Unknown")</f>
        <v>0.0</v>
      </c>
      <c r="O203" s="2">
        <f>IF(COUNT('Turns'!F551)=1,SUM('Turns'!F551),"Unknown")</f>
        <v>0.0</v>
      </c>
      <c r="P203" s="2">
        <f>IF(COUNT('Turns'!D553)=1,SUM('Turns'!D553),"Unknown")</f>
        <v>5844.0</v>
      </c>
      <c r="Q203" s="2">
        <f>IF(COUNT('Turns'!E553)=1,SUM('Turns'!E553),"Unknown")</f>
        <v>0.00128034735</v>
      </c>
      <c r="R203" s="2">
        <f>IF(COUNT('Turns'!F553)=1,SUM('Turns'!F553),"Unknown")</f>
        <v>0.001461</v>
      </c>
      <c r="S203" s="2">
        <f>IF(COUNT('Turns'!D557)=1,SUM('Turns'!D557),"Unknown")</f>
        <v>754.0</v>
      </c>
      <c r="T203" s="2">
        <f>IF(COUNT('Turns'!E557)=1,SUM('Turns'!E557),"Unknown")</f>
        <v>0.00079292148</v>
      </c>
      <c r="U203" s="2">
        <f>IF(COUNT('Turns'!F557)=1,SUM('Turns'!F557),"Unknown")</f>
        <v>0.0009048</v>
      </c>
      <c r="V203" s="2">
        <f>IF(COUNT('Turns'!D556)=1,SUM('Turns'!D556),"Unknown")</f>
        <v>235.0</v>
      </c>
      <c r="W203" s="2">
        <f>IF(COUNT('Turns'!E556)=1,SUM('Turns'!E556),"Unknown")</f>
        <v>0.0002471307</v>
      </c>
      <c r="X203" s="2">
        <f>IF(COUNT('Turns'!F556)=1,SUM('Turns'!F556),"Unknown")</f>
        <v>0.000282</v>
      </c>
      <c r="Y203" s="2">
        <f>IF(COUNT('Turns'!E561)=1,SUM('Turns'!E561),"Unknown")</f>
        <v>0.00232092534</v>
      </c>
      <c r="Z203" s="2">
        <f>IF(COUNT('Turns'!F561)=1,SUM('Turns'!F561),"Unknown")</f>
        <v>0.0026484</v>
      </c>
      <c r="AA203" s="5">
        <f>IF(ISNUMBER(Y203),ROUND(Y203*'Reference data'!$B$2,0),"Unknown")</f>
        <v>232.0</v>
      </c>
      <c r="AB203" s="5">
        <f>IF(ISNUMBER(Z203),ROUND(Z203*'Reference data'!$B$2,0),"Unknown")</f>
        <v>265.0</v>
      </c>
      <c r="AC203" s="1" t="s">
        <v>299</v>
      </c>
      <c r="AD203" s="1">
        <v>11036.644</v>
      </c>
      <c r="AE203" s="1" t="s">
        <v>338</v>
      </c>
    </row>
    <row r="204" spans="1:31" ht="54" customHeight="1">
      <c r="A204" s="6" t="s">
        <v>332</v>
      </c>
      <c r="B204" s="1">
        <v>4</v>
      </c>
      <c r="C204" s="1" t="s">
        <v>316</v>
      </c>
      <c r="D204" s="1" t="s">
        <v>47</v>
      </c>
      <c r="E204" s="1" t="s">
        <v>111</v>
      </c>
      <c r="G204" s="6" t="s">
        <v>333</v>
      </c>
      <c r="H204" t="s">
        <v>500</v>
      </c>
      <c r="I204" t="s">
        <v>490</v>
      </c>
      <c r="J204" s="2">
        <f>IF(COUNT('Turns'!D564)=1,SUM('Turns'!D564),"Unknown")</f>
        <v>3.0</v>
      </c>
      <c r="K204" s="2">
        <f>IF(COUNT('Turns'!E564)=1,SUM('Turns'!E564),"Unknown")</f>
        <v>5.2581e-07</v>
      </c>
      <c r="L204" s="2">
        <f>IF(COUNT('Turns'!F564)=1,SUM('Turns'!F564),"Unknown")</f>
        <v>6e-07</v>
      </c>
      <c r="M204" s="2">
        <f>IF(COUNT('Turns'!D563)=1,SUM('Turns'!D563),"Unknown")</f>
        <v>2291.0</v>
      </c>
      <c r="N204" s="2">
        <f>IF(COUNT('Turns'!E563)=1,SUM('Turns'!E563),"Unknown")</f>
        <v>4.0154357e-05</v>
      </c>
      <c r="O204" s="2">
        <f>IF(COUNT('Turns'!F563)=1,SUM('Turns'!F563),"Unknown")</f>
        <v>4.582e-05</v>
      </c>
      <c r="P204" s="2">
        <f>IF(COUNT('Turns'!D566)=1,SUM('Turns'!D566),"Unknown")</f>
        <v>1933.0</v>
      </c>
      <c r="Q204" s="2">
        <f>IF(COUNT('Turns'!E566)=1,SUM('Turns'!E566),"Unknown")</f>
        <v>0.0004234961375</v>
      </c>
      <c r="R204" s="2">
        <f>IF(COUNT('Turns'!F566)=1,SUM('Turns'!F566),"Unknown")</f>
        <v>0.00048325</v>
      </c>
      <c r="S204" s="2">
        <f>IF(COUNT('Turns'!D570)=1,SUM('Turns'!D570),"Unknown")</f>
        <v>357.0</v>
      </c>
      <c r="T204" s="2">
        <f>IF(COUNT('Turns'!E570)=1,SUM('Turns'!E570),"Unknown")</f>
        <v>0.00037542834</v>
      </c>
      <c r="U204" s="2">
        <f>IF(COUNT('Turns'!F570)=1,SUM('Turns'!F570),"Unknown")</f>
        <v>0.0004284</v>
      </c>
      <c r="V204" s="2">
        <f>IF(COUNT('Turns'!D569)=1,SUM('Turns'!D569),"Unknown")</f>
        <v>90.0</v>
      </c>
      <c r="W204" s="2">
        <f>IF(COUNT('Turns'!E569)=1,SUM('Turns'!E569),"Unknown")</f>
        <v>9.46458e-05</v>
      </c>
      <c r="X204" s="2">
        <f>IF(COUNT('Turns'!F569)=1,SUM('Turns'!F569),"Unknown")</f>
        <v>0.000108</v>
      </c>
      <c r="Y204" s="2">
        <f>IF(COUNT('Turns'!E574)=1,SUM('Turns'!E574),"Unknown")</f>
        <v>0.0009342504445</v>
      </c>
      <c r="Z204" s="2">
        <f>IF(COUNT('Turns'!F574)=1,SUM('Turns'!F574),"Unknown")</f>
        <v>0.00106607</v>
      </c>
      <c r="AA204" s="5">
        <f>IF(ISNUMBER(Y204),ROUND(Y204*'Reference data'!$B$2,0),"Unknown")</f>
        <v>93.0</v>
      </c>
      <c r="AB204" s="5">
        <f>IF(ISNUMBER(Z204),ROUND(Z204*'Reference data'!$B$2,0),"Unknown")</f>
        <v>107.0</v>
      </c>
      <c r="AD204" s="1">
        <v>4209.038</v>
      </c>
      <c r="AE204" s="1" t="s">
        <v>318</v>
      </c>
    </row>
    <row r="205" spans="1:31" ht="54" customHeight="1">
      <c r="A205" s="6" t="s">
        <v>335</v>
      </c>
      <c r="B205" s="1">
        <v>5</v>
      </c>
      <c r="C205" s="1" t="s">
        <v>336</v>
      </c>
      <c r="D205" s="1" t="s">
        <v>95</v>
      </c>
      <c r="E205" s="1" t="s">
        <v>111</v>
      </c>
      <c r="F205" s="1">
        <v>4227</v>
      </c>
      <c r="G205" s="6" t="s">
        <v>337</v>
      </c>
      <c r="H205" t="s">
        <v>303</v>
      </c>
      <c r="I205" t="s">
        <v>500</v>
      </c>
      <c r="J205" s="2">
        <f>IF(COUNT('Turns'!D564)=1,SUM('Turns'!D564),"Unknown")</f>
        <v>3.0</v>
      </c>
      <c r="K205" s="2">
        <f>IF(COUNT('Turns'!E564)=1,SUM('Turns'!E564),"Unknown")</f>
        <v>5.2581e-07</v>
      </c>
      <c r="L205" s="2">
        <f>IF(COUNT('Turns'!F564)=1,SUM('Turns'!F564),"Unknown")</f>
        <v>6e-07</v>
      </c>
      <c r="M205" s="2">
        <f>IF(COUNT('Turns'!D563)=1,SUM('Turns'!D563),"Unknown")</f>
        <v>2291.0</v>
      </c>
      <c r="N205" s="2">
        <f>IF(COUNT('Turns'!E563)=1,SUM('Turns'!E563),"Unknown")</f>
        <v>4.0154357e-05</v>
      </c>
      <c r="O205" s="2">
        <f>IF(COUNT('Turns'!F563)=1,SUM('Turns'!F563),"Unknown")</f>
        <v>4.582e-05</v>
      </c>
      <c r="P205" s="2">
        <f>IF(COUNT('Turns'!D566)=1,SUM('Turns'!D566),"Unknown")</f>
        <v>1933.0</v>
      </c>
      <c r="Q205" s="2">
        <f>IF(COUNT('Turns'!E566)=1,SUM('Turns'!E566),"Unknown")</f>
        <v>0.0004234961375</v>
      </c>
      <c r="R205" s="2">
        <f>IF(COUNT('Turns'!F566)=1,SUM('Turns'!F566),"Unknown")</f>
        <v>0.00048325</v>
      </c>
      <c r="S205" s="2">
        <f>IF(COUNT('Turns'!D570)=1,SUM('Turns'!D570),"Unknown")</f>
        <v>357.0</v>
      </c>
      <c r="T205" s="2">
        <f>IF(COUNT('Turns'!E570)=1,SUM('Turns'!E570),"Unknown")</f>
        <v>0.00037542834</v>
      </c>
      <c r="U205" s="2">
        <f>IF(COUNT('Turns'!F570)=1,SUM('Turns'!F570),"Unknown")</f>
        <v>0.0004284</v>
      </c>
      <c r="V205" s="2">
        <f>IF(COUNT('Turns'!D569)=1,SUM('Turns'!D569),"Unknown")</f>
        <v>90.0</v>
      </c>
      <c r="W205" s="2">
        <f>IF(COUNT('Turns'!E569)=1,SUM('Turns'!E569),"Unknown")</f>
        <v>9.46458e-05</v>
      </c>
      <c r="X205" s="2">
        <f>IF(COUNT('Turns'!F569)=1,SUM('Turns'!F569),"Unknown")</f>
        <v>0.000108</v>
      </c>
      <c r="Y205" s="2">
        <f>IF(COUNT('Turns'!E574)=1,SUM('Turns'!E574),"Unknown")</f>
        <v>0.0009342504445</v>
      </c>
      <c r="Z205" s="2">
        <f>IF(COUNT('Turns'!F574)=1,SUM('Turns'!F574),"Unknown")</f>
        <v>0.00106607</v>
      </c>
      <c r="AA205" s="5">
        <f>IF(ISNUMBER(Y205),ROUND(Y205*'Reference data'!$B$2,0),"Unknown")</f>
        <v>93.0</v>
      </c>
      <c r="AB205" s="5">
        <f>IF(ISNUMBER(Z205),ROUND(Z205*'Reference data'!$B$2,0),"Unknown")</f>
        <v>107.0</v>
      </c>
      <c r="AC205" s="1" t="s">
        <v>302</v>
      </c>
      <c r="AD205" s="1">
        <v>4204.471</v>
      </c>
      <c r="AE205" s="1" t="s">
        <v>338</v>
      </c>
    </row>
    <row r="206" spans="1:31" ht="54" customHeight="1">
      <c r="A206" s="6" t="s">
        <v>339</v>
      </c>
      <c r="B206" s="1">
        <v>4</v>
      </c>
      <c r="C206" s="1" t="s">
        <v>316</v>
      </c>
      <c r="D206" s="1" t="s">
        <v>47</v>
      </c>
      <c r="E206" s="1" t="s">
        <v>111</v>
      </c>
      <c r="G206" s="6" t="s">
        <v>340</v>
      </c>
      <c r="H206" t="s">
        <v>501</v>
      </c>
      <c r="I206" t="s">
        <v>490</v>
      </c>
      <c r="AD206" s="1">
        <v>6.014</v>
      </c>
      <c r="AE206" s="1" t="s">
        <v>331</v>
      </c>
    </row>
    <row r="207" spans="1:31" ht="54" customHeight="1">
      <c r="A207" s="6" t="s">
        <v>396</v>
      </c>
      <c r="B207" s="1">
        <v>5</v>
      </c>
      <c r="C207" s="1" t="s">
        <v>343</v>
      </c>
      <c r="D207" s="1" t="s">
        <v>47</v>
      </c>
      <c r="E207" s="1" t="s">
        <v>111</v>
      </c>
      <c r="G207" s="6" t="s">
        <v>397</v>
      </c>
      <c r="H207" t="s">
        <v>305</v>
      </c>
      <c r="I207" t="s">
        <v>501</v>
      </c>
      <c r="AD207" s="1">
        <v>3.876</v>
      </c>
      <c r="AE207" s="1" t="s">
        <v>331</v>
      </c>
    </row>
    <row r="208" spans="1:31" ht="54" customHeight="1">
      <c r="A208" s="6" t="s">
        <v>328</v>
      </c>
      <c r="B208" s="1">
        <v>4</v>
      </c>
      <c r="C208" s="1" t="s">
        <v>316</v>
      </c>
      <c r="D208" s="1" t="s">
        <v>47</v>
      </c>
      <c r="E208" s="1" t="s">
        <v>111</v>
      </c>
      <c r="G208" s="6" t="s">
        <v>329</v>
      </c>
      <c r="H208" t="s">
        <v>502</v>
      </c>
      <c r="I208" t="s">
        <v>490</v>
      </c>
      <c r="AD208" s="1">
        <v>0.911</v>
      </c>
      <c r="AE208" s="1" t="s">
        <v>331</v>
      </c>
    </row>
    <row r="209" spans="1:31" ht="54" customHeight="1">
      <c r="A209" s="6" t="s">
        <v>332</v>
      </c>
      <c r="B209" s="1">
        <v>4</v>
      </c>
      <c r="C209" s="1" t="s">
        <v>316</v>
      </c>
      <c r="D209" s="1" t="s">
        <v>47</v>
      </c>
      <c r="E209" s="1" t="s">
        <v>111</v>
      </c>
      <c r="G209" s="6" t="s">
        <v>333</v>
      </c>
      <c r="H209" t="s">
        <v>503</v>
      </c>
      <c r="I209" t="s">
        <v>490</v>
      </c>
      <c r="J209" s="2">
        <f>IF(COUNT('Turns'!D580)=1,SUM('Turns'!D580),"Unknown")</f>
        <v>3.0</v>
      </c>
      <c r="K209" s="2">
        <f>IF(COUNT('Turns'!E580)=1,SUM('Turns'!E580),"Unknown")</f>
        <v>5.2581e-07</v>
      </c>
      <c r="L209" s="2">
        <f>IF(COUNT('Turns'!F580)=1,SUM('Turns'!F580),"Unknown")</f>
        <v>6e-07</v>
      </c>
      <c r="M209" s="2">
        <f>IF(COUNT('Turns'!D579)=1,SUM('Turns'!D579),"Unknown")</f>
        <v>4224.0</v>
      </c>
      <c r="N209" s="2">
        <f>IF(COUNT('Turns'!E579)=1,SUM('Turns'!E579),"Unknown")</f>
        <v>7.4034048e-05</v>
      </c>
      <c r="O209" s="2">
        <f>IF(COUNT('Turns'!F579)=1,SUM('Turns'!F579),"Unknown")</f>
        <v>8.448e-05</v>
      </c>
      <c r="P209" s="2">
        <f>IF(COUNT('Turns'!D582)=1,SUM('Turns'!D582),"Unknown")</f>
        <v>472.0</v>
      </c>
      <c r="Q209" s="2">
        <f>IF(COUNT('Turns'!E582)=1,SUM('Turns'!E582),"Unknown")</f>
        <v>0.0001034093</v>
      </c>
      <c r="R209" s="2">
        <f>IF(COUNT('Turns'!F582)=1,SUM('Turns'!F582),"Unknown")</f>
        <v>0.000118</v>
      </c>
      <c r="S209" s="2">
        <f>IF(COUNT('Turns'!D585)=1,SUM('Turns'!D585),"Unknown")</f>
        <v>29.0</v>
      </c>
      <c r="T209" s="2">
        <f>IF(COUNT('Turns'!E585)=1,SUM('Turns'!E585),"Unknown")</f>
        <v>3.049698e-05</v>
      </c>
      <c r="U209" s="2">
        <f>IF(COUNT('Turns'!F585)=1,SUM('Turns'!F585),"Unknown")</f>
        <v>3.48e-05</v>
      </c>
      <c r="V209" s="2">
        <v>0</v>
      </c>
      <c r="W209" s="2">
        <v>0</v>
      </c>
      <c r="X209" s="2">
        <v>0</v>
      </c>
      <c r="Y209" s="2">
        <f>IF(COUNT('Turns'!E589)=1,SUM('Turns'!E589),"Unknown")</f>
        <v>0.000208466138</v>
      </c>
      <c r="Z209" s="2">
        <f>IF(COUNT('Turns'!F589)=1,SUM('Turns'!F589),"Unknown")</f>
        <v>0.00023788</v>
      </c>
      <c r="AA209" s="5">
        <f>IF(ISNUMBER(Y209),ROUND(Y209*'Reference data'!$B$2,0),"Unknown")</f>
        <v>21.0</v>
      </c>
      <c r="AB209" s="5">
        <f>IF(ISNUMBER(Z209),ROUND(Z209*'Reference data'!$B$2,0),"Unknown")</f>
        <v>24.0</v>
      </c>
      <c r="AD209" s="1">
        <v>1647.617</v>
      </c>
      <c r="AE209" s="1" t="s">
        <v>318</v>
      </c>
    </row>
    <row r="210" spans="1:31" ht="54" customHeight="1">
      <c r="A210" s="6" t="s">
        <v>335</v>
      </c>
      <c r="B210" s="1">
        <v>5</v>
      </c>
      <c r="C210" s="1" t="s">
        <v>336</v>
      </c>
      <c r="D210" s="1" t="s">
        <v>95</v>
      </c>
      <c r="E210" s="1" t="s">
        <v>111</v>
      </c>
      <c r="F210" s="1">
        <v>4699</v>
      </c>
      <c r="G210" s="6" t="s">
        <v>337</v>
      </c>
      <c r="H210" t="s">
        <v>308</v>
      </c>
      <c r="I210" t="s">
        <v>503</v>
      </c>
      <c r="J210" s="2">
        <f>IF(COUNT('Turns'!D580)=1,SUM('Turns'!D580),"Unknown")</f>
        <v>3.0</v>
      </c>
      <c r="K210" s="2">
        <f>IF(COUNT('Turns'!E580)=1,SUM('Turns'!E580),"Unknown")</f>
        <v>5.2581e-07</v>
      </c>
      <c r="L210" s="2">
        <f>IF(COUNT('Turns'!F580)=1,SUM('Turns'!F580),"Unknown")</f>
        <v>6e-07</v>
      </c>
      <c r="M210" s="2">
        <f>IF(COUNT('Turns'!D579)=1,SUM('Turns'!D579),"Unknown")</f>
        <v>4224.0</v>
      </c>
      <c r="N210" s="2">
        <f>IF(COUNT('Turns'!E579)=1,SUM('Turns'!E579),"Unknown")</f>
        <v>7.4034048e-05</v>
      </c>
      <c r="O210" s="2">
        <f>IF(COUNT('Turns'!F579)=1,SUM('Turns'!F579),"Unknown")</f>
        <v>8.448e-05</v>
      </c>
      <c r="P210" s="2">
        <f>IF(COUNT('Turns'!D582)=1,SUM('Turns'!D582),"Unknown")</f>
        <v>472.0</v>
      </c>
      <c r="Q210" s="2">
        <f>IF(COUNT('Turns'!E582)=1,SUM('Turns'!E582),"Unknown")</f>
        <v>0.0001034093</v>
      </c>
      <c r="R210" s="2">
        <f>IF(COUNT('Turns'!F582)=1,SUM('Turns'!F582),"Unknown")</f>
        <v>0.000118</v>
      </c>
      <c r="S210" s="2">
        <f>IF(COUNT('Turns'!D585)=1,SUM('Turns'!D585),"Unknown")</f>
        <v>29.0</v>
      </c>
      <c r="T210" s="2">
        <f>IF(COUNT('Turns'!E585)=1,SUM('Turns'!E585),"Unknown")</f>
        <v>3.049698e-05</v>
      </c>
      <c r="U210" s="2">
        <f>IF(COUNT('Turns'!F585)=1,SUM('Turns'!F585),"Unknown")</f>
        <v>3.48e-05</v>
      </c>
      <c r="V210" s="2">
        <v>0</v>
      </c>
      <c r="W210" s="2">
        <v>0</v>
      </c>
      <c r="X210" s="2">
        <v>0</v>
      </c>
      <c r="Y210" s="2">
        <f>IF(COUNT('Turns'!E589)=1,SUM('Turns'!E589),"Unknown")</f>
        <v>0.000208466138</v>
      </c>
      <c r="Z210" s="2">
        <f>IF(COUNT('Turns'!F589)=1,SUM('Turns'!F589),"Unknown")</f>
        <v>0.00023788</v>
      </c>
      <c r="AA210" s="5">
        <f>IF(ISNUMBER(Y210),ROUND(Y210*'Reference data'!$B$2,0),"Unknown")</f>
        <v>21.0</v>
      </c>
      <c r="AB210" s="5">
        <f>IF(ISNUMBER(Z210),ROUND(Z210*'Reference data'!$B$2,0),"Unknown")</f>
        <v>24.0</v>
      </c>
      <c r="AC210" s="1" t="s">
        <v>307</v>
      </c>
      <c r="AD210" s="1">
        <v>1643.291</v>
      </c>
      <c r="AE210" s="1" t="s">
        <v>338</v>
      </c>
    </row>
    <row r="211" spans="1:31" ht="54" customHeight="1">
      <c r="A211" s="6" t="s">
        <v>339</v>
      </c>
      <c r="B211" s="1">
        <v>4</v>
      </c>
      <c r="C211" s="1" t="s">
        <v>316</v>
      </c>
      <c r="D211" s="1" t="s">
        <v>47</v>
      </c>
      <c r="E211" s="1" t="s">
        <v>111</v>
      </c>
      <c r="G211" s="6" t="s">
        <v>340</v>
      </c>
      <c r="H211" t="s">
        <v>504</v>
      </c>
      <c r="I211" t="s">
        <v>490</v>
      </c>
      <c r="AD211" s="1">
        <v>6.548</v>
      </c>
      <c r="AE211" s="1" t="s">
        <v>331</v>
      </c>
    </row>
    <row r="212" spans="1:31" ht="54" customHeight="1">
      <c r="A212" s="6" t="s">
        <v>342</v>
      </c>
      <c r="B212" s="1">
        <v>5</v>
      </c>
      <c r="C212" s="1" t="s">
        <v>343</v>
      </c>
      <c r="D212" s="1" t="s">
        <v>47</v>
      </c>
      <c r="E212" s="1" t="s">
        <v>111</v>
      </c>
      <c r="G212" s="6" t="s">
        <v>344</v>
      </c>
      <c r="H212" t="s">
        <v>310</v>
      </c>
      <c r="I212" t="s">
        <v>504</v>
      </c>
      <c r="AD212" s="1">
        <v>3.764</v>
      </c>
      <c r="AE212" s="1" t="s">
        <v>331</v>
      </c>
    </row>
    <row r="213" spans="1:31" ht="54" customHeight="1">
      <c r="A213" s="6" t="s">
        <v>328</v>
      </c>
      <c r="B213" s="1">
        <v>4</v>
      </c>
      <c r="C213" s="1" t="s">
        <v>316</v>
      </c>
      <c r="D213" s="1" t="s">
        <v>47</v>
      </c>
      <c r="E213" s="1" t="s">
        <v>111</v>
      </c>
      <c r="G213" s="6" t="s">
        <v>329</v>
      </c>
      <c r="H213" t="s">
        <v>505</v>
      </c>
      <c r="I213" t="s">
        <v>490</v>
      </c>
      <c r="AD213" s="1">
        <v>1.257</v>
      </c>
      <c r="AE213" s="1" t="s">
        <v>331</v>
      </c>
    </row>
    <row r="214" spans="1:31" ht="54" customHeight="1">
      <c r="A214" s="6" t="s">
        <v>332</v>
      </c>
      <c r="B214" s="1">
        <v>4</v>
      </c>
      <c r="C214" s="1" t="s">
        <v>316</v>
      </c>
      <c r="D214" s="1" t="s">
        <v>47</v>
      </c>
      <c r="E214" s="1" t="s">
        <v>111</v>
      </c>
      <c r="G214" s="6" t="s">
        <v>333</v>
      </c>
      <c r="H214" t="s">
        <v>506</v>
      </c>
      <c r="I214" t="s">
        <v>490</v>
      </c>
      <c r="J214" s="2">
        <f>IF(COUNT('Turns'!D595)=1,SUM('Turns'!D595),"Unknown")</f>
        <v>3.0</v>
      </c>
      <c r="K214" s="2">
        <f>IF(COUNT('Turns'!E595)=1,SUM('Turns'!E595),"Unknown")</f>
        <v>5.2581e-07</v>
      </c>
      <c r="L214" s="2">
        <f>IF(COUNT('Turns'!F595)=1,SUM('Turns'!F595),"Unknown")</f>
        <v>6e-07</v>
      </c>
      <c r="M214" s="2">
        <f>IF(COUNT('Turns'!D594)=1,SUM('Turns'!D594),"Unknown")</f>
        <v>4696.0</v>
      </c>
      <c r="N214" s="2">
        <f>IF(COUNT('Turns'!E594)=1,SUM('Turns'!E594),"Unknown")</f>
        <v>8.2306792e-05</v>
      </c>
      <c r="O214" s="2">
        <f>IF(COUNT('Turns'!F594)=1,SUM('Turns'!F594),"Unknown")</f>
        <v>9.392e-05</v>
      </c>
      <c r="P214" s="2">
        <f>IF(COUNT('Turns'!D597)=1,SUM('Turns'!D597),"Unknown")</f>
        <v>1279.0</v>
      </c>
      <c r="Q214" s="2">
        <f>IF(COUNT('Turns'!E597)=1,SUM('Turns'!E597),"Unknown")</f>
        <v>0.0002802129125</v>
      </c>
      <c r="R214" s="2">
        <f>IF(COUNT('Turns'!F597)=1,SUM('Turns'!F597),"Unknown")</f>
        <v>0.00031975</v>
      </c>
      <c r="S214" s="2">
        <f>IF(COUNT('Turns'!D601)=1,SUM('Turns'!D601),"Unknown")</f>
        <v>77.0</v>
      </c>
      <c r="T214" s="2">
        <f>IF(COUNT('Turns'!E601)=1,SUM('Turns'!E601),"Unknown")</f>
        <v>8.097474e-05</v>
      </c>
      <c r="U214" s="2">
        <f>IF(COUNT('Turns'!F601)=1,SUM('Turns'!F601),"Unknown")</f>
        <v>9.24e-05</v>
      </c>
      <c r="V214" s="2">
        <f>IF(COUNT('Turns'!D600)=1,SUM('Turns'!D600),"Unknown")</f>
        <v>54.0</v>
      </c>
      <c r="W214" s="2">
        <f>IF(COUNT('Turns'!E600)=1,SUM('Turns'!E600),"Unknown")</f>
        <v>5.678748e-05</v>
      </c>
      <c r="X214" s="2">
        <f>IF(COUNT('Turns'!F600)=1,SUM('Turns'!F600),"Unknown")</f>
        <v>6.48e-05</v>
      </c>
      <c r="Y214" s="2">
        <f>IF(COUNT('Turns'!E605)=1,SUM('Turns'!E605),"Unknown")</f>
        <v>0.0005008077345</v>
      </c>
      <c r="Z214" s="2">
        <f>IF(COUNT('Turns'!F605)=1,SUM('Turns'!F605),"Unknown")</f>
        <v>0.00057147</v>
      </c>
      <c r="AA214" s="5">
        <f>IF(ISNUMBER(Y214),ROUND(Y214*'Reference data'!$B$2,0),"Unknown")</f>
        <v>50.0</v>
      </c>
      <c r="AB214" s="5">
        <f>IF(ISNUMBER(Z214),ROUND(Z214*'Reference data'!$B$2,0),"Unknown")</f>
        <v>57.0</v>
      </c>
      <c r="AD214" s="1">
        <v>2509.101</v>
      </c>
      <c r="AE214" s="1" t="s">
        <v>318</v>
      </c>
    </row>
    <row r="215" spans="1:31" ht="54" customHeight="1">
      <c r="A215" s="6" t="s">
        <v>335</v>
      </c>
      <c r="B215" s="1">
        <v>5</v>
      </c>
      <c r="C215" s="1" t="s">
        <v>336</v>
      </c>
      <c r="D215" s="1" t="s">
        <v>95</v>
      </c>
      <c r="E215" s="1" t="s">
        <v>111</v>
      </c>
      <c r="F215" s="1">
        <v>5978</v>
      </c>
      <c r="G215" s="6" t="s">
        <v>337</v>
      </c>
      <c r="H215" t="s">
        <v>313</v>
      </c>
      <c r="I215" t="s">
        <v>506</v>
      </c>
      <c r="J215" s="2">
        <f>IF(COUNT('Turns'!D595)=1,SUM('Turns'!D595),"Unknown")</f>
        <v>3.0</v>
      </c>
      <c r="K215" s="2">
        <f>IF(COUNT('Turns'!E595)=1,SUM('Turns'!E595),"Unknown")</f>
        <v>5.2581e-07</v>
      </c>
      <c r="L215" s="2">
        <f>IF(COUNT('Turns'!F595)=1,SUM('Turns'!F595),"Unknown")</f>
        <v>6e-07</v>
      </c>
      <c r="M215" s="2">
        <f>IF(COUNT('Turns'!D594)=1,SUM('Turns'!D594),"Unknown")</f>
        <v>4696.0</v>
      </c>
      <c r="N215" s="2">
        <f>IF(COUNT('Turns'!E594)=1,SUM('Turns'!E594),"Unknown")</f>
        <v>8.2306792e-05</v>
      </c>
      <c r="O215" s="2">
        <f>IF(COUNT('Turns'!F594)=1,SUM('Turns'!F594),"Unknown")</f>
        <v>9.392e-05</v>
      </c>
      <c r="P215" s="2">
        <f>IF(COUNT('Turns'!D597)=1,SUM('Turns'!D597),"Unknown")</f>
        <v>1279.0</v>
      </c>
      <c r="Q215" s="2">
        <f>IF(COUNT('Turns'!E597)=1,SUM('Turns'!E597),"Unknown")</f>
        <v>0.0002802129125</v>
      </c>
      <c r="R215" s="2">
        <f>IF(COUNT('Turns'!F597)=1,SUM('Turns'!F597),"Unknown")</f>
        <v>0.00031975</v>
      </c>
      <c r="S215" s="2">
        <f>IF(COUNT('Turns'!D601)=1,SUM('Turns'!D601),"Unknown")</f>
        <v>77.0</v>
      </c>
      <c r="T215" s="2">
        <f>IF(COUNT('Turns'!E601)=1,SUM('Turns'!E601),"Unknown")</f>
        <v>8.097474e-05</v>
      </c>
      <c r="U215" s="2">
        <f>IF(COUNT('Turns'!F601)=1,SUM('Turns'!F601),"Unknown")</f>
        <v>9.24e-05</v>
      </c>
      <c r="V215" s="2">
        <f>IF(COUNT('Turns'!D600)=1,SUM('Turns'!D600),"Unknown")</f>
        <v>54.0</v>
      </c>
      <c r="W215" s="2">
        <f>IF(COUNT('Turns'!E600)=1,SUM('Turns'!E600),"Unknown")</f>
        <v>5.678748e-05</v>
      </c>
      <c r="X215" s="2">
        <f>IF(COUNT('Turns'!F600)=1,SUM('Turns'!F600),"Unknown")</f>
        <v>6.48e-05</v>
      </c>
      <c r="Y215" s="2">
        <f>IF(COUNT('Turns'!E605)=1,SUM('Turns'!E605),"Unknown")</f>
        <v>0.0005008077345</v>
      </c>
      <c r="Z215" s="2">
        <f>IF(COUNT('Turns'!F605)=1,SUM('Turns'!F605),"Unknown")</f>
        <v>0.00057147</v>
      </c>
      <c r="AA215" s="5">
        <f>IF(ISNUMBER(Y215),ROUND(Y215*'Reference data'!$B$2,0),"Unknown")</f>
        <v>50.0</v>
      </c>
      <c r="AB215" s="5">
        <f>IF(ISNUMBER(Z215),ROUND(Z215*'Reference data'!$B$2,0),"Unknown")</f>
        <v>57.0</v>
      </c>
      <c r="AC215" s="1" t="s">
        <v>312</v>
      </c>
      <c r="AD215" s="1">
        <v>2505.289</v>
      </c>
      <c r="AE215" s="1" t="s">
        <v>338</v>
      </c>
    </row>
    <row r="216" spans="1:31" ht="54" customHeight="1">
      <c r="A216" s="6" t="s">
        <v>352</v>
      </c>
      <c r="B216" s="1">
        <v>2</v>
      </c>
      <c r="C216" s="1" t="s">
        <v>316</v>
      </c>
      <c r="D216" s="1" t="s">
        <v>47</v>
      </c>
      <c r="E216" s="1" t="s">
        <v>111</v>
      </c>
      <c r="G216" s="6" t="s">
        <v>353</v>
      </c>
      <c r="H216" t="s">
        <v>507</v>
      </c>
      <c r="I216" t="s">
        <v>488</v>
      </c>
      <c r="AD216" s="1">
        <v>0.324</v>
      </c>
      <c r="AE216" s="1" t="s">
        <v>331</v>
      </c>
    </row>
    <row r="217" spans="1:31" ht="54" customHeight="1">
      <c r="A217" s="6" t="s">
        <v>446</v>
      </c>
      <c r="B217" s="1">
        <v>1</v>
      </c>
      <c r="C217" s="1" t="s">
        <v>316</v>
      </c>
      <c r="D217" s="1" t="s">
        <v>47</v>
      </c>
      <c r="E217" s="1" t="s">
        <v>111</v>
      </c>
      <c r="G217" s="6" t="s">
        <v>447</v>
      </c>
      <c r="H217" t="s">
        <v>508</v>
      </c>
      <c r="I217" t="s">
        <v>449</v>
      </c>
      <c r="AD217" s="1">
        <v>0.456</v>
      </c>
      <c r="AE217" s="1" t="s">
        <v>331</v>
      </c>
    </row>
  </sheetData>
  <conditionalFormatting sqref="A2:AE217">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0.87635</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2026-09-24T04:21:58Z</dcterms:created>
  <dcterms:modified xsi:type="dcterms:W3CDTF">2026-09-24T04:21:58Z</dcterms:modified>
</cp:coreProperties>
</file>
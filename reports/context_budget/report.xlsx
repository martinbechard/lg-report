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<sst xmlns="http://schemas.openxmlformats.org/spreadsheetml/2006/main" count="3864" uniqueCount="579">
  <si>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</si>
  <si>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</si>
  <si>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</si>
  <si>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</si>
  <si>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</si>
  <si>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</si>
  <si>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</si>
  <si>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</si>
  <si>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</si>
  <si>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</si>
  <si>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</si>
  <si>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</si>
  <si>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</si>
  <si>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</si>
  <si>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</si>
  <si>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</si>
  <si>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</si>
  <si>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</si>
  <si>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</si>
  <si>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</si>
  <si>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</si>
  <si>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</si>
  <si>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</si>
  <si>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</si>
  <si>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</si>
  <si>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</si>
  <si>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</si>
  <si>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</si>
  <si>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</si>
  <si>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</si>
  <si>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</si>
  <si>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</si>
  <si>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</si>
  <si>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</si>
  <si>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</si>
  <si>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</si>
  <si>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</si>
  <si>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</si>
  <si>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</si>
  <si>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</si>
  <si>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</si>
  <si>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</si>
  <si>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</si>
  <si>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</si>
  <si>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</si>
  <si>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</si>
  <si>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</si>
  <si>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</si>
  <si>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</si>
  <si>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01a11680-ba1e-7011-aaec-e09a34196f5c</t>
  </si>
  <si>
    <t>Recording</t>
  </si>
  <si>
    <t>Offline simulation</t>
  </si>
  <si>
    <t>FX reference date</t>
  </si>
  <si>
    <t>2026-09-24</t>
  </si>
  <si>
    <t>FX fetched at</t>
  </si>
  <si>
    <t>2026-09-24T22:21:31.719587Z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</si>
  <si>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</si>
  <si>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</si>
  <si>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</si>
  <si>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</si>
  <si>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</si>
  <si>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</si>
  <si>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</si>
  <si>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</si>
  <si>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</si>
  <si>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</si>
  <si>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Published online token rates verified 2026-10-05. Copilot uses GitHub rates, including saved long-context tiers, before plan allowances; these are usage estimates, not subscription invoices. Cache writes with unspecified lifetime use the 5-minute rate unless an explicit cache_write rate is configured. Direct OpenAI and Anthropic entries use standard rates; no batch, regional, tool, negotiated, or unrecorded context-tier adjustments are applied. Model availability and context capacity require separate verification.</t>
  </si>
  <si>
    <t>Model</t>
  </si>
  <si>
    <t>Input USD / 1M tokens</t>
  </si>
  <si>
    <t>Cache read USD / 1M tokens</t>
  </si>
  <si>
    <t>Cache write USD / 1M tokens</t>
  </si>
  <si>
    <t>Output USD / 1M tokens</t>
  </si>
  <si>
    <t>Reasoning USD / 1M tokens</t>
  </si>
  <si>
    <t>Verified date</t>
  </si>
  <si>
    <t>Source</t>
  </si>
  <si>
    <t>Notes</t>
  </si>
  <si>
    <t>openai:gpt-5.5</t>
  </si>
  <si>
    <t>Unknown</t>
  </si>
  <si>
    <t>2026-10-05</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</si>
  <si>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</si>
  <si>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</si>
  <si>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</si>
  <si>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</si>
  <si>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</si>
  <si>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</si>
  <si>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</si>
  <si>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</si>
  <si>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</si>
  <si>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</si>
  <si>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</si>
  <si>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</si>
  <si>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anthropic:claude-haiku-4-5</t>
  </si>
  <si>
    <t>anthropic:claude-haiku-4-5-20251001</t>
  </si>
  <si>
    <t>anthropic:claude-opus-5-5</t>
  </si>
  <si>
    <t>anthropic:claude-sonnet-4-6</t>
  </si>
  <si>
    <t>anthropic:claude-sonnet-5-5</t>
  </si>
  <si>
    <t>copilot:claude-haiku-4.5</t>
  </si>
  <si>
    <t>https://docs.github.com/en/copilot/reference/copilot-billing/models-and-pricing</t>
  </si>
  <si>
    <t>copilot:claude-opus-5.5</t>
  </si>
  <si>
    <t>copilot:claude-sonnet-4.6</t>
  </si>
  <si>
    <t>copilot:claude-sonnet-5.5</t>
  </si>
  <si>
    <t>copilot:gemini-3.8-flash</t>
  </si>
  <si>
    <t>copilot:gpt-5.3-codex</t>
  </si>
  <si>
    <t>copilot:gpt-5.4</t>
  </si>
  <si>
    <t>copilot:gpt-6-astra</t>
  </si>
  <si>
    <t>copilot:gpt-6-luna</t>
  </si>
  <si>
    <t>copilot:gpt-6-sol</t>
  </si>
  <si>
    <t>copilot:gpt-6.1-sol</t>
  </si>
  <si>
    <t>openai:gpt-6-astra</t>
  </si>
  <si>
    <t>https://developers.openai.com/api/docs/models/gpt-6-astra.md</t>
  </si>
  <si>
    <t>openai:gpt-6-luna</t>
  </si>
  <si>
    <t>https://developers.openai.com/api/docs/models/gpt-6-luna.md</t>
  </si>
  <si>
    <t>openai:gpt-6-sol</t>
  </si>
  <si>
    <t>https://developers.openai.com/api/docs/models/gpt-6-sol.md</t>
  </si>
  <si>
    <t>openai:gpt-6.1-sol</t>
  </si>
  <si>
    <t>https://developers.openai.com/api/docs/models/gpt-6.1-sol.md</t>
  </si>
  <si>
    <t>copilot:gpt-5.4 [long context]</t>
  </si>
  <si>
    <t>Above 272,000 input tokens</t>
  </si>
  <si>
    <t>copilot:gpt-6-astra [long context]</t>
  </si>
  <si>
    <t>copilot:gpt-6-luna [long context]</t>
  </si>
  <si>
    <t>copilot:gpt-6-sol [long context]</t>
  </si>
  <si>
    <t>copilot:gpt-6.1-sol [long context]</t>
  </si>
  <si>
    <t>Run total</t>
  </si>
  <si>
    <t>Turn 1</t>
  </si>
  <si>
    <t>R1</t>
  </si>
  <si>
    <t>LLM request</t>
  </si>
  <si>
    <t>scripted-chat</t>
  </si>
  <si>
    <t>01a11680-ba2a-7ed1-921e-253b3a50ca31</t>
  </si>
  <si>
    <t>Input at standard rate</t>
  </si>
  <si>
    <t xml:space="preserve">    Tool definitions</t>
  </si>
  <si>
    <t xml:space="preserve">    System prompt</t>
  </si>
  <si>
    <t>You are the planner. You own only /plan.md; never implement or repair code or tests. The only implementation paths are /slug.py and /test_slug.py; the public function is slugify imported from slug. The workflow automatically executes /test_slug.py after each worker invocation and supplies test_execution evidence before review. On the initial planning invocation, read an existing plan if present, then create or extend an ordered plan of concrete implementation steps with stable task IDs, acceptance criteria, and pending status. Review and closeout are part of EVERY implementation step, never separate plan tasks. NEVER assign source review, cross-file review, approval, verification-only work, or closeout to the worker. The independent reviewer node already handles those checks for each implementation step. For the initial slug request, plan two implementation steps: implement the function, then write its tests. For a follow-up request, add only the concrete requested code/test changes. Preserve earlier evidence. Assign exactly ONE pending task to the worker, then stop. On an approved-step invocation, update ONLY the named approved task to complete using the supplied reviewer evidence, reread /plan.md, then assign the next pending task or finish. Do not mark a task complete on worker claims, your own inspection, or a summary. Only the workflow-supplied approval authorizes that update. Never repair a rejected task yourself. Your final response must be a JSON object with action (work or finish), task_id (the next task ID, or empty when finishing), files (an array of writable paths for this task chosen from /slug.py and /test_slug.py, empty when finishing), and message (a self-contained assignment including acceptance criteria, or final report). No Markdown fences. A work response must name exactly one task. Include the observed test count, exit status and independent review outcome in the plan and final report; never substitute written tests for execution evidence.
Sample practices:
# Coding practices for a small Python change
This guidance is part of the context-budget sample. It is deliberately self-contained: no external skill, service, repository-specific command, or server is required. Apply it to the local exercise described in the plan. The plan is the durable coordination record; conversation text is transient.
## Establish the task
Read the current plan before choosing work. Identify the requested behavior, the intended user, inputs and outputs, file ownership, and acceptance criteria. Separate requirements from implementation guesses. If a task cannot be completed because information is missing, record the exact gap in the plan rather than silently inventing a contract. Prefer a small explicit contract over speculative flexibility. Make names describe responsibilities and avoid adding an abstraction that has only one use. If prior tasks changed the plan, use its latest on-disk version, not an older summary of it.
## Design before editing
For each task, describe the observable before and after behavior. List one or two representative examples and the most important edge cases. Decide where input validation belongs and what should happen for invalid values. Choose deterministic behavior that can be checked without external services. Keep the public function small and place supporting logic near it. Avoid hidden state and avoid catching errors so broadly that a failed edit looks successful. Do not make a safety claim that the code cannot enforce.
## Implement in small verified steps
Read the existing file before editing it. Change only the files named by the plan. Preserve content outside the task. When creating code, include a plain-language file header stating purpose, responsibilities, assumptions, AI assistance, and copyright. Explain non-obvious control flow and why a particular branch exists. Comments should clarify intent, not repeat syntax. After each tool result, check whether the operation succeeded before recording progress. If an edit fails or replaces the wrong string, stop and repair that step. Never record a task as complete simply because a tool was called.
## Tests and evidence
Write tests for external behavior, important boundaries, and regressions the task is meant to prevent. Do not write a test that only copies the implementation's branching. A test should distinguish a plausible bug from correct behavior. Keep test data readable. After each worker handoff the workflow runs /test_slug.py with standard-library unittest. Use the supplied test_execution receipt, including failures, when reporting verification; never substitute a code review for execution evidence. A reviewer may inspect coverage and syntax, but a review report is not a passing test result.
## Plan maintenance
The planner marks a task complete only after the independent reviewer approves that task's current files. An existing artifact alone is not approval. The worker reports concrete tool outcomes but does not edit the plan. The planner uses a narrow replacement that preserves other tasks, with concise evidence such as the created file, test name, or reviewer finding. Read the plan again after every status edit, even if the edit succeeded, so the next decision uses the current document. Keep a pending, complete, or blocked status for every task. Record uncertainty under the relevant task instead of hiding it in a final answer. If the reviewer requests changes, the same task stays incomplete. The worker repairs it and the reviewer checks the new version before the planner records completion.
## Handoff and review
The planner supplies a self-contained task assignment: the plan path, code paths, intended behavior, and acceptance criteria. The workflow forwards that assignment to the reviewer after the worker returns. The reviewer starts with an isolated context and has no access to this conversation. Ask for source-backed findings with severity and uncertainty. The workflow delivers the independent verdict. A rejection returns the same task to the worker. Approval lets the planner record completion and reread the plan before assigning another task. Report only what the visible evidence supports.
## Context limits
Large instructions, file reads, tool schemas, and tool results consume context. Use compaction to preserve durable decisions and current task state when earlier conversation is summarized. The on-disk plan remains authoritative; after compaction, reread it before the next task. Do not infer that a summary retains every line of a file. When a read is truncated, request the missing section. Keep final messages concise enough to show the task status, verification level, and next action without duplicating the entire plan.
Role ownership survives compaction: only the worker edits source/tests, only the reviewer issues approval, and only the planner updates plan status. The current workflow assignment and verdict override incomplete history summaries.
Authoritative current workflow operation; do ONLY this operation, even if a history summary suggests later work:
{"operation": "plan", "instruction": "Prepare pending steps for the latest user request; assign one. Do not record completion."}</t>
  </si>
  <si>
    <t xml:space="preserve">    User prompt</t>
  </si>
  <si>
    <t>{"operation": "plan", "instruction": "Prepare pending steps for the latest user request; assign one. Do not record completion."}</t>
  </si>
  <si>
    <t>Cache write</t>
  </si>
  <si>
    <t>Context · added / total</t>
  </si>
  <si>
    <t>LLM response</t>
  </si>
  <si>
    <t>Output</t>
  </si>
  <si>
    <t xml:space="preserve">    Output content</t>
  </si>
  <si>
    <t>{"name": "write_file", "args": {"file_path": "/plan.md", "content": "# Slug utility delivery plan\n\nGoal: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starts.\n\nWorking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plan.\n\nDesign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input.\n\nImplementation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file.\n\nVerification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task.\n\nTask T1 \u2014 implement the public function. Status: pending. Acceptance: /slug.py exposes slugify; ordinary words become lowercase with one hyphen; accents with Latin decompositions lose marks; punctuation runs do not create repeated hyphens; non-string values fail visibly. Read the plan after recording completion.\n\nTask T2 \u2014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completion.\n\nRisk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limits.\n"}, "id": "write_file-1", "type": "tool_call"}</t>
  </si>
  <si>
    <t>Call total</t>
  </si>
  <si>
    <t>ok</t>
  </si>
  <si>
    <t>Tool · write_file</t>
  </si>
  <si>
    <t>01a11680-baca-7f12-92a5-0ac9dce287bb</t>
  </si>
  <si>
    <t xml:space="preserve">    Arguments</t>
  </si>
  <si>
    <t>{'file_path': '/plan.md', 'content': "# Slug utility delivery plan\n\nGoal: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starts.\n\nWorking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plan.\n\nDesign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input.\n\nImplementation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file.\n\nVerification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task.\n\nTask T1 — implement the public function. Status: pending. Acceptance: /slug.py exposes slugify; ordinary words become lowercase with one hyphen; accents with Latin decompositions lose marks; punctuation runs do not create repeated hyphens; non-string values fail visibly. Read the plan after recording completion.\n\nTask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completion.\n\nRisk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limits.\n"}</t>
  </si>
  <si>
    <t xml:space="preserve">    Result</t>
  </si>
  <si>
    <t>Updated file /plan.md</t>
  </si>
  <si>
    <t>R2</t>
  </si>
  <si>
    <t>01a11680-bace-7ff1-8eda-cf49e5e80a45</t>
  </si>
  <si>
    <t>Conversation history · cache read</t>
  </si>
  <si>
    <t xml:space="preserve">    Tool result</t>
  </si>
  <si>
    <t>{"action": "work", "task_id": "T1", "files": ["/slug.py"], "message": "Implement T1 only: write /slug.py according to /plan.md. Tests belong to the next step."}</t>
  </si>
  <si>
    <t>R3</t>
  </si>
  <si>
    <t>01a11680-bad9-7c43-bbf3-55eafafd586b</t>
  </si>
  <si>
    <t>You are the worker. Implement or repair ONLY the current task supplied by the workflow. Read /plan.md and relevant existing files first. You may write only /slug.py and /test_slug.py, never /plan.md. The function is slugify and tests import from slug. If review feedback is supplied, fix those findings for this same task; do not advance to another task. Check tool outcomes and return concrete evidence of your changes. Do not claim approval or task completion, and do not perform your own independent review. Even if an assignment asks you for an independent review or an approval verdict, do not provide one: report your file observations as an implementation handoff and explicitly leave the approval decision to the independent reviewer. Never label your response approve, approved, or independent review. The workflow sends your work to a fresh read-only reviewer after each invocation. The workflow automatically runs /test_slug.py after your handoff. Use supplied test_execution output to repair failures. Write standard-library unittest tests; do not request a shell tool or claim the next execution already passed. Stop after this task's changes and handoff.
Sample practices:
# Coding practices for a small Python change
This guidance is part of the context-budget sample. It is deliberately self-contained: no external skill, service, repository-specific command, or server is required. Apply it to the local exercise described in the plan. The plan is the durable coordination record; conversation text is transient.
## Establish the task
Read the current plan before choosing work. Identify the requested behavior, the intended user, inputs and outputs, file ownership, and acceptance criteria. Separate requirements from implementation guesses. If a task cannot be completed because information is missing, record the exact gap in the plan rather than silently inventing a contract. Prefer a small explicit contract over speculative flexibility. Make names describe responsibilities and avoid adding an abstraction that has only one use. If prior tasks changed the plan, use its latest on-disk version, not an older summary of it.
## Design before editing
For each task, describe the observable before and after behavior. List one or two representative examples and the most important edge cases. Decide where input validation belongs and what should happen for invalid values. Choose deterministic behavior that can be checked without external services. Keep the public function small and place supporting logic near it. Avoid hidden state and avoid catching errors so broadly that a failed edit looks successful. Do not make a safety claim that the code cannot enforce.
## Implement in small verified steps
Read the existing file before editing it. Change only the files named by the plan. Preserve content outside the task. When creating code, include a plain-language file header stating purpose, responsibilities, assumptions, AI assistance, and copyright. Explain non-obvious control flow and why a particular branch exists. Comments should clarify intent, not repeat syntax. After each tool result, check whether the operation succeeded before recording progress. If an edit fails or replaces the wrong string, stop and repair that step. Never record a task as complete simply because a tool was called.
## Tests and evidence
Write tests for external behavior, important boundaries, and regressions the task is meant to prevent. Do not write a test that only copies the implementation's branching. A test should distinguish a plausible bug from correct behavior. Keep test data readable. After each worker handoff the workflow runs /test_slug.py with standard-library unittest. Use the supplied test_execution receipt, including failures, when reporting verification; never substitute a code review for execution evidence. A reviewer may inspect coverage and syntax, but a review report is not a passing test result.
## Plan maintenance
The planner marks a task complete only after the independent reviewer approves that task's current files. An existing artifact alone is not approval. The worker reports concrete tool outcomes but does not edit the plan. The planner uses a narrow replacement that preserves other tasks, with concise evidence such as the created file, test name, or reviewer finding. Read the plan again after every status edit, even if the edit succeeded, so the next decision uses the current document. Keep a pending, complete, or blocked status for every task. Record uncertainty under the relevant task instead of hiding it in a final answer. If the reviewer requests changes, the same task stays incomplete. The worker repairs it and the reviewer checks the new version before the planner records completion.
## Handoff and review
The planner supplies a self-contained task assignment: the plan path, code paths, intended behavior, and acceptance criteria. The workflow forwards that assignment to the reviewer after the worker returns. The reviewer starts with an isolated context and has no access to this conversation. Ask for source-backed findings with severity and uncertainty. The workflow delivers the independent verdict. A rejection returns the same task to the worker. Approval lets the planner record completion and reread the plan before assigning another task. Report only what the visible evidence supports.
## Context limits
Large instructions, file reads, tool schemas, and tool results consume context. Use compaction to preserve durable decisions and current task state when earlier conversation is summarized. The on-disk plan remains authoritative; after compaction, reread it before the next task. Do not infer that a summary retains every line of a file. When a read is truncated, request the missing section. Keep final messages concise enough to show the task status, verification level, and next action without duplicating the entire plan.
Role ownership survives compaction: only the worker edits source/tests, only the reviewer issues approval, and only the planner updates plan status. The current workflow assignment and verdict override incomplete history summaries.
Authoritative current workflow operation; do ONLY this operation, even if a history summary suggests later work:
{"operation": "work", "assignment": {"action": "work", "task_id": "T1", "files": ["/slug.py"], "message": "Implement T1 only: write /slug.py according to /plan.md. Tests belong to the next step."}, "review": {}, "test_execution": {}}</t>
  </si>
  <si>
    <t>{"name": "read_file", "args": {"file_path": "/plan.md"}, "id": "read_file-20", "type": "tool_call"}</t>
  </si>
  <si>
    <t>Tool · read_file</t>
  </si>
  <si>
    <t>01a11680-badf-79b2-91b4-668bad3093df</t>
  </si>
  <si>
    <t>{'file_path': '/plan.md'}</t>
  </si>
  <si>
    <t>@@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pending.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t>
  </si>
  <si>
    <t>R4</t>
  </si>
  <si>
    <t>01a11680-bae6-76c2-8e2d-ebcecdf59598</t>
  </si>
  <si>
    <t>{"name": "write_file", "args": {"file_path": "/slug.py", "content": "\"\"\"Create deterministic ASCII slugs for local document titles.\n\nAccents with Latin decomposition are removed; characters without ASCII\nrepresentation are dropped. The function has no filesystem or network effects.\nAI attribution: Generated with AI assistance by Northstar.\nCopyright (c) 2026 Martin.Bechard@DevConsult.ca\n\"\"\"\n\nimport re\nimport unicodedata\n\n\ndef slugify(title: str) -&gt; str:\n    \"\"\"Return a lowercase, hyphen-separated ASCII form of a title.\"\"\"\n    if not isinstance(title, str):\n        raise TypeError(\"title must be a string\")\n    # Decompose Latin accents before the ASCII boundary; unsupported scripts\n    # are dropped rather than transliterated through an undeclared dependency.\n    ascii_title = unicodedata.normalize(\"NFKD\", title).encode(\"ascii\", \"ignore\").decode(\"ascii\")\n    return re.sub(r\"[^a-z0-9]+\", \"-\", ascii_title.lower())\n"}, "id": "write_file-21", "type": "tool_call"}</t>
  </si>
  <si>
    <t>01a11680-baec-74b1-bf4d-e84c2cd8b741</t>
  </si>
  <si>
    <t>{'file_path': '/slug.py', 'content': '"""Create deterministic ASCII slugs for local document titles.\n\nAccents with Latin decomposition are removed; characters without ASCII\nrepresentation are dropped. The function has no filesystem or network effects.\nAI attribution: Generated with AI assistance by Northstar.\nCopyright (c) 2026 Martin.Bechard@DevConsult.ca\n"""\n\nimport re\nimport unicodedata\n\n\ndef slugify(title: str) -&gt; str:\n    """Return a lowercase, hyphen-separated ASCII form of a title."""\n    if not isinstance(title, str):\n        raise TypeError("title must be a string")\n    # Decompose Latin accents before the ASCII boundary; unsupported scripts\n    # are dropped rather than transliterated through an undeclared dependency.\n    ascii_title = unicodedata.normalize("NFKD", title).encode("ascii", "ignore").decode("ascii")\n    return re.sub(r"[^a-z0-9]+", "-", ascii_title.lower())\n'}</t>
  </si>
  <si>
    <t>Updated file /slug.py</t>
  </si>
  <si>
    <t>R5</t>
  </si>
  <si>
    <t>01a11680-baf0-7a62-9cdc-77c9a266618d</t>
  </si>
  <si>
    <t>T1 candidate written; source review required. Tests not executed.</t>
  </si>
  <si>
    <t>R6</t>
  </si>
  <si>
    <t>01a11680-bafa-7231-92c7-4487f4712d16</t>
  </si>
  <si>
    <t>You are the independent read-only reviewer of ONE current task. You receive a fresh assignment, not the shared conversation. Read /plan.md and the files relevant to this task; later tasks may legitimately have no artifacts yet. Inspect the CURRENT files against the supplied task acceptance criteria. Do not edit, implement, delegate, or invent execution evidence. The supplied test_execution receipt comes from the workflow runner for the current files. Return only a JSON object with task_id (exact supplied ID), verdict (approve or revise), and evidence (nonempty source-backed explanation including all actionable findings and uncertainty). Approve only when this task's acceptance criteria are met. Otherwise return revise with concrete repair instructions. Inspect source and report the supplied execution results, including test count and exit status. Revise on failed, missing, empty or timed-out tests. not_yet_written is allowed only for implementation before a later test-creation task.
Sample practices:
# Independent code review practices
This review guidance ships with the sample and needs no external skill or server. The reviewer receives a separate task context. The assigned paths, their read results, and the supplied test_execution receipt provide evidence about the work; the parent's unseen conversation does not.
## Review contract
Read the current plan first. Identify the assigned task and its acceptance criteria. Review this step; do not require artifacts belonging to later steps. Read the implementation and tests in full, using additional paginated reads if a result is truncated. Treat plan claims as claims to verify, not proof. The reviewer is read-only: do not edit the plan, code, or tests. Do not claim to have run a command that is unavailable to this reviewer.
## Correctness pass
Trace the public function from input to output. Check ordinary examples, empty values, repeated separators, Unicode or normalization if the plan requires them, invalid input, and whether behavior is deterministic. For each suspected defect, identify a concrete triggering input and the resulting behavior. Compare it with the exact acceptance criterion. Check that failures are visible rather than swallowed. Avoid requesting behavior the plan never specified unless it is a direct correctness or safety consequence of the implementation.
## Test pass
Inspect whether tests cover the promised behavior and at least one meaningful boundary. A test should fail for a plausible broken implementation. Note untested branches only when they carry material risk. Code that looks correct may still be unverified: distinguish reading tests from executing them. Use the workflow-supplied test_execution receipt for the current attempt. Failed, missing, empty or timed-out tests require revision. not_yet_written allows source review for an implementation step before test creation. Check that test imports and paths appear consistent with the local file layout.
## Evidence and severity
Report findings in priority order. Use a concise location, the triggering condition, observed or inferred failure, and expected behavior. Label a finding critical only if it blocks the task or risks severe harm; high for a real acceptance failure; medium for a narrower bug or important missing test; low for a minor issue. Avoid style-only findings unless the style directly obscures behavior or conflicts with an explicit requirement. If no issue is found, say that no issue was found in this read-only pass and state the limits of that conclusion.
## Uncertainty and handoff
Separate direct file observations from inferences. Quote or reference the relevant file, function, and task ID. If a file is missing or a read fails, report the gap instead of guessing its contents. Explain whether the review is complete enough for the planner to mark the task reviewed. Only an approve verdict allows the planner to record this step complete; the reviewer does not own that edit. Return a compact report rather than reproducing whole files or the plan.
Authoritative current workflow operation; do ONLY this operation, even if a history summary suggests later work:
{"operation": "review", "assignment": {"action": "work", "task_id": "T1", "files": ["/slug.py"], "message": "Implement T1 only: write /slug.py according to /plan.md. Tests belong to the next step."}, "review": {}, "test_execution": {"command": "python -I -B -c &lt;unittest runner&gt;", "suite": "test_slug.py", "exit_code": null, "tests_run": 0, "status": "not_yet_written", "stdout": "", "stderr": "test_slug.py does not exist.", "task_id": "T1", "attempt": 1}}</t>
  </si>
  <si>
    <t>{"name": "read_file", "args": {"file_path": "/plan.md"}, "id": "read_file-40", "type": "tool_call"}</t>
  </si>
  <si>
    <t>01a11680-bafe-7653-8e67-f2e236176951</t>
  </si>
  <si>
    <t>R7</t>
  </si>
  <si>
    <t>01a11680-bb01-75a2-b8f3-037077e83b48</t>
  </si>
  <si>
    <t>{"name": "read_file", "args": {"file_path": "/slug.py"}, "id": "read_file-41", "type": "tool_call"}</t>
  </si>
  <si>
    <t>01a11680-bb04-7782-b1cd-4444f61bbf2d</t>
  </si>
  <si>
    <t>{'file_path': '/slug.py'}</t>
  </si>
  <si>
    <t>@@ lines 1-20 of 20 @@
"""Create deterministic ASCII slugs for local document titles.
Accents with Latin decomposition are removed; characters without ASCII
representation are dropped. The function has no filesystem or network effects.
AI attribution: Generated with AI assistance by Northstar.
Copyright (c) 2026 Martin.Bechard@DevConsult.ca
"""
import re
import unicodedata
def slugify(title: str) -&gt; str:
    """Return a lowercase, hyphen-separated ASCII form of a title."""
    if not isinstance(title, str):
        raise TypeError("title must be a string")
    # Decompose Latin accents before the ASCII boundary; unsupported scripts
    # are dropped rather than transliterated through an undeclared dependency.
    ascii_title = unicodedata.normalize("NFKD", title).encode("ascii", "ignore").decode("ascii")
    return re.sub(r"[^a-z0-9]+", "-", ascii_title.lower())</t>
  </si>
  <si>
    <t>R8</t>
  </si>
  <si>
    <t>01a11680-bb08-7a71-ada7-6cfe9063f452</t>
  </si>
  <si>
    <t>{"task_id": "T1", "verdict": "revise", "evidence": "slugify(\"! Hi !\") returns \"-hi-\". Strip boundary hyphens in /slug.py. Tests not executed."}</t>
  </si>
  <si>
    <t>R9</t>
  </si>
  <si>
    <t>01a11680-bb12-7fe1-9b74-fc9d96cd8d0b</t>
  </si>
  <si>
    <t>Updated file /plan.md
@@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pending.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Updated file /slug.py</t>
  </si>
  <si>
    <t>{"name": "read_file", "args": {"file_path": "/slug.py"}, "id": "read_file-22", "type": "tool_call"}</t>
  </si>
  <si>
    <t>01a11680-bb18-7953-9101-f5ae7d36b6e5</t>
  </si>
  <si>
    <t>R10</t>
  </si>
  <si>
    <t>01a11680-bb1c-71a3-a7ea-143a205c0df0</t>
  </si>
  <si>
    <t>{"name": "edit_file", "args": {"file_path": "/slug.py", "old_string": "ascii_title.lower())", "new_string": "ascii_title.lower()).strip(\"-\")"}, "id": "edit_file-23", "type": "tool_call"}</t>
  </si>
  <si>
    <t>Tool · edit_file</t>
  </si>
  <si>
    <t>01a11680-bb22-7753-842a-5c45b54f6221</t>
  </si>
  <si>
    <t>{'file_path': '/slug.py', 'old_string': 'ascii_title.lower())', 'new_string': 'ascii_title.lower()).strip("-")'}</t>
  </si>
  <si>
    <t>Successfully replaced 1 instance(s) of the string in '/slug.py'</t>
  </si>
  <si>
    <t>R11</t>
  </si>
  <si>
    <t>01a11680-bb27-7700-ae80-67f55d69b3bb</t>
  </si>
  <si>
    <t>T1 repaired: boundary hyphens are stripped. Please review the current file.</t>
  </si>
  <si>
    <t>R12</t>
  </si>
  <si>
    <t>01a11680-bb33-70f0-9483-f87ffc291240</t>
  </si>
  <si>
    <t>{"name": "read_file", "args": {"file_path": "/plan.md"}, "id": "read_file-43", "type": "tool_call"}</t>
  </si>
  <si>
    <t>01a11680-bb38-7991-8e75-d6c2c5c79281</t>
  </si>
  <si>
    <t>R13</t>
  </si>
  <si>
    <t>01a11680-bb3b-7c40-aa73-559fd26cef7d</t>
  </si>
  <si>
    <t>{"name": "read_file", "args": {"file_path": "/slug.py"}, "id": "read_file-44", "type": "tool_call"}</t>
  </si>
  <si>
    <t>01a11680-bb3f-73f3-af67-7f288084e57d</t>
  </si>
  <si>
    <t>@@ lines 1-20 of 20 @@
"""Create deterministic ASCII slugs for local document titles.
Accents with Latin decomposition are removed; characters without ASCII
representation are dropped. The function has no filesystem or network effects.
AI attribution: Generated with AI assistance by Northstar.
Copyright (c) 2026 Martin.Bechard@DevConsult.ca
"""
import re
import unicodedata
def slugify(title: str) -&gt; str:
    """Return a lowercase, hyphen-separated ASCII form of a title."""
    if not isinstance(title, str):
        raise TypeError("title must be a string")
    # Decompose Latin accents before the ASCII boundary; unsupported scripts
    # are dropped rather than transliterated through an undeclared dependency.
    ascii_title = unicodedata.normalize("NFKD", title).encode("ascii", "ignore").decode("ascii")
    return re.sub(r"[^a-z0-9]+", "-", ascii_title.lower()).strip("-")</t>
  </si>
  <si>
    <t>R14</t>
  </si>
  <si>
    <t>01a11680-bb43-71d3-92d5-3ee3a252eca4</t>
  </si>
  <si>
    <t>{"task_id": "T1", "verdict": "approve", "evidence": "/slug.py now strips boundary hyphens and satisfies T1. Source inspection only; tests not executed."}</t>
  </si>
  <si>
    <t>R15</t>
  </si>
  <si>
    <t>01a11680-bb50-7e22-ac77-d069cfa149c0</t>
  </si>
  <si>
    <t>You are the planner. You own only /plan.md; never implement or repair code or tests. The only implementation paths are /slug.py and /test_slug.py; the public function is slugify imported from slug. The workflow automatically executes /test_slug.py after each worker invocation and supplies test_execution evidence before review. On the initial planning invocation, read an existing plan if present, then create or extend an ordered plan of concrete implementation steps with stable task IDs, acceptance criteria, and pending status. Review and closeout are part of EVERY implementation step, never separate plan tasks. NEVER assign source review, cross-file review, approval, verification-only work, or closeout to the worker. The independent reviewer node already handles those checks for each implementation step. For the initial slug request, plan two implementation steps: implement the function, then write its tests. For a follow-up request, add only the concrete requested code/test changes. Preserve earlier evidence. Assign exactly ONE pending task to the worker, then stop. On an approved-step invocation, update ONLY the named approved task to complete using the supplied reviewer evidence, reread /plan.md, then assign the next pending task or finish. Do not mark a task complete on worker claims, your own inspection, or a summary. Only the workflow-supplied approval authorizes that update. Never repair a rejected task yourself. Your final response must be a JSON object with action (work or finish), task_id (the next task ID, or empty when finishing), files (an array of writable paths for this task chosen from /slug.py and /test_slug.py, empty when finishing), and message (a self-contained assignment including acceptance criteria, or final report). No Markdown fences. A work response must name exactly one task. Include the observed test count, exit status and independent review outcome in the plan and final report; never substitute written tests for execution evidence.
Sample practices:
# Coding practices for a small Python change
This guidance is part of the context-budget sample. It is deliberately self-contained: no external skill, service, repository-specific command, or server is required. Apply it to the local exercise described in the plan. The plan is the durable coordination record; conversation text is transient.
## Establish the task
Read the current plan before choosing work. Identify the requested behavior, the intended user, inputs and outputs, file ownership, and acceptance criteria. Separate requirements from implementation guesses. If a task cannot be completed because information is missing, record the exact gap in the plan rather than silently inventing a contract. Prefer a small explicit contract over speculative flexibility. Make names describe responsibilities and avoid adding an abstraction that has only one use. If prior tasks changed the plan, use its latest on-disk version, not an older summary of it.
## Design before editing
For each task, describe the observable before and after behavior. List one or two representative examples and the most important edge cases. Decide where input validation belongs and what should happen for invalid values. Choose deterministic behavior that can be checked without external services. Keep the public function small and place supporting logic near it. Avoid hidden state and avoid catching errors so broadly that a failed edit looks successful. Do not make a safety claim that the code cannot enforce.
## Implement in small verified steps
Read the existing file before editing it. Change only the files named by the plan. Preserve content outside the task. When creating code, include a plain-language file header stating purpose, responsibilities, assumptions, AI assistance, and copyright. Explain non-obvious control flow and why a particular branch exists. Comments should clarify intent, not repeat syntax. After each tool result, check whether the operation succeeded before recording progress. If an edit fails or replaces the wrong string, stop and repair that step. Never record a task as complete simply because a tool was called.
## Tests and evidence
Write tests for external behavior, important boundaries, and regressions the task is meant to prevent. Do not write a test that only copies the implementation's branching. A test should distinguish a plausible bug from correct behavior. Keep test data readable. After each worker handoff the workflow runs /test_slug.py with standard-library unittest. Use the supplied test_execution receipt, including failures, when reporting verification; never substitute a code review for execution evidence. A reviewer may inspect coverage and syntax, but a review report is not a passing test result.
## Plan maintenance
The planner marks a task complete only after the independent reviewer approves that task's current files. An existing artifact alone is not approval. The worker reports concrete tool outcomes but does not edit the plan. The planner uses a narrow replacement that preserves other tasks, with concise evidence such as the created file, test name, or reviewer finding. Read the plan again after every status edit, even if the edit succeeded, so the next decision uses the current document. Keep a pending, complete, or blocked status for every task. Record uncertainty under the relevant task instead of hiding it in a final answer. If the reviewer requests changes, the same task stays incomplete. The worker repairs it and the reviewer checks the new version before the planner records completion.
## Handoff and review
The planner supplies a self-contained task assignment: the plan path, code paths, intended behavior, and acceptance criteria. The workflow forwards that assignment to the reviewer after the worker returns. The reviewer starts with an isolated context and has no access to this conversation. Ask for source-backed findings with severity and uncertainty. The workflow delivers the independent verdict. A rejection returns the same task to the worker. Approval lets the planner record completion and reread the plan before assigning another task. Report only what the visible evidence supports.
## Context limits
Large instructions, file reads, tool schemas, and tool results consume context. Use compaction to preserve durable decisions and current task state when earlier conversation is summarized. The on-disk plan remains authoritative; after compaction, reread it before the next task. Do not infer that a summary retains every line of a file. When a read is truncated, request the missing section. Keep final messages concise enough to show the task status, verification level, and next action without duplicating the entire plan.
Role ownership survives compaction: only the worker edits source/tests, only the reviewer issues approval, and only the planner updates plan status. The current workflow assignment and verdict override incomplete history summaries.
Authoritative current workflow operation; do ONLY this operation, even if a history summary suggests later work:
{"operation": "record_approved_step", "assignment": {"action": "work", "task_id": "T1", "files": ["/slug.py"], "message": "Implement T1 only: write /slug.py according to /plan.md. Tests belong to the next step."}, "approval": {"task_id": "T1", "verdict": "approve", "evidence": "/slug.py now strips boundary hyphens and satisfies T1. Source inspection only; tests not executed."}, "test_execution": {"command": "python -I -B -c &lt;unittest runner&gt;", "suite": "test_slug.py", "exit_code": null, "tests_run": 0, "status": "not_yet_written", "stdout": "", "stderr": "test_slug.py does not exist.", "task_id": "T1", "attempt": 2}, "completed_task_ids": ["T1"]}</t>
  </si>
  <si>
    <t>Updated file /plan.md
@@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pending.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Updated file /slug.py
@@ lines 1-20 of 20 @@
"""Create deterministic ASCII slugs for local document titles.
Accents with Latin decomposition are removed; characters without ASCII
representation are dropped. The function has no filesystem or network effects.
AI attribution: Generated with AI assistance by Northstar.
Copyright (c) 2026 Martin.Bechard@DevConsult.ca
"""
import re
import unicodedata
def slugify(title: str) -&gt; str:
    """Return a lowercase, hyphen-separated ASCII form of a title."""
    if not isinstance(title, str):
        raise TypeError("title must be a string")
    # Decompose Latin accents before the ASCII boundary; unsupported scripts
    # are dropped rather than transliterated through an undeclared dependency.
    ascii_title = unicodedata.normalize("NFKD", title).encode("ascii", "ignore").decode("ascii")
    return re.sub(r"[^a-z0-9]+", "-", ascii_title.lower())
Successfully replaced 1 instance(s) of the string in '/slug.py'</t>
  </si>
  <si>
    <t>{"name": "read_file", "args": {"file_path": "/plan.md"}, "id": "read_file-2", "type": "tool_call"}</t>
  </si>
  <si>
    <t>01a11680-bb57-7f91-99e3-9e00495a4860</t>
  </si>
  <si>
    <t>R16</t>
  </si>
  <si>
    <t>01a11680-bb5b-7520-86a0-42fd454bddca</t>
  </si>
  <si>
    <t>{"name": "edit_file", "args": {"file_path": "/plan.md", "old_string": "Task T1 \u2014 implement the public function. Status: pending.", "new_string": "Task T1 \u2014 implement the public function. Status: complete. Review evidence: independent reviewer approved current source; tests not yet written."}, "id": "edit_file-3", "type": "tool_call"}</t>
  </si>
  <si>
    <t>01a11680-bb61-7851-a88e-2ee9ca100add</t>
  </si>
  <si>
    <t>{'file_path': '/plan.md', 'old_string': 'Task T1 — implement the public function. Status: pending.', 'new_string': 'Task T1 — implement the public function. Status: complete. Review evidence: independent reviewer approved current source; tests not yet written.'}</t>
  </si>
  <si>
    <t>Successfully replaced 1 instance(s) of the string in '/plan.md'</t>
  </si>
  <si>
    <t>R17</t>
  </si>
  <si>
    <t>01a11680-bb66-7c13-a6de-6be505cb2be9</t>
  </si>
  <si>
    <t>{"name": "read_file", "args": {"file_path": "/plan.md"}, "id": "read_file-4", "type": "tool_call"}</t>
  </si>
  <si>
    <t>01a11680-bb6c-74e0-872e-6b8c0d60d71a</t>
  </si>
  <si>
    <t>@@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t>
  </si>
  <si>
    <t>R18</t>
  </si>
  <si>
    <t>01a11680-bb72-7411-92f9-fb454cb60930</t>
  </si>
  <si>
    <t>Empty system message (framing only).</t>
  </si>
  <si>
    <t>The plan lives in /plan.md. Planner owns only plan updates; worker owns source and tests; reviewer independently approves each current task. The workflow supplies the authoritative current assignment and verdict after this summary. Never infer approval or the next actor from this summary.</t>
  </si>
  <si>
    <t>R19</t>
  </si>
  <si>
    <t>01a11680-bb77-7703-a496-42c30af6722e</t>
  </si>
  <si>
    <t>{"action": "work", "task_id": "T2", "files": ["/test_slug.py"], "message": "Implement T2 only: write /test_slug.py with focused unittest coverage of the plan contract. Read current /slug.py first."}</t>
  </si>
  <si>
    <t>R20</t>
  </si>
  <si>
    <t>01a11680-bb80-7ec1-a7ee-c00a7df66a5c</t>
  </si>
  <si>
    <t>{"name": "read_file", "args": {"file_path": "/plan.md"}, "id": "read_file-24", "type": "tool_call"}</t>
  </si>
  <si>
    <t>01a11680-bb85-7b61-9ca1-d43004624ad2</t>
  </si>
  <si>
    <t>R21</t>
  </si>
  <si>
    <t>01a11680-bb89-7cb2-b151-47f103943125</t>
  </si>
  <si>
    <t>{"name": "read_file", "args": {"file_path": "/slug.py"}, "id": "read_file-25", "type": "tool_call"}</t>
  </si>
  <si>
    <t>01a11680-bb8e-70d1-b085-883179cdf882</t>
  </si>
  <si>
    <t>R22</t>
  </si>
  <si>
    <t>01a11680-bb92-7aa0-be26-13bdd42ab476</t>
  </si>
  <si>
    <t>{"name": "write_file", "args": {"file_path": "/test_slug.py", "content": "\"\"\"Check the public slug contract with standard-library unittest.\n\nThe workflow executes this suite before independent source review.\nAI attribution: Generated with AI assistance by Northstar.\nCopyright (c) 2026 Martin.Bechard@DevConsult.ca\n\"\"\"\n\nimport unittest\n\nfrom slug import slugify\n\n\nclass SlugTests(unittest.TestCase):\n    \"\"\"Exercise distinct behaviors named in the plan.\"\"\"\n\n    def test_normal_title(self):\n        self.assertEqual(slugify(\"Hello World\"), \"hello-world\")\n\n    def test_runs_of_separators(self):\n        self.assertEqual(slugify(\"Many   spaces... and punctuation!\"), \"many-spaces-and-punctuation\")\n\n    def test_latin_accent(self):\n        self.assertEqual(slugify(\"Caf\u00e9 \u00c9tude\"), \"cafe-etude\")\n\n    def test_empty(self):\n        self.assertEqual(slugify(\"\"), \"\")\n\n    def test_invalid_input(self):\n        with self.assertRaises(TypeError):\n            slugify(None)\n"}, "id": "write_file-26", "type": "tool_call"}</t>
  </si>
  <si>
    <t>01a11680-bb99-7741-8eb0-b0da0e2f00c7</t>
  </si>
  <si>
    <t>{'file_path': '/test_slug.py', 'content': '"""Check the public slug contract with standard-library unittest.\n\nThe workflow executes this suite before independent source review.\nAI attribution: Generated with AI assistance by Northstar.\nCopyright (c) 2026 Martin.Bechard@DevConsult.ca\n"""\n\nimport unittest\n\nfrom slug import slugify\n\n\nclass SlugTests(unittest.TestCase):\n    """Exercise distinct behaviors named in the plan."""\n\n    def test_normal_title(self):\n        self.assertEqual(slugify("Hello World"), "hello-world")\n\n    def test_runs_of_separators(self):\n        self.assertEqual(slugify("Many   spaces... and punctuation!"), "many-spaces-and-punctuation")\n\n    def test_latin_accent(self):\n        self.assertEqual(slugify("Café Étude"), "cafe-etude")\n\n    def test_empty(self):\n        self.assertEqual(slugify(""), "")\n\n    def test_invalid_input(self):\n        with self.assertRaises(TypeError):\n            slugify(None)\n'}</t>
  </si>
  <si>
    <t>Updated file /test_slug.py</t>
  </si>
  <si>
    <t>R23</t>
  </si>
  <si>
    <t>01a11680-bb9c-7933-9113-ac27affb00d8</t>
  </si>
  <si>
    <t>T2 test source written; tests not executed. Review required.</t>
  </si>
  <si>
    <t>R24</t>
  </si>
  <si>
    <t>01a11680-bc01-7ed3-a99b-e7721897dae5</t>
  </si>
  <si>
    <t>{"name": "read_file", "args": {"file_path": "/plan.md"}, "id": "read_file-46", "type": "tool_call"}</t>
  </si>
  <si>
    <t>01a11680-bc07-77c2-a620-8ef525364971</t>
  </si>
  <si>
    <t>R25</t>
  </si>
  <si>
    <t>01a11680-bc09-7eb0-83bc-2e457bd9b617</t>
  </si>
  <si>
    <t>{"name": "read_file", "args": {"file_path": "/slug.py"}, "id": "read_file-47", "type": "tool_call"}</t>
  </si>
  <si>
    <t>01a11680-bc0e-7f52-a74e-7d79aca2023d</t>
  </si>
  <si>
    <t>R26</t>
  </si>
  <si>
    <t>01a11680-bc10-7a43-945a-eb7033b47be9</t>
  </si>
  <si>
    <t>{"name": "read_file", "args": {"file_path": "/test_slug.py"}, "id": "read_file-48", "type": "tool_call"}</t>
  </si>
  <si>
    <t>01a11680-bc15-79b1-8f29-aae8424b762d</t>
  </si>
  <si>
    <t>{'file_path': '/test_slug.py'}</t>
  </si>
  <si>
    <t>@@ lines 1-30 of 30 @@
"""Check the public slug contract with standard-library unittest.
The workflow executes this suite before independent source review.
AI attribution: Generated with AI assistance by Northstar.
Copyright (c) 2026 Martin.Bechard@DevConsult.ca
"""
import unittest
from slug import slugify
class SlugTests(unittest.TestCase):
    """Exercise distinct behaviors named in the plan."""
    def test_normal_title(self):
        self.assertEqual(slugify("Hello World"), "hello-world")
    def test_runs_of_separators(self):
        self.assertEqual(slugify("Many   spaces... and punctuation!"), "many-spaces-and-punctuation")
    def test_latin_accent(self):
        self.assertEqual(slugify("Café Étude"), "cafe-etude")
    def test_empty(self):
        self.assertEqual(slugify(""), "")
    def test_invalid_input(self):
        with self.assertRaises(TypeError):
            slugify(None)</t>
  </si>
  <si>
    <t>R27</t>
  </si>
  <si>
    <t>01a11680-bc18-77a3-9845-1c798606d037</t>
  </si>
  <si>
    <t>{"task_id": "T2", "verdict": "approve", "evidence": "/test_slug.py covers normal input, punctuation, accents, empty input and invalid types as T2 requires. The runner reports 5 tests passed, exit code 0."}</t>
  </si>
  <si>
    <t>R28</t>
  </si>
  <si>
    <t>01a11680-bc21-7990-b9bd-4e41a5a88b4a</t>
  </si>
  <si>
    <t>@@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 lines 1-20 of 20 @@
"""Create deterministic ASCII slugs for local document titles.
Accents with Latin decomposition are removed; characters without ASCII
representation are dropped. The function has no filesystem or network effects.
AI attribution: Generated with AI assistance by Northstar.
Copyright (c) 2026 Martin.Bechard@DevConsult.ca
"""
import re
import unicodedata
def slugify(title: str) -&gt; str:
    """Return a lowercase, hyphen-separated ASCII form of a title."""
    if not isinstance(title, str):
        raise TypeError("title must be a string")
    # Decompose Latin accents before the ASCII boundary; unsupported scripts
    # are dropped rather than transliterated through an undeclared dependency.
    ascii_title = unicodedata.normalize("NFKD", title).encode("ascii", "ignore").decode("ascii")
    return re.sub(r"[^a-z0-9]+", "-", ascii_title.lower()).strip("-")
Updated file /test_slug.py</t>
  </si>
  <si>
    <t>{"name": "read_file", "args": {"file_path": "/plan.md"}, "id": "read_file-5", "type": "tool_call"}</t>
  </si>
  <si>
    <t>01a11680-bc27-7dc2-9461-2fb0125dd40d</t>
  </si>
  <si>
    <t>R29</t>
  </si>
  <si>
    <t>01a11680-bc2b-7f00-9fc7-3cafa1311ce3</t>
  </si>
  <si>
    <t>{"name": "edit_file", "args": {"file_path": "/plan.md", "old_string": "Task T2 \u2014 create focused tests. Status: pending.", "new_string": "Task T2 \u2014 create focused tests. Status: complete. Review evidence: independent reviewer approved current source; runner reported 5 tests passed, exit code 0."}, "id": "edit_file-6", "type": "tool_call"}</t>
  </si>
  <si>
    <t>01a11680-bc31-7963-a423-07a654085d55</t>
  </si>
  <si>
    <t>{'file_path': '/plan.md', 'old_string': 'Task T2 — create focused tests. Status: pending.', 'new_string': 'Task T2 — create focused tests. Status: complete. Review evidence: independent reviewer approved current source; runner reported 5 tests passed, exit code 0.'}</t>
  </si>
  <si>
    <t>R30</t>
  </si>
  <si>
    <t>01a11680-bc36-7123-a716-0a1b85cc1ae3</t>
  </si>
  <si>
    <t>{"name": "read_file", "args": {"file_path": "/plan.md"}, "id": "read_file-7", "type": "tool_call"}</t>
  </si>
  <si>
    <t>01a11680-bc3c-7ec2-926d-428673947460</t>
  </si>
  <si>
    <t>@@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complete. Review evidence: independent reviewer approved current source; runner reported 5 tests passed, exit code 0.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t>
  </si>
  <si>
    <t>R31</t>
  </si>
  <si>
    <t>01a11680-bc42-7f01-80f4-7cace2fed153</t>
  </si>
  <si>
    <t>{"action": "finish", "task_id": "", "files": [], "message": "T1 and T2 independently approved and complete. Runner: 5 tests passed, exit code 0."}</t>
  </si>
  <si>
    <t>Turn 2</t>
  </si>
  <si>
    <t>R32</t>
  </si>
  <si>
    <t>01a11680-bc64-71a3-afef-72e7fe808a98</t>
  </si>
  <si>
    <t>@@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 lines 1-20 of 20 @@
"""Create deterministic ASCII slugs for local document titles.
Accents with Latin decomposition are removed; characters without ASCII
representation are dropped. The function has no filesystem or network effects.
AI attribution: Generated with AI assistance by Northstar.
Copyright (c) 2026 Martin.Bechard@DevConsult.ca
"""
import re
import unicodedata
def slugify(title: str) -&gt; str:
    """Return a lowercase, hyphen-separated ASCII form of a title."""
    if not isinstance(title, str):
        raise TypeError("title must be a string")
    # Decompose Latin accents before the ASCII boundary; unsupported scripts
    # are dropped rather than transliterated through an undeclared dependency.
    ascii_title = unicodedata.normalize("NFKD", title).encode("ascii", "ignore").decode("ascii")
    return re.sub(r"[^a-z0-9]+", "-", ascii_title.lower()).strip("-")
Updated file /test_slug.py
@@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pending.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Successfully replaced 1 instance(s) of the string in '/plan.md'
@@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complete. Review evidence: independent reviewer approved current source; runner reported 5 tests passed, exit code 0.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t>
  </si>
  <si>
    <t>{"name": "read_file", "args": {"file_path": "/plan.md"}, "id": "read_file-8", "type": "tool_call"}</t>
  </si>
  <si>
    <t>01a11680-bc6a-71b0-9cfa-0af885ab9dcf</t>
  </si>
  <si>
    <t>R33</t>
  </si>
  <si>
    <t>01a11680-bc6d-7c62-8469-65b6f88421d1</t>
  </si>
  <si>
    <t>R34</t>
  </si>
  <si>
    <t>01a11680-bc72-7233-8220-bf58c773c72d</t>
  </si>
  <si>
    <t>{"name": "edit_file", "args": {"file_path": "/plan.md", "old_string": "Risk notes:", "new_string": "Task T3 \u2014 extend boundary coverage. Status: pending. Acceptance: add separator-only and leading/trailing punctuation tests to /test_slug.py.\n\nRisk notes:"}, "id": "edit_file-9", "type": "tool_call"}</t>
  </si>
  <si>
    <t>01a11680-bc78-7a03-87f0-7567f71ff509</t>
  </si>
  <si>
    <t>{'file_path': '/plan.md', 'old_string': 'Risk notes:', 'new_string': 'Task T3 — extend boundary coverage. Status: pending. Acceptance: add separator-only and leading/trailing punctuation tests to /test_slug.py.\n\nRisk notes:'}</t>
  </si>
  <si>
    <t>R35</t>
  </si>
  <si>
    <t>01a11680-bc7c-7d21-a9dd-8c6fc7b85661</t>
  </si>
  <si>
    <t>{"action": "work", "task_id": "T3", "files": ["/test_slug.py"], "message": "Implement T3 only: extend /test_slug.py with separator-only and outer-punctuation tests. Preserve existing tests."}</t>
  </si>
  <si>
    <t>R36</t>
  </si>
  <si>
    <t>01a11680-bc84-71e3-9569-42e0cd92ae8e</t>
  </si>
  <si>
    <t>@@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complete. Review evidence: independent reviewer approved current source; runner reported 5 tests passed, exit code 0.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Successfully replaced 1 instance(s) of the string in '/plan.md'</t>
  </si>
  <si>
    <t>{"name": "read_file", "args": {"file_path": "/plan.md"}, "id": "read_file-27", "type": "tool_call"}</t>
  </si>
  <si>
    <t>01a11680-bc89-7401-aed0-0569cb0b79af</t>
  </si>
  <si>
    <t>@@ lines 1-19 of 19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complete. Review evidence: independent reviewer approved current source; runner reported 5 tests passed, exit code 0. Acceptance: /test_slug.py imports slugify and uses unittest with examples for normal titles, spacing, punctuation, accents, empty input, and invalid input. The tests should distinguish a plausible broken implementation from the expected contract. Read the plan after recording completion.
Task T3 — extend boundary coverage. Status: pending. Acceptance: add separator-only and leading/trailing punctuation tests to /test_slug.py.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t>
  </si>
  <si>
    <t>R37</t>
  </si>
  <si>
    <t>01a11680-bc90-74c2-b498-ca220242ebdd</t>
  </si>
  <si>
    <t>{"name": "read_file", "args": {"file_path": "/test_slug.py"}, "id": "read_file-28", "type": "tool_call"}</t>
  </si>
  <si>
    <t>01a11680-bc96-76d0-a339-19ac31ded8ca</t>
  </si>
  <si>
    <t>R38</t>
  </si>
  <si>
    <t>01a11680-bc9a-7bc3-870a-424c8bdae851</t>
  </si>
  <si>
    <t>{"name": "edit_file", "args": {"file_path": "/test_slug.py", "old_string": "    def test_invalid_input(self):", "new_string": "\n    def test_only_separators(self):\n        self.assertEqual(slugify(\"...  ---\"), \"\")\n\n    def test_outer_punctuation(self):\n        self.assertEqual(slugify(\"!! Great Day ??\"), \"great-day\")\n\n    def test_invalid_input(self):"}, "id": "edit_file-29", "type": "tool_call"}</t>
  </si>
  <si>
    <t>01a11680-bca1-79c1-8d5f-972a63adc845</t>
  </si>
  <si>
    <t>{'file_path': '/test_slug.py', 'old_string': '    def test_invalid_input(self):', 'new_string': '\n    def test_only_separators(self):\n        self.assertEqual(slugify("...  ---"), "")\n\n    def test_outer_punctuation(self):\n        self.assertEqual(slugify("!! Great Day ??"), "great-day")\n\n    def test_invalid_input(self):'}</t>
  </si>
  <si>
    <t>Successfully replaced 1 instance(s) of the string in '/test_slug.py'</t>
  </si>
  <si>
    <t>R39</t>
  </si>
  <si>
    <t>01a11680-bcaa-7af1-bd33-b255dbbd1f1a</t>
  </si>
  <si>
    <t>T3 boundary cases added; tests not executed. Review required.</t>
  </si>
  <si>
    <t>R40</t>
  </si>
  <si>
    <t>01a11680-bd02-7611-8104-1bb50c4fea56</t>
  </si>
  <si>
    <t>{"name": "read_file", "args": {"file_path": "/plan.md"}, "id": "read_file-49", "type": "tool_call"}</t>
  </si>
  <si>
    <t>01a11680-bd07-7b11-bab9-de4fa388ea66</t>
  </si>
  <si>
    <t>R41</t>
  </si>
  <si>
    <t>01a11680-bd0a-7700-8d30-4697f833204b</t>
  </si>
  <si>
    <t>{"name": "read_file", "args": {"file_path": "/slug.py"}, "id": "read_file-50", "type": "tool_call"}</t>
  </si>
  <si>
    <t>01a11680-bd0f-7191-ba82-7618333b0360</t>
  </si>
  <si>
    <t>R42</t>
  </si>
  <si>
    <t>01a11680-bd11-72c3-9397-09bd2fbb5f66</t>
  </si>
  <si>
    <t>{"name": "read_file", "args": {"file_path": "/test_slug.py"}, "id": "read_file-51", "type": "tool_call"}</t>
  </si>
  <si>
    <t>01a11680-bd16-7093-bd40-2cd66385eb4d</t>
  </si>
  <si>
    <t>@@ lines 1-37 of 37 @@
"""Check the public slug contract with standard-library unittest.
The workflow executes this suite before independent source review.
AI attribution: Generated with AI assistance by Northstar.
Copyright (c) 2026 Martin.Bechard@DevConsult.ca
"""
import unittest
from slug import slugify
class SlugTests(unittest.TestCase):
    """Exercise distinct behaviors named in the plan."""
    def test_normal_title(self):
        self.assertEqual(slugify("Hello World"), "hello-world")
    def test_runs_of_separators(self):
        self.assertEqual(slugify("Many   spaces... and punctuation!"), "many-spaces-and-punctuation")
    def test_latin_accent(self):
        self.assertEqual(slugify("Café Étude"), "cafe-etude")
    def test_empty(self):
        self.assertEqual(slugify(""), "")
    def test_only_separators(self):
        self.assertEqual(slugify("...  ---"), "")
    def test_outer_punctuation(self):
        self.assertEqual(slugify("!! Great Day ??"), "great-day")
    def test_invalid_input(self):
        with self.assertRaises(TypeError):
            slugify(None)</t>
  </si>
  <si>
    <t>R43</t>
  </si>
  <si>
    <t>01a11680-bd19-7412-b4af-08e4bce63d5d</t>
  </si>
  <si>
    <t>{"task_id": "T3", "verdict": "approve", "evidence": "/test_slug.py adds test_only_separators and test_outer_punctuation; existing tests preserved. Runner: 7 tests passed, exit code 0."}</t>
  </si>
  <si>
    <t>R44</t>
  </si>
  <si>
    <t>01a11680-bd23-71a2-9534-e16004e893f9</t>
  </si>
  <si>
    <t>@@ lines 1-17 of 17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complete. Review evidence: independent reviewer approved current source; runner reported 5 tests passed, exit code 0. Acceptance: /test_slug.py imports slugify and uses unittest with examples for normal titles, spacing, punctuation, accents, empty input, and invalid input. The tests should distinguish a plausible broken implementation from the expected contract. Read the plan after recording completion.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Successfully replaced 1 instance(s) of the string in '/plan.md'
@@ lines 1-19 of 19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complete. Review evidence: independent reviewer approved current source; runner reported 5 tests passed, exit code 0. Acceptance: /test_slug.py imports slugify and uses unittest with examples for normal titles, spacing, punctuation, accents, empty input, and invalid input. The tests should distinguish a plausible broken implementation from the expected contract. Read the plan after recording completion.
Task T3 — extend boundary coverage. Status: pending. Acceptance: add separator-only and leading/trailing punctuation tests to /test_slug.py.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
@@ lines 1-30 of 30 @@
"""Check the public slug contract with standard-library unittest.
The workflow executes this suite before independent source review.
AI attribution: Generated with AI assistance by Northstar.
Copyright (c) 2026 Martin.Bechard@DevConsult.ca
"""
import unittest
from slug import slugify
class SlugTests(unittest.TestCase):
    """Exercise distinct behaviors named in the plan."""
    def test_normal_title(self):
        self.assertEqual(slugify("Hello World"), "hello-world")
    def test_runs_of_separators(self):
        self.assertEqual(slugify("Many   spaces... and punctuation!"), "many-spaces-and-punctuation")
    def test_latin_accent(self):
        self.assertEqual(slugify("Café Étude"), "cafe-etude")
    def test_empty(self):
        self.assertEqual(slugify(""), "")
    def test_invalid_input(self):
        with self.assertRaises(TypeError):
            slugify(None)
Successfully replaced 1 instance(s) of the string in '/test_slug.py'</t>
  </si>
  <si>
    <t>{"name": "read_file", "args": {"file_path": "/plan.md"}, "id": "read_file-10", "type": "tool_call"}</t>
  </si>
  <si>
    <t>01a11680-bd29-7592-baeb-11fed8dce2d3</t>
  </si>
  <si>
    <t>R45</t>
  </si>
  <si>
    <t>01a11680-bd2c-75c2-a5c0-00a3cf7ae12e</t>
  </si>
  <si>
    <t>{"name": "edit_file", "args": {"file_path": "/plan.md", "old_string": "Task T3 \u2014 extend boundary coverage. Status: pending.", "new_string": "Task T3 \u2014 extend boundary coverage. Status: complete. Review evidence: independent reviewer approved current source; runner reported 7 tests passed, exit code 0."}, "id": "edit_file-11", "type": "tool_call"}</t>
  </si>
  <si>
    <t>01a11680-bd33-7e42-8d8c-fda7550ca4cd</t>
  </si>
  <si>
    <t>{'file_path': '/plan.md', 'old_string': 'Task T3 — extend boundary coverage. Status: pending.', 'new_string': 'Task T3 — extend boundary coverage. Status: complete. Review evidence: independent reviewer approved current source; runner reported 7 tests passed, exit code 0.'}</t>
  </si>
  <si>
    <t>R46</t>
  </si>
  <si>
    <t>01a11680-bd37-7c41-b625-9844ef092631</t>
  </si>
  <si>
    <t>{"name": "read_file", "args": {"file_path": "/plan.md"}, "id": "read_file-12", "type": "tool_call"}</t>
  </si>
  <si>
    <t>01a11680-bd3d-75e3-b714-ecdf4f1e4661</t>
  </si>
  <si>
    <t>@@ lines 1-19 of 19 @@
# Slug utility delivery plan
Goal: provide one deterministic Python function named slugify in /slug.py. It turns a title into a lowercase ASCII slug suitable for a local document name. The sample must demonstrate file-backed coordination and independent review, not a production packaging workflow. /test_slug.py contains focused unittest coverage. Each step follows worker implementation, independent approval, then planner completion before the next step starts.
Working agreement: every task has a stable ID. An edit changes only the named task status and evidence. Pending means no artifact is claimed. Complete means the current version was independently approved and the planner recorded that approval. Blocked means a concrete missing input or failed operation. A reviewer report is evidence of inspection, not evidence that tests executed. The reviewer has read-only access and a separate context; its assignment must include all paths and intended behavior. The planner retains ownership of the plan. The worker reports implementation evidence but does not edit the plan.
Design contract: accept a string title. Normalize accented Latin letters to their ASCII base where Unicode decomposition provides one. Convert to lowercase. Treat runs of punctuation and whitespace as a single hyphen. Strip leading and trailing hyphens. Empty or separator-only text returns an empty string. A non-string input raises TypeError with a clear message. Do not use network calls, environment configuration, or generated identifiers. Preserve deterministic output for the same input.
Implementation notes: prefer unicodedata.normalize over a third-party transliteration package. Encode decomposed text as ASCII while dropping characters that have no ASCII form. Explain that limitation in a docstring because some scripts become empty. Use a regular expression for separator runs and make its pattern explicit. Keep the public function side-effect free. Avoid broad exception handlers and hidden fallback behavior. Include a purpose header, AI attribution, and the project copyright in each Python file.
Verification agreement: tests use only Python's standard library unittest. They should verify a normal title, repeated whitespace and punctuation, accented Latin input, leading and trailing separators, empty input, and invalid type. Tests are source artifacts until a command actually executes them; the workflow runs /test_slug.py after each worker handoff and supplies its execution receipt to the reviewer. The final report must distinguish written tests from passing tests. Review findings should name a triggering example and the affected task.
Task T1 — implement the public function. Status: complete. Review evidence: independent reviewer approved current source; tests not yet written. Acceptance: /slug.py exposes slugify; ordinary words become lowercase with one hyphen; accents with Latin decompositions lose marks; punctuation runs do not create repeated hyphens; non-string values fail visibly. Read the plan after recording completion.
Task T2 — create focused tests. Status: complete. Review evidence: independent reviewer approved current source; runner reported 5 tests passed, exit code 0. Acceptance: /test_slug.py imports slugify and uses unittest with examples for normal titles, spacing, punctuation, accents, empty input, and invalid input. The tests should distinguish a plausible broken implementation from the expected contract. Read the plan after recording completion.
Task T3 — extend boundary coverage. Status: complete. Review evidence: independent reviewer approved current source; runner reported 7 tests passed, exit code 0. Acceptance: add separator-only and leading/trailing punctuation tests to /test_slug.py.
Risk notes: file reads may be paginated, so inspect the rest if a native read is truncated. A successful write does not prove behavior; it only proves content was saved. A summary may omit exact plan lines, so the current file controls status after compaction. If a tool reports an error, keep the task pending or blocked and explain why. Avoid broadening the task to packaging, CLI behavior, or external deployment. The intended learning is the relationship among plan state, conversation state, reviewer isolation, and context limits.</t>
  </si>
  <si>
    <t>R47</t>
  </si>
  <si>
    <t>01a11680-bd43-75d1-aa59-222dadb8556f</t>
  </si>
  <si>
    <t>R48</t>
  </si>
  <si>
    <t>01a11680-bd48-79f3-b52a-0f0c95df3850</t>
  </si>
  <si>
    <t>{"action": "finish", "task_id": "", "files": [], "message": "All assigned steps were independently approved and recorded complete. Runner: 7 tests passed, exit code 0."}</t>
  </si>
  <si>
    <t>context_budget_workflow</t>
  </si>
  <si>
    <t>workflow</t>
  </si>
  <si>
    <t>Execute the context_budget_workflow workflow operation and pass its result to the next graph step.</t>
  </si>
  <si>
    <t>Subtree total</t>
  </si>
  <si>
    <t xml:space="preserve">    planning_step</t>
  </si>
  <si>
    <t>Execute the planning_step workflow operation and pass its result to the next graph step.</t>
  </si>
  <si>
    <t>01a11680-ba21-77e0-aaf6-9e38d559946a</t>
  </si>
  <si>
    <t xml:space="preserve">        run</t>
  </si>
  <si>
    <t>Execute the run workflow operation and pass its result to the next graph step.</t>
  </si>
  <si>
    <t>01a11680-ba22-7802-b9c9-29600991c830</t>
  </si>
  <si>
    <t xml:space="preserve">            planner</t>
  </si>
  <si>
    <t>Execute the planner workflow operation and pass its result to the next graph step.</t>
  </si>
  <si>
    <t>01a11680-ba23-7a80-bd84-5c89a39ed3aa</t>
  </si>
  <si>
    <t xml:space="preserve">                SummarizationMiddleware.before_model</t>
  </si>
  <si>
    <t>Execute the SummarizationMiddleware.before_model workflow operation and pass its result to the next graph step.</t>
  </si>
  <si>
    <t>01a11680-ba24-7c21-ac53-9b66f3af450a</t>
  </si>
  <si>
    <t>No model charge</t>
  </si>
  <si>
    <t xml:space="preserve">                model</t>
  </si>
  <si>
    <t>Prepare the current conversation, run model middleware, and invoke the chat model.</t>
  </si>
  <si>
    <t>01a11680-ba26-75b1-bab6-1fbae44e8923</t>
  </si>
  <si>
    <t xml:space="preserve">                    SimulatedModel</t>
  </si>
  <si>
    <t>model</t>
  </si>
  <si>
    <t>Write and maintain the on-disk task plan.</t>
  </si>
  <si>
    <t>Own call</t>
  </si>
  <si>
    <t xml:space="preserve">                tools</t>
  </si>
  <si>
    <t>Execute tool calls requested by the preceding model response and return their observations.</t>
  </si>
  <si>
    <t>01a11680-bac8-7c70-8917-e99b48d6f457</t>
  </si>
  <si>
    <t xml:space="preserve">                    write_file</t>
  </si>
  <si>
    <t>tool</t>
  </si>
  <si>
    <t>Writes content to a file. Creates the file if it does not exist; replaces it entirely if it does.
Usage:
- Use this tool when you intend to create a new file or replace the whole file. You do not need to read the file first.
- Prefer to edit existing files (with the edit_file tool) over creating new ones when possible.</t>
  </si>
  <si>
    <t>01a11680-bacc-72f1-83c4-3ebd0aed3e79</t>
  </si>
  <si>
    <t>01a11680-bacd-7ac0-8c2c-29f958b2af6c</t>
  </si>
  <si>
    <t xml:space="preserve">        dispatch</t>
  </si>
  <si>
    <t>Execute the dispatch workflow operation and pass its result to the next graph step.</t>
  </si>
  <si>
    <t>01a11680-bad3-7b82-af08-2a8b47e757ba</t>
  </si>
  <si>
    <t xml:space="preserve">    working_step</t>
  </si>
  <si>
    <t>Execute the working_step workflow operation and pass its result to the next graph step.</t>
  </si>
  <si>
    <t>01a11680-bad4-79c2-9d70-1ef1b9c83b94</t>
  </si>
  <si>
    <t>01a11680-bad4-79c2-9d70-1f07253ba154</t>
  </si>
  <si>
    <t xml:space="preserve">            worker</t>
  </si>
  <si>
    <t>Execute the worker workflow operation and pass its result to the next graph step.</t>
  </si>
  <si>
    <t>01a11680-bad5-7b13-80fb-5d127022b783</t>
  </si>
  <si>
    <t>01a11680-bad5-7b13-80fb-5d25b656b6b0</t>
  </si>
  <si>
    <t>01a11680-bad6-7cc0-873c-5a1c21c251c4</t>
  </si>
  <si>
    <t>Implement tasks and hand evidence to the planner.</t>
  </si>
  <si>
    <t>01a11680-bade-7473-a479-353e87d9e032</t>
  </si>
  <si>
    <t xml:space="preserve">                    read_file</t>
  </si>
  <si>
    <t>Reads a file from the filesystem. Assume any path the user provides is valid; reading a missing file returns an error.
Usage:
- By default, it reads up to 100 lines starting from the beginning of the file. Use `offset`/`limit` to page through large files instead of reading them whole.
- A status header, `@@ field | field | ... @@`, sits above the file content, and every line after it is verbatim file content. When content is truncated, there may be an explanation before the header. Never include the header when editing.
- Speculatively batch multiple `read_file` calls in one response when several files may be useful.
- An empty file returns a system-reminder warning in place of contents.
- Large tool results may be offloaded to a file; the tool message gives the path. Read that path here, paging with `offset`/`limit`.
- Images (`.png`, `.jpg`, etc.), audio, video, and PDFs return multimodal content blocks (https://docs.langchain.com/oss/python/langchain/messages#multimodal).
- For images and PDFs, pagination via `offset`/`limit` is text-only - supply `file_path` only
- Always read a file before editing it.</t>
  </si>
  <si>
    <t>01a11680-bae3-7b52-a930-6fb62a85c821</t>
  </si>
  <si>
    <t>01a11680-bae5-7220-8daa-7872d47307ab</t>
  </si>
  <si>
    <t>01a11680-baeb-7a12-97f7-447b004c4182</t>
  </si>
  <si>
    <t>01a11680-baee-7873-b482-1a008a947f92</t>
  </si>
  <si>
    <t>01a11680-baef-75e3-993e-79a335039e1d</t>
  </si>
  <si>
    <t xml:space="preserve">    test_step</t>
  </si>
  <si>
    <t>Execute the test_step workflow operation and pass its result to the next graph step.</t>
  </si>
  <si>
    <t>01a11680-baf6-7f30-9dfc-ada2eb77be8b</t>
  </si>
  <si>
    <t xml:space="preserve">    review_step</t>
  </si>
  <si>
    <t>Execute the review_step workflow operation and pass its result to the next graph step.</t>
  </si>
  <si>
    <t>01a11680-baf7-7833-9ffd-aa7017c73940</t>
  </si>
  <si>
    <t>01a11680-baf7-7833-9ffd-aa8e61f2ebd0</t>
  </si>
  <si>
    <t xml:space="preserve">            isolated-reviewer</t>
  </si>
  <si>
    <t>Execute the isolated-reviewer workflow operation and pass its result to the next graph step.</t>
  </si>
  <si>
    <t>01a11680-baf8-7530-a6ea-105ec259e178</t>
  </si>
  <si>
    <t>01a11680-baf8-7530-a6ea-106b4cc75488</t>
  </si>
  <si>
    <t>Inspect files in isolated review context.</t>
  </si>
  <si>
    <t>01a11680-bafd-7850-875f-63cd20d35489</t>
  </si>
  <si>
    <t>01a11680-bb00-7c21-80a6-0e9588c50c91</t>
  </si>
  <si>
    <t>01a11680-bb04-7782-b1cd-443c3e67fa1f</t>
  </si>
  <si>
    <t>01a11680-bb07-7c13-83e9-cdf4c6e1f256</t>
  </si>
  <si>
    <t xml:space="preserve">        assess</t>
  </si>
  <si>
    <t>Execute the assess workflow operation and pass its result to the next graph step.</t>
  </si>
  <si>
    <t>01a11680-bb0d-7c43-be75-525353a1e9ad</t>
  </si>
  <si>
    <t>01a11680-bb0e-7732-afaf-9a421d8d8b36</t>
  </si>
  <si>
    <t>01a11680-bb0e-7732-afaf-9a53cb6c1407</t>
  </si>
  <si>
    <t>01a11680-bb0e-7732-afaf-9a68aaff8589</t>
  </si>
  <si>
    <t>01a11680-bb0f-7221-9697-6e057d77e2ce</t>
  </si>
  <si>
    <t>01a11680-bb10-7dd3-96d3-f4ad0c42cd36</t>
  </si>
  <si>
    <t>01a11680-bb17-70b1-8f41-31c1b4049999</t>
  </si>
  <si>
    <t>01a11680-bb1a-7560-98bc-a03f1f624d36</t>
  </si>
  <si>
    <t>01a11680-bb1b-7631-a227-56bc1a8c1b9f</t>
  </si>
  <si>
    <t>01a11680-bb21-7760-a152-1be16299502f</t>
  </si>
  <si>
    <t xml:space="preserve">                    edit_file</t>
  </si>
  <si>
    <t>Performs exact string replacements in files.
Usage:
- You must read the file before editing; this tool errors otherwise.
- Preserve the exact source indentation from the read output, and never include the read status header in old_string or new_string.
- Prefer editing an existing file over creating a new one.
- Only use emojis if the user explicitly requests it.</t>
  </si>
  <si>
    <t>01a11680-bb24-73a3-b78d-7a5657cd4b0b</t>
  </si>
  <si>
    <t>01a11680-bb25-7832-8efb-c9d1f09941b1</t>
  </si>
  <si>
    <t>01a11680-bb2f-7b63-a813-9a16020b5807</t>
  </si>
  <si>
    <t>01a11680-bb31-7202-a1bc-9c1c64898872</t>
  </si>
  <si>
    <t>01a11680-bb31-7202-a1bc-9c267dc7fa10</t>
  </si>
  <si>
    <t>01a11680-bb32-7402-aead-c2c2acee002d</t>
  </si>
  <si>
    <t>01a11680-bb32-7402-aead-c2debbfc5213</t>
  </si>
  <si>
    <t>01a11680-bb37-77c3-8c56-ac45cdfe8ff0</t>
  </si>
  <si>
    <t>01a11680-bb3a-71b1-892b-18b68a04dad2</t>
  </si>
  <si>
    <t>01a11680-bb3e-7aa2-99bc-876cae5da280</t>
  </si>
  <si>
    <t>01a11680-bb42-7072-aeb2-3f092d2a009f</t>
  </si>
  <si>
    <t>01a11680-bb4a-7d63-8d36-06785f115f75</t>
  </si>
  <si>
    <t xml:space="preserve">    plan_update_step</t>
  </si>
  <si>
    <t>Execute the plan_update_step workflow operation and pass its result to the next graph step.</t>
  </si>
  <si>
    <t>01a11680-bb4b-7100-8859-9f51dd47f5b9</t>
  </si>
  <si>
    <t>01a11680-bb4c-7e90-b39a-4c1fdab5de86</t>
  </si>
  <si>
    <t>01a11680-bb4c-7e90-b39a-4c2b36792070</t>
  </si>
  <si>
    <t>01a11680-bb4d-72d3-bdc3-94a092556be3</t>
  </si>
  <si>
    <t>01a11680-bb4e-7001-94e8-335aeaaeb511</t>
  </si>
  <si>
    <t>01a11680-bb56-7180-b08d-2f19c769e8cf</t>
  </si>
  <si>
    <t>01a11680-bb58-77e1-8cde-a5c8126fdfaa</t>
  </si>
  <si>
    <t>01a11680-bb5a-7dd3-8cc0-cf696bc9a7d0</t>
  </si>
  <si>
    <t>01a11680-bb60-7230-a93e-c456d1783494</t>
  </si>
  <si>
    <t>01a11680-bb63-7fe0-ab5c-270d949bc729</t>
  </si>
  <si>
    <t>01a11680-bb65-7121-9333-8398b4829987</t>
  </si>
  <si>
    <t>01a11680-bb6b-7202-940c-4987cfa4f1b6</t>
  </si>
  <si>
    <t>Compaction completed | Context before: 9,034 tokens | History after: 3,943 tokens | Trigger: 8,500 context tokens | Retention target: 900 tokens</t>
  </si>
  <si>
    <t>01a11680-bb70-73b0-b7c7-cd3d6da4cd57</t>
  </si>
  <si>
    <t xml:space="preserve">                    context_summarizer</t>
  </si>
  <si>
    <t>Execute the context_summarizer workflow operation and pass its result to the next graph step.</t>
  </si>
  <si>
    <t>01a11680-bb71-7a42-ae68-31d41efa616a</t>
  </si>
  <si>
    <t xml:space="preserve">                        context_summarizer</t>
  </si>
  <si>
    <t>Summarize main context.</t>
  </si>
  <si>
    <t>01a11680-bb76-71d2-b07e-9ec9df5c10af</t>
  </si>
  <si>
    <t>01a11680-bb7c-74e2-9fad-e0ae23e3d1e1</t>
  </si>
  <si>
    <t>01a11680-bb7d-7a53-9a86-0db31e3187b8</t>
  </si>
  <si>
    <t>01a11680-bb7d-7a53-9a86-0dc1c544e8d9</t>
  </si>
  <si>
    <t>01a11680-bb7e-7a92-848a-ecdaab66978e</t>
  </si>
  <si>
    <t>01a11680-bb7e-7a92-848a-ecefe7fffa65</t>
  </si>
  <si>
    <t>01a11680-bb7f-75e3-bc62-c36bf0989ab1</t>
  </si>
  <si>
    <t>01a11680-bb85-7b61-9ca1-d42bdea3476a</t>
  </si>
  <si>
    <t>01a11680-bb87-75c0-89c2-1c58239f44fc</t>
  </si>
  <si>
    <t>01a11680-bb88-77b0-a442-fd036fad3e03</t>
  </si>
  <si>
    <t>01a11680-bb8d-7fe1-b715-1068205e4178</t>
  </si>
  <si>
    <t>01a11680-bb90-7510-a664-ec0b61f968ef</t>
  </si>
  <si>
    <t>01a11680-bb91-7ce0-8b5e-31060a7a50ca</t>
  </si>
  <si>
    <t>01a11680-bb98-7060-9e28-b35373a85079</t>
  </si>
  <si>
    <t>01a11680-bb9a-7510-beb5-02ec6f592022</t>
  </si>
  <si>
    <t>01a11680-bb9b-7520-9589-980d8487feb9</t>
  </si>
  <si>
    <t>01a11680-bba2-71e1-99ab-61583449e018</t>
  </si>
  <si>
    <t>01a11680-bbfe-7540-a3ce-86a067e276da</t>
  </si>
  <si>
    <t>01a11680-bbff-79c3-a931-e96926364c16</t>
  </si>
  <si>
    <t>01a11680-bbff-79c3-a931-e97521e8ef35</t>
  </si>
  <si>
    <t>01a11680-bc00-7241-adff-40a6ce29a350</t>
  </si>
  <si>
    <t>01a11680-bc06-76e3-a0aa-5545fca1d757</t>
  </si>
  <si>
    <t>01a11680-bc09-7eb0-83bc-2e35cbdc0910</t>
  </si>
  <si>
    <t>01a11680-bc0d-71b2-8262-1734ef056b53</t>
  </si>
  <si>
    <t>01a11680-bc10-7a43-945a-eb6ac3bbd5f1</t>
  </si>
  <si>
    <t>01a11680-bc15-79b1-8f29-aad7e8d582ba</t>
  </si>
  <si>
    <t>01a11680-bc17-7973-a256-97988a2c3022</t>
  </si>
  <si>
    <t>01a11680-bc1c-7711-98e0-d148c4a3d868</t>
  </si>
  <si>
    <t>01a11680-bc1d-74d1-8a12-745559ca03d8</t>
  </si>
  <si>
    <t>01a11680-bc1e-7c70-af3c-f5f92ce15697</t>
  </si>
  <si>
    <t>01a11680-bc1e-7c70-af3c-f6098a1ae0bb</t>
  </si>
  <si>
    <t>01a11680-bc1f-7900-a056-1fb4c51abc1e</t>
  </si>
  <si>
    <t>01a11680-bc20-7ba1-870a-db90ea7a7671</t>
  </si>
  <si>
    <t>01a11680-bc26-7273-9dce-d7604ffd85e6</t>
  </si>
  <si>
    <t>01a11680-bc29-7912-acd9-db03b2eb01c4</t>
  </si>
  <si>
    <t>01a11680-bc2a-7631-adcb-df2024723201</t>
  </si>
  <si>
    <t>01a11680-bc30-7012-9250-bf19ee91c079</t>
  </si>
  <si>
    <t>01a11680-bc33-7a31-ab13-8770385792fa</t>
  </si>
  <si>
    <t>01a11680-bc35-75e1-a653-e2a425567f6f</t>
  </si>
  <si>
    <t>01a11680-bc3c-7ec2-926d-427664a22954</t>
  </si>
  <si>
    <t>01a11680-bc3f-7411-bcfe-33978950f28d</t>
  </si>
  <si>
    <t>01a11680-bc41-75f3-a2db-fe82b0c48150</t>
  </si>
  <si>
    <t>01a11680-bc47-75c1-938b-2cd0ca964226</t>
  </si>
  <si>
    <t xml:space="preserve">    finish</t>
  </si>
  <si>
    <t>Execute the finish workflow operation and pass its result to the next graph step.</t>
  </si>
  <si>
    <t>01a11680-bc48-71d1-bff3-850613d0bf00</t>
  </si>
  <si>
    <t>01a11680-bc5d-7be1-b89e-acfa800c80ac</t>
  </si>
  <si>
    <t>01a11680-bc5f-7401-88a3-414b2e5fdce1</t>
  </si>
  <si>
    <t>01a11680-bc5f-7401-88a3-415fcd95e02f</t>
  </si>
  <si>
    <t>01a11680-bc60-7b71-9513-f6bc4ddee15a</t>
  </si>
  <si>
    <t>01a11680-bc60-7b71-9513-f6c5864712d9</t>
  </si>
  <si>
    <t>01a11680-bc62-7c63-a51e-1b2e429dea45</t>
  </si>
  <si>
    <t>01a11680-bc69-7d53-8d53-9fec01617d22</t>
  </si>
  <si>
    <t>Compaction completed | Context before: 8,781 tokens | History after: 3,840 tokens | Trigger: 8,500 context tokens | Retention target: 900 tokens</t>
  </si>
  <si>
    <t>01a11680-bc6c-7582-829a-19456a6cd311</t>
  </si>
  <si>
    <t>01a11680-bc6d-7c62-8469-65aad9ad70b8</t>
  </si>
  <si>
    <t>01a11680-bc71-7172-ae50-b0ec168a66ae</t>
  </si>
  <si>
    <t>01a11680-bc77-7b30-8080-201a0031bea8</t>
  </si>
  <si>
    <t>01a11680-bc7a-7e70-a235-7ac9180336b3</t>
  </si>
  <si>
    <t>01a11680-bc7b-7f61-860d-6f6227b2ab87</t>
  </si>
  <si>
    <t>01a11680-bc80-7f52-b46f-50085b3ffbaa</t>
  </si>
  <si>
    <t>01a11680-bc81-78a3-9832-6600c73d758c</t>
  </si>
  <si>
    <t>01a11680-bc82-7a92-aa8f-5eb3b51d4ce7</t>
  </si>
  <si>
    <t>01a11680-bc82-7a92-aa8f-5ecc21a7b9cf</t>
  </si>
  <si>
    <t>01a11680-bc82-7a92-aa8f-5edfb79a2a59</t>
  </si>
  <si>
    <t>01a11680-bc83-7c33-a308-1510e8a0fdd9</t>
  </si>
  <si>
    <t>01a11680-bc89-7401-aed0-055210bbd221</t>
  </si>
  <si>
    <t>01a11680-bc8e-71d1-9281-83eca1152002</t>
  </si>
  <si>
    <t>01a11680-bc8f-7390-baf4-b20b007ee243</t>
  </si>
  <si>
    <t>01a11680-bc95-7c60-82ee-566f420b205e</t>
  </si>
  <si>
    <t>01a11680-bc98-7520-9269-9dd4d6978d93</t>
  </si>
  <si>
    <t>01a11680-bc99-7ed2-b458-de9961d7b061</t>
  </si>
  <si>
    <t>01a11680-bca0-7060-b5c7-d9fba02ada5e</t>
  </si>
  <si>
    <t>01a11680-bca8-7d00-9e72-debfee1e5c75</t>
  </si>
  <si>
    <t>01a11680-bca9-7781-a4b1-2f8528baa328</t>
  </si>
  <si>
    <t>01a11680-bcb0-70e0-95c6-513a87e3ef35</t>
  </si>
  <si>
    <t>01a11680-bcff-7f02-bb7d-a901b4cff018</t>
  </si>
  <si>
    <t>01a11680-bd00-7413-bf6c-ac1faf00b29e</t>
  </si>
  <si>
    <t>01a11680-bd00-7413-bf6c-ac24ec8f3bb2</t>
  </si>
  <si>
    <t>01a11680-bd01-7b32-989b-98e5402bb273</t>
  </si>
  <si>
    <t>01a11680-bd07-7b11-bab9-de3ed4cc99ff</t>
  </si>
  <si>
    <t>01a11680-bd09-7d10-bc3f-4cee2c671183</t>
  </si>
  <si>
    <t>01a11680-bd0e-75a0-baff-9ba034431647</t>
  </si>
  <si>
    <t>01a11680-bd11-72c3-9397-09a2f81d852c</t>
  </si>
  <si>
    <t>01a11680-bd16-7093-bd40-2cc19bbaf251</t>
  </si>
  <si>
    <t>01a11680-bd18-7d00-9c02-5f2242c555e9</t>
  </si>
  <si>
    <t>01a11680-bd1e-71c1-b84a-e2af4250dfcf</t>
  </si>
  <si>
    <t>01a11680-bd1f-7833-8dd9-251eedf1216a</t>
  </si>
  <si>
    <t>01a11680-bd20-7340-98a9-957088511402</t>
  </si>
  <si>
    <t>01a11680-bd20-7340-98a9-958b8e928925</t>
  </si>
  <si>
    <t>01a11680-bd20-7340-98a9-9590d8fbd5fd</t>
  </si>
  <si>
    <t>01a11680-bd22-7ef2-adc2-f0c23f666b74</t>
  </si>
  <si>
    <t>01a11680-bd28-77b1-96b0-c6038d5db654</t>
  </si>
  <si>
    <t>01a11680-bd2a-7e80-a655-f03a397f7f53</t>
  </si>
  <si>
    <t>01a11680-bd2b-7d60-8a0a-3be41bf17bfe</t>
  </si>
  <si>
    <t>01a11680-bd32-7930-ac5f-0579d0d9eb9f</t>
  </si>
  <si>
    <t>01a11680-bd34-7bc2-9f99-2a9c40848a2b</t>
  </si>
  <si>
    <t>01a11680-bd36-72d1-b622-723b940f9c83</t>
  </si>
  <si>
    <t>01a11680-bd3d-75e3-b714-ecc8538b3b5b</t>
  </si>
  <si>
    <t>Compaction completed | Context before: 8,560 tokens | History after: 4,228 tokens | Trigger: 8,500 context tokens | Retention target: 900 tokens</t>
  </si>
  <si>
    <t>01a11680-bd41-76e1-8656-d846aed581fa</t>
  </si>
  <si>
    <t>01a11680-bd42-70c1-9df7-3699e2f15ed4</t>
  </si>
  <si>
    <t>01a11680-bd47-7060-bc3e-91878ae23adc</t>
  </si>
  <si>
    <t>01a11680-bd4c-7b11-9c27-fc99d808714e</t>
  </si>
  <si>
    <t>01a11680-bd4e-75e1-b837-68f1d372a330</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</si>
</sst>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676"/>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122</v>
      </c>
      <c r="E2" s="2">
        <f>IF(COUNT('Turns'!E16,'Turns'!E31,'Turns'!E44,'Turns'!E59,'Turns'!E74,'Turns'!E86,'Turns'!E101,'Turns'!E116,'Turns'!E128,'Turns'!E143,'Turns'!E158,'Turns'!E169,'Turns'!E184,'Turns'!E199,'Turns'!E212,'Turns'!E227,'Turns'!E242,'Turns'!E257,'Turns'!E269,'Turns'!E281,'Turns'!E296,'Turns'!E311,'Turns'!E326,'Turns'!E337,'Turns'!E352,'Turns'!E367,'Turns'!E382,'Turns'!E394,'Turns'!E409,'Turns'!E424,'Turns'!E439,'Turns'!E453,'Turns'!E468,'Turns'!E480,'Turns'!E495,'Turns'!E507,'Turns'!E522,'Turns'!E537,'Turns'!E552,'Turns'!E563,'Turns'!E578,'Turns'!E593,'Turns'!E608,'Turns'!E620,'Turns'!E635,'Turns'!E650,'Turns'!E664,'Turns'!E676)=48,SUM('Turns'!E16,'Turns'!E31,'Turns'!E44,'Turns'!E59,'Turns'!E74,'Turns'!E86,'Turns'!E101,'Turns'!E116,'Turns'!E128,'Turns'!E143,'Turns'!E158,'Turns'!E169,'Turns'!E184,'Turns'!E199,'Turns'!E212,'Turns'!E227,'Turns'!E242,'Turns'!E257,'Turns'!E269,'Turns'!E281,'Turns'!E296,'Turns'!E311,'Turns'!E326,'Turns'!E337,'Turns'!E352,'Turns'!E367,'Turns'!E382,'Turns'!E394,'Turns'!E409,'Turns'!E424,'Turns'!E439,'Turns'!E453,'Turns'!E468,'Turns'!E480,'Turns'!E495,'Turns'!E507,'Turns'!E522,'Turns'!E537,'Turns'!E552,'Turns'!E563,'Turns'!E578,'Turns'!E593,'Turns'!E608,'Turns'!E620,'Turns'!E635,'Turns'!E650,'Turns'!E664,'Turns'!E676),"Unknown")</f>
        <v>0.04367733152</v>
      </c>
      <c r="F2" s="2">
        <f>IF(COUNT('Turns'!F16,'Turns'!F31,'Turns'!F44,'Turns'!F59,'Turns'!F74,'Turns'!F86,'Turns'!F101,'Turns'!F116,'Turns'!F128,'Turns'!F143,'Turns'!F158,'Turns'!F169,'Turns'!F184,'Turns'!F199,'Turns'!F212,'Turns'!F227,'Turns'!F242,'Turns'!F257,'Turns'!F269,'Turns'!F281,'Turns'!F296,'Turns'!F311,'Turns'!F326,'Turns'!F337,'Turns'!F352,'Turns'!F367,'Turns'!F382,'Turns'!F394,'Turns'!F409,'Turns'!F424,'Turns'!F439,'Turns'!F453,'Turns'!F468,'Turns'!F480,'Turns'!F495,'Turns'!F507,'Turns'!F522,'Turns'!F537,'Turns'!F552,'Turns'!F563,'Turns'!F578,'Turns'!F593,'Turns'!F608,'Turns'!F620,'Turns'!F635,'Turns'!F650,'Turns'!F664,'Turns'!F676)=48,SUM('Turns'!F16,'Turns'!F31,'Turns'!F44,'Turns'!F59,'Turns'!F74,'Turns'!F86,'Turns'!F101,'Turns'!F116,'Turns'!F128,'Turns'!F143,'Turns'!F158,'Turns'!F169,'Turns'!F184,'Turns'!F199,'Turns'!F212,'Turns'!F227,'Turns'!F242,'Turns'!F257,'Turns'!F269,'Turns'!F281,'Turns'!F296,'Turns'!F311,'Turns'!F326,'Turns'!F337,'Turns'!F352,'Turns'!F367,'Turns'!F382,'Turns'!F394,'Turns'!F409,'Turns'!F424,'Turns'!F439,'Turns'!F453,'Turns'!F468,'Turns'!F480,'Turns'!F495,'Turns'!F507,'Turns'!F522,'Turns'!F537,'Turns'!F552,'Turns'!F563,'Turns'!F578,'Turns'!F593,'Turns'!F608,'Turns'!F620,'Turns'!F635,'Turns'!F650,'Turns'!F664,'Turns'!F676),"Unknown")</f>
        <v>0.049648</v>
      </c>
      <c r="G2" s="5">
        <f>IF(ISNUMBER(E2),ROUND(E2*'Reference data'!$B$2,0),"Unknown")</f>
        <v>4368.0</v>
      </c>
      <c r="H2" s="5">
        <f>IF(ISNUMBER(F2),ROUND(F2*'Reference data'!$B$2,0),"Unknown")</f>
        <v>4965.0</v>
      </c>
    </row>
    <row r="3" spans="1:13" s="4" customFormat="1" ht="24" customHeight="1">
      <c r="B3" s="4">
        <v>1</v>
      </c>
      <c r="C3" s="4" t="s">
        <v>123</v>
      </c>
      <c r="E3" s="2">
        <f>IF(COUNT('Turns'!E16,'Turns'!E31,'Turns'!E44,'Turns'!E59,'Turns'!E74,'Turns'!E86,'Turns'!E101,'Turns'!E116,'Turns'!E128,'Turns'!E143,'Turns'!E158,'Turns'!E169,'Turns'!E184,'Turns'!E199,'Turns'!E212,'Turns'!E227,'Turns'!E242,'Turns'!E257,'Turns'!E269,'Turns'!E281,'Turns'!E296,'Turns'!E311,'Turns'!E326,'Turns'!E337,'Turns'!E352,'Turns'!E367,'Turns'!E382,'Turns'!E394,'Turns'!E409,'Turns'!E424,'Turns'!E439)=31,SUM('Turns'!E16,'Turns'!E31,'Turns'!E44,'Turns'!E59,'Turns'!E74,'Turns'!E86,'Turns'!E101,'Turns'!E116,'Turns'!E128,'Turns'!E143,'Turns'!E158,'Turns'!E169,'Turns'!E184,'Turns'!E199,'Turns'!E212,'Turns'!E227,'Turns'!E242,'Turns'!E257,'Turns'!E269,'Turns'!E281,'Turns'!E296,'Turns'!E311,'Turns'!E326,'Turns'!E337,'Turns'!E352,'Turns'!E367,'Turns'!E382,'Turns'!E394,'Turns'!E409,'Turns'!E424,'Turns'!E439),"Unknown")</f>
        <v>0.02832850774</v>
      </c>
      <c r="F3" s="2">
        <f>IF(COUNT('Turns'!F16,'Turns'!F31,'Turns'!F44,'Turns'!F59,'Turns'!F74,'Turns'!F86,'Turns'!F101,'Turns'!F116,'Turns'!F128,'Turns'!F143,'Turns'!F158,'Turns'!F169,'Turns'!F184,'Turns'!F199,'Turns'!F212,'Turns'!F227,'Turns'!F242,'Turns'!F257,'Turns'!F269,'Turns'!F281,'Turns'!F296,'Turns'!F311,'Turns'!F326,'Turns'!F337,'Turns'!F352,'Turns'!F367,'Turns'!F382,'Turns'!F394,'Turns'!F409,'Turns'!F424,'Turns'!F439)=31,SUM('Turns'!F16,'Turns'!F31,'Turns'!F44,'Turns'!F59,'Turns'!F74,'Turns'!F86,'Turns'!F101,'Turns'!F116,'Turns'!F128,'Turns'!F143,'Turns'!F158,'Turns'!F169,'Turns'!F184,'Turns'!F199,'Turns'!F212,'Turns'!F227,'Turns'!F242,'Turns'!F257,'Turns'!F269,'Turns'!F281,'Turns'!F296,'Turns'!F311,'Turns'!F326,'Turns'!F337,'Turns'!F352,'Turns'!F367,'Turns'!F382,'Turns'!F394,'Turns'!F409,'Turns'!F424,'Turns'!F439),"Unknown")</f>
        <v>0.032201</v>
      </c>
      <c r="G3" s="5">
        <f>IF(ISNUMBER(E3),ROUND(E3*'Reference data'!$B$2,0),"Unknown")</f>
        <v>2833.0</v>
      </c>
      <c r="H3" s="5">
        <f>IF(ISNUMBER(F3),ROUND(F3*'Reference data'!$B$2,0),"Unknown")</f>
        <v>3220.0</v>
      </c>
    </row>
    <row r="4" spans="1:13" s="4" customFormat="1" ht="24" customHeight="1">
      <c r="A4" s="4" t="s">
        <v>124</v>
      </c>
      <c r="B4" s="4">
        <v>1</v>
      </c>
      <c r="C4" s="4" t="s">
        <v>125</v>
      </c>
      <c r="D4" s="4">
        <v>3426</v>
      </c>
      <c r="J4" s="4" t="s">
        <v>126</v>
      </c>
      <c r="M4" s="4" t="s">
        <v>127</v>
      </c>
    </row>
    <row r="5" spans="1:13" ht="24" customHeight="1">
      <c r="A5" t="s">
        <v>124</v>
      </c>
      <c r="B5">
        <v>1</v>
      </c>
      <c r="C5" t="s">
        <v>128</v>
      </c>
      <c r="D5" s="5">
        <v>3426</v>
      </c>
      <c r="E5" s="2">
        <f>IF(AND(ISNUMBER(F5),ISNUMBER('Reference data'!$B$3)),F5*'Reference data'!$B$3,"Unknown")</f>
        <v>0.000602797848</v>
      </c>
      <c r="F5" s="2">
        <f>IF(D5=0,0,IF(ISNUMBER('Reference data'!B22),D5*'Reference data'!B22/1000000,"Unknown"))</f>
        <v>0.0006852</v>
      </c>
      <c r="G5" s="5">
        <f>IF(ISNUMBER(E5),ROUND(E5*'Reference data'!$B$2,0),"Unknown")</f>
        <v>60.0</v>
      </c>
      <c r="H5" s="5">
        <f>IF(ISNUMBER(F5),ROUND(F5*'Reference data'!$B$2,0),"Unknown")</f>
        <v>69.0</v>
      </c>
    </row>
    <row r="6" spans="1:13" ht="24" customHeight="1">
      <c r="A6" t="s">
        <v>124</v>
      </c>
      <c r="B6">
        <v>1</v>
      </c>
      <c r="C6" t="s">
        <v>129</v>
      </c>
      <c r="D6" s="1">
        <v>848</v>
      </c>
    </row>
    <row r="7" spans="1:13" ht="409" customHeight="1">
      <c r="A7" t="s">
        <v>124</v>
      </c>
      <c r="B7">
        <v>1</v>
      </c>
      <c r="C7" t="s">
        <v>130</v>
      </c>
      <c r="D7" s="1">
        <v>1387</v>
      </c>
      <c r="I7" s="6" t="s">
        <v>131</v>
      </c>
    </row>
    <row r="8" spans="1:13" ht="34" customHeight="1">
      <c r="A8" t="s">
        <v>124</v>
      </c>
      <c r="B8">
        <v>1</v>
      </c>
      <c r="C8" t="s">
        <v>132</v>
      </c>
      <c r="D8" s="1">
        <v>50</v>
      </c>
      <c r="I8" s="6" t="s">
        <v>133</v>
      </c>
    </row>
    <row r="9" spans="1:13" ht="24" customHeight="1">
      <c r="A9" t="s">
        <v>124</v>
      </c>
      <c r="B9">
        <v>1</v>
      </c>
      <c r="C9" t="s">
        <v>134</v>
      </c>
      <c r="D9" s="1">
        <v>3426</v>
      </c>
    </row>
    <row r="10" spans="1:13" ht="24" customHeight="1">
      <c r="A10" t="s">
        <v>124</v>
      </c>
      <c r="B10">
        <v>1</v>
      </c>
      <c r="C10" t="s">
        <v>135</v>
      </c>
      <c r="D10" s="1">
        <v>3426</v>
      </c>
      <c r="L10" s="1">
        <v>3426</v>
      </c>
    </row>
    <row r="11" spans="1:13" s="4" customFormat="1" ht="24" customHeight="1">
      <c r="A11" s="4" t="s">
        <v>124</v>
      </c>
      <c r="B11" s="4">
        <v>1</v>
      </c>
      <c r="C11" s="4" t="s">
        <v>136</v>
      </c>
      <c r="D11" s="4">
        <v>773</v>
      </c>
    </row>
    <row r="12" spans="1:13" ht="24" customHeight="1">
      <c r="A12" t="s">
        <v>124</v>
      </c>
      <c r="B12">
        <v>1</v>
      </c>
      <c r="C12" t="s">
        <v>137</v>
      </c>
      <c r="D12" s="5">
        <v>773</v>
      </c>
      <c r="E12" s="2">
        <f>IF(AND(ISNUMBER(F12),ISNUMBER('Reference data'!$B$3)),F12*'Reference data'!$B$3,"Unknown")</f>
        <v>0.000816046824</v>
      </c>
      <c r="F12" s="2">
        <f>IF(D12=0,0,IF(ISNUMBER('Reference data'!E22),D12*'Reference data'!E22/1000000,"Unknown"))</f>
        <v>0.0009276</v>
      </c>
      <c r="G12" s="5">
        <f>IF(ISNUMBER(E12),ROUND(E12*'Reference data'!$B$2,0),"Unknown")</f>
        <v>82.0</v>
      </c>
      <c r="H12" s="5">
        <f>IF(ISNUMBER(F12),ROUND(F12*'Reference data'!$B$2,0),"Unknown")</f>
        <v>93.0</v>
      </c>
    </row>
    <row r="13" spans="1:13" ht="409" customHeight="1">
      <c r="A13" t="s">
        <v>124</v>
      </c>
      <c r="B13">
        <v>1</v>
      </c>
      <c r="C13" t="s">
        <v>138</v>
      </c>
      <c r="I13" s="6" t="s">
        <v>139</v>
      </c>
    </row>
    <row r="14" spans="1:13" ht="24" customHeight="1">
      <c r="A14" t="s">
        <v>124</v>
      </c>
      <c r="B14">
        <v>1</v>
      </c>
      <c r="C14" t="s">
        <v>134</v>
      </c>
      <c r="D14" s="1">
        <v>773</v>
      </c>
    </row>
    <row r="15" spans="1:13" ht="24" customHeight="1">
      <c r="A15" t="s">
        <v>124</v>
      </c>
      <c r="B15">
        <v>1</v>
      </c>
      <c r="C15" t="s">
        <v>135</v>
      </c>
      <c r="D15" s="1">
        <v>773</v>
      </c>
      <c r="L15" s="1">
        <v>4199</v>
      </c>
    </row>
    <row r="16" spans="1:13" s="4" customFormat="1" ht="24" customHeight="1">
      <c r="A16" s="4" t="s">
        <v>124</v>
      </c>
      <c r="B16" s="4">
        <v>1</v>
      </c>
      <c r="C16" s="4" t="s">
        <v>140</v>
      </c>
      <c r="E16" s="2">
        <f>IF(COUNT('Turns'!E5,'Turns'!E12)=2,SUM('Turns'!E5,'Turns'!E12),"Unknown")</f>
        <v>0.001418844672</v>
      </c>
      <c r="F16" s="2">
        <f>IF(COUNT('Turns'!F5,'Turns'!F12)=2,SUM('Turns'!F5,'Turns'!F12),"Unknown")</f>
        <v>0.0016128</v>
      </c>
      <c r="G16" s="5">
        <f>IF(ISNUMBER(E16),ROUND(E16*'Reference data'!$B$2,0),"Unknown")</f>
        <v>142.0</v>
      </c>
      <c r="H16" s="5">
        <f>IF(ISNUMBER(F16),ROUND(F16*'Reference data'!$B$2,0),"Unknown")</f>
        <v>161.0</v>
      </c>
      <c r="K16" s="4" t="s">
        <v>141</v>
      </c>
    </row>
    <row r="17" spans="1:13" s="4" customFormat="1" ht="24" customHeight="1">
      <c r="B17" s="4">
        <v>1</v>
      </c>
      <c r="C17" s="4" t="s">
        <v>142</v>
      </c>
      <c r="K17" s="4" t="s">
        <v>141</v>
      </c>
      <c r="M17" s="4" t="s">
        <v>143</v>
      </c>
    </row>
    <row r="18" spans="1:13" ht="409" customHeight="1">
      <c r="B18">
        <v>1</v>
      </c>
      <c r="C18" t="s">
        <v>144</v>
      </c>
      <c r="I18" s="6" t="s">
        <v>145</v>
      </c>
    </row>
    <row r="19" spans="1:13" ht="24" customHeight="1">
      <c r="B19">
        <v>1</v>
      </c>
      <c r="C19" t="s">
        <v>146</v>
      </c>
      <c r="I19" s="6" t="s">
        <v>147</v>
      </c>
    </row>
    <row r="20" spans="1:13" s="4" customFormat="1" ht="24" customHeight="1">
      <c r="A20" s="4" t="s">
        <v>148</v>
      </c>
      <c r="B20" s="4">
        <v>1</v>
      </c>
      <c r="C20" s="4" t="s">
        <v>125</v>
      </c>
      <c r="D20" s="4">
        <v>4232</v>
      </c>
      <c r="J20" s="4" t="s">
        <v>126</v>
      </c>
      <c r="M20" s="4" t="s">
        <v>149</v>
      </c>
    </row>
    <row r="21" spans="1:13" ht="24" customHeight="1">
      <c r="A21" t="s">
        <v>148</v>
      </c>
      <c r="B21">
        <v>1</v>
      </c>
      <c r="C21" t="s">
        <v>150</v>
      </c>
      <c r="D21" s="5">
        <v>0</v>
      </c>
      <c r="E21" s="2">
        <f>IF(AND(ISNUMBER(F21),ISNUMBER('Reference data'!$B$3)),F21*'Reference data'!$B$3,"Unknown")</f>
        <v>0.0</v>
      </c>
      <c r="F21" s="2">
        <f>IF(D21=0,0,IF(ISNUMBER('Reference data'!C22),D21*'Reference data'!C22/1000000,"Unknown"))</f>
        <v>0.0</v>
      </c>
      <c r="G21" s="5">
        <f>IF(ISNUMBER(E21),ROUND(E21*'Reference data'!$B$2,0),"Unknown")</f>
        <v>0.0</v>
      </c>
      <c r="H21" s="5">
        <f>IF(ISNUMBER(F21),ROUND(F21*'Reference data'!$B$2,0),"Unknown")</f>
        <v>0.0</v>
      </c>
    </row>
    <row r="22" spans="1:13" ht="24" customHeight="1">
      <c r="A22" t="s">
        <v>148</v>
      </c>
      <c r="B22">
        <v>1</v>
      </c>
      <c r="C22" t="s">
        <v>128</v>
      </c>
      <c r="D22" s="5">
        <v>4232</v>
      </c>
      <c r="E22" s="2">
        <f>IF(AND(ISNUMBER(F22),ISNUMBER('Reference data'!$B$3)),F22*'Reference data'!$B$3,"Unknown")</f>
        <v>0.000744611936</v>
      </c>
      <c r="F22" s="2">
        <f>IF(D22=0,0,IF(ISNUMBER('Reference data'!B22),D22*'Reference data'!B22/1000000,"Unknown"))</f>
        <v>0.0008464</v>
      </c>
      <c r="G22" s="5">
        <f>IF(ISNUMBER(E22),ROUND(E22*'Reference data'!$B$2,0),"Unknown")</f>
        <v>74.0</v>
      </c>
      <c r="H22" s="5">
        <f>IF(ISNUMBER(F22),ROUND(F22*'Reference data'!$B$2,0),"Unknown")</f>
        <v>85.0</v>
      </c>
    </row>
    <row r="23" spans="1:13" ht="24" customHeight="1">
      <c r="A23" t="s">
        <v>148</v>
      </c>
      <c r="B23">
        <v>1</v>
      </c>
      <c r="C23" t="s">
        <v>151</v>
      </c>
      <c r="D23" s="1">
        <v>33</v>
      </c>
      <c r="I23" s="6" t="s">
        <v>147</v>
      </c>
    </row>
    <row r="24" spans="1:13" ht="24" customHeight="1">
      <c r="A24" t="s">
        <v>148</v>
      </c>
      <c r="B24">
        <v>1</v>
      </c>
      <c r="C24" t="s">
        <v>134</v>
      </c>
      <c r="D24" s="1">
        <v>4232</v>
      </c>
    </row>
    <row r="25" spans="1:13" ht="24" customHeight="1">
      <c r="A25" t="s">
        <v>148</v>
      </c>
      <c r="B25">
        <v>1</v>
      </c>
      <c r="C25" t="s">
        <v>135</v>
      </c>
      <c r="D25" s="1">
        <v>4232</v>
      </c>
      <c r="L25" s="1">
        <v>4232</v>
      </c>
    </row>
    <row r="26" spans="1:13" s="4" customFormat="1" ht="24" customHeight="1">
      <c r="A26" s="4" t="s">
        <v>148</v>
      </c>
      <c r="B26" s="4">
        <v>1</v>
      </c>
      <c r="C26" s="4" t="s">
        <v>136</v>
      </c>
      <c r="D26" s="4">
        <v>73</v>
      </c>
    </row>
    <row r="27" spans="1:13" ht="24" customHeight="1">
      <c r="A27" t="s">
        <v>148</v>
      </c>
      <c r="B27">
        <v>1</v>
      </c>
      <c r="C27" t="s">
        <v>137</v>
      </c>
      <c r="D27" s="5">
        <v>73</v>
      </c>
      <c r="E27" s="2">
        <f>IF(AND(ISNUMBER(F27),ISNUMBER('Reference data'!$B$3)),F27*'Reference data'!$B$3,"Unknown")</f>
        <v>7.7065224e-05</v>
      </c>
      <c r="F27" s="2">
        <f>IF(D27=0,0,IF(ISNUMBER('Reference data'!E22),D27*'Reference data'!E22/1000000,"Unknown"))</f>
        <v>8.76e-05</v>
      </c>
      <c r="G27" s="5">
        <f>IF(ISNUMBER(E27),ROUND(E27*'Reference data'!$B$2,0),"Unknown")</f>
        <v>8.0</v>
      </c>
      <c r="H27" s="5">
        <f>IF(ISNUMBER(F27),ROUND(F27*'Reference data'!$B$2,0),"Unknown")</f>
        <v>9.0</v>
      </c>
    </row>
    <row r="28" spans="1:13" ht="34" customHeight="1">
      <c r="A28" t="s">
        <v>148</v>
      </c>
      <c r="B28">
        <v>1</v>
      </c>
      <c r="C28" t="s">
        <v>138</v>
      </c>
      <c r="I28" s="6" t="s">
        <v>152</v>
      </c>
    </row>
    <row r="29" spans="1:13" ht="24" customHeight="1">
      <c r="A29" t="s">
        <v>148</v>
      </c>
      <c r="B29">
        <v>1</v>
      </c>
      <c r="C29" t="s">
        <v>134</v>
      </c>
      <c r="D29" s="1">
        <v>73</v>
      </c>
    </row>
    <row r="30" spans="1:13" ht="24" customHeight="1">
      <c r="A30" t="s">
        <v>148</v>
      </c>
      <c r="B30">
        <v>1</v>
      </c>
      <c r="C30" t="s">
        <v>135</v>
      </c>
      <c r="D30" s="1">
        <v>73</v>
      </c>
      <c r="L30" s="1">
        <v>4305</v>
      </c>
    </row>
    <row r="31" spans="1:13" s="4" customFormat="1" ht="24" customHeight="1">
      <c r="A31" s="4" t="s">
        <v>148</v>
      </c>
      <c r="B31" s="4">
        <v>1</v>
      </c>
      <c r="C31" s="4" t="s">
        <v>140</v>
      </c>
      <c r="E31" s="2">
        <f>IF(COUNT('Turns'!E21,'Turns'!E22,'Turns'!E27)=3,SUM('Turns'!E21,'Turns'!E22,'Turns'!E27),"Unknown")</f>
        <v>0.00082167716</v>
      </c>
      <c r="F31" s="2">
        <f>IF(COUNT('Turns'!F21,'Turns'!F22,'Turns'!F27)=3,SUM('Turns'!F21,'Turns'!F22,'Turns'!F27),"Unknown")</f>
        <v>0.000934</v>
      </c>
      <c r="G31" s="5">
        <f>IF(ISNUMBER(E31),ROUND(E31*'Reference data'!$B$2,0),"Unknown")</f>
        <v>82.0</v>
      </c>
      <c r="H31" s="5">
        <f>IF(ISNUMBER(F31),ROUND(F31*'Reference data'!$B$2,0),"Unknown")</f>
        <v>93.0</v>
      </c>
      <c r="K31" s="4" t="s">
        <v>141</v>
      </c>
    </row>
    <row r="32" spans="1:13" s="4" customFormat="1" ht="24" customHeight="1">
      <c r="A32" s="4" t="s">
        <v>153</v>
      </c>
      <c r="B32" s="4">
        <v>1</v>
      </c>
      <c r="C32" s="4" t="s">
        <v>125</v>
      </c>
      <c r="D32" s="4">
        <v>4285</v>
      </c>
      <c r="J32" s="4" t="s">
        <v>126</v>
      </c>
      <c r="M32" s="4" t="s">
        <v>154</v>
      </c>
    </row>
    <row r="33" spans="1:13" ht="24" customHeight="1">
      <c r="A33" t="s">
        <v>153</v>
      </c>
      <c r="B33">
        <v>1</v>
      </c>
      <c r="C33" t="s">
        <v>128</v>
      </c>
      <c r="D33" s="5">
        <v>4285</v>
      </c>
      <c r="E33" s="2">
        <f>IF(AND(ISNUMBER(F33),ISNUMBER('Reference data'!$B$3)),F33*'Reference data'!$B$3,"Unknown")</f>
        <v>0.00075393718</v>
      </c>
      <c r="F33" s="2">
        <f>IF(D33=0,0,IF(ISNUMBER('Reference data'!B22),D33*'Reference data'!B22/1000000,"Unknown"))</f>
        <v>0.000857</v>
      </c>
      <c r="G33" s="5">
        <f>IF(ISNUMBER(E33),ROUND(E33*'Reference data'!$B$2,0),"Unknown")</f>
        <v>75.0</v>
      </c>
      <c r="H33" s="5">
        <f>IF(ISNUMBER(F33),ROUND(F33*'Reference data'!$B$2,0),"Unknown")</f>
        <v>86.0</v>
      </c>
    </row>
    <row r="34" spans="1:13" ht="24" customHeight="1">
      <c r="A34" t="s">
        <v>153</v>
      </c>
      <c r="B34">
        <v>1</v>
      </c>
      <c r="C34" t="s">
        <v>129</v>
      </c>
      <c r="D34" s="1">
        <v>848</v>
      </c>
    </row>
    <row r="35" spans="1:13" ht="409" customHeight="1">
      <c r="A35" t="s">
        <v>153</v>
      </c>
      <c r="B35">
        <v>1</v>
      </c>
      <c r="C35" t="s">
        <v>130</v>
      </c>
      <c r="D35" s="1">
        <v>1273</v>
      </c>
      <c r="I35" s="6" t="s">
        <v>155</v>
      </c>
    </row>
    <row r="36" spans="1:13" ht="24" customHeight="1">
      <c r="A36" t="s">
        <v>153</v>
      </c>
      <c r="B36">
        <v>1</v>
      </c>
      <c r="C36" t="s">
        <v>151</v>
      </c>
      <c r="I36" s="6" t="s">
        <v>147</v>
      </c>
    </row>
    <row r="37" spans="1:13" ht="24" customHeight="1">
      <c r="A37" t="s">
        <v>153</v>
      </c>
      <c r="B37">
        <v>1</v>
      </c>
      <c r="C37" t="s">
        <v>134</v>
      </c>
      <c r="D37" s="1">
        <v>4285</v>
      </c>
    </row>
    <row r="38" spans="1:13" ht="24" customHeight="1">
      <c r="A38" t="s">
        <v>153</v>
      </c>
      <c r="B38">
        <v>1</v>
      </c>
      <c r="C38" t="s">
        <v>135</v>
      </c>
      <c r="D38" s="1">
        <v>4285</v>
      </c>
      <c r="L38" s="1">
        <v>4285</v>
      </c>
    </row>
    <row r="39" spans="1:13" s="4" customFormat="1" ht="24" customHeight="1">
      <c r="A39" s="4" t="s">
        <v>153</v>
      </c>
      <c r="B39" s="4">
        <v>1</v>
      </c>
      <c r="C39" s="4" t="s">
        <v>136</v>
      </c>
      <c r="D39" s="4">
        <v>56</v>
      </c>
    </row>
    <row r="40" spans="1:13" ht="24" customHeight="1">
      <c r="A40" t="s">
        <v>153</v>
      </c>
      <c r="B40">
        <v>1</v>
      </c>
      <c r="C40" t="s">
        <v>137</v>
      </c>
      <c r="D40" s="5">
        <v>56</v>
      </c>
      <c r="E40" s="2">
        <f>IF(AND(ISNUMBER(F40),ISNUMBER('Reference data'!$B$3)),F40*'Reference data'!$B$3,"Unknown")</f>
        <v>5.9118528e-05</v>
      </c>
      <c r="F40" s="2">
        <f>IF(D40=0,0,IF(ISNUMBER('Reference data'!E22),D40*'Reference data'!E22/1000000,"Unknown"))</f>
        <v>6.72e-05</v>
      </c>
      <c r="G40" s="5">
        <f>IF(ISNUMBER(E40),ROUND(E40*'Reference data'!$B$2,0),"Unknown")</f>
        <v>6.0</v>
      </c>
      <c r="H40" s="5">
        <f>IF(ISNUMBER(F40),ROUND(F40*'Reference data'!$B$2,0),"Unknown")</f>
        <v>7.0</v>
      </c>
    </row>
    <row r="41" spans="1:13" ht="34" customHeight="1">
      <c r="A41" t="s">
        <v>153</v>
      </c>
      <c r="B41">
        <v>1</v>
      </c>
      <c r="C41" t="s">
        <v>138</v>
      </c>
      <c r="I41" s="6" t="s">
        <v>156</v>
      </c>
    </row>
    <row r="42" spans="1:13" ht="24" customHeight="1">
      <c r="A42" t="s">
        <v>153</v>
      </c>
      <c r="B42">
        <v>1</v>
      </c>
      <c r="C42" t="s">
        <v>134</v>
      </c>
      <c r="D42" s="1">
        <v>56</v>
      </c>
    </row>
    <row r="43" spans="1:13" ht="24" customHeight="1">
      <c r="A43" t="s">
        <v>153</v>
      </c>
      <c r="B43">
        <v>1</v>
      </c>
      <c r="C43" t="s">
        <v>135</v>
      </c>
      <c r="D43" s="1">
        <v>56</v>
      </c>
      <c r="L43" s="1">
        <v>4341</v>
      </c>
    </row>
    <row r="44" spans="1:13" s="4" customFormat="1" ht="24" customHeight="1">
      <c r="A44" s="4" t="s">
        <v>153</v>
      </c>
      <c r="B44" s="4">
        <v>1</v>
      </c>
      <c r="C44" s="4" t="s">
        <v>140</v>
      </c>
      <c r="E44" s="2">
        <f>IF(COUNT('Turns'!E33,'Turns'!E40)=2,SUM('Turns'!E33,'Turns'!E40),"Unknown")</f>
        <v>0.000813055708</v>
      </c>
      <c r="F44" s="2">
        <f>IF(COUNT('Turns'!F33,'Turns'!F40)=2,SUM('Turns'!F33,'Turns'!F40),"Unknown")</f>
        <v>0.0009242</v>
      </c>
      <c r="G44" s="5">
        <f>IF(ISNUMBER(E44),ROUND(E44*'Reference data'!$B$2,0),"Unknown")</f>
        <v>81.0</v>
      </c>
      <c r="H44" s="5">
        <f>IF(ISNUMBER(F44),ROUND(F44*'Reference data'!$B$2,0),"Unknown")</f>
        <v>92.0</v>
      </c>
      <c r="K44" s="4" t="s">
        <v>141</v>
      </c>
    </row>
    <row r="45" spans="1:13" s="4" customFormat="1" ht="24" customHeight="1">
      <c r="B45" s="4">
        <v>1</v>
      </c>
      <c r="C45" s="4" t="s">
        <v>157</v>
      </c>
      <c r="K45" s="4" t="s">
        <v>141</v>
      </c>
      <c r="M45" s="4" t="s">
        <v>158</v>
      </c>
    </row>
    <row r="46" spans="1:13" ht="24" customHeight="1">
      <c r="B46">
        <v>1</v>
      </c>
      <c r="C46" t="s">
        <v>144</v>
      </c>
      <c r="I46" s="6" t="s">
        <v>159</v>
      </c>
    </row>
    <row r="47" spans="1:13" ht="409" customHeight="1">
      <c r="B47">
        <v>1</v>
      </c>
      <c r="C47" t="s">
        <v>146</v>
      </c>
      <c r="I47" s="6" t="s">
        <v>160</v>
      </c>
    </row>
    <row r="48" spans="1:13" s="4" customFormat="1" ht="24" customHeight="1">
      <c r="A48" s="4" t="s">
        <v>161</v>
      </c>
      <c r="B48" s="4">
        <v>1</v>
      </c>
      <c r="C48" s="4" t="s">
        <v>125</v>
      </c>
      <c r="D48" s="4">
        <v>5092</v>
      </c>
      <c r="J48" s="4" t="s">
        <v>126</v>
      </c>
      <c r="M48" s="4" t="s">
        <v>162</v>
      </c>
    </row>
    <row r="49" spans="1:13" ht="24" customHeight="1">
      <c r="A49" t="s">
        <v>161</v>
      </c>
      <c r="B49">
        <v>1</v>
      </c>
      <c r="C49" t="s">
        <v>150</v>
      </c>
      <c r="D49" s="5">
        <v>0</v>
      </c>
      <c r="E49" s="2">
        <f>IF(AND(ISNUMBER(F49),ISNUMBER('Reference data'!$B$3)),F49*'Reference data'!$B$3,"Unknown")</f>
        <v>0.0</v>
      </c>
      <c r="F49" s="2">
        <f>IF(D49=0,0,IF(ISNUMBER('Reference data'!C22),D49*'Reference data'!C22/1000000,"Unknown"))</f>
        <v>0.0</v>
      </c>
      <c r="G49" s="5">
        <f>IF(ISNUMBER(E49),ROUND(E49*'Reference data'!$B$2,0),"Unknown")</f>
        <v>0.0</v>
      </c>
      <c r="H49" s="5">
        <f>IF(ISNUMBER(F49),ROUND(F49*'Reference data'!$B$2,0),"Unknown")</f>
        <v>0.0</v>
      </c>
    </row>
    <row r="50" spans="1:13" ht="24" customHeight="1">
      <c r="A50" t="s">
        <v>161</v>
      </c>
      <c r="B50">
        <v>1</v>
      </c>
      <c r="C50" t="s">
        <v>128</v>
      </c>
      <c r="D50" s="5">
        <v>5092</v>
      </c>
      <c r="E50" s="2">
        <f>IF(AND(ISNUMBER(F50),ISNUMBER('Reference data'!$B$3)),F50*'Reference data'!$B$3,"Unknown")</f>
        <v>0.000895927216</v>
      </c>
      <c r="F50" s="2">
        <f>IF(D50=0,0,IF(ISNUMBER('Reference data'!B22),D50*'Reference data'!B22/1000000,"Unknown"))</f>
        <v>0.0010184</v>
      </c>
      <c r="G50" s="5">
        <f>IF(ISNUMBER(E50),ROUND(E50*'Reference data'!$B$2,0),"Unknown")</f>
        <v>90.0</v>
      </c>
      <c r="H50" s="5">
        <f>IF(ISNUMBER(F50),ROUND(F50*'Reference data'!$B$2,0),"Unknown")</f>
        <v>102.0</v>
      </c>
    </row>
    <row r="51" spans="1:13" ht="409" customHeight="1">
      <c r="A51" t="s">
        <v>161</v>
      </c>
      <c r="B51">
        <v>1</v>
      </c>
      <c r="C51" t="s">
        <v>151</v>
      </c>
      <c r="D51" s="1">
        <v>751</v>
      </c>
      <c r="I51" s="6" t="s">
        <v>160</v>
      </c>
    </row>
    <row r="52" spans="1:13" ht="24" customHeight="1">
      <c r="A52" t="s">
        <v>161</v>
      </c>
      <c r="B52">
        <v>1</v>
      </c>
      <c r="C52" t="s">
        <v>134</v>
      </c>
      <c r="D52" s="1">
        <v>5092</v>
      </c>
    </row>
    <row r="53" spans="1:13" ht="24" customHeight="1">
      <c r="A53" t="s">
        <v>161</v>
      </c>
      <c r="B53">
        <v>1</v>
      </c>
      <c r="C53" t="s">
        <v>135</v>
      </c>
      <c r="D53" s="1">
        <v>5092</v>
      </c>
      <c r="L53" s="1">
        <v>5092</v>
      </c>
    </row>
    <row r="54" spans="1:13" s="4" customFormat="1" ht="24" customHeight="1">
      <c r="A54" s="4" t="s">
        <v>161</v>
      </c>
      <c r="B54" s="4">
        <v>1</v>
      </c>
      <c r="C54" s="4" t="s">
        <v>136</v>
      </c>
      <c r="D54" s="4">
        <v>280</v>
      </c>
    </row>
    <row r="55" spans="1:13" ht="24" customHeight="1">
      <c r="A55" t="s">
        <v>161</v>
      </c>
      <c r="B55">
        <v>1</v>
      </c>
      <c r="C55" t="s">
        <v>137</v>
      </c>
      <c r="D55" s="5">
        <v>280</v>
      </c>
      <c r="E55" s="2">
        <f>IF(AND(ISNUMBER(F55),ISNUMBER('Reference data'!$B$3)),F55*'Reference data'!$B$3,"Unknown")</f>
        <v>0.00029559264</v>
      </c>
      <c r="F55" s="2">
        <f>IF(D55=0,0,IF(ISNUMBER('Reference data'!E22),D55*'Reference data'!E22/1000000,"Unknown"))</f>
        <v>0.000336</v>
      </c>
      <c r="G55" s="5">
        <f>IF(ISNUMBER(E55),ROUND(E55*'Reference data'!$B$2,0),"Unknown")</f>
        <v>30.0</v>
      </c>
      <c r="H55" s="5">
        <f>IF(ISNUMBER(F55),ROUND(F55*'Reference data'!$B$2,0),"Unknown")</f>
        <v>34.0</v>
      </c>
    </row>
    <row r="56" spans="1:13" ht="164" customHeight="1">
      <c r="A56" t="s">
        <v>161</v>
      </c>
      <c r="B56">
        <v>1</v>
      </c>
      <c r="C56" t="s">
        <v>138</v>
      </c>
      <c r="I56" s="6" t="s">
        <v>163</v>
      </c>
    </row>
    <row r="57" spans="1:13" ht="24" customHeight="1">
      <c r="A57" t="s">
        <v>161</v>
      </c>
      <c r="B57">
        <v>1</v>
      </c>
      <c r="C57" t="s">
        <v>134</v>
      </c>
      <c r="D57" s="1">
        <v>280</v>
      </c>
    </row>
    <row r="58" spans="1:13" ht="24" customHeight="1">
      <c r="A58" t="s">
        <v>161</v>
      </c>
      <c r="B58">
        <v>1</v>
      </c>
      <c r="C58" t="s">
        <v>135</v>
      </c>
      <c r="D58" s="1">
        <v>280</v>
      </c>
      <c r="L58" s="1">
        <v>5372</v>
      </c>
    </row>
    <row r="59" spans="1:13" s="4" customFormat="1" ht="24" customHeight="1">
      <c r="A59" s="4" t="s">
        <v>161</v>
      </c>
      <c r="B59" s="4">
        <v>1</v>
      </c>
      <c r="C59" s="4" t="s">
        <v>140</v>
      </c>
      <c r="E59" s="2">
        <f>IF(COUNT('Turns'!E49,'Turns'!E50,'Turns'!E55)=3,SUM('Turns'!E49,'Turns'!E50,'Turns'!E55),"Unknown")</f>
        <v>0.001191519856</v>
      </c>
      <c r="F59" s="2">
        <f>IF(COUNT('Turns'!F49,'Turns'!F50,'Turns'!F55)=3,SUM('Turns'!F49,'Turns'!F50,'Turns'!F55),"Unknown")</f>
        <v>0.0013544</v>
      </c>
      <c r="G59" s="5">
        <f>IF(ISNUMBER(E59),ROUND(E59*'Reference data'!$B$2,0),"Unknown")</f>
        <v>119.0</v>
      </c>
      <c r="H59" s="5">
        <f>IF(ISNUMBER(F59),ROUND(F59*'Reference data'!$B$2,0),"Unknown")</f>
        <v>135.0</v>
      </c>
      <c r="K59" s="4" t="s">
        <v>141</v>
      </c>
    </row>
    <row r="60" spans="1:13" s="4" customFormat="1" ht="24" customHeight="1">
      <c r="B60" s="4">
        <v>1</v>
      </c>
      <c r="C60" s="4" t="s">
        <v>142</v>
      </c>
      <c r="K60" s="4" t="s">
        <v>141</v>
      </c>
      <c r="M60" s="4" t="s">
        <v>164</v>
      </c>
    </row>
    <row r="61" spans="1:13" ht="151" customHeight="1">
      <c r="B61">
        <v>1</v>
      </c>
      <c r="C61" t="s">
        <v>144</v>
      </c>
      <c r="I61" s="6" t="s">
        <v>165</v>
      </c>
    </row>
    <row r="62" spans="1:13" ht="24" customHeight="1">
      <c r="B62">
        <v>1</v>
      </c>
      <c r="C62" t="s">
        <v>146</v>
      </c>
      <c r="I62" s="6" t="s">
        <v>166</v>
      </c>
    </row>
    <row r="63" spans="1:13" s="4" customFormat="1" ht="24" customHeight="1">
      <c r="A63" s="4" t="s">
        <v>167</v>
      </c>
      <c r="B63" s="4">
        <v>1</v>
      </c>
      <c r="C63" s="4" t="s">
        <v>125</v>
      </c>
      <c r="D63" s="4">
        <v>5405</v>
      </c>
      <c r="J63" s="4" t="s">
        <v>126</v>
      </c>
      <c r="M63" s="4" t="s">
        <v>168</v>
      </c>
    </row>
    <row r="64" spans="1:13" ht="24" customHeight="1">
      <c r="A64" t="s">
        <v>167</v>
      </c>
      <c r="B64">
        <v>1</v>
      </c>
      <c r="C64" t="s">
        <v>150</v>
      </c>
      <c r="D64" s="5">
        <v>0</v>
      </c>
      <c r="E64" s="2">
        <f>IF(AND(ISNUMBER(F64),ISNUMBER('Reference data'!$B$3)),F64*'Reference data'!$B$3,"Unknown")</f>
        <v>0.0</v>
      </c>
      <c r="F64" s="2">
        <f>IF(D64=0,0,IF(ISNUMBER('Reference data'!C22),D64*'Reference data'!C22/1000000,"Unknown"))</f>
        <v>0.0</v>
      </c>
      <c r="G64" s="5">
        <f>IF(ISNUMBER(E64),ROUND(E64*'Reference data'!$B$2,0),"Unknown")</f>
        <v>0.0</v>
      </c>
      <c r="H64" s="5">
        <f>IF(ISNUMBER(F64),ROUND(F64*'Reference data'!$B$2,0),"Unknown")</f>
        <v>0.0</v>
      </c>
    </row>
    <row r="65" spans="1:13" ht="24" customHeight="1">
      <c r="A65" t="s">
        <v>167</v>
      </c>
      <c r="B65">
        <v>1</v>
      </c>
      <c r="C65" t="s">
        <v>128</v>
      </c>
      <c r="D65" s="5">
        <v>5405</v>
      </c>
      <c r="E65" s="2">
        <f>IF(AND(ISNUMBER(F65),ISNUMBER('Reference data'!$B$3)),F65*'Reference data'!$B$3,"Unknown")</f>
        <v>0.00095099894</v>
      </c>
      <c r="F65" s="2">
        <f>IF(D65=0,0,IF(ISNUMBER('Reference data'!B22),D65*'Reference data'!B22/1000000,"Unknown"))</f>
        <v>0.001081</v>
      </c>
      <c r="G65" s="5">
        <f>IF(ISNUMBER(E65),ROUND(E65*'Reference data'!$B$2,0),"Unknown")</f>
        <v>95.0</v>
      </c>
      <c r="H65" s="5">
        <f>IF(ISNUMBER(F65),ROUND(F65*'Reference data'!$B$2,0),"Unknown")</f>
        <v>108.0</v>
      </c>
    </row>
    <row r="66" spans="1:13" ht="24" customHeight="1">
      <c r="A66" t="s">
        <v>167</v>
      </c>
      <c r="B66">
        <v>1</v>
      </c>
      <c r="C66" t="s">
        <v>151</v>
      </c>
      <c r="D66" s="1">
        <v>33</v>
      </c>
      <c r="I66" s="6" t="s">
        <v>166</v>
      </c>
    </row>
    <row r="67" spans="1:13" ht="24" customHeight="1">
      <c r="A67" t="s">
        <v>167</v>
      </c>
      <c r="B67">
        <v>1</v>
      </c>
      <c r="C67" t="s">
        <v>134</v>
      </c>
      <c r="D67" s="1">
        <v>5405</v>
      </c>
    </row>
    <row r="68" spans="1:13" ht="24" customHeight="1">
      <c r="A68" t="s">
        <v>167</v>
      </c>
      <c r="B68">
        <v>1</v>
      </c>
      <c r="C68" t="s">
        <v>135</v>
      </c>
      <c r="D68" s="1">
        <v>5405</v>
      </c>
      <c r="L68" s="1">
        <v>5405</v>
      </c>
    </row>
    <row r="69" spans="1:13" s="4" customFormat="1" ht="24" customHeight="1">
      <c r="A69" s="4" t="s">
        <v>167</v>
      </c>
      <c r="B69" s="4">
        <v>1</v>
      </c>
      <c r="C69" s="4" t="s">
        <v>136</v>
      </c>
      <c r="D69" s="4">
        <v>36</v>
      </c>
    </row>
    <row r="70" spans="1:13" ht="24" customHeight="1">
      <c r="A70" t="s">
        <v>167</v>
      </c>
      <c r="B70">
        <v>1</v>
      </c>
      <c r="C70" t="s">
        <v>137</v>
      </c>
      <c r="D70" s="5">
        <v>36</v>
      </c>
      <c r="E70" s="2">
        <f>IF(AND(ISNUMBER(F70),ISNUMBER('Reference data'!$B$3)),F70*'Reference data'!$B$3,"Unknown")</f>
        <v>3.8004768e-05</v>
      </c>
      <c r="F70" s="2">
        <f>IF(D70=0,0,IF(ISNUMBER('Reference data'!E22),D70*'Reference data'!E22/1000000,"Unknown"))</f>
        <v>4.32e-05</v>
      </c>
      <c r="G70" s="5">
        <f>IF(ISNUMBER(E70),ROUND(E70*'Reference data'!$B$2,0),"Unknown")</f>
        <v>4.0</v>
      </c>
      <c r="H70" s="5">
        <f>IF(ISNUMBER(F70),ROUND(F70*'Reference data'!$B$2,0),"Unknown")</f>
        <v>4.0</v>
      </c>
    </row>
    <row r="71" spans="1:13" ht="24" customHeight="1">
      <c r="A71" t="s">
        <v>167</v>
      </c>
      <c r="B71">
        <v>1</v>
      </c>
      <c r="C71" t="s">
        <v>138</v>
      </c>
      <c r="I71" s="6" t="s">
        <v>169</v>
      </c>
    </row>
    <row r="72" spans="1:13" ht="24" customHeight="1">
      <c r="A72" t="s">
        <v>167</v>
      </c>
      <c r="B72">
        <v>1</v>
      </c>
      <c r="C72" t="s">
        <v>134</v>
      </c>
      <c r="D72" s="1">
        <v>36</v>
      </c>
    </row>
    <row r="73" spans="1:13" ht="24" customHeight="1">
      <c r="A73" t="s">
        <v>167</v>
      </c>
      <c r="B73">
        <v>1</v>
      </c>
      <c r="C73" t="s">
        <v>135</v>
      </c>
      <c r="D73" s="1">
        <v>36</v>
      </c>
      <c r="L73" s="1">
        <v>5441</v>
      </c>
    </row>
    <row r="74" spans="1:13" s="4" customFormat="1" ht="24" customHeight="1">
      <c r="A74" s="4" t="s">
        <v>167</v>
      </c>
      <c r="B74" s="4">
        <v>1</v>
      </c>
      <c r="C74" s="4" t="s">
        <v>140</v>
      </c>
      <c r="E74" s="2">
        <f>IF(COUNT('Turns'!E64,'Turns'!E65,'Turns'!E70)=3,SUM('Turns'!E64,'Turns'!E65,'Turns'!E70),"Unknown")</f>
        <v>0.000989003708</v>
      </c>
      <c r="F74" s="2">
        <f>IF(COUNT('Turns'!F64,'Turns'!F65,'Turns'!F70)=3,SUM('Turns'!F64,'Turns'!F65,'Turns'!F70),"Unknown")</f>
        <v>0.0011242</v>
      </c>
      <c r="G74" s="5">
        <f>IF(ISNUMBER(E74),ROUND(E74*'Reference data'!$B$2,0),"Unknown")</f>
        <v>99.0</v>
      </c>
      <c r="H74" s="5">
        <f>IF(ISNUMBER(F74),ROUND(F74*'Reference data'!$B$2,0),"Unknown")</f>
        <v>112.0</v>
      </c>
      <c r="K74" s="4" t="s">
        <v>141</v>
      </c>
    </row>
    <row r="75" spans="1:13" s="4" customFormat="1" ht="24" customHeight="1">
      <c r="A75" s="4" t="s">
        <v>170</v>
      </c>
      <c r="B75" s="4">
        <v>1</v>
      </c>
      <c r="C75" s="4" t="s">
        <v>125</v>
      </c>
      <c r="D75" s="4">
        <v>1547</v>
      </c>
      <c r="J75" s="4" t="s">
        <v>126</v>
      </c>
      <c r="M75" s="4" t="s">
        <v>171</v>
      </c>
    </row>
    <row r="76" spans="1:13" ht="24" customHeight="1">
      <c r="A76" t="s">
        <v>170</v>
      </c>
      <c r="B76">
        <v>1</v>
      </c>
      <c r="C76" t="s">
        <v>128</v>
      </c>
      <c r="D76" s="5">
        <v>1547</v>
      </c>
      <c r="E76" s="2">
        <f>IF(AND(ISNUMBER(F76),ISNUMBER('Reference data'!$B$3)),F76*'Reference data'!$B$3,"Unknown")</f>
        <v>0.000272191556</v>
      </c>
      <c r="F76" s="2">
        <f>IF(D76=0,0,IF(ISNUMBER('Reference data'!B22),D76*'Reference data'!B22/1000000,"Unknown"))</f>
        <v>0.0003094</v>
      </c>
      <c r="G76" s="5">
        <f>IF(ISNUMBER(E76),ROUND(E76*'Reference data'!$B$2,0),"Unknown")</f>
        <v>27.0</v>
      </c>
      <c r="H76" s="5">
        <f>IF(ISNUMBER(F76),ROUND(F76*'Reference data'!$B$2,0),"Unknown")</f>
        <v>31.0</v>
      </c>
    </row>
    <row r="77" spans="1:13" ht="24" customHeight="1">
      <c r="A77" t="s">
        <v>170</v>
      </c>
      <c r="B77">
        <v>1</v>
      </c>
      <c r="C77" t="s">
        <v>129</v>
      </c>
      <c r="D77" s="1">
        <v>412</v>
      </c>
    </row>
    <row r="78" spans="1:13" ht="409" customHeight="1">
      <c r="A78" t="s">
        <v>170</v>
      </c>
      <c r="B78">
        <v>1</v>
      </c>
      <c r="C78" t="s">
        <v>130</v>
      </c>
      <c r="D78" s="1">
        <v>964</v>
      </c>
      <c r="I78" s="6" t="s">
        <v>172</v>
      </c>
    </row>
    <row r="79" spans="1:13" ht="24" customHeight="1">
      <c r="A79" t="s">
        <v>170</v>
      </c>
      <c r="B79">
        <v>1</v>
      </c>
      <c r="C79" t="s">
        <v>134</v>
      </c>
      <c r="D79" s="1">
        <v>1547</v>
      </c>
    </row>
    <row r="80" spans="1:13" ht="24" customHeight="1">
      <c r="A80" t="s">
        <v>170</v>
      </c>
      <c r="B80">
        <v>1</v>
      </c>
      <c r="C80" t="s">
        <v>135</v>
      </c>
      <c r="D80" s="1">
        <v>1547</v>
      </c>
      <c r="L80" s="1">
        <v>1547</v>
      </c>
    </row>
    <row r="81" spans="1:13" s="4" customFormat="1" ht="24" customHeight="1">
      <c r="A81" s="4" t="s">
        <v>170</v>
      </c>
      <c r="B81" s="4">
        <v>1</v>
      </c>
      <c r="C81" s="4" t="s">
        <v>136</v>
      </c>
      <c r="D81" s="4">
        <v>56</v>
      </c>
    </row>
    <row r="82" spans="1:13" ht="24" customHeight="1">
      <c r="A82" t="s">
        <v>170</v>
      </c>
      <c r="B82">
        <v>1</v>
      </c>
      <c r="C82" t="s">
        <v>137</v>
      </c>
      <c r="D82" s="5">
        <v>56</v>
      </c>
      <c r="E82" s="2">
        <f>IF(AND(ISNUMBER(F82),ISNUMBER('Reference data'!$B$3)),F82*'Reference data'!$B$3,"Unknown")</f>
        <v>5.9118528e-05</v>
      </c>
      <c r="F82" s="2">
        <f>IF(D82=0,0,IF(ISNUMBER('Reference data'!E22),D82*'Reference data'!E22/1000000,"Unknown"))</f>
        <v>6.72e-05</v>
      </c>
      <c r="G82" s="5">
        <f>IF(ISNUMBER(E82),ROUND(E82*'Reference data'!$B$2,0),"Unknown")</f>
        <v>6.0</v>
      </c>
      <c r="H82" s="5">
        <f>IF(ISNUMBER(F82),ROUND(F82*'Reference data'!$B$2,0),"Unknown")</f>
        <v>7.0</v>
      </c>
    </row>
    <row r="83" spans="1:13" ht="34" customHeight="1">
      <c r="A83" t="s">
        <v>170</v>
      </c>
      <c r="B83">
        <v>1</v>
      </c>
      <c r="C83" t="s">
        <v>138</v>
      </c>
      <c r="I83" s="6" t="s">
        <v>173</v>
      </c>
    </row>
    <row r="84" spans="1:13" ht="24" customHeight="1">
      <c r="A84" t="s">
        <v>170</v>
      </c>
      <c r="B84">
        <v>1</v>
      </c>
      <c r="C84" t="s">
        <v>134</v>
      </c>
      <c r="D84" s="1">
        <v>56</v>
      </c>
    </row>
    <row r="85" spans="1:13" ht="24" customHeight="1">
      <c r="A85" t="s">
        <v>170</v>
      </c>
      <c r="B85">
        <v>1</v>
      </c>
      <c r="C85" t="s">
        <v>135</v>
      </c>
      <c r="D85" s="1">
        <v>56</v>
      </c>
      <c r="L85" s="1">
        <v>1603</v>
      </c>
    </row>
    <row r="86" spans="1:13" s="4" customFormat="1" ht="24" customHeight="1">
      <c r="A86" s="4" t="s">
        <v>170</v>
      </c>
      <c r="B86" s="4">
        <v>1</v>
      </c>
      <c r="C86" s="4" t="s">
        <v>140</v>
      </c>
      <c r="E86" s="2">
        <f>IF(COUNT('Turns'!E76,'Turns'!E82)=2,SUM('Turns'!E76,'Turns'!E82),"Unknown")</f>
        <v>0.000331310084</v>
      </c>
      <c r="F86" s="2">
        <f>IF(COUNT('Turns'!F76,'Turns'!F82)=2,SUM('Turns'!F76,'Turns'!F82),"Unknown")</f>
        <v>0.0003766</v>
      </c>
      <c r="G86" s="5">
        <f>IF(ISNUMBER(E86),ROUND(E86*'Reference data'!$B$2,0),"Unknown")</f>
        <v>33.0</v>
      </c>
      <c r="H86" s="5">
        <f>IF(ISNUMBER(F86),ROUND(F86*'Reference data'!$B$2,0),"Unknown")</f>
        <v>38.0</v>
      </c>
      <c r="K86" s="4" t="s">
        <v>141</v>
      </c>
    </row>
    <row r="87" spans="1:13" s="4" customFormat="1" ht="24" customHeight="1">
      <c r="B87" s="4">
        <v>1</v>
      </c>
      <c r="C87" s="4" t="s">
        <v>157</v>
      </c>
      <c r="K87" s="4" t="s">
        <v>141</v>
      </c>
      <c r="M87" s="4" t="s">
        <v>174</v>
      </c>
    </row>
    <row r="88" spans="1:13" ht="24" customHeight="1">
      <c r="B88">
        <v>1</v>
      </c>
      <c r="C88" t="s">
        <v>144</v>
      </c>
      <c r="I88" s="6" t="s">
        <v>159</v>
      </c>
    </row>
    <row r="89" spans="1:13" ht="409" customHeight="1">
      <c r="B89">
        <v>1</v>
      </c>
      <c r="C89" t="s">
        <v>146</v>
      </c>
      <c r="I89" s="6" t="s">
        <v>160</v>
      </c>
    </row>
    <row r="90" spans="1:13" s="4" customFormat="1" ht="24" customHeight="1">
      <c r="A90" s="4" t="s">
        <v>175</v>
      </c>
      <c r="B90" s="4">
        <v>1</v>
      </c>
      <c r="C90" s="4" t="s">
        <v>125</v>
      </c>
      <c r="D90" s="4">
        <v>2354</v>
      </c>
      <c r="J90" s="4" t="s">
        <v>126</v>
      </c>
      <c r="M90" s="4" t="s">
        <v>176</v>
      </c>
    </row>
    <row r="91" spans="1:13" ht="24" customHeight="1">
      <c r="A91" t="s">
        <v>175</v>
      </c>
      <c r="B91">
        <v>1</v>
      </c>
      <c r="C91" t="s">
        <v>150</v>
      </c>
      <c r="D91" s="5">
        <v>0</v>
      </c>
      <c r="E91" s="2">
        <f>IF(AND(ISNUMBER(F91),ISNUMBER('Reference data'!$B$3)),F91*'Reference data'!$B$3,"Unknown")</f>
        <v>0.0</v>
      </c>
      <c r="F91" s="2">
        <f>IF(D91=0,0,IF(ISNUMBER('Reference data'!C22),D91*'Reference data'!C22/1000000,"Unknown"))</f>
        <v>0.0</v>
      </c>
      <c r="G91" s="5">
        <f>IF(ISNUMBER(E91),ROUND(E91*'Reference data'!$B$2,0),"Unknown")</f>
        <v>0.0</v>
      </c>
      <c r="H91" s="5">
        <f>IF(ISNUMBER(F91),ROUND(F91*'Reference data'!$B$2,0),"Unknown")</f>
        <v>0.0</v>
      </c>
    </row>
    <row r="92" spans="1:13" ht="24" customHeight="1">
      <c r="A92" t="s">
        <v>175</v>
      </c>
      <c r="B92">
        <v>1</v>
      </c>
      <c r="C92" t="s">
        <v>128</v>
      </c>
      <c r="D92" s="5">
        <v>2354</v>
      </c>
      <c r="E92" s="2">
        <f>IF(AND(ISNUMBER(F92),ISNUMBER('Reference data'!$B$3)),F92*'Reference data'!$B$3,"Unknown")</f>
        <v>0.000414181592</v>
      </c>
      <c r="F92" s="2">
        <f>IF(D92=0,0,IF(ISNUMBER('Reference data'!B22),D92*'Reference data'!B22/1000000,"Unknown"))</f>
        <v>0.0004708</v>
      </c>
      <c r="G92" s="5">
        <f>IF(ISNUMBER(E92),ROUND(E92*'Reference data'!$B$2,0),"Unknown")</f>
        <v>41.0</v>
      </c>
      <c r="H92" s="5">
        <f>IF(ISNUMBER(F92),ROUND(F92*'Reference data'!$B$2,0),"Unknown")</f>
        <v>47.0</v>
      </c>
    </row>
    <row r="93" spans="1:13" ht="409" customHeight="1">
      <c r="A93" t="s">
        <v>175</v>
      </c>
      <c r="B93">
        <v>1</v>
      </c>
      <c r="C93" t="s">
        <v>151</v>
      </c>
      <c r="D93" s="1">
        <v>751</v>
      </c>
      <c r="I93" s="6" t="s">
        <v>160</v>
      </c>
    </row>
    <row r="94" spans="1:13" ht="24" customHeight="1">
      <c r="A94" t="s">
        <v>175</v>
      </c>
      <c r="B94">
        <v>1</v>
      </c>
      <c r="C94" t="s">
        <v>134</v>
      </c>
      <c r="D94" s="1">
        <v>2354</v>
      </c>
    </row>
    <row r="95" spans="1:13" ht="24" customHeight="1">
      <c r="A95" t="s">
        <v>175</v>
      </c>
      <c r="B95">
        <v>1</v>
      </c>
      <c r="C95" t="s">
        <v>135</v>
      </c>
      <c r="D95" s="1">
        <v>2354</v>
      </c>
      <c r="L95" s="1">
        <v>2354</v>
      </c>
    </row>
    <row r="96" spans="1:13" s="4" customFormat="1" ht="24" customHeight="1">
      <c r="A96" s="4" t="s">
        <v>175</v>
      </c>
      <c r="B96" s="4">
        <v>1</v>
      </c>
      <c r="C96" s="4" t="s">
        <v>136</v>
      </c>
      <c r="D96" s="4">
        <v>56</v>
      </c>
    </row>
    <row r="97" spans="1:13" ht="24" customHeight="1">
      <c r="A97" t="s">
        <v>175</v>
      </c>
      <c r="B97">
        <v>1</v>
      </c>
      <c r="C97" t="s">
        <v>137</v>
      </c>
      <c r="D97" s="5">
        <v>56</v>
      </c>
      <c r="E97" s="2">
        <f>IF(AND(ISNUMBER(F97),ISNUMBER('Reference data'!$B$3)),F97*'Reference data'!$B$3,"Unknown")</f>
        <v>5.9118528e-05</v>
      </c>
      <c r="F97" s="2">
        <f>IF(D97=0,0,IF(ISNUMBER('Reference data'!E22),D97*'Reference data'!E22/1000000,"Unknown"))</f>
        <v>6.72e-05</v>
      </c>
      <c r="G97" s="5">
        <f>IF(ISNUMBER(E97),ROUND(E97*'Reference data'!$B$2,0),"Unknown")</f>
        <v>6.0</v>
      </c>
      <c r="H97" s="5">
        <f>IF(ISNUMBER(F97),ROUND(F97*'Reference data'!$B$2,0),"Unknown")</f>
        <v>7.0</v>
      </c>
    </row>
    <row r="98" spans="1:13" ht="34" customHeight="1">
      <c r="A98" t="s">
        <v>175</v>
      </c>
      <c r="B98">
        <v>1</v>
      </c>
      <c r="C98" t="s">
        <v>138</v>
      </c>
      <c r="I98" s="6" t="s">
        <v>177</v>
      </c>
    </row>
    <row r="99" spans="1:13" ht="24" customHeight="1">
      <c r="A99" t="s">
        <v>175</v>
      </c>
      <c r="B99">
        <v>1</v>
      </c>
      <c r="C99" t="s">
        <v>134</v>
      </c>
      <c r="D99" s="1">
        <v>56</v>
      </c>
    </row>
    <row r="100" spans="1:13" ht="24" customHeight="1">
      <c r="A100" t="s">
        <v>175</v>
      </c>
      <c r="B100">
        <v>1</v>
      </c>
      <c r="C100" t="s">
        <v>135</v>
      </c>
      <c r="D100" s="1">
        <v>56</v>
      </c>
      <c r="L100" s="1">
        <v>2410</v>
      </c>
    </row>
    <row r="101" spans="1:13" s="4" customFormat="1" ht="24" customHeight="1">
      <c r="A101" s="4" t="s">
        <v>175</v>
      </c>
      <c r="B101" s="4">
        <v>1</v>
      </c>
      <c r="C101" s="4" t="s">
        <v>140</v>
      </c>
      <c r="E101" s="2">
        <f>IF(COUNT('Turns'!E91,'Turns'!E92,'Turns'!E97)=3,SUM('Turns'!E91,'Turns'!E92,'Turns'!E97),"Unknown")</f>
        <v>0.00047330012</v>
      </c>
      <c r="F101" s="2">
        <f>IF(COUNT('Turns'!F91,'Turns'!F92,'Turns'!F97)=3,SUM('Turns'!F91,'Turns'!F92,'Turns'!F97),"Unknown")</f>
        <v>0.000538</v>
      </c>
      <c r="G101" s="5">
        <f>IF(ISNUMBER(E101),ROUND(E101*'Reference data'!$B$2,0),"Unknown")</f>
        <v>47.0</v>
      </c>
      <c r="H101" s="5">
        <f>IF(ISNUMBER(F101),ROUND(F101*'Reference data'!$B$2,0),"Unknown")</f>
        <v>54.0</v>
      </c>
      <c r="K101" s="4" t="s">
        <v>141</v>
      </c>
    </row>
    <row r="102" spans="1:13" s="4" customFormat="1" ht="24" customHeight="1">
      <c r="B102" s="4">
        <v>1</v>
      </c>
      <c r="C102" s="4" t="s">
        <v>157</v>
      </c>
      <c r="K102" s="4" t="s">
        <v>141</v>
      </c>
      <c r="M102" s="4" t="s">
        <v>178</v>
      </c>
    </row>
    <row r="103" spans="1:13" ht="24" customHeight="1">
      <c r="B103">
        <v>1</v>
      </c>
      <c r="C103" t="s">
        <v>144</v>
      </c>
      <c r="I103" s="6" t="s">
        <v>179</v>
      </c>
    </row>
    <row r="104" spans="1:13" ht="294" customHeight="1">
      <c r="B104">
        <v>1</v>
      </c>
      <c r="C104" t="s">
        <v>146</v>
      </c>
      <c r="I104" s="6" t="s">
        <v>180</v>
      </c>
    </row>
    <row r="105" spans="1:13" s="4" customFormat="1" ht="24" customHeight="1">
      <c r="A105" s="4" t="s">
        <v>181</v>
      </c>
      <c r="B105" s="4">
        <v>1</v>
      </c>
      <c r="C105" s="4" t="s">
        <v>125</v>
      </c>
      <c r="D105" s="4">
        <v>2668</v>
      </c>
      <c r="J105" s="4" t="s">
        <v>126</v>
      </c>
      <c r="M105" s="4" t="s">
        <v>182</v>
      </c>
    </row>
    <row r="106" spans="1:13" ht="24" customHeight="1">
      <c r="A106" t="s">
        <v>181</v>
      </c>
      <c r="B106">
        <v>1</v>
      </c>
      <c r="C106" t="s">
        <v>150</v>
      </c>
      <c r="D106" s="5">
        <v>0</v>
      </c>
      <c r="E106" s="2">
        <f>IF(AND(ISNUMBER(F106),ISNUMBER('Reference data'!$B$3)),F106*'Reference data'!$B$3,"Unknown")</f>
        <v>0.0</v>
      </c>
      <c r="F106" s="2">
        <f>IF(D106=0,0,IF(ISNUMBER('Reference data'!C22),D106*'Reference data'!C22/1000000,"Unknown"))</f>
        <v>0.0</v>
      </c>
      <c r="G106" s="5">
        <f>IF(ISNUMBER(E106),ROUND(E106*'Reference data'!$B$2,0),"Unknown")</f>
        <v>0.0</v>
      </c>
      <c r="H106" s="5">
        <f>IF(ISNUMBER(F106),ROUND(F106*'Reference data'!$B$2,0),"Unknown")</f>
        <v>0.0</v>
      </c>
    </row>
    <row r="107" spans="1:13" ht="24" customHeight="1">
      <c r="A107" t="s">
        <v>181</v>
      </c>
      <c r="B107">
        <v>1</v>
      </c>
      <c r="C107" t="s">
        <v>128</v>
      </c>
      <c r="D107" s="5">
        <v>2668</v>
      </c>
      <c r="E107" s="2">
        <f>IF(AND(ISNUMBER(F107),ISNUMBER('Reference data'!$B$3)),F107*'Reference data'!$B$3,"Unknown")</f>
        <v>0.000469429264</v>
      </c>
      <c r="F107" s="2">
        <f>IF(D107=0,0,IF(ISNUMBER('Reference data'!B22),D107*'Reference data'!B22/1000000,"Unknown"))</f>
        <v>0.0005336</v>
      </c>
      <c r="G107" s="5">
        <f>IF(ISNUMBER(E107),ROUND(E107*'Reference data'!$B$2,0),"Unknown")</f>
        <v>47.0</v>
      </c>
      <c r="H107" s="5">
        <f>IF(ISNUMBER(F107),ROUND(F107*'Reference data'!$B$2,0),"Unknown")</f>
        <v>53.0</v>
      </c>
    </row>
    <row r="108" spans="1:13" ht="294" customHeight="1">
      <c r="A108" t="s">
        <v>181</v>
      </c>
      <c r="B108">
        <v>1</v>
      </c>
      <c r="C108" t="s">
        <v>151</v>
      </c>
      <c r="D108" s="1">
        <v>258</v>
      </c>
      <c r="I108" s="6" t="s">
        <v>180</v>
      </c>
    </row>
    <row r="109" spans="1:13" ht="24" customHeight="1">
      <c r="A109" t="s">
        <v>181</v>
      </c>
      <c r="B109">
        <v>1</v>
      </c>
      <c r="C109" t="s">
        <v>134</v>
      </c>
      <c r="D109" s="1">
        <v>2668</v>
      </c>
    </row>
    <row r="110" spans="1:13" ht="24" customHeight="1">
      <c r="A110" t="s">
        <v>181</v>
      </c>
      <c r="B110">
        <v>1</v>
      </c>
      <c r="C110" t="s">
        <v>135</v>
      </c>
      <c r="D110" s="1">
        <v>2668</v>
      </c>
      <c r="L110" s="1">
        <v>2668</v>
      </c>
    </row>
    <row r="111" spans="1:13" s="4" customFormat="1" ht="24" customHeight="1">
      <c r="A111" s="4" t="s">
        <v>181</v>
      </c>
      <c r="B111" s="4">
        <v>1</v>
      </c>
      <c r="C111" s="4" t="s">
        <v>136</v>
      </c>
      <c r="D111" s="4">
        <v>77</v>
      </c>
    </row>
    <row r="112" spans="1:13" ht="24" customHeight="1">
      <c r="A112" t="s">
        <v>181</v>
      </c>
      <c r="B112">
        <v>1</v>
      </c>
      <c r="C112" t="s">
        <v>137</v>
      </c>
      <c r="D112" s="5">
        <v>77</v>
      </c>
      <c r="E112" s="2">
        <f>IF(AND(ISNUMBER(F112),ISNUMBER('Reference data'!$B$3)),F112*'Reference data'!$B$3,"Unknown")</f>
        <v>8.1287976e-05</v>
      </c>
      <c r="F112" s="2">
        <f>IF(D112=0,0,IF(ISNUMBER('Reference data'!E22),D112*'Reference data'!E22/1000000,"Unknown"))</f>
        <v>9.24e-05</v>
      </c>
      <c r="G112" s="5">
        <f>IF(ISNUMBER(E112),ROUND(E112*'Reference data'!$B$2,0),"Unknown")</f>
        <v>8.0</v>
      </c>
      <c r="H112" s="5">
        <f>IF(ISNUMBER(F112),ROUND(F112*'Reference data'!$B$2,0),"Unknown")</f>
        <v>9.0</v>
      </c>
    </row>
    <row r="113" spans="1:13" ht="34" customHeight="1">
      <c r="A113" t="s">
        <v>181</v>
      </c>
      <c r="B113">
        <v>1</v>
      </c>
      <c r="C113" t="s">
        <v>138</v>
      </c>
      <c r="I113" s="6" t="s">
        <v>183</v>
      </c>
    </row>
    <row r="114" spans="1:13" ht="24" customHeight="1">
      <c r="A114" t="s">
        <v>181</v>
      </c>
      <c r="B114">
        <v>1</v>
      </c>
      <c r="C114" t="s">
        <v>134</v>
      </c>
      <c r="D114" s="1">
        <v>77</v>
      </c>
    </row>
    <row r="115" spans="1:13" ht="24" customHeight="1">
      <c r="A115" t="s">
        <v>181</v>
      </c>
      <c r="B115">
        <v>1</v>
      </c>
      <c r="C115" t="s">
        <v>135</v>
      </c>
      <c r="D115" s="1">
        <v>77</v>
      </c>
      <c r="L115" s="1">
        <v>2745</v>
      </c>
    </row>
    <row r="116" spans="1:13" s="4" customFormat="1" ht="24" customHeight="1">
      <c r="A116" s="4" t="s">
        <v>181</v>
      </c>
      <c r="B116" s="4">
        <v>1</v>
      </c>
      <c r="C116" s="4" t="s">
        <v>140</v>
      </c>
      <c r="E116" s="2">
        <f>IF(COUNT('Turns'!E106,'Turns'!E107,'Turns'!E112)=3,SUM('Turns'!E106,'Turns'!E107,'Turns'!E112),"Unknown")</f>
        <v>0.00055071724</v>
      </c>
      <c r="F116" s="2">
        <f>IF(COUNT('Turns'!F106,'Turns'!F107,'Turns'!F112)=3,SUM('Turns'!F106,'Turns'!F107,'Turns'!F112),"Unknown")</f>
        <v>0.000626</v>
      </c>
      <c r="G116" s="5">
        <f>IF(ISNUMBER(E116),ROUND(E116*'Reference data'!$B$2,0),"Unknown")</f>
        <v>55.0</v>
      </c>
      <c r="H116" s="5">
        <f>IF(ISNUMBER(F116),ROUND(F116*'Reference data'!$B$2,0),"Unknown")</f>
        <v>63.0</v>
      </c>
      <c r="K116" s="4" t="s">
        <v>141</v>
      </c>
    </row>
    <row r="117" spans="1:13" s="4" customFormat="1" ht="24" customHeight="1">
      <c r="A117" s="4" t="s">
        <v>184</v>
      </c>
      <c r="B117" s="4">
        <v>1</v>
      </c>
      <c r="C117" s="4" t="s">
        <v>125</v>
      </c>
      <c r="D117" s="4">
        <v>5987</v>
      </c>
      <c r="J117" s="4" t="s">
        <v>126</v>
      </c>
      <c r="M117" s="4" t="s">
        <v>185</v>
      </c>
    </row>
    <row r="118" spans="1:13" ht="24" customHeight="1">
      <c r="A118" t="s">
        <v>184</v>
      </c>
      <c r="B118">
        <v>1</v>
      </c>
      <c r="C118" t="s">
        <v>150</v>
      </c>
      <c r="D118" s="5">
        <v>0</v>
      </c>
      <c r="E118" s="2">
        <f>IF(AND(ISNUMBER(F118),ISNUMBER('Reference data'!$B$3)),F118*'Reference data'!$B$3,"Unknown")</f>
        <v>0.0</v>
      </c>
      <c r="F118" s="2">
        <f>IF(D118=0,0,IF(ISNUMBER('Reference data'!C22),D118*'Reference data'!C22/1000000,"Unknown"))</f>
        <v>0.0</v>
      </c>
      <c r="G118" s="5">
        <f>IF(ISNUMBER(E118),ROUND(E118*'Reference data'!$B$2,0),"Unknown")</f>
        <v>0.0</v>
      </c>
      <c r="H118" s="5">
        <f>IF(ISNUMBER(F118),ROUND(F118*'Reference data'!$B$2,0),"Unknown")</f>
        <v>0.0</v>
      </c>
    </row>
    <row r="119" spans="1:13" ht="24" customHeight="1">
      <c r="A119" t="s">
        <v>184</v>
      </c>
      <c r="B119">
        <v>1</v>
      </c>
      <c r="C119" t="s">
        <v>128</v>
      </c>
      <c r="D119" s="5">
        <v>5987</v>
      </c>
      <c r="E119" s="2">
        <f>IF(AND(ISNUMBER(F119),ISNUMBER('Reference data'!$B$3)),F119*'Reference data'!$B$3,"Unknown")</f>
        <v>0.001053400676</v>
      </c>
      <c r="F119" s="2">
        <f>IF(D119=0,0,IF(ISNUMBER('Reference data'!B22),D119*'Reference data'!B22/1000000,"Unknown"))</f>
        <v>0.0011974</v>
      </c>
      <c r="G119" s="5">
        <f>IF(ISNUMBER(E119),ROUND(E119*'Reference data'!$B$2,0),"Unknown")</f>
        <v>105.0</v>
      </c>
      <c r="H119" s="5">
        <f>IF(ISNUMBER(F119),ROUND(F119*'Reference data'!$B$2,0),"Unknown")</f>
        <v>120.0</v>
      </c>
    </row>
    <row r="120" spans="1:13" ht="409" customHeight="1">
      <c r="A120" t="s">
        <v>184</v>
      </c>
      <c r="B120">
        <v>1</v>
      </c>
      <c r="C120" t="s">
        <v>151</v>
      </c>
      <c r="D120" s="1">
        <v>817</v>
      </c>
      <c r="I120" s="6" t="s">
        <v>186</v>
      </c>
    </row>
    <row r="121" spans="1:13" ht="24" customHeight="1">
      <c r="A121" t="s">
        <v>184</v>
      </c>
      <c r="B121">
        <v>1</v>
      </c>
      <c r="C121" t="s">
        <v>134</v>
      </c>
      <c r="D121" s="1">
        <v>5987</v>
      </c>
    </row>
    <row r="122" spans="1:13" ht="24" customHeight="1">
      <c r="A122" t="s">
        <v>184</v>
      </c>
      <c r="B122">
        <v>1</v>
      </c>
      <c r="C122" t="s">
        <v>135</v>
      </c>
      <c r="D122" s="1">
        <v>5987</v>
      </c>
      <c r="L122" s="1">
        <v>5987</v>
      </c>
    </row>
    <row r="123" spans="1:13" s="4" customFormat="1" ht="24" customHeight="1">
      <c r="A123" s="4" t="s">
        <v>184</v>
      </c>
      <c r="B123" s="4">
        <v>1</v>
      </c>
      <c r="C123" s="4" t="s">
        <v>136</v>
      </c>
      <c r="D123" s="4">
        <v>56</v>
      </c>
    </row>
    <row r="124" spans="1:13" ht="24" customHeight="1">
      <c r="A124" t="s">
        <v>184</v>
      </c>
      <c r="B124">
        <v>1</v>
      </c>
      <c r="C124" t="s">
        <v>137</v>
      </c>
      <c r="D124" s="5">
        <v>56</v>
      </c>
      <c r="E124" s="2">
        <f>IF(AND(ISNUMBER(F124),ISNUMBER('Reference data'!$B$3)),F124*'Reference data'!$B$3,"Unknown")</f>
        <v>5.9118528e-05</v>
      </c>
      <c r="F124" s="2">
        <f>IF(D124=0,0,IF(ISNUMBER('Reference data'!E22),D124*'Reference data'!E22/1000000,"Unknown"))</f>
        <v>6.72e-05</v>
      </c>
      <c r="G124" s="5">
        <f>IF(ISNUMBER(E124),ROUND(E124*'Reference data'!$B$2,0),"Unknown")</f>
        <v>6.0</v>
      </c>
      <c r="H124" s="5">
        <f>IF(ISNUMBER(F124),ROUND(F124*'Reference data'!$B$2,0),"Unknown")</f>
        <v>7.0</v>
      </c>
    </row>
    <row r="125" spans="1:13" ht="34" customHeight="1">
      <c r="A125" t="s">
        <v>184</v>
      </c>
      <c r="B125">
        <v>1</v>
      </c>
      <c r="C125" t="s">
        <v>138</v>
      </c>
      <c r="I125" s="6" t="s">
        <v>187</v>
      </c>
    </row>
    <row r="126" spans="1:13" ht="24" customHeight="1">
      <c r="A126" t="s">
        <v>184</v>
      </c>
      <c r="B126">
        <v>1</v>
      </c>
      <c r="C126" t="s">
        <v>134</v>
      </c>
      <c r="D126" s="1">
        <v>56</v>
      </c>
    </row>
    <row r="127" spans="1:13" ht="24" customHeight="1">
      <c r="A127" t="s">
        <v>184</v>
      </c>
      <c r="B127">
        <v>1</v>
      </c>
      <c r="C127" t="s">
        <v>135</v>
      </c>
      <c r="D127" s="1">
        <v>56</v>
      </c>
      <c r="L127" s="1">
        <v>6043</v>
      </c>
    </row>
    <row r="128" spans="1:13" s="4" customFormat="1" ht="24" customHeight="1">
      <c r="A128" s="4" t="s">
        <v>184</v>
      </c>
      <c r="B128" s="4">
        <v>1</v>
      </c>
      <c r="C128" s="4" t="s">
        <v>140</v>
      </c>
      <c r="E128" s="2">
        <f>IF(COUNT('Turns'!E118,'Turns'!E119,'Turns'!E124)=3,SUM('Turns'!E118,'Turns'!E119,'Turns'!E124),"Unknown")</f>
        <v>0.001112519204</v>
      </c>
      <c r="F128" s="2">
        <f>IF(COUNT('Turns'!F118,'Turns'!F119,'Turns'!F124)=3,SUM('Turns'!F118,'Turns'!F119,'Turns'!F124),"Unknown")</f>
        <v>0.0012646</v>
      </c>
      <c r="G128" s="5">
        <f>IF(ISNUMBER(E128),ROUND(E128*'Reference data'!$B$2,0),"Unknown")</f>
        <v>111.0</v>
      </c>
      <c r="H128" s="5">
        <f>IF(ISNUMBER(F128),ROUND(F128*'Reference data'!$B$2,0),"Unknown")</f>
        <v>126.0</v>
      </c>
      <c r="K128" s="4" t="s">
        <v>141</v>
      </c>
    </row>
    <row r="129" spans="1:13" s="4" customFormat="1" ht="24" customHeight="1">
      <c r="B129" s="4">
        <v>1</v>
      </c>
      <c r="C129" s="4" t="s">
        <v>157</v>
      </c>
      <c r="K129" s="4" t="s">
        <v>141</v>
      </c>
      <c r="M129" s="4" t="s">
        <v>188</v>
      </c>
    </row>
    <row r="130" spans="1:13" ht="24" customHeight="1">
      <c r="B130">
        <v>1</v>
      </c>
      <c r="C130" t="s">
        <v>144</v>
      </c>
      <c r="I130" s="6" t="s">
        <v>179</v>
      </c>
    </row>
    <row r="131" spans="1:13" ht="294" customHeight="1">
      <c r="B131">
        <v>1</v>
      </c>
      <c r="C131" t="s">
        <v>146</v>
      </c>
      <c r="I131" s="6" t="s">
        <v>180</v>
      </c>
    </row>
    <row r="132" spans="1:13" s="4" customFormat="1" ht="24" customHeight="1">
      <c r="A132" s="4" t="s">
        <v>189</v>
      </c>
      <c r="B132" s="4">
        <v>1</v>
      </c>
      <c r="C132" s="4" t="s">
        <v>125</v>
      </c>
      <c r="D132" s="4">
        <v>6301</v>
      </c>
      <c r="J132" s="4" t="s">
        <v>126</v>
      </c>
      <c r="M132" s="4" t="s">
        <v>190</v>
      </c>
    </row>
    <row r="133" spans="1:13" ht="24" customHeight="1">
      <c r="A133" t="s">
        <v>189</v>
      </c>
      <c r="B133">
        <v>1</v>
      </c>
      <c r="C133" t="s">
        <v>150</v>
      </c>
      <c r="D133" s="5">
        <v>0</v>
      </c>
      <c r="E133" s="2">
        <f>IF(AND(ISNUMBER(F133),ISNUMBER('Reference data'!$B$3)),F133*'Reference data'!$B$3,"Unknown")</f>
        <v>0.0</v>
      </c>
      <c r="F133" s="2">
        <f>IF(D133=0,0,IF(ISNUMBER('Reference data'!C22),D133*'Reference data'!C22/1000000,"Unknown"))</f>
        <v>0.0</v>
      </c>
      <c r="G133" s="5">
        <f>IF(ISNUMBER(E133),ROUND(E133*'Reference data'!$B$2,0),"Unknown")</f>
        <v>0.0</v>
      </c>
      <c r="H133" s="5">
        <f>IF(ISNUMBER(F133),ROUND(F133*'Reference data'!$B$2,0),"Unknown")</f>
        <v>0.0</v>
      </c>
    </row>
    <row r="134" spans="1:13" ht="24" customHeight="1">
      <c r="A134" t="s">
        <v>189</v>
      </c>
      <c r="B134">
        <v>1</v>
      </c>
      <c r="C134" t="s">
        <v>128</v>
      </c>
      <c r="D134" s="5">
        <v>6301</v>
      </c>
      <c r="E134" s="2">
        <f>IF(AND(ISNUMBER(F134),ISNUMBER('Reference data'!$B$3)),F134*'Reference data'!$B$3,"Unknown")</f>
        <v>0.001108648348</v>
      </c>
      <c r="F134" s="2">
        <f>IF(D134=0,0,IF(ISNUMBER('Reference data'!B22),D134*'Reference data'!B22/1000000,"Unknown"))</f>
        <v>0.0012602</v>
      </c>
      <c r="G134" s="5">
        <f>IF(ISNUMBER(E134),ROUND(E134*'Reference data'!$B$2,0),"Unknown")</f>
        <v>111.0</v>
      </c>
      <c r="H134" s="5">
        <f>IF(ISNUMBER(F134),ROUND(F134*'Reference data'!$B$2,0),"Unknown")</f>
        <v>126.0</v>
      </c>
    </row>
    <row r="135" spans="1:13" ht="294" customHeight="1">
      <c r="A135" t="s">
        <v>189</v>
      </c>
      <c r="B135">
        <v>1</v>
      </c>
      <c r="C135" t="s">
        <v>151</v>
      </c>
      <c r="D135" s="1">
        <v>258</v>
      </c>
      <c r="I135" s="6" t="s">
        <v>180</v>
      </c>
    </row>
    <row r="136" spans="1:13" ht="24" customHeight="1">
      <c r="A136" t="s">
        <v>189</v>
      </c>
      <c r="B136">
        <v>1</v>
      </c>
      <c r="C136" t="s">
        <v>134</v>
      </c>
      <c r="D136" s="1">
        <v>6301</v>
      </c>
    </row>
    <row r="137" spans="1:13" ht="24" customHeight="1">
      <c r="A137" t="s">
        <v>189</v>
      </c>
      <c r="B137">
        <v>1</v>
      </c>
      <c r="C137" t="s">
        <v>135</v>
      </c>
      <c r="D137" s="1">
        <v>6301</v>
      </c>
      <c r="L137" s="1">
        <v>6301</v>
      </c>
    </row>
    <row r="138" spans="1:13" s="4" customFormat="1" ht="24" customHeight="1">
      <c r="A138" s="4" t="s">
        <v>189</v>
      </c>
      <c r="B138" s="4">
        <v>1</v>
      </c>
      <c r="C138" s="4" t="s">
        <v>136</v>
      </c>
      <c r="D138" s="4">
        <v>80</v>
      </c>
    </row>
    <row r="139" spans="1:13" ht="24" customHeight="1">
      <c r="A139" t="s">
        <v>189</v>
      </c>
      <c r="B139">
        <v>1</v>
      </c>
      <c r="C139" t="s">
        <v>137</v>
      </c>
      <c r="D139" s="5">
        <v>80</v>
      </c>
      <c r="E139" s="2">
        <f>IF(AND(ISNUMBER(F139),ISNUMBER('Reference data'!$B$3)),F139*'Reference data'!$B$3,"Unknown")</f>
        <v>8.445504e-05</v>
      </c>
      <c r="F139" s="2">
        <f>IF(D139=0,0,IF(ISNUMBER('Reference data'!E22),D139*'Reference data'!E22/1000000,"Unknown"))</f>
        <v>9.6e-05</v>
      </c>
      <c r="G139" s="5">
        <f>IF(ISNUMBER(E139),ROUND(E139*'Reference data'!$B$2,0),"Unknown")</f>
        <v>8.0</v>
      </c>
      <c r="H139" s="5">
        <f>IF(ISNUMBER(F139),ROUND(F139*'Reference data'!$B$2,0),"Unknown")</f>
        <v>10.0</v>
      </c>
    </row>
    <row r="140" spans="1:13" ht="47" customHeight="1">
      <c r="A140" t="s">
        <v>189</v>
      </c>
      <c r="B140">
        <v>1</v>
      </c>
      <c r="C140" t="s">
        <v>138</v>
      </c>
      <c r="I140" s="6" t="s">
        <v>191</v>
      </c>
    </row>
    <row r="141" spans="1:13" ht="24" customHeight="1">
      <c r="A141" t="s">
        <v>189</v>
      </c>
      <c r="B141">
        <v>1</v>
      </c>
      <c r="C141" t="s">
        <v>134</v>
      </c>
      <c r="D141" s="1">
        <v>80</v>
      </c>
    </row>
    <row r="142" spans="1:13" ht="24" customHeight="1">
      <c r="A142" t="s">
        <v>189</v>
      </c>
      <c r="B142">
        <v>1</v>
      </c>
      <c r="C142" t="s">
        <v>135</v>
      </c>
      <c r="D142" s="1">
        <v>80</v>
      </c>
      <c r="L142" s="1">
        <v>6381</v>
      </c>
    </row>
    <row r="143" spans="1:13" s="4" customFormat="1" ht="24" customHeight="1">
      <c r="A143" s="4" t="s">
        <v>189</v>
      </c>
      <c r="B143" s="4">
        <v>1</v>
      </c>
      <c r="C143" s="4" t="s">
        <v>140</v>
      </c>
      <c r="E143" s="2">
        <f>IF(COUNT('Turns'!E133,'Turns'!E134,'Turns'!E139)=3,SUM('Turns'!E133,'Turns'!E134,'Turns'!E139),"Unknown")</f>
        <v>0.001193103388</v>
      </c>
      <c r="F143" s="2">
        <f>IF(COUNT('Turns'!F133,'Turns'!F134,'Turns'!F139)=3,SUM('Turns'!F133,'Turns'!F134,'Turns'!F139),"Unknown")</f>
        <v>0.0013562</v>
      </c>
      <c r="G143" s="5">
        <f>IF(ISNUMBER(E143),ROUND(E143*'Reference data'!$B$2,0),"Unknown")</f>
        <v>119.0</v>
      </c>
      <c r="H143" s="5">
        <f>IF(ISNUMBER(F143),ROUND(F143*'Reference data'!$B$2,0),"Unknown")</f>
        <v>136.0</v>
      </c>
      <c r="K143" s="4" t="s">
        <v>141</v>
      </c>
    </row>
    <row r="144" spans="1:13" s="4" customFormat="1" ht="24" customHeight="1">
      <c r="B144" s="4">
        <v>1</v>
      </c>
      <c r="C144" s="4" t="s">
        <v>192</v>
      </c>
      <c r="K144" s="4" t="s">
        <v>141</v>
      </c>
      <c r="M144" s="4" t="s">
        <v>193</v>
      </c>
    </row>
    <row r="145" spans="1:13" ht="34" customHeight="1">
      <c r="B145">
        <v>1</v>
      </c>
      <c r="C145" t="s">
        <v>144</v>
      </c>
      <c r="I145" s="6" t="s">
        <v>194</v>
      </c>
    </row>
    <row r="146" spans="1:13" ht="24" customHeight="1">
      <c r="B146">
        <v>1</v>
      </c>
      <c r="C146" t="s">
        <v>146</v>
      </c>
      <c r="I146" s="6" t="s">
        <v>195</v>
      </c>
    </row>
    <row r="147" spans="1:13" s="4" customFormat="1" ht="24" customHeight="1">
      <c r="A147" s="4" t="s">
        <v>196</v>
      </c>
      <c r="B147" s="4">
        <v>1</v>
      </c>
      <c r="C147" s="4" t="s">
        <v>125</v>
      </c>
      <c r="D147" s="4">
        <v>6423</v>
      </c>
      <c r="J147" s="4" t="s">
        <v>126</v>
      </c>
      <c r="M147" s="4" t="s">
        <v>197</v>
      </c>
    </row>
    <row r="148" spans="1:13" ht="24" customHeight="1">
      <c r="A148" t="s">
        <v>196</v>
      </c>
      <c r="B148">
        <v>1</v>
      </c>
      <c r="C148" t="s">
        <v>150</v>
      </c>
      <c r="D148" s="5">
        <v>0</v>
      </c>
      <c r="E148" s="2">
        <f>IF(AND(ISNUMBER(F148),ISNUMBER('Reference data'!$B$3)),F148*'Reference data'!$B$3,"Unknown")</f>
        <v>0.0</v>
      </c>
      <c r="F148" s="2">
        <f>IF(D148=0,0,IF(ISNUMBER('Reference data'!C22),D148*'Reference data'!C22/1000000,"Unknown"))</f>
        <v>0.0</v>
      </c>
      <c r="G148" s="5">
        <f>IF(ISNUMBER(E148),ROUND(E148*'Reference data'!$B$2,0),"Unknown")</f>
        <v>0.0</v>
      </c>
      <c r="H148" s="5">
        <f>IF(ISNUMBER(F148),ROUND(F148*'Reference data'!$B$2,0),"Unknown")</f>
        <v>0.0</v>
      </c>
    </row>
    <row r="149" spans="1:13" ht="24" customHeight="1">
      <c r="A149" t="s">
        <v>196</v>
      </c>
      <c r="B149">
        <v>1</v>
      </c>
      <c r="C149" t="s">
        <v>128</v>
      </c>
      <c r="D149" s="5">
        <v>6423</v>
      </c>
      <c r="E149" s="2">
        <f>IF(AND(ISNUMBER(F149),ISNUMBER('Reference data'!$B$3)),F149*'Reference data'!$B$3,"Unknown")</f>
        <v>0.001130114004</v>
      </c>
      <c r="F149" s="2">
        <f>IF(D149=0,0,IF(ISNUMBER('Reference data'!B22),D149*'Reference data'!B22/1000000,"Unknown"))</f>
        <v>0.0012846</v>
      </c>
      <c r="G149" s="5">
        <f>IF(ISNUMBER(E149),ROUND(E149*'Reference data'!$B$2,0),"Unknown")</f>
        <v>113.0</v>
      </c>
      <c r="H149" s="5">
        <f>IF(ISNUMBER(F149),ROUND(F149*'Reference data'!$B$2,0),"Unknown")</f>
        <v>128.0</v>
      </c>
    </row>
    <row r="150" spans="1:13" ht="24" customHeight="1">
      <c r="A150" t="s">
        <v>196</v>
      </c>
      <c r="B150">
        <v>1</v>
      </c>
      <c r="C150" t="s">
        <v>151</v>
      </c>
      <c r="D150" s="1">
        <v>42</v>
      </c>
      <c r="I150" s="6" t="s">
        <v>195</v>
      </c>
    </row>
    <row r="151" spans="1:13" ht="24" customHeight="1">
      <c r="A151" t="s">
        <v>196</v>
      </c>
      <c r="B151">
        <v>1</v>
      </c>
      <c r="C151" t="s">
        <v>134</v>
      </c>
      <c r="D151" s="1">
        <v>6423</v>
      </c>
    </row>
    <row r="152" spans="1:13" ht="24" customHeight="1">
      <c r="A152" t="s">
        <v>196</v>
      </c>
      <c r="B152">
        <v>1</v>
      </c>
      <c r="C152" t="s">
        <v>135</v>
      </c>
      <c r="D152" s="1">
        <v>6423</v>
      </c>
      <c r="L152" s="1">
        <v>6423</v>
      </c>
    </row>
    <row r="153" spans="1:13" s="4" customFormat="1" ht="24" customHeight="1">
      <c r="A153" s="4" t="s">
        <v>196</v>
      </c>
      <c r="B153" s="4">
        <v>1</v>
      </c>
      <c r="C153" s="4" t="s">
        <v>136</v>
      </c>
      <c r="D153" s="4">
        <v>40</v>
      </c>
    </row>
    <row r="154" spans="1:13" ht="24" customHeight="1">
      <c r="A154" t="s">
        <v>196</v>
      </c>
      <c r="B154">
        <v>1</v>
      </c>
      <c r="C154" t="s">
        <v>137</v>
      </c>
      <c r="D154" s="5">
        <v>40</v>
      </c>
      <c r="E154" s="2">
        <f>IF(AND(ISNUMBER(F154),ISNUMBER('Reference data'!$B$3)),F154*'Reference data'!$B$3,"Unknown")</f>
        <v>4.222752e-05</v>
      </c>
      <c r="F154" s="2">
        <f>IF(D154=0,0,IF(ISNUMBER('Reference data'!E22),D154*'Reference data'!E22/1000000,"Unknown"))</f>
        <v>4.8e-05</v>
      </c>
      <c r="G154" s="5">
        <f>IF(ISNUMBER(E154),ROUND(E154*'Reference data'!$B$2,0),"Unknown")</f>
        <v>4.0</v>
      </c>
      <c r="H154" s="5">
        <f>IF(ISNUMBER(F154),ROUND(F154*'Reference data'!$B$2,0),"Unknown")</f>
        <v>5.0</v>
      </c>
    </row>
    <row r="155" spans="1:13" ht="24" customHeight="1">
      <c r="A155" t="s">
        <v>196</v>
      </c>
      <c r="B155">
        <v>1</v>
      </c>
      <c r="C155" t="s">
        <v>138</v>
      </c>
      <c r="I155" s="6" t="s">
        <v>198</v>
      </c>
    </row>
    <row r="156" spans="1:13" ht="24" customHeight="1">
      <c r="A156" t="s">
        <v>196</v>
      </c>
      <c r="B156">
        <v>1</v>
      </c>
      <c r="C156" t="s">
        <v>134</v>
      </c>
      <c r="D156" s="1">
        <v>40</v>
      </c>
    </row>
    <row r="157" spans="1:13" ht="24" customHeight="1">
      <c r="A157" t="s">
        <v>196</v>
      </c>
      <c r="B157">
        <v>1</v>
      </c>
      <c r="C157" t="s">
        <v>135</v>
      </c>
      <c r="D157" s="1">
        <v>40</v>
      </c>
      <c r="L157" s="1">
        <v>6463</v>
      </c>
    </row>
    <row r="158" spans="1:13" s="4" customFormat="1" ht="24" customHeight="1">
      <c r="A158" s="4" t="s">
        <v>196</v>
      </c>
      <c r="B158" s="4">
        <v>1</v>
      </c>
      <c r="C158" s="4" t="s">
        <v>140</v>
      </c>
      <c r="E158" s="2">
        <f>IF(COUNT('Turns'!E148,'Turns'!E149,'Turns'!E154)=3,SUM('Turns'!E148,'Turns'!E149,'Turns'!E154),"Unknown")</f>
        <v>0.001172341524</v>
      </c>
      <c r="F158" s="2">
        <f>IF(COUNT('Turns'!F148,'Turns'!F149,'Turns'!F154)=3,SUM('Turns'!F148,'Turns'!F149,'Turns'!F154),"Unknown")</f>
        <v>0.0013326</v>
      </c>
      <c r="G158" s="5">
        <f>IF(ISNUMBER(E158),ROUND(E158*'Reference data'!$B$2,0),"Unknown")</f>
        <v>117.0</v>
      </c>
      <c r="H158" s="5">
        <f>IF(ISNUMBER(F158),ROUND(F158*'Reference data'!$B$2,0),"Unknown")</f>
        <v>133.0</v>
      </c>
      <c r="K158" s="4" t="s">
        <v>141</v>
      </c>
    </row>
    <row r="159" spans="1:13" s="4" customFormat="1" ht="24" customHeight="1">
      <c r="A159" s="4" t="s">
        <v>199</v>
      </c>
      <c r="B159" s="4">
        <v>1</v>
      </c>
      <c r="C159" s="4" t="s">
        <v>125</v>
      </c>
      <c r="D159" s="4">
        <v>1657</v>
      </c>
      <c r="J159" s="4" t="s">
        <v>126</v>
      </c>
      <c r="M159" s="4" t="s">
        <v>200</v>
      </c>
    </row>
    <row r="160" spans="1:13" ht="24" customHeight="1">
      <c r="A160" t="s">
        <v>199</v>
      </c>
      <c r="B160">
        <v>1</v>
      </c>
      <c r="C160" t="s">
        <v>150</v>
      </c>
      <c r="D160" s="5">
        <v>0</v>
      </c>
      <c r="E160" s="2">
        <f>IF(AND(ISNUMBER(F160),ISNUMBER('Reference data'!$B$3)),F160*'Reference data'!$B$3,"Unknown")</f>
        <v>0.0</v>
      </c>
      <c r="F160" s="2">
        <f>IF(D160=0,0,IF(ISNUMBER('Reference data'!C22),D160*'Reference data'!C22/1000000,"Unknown"))</f>
        <v>0.0</v>
      </c>
      <c r="G160" s="5">
        <f>IF(ISNUMBER(E160),ROUND(E160*'Reference data'!$B$2,0),"Unknown")</f>
        <v>0.0</v>
      </c>
      <c r="H160" s="5">
        <f>IF(ISNUMBER(F160),ROUND(F160*'Reference data'!$B$2,0),"Unknown")</f>
        <v>0.0</v>
      </c>
    </row>
    <row r="161" spans="1:13" ht="24" customHeight="1">
      <c r="A161" t="s">
        <v>199</v>
      </c>
      <c r="B161">
        <v>1</v>
      </c>
      <c r="C161" t="s">
        <v>128</v>
      </c>
      <c r="D161" s="5">
        <v>1657</v>
      </c>
      <c r="E161" s="2">
        <f>IF(AND(ISNUMBER(F161),ISNUMBER('Reference data'!$B$3)),F161*'Reference data'!$B$3,"Unknown")</f>
        <v>0.000291545836</v>
      </c>
      <c r="F161" s="2">
        <f>IF(D161=0,0,IF(ISNUMBER('Reference data'!B22),D161*'Reference data'!B22/1000000,"Unknown"))</f>
        <v>0.0003314</v>
      </c>
      <c r="G161" s="5">
        <f>IF(ISNUMBER(E161),ROUND(E161*'Reference data'!$B$2,0),"Unknown")</f>
        <v>29.0</v>
      </c>
      <c r="H161" s="5">
        <f>IF(ISNUMBER(F161),ROUND(F161*'Reference data'!$B$2,0),"Unknown")</f>
        <v>33.0</v>
      </c>
    </row>
    <row r="162" spans="1:13" ht="24" customHeight="1">
      <c r="A162" t="s">
        <v>199</v>
      </c>
      <c r="B162">
        <v>1</v>
      </c>
      <c r="C162" t="s">
        <v>134</v>
      </c>
      <c r="D162" s="1">
        <v>1657</v>
      </c>
    </row>
    <row r="163" spans="1:13" ht="24" customHeight="1">
      <c r="A163" t="s">
        <v>199</v>
      </c>
      <c r="B163">
        <v>1</v>
      </c>
      <c r="C163" t="s">
        <v>135</v>
      </c>
      <c r="D163" s="1">
        <v>1657</v>
      </c>
      <c r="L163" s="1">
        <v>1657</v>
      </c>
    </row>
    <row r="164" spans="1:13" s="4" customFormat="1" ht="24" customHeight="1">
      <c r="A164" s="4" t="s">
        <v>199</v>
      </c>
      <c r="B164" s="4">
        <v>1</v>
      </c>
      <c r="C164" s="4" t="s">
        <v>136</v>
      </c>
      <c r="D164" s="4">
        <v>56</v>
      </c>
    </row>
    <row r="165" spans="1:13" ht="24" customHeight="1">
      <c r="A165" t="s">
        <v>199</v>
      </c>
      <c r="B165">
        <v>1</v>
      </c>
      <c r="C165" t="s">
        <v>137</v>
      </c>
      <c r="D165" s="5">
        <v>56</v>
      </c>
      <c r="E165" s="2">
        <f>IF(AND(ISNUMBER(F165),ISNUMBER('Reference data'!$B$3)),F165*'Reference data'!$B$3,"Unknown")</f>
        <v>5.9118528e-05</v>
      </c>
      <c r="F165" s="2">
        <f>IF(D165=0,0,IF(ISNUMBER('Reference data'!E22),D165*'Reference data'!E22/1000000,"Unknown"))</f>
        <v>6.72e-05</v>
      </c>
      <c r="G165" s="5">
        <f>IF(ISNUMBER(E165),ROUND(E165*'Reference data'!$B$2,0),"Unknown")</f>
        <v>6.0</v>
      </c>
      <c r="H165" s="5">
        <f>IF(ISNUMBER(F165),ROUND(F165*'Reference data'!$B$2,0),"Unknown")</f>
        <v>7.0</v>
      </c>
    </row>
    <row r="166" spans="1:13" ht="34" customHeight="1">
      <c r="A166" t="s">
        <v>199</v>
      </c>
      <c r="B166">
        <v>1</v>
      </c>
      <c r="C166" t="s">
        <v>138</v>
      </c>
      <c r="I166" s="6" t="s">
        <v>201</v>
      </c>
    </row>
    <row r="167" spans="1:13" ht="24" customHeight="1">
      <c r="A167" t="s">
        <v>199</v>
      </c>
      <c r="B167">
        <v>1</v>
      </c>
      <c r="C167" t="s">
        <v>134</v>
      </c>
      <c r="D167" s="1">
        <v>56</v>
      </c>
    </row>
    <row r="168" spans="1:13" ht="24" customHeight="1">
      <c r="A168" t="s">
        <v>199</v>
      </c>
      <c r="B168">
        <v>1</v>
      </c>
      <c r="C168" t="s">
        <v>135</v>
      </c>
      <c r="D168" s="1">
        <v>56</v>
      </c>
      <c r="L168" s="1">
        <v>1713</v>
      </c>
    </row>
    <row r="169" spans="1:13" s="4" customFormat="1" ht="24" customHeight="1">
      <c r="A169" s="4" t="s">
        <v>199</v>
      </c>
      <c r="B169" s="4">
        <v>1</v>
      </c>
      <c r="C169" s="4" t="s">
        <v>140</v>
      </c>
      <c r="E169" s="2">
        <f>IF(COUNT('Turns'!E160,'Turns'!E161,'Turns'!E165)=3,SUM('Turns'!E160,'Turns'!E161,'Turns'!E165),"Unknown")</f>
        <v>0.000350664364</v>
      </c>
      <c r="F169" s="2">
        <f>IF(COUNT('Turns'!F160,'Turns'!F161,'Turns'!F165)=3,SUM('Turns'!F160,'Turns'!F161,'Turns'!F165),"Unknown")</f>
        <v>0.0003986</v>
      </c>
      <c r="G169" s="5">
        <f>IF(ISNUMBER(E169),ROUND(E169*'Reference data'!$B$2,0),"Unknown")</f>
        <v>35.0</v>
      </c>
      <c r="H169" s="5">
        <f>IF(ISNUMBER(F169),ROUND(F169*'Reference data'!$B$2,0),"Unknown")</f>
        <v>40.0</v>
      </c>
      <c r="K169" s="4" t="s">
        <v>141</v>
      </c>
    </row>
    <row r="170" spans="1:13" s="4" customFormat="1" ht="24" customHeight="1">
      <c r="B170" s="4">
        <v>1</v>
      </c>
      <c r="C170" s="4" t="s">
        <v>157</v>
      </c>
      <c r="K170" s="4" t="s">
        <v>141</v>
      </c>
      <c r="M170" s="4" t="s">
        <v>202</v>
      </c>
    </row>
    <row r="171" spans="1:13" ht="24" customHeight="1">
      <c r="B171">
        <v>1</v>
      </c>
      <c r="C171" t="s">
        <v>144</v>
      </c>
      <c r="I171" s="6" t="s">
        <v>159</v>
      </c>
    </row>
    <row r="172" spans="1:13" ht="409" customHeight="1">
      <c r="B172">
        <v>1</v>
      </c>
      <c r="C172" t="s">
        <v>146</v>
      </c>
      <c r="I172" s="6" t="s">
        <v>160</v>
      </c>
    </row>
    <row r="173" spans="1:13" s="4" customFormat="1" ht="24" customHeight="1">
      <c r="A173" s="4" t="s">
        <v>203</v>
      </c>
      <c r="B173" s="4">
        <v>1</v>
      </c>
      <c r="C173" s="4" t="s">
        <v>125</v>
      </c>
      <c r="D173" s="4">
        <v>2464</v>
      </c>
      <c r="J173" s="4" t="s">
        <v>126</v>
      </c>
      <c r="M173" s="4" t="s">
        <v>204</v>
      </c>
    </row>
    <row r="174" spans="1:13" ht="24" customHeight="1">
      <c r="A174" t="s">
        <v>203</v>
      </c>
      <c r="B174">
        <v>1</v>
      </c>
      <c r="C174" t="s">
        <v>150</v>
      </c>
      <c r="D174" s="5">
        <v>0</v>
      </c>
      <c r="E174" s="2">
        <f>IF(AND(ISNUMBER(F174),ISNUMBER('Reference data'!$B$3)),F174*'Reference data'!$B$3,"Unknown")</f>
        <v>0.0</v>
      </c>
      <c r="F174" s="2">
        <f>IF(D174=0,0,IF(ISNUMBER('Reference data'!C22),D174*'Reference data'!C22/1000000,"Unknown"))</f>
        <v>0.0</v>
      </c>
      <c r="G174" s="5">
        <f>IF(ISNUMBER(E174),ROUND(E174*'Reference data'!$B$2,0),"Unknown")</f>
        <v>0.0</v>
      </c>
      <c r="H174" s="5">
        <f>IF(ISNUMBER(F174),ROUND(F174*'Reference data'!$B$2,0),"Unknown")</f>
        <v>0.0</v>
      </c>
    </row>
    <row r="175" spans="1:13" ht="24" customHeight="1">
      <c r="A175" t="s">
        <v>203</v>
      </c>
      <c r="B175">
        <v>1</v>
      </c>
      <c r="C175" t="s">
        <v>128</v>
      </c>
      <c r="D175" s="5">
        <v>2464</v>
      </c>
      <c r="E175" s="2">
        <f>IF(AND(ISNUMBER(F175),ISNUMBER('Reference data'!$B$3)),F175*'Reference data'!$B$3,"Unknown")</f>
        <v>0.000433535872</v>
      </c>
      <c r="F175" s="2">
        <f>IF(D175=0,0,IF(ISNUMBER('Reference data'!B22),D175*'Reference data'!B22/1000000,"Unknown"))</f>
        <v>0.0004928</v>
      </c>
      <c r="G175" s="5">
        <f>IF(ISNUMBER(E175),ROUND(E175*'Reference data'!$B$2,0),"Unknown")</f>
        <v>43.0</v>
      </c>
      <c r="H175" s="5">
        <f>IF(ISNUMBER(F175),ROUND(F175*'Reference data'!$B$2,0),"Unknown")</f>
        <v>49.0</v>
      </c>
    </row>
    <row r="176" spans="1:13" ht="409" customHeight="1">
      <c r="A176" t="s">
        <v>203</v>
      </c>
      <c r="B176">
        <v>1</v>
      </c>
      <c r="C176" t="s">
        <v>151</v>
      </c>
      <c r="D176" s="1">
        <v>751</v>
      </c>
      <c r="I176" s="6" t="s">
        <v>160</v>
      </c>
    </row>
    <row r="177" spans="1:13" ht="24" customHeight="1">
      <c r="A177" t="s">
        <v>203</v>
      </c>
      <c r="B177">
        <v>1</v>
      </c>
      <c r="C177" t="s">
        <v>134</v>
      </c>
      <c r="D177" s="1">
        <v>2464</v>
      </c>
    </row>
    <row r="178" spans="1:13" ht="24" customHeight="1">
      <c r="A178" t="s">
        <v>203</v>
      </c>
      <c r="B178">
        <v>1</v>
      </c>
      <c r="C178" t="s">
        <v>135</v>
      </c>
      <c r="D178" s="1">
        <v>2464</v>
      </c>
      <c r="L178" s="1">
        <v>2464</v>
      </c>
    </row>
    <row r="179" spans="1:13" s="4" customFormat="1" ht="24" customHeight="1">
      <c r="A179" s="4" t="s">
        <v>203</v>
      </c>
      <c r="B179" s="4">
        <v>1</v>
      </c>
      <c r="C179" s="4" t="s">
        <v>136</v>
      </c>
      <c r="D179" s="4">
        <v>56</v>
      </c>
    </row>
    <row r="180" spans="1:13" ht="24" customHeight="1">
      <c r="A180" t="s">
        <v>203</v>
      </c>
      <c r="B180">
        <v>1</v>
      </c>
      <c r="C180" t="s">
        <v>137</v>
      </c>
      <c r="D180" s="5">
        <v>56</v>
      </c>
      <c r="E180" s="2">
        <f>IF(AND(ISNUMBER(F180),ISNUMBER('Reference data'!$B$3)),F180*'Reference data'!$B$3,"Unknown")</f>
        <v>5.9118528e-05</v>
      </c>
      <c r="F180" s="2">
        <f>IF(D180=0,0,IF(ISNUMBER('Reference data'!E22),D180*'Reference data'!E22/1000000,"Unknown"))</f>
        <v>6.72e-05</v>
      </c>
      <c r="G180" s="5">
        <f>IF(ISNUMBER(E180),ROUND(E180*'Reference data'!$B$2,0),"Unknown")</f>
        <v>6.0</v>
      </c>
      <c r="H180" s="5">
        <f>IF(ISNUMBER(F180),ROUND(F180*'Reference data'!$B$2,0),"Unknown")</f>
        <v>7.0</v>
      </c>
    </row>
    <row r="181" spans="1:13" ht="34" customHeight="1">
      <c r="A181" t="s">
        <v>203</v>
      </c>
      <c r="B181">
        <v>1</v>
      </c>
      <c r="C181" t="s">
        <v>138</v>
      </c>
      <c r="I181" s="6" t="s">
        <v>205</v>
      </c>
    </row>
    <row r="182" spans="1:13" ht="24" customHeight="1">
      <c r="A182" t="s">
        <v>203</v>
      </c>
      <c r="B182">
        <v>1</v>
      </c>
      <c r="C182" t="s">
        <v>134</v>
      </c>
      <c r="D182" s="1">
        <v>56</v>
      </c>
    </row>
    <row r="183" spans="1:13" ht="24" customHeight="1">
      <c r="A183" t="s">
        <v>203</v>
      </c>
      <c r="B183">
        <v>1</v>
      </c>
      <c r="C183" t="s">
        <v>135</v>
      </c>
      <c r="D183" s="1">
        <v>56</v>
      </c>
      <c r="L183" s="1">
        <v>2520</v>
      </c>
    </row>
    <row r="184" spans="1:13" s="4" customFormat="1" ht="24" customHeight="1">
      <c r="A184" s="4" t="s">
        <v>203</v>
      </c>
      <c r="B184" s="4">
        <v>1</v>
      </c>
      <c r="C184" s="4" t="s">
        <v>140</v>
      </c>
      <c r="E184" s="2">
        <f>IF(COUNT('Turns'!E174,'Turns'!E175,'Turns'!E180)=3,SUM('Turns'!E174,'Turns'!E175,'Turns'!E180),"Unknown")</f>
        <v>0.0004926544</v>
      </c>
      <c r="F184" s="2">
        <f>IF(COUNT('Turns'!F174,'Turns'!F175,'Turns'!F180)=3,SUM('Turns'!F174,'Turns'!F175,'Turns'!F180),"Unknown")</f>
        <v>0.00056</v>
      </c>
      <c r="G184" s="5">
        <f>IF(ISNUMBER(E184),ROUND(E184*'Reference data'!$B$2,0),"Unknown")</f>
        <v>49.0</v>
      </c>
      <c r="H184" s="5">
        <f>IF(ISNUMBER(F184),ROUND(F184*'Reference data'!$B$2,0),"Unknown")</f>
        <v>56.0</v>
      </c>
      <c r="K184" s="4" t="s">
        <v>141</v>
      </c>
    </row>
    <row r="185" spans="1:13" s="4" customFormat="1" ht="24" customHeight="1">
      <c r="B185" s="4">
        <v>1</v>
      </c>
      <c r="C185" s="4" t="s">
        <v>157</v>
      </c>
      <c r="K185" s="4" t="s">
        <v>141</v>
      </c>
      <c r="M185" s="4" t="s">
        <v>206</v>
      </c>
    </row>
    <row r="186" spans="1:13" ht="24" customHeight="1">
      <c r="B186">
        <v>1</v>
      </c>
      <c r="C186" t="s">
        <v>144</v>
      </c>
      <c r="I186" s="6" t="s">
        <v>179</v>
      </c>
    </row>
    <row r="187" spans="1:13" ht="294" customHeight="1">
      <c r="B187">
        <v>1</v>
      </c>
      <c r="C187" t="s">
        <v>146</v>
      </c>
      <c r="I187" s="6" t="s">
        <v>207</v>
      </c>
    </row>
    <row r="188" spans="1:13" s="4" customFormat="1" ht="24" customHeight="1">
      <c r="A188" s="4" t="s">
        <v>208</v>
      </c>
      <c r="B188" s="4">
        <v>1</v>
      </c>
      <c r="C188" s="4" t="s">
        <v>125</v>
      </c>
      <c r="D188" s="4">
        <v>2782</v>
      </c>
      <c r="J188" s="4" t="s">
        <v>126</v>
      </c>
      <c r="M188" s="4" t="s">
        <v>209</v>
      </c>
    </row>
    <row r="189" spans="1:13" ht="24" customHeight="1">
      <c r="A189" t="s">
        <v>208</v>
      </c>
      <c r="B189">
        <v>1</v>
      </c>
      <c r="C189" t="s">
        <v>150</v>
      </c>
      <c r="D189" s="5">
        <v>0</v>
      </c>
      <c r="E189" s="2">
        <f>IF(AND(ISNUMBER(F189),ISNUMBER('Reference data'!$B$3)),F189*'Reference data'!$B$3,"Unknown")</f>
        <v>0.0</v>
      </c>
      <c r="F189" s="2">
        <f>IF(D189=0,0,IF(ISNUMBER('Reference data'!C22),D189*'Reference data'!C22/1000000,"Unknown"))</f>
        <v>0.0</v>
      </c>
      <c r="G189" s="5">
        <f>IF(ISNUMBER(E189),ROUND(E189*'Reference data'!$B$2,0),"Unknown")</f>
        <v>0.0</v>
      </c>
      <c r="H189" s="5">
        <f>IF(ISNUMBER(F189),ROUND(F189*'Reference data'!$B$2,0),"Unknown")</f>
        <v>0.0</v>
      </c>
    </row>
    <row r="190" spans="1:13" ht="24" customHeight="1">
      <c r="A190" t="s">
        <v>208</v>
      </c>
      <c r="B190">
        <v>1</v>
      </c>
      <c r="C190" t="s">
        <v>128</v>
      </c>
      <c r="D190" s="5">
        <v>2782</v>
      </c>
      <c r="E190" s="2">
        <f>IF(AND(ISNUMBER(F190),ISNUMBER('Reference data'!$B$3)),F190*'Reference data'!$B$3,"Unknown")</f>
        <v>0.000489487336</v>
      </c>
      <c r="F190" s="2">
        <f>IF(D190=0,0,IF(ISNUMBER('Reference data'!B22),D190*'Reference data'!B22/1000000,"Unknown"))</f>
        <v>0.0005564</v>
      </c>
      <c r="G190" s="5">
        <f>IF(ISNUMBER(E190),ROUND(E190*'Reference data'!$B$2,0),"Unknown")</f>
        <v>49.0</v>
      </c>
      <c r="H190" s="5">
        <f>IF(ISNUMBER(F190),ROUND(F190*'Reference data'!$B$2,0),"Unknown")</f>
        <v>56.0</v>
      </c>
    </row>
    <row r="191" spans="1:13" ht="294" customHeight="1">
      <c r="A191" t="s">
        <v>208</v>
      </c>
      <c r="B191">
        <v>1</v>
      </c>
      <c r="C191" t="s">
        <v>151</v>
      </c>
      <c r="D191" s="1">
        <v>262</v>
      </c>
      <c r="I191" s="6" t="s">
        <v>207</v>
      </c>
    </row>
    <row r="192" spans="1:13" ht="24" customHeight="1">
      <c r="A192" t="s">
        <v>208</v>
      </c>
      <c r="B192">
        <v>1</v>
      </c>
      <c r="C192" t="s">
        <v>134</v>
      </c>
      <c r="D192" s="1">
        <v>2782</v>
      </c>
    </row>
    <row r="193" spans="1:13" ht="24" customHeight="1">
      <c r="A193" t="s">
        <v>208</v>
      </c>
      <c r="B193">
        <v>1</v>
      </c>
      <c r="C193" t="s">
        <v>135</v>
      </c>
      <c r="D193" s="1">
        <v>2782</v>
      </c>
      <c r="L193" s="1">
        <v>2782</v>
      </c>
    </row>
    <row r="194" spans="1:13" s="4" customFormat="1" ht="24" customHeight="1">
      <c r="A194" s="4" t="s">
        <v>208</v>
      </c>
      <c r="B194" s="4">
        <v>1</v>
      </c>
      <c r="C194" s="4" t="s">
        <v>136</v>
      </c>
      <c r="D194" s="4">
        <v>65</v>
      </c>
    </row>
    <row r="195" spans="1:13" ht="24" customHeight="1">
      <c r="A195" t="s">
        <v>208</v>
      </c>
      <c r="B195">
        <v>1</v>
      </c>
      <c r="C195" t="s">
        <v>137</v>
      </c>
      <c r="D195" s="5">
        <v>65</v>
      </c>
      <c r="E195" s="2">
        <f>IF(AND(ISNUMBER(F195),ISNUMBER('Reference data'!$B$3)),F195*'Reference data'!$B$3,"Unknown")</f>
        <v>6.861972e-05</v>
      </c>
      <c r="F195" s="2">
        <f>IF(D195=0,0,IF(ISNUMBER('Reference data'!E22),D195*'Reference data'!E22/1000000,"Unknown"))</f>
        <v>7.8e-05</v>
      </c>
      <c r="G195" s="5">
        <f>IF(ISNUMBER(E195),ROUND(E195*'Reference data'!$B$2,0),"Unknown")</f>
        <v>7.0</v>
      </c>
      <c r="H195" s="5">
        <f>IF(ISNUMBER(F195),ROUND(F195*'Reference data'!$B$2,0),"Unknown")</f>
        <v>8.0</v>
      </c>
    </row>
    <row r="196" spans="1:13" ht="34" customHeight="1">
      <c r="A196" t="s">
        <v>208</v>
      </c>
      <c r="B196">
        <v>1</v>
      </c>
      <c r="C196" t="s">
        <v>138</v>
      </c>
      <c r="I196" s="6" t="s">
        <v>210</v>
      </c>
    </row>
    <row r="197" spans="1:13" ht="24" customHeight="1">
      <c r="A197" t="s">
        <v>208</v>
      </c>
      <c r="B197">
        <v>1</v>
      </c>
      <c r="C197" t="s">
        <v>134</v>
      </c>
      <c r="D197" s="1">
        <v>65</v>
      </c>
    </row>
    <row r="198" spans="1:13" ht="24" customHeight="1">
      <c r="A198" t="s">
        <v>208</v>
      </c>
      <c r="B198">
        <v>1</v>
      </c>
      <c r="C198" t="s">
        <v>135</v>
      </c>
      <c r="D198" s="1">
        <v>65</v>
      </c>
      <c r="L198" s="1">
        <v>2847</v>
      </c>
    </row>
    <row r="199" spans="1:13" s="4" customFormat="1" ht="24" customHeight="1">
      <c r="A199" s="4" t="s">
        <v>208</v>
      </c>
      <c r="B199" s="4">
        <v>1</v>
      </c>
      <c r="C199" s="4" t="s">
        <v>140</v>
      </c>
      <c r="E199" s="2">
        <f>IF(COUNT('Turns'!E189,'Turns'!E190,'Turns'!E195)=3,SUM('Turns'!E189,'Turns'!E190,'Turns'!E195),"Unknown")</f>
        <v>0.000558107056</v>
      </c>
      <c r="F199" s="2">
        <f>IF(COUNT('Turns'!F189,'Turns'!F190,'Turns'!F195)=3,SUM('Turns'!F189,'Turns'!F190,'Turns'!F195),"Unknown")</f>
        <v>0.0006344</v>
      </c>
      <c r="G199" s="5">
        <f>IF(ISNUMBER(E199),ROUND(E199*'Reference data'!$B$2,0),"Unknown")</f>
        <v>56.0</v>
      </c>
      <c r="H199" s="5">
        <f>IF(ISNUMBER(F199),ROUND(F199*'Reference data'!$B$2,0),"Unknown")</f>
        <v>63.0</v>
      </c>
      <c r="K199" s="4" t="s">
        <v>141</v>
      </c>
    </row>
    <row r="200" spans="1:13" s="4" customFormat="1" ht="24" customHeight="1">
      <c r="A200" s="4" t="s">
        <v>211</v>
      </c>
      <c r="B200" s="4">
        <v>1</v>
      </c>
      <c r="C200" s="4" t="s">
        <v>125</v>
      </c>
      <c r="D200" s="4">
        <v>7025</v>
      </c>
      <c r="J200" s="4" t="s">
        <v>126</v>
      </c>
      <c r="M200" s="4" t="s">
        <v>212</v>
      </c>
    </row>
    <row r="201" spans="1:13" ht="24" customHeight="1">
      <c r="A201" t="s">
        <v>211</v>
      </c>
      <c r="B201">
        <v>1</v>
      </c>
      <c r="C201" t="s">
        <v>128</v>
      </c>
      <c r="D201" s="5">
        <v>7025</v>
      </c>
      <c r="E201" s="2">
        <f>IF(AND(ISNUMBER(F201),ISNUMBER('Reference data'!$B$3)),F201*'Reference data'!$B$3,"Unknown")</f>
        <v>0.0012360347</v>
      </c>
      <c r="F201" s="2">
        <f>IF(D201=0,0,IF(ISNUMBER('Reference data'!B22),D201*'Reference data'!B22/1000000,"Unknown"))</f>
        <v>0.001405</v>
      </c>
      <c r="G201" s="5">
        <f>IF(ISNUMBER(E201),ROUND(E201*'Reference data'!$B$2,0),"Unknown")</f>
        <v>124.0</v>
      </c>
      <c r="H201" s="5">
        <f>IF(ISNUMBER(F201),ROUND(F201*'Reference data'!$B$2,0),"Unknown")</f>
        <v>141.0</v>
      </c>
    </row>
    <row r="202" spans="1:13" ht="24" customHeight="1">
      <c r="A202" t="s">
        <v>211</v>
      </c>
      <c r="B202">
        <v>1</v>
      </c>
      <c r="C202" t="s">
        <v>129</v>
      </c>
      <c r="D202" s="1">
        <v>848</v>
      </c>
    </row>
    <row r="203" spans="1:13" ht="409" customHeight="1">
      <c r="A203" t="s">
        <v>211</v>
      </c>
      <c r="B203">
        <v>1</v>
      </c>
      <c r="C203" t="s">
        <v>130</v>
      </c>
      <c r="D203" s="1">
        <v>1564</v>
      </c>
      <c r="I203" s="6" t="s">
        <v>213</v>
      </c>
    </row>
    <row r="204" spans="1:13" ht="409" customHeight="1">
      <c r="A204" t="s">
        <v>211</v>
      </c>
      <c r="B204">
        <v>1</v>
      </c>
      <c r="C204" t="s">
        <v>151</v>
      </c>
      <c r="I204" s="6" t="s">
        <v>214</v>
      </c>
    </row>
    <row r="205" spans="1:13" ht="24" customHeight="1">
      <c r="A205" t="s">
        <v>211</v>
      </c>
      <c r="B205">
        <v>1</v>
      </c>
      <c r="C205" t="s">
        <v>134</v>
      </c>
      <c r="D205" s="1">
        <v>7025</v>
      </c>
    </row>
    <row r="206" spans="1:13" ht="24" customHeight="1">
      <c r="A206" t="s">
        <v>211</v>
      </c>
      <c r="B206">
        <v>1</v>
      </c>
      <c r="C206" t="s">
        <v>135</v>
      </c>
      <c r="D206" s="1">
        <v>7025</v>
      </c>
      <c r="L206" s="1">
        <v>7025</v>
      </c>
    </row>
    <row r="207" spans="1:13" s="4" customFormat="1" ht="24" customHeight="1">
      <c r="A207" s="4" t="s">
        <v>211</v>
      </c>
      <c r="B207" s="4">
        <v>1</v>
      </c>
      <c r="C207" s="4" t="s">
        <v>136</v>
      </c>
      <c r="D207" s="4">
        <v>56</v>
      </c>
    </row>
    <row r="208" spans="1:13" ht="24" customHeight="1">
      <c r="A208" t="s">
        <v>211</v>
      </c>
      <c r="B208">
        <v>1</v>
      </c>
      <c r="C208" t="s">
        <v>137</v>
      </c>
      <c r="D208" s="5">
        <v>56</v>
      </c>
      <c r="E208" s="2">
        <f>IF(AND(ISNUMBER(F208),ISNUMBER('Reference data'!$B$3)),F208*'Reference data'!$B$3,"Unknown")</f>
        <v>5.9118528e-05</v>
      </c>
      <c r="F208" s="2">
        <f>IF(D208=0,0,IF(ISNUMBER('Reference data'!E22),D208*'Reference data'!E22/1000000,"Unknown"))</f>
        <v>6.72e-05</v>
      </c>
      <c r="G208" s="5">
        <f>IF(ISNUMBER(E208),ROUND(E208*'Reference data'!$B$2,0),"Unknown")</f>
        <v>6.0</v>
      </c>
      <c r="H208" s="5">
        <f>IF(ISNUMBER(F208),ROUND(F208*'Reference data'!$B$2,0),"Unknown")</f>
        <v>7.0</v>
      </c>
    </row>
    <row r="209" spans="1:13" ht="34" customHeight="1">
      <c r="A209" t="s">
        <v>211</v>
      </c>
      <c r="B209">
        <v>1</v>
      </c>
      <c r="C209" t="s">
        <v>138</v>
      </c>
      <c r="I209" s="6" t="s">
        <v>215</v>
      </c>
    </row>
    <row r="210" spans="1:13" ht="24" customHeight="1">
      <c r="A210" t="s">
        <v>211</v>
      </c>
      <c r="B210">
        <v>1</v>
      </c>
      <c r="C210" t="s">
        <v>134</v>
      </c>
      <c r="D210" s="1">
        <v>56</v>
      </c>
    </row>
    <row r="211" spans="1:13" ht="24" customHeight="1">
      <c r="A211" t="s">
        <v>211</v>
      </c>
      <c r="B211">
        <v>1</v>
      </c>
      <c r="C211" t="s">
        <v>135</v>
      </c>
      <c r="D211" s="1">
        <v>56</v>
      </c>
      <c r="L211" s="1">
        <v>7081</v>
      </c>
    </row>
    <row r="212" spans="1:13" s="4" customFormat="1" ht="24" customHeight="1">
      <c r="A212" s="4" t="s">
        <v>211</v>
      </c>
      <c r="B212" s="4">
        <v>1</v>
      </c>
      <c r="C212" s="4" t="s">
        <v>140</v>
      </c>
      <c r="E212" s="2">
        <f>IF(COUNT('Turns'!E201,'Turns'!E208)=2,SUM('Turns'!E201,'Turns'!E208),"Unknown")</f>
        <v>0.001295153228</v>
      </c>
      <c r="F212" s="2">
        <f>IF(COUNT('Turns'!F201,'Turns'!F208)=2,SUM('Turns'!F201,'Turns'!F208),"Unknown")</f>
        <v>0.0014722</v>
      </c>
      <c r="G212" s="5">
        <f>IF(ISNUMBER(E212),ROUND(E212*'Reference data'!$B$2,0),"Unknown")</f>
        <v>130.0</v>
      </c>
      <c r="H212" s="5">
        <f>IF(ISNUMBER(F212),ROUND(F212*'Reference data'!$B$2,0),"Unknown")</f>
        <v>147.0</v>
      </c>
      <c r="K212" s="4" t="s">
        <v>141</v>
      </c>
    </row>
    <row r="213" spans="1:13" s="4" customFormat="1" ht="24" customHeight="1">
      <c r="B213" s="4">
        <v>1</v>
      </c>
      <c r="C213" s="4" t="s">
        <v>157</v>
      </c>
      <c r="K213" s="4" t="s">
        <v>141</v>
      </c>
      <c r="M213" s="4" t="s">
        <v>216</v>
      </c>
    </row>
    <row r="214" spans="1:13" ht="24" customHeight="1">
      <c r="B214">
        <v>1</v>
      </c>
      <c r="C214" t="s">
        <v>144</v>
      </c>
      <c r="I214" s="6" t="s">
        <v>159</v>
      </c>
    </row>
    <row r="215" spans="1:13" ht="409" customHeight="1">
      <c r="B215">
        <v>1</v>
      </c>
      <c r="C215" t="s">
        <v>146</v>
      </c>
      <c r="I215" s="6" t="s">
        <v>160</v>
      </c>
    </row>
    <row r="216" spans="1:13" s="4" customFormat="1" ht="24" customHeight="1">
      <c r="A216" s="4" t="s">
        <v>217</v>
      </c>
      <c r="B216" s="4">
        <v>1</v>
      </c>
      <c r="C216" s="4" t="s">
        <v>125</v>
      </c>
      <c r="D216" s="4">
        <v>7832</v>
      </c>
      <c r="J216" s="4" t="s">
        <v>126</v>
      </c>
      <c r="M216" s="4" t="s">
        <v>218</v>
      </c>
    </row>
    <row r="217" spans="1:13" ht="24" customHeight="1">
      <c r="A217" t="s">
        <v>217</v>
      </c>
      <c r="B217">
        <v>1</v>
      </c>
      <c r="C217" t="s">
        <v>150</v>
      </c>
      <c r="D217" s="5">
        <v>0</v>
      </c>
      <c r="E217" s="2">
        <f>IF(AND(ISNUMBER(F217),ISNUMBER('Reference data'!$B$3)),F217*'Reference data'!$B$3,"Unknown")</f>
        <v>0.0</v>
      </c>
      <c r="F217" s="2">
        <f>IF(D217=0,0,IF(ISNUMBER('Reference data'!C22),D217*'Reference data'!C22/1000000,"Unknown"))</f>
        <v>0.0</v>
      </c>
      <c r="G217" s="5">
        <f>IF(ISNUMBER(E217),ROUND(E217*'Reference data'!$B$2,0),"Unknown")</f>
        <v>0.0</v>
      </c>
      <c r="H217" s="5">
        <f>IF(ISNUMBER(F217),ROUND(F217*'Reference data'!$B$2,0),"Unknown")</f>
        <v>0.0</v>
      </c>
    </row>
    <row r="218" spans="1:13" ht="24" customHeight="1">
      <c r="A218" t="s">
        <v>217</v>
      </c>
      <c r="B218">
        <v>1</v>
      </c>
      <c r="C218" t="s">
        <v>128</v>
      </c>
      <c r="D218" s="5">
        <v>7832</v>
      </c>
      <c r="E218" s="2">
        <f>IF(AND(ISNUMBER(F218),ISNUMBER('Reference data'!$B$3)),F218*'Reference data'!$B$3,"Unknown")</f>
        <v>0.001378024736</v>
      </c>
      <c r="F218" s="2">
        <f>IF(D218=0,0,IF(ISNUMBER('Reference data'!B22),D218*'Reference data'!B22/1000000,"Unknown"))</f>
        <v>0.0015664</v>
      </c>
      <c r="G218" s="5">
        <f>IF(ISNUMBER(E218),ROUND(E218*'Reference data'!$B$2,0),"Unknown")</f>
        <v>138.0</v>
      </c>
      <c r="H218" s="5">
        <f>IF(ISNUMBER(F218),ROUND(F218*'Reference data'!$B$2,0),"Unknown")</f>
        <v>157.0</v>
      </c>
    </row>
    <row r="219" spans="1:13" ht="409" customHeight="1">
      <c r="A219" t="s">
        <v>217</v>
      </c>
      <c r="B219">
        <v>1</v>
      </c>
      <c r="C219" t="s">
        <v>151</v>
      </c>
      <c r="D219" s="1">
        <v>751</v>
      </c>
      <c r="I219" s="6" t="s">
        <v>160</v>
      </c>
    </row>
    <row r="220" spans="1:13" ht="24" customHeight="1">
      <c r="A220" t="s">
        <v>217</v>
      </c>
      <c r="B220">
        <v>1</v>
      </c>
      <c r="C220" t="s">
        <v>134</v>
      </c>
      <c r="D220" s="1">
        <v>7832</v>
      </c>
    </row>
    <row r="221" spans="1:13" ht="24" customHeight="1">
      <c r="A221" t="s">
        <v>217</v>
      </c>
      <c r="B221">
        <v>1</v>
      </c>
      <c r="C221" t="s">
        <v>135</v>
      </c>
      <c r="D221" s="1">
        <v>7832</v>
      </c>
      <c r="L221" s="1">
        <v>7832</v>
      </c>
    </row>
    <row r="222" spans="1:13" s="4" customFormat="1" ht="24" customHeight="1">
      <c r="A222" s="4" t="s">
        <v>217</v>
      </c>
      <c r="B222" s="4">
        <v>1</v>
      </c>
      <c r="C222" s="4" t="s">
        <v>136</v>
      </c>
      <c r="D222" s="4">
        <v>107</v>
      </c>
    </row>
    <row r="223" spans="1:13" ht="24" customHeight="1">
      <c r="A223" t="s">
        <v>217</v>
      </c>
      <c r="B223">
        <v>1</v>
      </c>
      <c r="C223" t="s">
        <v>137</v>
      </c>
      <c r="D223" s="5">
        <v>107</v>
      </c>
      <c r="E223" s="2">
        <f>IF(AND(ISNUMBER(F223),ISNUMBER('Reference data'!$B$3)),F223*'Reference data'!$B$3,"Unknown")</f>
        <v>0.000112958616</v>
      </c>
      <c r="F223" s="2">
        <f>IF(D223=0,0,IF(ISNUMBER('Reference data'!E22),D223*'Reference data'!E22/1000000,"Unknown"))</f>
        <v>0.0001284</v>
      </c>
      <c r="G223" s="5">
        <f>IF(ISNUMBER(E223),ROUND(E223*'Reference data'!$B$2,0),"Unknown")</f>
        <v>11.0</v>
      </c>
      <c r="H223" s="5">
        <f>IF(ISNUMBER(F223),ROUND(F223*'Reference data'!$B$2,0),"Unknown")</f>
        <v>13.0</v>
      </c>
    </row>
    <row r="224" spans="1:13" ht="60" customHeight="1">
      <c r="A224" t="s">
        <v>217</v>
      </c>
      <c r="B224">
        <v>1</v>
      </c>
      <c r="C224" t="s">
        <v>138</v>
      </c>
      <c r="I224" s="6" t="s">
        <v>219</v>
      </c>
    </row>
    <row r="225" spans="1:13" ht="24" customHeight="1">
      <c r="A225" t="s">
        <v>217</v>
      </c>
      <c r="B225">
        <v>1</v>
      </c>
      <c r="C225" t="s">
        <v>134</v>
      </c>
      <c r="D225" s="1">
        <v>107</v>
      </c>
    </row>
    <row r="226" spans="1:13" ht="24" customHeight="1">
      <c r="A226" t="s">
        <v>217</v>
      </c>
      <c r="B226">
        <v>1</v>
      </c>
      <c r="C226" t="s">
        <v>135</v>
      </c>
      <c r="D226" s="1">
        <v>107</v>
      </c>
      <c r="L226" s="1">
        <v>7939</v>
      </c>
    </row>
    <row r="227" spans="1:13" s="4" customFormat="1" ht="24" customHeight="1">
      <c r="A227" s="4" t="s">
        <v>217</v>
      </c>
      <c r="B227" s="4">
        <v>1</v>
      </c>
      <c r="C227" s="4" t="s">
        <v>140</v>
      </c>
      <c r="E227" s="2">
        <f>IF(COUNT('Turns'!E217,'Turns'!E218,'Turns'!E223)=3,SUM('Turns'!E217,'Turns'!E218,'Turns'!E223),"Unknown")</f>
        <v>0.001490983352</v>
      </c>
      <c r="F227" s="2">
        <f>IF(COUNT('Turns'!F217,'Turns'!F218,'Turns'!F223)=3,SUM('Turns'!F217,'Turns'!F218,'Turns'!F223),"Unknown")</f>
        <v>0.0016948</v>
      </c>
      <c r="G227" s="5">
        <f>IF(ISNUMBER(E227),ROUND(E227*'Reference data'!$B$2,0),"Unknown")</f>
        <v>149.0</v>
      </c>
      <c r="H227" s="5">
        <f>IF(ISNUMBER(F227),ROUND(F227*'Reference data'!$B$2,0),"Unknown")</f>
        <v>169.0</v>
      </c>
      <c r="K227" s="4" t="s">
        <v>141</v>
      </c>
    </row>
    <row r="228" spans="1:13" s="4" customFormat="1" ht="24" customHeight="1">
      <c r="B228" s="4">
        <v>1</v>
      </c>
      <c r="C228" s="4" t="s">
        <v>192</v>
      </c>
      <c r="K228" s="4" t="s">
        <v>141</v>
      </c>
      <c r="M228" s="4" t="s">
        <v>220</v>
      </c>
    </row>
    <row r="229" spans="1:13" ht="47" customHeight="1">
      <c r="B229">
        <v>1</v>
      </c>
      <c r="C229" t="s">
        <v>144</v>
      </c>
      <c r="I229" s="6" t="s">
        <v>221</v>
      </c>
    </row>
    <row r="230" spans="1:13" ht="24" customHeight="1">
      <c r="B230">
        <v>1</v>
      </c>
      <c r="C230" t="s">
        <v>146</v>
      </c>
      <c r="I230" s="6" t="s">
        <v>222</v>
      </c>
    </row>
    <row r="231" spans="1:13" s="4" customFormat="1" ht="24" customHeight="1">
      <c r="A231" s="4" t="s">
        <v>223</v>
      </c>
      <c r="B231" s="4">
        <v>1</v>
      </c>
      <c r="C231" s="4" t="s">
        <v>125</v>
      </c>
      <c r="D231" s="4">
        <v>7981</v>
      </c>
      <c r="J231" s="4" t="s">
        <v>126</v>
      </c>
      <c r="M231" s="4" t="s">
        <v>224</v>
      </c>
    </row>
    <row r="232" spans="1:13" ht="24" customHeight="1">
      <c r="A232" t="s">
        <v>223</v>
      </c>
      <c r="B232">
        <v>1</v>
      </c>
      <c r="C232" t="s">
        <v>150</v>
      </c>
      <c r="D232" s="5">
        <v>0</v>
      </c>
      <c r="E232" s="2">
        <f>IF(AND(ISNUMBER(F232),ISNUMBER('Reference data'!$B$3)),F232*'Reference data'!$B$3,"Unknown")</f>
        <v>0.0</v>
      </c>
      <c r="F232" s="2">
        <f>IF(D232=0,0,IF(ISNUMBER('Reference data'!C22),D232*'Reference data'!C22/1000000,"Unknown"))</f>
        <v>0.0</v>
      </c>
      <c r="G232" s="5">
        <f>IF(ISNUMBER(E232),ROUND(E232*'Reference data'!$B$2,0),"Unknown")</f>
        <v>0.0</v>
      </c>
      <c r="H232" s="5">
        <f>IF(ISNUMBER(F232),ROUND(F232*'Reference data'!$B$2,0),"Unknown")</f>
        <v>0.0</v>
      </c>
    </row>
    <row r="233" spans="1:13" ht="24" customHeight="1">
      <c r="A233" t="s">
        <v>223</v>
      </c>
      <c r="B233">
        <v>1</v>
      </c>
      <c r="C233" t="s">
        <v>128</v>
      </c>
      <c r="D233" s="5">
        <v>7981</v>
      </c>
      <c r="E233" s="2">
        <f>IF(AND(ISNUMBER(F233),ISNUMBER('Reference data'!$B$3)),F233*'Reference data'!$B$3,"Unknown")</f>
        <v>0.001404240988</v>
      </c>
      <c r="F233" s="2">
        <f>IF(D233=0,0,IF(ISNUMBER('Reference data'!B22),D233*'Reference data'!B22/1000000,"Unknown"))</f>
        <v>0.0015962</v>
      </c>
      <c r="G233" s="5">
        <f>IF(ISNUMBER(E233),ROUND(E233*'Reference data'!$B$2,0),"Unknown")</f>
        <v>140.0</v>
      </c>
      <c r="H233" s="5">
        <f>IF(ISNUMBER(F233),ROUND(F233*'Reference data'!$B$2,0),"Unknown")</f>
        <v>160.0</v>
      </c>
    </row>
    <row r="234" spans="1:13" ht="24" customHeight="1">
      <c r="A234" t="s">
        <v>223</v>
      </c>
      <c r="B234">
        <v>1</v>
      </c>
      <c r="C234" t="s">
        <v>151</v>
      </c>
      <c r="D234" s="1">
        <v>42</v>
      </c>
      <c r="I234" s="6" t="s">
        <v>222</v>
      </c>
    </row>
    <row r="235" spans="1:13" ht="24" customHeight="1">
      <c r="A235" t="s">
        <v>223</v>
      </c>
      <c r="B235">
        <v>1</v>
      </c>
      <c r="C235" t="s">
        <v>134</v>
      </c>
      <c r="D235" s="1">
        <v>7981</v>
      </c>
    </row>
    <row r="236" spans="1:13" ht="24" customHeight="1">
      <c r="A236" t="s">
        <v>223</v>
      </c>
      <c r="B236">
        <v>1</v>
      </c>
      <c r="C236" t="s">
        <v>135</v>
      </c>
      <c r="D236" s="1">
        <v>7981</v>
      </c>
      <c r="L236" s="1">
        <v>7981</v>
      </c>
    </row>
    <row r="237" spans="1:13" s="4" customFormat="1" ht="24" customHeight="1">
      <c r="A237" s="4" t="s">
        <v>223</v>
      </c>
      <c r="B237" s="4">
        <v>1</v>
      </c>
      <c r="C237" s="4" t="s">
        <v>136</v>
      </c>
      <c r="D237" s="4">
        <v>56</v>
      </c>
    </row>
    <row r="238" spans="1:13" ht="24" customHeight="1">
      <c r="A238" t="s">
        <v>223</v>
      </c>
      <c r="B238">
        <v>1</v>
      </c>
      <c r="C238" t="s">
        <v>137</v>
      </c>
      <c r="D238" s="5">
        <v>56</v>
      </c>
      <c r="E238" s="2">
        <f>IF(AND(ISNUMBER(F238),ISNUMBER('Reference data'!$B$3)),F238*'Reference data'!$B$3,"Unknown")</f>
        <v>5.9118528e-05</v>
      </c>
      <c r="F238" s="2">
        <f>IF(D238=0,0,IF(ISNUMBER('Reference data'!E22),D238*'Reference data'!E22/1000000,"Unknown"))</f>
        <v>6.72e-05</v>
      </c>
      <c r="G238" s="5">
        <f>IF(ISNUMBER(E238),ROUND(E238*'Reference data'!$B$2,0),"Unknown")</f>
        <v>6.0</v>
      </c>
      <c r="H238" s="5">
        <f>IF(ISNUMBER(F238),ROUND(F238*'Reference data'!$B$2,0),"Unknown")</f>
        <v>7.0</v>
      </c>
    </row>
    <row r="239" spans="1:13" ht="34" customHeight="1">
      <c r="A239" t="s">
        <v>223</v>
      </c>
      <c r="B239">
        <v>1</v>
      </c>
      <c r="C239" t="s">
        <v>138</v>
      </c>
      <c r="I239" s="6" t="s">
        <v>225</v>
      </c>
    </row>
    <row r="240" spans="1:13" ht="24" customHeight="1">
      <c r="A240" t="s">
        <v>223</v>
      </c>
      <c r="B240">
        <v>1</v>
      </c>
      <c r="C240" t="s">
        <v>134</v>
      </c>
      <c r="D240" s="1">
        <v>56</v>
      </c>
    </row>
    <row r="241" spans="1:13" ht="24" customHeight="1">
      <c r="A241" t="s">
        <v>223</v>
      </c>
      <c r="B241">
        <v>1</v>
      </c>
      <c r="C241" t="s">
        <v>135</v>
      </c>
      <c r="D241" s="1">
        <v>56</v>
      </c>
      <c r="L241" s="1">
        <v>8037</v>
      </c>
    </row>
    <row r="242" spans="1:13" s="4" customFormat="1" ht="24" customHeight="1">
      <c r="A242" s="4" t="s">
        <v>223</v>
      </c>
      <c r="B242" s="4">
        <v>1</v>
      </c>
      <c r="C242" s="4" t="s">
        <v>140</v>
      </c>
      <c r="E242" s="2">
        <f>IF(COUNT('Turns'!E232,'Turns'!E233,'Turns'!E238)=3,SUM('Turns'!E232,'Turns'!E233,'Turns'!E238),"Unknown")</f>
        <v>0.001463359516</v>
      </c>
      <c r="F242" s="2">
        <f>IF(COUNT('Turns'!F232,'Turns'!F233,'Turns'!F238)=3,SUM('Turns'!F232,'Turns'!F233,'Turns'!F238),"Unknown")</f>
        <v>0.0016634</v>
      </c>
      <c r="G242" s="5">
        <f>IF(ISNUMBER(E242),ROUND(E242*'Reference data'!$B$2,0),"Unknown")</f>
        <v>146.0</v>
      </c>
      <c r="H242" s="5">
        <f>IF(ISNUMBER(F242),ROUND(F242*'Reference data'!$B$2,0),"Unknown")</f>
        <v>166.0</v>
      </c>
      <c r="K242" s="4" t="s">
        <v>141</v>
      </c>
    </row>
    <row r="243" spans="1:13" s="4" customFormat="1" ht="24" customHeight="1">
      <c r="B243" s="4">
        <v>1</v>
      </c>
      <c r="C243" s="4" t="s">
        <v>157</v>
      </c>
      <c r="K243" s="4" t="s">
        <v>141</v>
      </c>
      <c r="M243" s="4" t="s">
        <v>226</v>
      </c>
    </row>
    <row r="244" spans="1:13" ht="24" customHeight="1">
      <c r="B244">
        <v>1</v>
      </c>
      <c r="C244" t="s">
        <v>144</v>
      </c>
      <c r="I244" s="6" t="s">
        <v>159</v>
      </c>
    </row>
    <row r="245" spans="1:13" ht="409" customHeight="1">
      <c r="B245">
        <v>1</v>
      </c>
      <c r="C245" t="s">
        <v>146</v>
      </c>
      <c r="I245" s="6" t="s">
        <v>227</v>
      </c>
    </row>
    <row r="246" spans="1:13" s="4" customFormat="1" ht="24" customHeight="1">
      <c r="A246" s="4" t="s">
        <v>228</v>
      </c>
      <c r="B246" s="4">
        <v>1</v>
      </c>
      <c r="C246" s="4" t="s">
        <v>125</v>
      </c>
      <c r="D246" s="4">
        <v>5808</v>
      </c>
      <c r="J246" s="4" t="s">
        <v>126</v>
      </c>
      <c r="M246" s="4" t="s">
        <v>229</v>
      </c>
    </row>
    <row r="247" spans="1:13" ht="24" customHeight="1">
      <c r="A247" t="s">
        <v>228</v>
      </c>
      <c r="B247">
        <v>1</v>
      </c>
      <c r="C247" t="s">
        <v>128</v>
      </c>
      <c r="D247" s="5">
        <v>5808</v>
      </c>
      <c r="E247" s="2">
        <f>IF(AND(ISNUMBER(F247),ISNUMBER('Reference data'!$B$3)),F247*'Reference data'!$B$3,"Unknown")</f>
        <v>0.001021905984</v>
      </c>
      <c r="F247" s="2">
        <f>IF(D247=0,0,IF(ISNUMBER('Reference data'!B22),D247*'Reference data'!B22/1000000,"Unknown"))</f>
        <v>0.0011616</v>
      </c>
      <c r="G247" s="5">
        <f>IF(ISNUMBER(E247),ROUND(E247*'Reference data'!$B$2,0),"Unknown")</f>
        <v>102.0</v>
      </c>
      <c r="H247" s="5">
        <f>IF(ISNUMBER(F247),ROUND(F247*'Reference data'!$B$2,0),"Unknown")</f>
        <v>116.0</v>
      </c>
    </row>
    <row r="248" spans="1:13" ht="24" customHeight="1">
      <c r="A248" t="s">
        <v>228</v>
      </c>
      <c r="B248">
        <v>1</v>
      </c>
      <c r="C248" t="s">
        <v>129</v>
      </c>
      <c r="D248" s="1">
        <v>1</v>
      </c>
    </row>
    <row r="249" spans="1:13" ht="24" customHeight="1">
      <c r="A249" t="s">
        <v>228</v>
      </c>
      <c r="B249">
        <v>1</v>
      </c>
      <c r="C249" t="s">
        <v>130</v>
      </c>
      <c r="I249" s="6" t="s">
        <v>230</v>
      </c>
    </row>
    <row r="250" spans="1:13" ht="24" customHeight="1">
      <c r="A250" t="s">
        <v>228</v>
      </c>
      <c r="B250">
        <v>1</v>
      </c>
      <c r="C250" t="s">
        <v>134</v>
      </c>
      <c r="D250" s="1">
        <v>5808</v>
      </c>
    </row>
    <row r="251" spans="1:13" ht="24" customHeight="1">
      <c r="A251" t="s">
        <v>228</v>
      </c>
      <c r="B251">
        <v>1</v>
      </c>
      <c r="C251" t="s">
        <v>135</v>
      </c>
      <c r="D251" s="1">
        <v>5808</v>
      </c>
      <c r="L251" s="1">
        <v>5808</v>
      </c>
    </row>
    <row r="252" spans="1:13" s="4" customFormat="1" ht="24" customHeight="1">
      <c r="A252" s="4" t="s">
        <v>228</v>
      </c>
      <c r="B252" s="4">
        <v>1</v>
      </c>
      <c r="C252" s="4" t="s">
        <v>136</v>
      </c>
      <c r="D252" s="4">
        <v>74</v>
      </c>
    </row>
    <row r="253" spans="1:13" ht="24" customHeight="1">
      <c r="A253" t="s">
        <v>228</v>
      </c>
      <c r="B253">
        <v>1</v>
      </c>
      <c r="C253" t="s">
        <v>137</v>
      </c>
      <c r="D253" s="5">
        <v>74</v>
      </c>
      <c r="E253" s="2">
        <f>IF(AND(ISNUMBER(F253),ISNUMBER('Reference data'!$B$3)),F253*'Reference data'!$B$3,"Unknown")</f>
        <v>7.8120912e-05</v>
      </c>
      <c r="F253" s="2">
        <f>IF(D253=0,0,IF(ISNUMBER('Reference data'!E22),D253*'Reference data'!E22/1000000,"Unknown"))</f>
        <v>8.88e-05</v>
      </c>
      <c r="G253" s="5">
        <f>IF(ISNUMBER(E253),ROUND(E253*'Reference data'!$B$2,0),"Unknown")</f>
        <v>8.0</v>
      </c>
      <c r="H253" s="5">
        <f>IF(ISNUMBER(F253),ROUND(F253*'Reference data'!$B$2,0),"Unknown")</f>
        <v>9.0</v>
      </c>
    </row>
    <row r="254" spans="1:13" ht="60" customHeight="1">
      <c r="A254" t="s">
        <v>228</v>
      </c>
      <c r="B254">
        <v>1</v>
      </c>
      <c r="C254" t="s">
        <v>138</v>
      </c>
      <c r="I254" s="6" t="s">
        <v>231</v>
      </c>
    </row>
    <row r="255" spans="1:13" ht="24" customHeight="1">
      <c r="A255" t="s">
        <v>228</v>
      </c>
      <c r="B255">
        <v>1</v>
      </c>
      <c r="C255" t="s">
        <v>134</v>
      </c>
      <c r="D255" s="1">
        <v>74</v>
      </c>
    </row>
    <row r="256" spans="1:13" ht="24" customHeight="1">
      <c r="A256" t="s">
        <v>228</v>
      </c>
      <c r="B256">
        <v>1</v>
      </c>
      <c r="C256" t="s">
        <v>135</v>
      </c>
      <c r="D256" s="1">
        <v>74</v>
      </c>
      <c r="L256" s="1">
        <v>5882</v>
      </c>
    </row>
    <row r="257" spans="1:13" s="4" customFormat="1" ht="24" customHeight="1">
      <c r="A257" s="4" t="s">
        <v>228</v>
      </c>
      <c r="B257" s="4">
        <v>1</v>
      </c>
      <c r="C257" s="4" t="s">
        <v>140</v>
      </c>
      <c r="E257" s="2">
        <f>IF(COUNT('Turns'!E247,'Turns'!E253)=2,SUM('Turns'!E247,'Turns'!E253),"Unknown")</f>
        <v>0.001100026896</v>
      </c>
      <c r="F257" s="2">
        <f>IF(COUNT('Turns'!F247,'Turns'!F253)=2,SUM('Turns'!F247,'Turns'!F253),"Unknown")</f>
        <v>0.0012504</v>
      </c>
      <c r="G257" s="5">
        <f>IF(ISNUMBER(E257),ROUND(E257*'Reference data'!$B$2,0),"Unknown")</f>
        <v>110.0</v>
      </c>
      <c r="H257" s="5">
        <f>IF(ISNUMBER(F257),ROUND(F257*'Reference data'!$B$2,0),"Unknown")</f>
        <v>125.0</v>
      </c>
      <c r="K257" s="4" t="s">
        <v>141</v>
      </c>
    </row>
    <row r="258" spans="1:13" s="4" customFormat="1" ht="24" customHeight="1">
      <c r="A258" s="4" t="s">
        <v>232</v>
      </c>
      <c r="B258" s="4">
        <v>1</v>
      </c>
      <c r="C258" s="4" t="s">
        <v>125</v>
      </c>
      <c r="D258" s="4">
        <v>3319</v>
      </c>
      <c r="J258" s="4" t="s">
        <v>126</v>
      </c>
      <c r="M258" s="4" t="s">
        <v>233</v>
      </c>
    </row>
    <row r="259" spans="1:13" ht="24" customHeight="1">
      <c r="A259" t="s">
        <v>232</v>
      </c>
      <c r="B259">
        <v>1</v>
      </c>
      <c r="C259" t="s">
        <v>150</v>
      </c>
      <c r="D259" s="5">
        <v>0</v>
      </c>
      <c r="E259" s="2">
        <f>IF(AND(ISNUMBER(F259),ISNUMBER('Reference data'!$B$3)),F259*'Reference data'!$B$3,"Unknown")</f>
        <v>0.0</v>
      </c>
      <c r="F259" s="2">
        <f>IF(D259=0,0,IF(ISNUMBER('Reference data'!C22),D259*'Reference data'!C22/1000000,"Unknown"))</f>
        <v>0.0</v>
      </c>
      <c r="G259" s="5">
        <f>IF(ISNUMBER(E259),ROUND(E259*'Reference data'!$B$2,0),"Unknown")</f>
        <v>0.0</v>
      </c>
      <c r="H259" s="5">
        <f>IF(ISNUMBER(F259),ROUND(F259*'Reference data'!$B$2,0),"Unknown")</f>
        <v>0.0</v>
      </c>
    </row>
    <row r="260" spans="1:13" ht="24" customHeight="1">
      <c r="A260" t="s">
        <v>232</v>
      </c>
      <c r="B260">
        <v>1</v>
      </c>
      <c r="C260" t="s">
        <v>128</v>
      </c>
      <c r="D260" s="5">
        <v>3319</v>
      </c>
      <c r="E260" s="2">
        <f>IF(AND(ISNUMBER(F260),ISNUMBER('Reference data'!$B$3)),F260*'Reference data'!$B$3,"Unknown")</f>
        <v>0.000583971412</v>
      </c>
      <c r="F260" s="2">
        <f>IF(D260=0,0,IF(ISNUMBER('Reference data'!B22),D260*'Reference data'!B22/1000000,"Unknown"))</f>
        <v>0.0006638</v>
      </c>
      <c r="G260" s="5">
        <f>IF(ISNUMBER(E260),ROUND(E260*'Reference data'!$B$2,0),"Unknown")</f>
        <v>58.0</v>
      </c>
      <c r="H260" s="5">
        <f>IF(ISNUMBER(F260),ROUND(F260*'Reference data'!$B$2,0),"Unknown")</f>
        <v>66.0</v>
      </c>
    </row>
    <row r="261" spans="1:13" ht="409" customHeight="1">
      <c r="A261" t="s">
        <v>232</v>
      </c>
      <c r="B261">
        <v>1</v>
      </c>
      <c r="C261" t="s">
        <v>151</v>
      </c>
      <c r="D261" s="1">
        <v>765</v>
      </c>
      <c r="I261" s="6" t="s">
        <v>227</v>
      </c>
    </row>
    <row r="262" spans="1:13" ht="24" customHeight="1">
      <c r="A262" t="s">
        <v>232</v>
      </c>
      <c r="B262">
        <v>1</v>
      </c>
      <c r="C262" t="s">
        <v>134</v>
      </c>
      <c r="D262" s="1">
        <v>3319</v>
      </c>
    </row>
    <row r="263" spans="1:13" ht="24" customHeight="1">
      <c r="A263" t="s">
        <v>232</v>
      </c>
      <c r="B263">
        <v>1</v>
      </c>
      <c r="C263" t="s">
        <v>135</v>
      </c>
      <c r="D263" s="1">
        <v>3319</v>
      </c>
      <c r="L263" s="1">
        <v>3319</v>
      </c>
    </row>
    <row r="264" spans="1:13" s="4" customFormat="1" ht="24" customHeight="1">
      <c r="A264" s="4" t="s">
        <v>232</v>
      </c>
      <c r="B264" s="4">
        <v>1</v>
      </c>
      <c r="C264" s="4" t="s">
        <v>136</v>
      </c>
      <c r="D264" s="4">
        <v>78</v>
      </c>
    </row>
    <row r="265" spans="1:13" ht="24" customHeight="1">
      <c r="A265" t="s">
        <v>232</v>
      </c>
      <c r="B265">
        <v>1</v>
      </c>
      <c r="C265" t="s">
        <v>137</v>
      </c>
      <c r="D265" s="5">
        <v>78</v>
      </c>
      <c r="E265" s="2">
        <f>IF(AND(ISNUMBER(F265),ISNUMBER('Reference data'!$B$3)),F265*'Reference data'!$B$3,"Unknown")</f>
        <v>8.2343664e-05</v>
      </c>
      <c r="F265" s="2">
        <f>IF(D265=0,0,IF(ISNUMBER('Reference data'!E22),D265*'Reference data'!E22/1000000,"Unknown"))</f>
        <v>9.36e-05</v>
      </c>
      <c r="G265" s="5">
        <f>IF(ISNUMBER(E265),ROUND(E265*'Reference data'!$B$2,0),"Unknown")</f>
        <v>8.0</v>
      </c>
      <c r="H265" s="5">
        <f>IF(ISNUMBER(F265),ROUND(F265*'Reference data'!$B$2,0),"Unknown")</f>
        <v>9.0</v>
      </c>
    </row>
    <row r="266" spans="1:13" ht="47" customHeight="1">
      <c r="A266" t="s">
        <v>232</v>
      </c>
      <c r="B266">
        <v>1</v>
      </c>
      <c r="C266" t="s">
        <v>138</v>
      </c>
      <c r="I266" s="6" t="s">
        <v>234</v>
      </c>
    </row>
    <row r="267" spans="1:13" ht="24" customHeight="1">
      <c r="A267" t="s">
        <v>232</v>
      </c>
      <c r="B267">
        <v>1</v>
      </c>
      <c r="C267" t="s">
        <v>134</v>
      </c>
      <c r="D267" s="1">
        <v>78</v>
      </c>
    </row>
    <row r="268" spans="1:13" ht="24" customHeight="1">
      <c r="A268" t="s">
        <v>232</v>
      </c>
      <c r="B268">
        <v>1</v>
      </c>
      <c r="C268" t="s">
        <v>135</v>
      </c>
      <c r="D268" s="1">
        <v>78</v>
      </c>
      <c r="L268" s="1">
        <v>3397</v>
      </c>
    </row>
    <row r="269" spans="1:13" s="4" customFormat="1" ht="24" customHeight="1">
      <c r="A269" s="4" t="s">
        <v>232</v>
      </c>
      <c r="B269" s="4">
        <v>1</v>
      </c>
      <c r="C269" s="4" t="s">
        <v>140</v>
      </c>
      <c r="E269" s="2">
        <f>IF(COUNT('Turns'!E259,'Turns'!E260,'Turns'!E265)=3,SUM('Turns'!E259,'Turns'!E260,'Turns'!E265),"Unknown")</f>
        <v>0.000666315076</v>
      </c>
      <c r="F269" s="2">
        <f>IF(COUNT('Turns'!F259,'Turns'!F260,'Turns'!F265)=3,SUM('Turns'!F259,'Turns'!F260,'Turns'!F265),"Unknown")</f>
        <v>0.0007574</v>
      </c>
      <c r="G269" s="5">
        <f>IF(ISNUMBER(E269),ROUND(E269*'Reference data'!$B$2,0),"Unknown")</f>
        <v>67.0</v>
      </c>
      <c r="H269" s="5">
        <f>IF(ISNUMBER(F269),ROUND(F269*'Reference data'!$B$2,0),"Unknown")</f>
        <v>76.0</v>
      </c>
      <c r="K269" s="4" t="s">
        <v>141</v>
      </c>
    </row>
    <row r="270" spans="1:13" s="4" customFormat="1" ht="24" customHeight="1">
      <c r="A270" s="4" t="s">
        <v>235</v>
      </c>
      <c r="B270" s="4">
        <v>1</v>
      </c>
      <c r="C270" s="4" t="s">
        <v>125</v>
      </c>
      <c r="D270" s="4">
        <v>3364</v>
      </c>
      <c r="J270" s="4" t="s">
        <v>126</v>
      </c>
      <c r="M270" s="4" t="s">
        <v>236</v>
      </c>
    </row>
    <row r="271" spans="1:13" ht="24" customHeight="1">
      <c r="A271" t="s">
        <v>235</v>
      </c>
      <c r="B271">
        <v>1</v>
      </c>
      <c r="C271" t="s">
        <v>150</v>
      </c>
      <c r="D271" s="5">
        <v>0</v>
      </c>
      <c r="E271" s="2">
        <f>IF(AND(ISNUMBER(F271),ISNUMBER('Reference data'!$B$3)),F271*'Reference data'!$B$3,"Unknown")</f>
        <v>0.0</v>
      </c>
      <c r="F271" s="2">
        <f>IF(D271=0,0,IF(ISNUMBER('Reference data'!C22),D271*'Reference data'!C22/1000000,"Unknown"))</f>
        <v>0.0</v>
      </c>
      <c r="G271" s="5">
        <f>IF(ISNUMBER(E271),ROUND(E271*'Reference data'!$B$2,0),"Unknown")</f>
        <v>0.0</v>
      </c>
      <c r="H271" s="5">
        <f>IF(ISNUMBER(F271),ROUND(F271*'Reference data'!$B$2,0),"Unknown")</f>
        <v>0.0</v>
      </c>
    </row>
    <row r="272" spans="1:13" ht="24" customHeight="1">
      <c r="A272" t="s">
        <v>235</v>
      </c>
      <c r="B272">
        <v>1</v>
      </c>
      <c r="C272" t="s">
        <v>128</v>
      </c>
      <c r="D272" s="5">
        <v>3364</v>
      </c>
      <c r="E272" s="2">
        <f>IF(AND(ISNUMBER(F272),ISNUMBER('Reference data'!$B$3)),F272*'Reference data'!$B$3,"Unknown")</f>
        <v>0.000591889072</v>
      </c>
      <c r="F272" s="2">
        <f>IF(D272=0,0,IF(ISNUMBER('Reference data'!B22),D272*'Reference data'!B22/1000000,"Unknown"))</f>
        <v>0.0006728</v>
      </c>
      <c r="G272" s="5">
        <f>IF(ISNUMBER(E272),ROUND(E272*'Reference data'!$B$2,0),"Unknown")</f>
        <v>59.0</v>
      </c>
      <c r="H272" s="5">
        <f>IF(ISNUMBER(F272),ROUND(F272*'Reference data'!$B$2,0),"Unknown")</f>
        <v>67.0</v>
      </c>
    </row>
    <row r="273" spans="1:13" ht="409" customHeight="1">
      <c r="A273" t="s">
        <v>235</v>
      </c>
      <c r="B273">
        <v>1</v>
      </c>
      <c r="C273" t="s">
        <v>151</v>
      </c>
      <c r="D273" s="1">
        <v>765</v>
      </c>
      <c r="I273" s="6" t="s">
        <v>227</v>
      </c>
    </row>
    <row r="274" spans="1:13" ht="24" customHeight="1">
      <c r="A274" t="s">
        <v>235</v>
      </c>
      <c r="B274">
        <v>1</v>
      </c>
      <c r="C274" t="s">
        <v>134</v>
      </c>
      <c r="D274" s="1">
        <v>3364</v>
      </c>
    </row>
    <row r="275" spans="1:13" ht="24" customHeight="1">
      <c r="A275" t="s">
        <v>235</v>
      </c>
      <c r="B275">
        <v>1</v>
      </c>
      <c r="C275" t="s">
        <v>135</v>
      </c>
      <c r="D275" s="1">
        <v>3364</v>
      </c>
      <c r="L275" s="1">
        <v>3364</v>
      </c>
    </row>
    <row r="276" spans="1:13" s="4" customFormat="1" ht="24" customHeight="1">
      <c r="A276" s="4" t="s">
        <v>235</v>
      </c>
      <c r="B276" s="4">
        <v>1</v>
      </c>
      <c r="C276" s="4" t="s">
        <v>136</v>
      </c>
      <c r="D276" s="4">
        <v>56</v>
      </c>
    </row>
    <row r="277" spans="1:13" ht="24" customHeight="1">
      <c r="A277" t="s">
        <v>235</v>
      </c>
      <c r="B277">
        <v>1</v>
      </c>
      <c r="C277" t="s">
        <v>137</v>
      </c>
      <c r="D277" s="5">
        <v>56</v>
      </c>
      <c r="E277" s="2">
        <f>IF(AND(ISNUMBER(F277),ISNUMBER('Reference data'!$B$3)),F277*'Reference data'!$B$3,"Unknown")</f>
        <v>5.9118528e-05</v>
      </c>
      <c r="F277" s="2">
        <f>IF(D277=0,0,IF(ISNUMBER('Reference data'!E22),D277*'Reference data'!E22/1000000,"Unknown"))</f>
        <v>6.72e-05</v>
      </c>
      <c r="G277" s="5">
        <f>IF(ISNUMBER(E277),ROUND(E277*'Reference data'!$B$2,0),"Unknown")</f>
        <v>6.0</v>
      </c>
      <c r="H277" s="5">
        <f>IF(ISNUMBER(F277),ROUND(F277*'Reference data'!$B$2,0),"Unknown")</f>
        <v>7.0</v>
      </c>
    </row>
    <row r="278" spans="1:13" ht="34" customHeight="1">
      <c r="A278" t="s">
        <v>235</v>
      </c>
      <c r="B278">
        <v>1</v>
      </c>
      <c r="C278" t="s">
        <v>138</v>
      </c>
      <c r="I278" s="6" t="s">
        <v>237</v>
      </c>
    </row>
    <row r="279" spans="1:13" ht="24" customHeight="1">
      <c r="A279" t="s">
        <v>235</v>
      </c>
      <c r="B279">
        <v>1</v>
      </c>
      <c r="C279" t="s">
        <v>134</v>
      </c>
      <c r="D279" s="1">
        <v>56</v>
      </c>
    </row>
    <row r="280" spans="1:13" ht="24" customHeight="1">
      <c r="A280" t="s">
        <v>235</v>
      </c>
      <c r="B280">
        <v>1</v>
      </c>
      <c r="C280" t="s">
        <v>135</v>
      </c>
      <c r="D280" s="1">
        <v>56</v>
      </c>
      <c r="L280" s="1">
        <v>3420</v>
      </c>
    </row>
    <row r="281" spans="1:13" s="4" customFormat="1" ht="24" customHeight="1">
      <c r="A281" s="4" t="s">
        <v>235</v>
      </c>
      <c r="B281" s="4">
        <v>1</v>
      </c>
      <c r="C281" s="4" t="s">
        <v>140</v>
      </c>
      <c r="E281" s="2">
        <f>IF(COUNT('Turns'!E271,'Turns'!E272,'Turns'!E277)=3,SUM('Turns'!E271,'Turns'!E272,'Turns'!E277),"Unknown")</f>
        <v>0.0006510076</v>
      </c>
      <c r="F281" s="2">
        <f>IF(COUNT('Turns'!F271,'Turns'!F272,'Turns'!F277)=3,SUM('Turns'!F271,'Turns'!F272,'Turns'!F277),"Unknown")</f>
        <v>0.00074</v>
      </c>
      <c r="G281" s="5">
        <f>IF(ISNUMBER(E281),ROUND(E281*'Reference data'!$B$2,0),"Unknown")</f>
        <v>65.0</v>
      </c>
      <c r="H281" s="5">
        <f>IF(ISNUMBER(F281),ROUND(F281*'Reference data'!$B$2,0),"Unknown")</f>
        <v>74.0</v>
      </c>
      <c r="K281" s="4" t="s">
        <v>141</v>
      </c>
    </row>
    <row r="282" spans="1:13" s="4" customFormat="1" ht="24" customHeight="1">
      <c r="B282" s="4">
        <v>1</v>
      </c>
      <c r="C282" s="4" t="s">
        <v>157</v>
      </c>
      <c r="K282" s="4" t="s">
        <v>141</v>
      </c>
      <c r="M282" s="4" t="s">
        <v>238</v>
      </c>
    </row>
    <row r="283" spans="1:13" ht="24" customHeight="1">
      <c r="B283">
        <v>1</v>
      </c>
      <c r="C283" t="s">
        <v>144</v>
      </c>
      <c r="I283" s="6" t="s">
        <v>159</v>
      </c>
    </row>
    <row r="284" spans="1:13" ht="409" customHeight="1">
      <c r="B284">
        <v>1</v>
      </c>
      <c r="C284" t="s">
        <v>146</v>
      </c>
      <c r="I284" s="6" t="s">
        <v>227</v>
      </c>
    </row>
    <row r="285" spans="1:13" s="4" customFormat="1" ht="24" customHeight="1">
      <c r="A285" s="4" t="s">
        <v>239</v>
      </c>
      <c r="B285" s="4">
        <v>1</v>
      </c>
      <c r="C285" s="4" t="s">
        <v>125</v>
      </c>
      <c r="D285" s="4">
        <v>4185</v>
      </c>
      <c r="J285" s="4" t="s">
        <v>126</v>
      </c>
      <c r="M285" s="4" t="s">
        <v>240</v>
      </c>
    </row>
    <row r="286" spans="1:13" ht="24" customHeight="1">
      <c r="A286" t="s">
        <v>239</v>
      </c>
      <c r="B286">
        <v>1</v>
      </c>
      <c r="C286" t="s">
        <v>150</v>
      </c>
      <c r="D286" s="5">
        <v>0</v>
      </c>
      <c r="E286" s="2">
        <f>IF(AND(ISNUMBER(F286),ISNUMBER('Reference data'!$B$3)),F286*'Reference data'!$B$3,"Unknown")</f>
        <v>0.0</v>
      </c>
      <c r="F286" s="2">
        <f>IF(D286=0,0,IF(ISNUMBER('Reference data'!C22),D286*'Reference data'!C22/1000000,"Unknown"))</f>
        <v>0.0</v>
      </c>
      <c r="G286" s="5">
        <f>IF(ISNUMBER(E286),ROUND(E286*'Reference data'!$B$2,0),"Unknown")</f>
        <v>0.0</v>
      </c>
      <c r="H286" s="5">
        <f>IF(ISNUMBER(F286),ROUND(F286*'Reference data'!$B$2,0),"Unknown")</f>
        <v>0.0</v>
      </c>
    </row>
    <row r="287" spans="1:13" ht="24" customHeight="1">
      <c r="A287" t="s">
        <v>239</v>
      </c>
      <c r="B287">
        <v>1</v>
      </c>
      <c r="C287" t="s">
        <v>128</v>
      </c>
      <c r="D287" s="5">
        <v>4185</v>
      </c>
      <c r="E287" s="2">
        <f>IF(AND(ISNUMBER(F287),ISNUMBER('Reference data'!$B$3)),F287*'Reference data'!$B$3,"Unknown")</f>
        <v>0.00073634238</v>
      </c>
      <c r="F287" s="2">
        <f>IF(D287=0,0,IF(ISNUMBER('Reference data'!B22),D287*'Reference data'!B22/1000000,"Unknown"))</f>
        <v>0.000837</v>
      </c>
      <c r="G287" s="5">
        <f>IF(ISNUMBER(E287),ROUND(E287*'Reference data'!$B$2,0),"Unknown")</f>
        <v>74.0</v>
      </c>
      <c r="H287" s="5">
        <f>IF(ISNUMBER(F287),ROUND(F287*'Reference data'!$B$2,0),"Unknown")</f>
        <v>84.0</v>
      </c>
    </row>
    <row r="288" spans="1:13" ht="409" customHeight="1">
      <c r="A288" t="s">
        <v>239</v>
      </c>
      <c r="B288">
        <v>1</v>
      </c>
      <c r="C288" t="s">
        <v>151</v>
      </c>
      <c r="D288" s="1">
        <v>765</v>
      </c>
      <c r="I288" s="6" t="s">
        <v>227</v>
      </c>
    </row>
    <row r="289" spans="1:13" ht="24" customHeight="1">
      <c r="A289" t="s">
        <v>239</v>
      </c>
      <c r="B289">
        <v>1</v>
      </c>
      <c r="C289" t="s">
        <v>134</v>
      </c>
      <c r="D289" s="1">
        <v>4185</v>
      </c>
    </row>
    <row r="290" spans="1:13" ht="24" customHeight="1">
      <c r="A290" t="s">
        <v>239</v>
      </c>
      <c r="B290">
        <v>1</v>
      </c>
      <c r="C290" t="s">
        <v>135</v>
      </c>
      <c r="D290" s="1">
        <v>4185</v>
      </c>
      <c r="L290" s="1">
        <v>4185</v>
      </c>
    </row>
    <row r="291" spans="1:13" s="4" customFormat="1" ht="24" customHeight="1">
      <c r="A291" s="4" t="s">
        <v>239</v>
      </c>
      <c r="B291" s="4">
        <v>1</v>
      </c>
      <c r="C291" s="4" t="s">
        <v>136</v>
      </c>
      <c r="D291" s="4">
        <v>56</v>
      </c>
    </row>
    <row r="292" spans="1:13" ht="24" customHeight="1">
      <c r="A292" t="s">
        <v>239</v>
      </c>
      <c r="B292">
        <v>1</v>
      </c>
      <c r="C292" t="s">
        <v>137</v>
      </c>
      <c r="D292" s="5">
        <v>56</v>
      </c>
      <c r="E292" s="2">
        <f>IF(AND(ISNUMBER(F292),ISNUMBER('Reference data'!$B$3)),F292*'Reference data'!$B$3,"Unknown")</f>
        <v>5.9118528e-05</v>
      </c>
      <c r="F292" s="2">
        <f>IF(D292=0,0,IF(ISNUMBER('Reference data'!E22),D292*'Reference data'!E22/1000000,"Unknown"))</f>
        <v>6.72e-05</v>
      </c>
      <c r="G292" s="5">
        <f>IF(ISNUMBER(E292),ROUND(E292*'Reference data'!$B$2,0),"Unknown")</f>
        <v>6.0</v>
      </c>
      <c r="H292" s="5">
        <f>IF(ISNUMBER(F292),ROUND(F292*'Reference data'!$B$2,0),"Unknown")</f>
        <v>7.0</v>
      </c>
    </row>
    <row r="293" spans="1:13" ht="34" customHeight="1">
      <c r="A293" t="s">
        <v>239</v>
      </c>
      <c r="B293">
        <v>1</v>
      </c>
      <c r="C293" t="s">
        <v>138</v>
      </c>
      <c r="I293" s="6" t="s">
        <v>241</v>
      </c>
    </row>
    <row r="294" spans="1:13" ht="24" customHeight="1">
      <c r="A294" t="s">
        <v>239</v>
      </c>
      <c r="B294">
        <v>1</v>
      </c>
      <c r="C294" t="s">
        <v>134</v>
      </c>
      <c r="D294" s="1">
        <v>56</v>
      </c>
    </row>
    <row r="295" spans="1:13" ht="24" customHeight="1">
      <c r="A295" t="s">
        <v>239</v>
      </c>
      <c r="B295">
        <v>1</v>
      </c>
      <c r="C295" t="s">
        <v>135</v>
      </c>
      <c r="D295" s="1">
        <v>56</v>
      </c>
      <c r="L295" s="1">
        <v>4241</v>
      </c>
    </row>
    <row r="296" spans="1:13" s="4" customFormat="1" ht="24" customHeight="1">
      <c r="A296" s="4" t="s">
        <v>239</v>
      </c>
      <c r="B296" s="4">
        <v>1</v>
      </c>
      <c r="C296" s="4" t="s">
        <v>140</v>
      </c>
      <c r="E296" s="2">
        <f>IF(COUNT('Turns'!E286,'Turns'!E287,'Turns'!E292)=3,SUM('Turns'!E286,'Turns'!E287,'Turns'!E292),"Unknown")</f>
        <v>0.000795460908</v>
      </c>
      <c r="F296" s="2">
        <f>IF(COUNT('Turns'!F286,'Turns'!F287,'Turns'!F292)=3,SUM('Turns'!F286,'Turns'!F287,'Turns'!F292),"Unknown")</f>
        <v>0.0009042</v>
      </c>
      <c r="G296" s="5">
        <f>IF(ISNUMBER(E296),ROUND(E296*'Reference data'!$B$2,0),"Unknown")</f>
        <v>80.0</v>
      </c>
      <c r="H296" s="5">
        <f>IF(ISNUMBER(F296),ROUND(F296*'Reference data'!$B$2,0),"Unknown")</f>
        <v>90.0</v>
      </c>
      <c r="K296" s="4" t="s">
        <v>141</v>
      </c>
    </row>
    <row r="297" spans="1:13" s="4" customFormat="1" ht="24" customHeight="1">
      <c r="B297" s="4">
        <v>1</v>
      </c>
      <c r="C297" s="4" t="s">
        <v>157</v>
      </c>
      <c r="K297" s="4" t="s">
        <v>141</v>
      </c>
      <c r="M297" s="4" t="s">
        <v>242</v>
      </c>
    </row>
    <row r="298" spans="1:13" ht="24" customHeight="1">
      <c r="B298">
        <v>1</v>
      </c>
      <c r="C298" t="s">
        <v>144</v>
      </c>
      <c r="I298" s="6" t="s">
        <v>179</v>
      </c>
    </row>
    <row r="299" spans="1:13" ht="294" customHeight="1">
      <c r="B299">
        <v>1</v>
      </c>
      <c r="C299" t="s">
        <v>146</v>
      </c>
      <c r="I299" s="6" t="s">
        <v>207</v>
      </c>
    </row>
    <row r="300" spans="1:13" s="4" customFormat="1" ht="24" customHeight="1">
      <c r="A300" s="4" t="s">
        <v>243</v>
      </c>
      <c r="B300" s="4">
        <v>1</v>
      </c>
      <c r="C300" s="4" t="s">
        <v>125</v>
      </c>
      <c r="D300" s="4">
        <v>4503</v>
      </c>
      <c r="J300" s="4" t="s">
        <v>126</v>
      </c>
      <c r="M300" s="4" t="s">
        <v>244</v>
      </c>
    </row>
    <row r="301" spans="1:13" ht="24" customHeight="1">
      <c r="A301" t="s">
        <v>243</v>
      </c>
      <c r="B301">
        <v>1</v>
      </c>
      <c r="C301" t="s">
        <v>150</v>
      </c>
      <c r="D301" s="5">
        <v>0</v>
      </c>
      <c r="E301" s="2">
        <f>IF(AND(ISNUMBER(F301),ISNUMBER('Reference data'!$B$3)),F301*'Reference data'!$B$3,"Unknown")</f>
        <v>0.0</v>
      </c>
      <c r="F301" s="2">
        <f>IF(D301=0,0,IF(ISNUMBER('Reference data'!C22),D301*'Reference data'!C22/1000000,"Unknown"))</f>
        <v>0.0</v>
      </c>
      <c r="G301" s="5">
        <f>IF(ISNUMBER(E301),ROUND(E301*'Reference data'!$B$2,0),"Unknown")</f>
        <v>0.0</v>
      </c>
      <c r="H301" s="5">
        <f>IF(ISNUMBER(F301),ROUND(F301*'Reference data'!$B$2,0),"Unknown")</f>
        <v>0.0</v>
      </c>
    </row>
    <row r="302" spans="1:13" ht="24" customHeight="1">
      <c r="A302" t="s">
        <v>243</v>
      </c>
      <c r="B302">
        <v>1</v>
      </c>
      <c r="C302" t="s">
        <v>128</v>
      </c>
      <c r="D302" s="5">
        <v>4503</v>
      </c>
      <c r="E302" s="2">
        <f>IF(AND(ISNUMBER(F302),ISNUMBER('Reference data'!$B$3)),F302*'Reference data'!$B$3,"Unknown")</f>
        <v>0.000792293844</v>
      </c>
      <c r="F302" s="2">
        <f>IF(D302=0,0,IF(ISNUMBER('Reference data'!B22),D302*'Reference data'!B22/1000000,"Unknown"))</f>
        <v>0.0009006</v>
      </c>
      <c r="G302" s="5">
        <f>IF(ISNUMBER(E302),ROUND(E302*'Reference data'!$B$2,0),"Unknown")</f>
        <v>79.0</v>
      </c>
      <c r="H302" s="5">
        <f>IF(ISNUMBER(F302),ROUND(F302*'Reference data'!$B$2,0),"Unknown")</f>
        <v>90.0</v>
      </c>
    </row>
    <row r="303" spans="1:13" ht="294" customHeight="1">
      <c r="A303" t="s">
        <v>243</v>
      </c>
      <c r="B303">
        <v>1</v>
      </c>
      <c r="C303" t="s">
        <v>151</v>
      </c>
      <c r="D303" s="1">
        <v>262</v>
      </c>
      <c r="I303" s="6" t="s">
        <v>207</v>
      </c>
    </row>
    <row r="304" spans="1:13" ht="24" customHeight="1">
      <c r="A304" t="s">
        <v>243</v>
      </c>
      <c r="B304">
        <v>1</v>
      </c>
      <c r="C304" t="s">
        <v>134</v>
      </c>
      <c r="D304" s="1">
        <v>4503</v>
      </c>
    </row>
    <row r="305" spans="1:13" ht="24" customHeight="1">
      <c r="A305" t="s">
        <v>243</v>
      </c>
      <c r="B305">
        <v>1</v>
      </c>
      <c r="C305" t="s">
        <v>135</v>
      </c>
      <c r="D305" s="1">
        <v>4503</v>
      </c>
      <c r="L305" s="1">
        <v>4503</v>
      </c>
    </row>
    <row r="306" spans="1:13" s="4" customFormat="1" ht="24" customHeight="1">
      <c r="A306" s="4" t="s">
        <v>243</v>
      </c>
      <c r="B306" s="4">
        <v>1</v>
      </c>
      <c r="C306" s="4" t="s">
        <v>136</v>
      </c>
      <c r="D306" s="4">
        <v>308</v>
      </c>
    </row>
    <row r="307" spans="1:13" ht="24" customHeight="1">
      <c r="A307" t="s">
        <v>243</v>
      </c>
      <c r="B307">
        <v>1</v>
      </c>
      <c r="C307" t="s">
        <v>137</v>
      </c>
      <c r="D307" s="5">
        <v>308</v>
      </c>
      <c r="E307" s="2">
        <f>IF(AND(ISNUMBER(F307),ISNUMBER('Reference data'!$B$3)),F307*'Reference data'!$B$3,"Unknown")</f>
        <v>0.000325151904</v>
      </c>
      <c r="F307" s="2">
        <f>IF(D307=0,0,IF(ISNUMBER('Reference data'!E22),D307*'Reference data'!E22/1000000,"Unknown"))</f>
        <v>0.0003696</v>
      </c>
      <c r="G307" s="5">
        <f>IF(ISNUMBER(E307),ROUND(E307*'Reference data'!$B$2,0),"Unknown")</f>
        <v>33.0</v>
      </c>
      <c r="H307" s="5">
        <f>IF(ISNUMBER(F307),ROUND(F307*'Reference data'!$B$2,0),"Unknown")</f>
        <v>37.0</v>
      </c>
    </row>
    <row r="308" spans="1:13" ht="177" customHeight="1">
      <c r="A308" t="s">
        <v>243</v>
      </c>
      <c r="B308">
        <v>1</v>
      </c>
      <c r="C308" t="s">
        <v>138</v>
      </c>
      <c r="I308" s="6" t="s">
        <v>245</v>
      </c>
    </row>
    <row r="309" spans="1:13" ht="24" customHeight="1">
      <c r="A309" t="s">
        <v>243</v>
      </c>
      <c r="B309">
        <v>1</v>
      </c>
      <c r="C309" t="s">
        <v>134</v>
      </c>
      <c r="D309" s="1">
        <v>308</v>
      </c>
    </row>
    <row r="310" spans="1:13" ht="24" customHeight="1">
      <c r="A310" t="s">
        <v>243</v>
      </c>
      <c r="B310">
        <v>1</v>
      </c>
      <c r="C310" t="s">
        <v>135</v>
      </c>
      <c r="D310" s="1">
        <v>308</v>
      </c>
      <c r="L310" s="1">
        <v>4811</v>
      </c>
    </row>
    <row r="311" spans="1:13" s="4" customFormat="1" ht="24" customHeight="1">
      <c r="A311" s="4" t="s">
        <v>243</v>
      </c>
      <c r="B311" s="4">
        <v>1</v>
      </c>
      <c r="C311" s="4" t="s">
        <v>140</v>
      </c>
      <c r="E311" s="2">
        <f>IF(COUNT('Turns'!E301,'Turns'!E302,'Turns'!E307)=3,SUM('Turns'!E301,'Turns'!E302,'Turns'!E307),"Unknown")</f>
        <v>0.001117445748</v>
      </c>
      <c r="F311" s="2">
        <f>IF(COUNT('Turns'!F301,'Turns'!F302,'Turns'!F307)=3,SUM('Turns'!F301,'Turns'!F302,'Turns'!F307),"Unknown")</f>
        <v>0.0012702</v>
      </c>
      <c r="G311" s="5">
        <f>IF(ISNUMBER(E311),ROUND(E311*'Reference data'!$B$2,0),"Unknown")</f>
        <v>112.0</v>
      </c>
      <c r="H311" s="5">
        <f>IF(ISNUMBER(F311),ROUND(F311*'Reference data'!$B$2,0),"Unknown")</f>
        <v>127.0</v>
      </c>
      <c r="K311" s="4" t="s">
        <v>141</v>
      </c>
    </row>
    <row r="312" spans="1:13" s="4" customFormat="1" ht="24" customHeight="1">
      <c r="B312" s="4">
        <v>1</v>
      </c>
      <c r="C312" s="4" t="s">
        <v>142</v>
      </c>
      <c r="K312" s="4" t="s">
        <v>141</v>
      </c>
      <c r="M312" s="4" t="s">
        <v>246</v>
      </c>
    </row>
    <row r="313" spans="1:13" ht="151" customHeight="1">
      <c r="B313">
        <v>1</v>
      </c>
      <c r="C313" t="s">
        <v>144</v>
      </c>
      <c r="I313" s="6" t="s">
        <v>247</v>
      </c>
    </row>
    <row r="314" spans="1:13" ht="24" customHeight="1">
      <c r="B314">
        <v>1</v>
      </c>
      <c r="C314" t="s">
        <v>146</v>
      </c>
      <c r="I314" s="6" t="s">
        <v>248</v>
      </c>
    </row>
    <row r="315" spans="1:13" s="4" customFormat="1" ht="24" customHeight="1">
      <c r="A315" s="4" t="s">
        <v>249</v>
      </c>
      <c r="B315" s="4">
        <v>1</v>
      </c>
      <c r="C315" s="4" t="s">
        <v>125</v>
      </c>
      <c r="D315" s="4">
        <v>4845</v>
      </c>
      <c r="J315" s="4" t="s">
        <v>126</v>
      </c>
      <c r="M315" s="4" t="s">
        <v>250</v>
      </c>
    </row>
    <row r="316" spans="1:13" ht="24" customHeight="1">
      <c r="A316" t="s">
        <v>249</v>
      </c>
      <c r="B316">
        <v>1</v>
      </c>
      <c r="C316" t="s">
        <v>150</v>
      </c>
      <c r="D316" s="5">
        <v>0</v>
      </c>
      <c r="E316" s="2">
        <f>IF(AND(ISNUMBER(F316),ISNUMBER('Reference data'!$B$3)),F316*'Reference data'!$B$3,"Unknown")</f>
        <v>0.0</v>
      </c>
      <c r="F316" s="2">
        <f>IF(D316=0,0,IF(ISNUMBER('Reference data'!C22),D316*'Reference data'!C22/1000000,"Unknown"))</f>
        <v>0.0</v>
      </c>
      <c r="G316" s="5">
        <f>IF(ISNUMBER(E316),ROUND(E316*'Reference data'!$B$2,0),"Unknown")</f>
        <v>0.0</v>
      </c>
      <c r="H316" s="5">
        <f>IF(ISNUMBER(F316),ROUND(F316*'Reference data'!$B$2,0),"Unknown")</f>
        <v>0.0</v>
      </c>
    </row>
    <row r="317" spans="1:13" ht="24" customHeight="1">
      <c r="A317" t="s">
        <v>249</v>
      </c>
      <c r="B317">
        <v>1</v>
      </c>
      <c r="C317" t="s">
        <v>128</v>
      </c>
      <c r="D317" s="5">
        <v>4845</v>
      </c>
      <c r="E317" s="2">
        <f>IF(AND(ISNUMBER(F317),ISNUMBER('Reference data'!$B$3)),F317*'Reference data'!$B$3,"Unknown")</f>
        <v>0.00085246806</v>
      </c>
      <c r="F317" s="2">
        <f>IF(D317=0,0,IF(ISNUMBER('Reference data'!B22),D317*'Reference data'!B22/1000000,"Unknown"))</f>
        <v>0.000969</v>
      </c>
      <c r="G317" s="5">
        <f>IF(ISNUMBER(E317),ROUND(E317*'Reference data'!$B$2,0),"Unknown")</f>
        <v>85.0</v>
      </c>
      <c r="H317" s="5">
        <f>IF(ISNUMBER(F317),ROUND(F317*'Reference data'!$B$2,0),"Unknown")</f>
        <v>97.0</v>
      </c>
    </row>
    <row r="318" spans="1:13" ht="24" customHeight="1">
      <c r="A318" t="s">
        <v>249</v>
      </c>
      <c r="B318">
        <v>1</v>
      </c>
      <c r="C318" t="s">
        <v>151</v>
      </c>
      <c r="D318" s="1">
        <v>34</v>
      </c>
      <c r="I318" s="6" t="s">
        <v>248</v>
      </c>
    </row>
    <row r="319" spans="1:13" ht="24" customHeight="1">
      <c r="A319" t="s">
        <v>249</v>
      </c>
      <c r="B319">
        <v>1</v>
      </c>
      <c r="C319" t="s">
        <v>134</v>
      </c>
      <c r="D319" s="1">
        <v>4845</v>
      </c>
    </row>
    <row r="320" spans="1:13" ht="24" customHeight="1">
      <c r="A320" t="s">
        <v>249</v>
      </c>
      <c r="B320">
        <v>1</v>
      </c>
      <c r="C320" t="s">
        <v>135</v>
      </c>
      <c r="D320" s="1">
        <v>4845</v>
      </c>
      <c r="L320" s="1">
        <v>4845</v>
      </c>
    </row>
    <row r="321" spans="1:13" s="4" customFormat="1" ht="24" customHeight="1">
      <c r="A321" s="4" t="s">
        <v>249</v>
      </c>
      <c r="B321" s="4">
        <v>1</v>
      </c>
      <c r="C321" s="4" t="s">
        <v>136</v>
      </c>
      <c r="D321" s="4">
        <v>36</v>
      </c>
    </row>
    <row r="322" spans="1:13" ht="24" customHeight="1">
      <c r="A322" t="s">
        <v>249</v>
      </c>
      <c r="B322">
        <v>1</v>
      </c>
      <c r="C322" t="s">
        <v>137</v>
      </c>
      <c r="D322" s="5">
        <v>36</v>
      </c>
      <c r="E322" s="2">
        <f>IF(AND(ISNUMBER(F322),ISNUMBER('Reference data'!$B$3)),F322*'Reference data'!$B$3,"Unknown")</f>
        <v>3.8004768e-05</v>
      </c>
      <c r="F322" s="2">
        <f>IF(D322=0,0,IF(ISNUMBER('Reference data'!E22),D322*'Reference data'!E22/1000000,"Unknown"))</f>
        <v>4.32e-05</v>
      </c>
      <c r="G322" s="5">
        <f>IF(ISNUMBER(E322),ROUND(E322*'Reference data'!$B$2,0),"Unknown")</f>
        <v>4.0</v>
      </c>
      <c r="H322" s="5">
        <f>IF(ISNUMBER(F322),ROUND(F322*'Reference data'!$B$2,0),"Unknown")</f>
        <v>4.0</v>
      </c>
    </row>
    <row r="323" spans="1:13" ht="24" customHeight="1">
      <c r="A323" t="s">
        <v>249</v>
      </c>
      <c r="B323">
        <v>1</v>
      </c>
      <c r="C323" t="s">
        <v>138</v>
      </c>
      <c r="I323" s="6" t="s">
        <v>251</v>
      </c>
    </row>
    <row r="324" spans="1:13" ht="24" customHeight="1">
      <c r="A324" t="s">
        <v>249</v>
      </c>
      <c r="B324">
        <v>1</v>
      </c>
      <c r="C324" t="s">
        <v>134</v>
      </c>
      <c r="D324" s="1">
        <v>36</v>
      </c>
    </row>
    <row r="325" spans="1:13" ht="24" customHeight="1">
      <c r="A325" t="s">
        <v>249</v>
      </c>
      <c r="B325">
        <v>1</v>
      </c>
      <c r="C325" t="s">
        <v>135</v>
      </c>
      <c r="D325" s="1">
        <v>36</v>
      </c>
      <c r="L325" s="1">
        <v>4881</v>
      </c>
    </row>
    <row r="326" spans="1:13" s="4" customFormat="1" ht="24" customHeight="1">
      <c r="A326" s="4" t="s">
        <v>249</v>
      </c>
      <c r="B326" s="4">
        <v>1</v>
      </c>
      <c r="C326" s="4" t="s">
        <v>140</v>
      </c>
      <c r="E326" s="2">
        <f>IF(COUNT('Turns'!E316,'Turns'!E317,'Turns'!E322)=3,SUM('Turns'!E316,'Turns'!E317,'Turns'!E322),"Unknown")</f>
        <v>0.000890472828</v>
      </c>
      <c r="F326" s="2">
        <f>IF(COUNT('Turns'!F316,'Turns'!F317,'Turns'!F322)=3,SUM('Turns'!F316,'Turns'!F317,'Turns'!F322),"Unknown")</f>
        <v>0.0010122</v>
      </c>
      <c r="G326" s="5">
        <f>IF(ISNUMBER(E326),ROUND(E326*'Reference data'!$B$2,0),"Unknown")</f>
        <v>89.0</v>
      </c>
      <c r="H326" s="5">
        <f>IF(ISNUMBER(F326),ROUND(F326*'Reference data'!$B$2,0),"Unknown")</f>
        <v>101.0</v>
      </c>
      <c r="K326" s="4" t="s">
        <v>141</v>
      </c>
    </row>
    <row r="327" spans="1:13" s="4" customFormat="1" ht="24" customHeight="1">
      <c r="A327" s="4" t="s">
        <v>252</v>
      </c>
      <c r="B327" s="4">
        <v>1</v>
      </c>
      <c r="C327" s="4" t="s">
        <v>125</v>
      </c>
      <c r="D327" s="4">
        <v>1887</v>
      </c>
      <c r="J327" s="4" t="s">
        <v>126</v>
      </c>
      <c r="M327" s="4" t="s">
        <v>253</v>
      </c>
    </row>
    <row r="328" spans="1:13" ht="24" customHeight="1">
      <c r="A328" t="s">
        <v>252</v>
      </c>
      <c r="B328">
        <v>1</v>
      </c>
      <c r="C328" t="s">
        <v>150</v>
      </c>
      <c r="D328" s="5">
        <v>0</v>
      </c>
      <c r="E328" s="2">
        <f>IF(AND(ISNUMBER(F328),ISNUMBER('Reference data'!$B$3)),F328*'Reference data'!$B$3,"Unknown")</f>
        <v>0.0</v>
      </c>
      <c r="F328" s="2">
        <f>IF(D328=0,0,IF(ISNUMBER('Reference data'!C22),D328*'Reference data'!C22/1000000,"Unknown"))</f>
        <v>0.0</v>
      </c>
      <c r="G328" s="5">
        <f>IF(ISNUMBER(E328),ROUND(E328*'Reference data'!$B$2,0),"Unknown")</f>
        <v>0.0</v>
      </c>
      <c r="H328" s="5">
        <f>IF(ISNUMBER(F328),ROUND(F328*'Reference data'!$B$2,0),"Unknown")</f>
        <v>0.0</v>
      </c>
    </row>
    <row r="329" spans="1:13" ht="24" customHeight="1">
      <c r="A329" t="s">
        <v>252</v>
      </c>
      <c r="B329">
        <v>1</v>
      </c>
      <c r="C329" t="s">
        <v>128</v>
      </c>
      <c r="D329" s="5">
        <v>1887</v>
      </c>
      <c r="E329" s="2">
        <f>IF(AND(ISNUMBER(F329),ISNUMBER('Reference data'!$B$3)),F329*'Reference data'!$B$3,"Unknown")</f>
        <v>0.000332013876</v>
      </c>
      <c r="F329" s="2">
        <f>IF(D329=0,0,IF(ISNUMBER('Reference data'!B22),D329*'Reference data'!B22/1000000,"Unknown"))</f>
        <v>0.0003774</v>
      </c>
      <c r="G329" s="5">
        <f>IF(ISNUMBER(E329),ROUND(E329*'Reference data'!$B$2,0),"Unknown")</f>
        <v>33.0</v>
      </c>
      <c r="H329" s="5">
        <f>IF(ISNUMBER(F329),ROUND(F329*'Reference data'!$B$2,0),"Unknown")</f>
        <v>38.0</v>
      </c>
    </row>
    <row r="330" spans="1:13" ht="24" customHeight="1">
      <c r="A330" t="s">
        <v>252</v>
      </c>
      <c r="B330">
        <v>1</v>
      </c>
      <c r="C330" t="s">
        <v>134</v>
      </c>
      <c r="D330" s="1">
        <v>1887</v>
      </c>
    </row>
    <row r="331" spans="1:13" ht="24" customHeight="1">
      <c r="A331" t="s">
        <v>252</v>
      </c>
      <c r="B331">
        <v>1</v>
      </c>
      <c r="C331" t="s">
        <v>135</v>
      </c>
      <c r="D331" s="1">
        <v>1887</v>
      </c>
      <c r="L331" s="1">
        <v>1887</v>
      </c>
    </row>
    <row r="332" spans="1:13" s="4" customFormat="1" ht="24" customHeight="1">
      <c r="A332" s="4" t="s">
        <v>252</v>
      </c>
      <c r="B332" s="4">
        <v>1</v>
      </c>
      <c r="C332" s="4" t="s">
        <v>136</v>
      </c>
      <c r="D332" s="4">
        <v>56</v>
      </c>
    </row>
    <row r="333" spans="1:13" ht="24" customHeight="1">
      <c r="A333" t="s">
        <v>252</v>
      </c>
      <c r="B333">
        <v>1</v>
      </c>
      <c r="C333" t="s">
        <v>137</v>
      </c>
      <c r="D333" s="5">
        <v>56</v>
      </c>
      <c r="E333" s="2">
        <f>IF(AND(ISNUMBER(F333),ISNUMBER('Reference data'!$B$3)),F333*'Reference data'!$B$3,"Unknown")</f>
        <v>5.9118528e-05</v>
      </c>
      <c r="F333" s="2">
        <f>IF(D333=0,0,IF(ISNUMBER('Reference data'!E22),D333*'Reference data'!E22/1000000,"Unknown"))</f>
        <v>6.72e-05</v>
      </c>
      <c r="G333" s="5">
        <f>IF(ISNUMBER(E333),ROUND(E333*'Reference data'!$B$2,0),"Unknown")</f>
        <v>6.0</v>
      </c>
      <c r="H333" s="5">
        <f>IF(ISNUMBER(F333),ROUND(F333*'Reference data'!$B$2,0),"Unknown")</f>
        <v>7.0</v>
      </c>
    </row>
    <row r="334" spans="1:13" ht="34" customHeight="1">
      <c r="A334" t="s">
        <v>252</v>
      </c>
      <c r="B334">
        <v>1</v>
      </c>
      <c r="C334" t="s">
        <v>138</v>
      </c>
      <c r="I334" s="6" t="s">
        <v>254</v>
      </c>
    </row>
    <row r="335" spans="1:13" ht="24" customHeight="1">
      <c r="A335" t="s">
        <v>252</v>
      </c>
      <c r="B335">
        <v>1</v>
      </c>
      <c r="C335" t="s">
        <v>134</v>
      </c>
      <c r="D335" s="1">
        <v>56</v>
      </c>
    </row>
    <row r="336" spans="1:13" ht="24" customHeight="1">
      <c r="A336" t="s">
        <v>252</v>
      </c>
      <c r="B336">
        <v>1</v>
      </c>
      <c r="C336" t="s">
        <v>135</v>
      </c>
      <c r="D336" s="1">
        <v>56</v>
      </c>
      <c r="L336" s="1">
        <v>1943</v>
      </c>
    </row>
    <row r="337" spans="1:13" s="4" customFormat="1" ht="24" customHeight="1">
      <c r="A337" s="4" t="s">
        <v>252</v>
      </c>
      <c r="B337" s="4">
        <v>1</v>
      </c>
      <c r="C337" s="4" t="s">
        <v>140</v>
      </c>
      <c r="E337" s="2">
        <f>IF(COUNT('Turns'!E328,'Turns'!E329,'Turns'!E333)=3,SUM('Turns'!E328,'Turns'!E329,'Turns'!E333),"Unknown")</f>
        <v>0.000391132404</v>
      </c>
      <c r="F337" s="2">
        <f>IF(COUNT('Turns'!F328,'Turns'!F329,'Turns'!F333)=3,SUM('Turns'!F328,'Turns'!F329,'Turns'!F333),"Unknown")</f>
        <v>0.0004446</v>
      </c>
      <c r="G337" s="5">
        <f>IF(ISNUMBER(E337),ROUND(E337*'Reference data'!$B$2,0),"Unknown")</f>
        <v>39.0</v>
      </c>
      <c r="H337" s="5">
        <f>IF(ISNUMBER(F337),ROUND(F337*'Reference data'!$B$2,0),"Unknown")</f>
        <v>44.0</v>
      </c>
      <c r="K337" s="4" t="s">
        <v>141</v>
      </c>
    </row>
    <row r="338" spans="1:13" s="4" customFormat="1" ht="24" customHeight="1">
      <c r="B338" s="4">
        <v>1</v>
      </c>
      <c r="C338" s="4" t="s">
        <v>157</v>
      </c>
      <c r="K338" s="4" t="s">
        <v>141</v>
      </c>
      <c r="M338" s="4" t="s">
        <v>255</v>
      </c>
    </row>
    <row r="339" spans="1:13" ht="24" customHeight="1">
      <c r="B339">
        <v>1</v>
      </c>
      <c r="C339" t="s">
        <v>144</v>
      </c>
      <c r="I339" s="6" t="s">
        <v>159</v>
      </c>
    </row>
    <row r="340" spans="1:13" ht="409" customHeight="1">
      <c r="B340">
        <v>1</v>
      </c>
      <c r="C340" t="s">
        <v>146</v>
      </c>
      <c r="I340" s="6" t="s">
        <v>227</v>
      </c>
    </row>
    <row r="341" spans="1:13" s="4" customFormat="1" ht="24" customHeight="1">
      <c r="A341" s="4" t="s">
        <v>256</v>
      </c>
      <c r="B341" s="4">
        <v>1</v>
      </c>
      <c r="C341" s="4" t="s">
        <v>125</v>
      </c>
      <c r="D341" s="4">
        <v>2708</v>
      </c>
      <c r="J341" s="4" t="s">
        <v>126</v>
      </c>
      <c r="M341" s="4" t="s">
        <v>257</v>
      </c>
    </row>
    <row r="342" spans="1:13" ht="24" customHeight="1">
      <c r="A342" t="s">
        <v>256</v>
      </c>
      <c r="B342">
        <v>1</v>
      </c>
      <c r="C342" t="s">
        <v>150</v>
      </c>
      <c r="D342" s="5">
        <v>0</v>
      </c>
      <c r="E342" s="2">
        <f>IF(AND(ISNUMBER(F342),ISNUMBER('Reference data'!$B$3)),F342*'Reference data'!$B$3,"Unknown")</f>
        <v>0.0</v>
      </c>
      <c r="F342" s="2">
        <f>IF(D342=0,0,IF(ISNUMBER('Reference data'!C22),D342*'Reference data'!C22/1000000,"Unknown"))</f>
        <v>0.0</v>
      </c>
      <c r="G342" s="5">
        <f>IF(ISNUMBER(E342),ROUND(E342*'Reference data'!$B$2,0),"Unknown")</f>
        <v>0.0</v>
      </c>
      <c r="H342" s="5">
        <f>IF(ISNUMBER(F342),ROUND(F342*'Reference data'!$B$2,0),"Unknown")</f>
        <v>0.0</v>
      </c>
    </row>
    <row r="343" spans="1:13" ht="24" customHeight="1">
      <c r="A343" t="s">
        <v>256</v>
      </c>
      <c r="B343">
        <v>1</v>
      </c>
      <c r="C343" t="s">
        <v>128</v>
      </c>
      <c r="D343" s="5">
        <v>2708</v>
      </c>
      <c r="E343" s="2">
        <f>IF(AND(ISNUMBER(F343),ISNUMBER('Reference data'!$B$3)),F343*'Reference data'!$B$3,"Unknown")</f>
        <v>0.000476467184</v>
      </c>
      <c r="F343" s="2">
        <f>IF(D343=0,0,IF(ISNUMBER('Reference data'!B22),D343*'Reference data'!B22/1000000,"Unknown"))</f>
        <v>0.0005416</v>
      </c>
      <c r="G343" s="5">
        <f>IF(ISNUMBER(E343),ROUND(E343*'Reference data'!$B$2,0),"Unknown")</f>
        <v>48.0</v>
      </c>
      <c r="H343" s="5">
        <f>IF(ISNUMBER(F343),ROUND(F343*'Reference data'!$B$2,0),"Unknown")</f>
        <v>54.0</v>
      </c>
    </row>
    <row r="344" spans="1:13" ht="409" customHeight="1">
      <c r="A344" t="s">
        <v>256</v>
      </c>
      <c r="B344">
        <v>1</v>
      </c>
      <c r="C344" t="s">
        <v>151</v>
      </c>
      <c r="D344" s="1">
        <v>765</v>
      </c>
      <c r="I344" s="6" t="s">
        <v>227</v>
      </c>
    </row>
    <row r="345" spans="1:13" ht="24" customHeight="1">
      <c r="A345" t="s">
        <v>256</v>
      </c>
      <c r="B345">
        <v>1</v>
      </c>
      <c r="C345" t="s">
        <v>134</v>
      </c>
      <c r="D345" s="1">
        <v>2708</v>
      </c>
    </row>
    <row r="346" spans="1:13" ht="24" customHeight="1">
      <c r="A346" t="s">
        <v>256</v>
      </c>
      <c r="B346">
        <v>1</v>
      </c>
      <c r="C346" t="s">
        <v>135</v>
      </c>
      <c r="D346" s="1">
        <v>2708</v>
      </c>
      <c r="L346" s="1">
        <v>2708</v>
      </c>
    </row>
    <row r="347" spans="1:13" s="4" customFormat="1" ht="24" customHeight="1">
      <c r="A347" s="4" t="s">
        <v>256</v>
      </c>
      <c r="B347" s="4">
        <v>1</v>
      </c>
      <c r="C347" s="4" t="s">
        <v>136</v>
      </c>
      <c r="D347" s="4">
        <v>56</v>
      </c>
    </row>
    <row r="348" spans="1:13" ht="24" customHeight="1">
      <c r="A348" t="s">
        <v>256</v>
      </c>
      <c r="B348">
        <v>1</v>
      </c>
      <c r="C348" t="s">
        <v>137</v>
      </c>
      <c r="D348" s="5">
        <v>56</v>
      </c>
      <c r="E348" s="2">
        <f>IF(AND(ISNUMBER(F348),ISNUMBER('Reference data'!$B$3)),F348*'Reference data'!$B$3,"Unknown")</f>
        <v>5.9118528e-05</v>
      </c>
      <c r="F348" s="2">
        <f>IF(D348=0,0,IF(ISNUMBER('Reference data'!E22),D348*'Reference data'!E22/1000000,"Unknown"))</f>
        <v>6.72e-05</v>
      </c>
      <c r="G348" s="5">
        <f>IF(ISNUMBER(E348),ROUND(E348*'Reference data'!$B$2,0),"Unknown")</f>
        <v>6.0</v>
      </c>
      <c r="H348" s="5">
        <f>IF(ISNUMBER(F348),ROUND(F348*'Reference data'!$B$2,0),"Unknown")</f>
        <v>7.0</v>
      </c>
    </row>
    <row r="349" spans="1:13" ht="34" customHeight="1">
      <c r="A349" t="s">
        <v>256</v>
      </c>
      <c r="B349">
        <v>1</v>
      </c>
      <c r="C349" t="s">
        <v>138</v>
      </c>
      <c r="I349" s="6" t="s">
        <v>258</v>
      </c>
    </row>
    <row r="350" spans="1:13" ht="24" customHeight="1">
      <c r="A350" t="s">
        <v>256</v>
      </c>
      <c r="B350">
        <v>1</v>
      </c>
      <c r="C350" t="s">
        <v>134</v>
      </c>
      <c r="D350" s="1">
        <v>56</v>
      </c>
    </row>
    <row r="351" spans="1:13" ht="24" customHeight="1">
      <c r="A351" t="s">
        <v>256</v>
      </c>
      <c r="B351">
        <v>1</v>
      </c>
      <c r="C351" t="s">
        <v>135</v>
      </c>
      <c r="D351" s="1">
        <v>56</v>
      </c>
      <c r="L351" s="1">
        <v>2764</v>
      </c>
    </row>
    <row r="352" spans="1:13" s="4" customFormat="1" ht="24" customHeight="1">
      <c r="A352" s="4" t="s">
        <v>256</v>
      </c>
      <c r="B352" s="4">
        <v>1</v>
      </c>
      <c r="C352" s="4" t="s">
        <v>140</v>
      </c>
      <c r="E352" s="2">
        <f>IF(COUNT('Turns'!E342,'Turns'!E343,'Turns'!E348)=3,SUM('Turns'!E342,'Turns'!E343,'Turns'!E348),"Unknown")</f>
        <v>0.000535585712</v>
      </c>
      <c r="F352" s="2">
        <f>IF(COUNT('Turns'!F342,'Turns'!F343,'Turns'!F348)=3,SUM('Turns'!F342,'Turns'!F343,'Turns'!F348),"Unknown")</f>
        <v>0.0006088</v>
      </c>
      <c r="G352" s="5">
        <f>IF(ISNUMBER(E352),ROUND(E352*'Reference data'!$B$2,0),"Unknown")</f>
        <v>54.0</v>
      </c>
      <c r="H352" s="5">
        <f>IF(ISNUMBER(F352),ROUND(F352*'Reference data'!$B$2,0),"Unknown")</f>
        <v>61.0</v>
      </c>
      <c r="K352" s="4" t="s">
        <v>141</v>
      </c>
    </row>
    <row r="353" spans="1:13" s="4" customFormat="1" ht="24" customHeight="1">
      <c r="B353" s="4">
        <v>1</v>
      </c>
      <c r="C353" s="4" t="s">
        <v>157</v>
      </c>
      <c r="K353" s="4" t="s">
        <v>141</v>
      </c>
      <c r="M353" s="4" t="s">
        <v>259</v>
      </c>
    </row>
    <row r="354" spans="1:13" ht="24" customHeight="1">
      <c r="B354">
        <v>1</v>
      </c>
      <c r="C354" t="s">
        <v>144</v>
      </c>
      <c r="I354" s="6" t="s">
        <v>179</v>
      </c>
    </row>
    <row r="355" spans="1:13" ht="294" customHeight="1">
      <c r="B355">
        <v>1</v>
      </c>
      <c r="C355" t="s">
        <v>146</v>
      </c>
      <c r="I355" s="6" t="s">
        <v>207</v>
      </c>
    </row>
    <row r="356" spans="1:13" s="4" customFormat="1" ht="24" customHeight="1">
      <c r="A356" s="4" t="s">
        <v>260</v>
      </c>
      <c r="B356" s="4">
        <v>1</v>
      </c>
      <c r="C356" s="4" t="s">
        <v>125</v>
      </c>
      <c r="D356" s="4">
        <v>3026</v>
      </c>
      <c r="J356" s="4" t="s">
        <v>126</v>
      </c>
      <c r="M356" s="4" t="s">
        <v>261</v>
      </c>
    </row>
    <row r="357" spans="1:13" ht="24" customHeight="1">
      <c r="A357" t="s">
        <v>260</v>
      </c>
      <c r="B357">
        <v>1</v>
      </c>
      <c r="C357" t="s">
        <v>150</v>
      </c>
      <c r="D357" s="5">
        <v>0</v>
      </c>
      <c r="E357" s="2">
        <f>IF(AND(ISNUMBER(F357),ISNUMBER('Reference data'!$B$3)),F357*'Reference data'!$B$3,"Unknown")</f>
        <v>0.0</v>
      </c>
      <c r="F357" s="2">
        <f>IF(D357=0,0,IF(ISNUMBER('Reference data'!C22),D357*'Reference data'!C22/1000000,"Unknown"))</f>
        <v>0.0</v>
      </c>
      <c r="G357" s="5">
        <f>IF(ISNUMBER(E357),ROUND(E357*'Reference data'!$B$2,0),"Unknown")</f>
        <v>0.0</v>
      </c>
      <c r="H357" s="5">
        <f>IF(ISNUMBER(F357),ROUND(F357*'Reference data'!$B$2,0),"Unknown")</f>
        <v>0.0</v>
      </c>
    </row>
    <row r="358" spans="1:13" ht="24" customHeight="1">
      <c r="A358" t="s">
        <v>260</v>
      </c>
      <c r="B358">
        <v>1</v>
      </c>
      <c r="C358" t="s">
        <v>128</v>
      </c>
      <c r="D358" s="5">
        <v>3026</v>
      </c>
      <c r="E358" s="2">
        <f>IF(AND(ISNUMBER(F358),ISNUMBER('Reference data'!$B$3)),F358*'Reference data'!$B$3,"Unknown")</f>
        <v>0.000532418648</v>
      </c>
      <c r="F358" s="2">
        <f>IF(D358=0,0,IF(ISNUMBER('Reference data'!B22),D358*'Reference data'!B22/1000000,"Unknown"))</f>
        <v>0.0006052</v>
      </c>
      <c r="G358" s="5">
        <f>IF(ISNUMBER(E358),ROUND(E358*'Reference data'!$B$2,0),"Unknown")</f>
        <v>53.0</v>
      </c>
      <c r="H358" s="5">
        <f>IF(ISNUMBER(F358),ROUND(F358*'Reference data'!$B$2,0),"Unknown")</f>
        <v>61.0</v>
      </c>
    </row>
    <row r="359" spans="1:13" ht="294" customHeight="1">
      <c r="A359" t="s">
        <v>260</v>
      </c>
      <c r="B359">
        <v>1</v>
      </c>
      <c r="C359" t="s">
        <v>151</v>
      </c>
      <c r="D359" s="1">
        <v>262</v>
      </c>
      <c r="I359" s="6" t="s">
        <v>207</v>
      </c>
    </row>
    <row r="360" spans="1:13" ht="24" customHeight="1">
      <c r="A360" t="s">
        <v>260</v>
      </c>
      <c r="B360">
        <v>1</v>
      </c>
      <c r="C360" t="s">
        <v>134</v>
      </c>
      <c r="D360" s="1">
        <v>3026</v>
      </c>
    </row>
    <row r="361" spans="1:13" ht="24" customHeight="1">
      <c r="A361" t="s">
        <v>260</v>
      </c>
      <c r="B361">
        <v>1</v>
      </c>
      <c r="C361" t="s">
        <v>135</v>
      </c>
      <c r="D361" s="1">
        <v>3026</v>
      </c>
      <c r="L361" s="1">
        <v>3026</v>
      </c>
    </row>
    <row r="362" spans="1:13" s="4" customFormat="1" ht="24" customHeight="1">
      <c r="A362" s="4" t="s">
        <v>260</v>
      </c>
      <c r="B362" s="4">
        <v>1</v>
      </c>
      <c r="C362" s="4" t="s">
        <v>136</v>
      </c>
      <c r="D362" s="4">
        <v>57</v>
      </c>
    </row>
    <row r="363" spans="1:13" ht="24" customHeight="1">
      <c r="A363" t="s">
        <v>260</v>
      </c>
      <c r="B363">
        <v>1</v>
      </c>
      <c r="C363" t="s">
        <v>137</v>
      </c>
      <c r="D363" s="5">
        <v>57</v>
      </c>
      <c r="E363" s="2">
        <f>IF(AND(ISNUMBER(F363),ISNUMBER('Reference data'!$B$3)),F363*'Reference data'!$B$3,"Unknown")</f>
        <v>6.0174216e-05</v>
      </c>
      <c r="F363" s="2">
        <f>IF(D363=0,0,IF(ISNUMBER('Reference data'!E22),D363*'Reference data'!E22/1000000,"Unknown"))</f>
        <v>6.84e-05</v>
      </c>
      <c r="G363" s="5">
        <f>IF(ISNUMBER(E363),ROUND(E363*'Reference data'!$B$2,0),"Unknown")</f>
        <v>6.0</v>
      </c>
      <c r="H363" s="5">
        <f>IF(ISNUMBER(F363),ROUND(F363*'Reference data'!$B$2,0),"Unknown")</f>
        <v>7.0</v>
      </c>
    </row>
    <row r="364" spans="1:13" ht="34" customHeight="1">
      <c r="A364" t="s">
        <v>260</v>
      </c>
      <c r="B364">
        <v>1</v>
      </c>
      <c r="C364" t="s">
        <v>138</v>
      </c>
      <c r="I364" s="6" t="s">
        <v>262</v>
      </c>
    </row>
    <row r="365" spans="1:13" ht="24" customHeight="1">
      <c r="A365" t="s">
        <v>260</v>
      </c>
      <c r="B365">
        <v>1</v>
      </c>
      <c r="C365" t="s">
        <v>134</v>
      </c>
      <c r="D365" s="1">
        <v>57</v>
      </c>
    </row>
    <row r="366" spans="1:13" ht="24" customHeight="1">
      <c r="A366" t="s">
        <v>260</v>
      </c>
      <c r="B366">
        <v>1</v>
      </c>
      <c r="C366" t="s">
        <v>135</v>
      </c>
      <c r="D366" s="1">
        <v>57</v>
      </c>
      <c r="L366" s="1">
        <v>3083</v>
      </c>
    </row>
    <row r="367" spans="1:13" s="4" customFormat="1" ht="24" customHeight="1">
      <c r="A367" s="4" t="s">
        <v>260</v>
      </c>
      <c r="B367" s="4">
        <v>1</v>
      </c>
      <c r="C367" s="4" t="s">
        <v>140</v>
      </c>
      <c r="E367" s="2">
        <f>IF(COUNT('Turns'!E357,'Turns'!E358,'Turns'!E363)=3,SUM('Turns'!E357,'Turns'!E358,'Turns'!E363),"Unknown")</f>
        <v>0.000592592864</v>
      </c>
      <c r="F367" s="2">
        <f>IF(COUNT('Turns'!F357,'Turns'!F358,'Turns'!F363)=3,SUM('Turns'!F357,'Turns'!F358,'Turns'!F363),"Unknown")</f>
        <v>0.0006736</v>
      </c>
      <c r="G367" s="5">
        <f>IF(ISNUMBER(E367),ROUND(E367*'Reference data'!$B$2,0),"Unknown")</f>
        <v>59.0</v>
      </c>
      <c r="H367" s="5">
        <f>IF(ISNUMBER(F367),ROUND(F367*'Reference data'!$B$2,0),"Unknown")</f>
        <v>67.0</v>
      </c>
      <c r="K367" s="4" t="s">
        <v>141</v>
      </c>
    </row>
    <row r="368" spans="1:13" s="4" customFormat="1" ht="24" customHeight="1">
      <c r="B368" s="4">
        <v>1</v>
      </c>
      <c r="C368" s="4" t="s">
        <v>157</v>
      </c>
      <c r="K368" s="4" t="s">
        <v>141</v>
      </c>
      <c r="M368" s="4" t="s">
        <v>263</v>
      </c>
    </row>
    <row r="369" spans="1:13" ht="24" customHeight="1">
      <c r="B369">
        <v>1</v>
      </c>
      <c r="C369" t="s">
        <v>144</v>
      </c>
      <c r="I369" s="6" t="s">
        <v>264</v>
      </c>
    </row>
    <row r="370" spans="1:13" ht="409" customHeight="1">
      <c r="B370">
        <v>1</v>
      </c>
      <c r="C370" t="s">
        <v>146</v>
      </c>
      <c r="I370" s="6" t="s">
        <v>265</v>
      </c>
    </row>
    <row r="371" spans="1:13" s="4" customFormat="1" ht="24" customHeight="1">
      <c r="A371" s="4" t="s">
        <v>266</v>
      </c>
      <c r="B371" s="4">
        <v>1</v>
      </c>
      <c r="C371" s="4" t="s">
        <v>125</v>
      </c>
      <c r="D371" s="4">
        <v>3368</v>
      </c>
      <c r="J371" s="4" t="s">
        <v>126</v>
      </c>
      <c r="M371" s="4" t="s">
        <v>267</v>
      </c>
    </row>
    <row r="372" spans="1:13" ht="24" customHeight="1">
      <c r="A372" t="s">
        <v>266</v>
      </c>
      <c r="B372">
        <v>1</v>
      </c>
      <c r="C372" t="s">
        <v>150</v>
      </c>
      <c r="D372" s="5">
        <v>0</v>
      </c>
      <c r="E372" s="2">
        <f>IF(AND(ISNUMBER(F372),ISNUMBER('Reference data'!$B$3)),F372*'Reference data'!$B$3,"Unknown")</f>
        <v>0.0</v>
      </c>
      <c r="F372" s="2">
        <f>IF(D372=0,0,IF(ISNUMBER('Reference data'!C22),D372*'Reference data'!C22/1000000,"Unknown"))</f>
        <v>0.0</v>
      </c>
      <c r="G372" s="5">
        <f>IF(ISNUMBER(E372),ROUND(E372*'Reference data'!$B$2,0),"Unknown")</f>
        <v>0.0</v>
      </c>
      <c r="H372" s="5">
        <f>IF(ISNUMBER(F372),ROUND(F372*'Reference data'!$B$2,0),"Unknown")</f>
        <v>0.0</v>
      </c>
    </row>
    <row r="373" spans="1:13" ht="24" customHeight="1">
      <c r="A373" t="s">
        <v>266</v>
      </c>
      <c r="B373">
        <v>1</v>
      </c>
      <c r="C373" t="s">
        <v>128</v>
      </c>
      <c r="D373" s="5">
        <v>3368</v>
      </c>
      <c r="E373" s="2">
        <f>IF(AND(ISNUMBER(F373),ISNUMBER('Reference data'!$B$3)),F373*'Reference data'!$B$3,"Unknown")</f>
        <v>0.000592592864</v>
      </c>
      <c r="F373" s="2">
        <f>IF(D373=0,0,IF(ISNUMBER('Reference data'!B22),D373*'Reference data'!B22/1000000,"Unknown"))</f>
        <v>0.0006736</v>
      </c>
      <c r="G373" s="5">
        <f>IF(ISNUMBER(E373),ROUND(E373*'Reference data'!$B$2,0),"Unknown")</f>
        <v>59.0</v>
      </c>
      <c r="H373" s="5">
        <f>IF(ISNUMBER(F373),ROUND(F373*'Reference data'!$B$2,0),"Unknown")</f>
        <v>67.0</v>
      </c>
    </row>
    <row r="374" spans="1:13" ht="409" customHeight="1">
      <c r="A374" t="s">
        <v>266</v>
      </c>
      <c r="B374">
        <v>1</v>
      </c>
      <c r="C374" t="s">
        <v>151</v>
      </c>
      <c r="D374" s="1">
        <v>285</v>
      </c>
      <c r="I374" s="6" t="s">
        <v>265</v>
      </c>
    </row>
    <row r="375" spans="1:13" ht="24" customHeight="1">
      <c r="A375" t="s">
        <v>266</v>
      </c>
      <c r="B375">
        <v>1</v>
      </c>
      <c r="C375" t="s">
        <v>134</v>
      </c>
      <c r="D375" s="1">
        <v>3368</v>
      </c>
    </row>
    <row r="376" spans="1:13" ht="24" customHeight="1">
      <c r="A376" t="s">
        <v>266</v>
      </c>
      <c r="B376">
        <v>1</v>
      </c>
      <c r="C376" t="s">
        <v>135</v>
      </c>
      <c r="D376" s="1">
        <v>3368</v>
      </c>
      <c r="L376" s="1">
        <v>3368</v>
      </c>
    </row>
    <row r="377" spans="1:13" s="4" customFormat="1" ht="24" customHeight="1">
      <c r="A377" s="4" t="s">
        <v>266</v>
      </c>
      <c r="B377" s="4">
        <v>1</v>
      </c>
      <c r="C377" s="4" t="s">
        <v>136</v>
      </c>
      <c r="D377" s="4">
        <v>78</v>
      </c>
    </row>
    <row r="378" spans="1:13" ht="24" customHeight="1">
      <c r="A378" t="s">
        <v>266</v>
      </c>
      <c r="B378">
        <v>1</v>
      </c>
      <c r="C378" t="s">
        <v>137</v>
      </c>
      <c r="D378" s="5">
        <v>78</v>
      </c>
      <c r="E378" s="2">
        <f>IF(AND(ISNUMBER(F378),ISNUMBER('Reference data'!$B$3)),F378*'Reference data'!$B$3,"Unknown")</f>
        <v>8.2343664e-05</v>
      </c>
      <c r="F378" s="2">
        <f>IF(D378=0,0,IF(ISNUMBER('Reference data'!E22),D378*'Reference data'!E22/1000000,"Unknown"))</f>
        <v>9.36e-05</v>
      </c>
      <c r="G378" s="5">
        <f>IF(ISNUMBER(E378),ROUND(E378*'Reference data'!$B$2,0),"Unknown")</f>
        <v>8.0</v>
      </c>
      <c r="H378" s="5">
        <f>IF(ISNUMBER(F378),ROUND(F378*'Reference data'!$B$2,0),"Unknown")</f>
        <v>9.0</v>
      </c>
    </row>
    <row r="379" spans="1:13" ht="47" customHeight="1">
      <c r="A379" t="s">
        <v>266</v>
      </c>
      <c r="B379">
        <v>1</v>
      </c>
      <c r="C379" t="s">
        <v>138</v>
      </c>
      <c r="I379" s="6" t="s">
        <v>268</v>
      </c>
    </row>
    <row r="380" spans="1:13" ht="24" customHeight="1">
      <c r="A380" t="s">
        <v>266</v>
      </c>
      <c r="B380">
        <v>1</v>
      </c>
      <c r="C380" t="s">
        <v>134</v>
      </c>
      <c r="D380" s="1">
        <v>78</v>
      </c>
    </row>
    <row r="381" spans="1:13" ht="24" customHeight="1">
      <c r="A381" t="s">
        <v>266</v>
      </c>
      <c r="B381">
        <v>1</v>
      </c>
      <c r="C381" t="s">
        <v>135</v>
      </c>
      <c r="D381" s="1">
        <v>78</v>
      </c>
      <c r="L381" s="1">
        <v>3446</v>
      </c>
    </row>
    <row r="382" spans="1:13" s="4" customFormat="1" ht="24" customHeight="1">
      <c r="A382" s="4" t="s">
        <v>266</v>
      </c>
      <c r="B382" s="4">
        <v>1</v>
      </c>
      <c r="C382" s="4" t="s">
        <v>140</v>
      </c>
      <c r="E382" s="2">
        <f>IF(COUNT('Turns'!E372,'Turns'!E373,'Turns'!E378)=3,SUM('Turns'!E372,'Turns'!E373,'Turns'!E378),"Unknown")</f>
        <v>0.000674936528</v>
      </c>
      <c r="F382" s="2">
        <f>IF(COUNT('Turns'!F372,'Turns'!F373,'Turns'!F378)=3,SUM('Turns'!F372,'Turns'!F373,'Turns'!F378),"Unknown")</f>
        <v>0.0007672</v>
      </c>
      <c r="G382" s="5">
        <f>IF(ISNUMBER(E382),ROUND(E382*'Reference data'!$B$2,0),"Unknown")</f>
        <v>67.0</v>
      </c>
      <c r="H382" s="5">
        <f>IF(ISNUMBER(F382),ROUND(F382*'Reference data'!$B$2,0),"Unknown")</f>
        <v>77.0</v>
      </c>
      <c r="K382" s="4" t="s">
        <v>141</v>
      </c>
    </row>
    <row r="383" spans="1:13" s="4" customFormat="1" ht="24" customHeight="1">
      <c r="A383" s="4" t="s">
        <v>269</v>
      </c>
      <c r="B383" s="4">
        <v>1</v>
      </c>
      <c r="C383" s="4" t="s">
        <v>125</v>
      </c>
      <c r="D383" s="4">
        <v>6045</v>
      </c>
      <c r="J383" s="4" t="s">
        <v>126</v>
      </c>
      <c r="M383" s="4" t="s">
        <v>270</v>
      </c>
    </row>
    <row r="384" spans="1:13" ht="24" customHeight="1">
      <c r="A384" t="s">
        <v>269</v>
      </c>
      <c r="B384">
        <v>1</v>
      </c>
      <c r="C384" t="s">
        <v>150</v>
      </c>
      <c r="D384" s="5">
        <v>0</v>
      </c>
      <c r="E384" s="2">
        <f>IF(AND(ISNUMBER(F384),ISNUMBER('Reference data'!$B$3)),F384*'Reference data'!$B$3,"Unknown")</f>
        <v>0.0</v>
      </c>
      <c r="F384" s="2">
        <f>IF(D384=0,0,IF(ISNUMBER('Reference data'!C22),D384*'Reference data'!C22/1000000,"Unknown"))</f>
        <v>0.0</v>
      </c>
      <c r="G384" s="5">
        <f>IF(ISNUMBER(E384),ROUND(E384*'Reference data'!$B$2,0),"Unknown")</f>
        <v>0.0</v>
      </c>
      <c r="H384" s="5">
        <f>IF(ISNUMBER(F384),ROUND(F384*'Reference data'!$B$2,0),"Unknown")</f>
        <v>0.0</v>
      </c>
    </row>
    <row r="385" spans="1:13" ht="24" customHeight="1">
      <c r="A385" t="s">
        <v>269</v>
      </c>
      <c r="B385">
        <v>1</v>
      </c>
      <c r="C385" t="s">
        <v>128</v>
      </c>
      <c r="D385" s="5">
        <v>6045</v>
      </c>
      <c r="E385" s="2">
        <f>IF(AND(ISNUMBER(F385),ISNUMBER('Reference data'!$B$3)),F385*'Reference data'!$B$3,"Unknown")</f>
        <v>0.00106360566</v>
      </c>
      <c r="F385" s="2">
        <f>IF(D385=0,0,IF(ISNUMBER('Reference data'!B22),D385*'Reference data'!B22/1000000,"Unknown"))</f>
        <v>0.001209</v>
      </c>
      <c r="G385" s="5">
        <f>IF(ISNUMBER(E385),ROUND(E385*'Reference data'!$B$2,0),"Unknown")</f>
        <v>106.0</v>
      </c>
      <c r="H385" s="5">
        <f>IF(ISNUMBER(F385),ROUND(F385*'Reference data'!$B$2,0),"Unknown")</f>
        <v>121.0</v>
      </c>
    </row>
    <row r="386" spans="1:13" ht="409" customHeight="1">
      <c r="A386" t="s">
        <v>269</v>
      </c>
      <c r="B386">
        <v>1</v>
      </c>
      <c r="C386" t="s">
        <v>151</v>
      </c>
      <c r="D386" s="1">
        <v>1826</v>
      </c>
      <c r="I386" s="6" t="s">
        <v>271</v>
      </c>
    </row>
    <row r="387" spans="1:13" ht="24" customHeight="1">
      <c r="A387" t="s">
        <v>269</v>
      </c>
      <c r="B387">
        <v>1</v>
      </c>
      <c r="C387" t="s">
        <v>134</v>
      </c>
      <c r="D387" s="1">
        <v>6045</v>
      </c>
    </row>
    <row r="388" spans="1:13" ht="24" customHeight="1">
      <c r="A388" t="s">
        <v>269</v>
      </c>
      <c r="B388">
        <v>1</v>
      </c>
      <c r="C388" t="s">
        <v>135</v>
      </c>
      <c r="D388" s="1">
        <v>6045</v>
      </c>
      <c r="L388" s="1">
        <v>6045</v>
      </c>
    </row>
    <row r="389" spans="1:13" s="4" customFormat="1" ht="24" customHeight="1">
      <c r="A389" s="4" t="s">
        <v>269</v>
      </c>
      <c r="B389" s="4">
        <v>1</v>
      </c>
      <c r="C389" s="4" t="s">
        <v>136</v>
      </c>
      <c r="D389" s="4">
        <v>56</v>
      </c>
    </row>
    <row r="390" spans="1:13" ht="24" customHeight="1">
      <c r="A390" t="s">
        <v>269</v>
      </c>
      <c r="B390">
        <v>1</v>
      </c>
      <c r="C390" t="s">
        <v>137</v>
      </c>
      <c r="D390" s="5">
        <v>56</v>
      </c>
      <c r="E390" s="2">
        <f>IF(AND(ISNUMBER(F390),ISNUMBER('Reference data'!$B$3)),F390*'Reference data'!$B$3,"Unknown")</f>
        <v>5.9118528e-05</v>
      </c>
      <c r="F390" s="2">
        <f>IF(D390=0,0,IF(ISNUMBER('Reference data'!E22),D390*'Reference data'!E22/1000000,"Unknown"))</f>
        <v>6.72e-05</v>
      </c>
      <c r="G390" s="5">
        <f>IF(ISNUMBER(E390),ROUND(E390*'Reference data'!$B$2,0),"Unknown")</f>
        <v>6.0</v>
      </c>
      <c r="H390" s="5">
        <f>IF(ISNUMBER(F390),ROUND(F390*'Reference data'!$B$2,0),"Unknown")</f>
        <v>7.0</v>
      </c>
    </row>
    <row r="391" spans="1:13" ht="34" customHeight="1">
      <c r="A391" t="s">
        <v>269</v>
      </c>
      <c r="B391">
        <v>1</v>
      </c>
      <c r="C391" t="s">
        <v>138</v>
      </c>
      <c r="I391" s="6" t="s">
        <v>272</v>
      </c>
    </row>
    <row r="392" spans="1:13" ht="24" customHeight="1">
      <c r="A392" t="s">
        <v>269</v>
      </c>
      <c r="B392">
        <v>1</v>
      </c>
      <c r="C392" t="s">
        <v>134</v>
      </c>
      <c r="D392" s="1">
        <v>56</v>
      </c>
    </row>
    <row r="393" spans="1:13" ht="24" customHeight="1">
      <c r="A393" t="s">
        <v>269</v>
      </c>
      <c r="B393">
        <v>1</v>
      </c>
      <c r="C393" t="s">
        <v>135</v>
      </c>
      <c r="D393" s="1">
        <v>56</v>
      </c>
      <c r="L393" s="1">
        <v>6101</v>
      </c>
    </row>
    <row r="394" spans="1:13" s="4" customFormat="1" ht="24" customHeight="1">
      <c r="A394" s="4" t="s">
        <v>269</v>
      </c>
      <c r="B394" s="4">
        <v>1</v>
      </c>
      <c r="C394" s="4" t="s">
        <v>140</v>
      </c>
      <c r="E394" s="2">
        <f>IF(COUNT('Turns'!E384,'Turns'!E385,'Turns'!E390)=3,SUM('Turns'!E384,'Turns'!E385,'Turns'!E390),"Unknown")</f>
        <v>0.001122724188</v>
      </c>
      <c r="F394" s="2">
        <f>IF(COUNT('Turns'!F384,'Turns'!F385,'Turns'!F390)=3,SUM('Turns'!F384,'Turns'!F385,'Turns'!F390),"Unknown")</f>
        <v>0.0012762</v>
      </c>
      <c r="G394" s="5">
        <f>IF(ISNUMBER(E394),ROUND(E394*'Reference data'!$B$2,0),"Unknown")</f>
        <v>112.0</v>
      </c>
      <c r="H394" s="5">
        <f>IF(ISNUMBER(F394),ROUND(F394*'Reference data'!$B$2,0),"Unknown")</f>
        <v>128.0</v>
      </c>
      <c r="K394" s="4" t="s">
        <v>141</v>
      </c>
    </row>
    <row r="395" spans="1:13" s="4" customFormat="1" ht="24" customHeight="1">
      <c r="B395" s="4">
        <v>1</v>
      </c>
      <c r="C395" s="4" t="s">
        <v>157</v>
      </c>
      <c r="K395" s="4" t="s">
        <v>141</v>
      </c>
      <c r="M395" s="4" t="s">
        <v>273</v>
      </c>
    </row>
    <row r="396" spans="1:13" ht="24" customHeight="1">
      <c r="B396">
        <v>1</v>
      </c>
      <c r="C396" t="s">
        <v>144</v>
      </c>
      <c r="I396" s="6" t="s">
        <v>159</v>
      </c>
    </row>
    <row r="397" spans="1:13" ht="409" customHeight="1">
      <c r="B397">
        <v>1</v>
      </c>
      <c r="C397" t="s">
        <v>146</v>
      </c>
      <c r="I397" s="6" t="s">
        <v>227</v>
      </c>
    </row>
    <row r="398" spans="1:13" s="4" customFormat="1" ht="24" customHeight="1">
      <c r="A398" s="4" t="s">
        <v>274</v>
      </c>
      <c r="B398" s="4">
        <v>1</v>
      </c>
      <c r="C398" s="4" t="s">
        <v>125</v>
      </c>
      <c r="D398" s="4">
        <v>6866</v>
      </c>
      <c r="J398" s="4" t="s">
        <v>126</v>
      </c>
      <c r="M398" s="4" t="s">
        <v>275</v>
      </c>
    </row>
    <row r="399" spans="1:13" ht="24" customHeight="1">
      <c r="A399" t="s">
        <v>274</v>
      </c>
      <c r="B399">
        <v>1</v>
      </c>
      <c r="C399" t="s">
        <v>150</v>
      </c>
      <c r="D399" s="5">
        <v>0</v>
      </c>
      <c r="E399" s="2">
        <f>IF(AND(ISNUMBER(F399),ISNUMBER('Reference data'!$B$3)),F399*'Reference data'!$B$3,"Unknown")</f>
        <v>0.0</v>
      </c>
      <c r="F399" s="2">
        <f>IF(D399=0,0,IF(ISNUMBER('Reference data'!C22),D399*'Reference data'!C22/1000000,"Unknown"))</f>
        <v>0.0</v>
      </c>
      <c r="G399" s="5">
        <f>IF(ISNUMBER(E399),ROUND(E399*'Reference data'!$B$2,0),"Unknown")</f>
        <v>0.0</v>
      </c>
      <c r="H399" s="5">
        <f>IF(ISNUMBER(F399),ROUND(F399*'Reference data'!$B$2,0),"Unknown")</f>
        <v>0.0</v>
      </c>
    </row>
    <row r="400" spans="1:13" ht="24" customHeight="1">
      <c r="A400" t="s">
        <v>274</v>
      </c>
      <c r="B400">
        <v>1</v>
      </c>
      <c r="C400" t="s">
        <v>128</v>
      </c>
      <c r="D400" s="5">
        <v>6866</v>
      </c>
      <c r="E400" s="2">
        <f>IF(AND(ISNUMBER(F400),ISNUMBER('Reference data'!$B$3)),F400*'Reference data'!$B$3,"Unknown")</f>
        <v>0.001208058968</v>
      </c>
      <c r="F400" s="2">
        <f>IF(D400=0,0,IF(ISNUMBER('Reference data'!B22),D400*'Reference data'!B22/1000000,"Unknown"))</f>
        <v>0.0013732</v>
      </c>
      <c r="G400" s="5">
        <f>IF(ISNUMBER(E400),ROUND(E400*'Reference data'!$B$2,0),"Unknown")</f>
        <v>121.0</v>
      </c>
      <c r="H400" s="5">
        <f>IF(ISNUMBER(F400),ROUND(F400*'Reference data'!$B$2,0),"Unknown")</f>
        <v>137.0</v>
      </c>
    </row>
    <row r="401" spans="1:13" ht="409" customHeight="1">
      <c r="A401" t="s">
        <v>274</v>
      </c>
      <c r="B401">
        <v>1</v>
      </c>
      <c r="C401" t="s">
        <v>151</v>
      </c>
      <c r="D401" s="1">
        <v>765</v>
      </c>
      <c r="I401" s="6" t="s">
        <v>227</v>
      </c>
    </row>
    <row r="402" spans="1:13" ht="24" customHeight="1">
      <c r="A402" t="s">
        <v>274</v>
      </c>
      <c r="B402">
        <v>1</v>
      </c>
      <c r="C402" t="s">
        <v>134</v>
      </c>
      <c r="D402" s="1">
        <v>6866</v>
      </c>
    </row>
    <row r="403" spans="1:13" ht="24" customHeight="1">
      <c r="A403" t="s">
        <v>274</v>
      </c>
      <c r="B403">
        <v>1</v>
      </c>
      <c r="C403" t="s">
        <v>135</v>
      </c>
      <c r="D403" s="1">
        <v>6866</v>
      </c>
      <c r="L403" s="1">
        <v>6866</v>
      </c>
    </row>
    <row r="404" spans="1:13" s="4" customFormat="1" ht="24" customHeight="1">
      <c r="A404" s="4" t="s">
        <v>274</v>
      </c>
      <c r="B404" s="4">
        <v>1</v>
      </c>
      <c r="C404" s="4" t="s">
        <v>136</v>
      </c>
      <c r="D404" s="4">
        <v>112</v>
      </c>
    </row>
    <row r="405" spans="1:13" ht="24" customHeight="1">
      <c r="A405" t="s">
        <v>274</v>
      </c>
      <c r="B405">
        <v>1</v>
      </c>
      <c r="C405" t="s">
        <v>137</v>
      </c>
      <c r="D405" s="5">
        <v>112</v>
      </c>
      <c r="E405" s="2">
        <f>IF(AND(ISNUMBER(F405),ISNUMBER('Reference data'!$B$3)),F405*'Reference data'!$B$3,"Unknown")</f>
        <v>0.000118237056</v>
      </c>
      <c r="F405" s="2">
        <f>IF(D405=0,0,IF(ISNUMBER('Reference data'!E22),D405*'Reference data'!E22/1000000,"Unknown"))</f>
        <v>0.0001344</v>
      </c>
      <c r="G405" s="5">
        <f>IF(ISNUMBER(E405),ROUND(E405*'Reference data'!$B$2,0),"Unknown")</f>
        <v>12.0</v>
      </c>
      <c r="H405" s="5">
        <f>IF(ISNUMBER(F405),ROUND(F405*'Reference data'!$B$2,0),"Unknown")</f>
        <v>13.0</v>
      </c>
    </row>
    <row r="406" spans="1:13" ht="60" customHeight="1">
      <c r="A406" t="s">
        <v>274</v>
      </c>
      <c r="B406">
        <v>1</v>
      </c>
      <c r="C406" t="s">
        <v>138</v>
      </c>
      <c r="I406" s="6" t="s">
        <v>276</v>
      </c>
    </row>
    <row r="407" spans="1:13" ht="24" customHeight="1">
      <c r="A407" t="s">
        <v>274</v>
      </c>
      <c r="B407">
        <v>1</v>
      </c>
      <c r="C407" t="s">
        <v>134</v>
      </c>
      <c r="D407" s="1">
        <v>112</v>
      </c>
    </row>
    <row r="408" spans="1:13" ht="24" customHeight="1">
      <c r="A408" t="s">
        <v>274</v>
      </c>
      <c r="B408">
        <v>1</v>
      </c>
      <c r="C408" t="s">
        <v>135</v>
      </c>
      <c r="D408" s="1">
        <v>112</v>
      </c>
      <c r="L408" s="1">
        <v>6978</v>
      </c>
    </row>
    <row r="409" spans="1:13" s="4" customFormat="1" ht="24" customHeight="1">
      <c r="A409" s="4" t="s">
        <v>274</v>
      </c>
      <c r="B409" s="4">
        <v>1</v>
      </c>
      <c r="C409" s="4" t="s">
        <v>140</v>
      </c>
      <c r="E409" s="2">
        <f>IF(COUNT('Turns'!E399,'Turns'!E400,'Turns'!E405)=3,SUM('Turns'!E399,'Turns'!E400,'Turns'!E405),"Unknown")</f>
        <v>0.001326296024</v>
      </c>
      <c r="F409" s="2">
        <f>IF(COUNT('Turns'!F399,'Turns'!F400,'Turns'!F405)=3,SUM('Turns'!F399,'Turns'!F400,'Turns'!F405),"Unknown")</f>
        <v>0.0015076</v>
      </c>
      <c r="G409" s="5">
        <f>IF(ISNUMBER(E409),ROUND(E409*'Reference data'!$B$2,0),"Unknown")</f>
        <v>133.0</v>
      </c>
      <c r="H409" s="5">
        <f>IF(ISNUMBER(F409),ROUND(F409*'Reference data'!$B$2,0),"Unknown")</f>
        <v>151.0</v>
      </c>
      <c r="K409" s="4" t="s">
        <v>141</v>
      </c>
    </row>
    <row r="410" spans="1:13" s="4" customFormat="1" ht="24" customHeight="1">
      <c r="B410" s="4">
        <v>1</v>
      </c>
      <c r="C410" s="4" t="s">
        <v>192</v>
      </c>
      <c r="K410" s="4" t="s">
        <v>141</v>
      </c>
      <c r="M410" s="4" t="s">
        <v>277</v>
      </c>
    </row>
    <row r="411" spans="1:13" ht="60" customHeight="1">
      <c r="B411">
        <v>1</v>
      </c>
      <c r="C411" t="s">
        <v>144</v>
      </c>
      <c r="I411" s="6" t="s">
        <v>278</v>
      </c>
    </row>
    <row r="412" spans="1:13" ht="24" customHeight="1">
      <c r="B412">
        <v>1</v>
      </c>
      <c r="C412" t="s">
        <v>146</v>
      </c>
      <c r="I412" s="6" t="s">
        <v>222</v>
      </c>
    </row>
    <row r="413" spans="1:13" s="4" customFormat="1" ht="24" customHeight="1">
      <c r="A413" s="4" t="s">
        <v>279</v>
      </c>
      <c r="B413" s="4">
        <v>1</v>
      </c>
      <c r="C413" s="4" t="s">
        <v>125</v>
      </c>
      <c r="D413" s="4">
        <v>7020</v>
      </c>
      <c r="J413" s="4" t="s">
        <v>126</v>
      </c>
      <c r="M413" s="4" t="s">
        <v>280</v>
      </c>
    </row>
    <row r="414" spans="1:13" ht="24" customHeight="1">
      <c r="A414" t="s">
        <v>279</v>
      </c>
      <c r="B414">
        <v>1</v>
      </c>
      <c r="C414" t="s">
        <v>150</v>
      </c>
      <c r="D414" s="5">
        <v>0</v>
      </c>
      <c r="E414" s="2">
        <f>IF(AND(ISNUMBER(F414),ISNUMBER('Reference data'!$B$3)),F414*'Reference data'!$B$3,"Unknown")</f>
        <v>0.0</v>
      </c>
      <c r="F414" s="2">
        <f>IF(D414=0,0,IF(ISNUMBER('Reference data'!C22),D414*'Reference data'!C22/1000000,"Unknown"))</f>
        <v>0.0</v>
      </c>
      <c r="G414" s="5">
        <f>IF(ISNUMBER(E414),ROUND(E414*'Reference data'!$B$2,0),"Unknown")</f>
        <v>0.0</v>
      </c>
      <c r="H414" s="5">
        <f>IF(ISNUMBER(F414),ROUND(F414*'Reference data'!$B$2,0),"Unknown")</f>
        <v>0.0</v>
      </c>
    </row>
    <row r="415" spans="1:13" ht="24" customHeight="1">
      <c r="A415" t="s">
        <v>279</v>
      </c>
      <c r="B415">
        <v>1</v>
      </c>
      <c r="C415" t="s">
        <v>128</v>
      </c>
      <c r="D415" s="5">
        <v>7020</v>
      </c>
      <c r="E415" s="2">
        <f>IF(AND(ISNUMBER(F415),ISNUMBER('Reference data'!$B$3)),F415*'Reference data'!$B$3,"Unknown")</f>
        <v>0.00123515496</v>
      </c>
      <c r="F415" s="2">
        <f>IF(D415=0,0,IF(ISNUMBER('Reference data'!B22),D415*'Reference data'!B22/1000000,"Unknown"))</f>
        <v>0.001404</v>
      </c>
      <c r="G415" s="5">
        <f>IF(ISNUMBER(E415),ROUND(E415*'Reference data'!$B$2,0),"Unknown")</f>
        <v>124.0</v>
      </c>
      <c r="H415" s="5">
        <f>IF(ISNUMBER(F415),ROUND(F415*'Reference data'!$B$2,0),"Unknown")</f>
        <v>140.0</v>
      </c>
    </row>
    <row r="416" spans="1:13" ht="24" customHeight="1">
      <c r="A416" t="s">
        <v>279</v>
      </c>
      <c r="B416">
        <v>1</v>
      </c>
      <c r="C416" t="s">
        <v>151</v>
      </c>
      <c r="D416" s="1">
        <v>42</v>
      </c>
      <c r="I416" s="6" t="s">
        <v>222</v>
      </c>
    </row>
    <row r="417" spans="1:13" ht="24" customHeight="1">
      <c r="A417" t="s">
        <v>279</v>
      </c>
      <c r="B417">
        <v>1</v>
      </c>
      <c r="C417" t="s">
        <v>134</v>
      </c>
      <c r="D417" s="1">
        <v>7020</v>
      </c>
    </row>
    <row r="418" spans="1:13" ht="24" customHeight="1">
      <c r="A418" t="s">
        <v>279</v>
      </c>
      <c r="B418">
        <v>1</v>
      </c>
      <c r="C418" t="s">
        <v>135</v>
      </c>
      <c r="D418" s="1">
        <v>7020</v>
      </c>
      <c r="L418" s="1">
        <v>7020</v>
      </c>
    </row>
    <row r="419" spans="1:13" s="4" customFormat="1" ht="24" customHeight="1">
      <c r="A419" s="4" t="s">
        <v>279</v>
      </c>
      <c r="B419" s="4">
        <v>1</v>
      </c>
      <c r="C419" s="4" t="s">
        <v>136</v>
      </c>
      <c r="D419" s="4">
        <v>56</v>
      </c>
    </row>
    <row r="420" spans="1:13" ht="24" customHeight="1">
      <c r="A420" t="s">
        <v>279</v>
      </c>
      <c r="B420">
        <v>1</v>
      </c>
      <c r="C420" t="s">
        <v>137</v>
      </c>
      <c r="D420" s="5">
        <v>56</v>
      </c>
      <c r="E420" s="2">
        <f>IF(AND(ISNUMBER(F420),ISNUMBER('Reference data'!$B$3)),F420*'Reference data'!$B$3,"Unknown")</f>
        <v>5.9118528e-05</v>
      </c>
      <c r="F420" s="2">
        <f>IF(D420=0,0,IF(ISNUMBER('Reference data'!E22),D420*'Reference data'!E22/1000000,"Unknown"))</f>
        <v>6.72e-05</v>
      </c>
      <c r="G420" s="5">
        <f>IF(ISNUMBER(E420),ROUND(E420*'Reference data'!$B$2,0),"Unknown")</f>
        <v>6.0</v>
      </c>
      <c r="H420" s="5">
        <f>IF(ISNUMBER(F420),ROUND(F420*'Reference data'!$B$2,0),"Unknown")</f>
        <v>7.0</v>
      </c>
    </row>
    <row r="421" spans="1:13" ht="34" customHeight="1">
      <c r="A421" t="s">
        <v>279</v>
      </c>
      <c r="B421">
        <v>1</v>
      </c>
      <c r="C421" t="s">
        <v>138</v>
      </c>
      <c r="I421" s="6" t="s">
        <v>281</v>
      </c>
    </row>
    <row r="422" spans="1:13" ht="24" customHeight="1">
      <c r="A422" t="s">
        <v>279</v>
      </c>
      <c r="B422">
        <v>1</v>
      </c>
      <c r="C422" t="s">
        <v>134</v>
      </c>
      <c r="D422" s="1">
        <v>56</v>
      </c>
    </row>
    <row r="423" spans="1:13" ht="24" customHeight="1">
      <c r="A423" t="s">
        <v>279</v>
      </c>
      <c r="B423">
        <v>1</v>
      </c>
      <c r="C423" t="s">
        <v>135</v>
      </c>
      <c r="D423" s="1">
        <v>56</v>
      </c>
      <c r="L423" s="1">
        <v>7076</v>
      </c>
    </row>
    <row r="424" spans="1:13" s="4" customFormat="1" ht="24" customHeight="1">
      <c r="A424" s="4" t="s">
        <v>279</v>
      </c>
      <c r="B424" s="4">
        <v>1</v>
      </c>
      <c r="C424" s="4" t="s">
        <v>140</v>
      </c>
      <c r="E424" s="2">
        <f>IF(COUNT('Turns'!E414,'Turns'!E415,'Turns'!E420)=3,SUM('Turns'!E414,'Turns'!E415,'Turns'!E420),"Unknown")</f>
        <v>0.001294273488</v>
      </c>
      <c r="F424" s="2">
        <f>IF(COUNT('Turns'!F414,'Turns'!F415,'Turns'!F420)=3,SUM('Turns'!F414,'Turns'!F415,'Turns'!F420),"Unknown")</f>
        <v>0.0014712</v>
      </c>
      <c r="G424" s="5">
        <f>IF(ISNUMBER(E424),ROUND(E424*'Reference data'!$B$2,0),"Unknown")</f>
        <v>129.0</v>
      </c>
      <c r="H424" s="5">
        <f>IF(ISNUMBER(F424),ROUND(F424*'Reference data'!$B$2,0),"Unknown")</f>
        <v>147.0</v>
      </c>
      <c r="K424" s="4" t="s">
        <v>141</v>
      </c>
    </row>
    <row r="425" spans="1:13" s="4" customFormat="1" ht="24" customHeight="1">
      <c r="B425" s="4">
        <v>1</v>
      </c>
      <c r="C425" s="4" t="s">
        <v>157</v>
      </c>
      <c r="K425" s="4" t="s">
        <v>141</v>
      </c>
      <c r="M425" s="4" t="s">
        <v>282</v>
      </c>
    </row>
    <row r="426" spans="1:13" ht="24" customHeight="1">
      <c r="B426">
        <v>1</v>
      </c>
      <c r="C426" t="s">
        <v>144</v>
      </c>
      <c r="I426" s="6" t="s">
        <v>159</v>
      </c>
    </row>
    <row r="427" spans="1:13" ht="409" customHeight="1">
      <c r="B427">
        <v>1</v>
      </c>
      <c r="C427" t="s">
        <v>146</v>
      </c>
      <c r="I427" s="6" t="s">
        <v>283</v>
      </c>
    </row>
    <row r="428" spans="1:13" s="4" customFormat="1" ht="24" customHeight="1">
      <c r="A428" s="4" t="s">
        <v>284</v>
      </c>
      <c r="B428" s="4">
        <v>1</v>
      </c>
      <c r="C428" s="4" t="s">
        <v>125</v>
      </c>
      <c r="D428" s="4">
        <v>7862</v>
      </c>
      <c r="J428" s="4" t="s">
        <v>126</v>
      </c>
      <c r="M428" s="4" t="s">
        <v>285</v>
      </c>
    </row>
    <row r="429" spans="1:13" ht="24" customHeight="1">
      <c r="A429" t="s">
        <v>284</v>
      </c>
      <c r="B429">
        <v>1</v>
      </c>
      <c r="C429" t="s">
        <v>150</v>
      </c>
      <c r="D429" s="5">
        <v>0</v>
      </c>
      <c r="E429" s="2">
        <f>IF(AND(ISNUMBER(F429),ISNUMBER('Reference data'!$B$3)),F429*'Reference data'!$B$3,"Unknown")</f>
        <v>0.0</v>
      </c>
      <c r="F429" s="2">
        <f>IF(D429=0,0,IF(ISNUMBER('Reference data'!C22),D429*'Reference data'!C22/1000000,"Unknown"))</f>
        <v>0.0</v>
      </c>
      <c r="G429" s="5">
        <f>IF(ISNUMBER(E429),ROUND(E429*'Reference data'!$B$2,0),"Unknown")</f>
        <v>0.0</v>
      </c>
      <c r="H429" s="5">
        <f>IF(ISNUMBER(F429),ROUND(F429*'Reference data'!$B$2,0),"Unknown")</f>
        <v>0.0</v>
      </c>
    </row>
    <row r="430" spans="1:13" ht="24" customHeight="1">
      <c r="A430" t="s">
        <v>284</v>
      </c>
      <c r="B430">
        <v>1</v>
      </c>
      <c r="C430" t="s">
        <v>128</v>
      </c>
      <c r="D430" s="5">
        <v>7862</v>
      </c>
      <c r="E430" s="2">
        <f>IF(AND(ISNUMBER(F430),ISNUMBER('Reference data'!$B$3)),F430*'Reference data'!$B$3,"Unknown")</f>
        <v>0.001383303176</v>
      </c>
      <c r="F430" s="2">
        <f>IF(D430=0,0,IF(ISNUMBER('Reference data'!B22),D430*'Reference data'!B22/1000000,"Unknown"))</f>
        <v>0.0015724</v>
      </c>
      <c r="G430" s="5">
        <f>IF(ISNUMBER(E430),ROUND(E430*'Reference data'!$B$2,0),"Unknown")</f>
        <v>138.0</v>
      </c>
      <c r="H430" s="5">
        <f>IF(ISNUMBER(F430),ROUND(F430*'Reference data'!$B$2,0),"Unknown")</f>
        <v>157.0</v>
      </c>
    </row>
    <row r="431" spans="1:13" ht="409" customHeight="1">
      <c r="A431" t="s">
        <v>284</v>
      </c>
      <c r="B431">
        <v>1</v>
      </c>
      <c r="C431" t="s">
        <v>151</v>
      </c>
      <c r="D431" s="1">
        <v>786</v>
      </c>
      <c r="I431" s="6" t="s">
        <v>283</v>
      </c>
    </row>
    <row r="432" spans="1:13" ht="24" customHeight="1">
      <c r="A432" t="s">
        <v>284</v>
      </c>
      <c r="B432">
        <v>1</v>
      </c>
      <c r="C432" t="s">
        <v>134</v>
      </c>
      <c r="D432" s="1">
        <v>7862</v>
      </c>
    </row>
    <row r="433" spans="1:13" ht="24" customHeight="1">
      <c r="A433" t="s">
        <v>284</v>
      </c>
      <c r="B433">
        <v>1</v>
      </c>
      <c r="C433" t="s">
        <v>135</v>
      </c>
      <c r="D433" s="1">
        <v>7862</v>
      </c>
      <c r="L433" s="1">
        <v>7862</v>
      </c>
    </row>
    <row r="434" spans="1:13" s="4" customFormat="1" ht="24" customHeight="1">
      <c r="A434" s="4" t="s">
        <v>284</v>
      </c>
      <c r="B434" s="4">
        <v>1</v>
      </c>
      <c r="C434" s="4" t="s">
        <v>136</v>
      </c>
      <c r="D434" s="4">
        <v>65</v>
      </c>
    </row>
    <row r="435" spans="1:13" ht="24" customHeight="1">
      <c r="A435" t="s">
        <v>284</v>
      </c>
      <c r="B435">
        <v>1</v>
      </c>
      <c r="C435" t="s">
        <v>137</v>
      </c>
      <c r="D435" s="5">
        <v>65</v>
      </c>
      <c r="E435" s="2">
        <f>IF(AND(ISNUMBER(F435),ISNUMBER('Reference data'!$B$3)),F435*'Reference data'!$B$3,"Unknown")</f>
        <v>6.861972e-05</v>
      </c>
      <c r="F435" s="2">
        <f>IF(D435=0,0,IF(ISNUMBER('Reference data'!E22),D435*'Reference data'!E22/1000000,"Unknown"))</f>
        <v>7.8e-05</v>
      </c>
      <c r="G435" s="5">
        <f>IF(ISNUMBER(E435),ROUND(E435*'Reference data'!$B$2,0),"Unknown")</f>
        <v>7.0</v>
      </c>
      <c r="H435" s="5">
        <f>IF(ISNUMBER(F435),ROUND(F435*'Reference data'!$B$2,0),"Unknown")</f>
        <v>8.0</v>
      </c>
    </row>
    <row r="436" spans="1:13" ht="34" customHeight="1">
      <c r="A436" t="s">
        <v>284</v>
      </c>
      <c r="B436">
        <v>1</v>
      </c>
      <c r="C436" t="s">
        <v>138</v>
      </c>
      <c r="I436" s="6" t="s">
        <v>286</v>
      </c>
    </row>
    <row r="437" spans="1:13" ht="24" customHeight="1">
      <c r="A437" t="s">
        <v>284</v>
      </c>
      <c r="B437">
        <v>1</v>
      </c>
      <c r="C437" t="s">
        <v>134</v>
      </c>
      <c r="D437" s="1">
        <v>65</v>
      </c>
    </row>
    <row r="438" spans="1:13" ht="24" customHeight="1">
      <c r="A438" t="s">
        <v>284</v>
      </c>
      <c r="B438">
        <v>1</v>
      </c>
      <c r="C438" t="s">
        <v>135</v>
      </c>
      <c r="D438" s="1">
        <v>65</v>
      </c>
      <c r="L438" s="1">
        <v>7927</v>
      </c>
    </row>
    <row r="439" spans="1:13" s="4" customFormat="1" ht="24" customHeight="1">
      <c r="A439" s="4" t="s">
        <v>284</v>
      </c>
      <c r="B439" s="4">
        <v>1</v>
      </c>
      <c r="C439" s="4" t="s">
        <v>140</v>
      </c>
      <c r="E439" s="2">
        <f>IF(COUNT('Turns'!E429,'Turns'!E430,'Turns'!E435)=3,SUM('Turns'!E429,'Turns'!E430,'Turns'!E435),"Unknown")</f>
        <v>0.001451922896</v>
      </c>
      <c r="F439" s="2">
        <f>IF(COUNT('Turns'!F429,'Turns'!F430,'Turns'!F435)=3,SUM('Turns'!F429,'Turns'!F430,'Turns'!F435),"Unknown")</f>
        <v>0.0016504</v>
      </c>
      <c r="G439" s="5">
        <f>IF(ISNUMBER(E439),ROUND(E439*'Reference data'!$B$2,0),"Unknown")</f>
        <v>145.0</v>
      </c>
      <c r="H439" s="5">
        <f>IF(ISNUMBER(F439),ROUND(F439*'Reference data'!$B$2,0),"Unknown")</f>
        <v>165.0</v>
      </c>
      <c r="K439" s="4" t="s">
        <v>141</v>
      </c>
    </row>
    <row r="440" spans="1:13" s="4" customFormat="1" ht="24" customHeight="1">
      <c r="B440" s="4">
        <v>2</v>
      </c>
      <c r="C440" s="4" t="s">
        <v>287</v>
      </c>
      <c r="E440" s="2">
        <f>IF(COUNT('Turns'!E453,'Turns'!E468,'Turns'!E480,'Turns'!E495,'Turns'!E507,'Turns'!E522,'Turns'!E537,'Turns'!E552,'Turns'!E563,'Turns'!E578,'Turns'!E593,'Turns'!E608,'Turns'!E620,'Turns'!E635,'Turns'!E650,'Turns'!E664,'Turns'!E676)=17,SUM('Turns'!E453,'Turns'!E468,'Turns'!E480,'Turns'!E495,'Turns'!E507,'Turns'!E522,'Turns'!E537,'Turns'!E552,'Turns'!E563,'Turns'!E578,'Turns'!E593,'Turns'!E608,'Turns'!E620,'Turns'!E635,'Turns'!E650,'Turns'!E664,'Turns'!E676),"Unknown")</f>
        <v>0.01534882378</v>
      </c>
      <c r="F440" s="2">
        <f>IF(COUNT('Turns'!F453,'Turns'!F468,'Turns'!F480,'Turns'!F495,'Turns'!F507,'Turns'!F522,'Turns'!F537,'Turns'!F552,'Turns'!F563,'Turns'!F578,'Turns'!F593,'Turns'!F608,'Turns'!F620,'Turns'!F635,'Turns'!F650,'Turns'!F664,'Turns'!F676)=17,SUM('Turns'!F453,'Turns'!F468,'Turns'!F480,'Turns'!F495,'Turns'!F507,'Turns'!F522,'Turns'!F537,'Turns'!F552,'Turns'!F563,'Turns'!F578,'Turns'!F593,'Turns'!F608,'Turns'!F620,'Turns'!F635,'Turns'!F650,'Turns'!F664,'Turns'!F676),"Unknown")</f>
        <v>0.017447</v>
      </c>
      <c r="G440" s="5">
        <f>IF(ISNUMBER(E440),ROUND(E440*'Reference data'!$B$2,0),"Unknown")</f>
        <v>1535.0</v>
      </c>
      <c r="H440" s="5">
        <f>IF(ISNUMBER(F440),ROUND(F440*'Reference data'!$B$2,0),"Unknown")</f>
        <v>1745.0</v>
      </c>
    </row>
    <row r="441" spans="1:13" s="4" customFormat="1" ht="24" customHeight="1">
      <c r="A441" s="4" t="s">
        <v>288</v>
      </c>
      <c r="B441" s="4">
        <v>2</v>
      </c>
      <c r="C441" s="4" t="s">
        <v>125</v>
      </c>
      <c r="D441" s="4">
        <v>7700</v>
      </c>
      <c r="J441" s="4" t="s">
        <v>126</v>
      </c>
      <c r="M441" s="4" t="s">
        <v>289</v>
      </c>
    </row>
    <row r="442" spans="1:13" ht="24" customHeight="1">
      <c r="A442" t="s">
        <v>288</v>
      </c>
      <c r="B442">
        <v>2</v>
      </c>
      <c r="C442" t="s">
        <v>150</v>
      </c>
      <c r="D442" s="5">
        <v>0</v>
      </c>
      <c r="E442" s="2">
        <f>IF(AND(ISNUMBER(F442),ISNUMBER('Reference data'!$B$3)),F442*'Reference data'!$B$3,"Unknown")</f>
        <v>0.0</v>
      </c>
      <c r="F442" s="2">
        <f>IF(D442=0,0,IF(ISNUMBER('Reference data'!C22),D442*'Reference data'!C22/1000000,"Unknown"))</f>
        <v>0.0</v>
      </c>
      <c r="G442" s="5">
        <f>IF(ISNUMBER(E442),ROUND(E442*'Reference data'!$B$2,0),"Unknown")</f>
        <v>0.0</v>
      </c>
      <c r="H442" s="5">
        <f>IF(ISNUMBER(F442),ROUND(F442*'Reference data'!$B$2,0),"Unknown")</f>
        <v>0.0</v>
      </c>
    </row>
    <row r="443" spans="1:13" ht="24" customHeight="1">
      <c r="A443" t="s">
        <v>288</v>
      </c>
      <c r="B443">
        <v>2</v>
      </c>
      <c r="C443" t="s">
        <v>128</v>
      </c>
      <c r="D443" s="5">
        <v>7700</v>
      </c>
      <c r="E443" s="2">
        <f>IF(AND(ISNUMBER(F443),ISNUMBER('Reference data'!$B$3)),F443*'Reference data'!$B$3,"Unknown")</f>
        <v>0.0013547996</v>
      </c>
      <c r="F443" s="2">
        <f>IF(D443=0,0,IF(ISNUMBER('Reference data'!B22),D443*'Reference data'!B22/1000000,"Unknown"))</f>
        <v>0.00154</v>
      </c>
      <c r="G443" s="5">
        <f>IF(ISNUMBER(E443),ROUND(E443*'Reference data'!$B$2,0),"Unknown")</f>
        <v>135.0</v>
      </c>
      <c r="H443" s="5">
        <f>IF(ISNUMBER(F443),ROUND(F443*'Reference data'!$B$2,0),"Unknown")</f>
        <v>154.0</v>
      </c>
    </row>
    <row r="444" spans="1:13" ht="34" customHeight="1">
      <c r="A444" t="s">
        <v>288</v>
      </c>
      <c r="B444">
        <v>2</v>
      </c>
      <c r="C444" t="s">
        <v>132</v>
      </c>
      <c r="D444" s="1">
        <v>50</v>
      </c>
      <c r="I444" s="6" t="s">
        <v>133</v>
      </c>
    </row>
    <row r="445" spans="1:13" ht="409" customHeight="1">
      <c r="A445" t="s">
        <v>288</v>
      </c>
      <c r="B445">
        <v>2</v>
      </c>
      <c r="C445" t="s">
        <v>151</v>
      </c>
      <c r="D445" s="1">
        <v>3419</v>
      </c>
      <c r="I445" s="6" t="s">
        <v>290</v>
      </c>
    </row>
    <row r="446" spans="1:13" ht="24" customHeight="1">
      <c r="A446" t="s">
        <v>288</v>
      </c>
      <c r="B446">
        <v>2</v>
      </c>
      <c r="C446" t="s">
        <v>134</v>
      </c>
      <c r="D446" s="1">
        <v>7700</v>
      </c>
    </row>
    <row r="447" spans="1:13" ht="24" customHeight="1">
      <c r="A447" t="s">
        <v>288</v>
      </c>
      <c r="B447">
        <v>2</v>
      </c>
      <c r="C447" t="s">
        <v>135</v>
      </c>
      <c r="D447" s="1">
        <v>7700</v>
      </c>
      <c r="L447" s="1">
        <v>7700</v>
      </c>
    </row>
    <row r="448" spans="1:13" s="4" customFormat="1" ht="24" customHeight="1">
      <c r="A448" s="4" t="s">
        <v>288</v>
      </c>
      <c r="B448" s="4">
        <v>2</v>
      </c>
      <c r="C448" s="4" t="s">
        <v>136</v>
      </c>
      <c r="D448" s="4">
        <v>56</v>
      </c>
    </row>
    <row r="449" spans="1:13" ht="24" customHeight="1">
      <c r="A449" t="s">
        <v>288</v>
      </c>
      <c r="B449">
        <v>2</v>
      </c>
      <c r="C449" t="s">
        <v>137</v>
      </c>
      <c r="D449" s="5">
        <v>56</v>
      </c>
      <c r="E449" s="2">
        <f>IF(AND(ISNUMBER(F449),ISNUMBER('Reference data'!$B$3)),F449*'Reference data'!$B$3,"Unknown")</f>
        <v>5.9118528e-05</v>
      </c>
      <c r="F449" s="2">
        <f>IF(D449=0,0,IF(ISNUMBER('Reference data'!E22),D449*'Reference data'!E22/1000000,"Unknown"))</f>
        <v>6.72e-05</v>
      </c>
      <c r="G449" s="5">
        <f>IF(ISNUMBER(E449),ROUND(E449*'Reference data'!$B$2,0),"Unknown")</f>
        <v>6.0</v>
      </c>
      <c r="H449" s="5">
        <f>IF(ISNUMBER(F449),ROUND(F449*'Reference data'!$B$2,0),"Unknown")</f>
        <v>7.0</v>
      </c>
    </row>
    <row r="450" spans="1:13" ht="34" customHeight="1">
      <c r="A450" t="s">
        <v>288</v>
      </c>
      <c r="B450">
        <v>2</v>
      </c>
      <c r="C450" t="s">
        <v>138</v>
      </c>
      <c r="I450" s="6" t="s">
        <v>291</v>
      </c>
    </row>
    <row r="451" spans="1:13" ht="24" customHeight="1">
      <c r="A451" t="s">
        <v>288</v>
      </c>
      <c r="B451">
        <v>2</v>
      </c>
      <c r="C451" t="s">
        <v>134</v>
      </c>
      <c r="D451" s="1">
        <v>56</v>
      </c>
    </row>
    <row r="452" spans="1:13" ht="24" customHeight="1">
      <c r="A452" t="s">
        <v>288</v>
      </c>
      <c r="B452">
        <v>2</v>
      </c>
      <c r="C452" t="s">
        <v>135</v>
      </c>
      <c r="D452" s="1">
        <v>56</v>
      </c>
      <c r="L452" s="1">
        <v>7756</v>
      </c>
    </row>
    <row r="453" spans="1:13" s="4" customFormat="1" ht="24" customHeight="1">
      <c r="A453" s="4" t="s">
        <v>288</v>
      </c>
      <c r="B453" s="4">
        <v>2</v>
      </c>
      <c r="C453" s="4" t="s">
        <v>140</v>
      </c>
      <c r="E453" s="2">
        <f>IF(COUNT('Turns'!E442,'Turns'!E443,'Turns'!E449)=3,SUM('Turns'!E442,'Turns'!E443,'Turns'!E449),"Unknown")</f>
        <v>0.001413918128</v>
      </c>
      <c r="F453" s="2">
        <f>IF(COUNT('Turns'!F442,'Turns'!F443,'Turns'!F449)=3,SUM('Turns'!F442,'Turns'!F443,'Turns'!F449),"Unknown")</f>
        <v>0.0016072</v>
      </c>
      <c r="G453" s="5">
        <f>IF(ISNUMBER(E453),ROUND(E453*'Reference data'!$B$2,0),"Unknown")</f>
        <v>141.0</v>
      </c>
      <c r="H453" s="5">
        <f>IF(ISNUMBER(F453),ROUND(F453*'Reference data'!$B$2,0),"Unknown")</f>
        <v>161.0</v>
      </c>
      <c r="K453" s="4" t="s">
        <v>141</v>
      </c>
    </row>
    <row r="454" spans="1:13" s="4" customFormat="1" ht="24" customHeight="1">
      <c r="B454" s="4">
        <v>2</v>
      </c>
      <c r="C454" s="4" t="s">
        <v>157</v>
      </c>
      <c r="K454" s="4" t="s">
        <v>141</v>
      </c>
      <c r="M454" s="4" t="s">
        <v>292</v>
      </c>
    </row>
    <row r="455" spans="1:13" ht="24" customHeight="1">
      <c r="B455">
        <v>2</v>
      </c>
      <c r="C455" t="s">
        <v>144</v>
      </c>
      <c r="I455" s="6" t="s">
        <v>159</v>
      </c>
    </row>
    <row r="456" spans="1:13" ht="409" customHeight="1">
      <c r="B456">
        <v>2</v>
      </c>
      <c r="C456" t="s">
        <v>146</v>
      </c>
      <c r="I456" s="6" t="s">
        <v>283</v>
      </c>
    </row>
    <row r="457" spans="1:13" s="4" customFormat="1" ht="24" customHeight="1">
      <c r="A457" s="4" t="s">
        <v>293</v>
      </c>
      <c r="B457" s="4">
        <v>2</v>
      </c>
      <c r="C457" s="4" t="s">
        <v>125</v>
      </c>
      <c r="D457" s="4">
        <v>5699</v>
      </c>
      <c r="J457" s="4" t="s">
        <v>126</v>
      </c>
      <c r="M457" s="4" t="s">
        <v>294</v>
      </c>
    </row>
    <row r="458" spans="1:13" ht="24" customHeight="1">
      <c r="A458" t="s">
        <v>293</v>
      </c>
      <c r="B458">
        <v>2</v>
      </c>
      <c r="C458" t="s">
        <v>128</v>
      </c>
      <c r="D458" s="5">
        <v>5699</v>
      </c>
      <c r="E458" s="2">
        <f>IF(AND(ISNUMBER(F458),ISNUMBER('Reference data'!$B$3)),F458*'Reference data'!$B$3,"Unknown")</f>
        <v>0.001002727652</v>
      </c>
      <c r="F458" s="2">
        <f>IF(D458=0,0,IF(ISNUMBER('Reference data'!B22),D458*'Reference data'!B22/1000000,"Unknown"))</f>
        <v>0.0011398</v>
      </c>
      <c r="G458" s="5">
        <f>IF(ISNUMBER(E458),ROUND(E458*'Reference data'!$B$2,0),"Unknown")</f>
        <v>100.0</v>
      </c>
      <c r="H458" s="5">
        <f>IF(ISNUMBER(F458),ROUND(F458*'Reference data'!$B$2,0),"Unknown")</f>
        <v>114.0</v>
      </c>
    </row>
    <row r="459" spans="1:13" ht="24" customHeight="1">
      <c r="A459" t="s">
        <v>293</v>
      </c>
      <c r="B459">
        <v>2</v>
      </c>
      <c r="C459" t="s">
        <v>129</v>
      </c>
      <c r="D459" s="1">
        <v>1</v>
      </c>
    </row>
    <row r="460" spans="1:13" ht="24" customHeight="1">
      <c r="A460" t="s">
        <v>293</v>
      </c>
      <c r="B460">
        <v>2</v>
      </c>
      <c r="C460" t="s">
        <v>130</v>
      </c>
      <c r="I460" s="6" t="s">
        <v>230</v>
      </c>
    </row>
    <row r="461" spans="1:13" ht="24" customHeight="1">
      <c r="A461" t="s">
        <v>293</v>
      </c>
      <c r="B461">
        <v>2</v>
      </c>
      <c r="C461" t="s">
        <v>134</v>
      </c>
      <c r="D461" s="1">
        <v>5699</v>
      </c>
    </row>
    <row r="462" spans="1:13" ht="24" customHeight="1">
      <c r="A462" t="s">
        <v>293</v>
      </c>
      <c r="B462">
        <v>2</v>
      </c>
      <c r="C462" t="s">
        <v>135</v>
      </c>
      <c r="D462" s="1">
        <v>5699</v>
      </c>
      <c r="L462" s="1">
        <v>5699</v>
      </c>
    </row>
    <row r="463" spans="1:13" s="4" customFormat="1" ht="24" customHeight="1">
      <c r="A463" s="4" t="s">
        <v>293</v>
      </c>
      <c r="B463" s="4">
        <v>2</v>
      </c>
      <c r="C463" s="4" t="s">
        <v>136</v>
      </c>
      <c r="D463" s="4">
        <v>74</v>
      </c>
    </row>
    <row r="464" spans="1:13" ht="24" customHeight="1">
      <c r="A464" t="s">
        <v>293</v>
      </c>
      <c r="B464">
        <v>2</v>
      </c>
      <c r="C464" t="s">
        <v>137</v>
      </c>
      <c r="D464" s="5">
        <v>74</v>
      </c>
      <c r="E464" s="2">
        <f>IF(AND(ISNUMBER(F464),ISNUMBER('Reference data'!$B$3)),F464*'Reference data'!$B$3,"Unknown")</f>
        <v>7.8120912e-05</v>
      </c>
      <c r="F464" s="2">
        <f>IF(D464=0,0,IF(ISNUMBER('Reference data'!E22),D464*'Reference data'!E22/1000000,"Unknown"))</f>
        <v>8.88e-05</v>
      </c>
      <c r="G464" s="5">
        <f>IF(ISNUMBER(E464),ROUND(E464*'Reference data'!$B$2,0),"Unknown")</f>
        <v>8.0</v>
      </c>
      <c r="H464" s="5">
        <f>IF(ISNUMBER(F464),ROUND(F464*'Reference data'!$B$2,0),"Unknown")</f>
        <v>9.0</v>
      </c>
    </row>
    <row r="465" spans="1:13" ht="60" customHeight="1">
      <c r="A465" t="s">
        <v>293</v>
      </c>
      <c r="B465">
        <v>2</v>
      </c>
      <c r="C465" t="s">
        <v>138</v>
      </c>
      <c r="I465" s="6" t="s">
        <v>231</v>
      </c>
    </row>
    <row r="466" spans="1:13" ht="24" customHeight="1">
      <c r="A466" t="s">
        <v>293</v>
      </c>
      <c r="B466">
        <v>2</v>
      </c>
      <c r="C466" t="s">
        <v>134</v>
      </c>
      <c r="D466" s="1">
        <v>74</v>
      </c>
    </row>
    <row r="467" spans="1:13" ht="24" customHeight="1">
      <c r="A467" t="s">
        <v>293</v>
      </c>
      <c r="B467">
        <v>2</v>
      </c>
      <c r="C467" t="s">
        <v>135</v>
      </c>
      <c r="D467" s="1">
        <v>74</v>
      </c>
      <c r="L467" s="1">
        <v>5773</v>
      </c>
    </row>
    <row r="468" spans="1:13" s="4" customFormat="1" ht="24" customHeight="1">
      <c r="A468" s="4" t="s">
        <v>293</v>
      </c>
      <c r="B468" s="4">
        <v>2</v>
      </c>
      <c r="C468" s="4" t="s">
        <v>140</v>
      </c>
      <c r="E468" s="2">
        <f>IF(COUNT('Turns'!E458,'Turns'!E464)=2,SUM('Turns'!E458,'Turns'!E464),"Unknown")</f>
        <v>0.001080848564</v>
      </c>
      <c r="F468" s="2">
        <f>IF(COUNT('Turns'!F458,'Turns'!F464)=2,SUM('Turns'!F458,'Turns'!F464),"Unknown")</f>
        <v>0.0012286</v>
      </c>
      <c r="G468" s="5">
        <f>IF(ISNUMBER(E468),ROUND(E468*'Reference data'!$B$2,0),"Unknown")</f>
        <v>108.0</v>
      </c>
      <c r="H468" s="5">
        <f>IF(ISNUMBER(F468),ROUND(F468*'Reference data'!$B$2,0),"Unknown")</f>
        <v>123.0</v>
      </c>
      <c r="K468" s="4" t="s">
        <v>141</v>
      </c>
    </row>
    <row r="469" spans="1:13" s="4" customFormat="1" ht="24" customHeight="1">
      <c r="A469" s="4" t="s">
        <v>295</v>
      </c>
      <c r="B469" s="4">
        <v>2</v>
      </c>
      <c r="C469" s="4" t="s">
        <v>125</v>
      </c>
      <c r="D469" s="4">
        <v>3163</v>
      </c>
      <c r="J469" s="4" t="s">
        <v>126</v>
      </c>
      <c r="M469" s="4" t="s">
        <v>296</v>
      </c>
    </row>
    <row r="470" spans="1:13" ht="24" customHeight="1">
      <c r="A470" t="s">
        <v>295</v>
      </c>
      <c r="B470">
        <v>2</v>
      </c>
      <c r="C470" t="s">
        <v>150</v>
      </c>
      <c r="D470" s="5">
        <v>0</v>
      </c>
      <c r="E470" s="2">
        <f>IF(AND(ISNUMBER(F470),ISNUMBER('Reference data'!$B$3)),F470*'Reference data'!$B$3,"Unknown")</f>
        <v>0.0</v>
      </c>
      <c r="F470" s="2">
        <f>IF(D470=0,0,IF(ISNUMBER('Reference data'!C22),D470*'Reference data'!C22/1000000,"Unknown"))</f>
        <v>0.0</v>
      </c>
      <c r="G470" s="5">
        <f>IF(ISNUMBER(E470),ROUND(E470*'Reference data'!$B$2,0),"Unknown")</f>
        <v>0.0</v>
      </c>
      <c r="H470" s="5">
        <f>IF(ISNUMBER(F470),ROUND(F470*'Reference data'!$B$2,0),"Unknown")</f>
        <v>0.0</v>
      </c>
    </row>
    <row r="471" spans="1:13" ht="24" customHeight="1">
      <c r="A471" t="s">
        <v>295</v>
      </c>
      <c r="B471">
        <v>2</v>
      </c>
      <c r="C471" t="s">
        <v>128</v>
      </c>
      <c r="D471" s="5">
        <v>3163</v>
      </c>
      <c r="E471" s="2">
        <f>IF(AND(ISNUMBER(F471),ISNUMBER('Reference data'!$B$3)),F471*'Reference data'!$B$3,"Unknown")</f>
        <v>0.000556523524</v>
      </c>
      <c r="F471" s="2">
        <f>IF(D471=0,0,IF(ISNUMBER('Reference data'!B22),D471*'Reference data'!B22/1000000,"Unknown"))</f>
        <v>0.0006326</v>
      </c>
      <c r="G471" s="5">
        <f>IF(ISNUMBER(E471),ROUND(E471*'Reference data'!$B$2,0),"Unknown")</f>
        <v>56.0</v>
      </c>
      <c r="H471" s="5">
        <f>IF(ISNUMBER(F471),ROUND(F471*'Reference data'!$B$2,0),"Unknown")</f>
        <v>63.0</v>
      </c>
    </row>
    <row r="472" spans="1:13" ht="409" customHeight="1">
      <c r="A472" t="s">
        <v>295</v>
      </c>
      <c r="B472">
        <v>2</v>
      </c>
      <c r="C472" t="s">
        <v>151</v>
      </c>
      <c r="D472" s="1">
        <v>786</v>
      </c>
      <c r="I472" s="6" t="s">
        <v>283</v>
      </c>
    </row>
    <row r="473" spans="1:13" ht="24" customHeight="1">
      <c r="A473" t="s">
        <v>295</v>
      </c>
      <c r="B473">
        <v>2</v>
      </c>
      <c r="C473" t="s">
        <v>134</v>
      </c>
      <c r="D473" s="1">
        <v>3163</v>
      </c>
    </row>
    <row r="474" spans="1:13" ht="24" customHeight="1">
      <c r="A474" t="s">
        <v>295</v>
      </c>
      <c r="B474">
        <v>2</v>
      </c>
      <c r="C474" t="s">
        <v>135</v>
      </c>
      <c r="D474" s="1">
        <v>3163</v>
      </c>
      <c r="L474" s="1">
        <v>3163</v>
      </c>
    </row>
    <row r="475" spans="1:13" s="4" customFormat="1" ht="24" customHeight="1">
      <c r="A475" s="4" t="s">
        <v>295</v>
      </c>
      <c r="B475" s="4">
        <v>2</v>
      </c>
      <c r="C475" s="4" t="s">
        <v>136</v>
      </c>
      <c r="D475" s="4">
        <v>104</v>
      </c>
    </row>
    <row r="476" spans="1:13" ht="24" customHeight="1">
      <c r="A476" t="s">
        <v>295</v>
      </c>
      <c r="B476">
        <v>2</v>
      </c>
      <c r="C476" t="s">
        <v>137</v>
      </c>
      <c r="D476" s="5">
        <v>104</v>
      </c>
      <c r="E476" s="2">
        <f>IF(AND(ISNUMBER(F476),ISNUMBER('Reference data'!$B$3)),F476*'Reference data'!$B$3,"Unknown")</f>
        <v>0.000109791552</v>
      </c>
      <c r="F476" s="2">
        <f>IF(D476=0,0,IF(ISNUMBER('Reference data'!E22),D476*'Reference data'!E22/1000000,"Unknown"))</f>
        <v>0.0001248</v>
      </c>
      <c r="G476" s="5">
        <f>IF(ISNUMBER(E476),ROUND(E476*'Reference data'!$B$2,0),"Unknown")</f>
        <v>11.0</v>
      </c>
      <c r="H476" s="5">
        <f>IF(ISNUMBER(F476),ROUND(F476*'Reference data'!$B$2,0),"Unknown")</f>
        <v>12.0</v>
      </c>
    </row>
    <row r="477" spans="1:13" ht="60" customHeight="1">
      <c r="A477" t="s">
        <v>295</v>
      </c>
      <c r="B477">
        <v>2</v>
      </c>
      <c r="C477" t="s">
        <v>138</v>
      </c>
      <c r="I477" s="6" t="s">
        <v>297</v>
      </c>
    </row>
    <row r="478" spans="1:13" ht="24" customHeight="1">
      <c r="A478" t="s">
        <v>295</v>
      </c>
      <c r="B478">
        <v>2</v>
      </c>
      <c r="C478" t="s">
        <v>134</v>
      </c>
      <c r="D478" s="1">
        <v>104</v>
      </c>
    </row>
    <row r="479" spans="1:13" ht="24" customHeight="1">
      <c r="A479" t="s">
        <v>295</v>
      </c>
      <c r="B479">
        <v>2</v>
      </c>
      <c r="C479" t="s">
        <v>135</v>
      </c>
      <c r="D479" s="1">
        <v>104</v>
      </c>
      <c r="L479" s="1">
        <v>3267</v>
      </c>
    </row>
    <row r="480" spans="1:13" s="4" customFormat="1" ht="24" customHeight="1">
      <c r="A480" s="4" t="s">
        <v>295</v>
      </c>
      <c r="B480" s="4">
        <v>2</v>
      </c>
      <c r="C480" s="4" t="s">
        <v>140</v>
      </c>
      <c r="E480" s="2">
        <f>IF(COUNT('Turns'!E470,'Turns'!E471,'Turns'!E476)=3,SUM('Turns'!E470,'Turns'!E471,'Turns'!E476),"Unknown")</f>
        <v>0.000666315076</v>
      </c>
      <c r="F480" s="2">
        <f>IF(COUNT('Turns'!F470,'Turns'!F471,'Turns'!F476)=3,SUM('Turns'!F470,'Turns'!F471,'Turns'!F476),"Unknown")</f>
        <v>0.0007574</v>
      </c>
      <c r="G480" s="5">
        <f>IF(ISNUMBER(E480),ROUND(E480*'Reference data'!$B$2,0),"Unknown")</f>
        <v>67.0</v>
      </c>
      <c r="H480" s="5">
        <f>IF(ISNUMBER(F480),ROUND(F480*'Reference data'!$B$2,0),"Unknown")</f>
        <v>76.0</v>
      </c>
      <c r="K480" s="4" t="s">
        <v>141</v>
      </c>
    </row>
    <row r="481" spans="1:13" s="4" customFormat="1" ht="24" customHeight="1">
      <c r="B481" s="4">
        <v>2</v>
      </c>
      <c r="C481" s="4" t="s">
        <v>192</v>
      </c>
      <c r="K481" s="4" t="s">
        <v>141</v>
      </c>
      <c r="M481" s="4" t="s">
        <v>298</v>
      </c>
    </row>
    <row r="482" spans="1:13" ht="47" customHeight="1">
      <c r="B482">
        <v>2</v>
      </c>
      <c r="C482" t="s">
        <v>144</v>
      </c>
      <c r="I482" s="6" t="s">
        <v>299</v>
      </c>
    </row>
    <row r="483" spans="1:13" ht="24" customHeight="1">
      <c r="B483">
        <v>2</v>
      </c>
      <c r="C483" t="s">
        <v>146</v>
      </c>
      <c r="I483" s="6" t="s">
        <v>222</v>
      </c>
    </row>
    <row r="484" spans="1:13" s="4" customFormat="1" ht="24" customHeight="1">
      <c r="A484" s="4" t="s">
        <v>300</v>
      </c>
      <c r="B484" s="4">
        <v>2</v>
      </c>
      <c r="C484" s="4" t="s">
        <v>125</v>
      </c>
      <c r="D484" s="4">
        <v>3309</v>
      </c>
      <c r="J484" s="4" t="s">
        <v>126</v>
      </c>
      <c r="M484" s="4" t="s">
        <v>301</v>
      </c>
    </row>
    <row r="485" spans="1:13" ht="24" customHeight="1">
      <c r="A485" t="s">
        <v>300</v>
      </c>
      <c r="B485">
        <v>2</v>
      </c>
      <c r="C485" t="s">
        <v>150</v>
      </c>
      <c r="D485" s="5">
        <v>0</v>
      </c>
      <c r="E485" s="2">
        <f>IF(AND(ISNUMBER(F485),ISNUMBER('Reference data'!$B$3)),F485*'Reference data'!$B$3,"Unknown")</f>
        <v>0.0</v>
      </c>
      <c r="F485" s="2">
        <f>IF(D485=0,0,IF(ISNUMBER('Reference data'!C22),D485*'Reference data'!C22/1000000,"Unknown"))</f>
        <v>0.0</v>
      </c>
      <c r="G485" s="5">
        <f>IF(ISNUMBER(E485),ROUND(E485*'Reference data'!$B$2,0),"Unknown")</f>
        <v>0.0</v>
      </c>
      <c r="H485" s="5">
        <f>IF(ISNUMBER(F485),ROUND(F485*'Reference data'!$B$2,0),"Unknown")</f>
        <v>0.0</v>
      </c>
    </row>
    <row r="486" spans="1:13" ht="24" customHeight="1">
      <c r="A486" t="s">
        <v>300</v>
      </c>
      <c r="B486">
        <v>2</v>
      </c>
      <c r="C486" t="s">
        <v>128</v>
      </c>
      <c r="D486" s="5">
        <v>3309</v>
      </c>
      <c r="E486" s="2">
        <f>IF(AND(ISNUMBER(F486),ISNUMBER('Reference data'!$B$3)),F486*'Reference data'!$B$3,"Unknown")</f>
        <v>0.000582211932</v>
      </c>
      <c r="F486" s="2">
        <f>IF(D486=0,0,IF(ISNUMBER('Reference data'!B22),D486*'Reference data'!B22/1000000,"Unknown"))</f>
        <v>0.0006618</v>
      </c>
      <c r="G486" s="5">
        <f>IF(ISNUMBER(E486),ROUND(E486*'Reference data'!$B$2,0),"Unknown")</f>
        <v>58.0</v>
      </c>
      <c r="H486" s="5">
        <f>IF(ISNUMBER(F486),ROUND(F486*'Reference data'!$B$2,0),"Unknown")</f>
        <v>66.0</v>
      </c>
    </row>
    <row r="487" spans="1:13" ht="24" customHeight="1">
      <c r="A487" t="s">
        <v>300</v>
      </c>
      <c r="B487">
        <v>2</v>
      </c>
      <c r="C487" t="s">
        <v>151</v>
      </c>
      <c r="D487" s="1">
        <v>42</v>
      </c>
      <c r="I487" s="6" t="s">
        <v>222</v>
      </c>
    </row>
    <row r="488" spans="1:13" ht="24" customHeight="1">
      <c r="A488" t="s">
        <v>300</v>
      </c>
      <c r="B488">
        <v>2</v>
      </c>
      <c r="C488" t="s">
        <v>134</v>
      </c>
      <c r="D488" s="1">
        <v>3309</v>
      </c>
    </row>
    <row r="489" spans="1:13" ht="24" customHeight="1">
      <c r="A489" t="s">
        <v>300</v>
      </c>
      <c r="B489">
        <v>2</v>
      </c>
      <c r="C489" t="s">
        <v>135</v>
      </c>
      <c r="D489" s="1">
        <v>3309</v>
      </c>
      <c r="L489" s="1">
        <v>3309</v>
      </c>
    </row>
    <row r="490" spans="1:13" s="4" customFormat="1" ht="24" customHeight="1">
      <c r="A490" s="4" t="s">
        <v>300</v>
      </c>
      <c r="B490" s="4">
        <v>2</v>
      </c>
      <c r="C490" s="4" t="s">
        <v>136</v>
      </c>
      <c r="D490" s="4">
        <v>75</v>
      </c>
    </row>
    <row r="491" spans="1:13" ht="24" customHeight="1">
      <c r="A491" t="s">
        <v>300</v>
      </c>
      <c r="B491">
        <v>2</v>
      </c>
      <c r="C491" t="s">
        <v>137</v>
      </c>
      <c r="D491" s="5">
        <v>75</v>
      </c>
      <c r="E491" s="2">
        <f>IF(AND(ISNUMBER(F491),ISNUMBER('Reference data'!$B$3)),F491*'Reference data'!$B$3,"Unknown")</f>
        <v>7.91766e-05</v>
      </c>
      <c r="F491" s="2">
        <f>IF(D491=0,0,IF(ISNUMBER('Reference data'!E22),D491*'Reference data'!E22/1000000,"Unknown"))</f>
        <v>9e-05</v>
      </c>
      <c r="G491" s="5">
        <f>IF(ISNUMBER(E491),ROUND(E491*'Reference data'!$B$2,0),"Unknown")</f>
        <v>8.0</v>
      </c>
      <c r="H491" s="5">
        <f>IF(ISNUMBER(F491),ROUND(F491*'Reference data'!$B$2,0),"Unknown")</f>
        <v>9.0</v>
      </c>
    </row>
    <row r="492" spans="1:13" ht="47" customHeight="1">
      <c r="A492" t="s">
        <v>300</v>
      </c>
      <c r="B492">
        <v>2</v>
      </c>
      <c r="C492" t="s">
        <v>138</v>
      </c>
      <c r="I492" s="6" t="s">
        <v>302</v>
      </c>
    </row>
    <row r="493" spans="1:13" ht="24" customHeight="1">
      <c r="A493" t="s">
        <v>300</v>
      </c>
      <c r="B493">
        <v>2</v>
      </c>
      <c r="C493" t="s">
        <v>134</v>
      </c>
      <c r="D493" s="1">
        <v>75</v>
      </c>
    </row>
    <row r="494" spans="1:13" ht="24" customHeight="1">
      <c r="A494" t="s">
        <v>300</v>
      </c>
      <c r="B494">
        <v>2</v>
      </c>
      <c r="C494" t="s">
        <v>135</v>
      </c>
      <c r="D494" s="1">
        <v>75</v>
      </c>
      <c r="L494" s="1">
        <v>3384</v>
      </c>
    </row>
    <row r="495" spans="1:13" s="4" customFormat="1" ht="24" customHeight="1">
      <c r="A495" s="4" t="s">
        <v>300</v>
      </c>
      <c r="B495" s="4">
        <v>2</v>
      </c>
      <c r="C495" s="4" t="s">
        <v>140</v>
      </c>
      <c r="E495" s="2">
        <f>IF(COUNT('Turns'!E485,'Turns'!E486,'Turns'!E491)=3,SUM('Turns'!E485,'Turns'!E486,'Turns'!E491),"Unknown")</f>
        <v>0.000661388532</v>
      </c>
      <c r="F495" s="2">
        <f>IF(COUNT('Turns'!F485,'Turns'!F486,'Turns'!F491)=3,SUM('Turns'!F485,'Turns'!F486,'Turns'!F491),"Unknown")</f>
        <v>0.0007518</v>
      </c>
      <c r="G495" s="5">
        <f>IF(ISNUMBER(E495),ROUND(E495*'Reference data'!$B$2,0),"Unknown")</f>
        <v>66.0</v>
      </c>
      <c r="H495" s="5">
        <f>IF(ISNUMBER(F495),ROUND(F495*'Reference data'!$B$2,0),"Unknown")</f>
        <v>75.0</v>
      </c>
      <c r="K495" s="4" t="s">
        <v>141</v>
      </c>
    </row>
    <row r="496" spans="1:13" s="4" customFormat="1" ht="24" customHeight="1">
      <c r="A496" s="4" t="s">
        <v>303</v>
      </c>
      <c r="B496" s="4">
        <v>2</v>
      </c>
      <c r="C496" s="4" t="s">
        <v>125</v>
      </c>
      <c r="D496" s="4">
        <v>3852</v>
      </c>
      <c r="J496" s="4" t="s">
        <v>126</v>
      </c>
      <c r="M496" s="4" t="s">
        <v>304</v>
      </c>
    </row>
    <row r="497" spans="1:13" ht="24" customHeight="1">
      <c r="A497" t="s">
        <v>303</v>
      </c>
      <c r="B497">
        <v>2</v>
      </c>
      <c r="C497" t="s">
        <v>150</v>
      </c>
      <c r="D497" s="5">
        <v>0</v>
      </c>
      <c r="E497" s="2">
        <f>IF(AND(ISNUMBER(F497),ISNUMBER('Reference data'!$B$3)),F497*'Reference data'!$B$3,"Unknown")</f>
        <v>0.0</v>
      </c>
      <c r="F497" s="2">
        <f>IF(D497=0,0,IF(ISNUMBER('Reference data'!C22),D497*'Reference data'!C22/1000000,"Unknown"))</f>
        <v>0.0</v>
      </c>
      <c r="G497" s="5">
        <f>IF(ISNUMBER(E497),ROUND(E497*'Reference data'!$B$2,0),"Unknown")</f>
        <v>0.0</v>
      </c>
      <c r="H497" s="5">
        <f>IF(ISNUMBER(F497),ROUND(F497*'Reference data'!$B$2,0),"Unknown")</f>
        <v>0.0</v>
      </c>
    </row>
    <row r="498" spans="1:13" ht="24" customHeight="1">
      <c r="A498" t="s">
        <v>303</v>
      </c>
      <c r="B498">
        <v>2</v>
      </c>
      <c r="C498" t="s">
        <v>128</v>
      </c>
      <c r="D498" s="5">
        <v>3852</v>
      </c>
      <c r="E498" s="2">
        <f>IF(AND(ISNUMBER(F498),ISNUMBER('Reference data'!$B$3)),F498*'Reference data'!$B$3,"Unknown")</f>
        <v>0.000677751696</v>
      </c>
      <c r="F498" s="2">
        <f>IF(D498=0,0,IF(ISNUMBER('Reference data'!B22),D498*'Reference data'!B22/1000000,"Unknown"))</f>
        <v>0.0007704</v>
      </c>
      <c r="G498" s="5">
        <f>IF(ISNUMBER(E498),ROUND(E498*'Reference data'!$B$2,0),"Unknown")</f>
        <v>68.0</v>
      </c>
      <c r="H498" s="5">
        <f>IF(ISNUMBER(F498),ROUND(F498*'Reference data'!$B$2,0),"Unknown")</f>
        <v>77.0</v>
      </c>
    </row>
    <row r="499" spans="1:13" ht="409" customHeight="1">
      <c r="A499" t="s">
        <v>303</v>
      </c>
      <c r="B499">
        <v>2</v>
      </c>
      <c r="C499" t="s">
        <v>151</v>
      </c>
      <c r="D499" s="1">
        <v>828</v>
      </c>
      <c r="I499" s="6" t="s">
        <v>305</v>
      </c>
    </row>
    <row r="500" spans="1:13" ht="24" customHeight="1">
      <c r="A500" t="s">
        <v>303</v>
      </c>
      <c r="B500">
        <v>2</v>
      </c>
      <c r="C500" t="s">
        <v>134</v>
      </c>
      <c r="D500" s="1">
        <v>3852</v>
      </c>
    </row>
    <row r="501" spans="1:13" ht="24" customHeight="1">
      <c r="A501" t="s">
        <v>303</v>
      </c>
      <c r="B501">
        <v>2</v>
      </c>
      <c r="C501" t="s">
        <v>135</v>
      </c>
      <c r="D501" s="1">
        <v>3852</v>
      </c>
      <c r="L501" s="1">
        <v>3852</v>
      </c>
    </row>
    <row r="502" spans="1:13" s="4" customFormat="1" ht="24" customHeight="1">
      <c r="A502" s="4" t="s">
        <v>303</v>
      </c>
      <c r="B502" s="4">
        <v>2</v>
      </c>
      <c r="C502" s="4" t="s">
        <v>136</v>
      </c>
      <c r="D502" s="4">
        <v>56</v>
      </c>
    </row>
    <row r="503" spans="1:13" ht="24" customHeight="1">
      <c r="A503" t="s">
        <v>303</v>
      </c>
      <c r="B503">
        <v>2</v>
      </c>
      <c r="C503" t="s">
        <v>137</v>
      </c>
      <c r="D503" s="5">
        <v>56</v>
      </c>
      <c r="E503" s="2">
        <f>IF(AND(ISNUMBER(F503),ISNUMBER('Reference data'!$B$3)),F503*'Reference data'!$B$3,"Unknown")</f>
        <v>5.9118528e-05</v>
      </c>
      <c r="F503" s="2">
        <f>IF(D503=0,0,IF(ISNUMBER('Reference data'!E22),D503*'Reference data'!E22/1000000,"Unknown"))</f>
        <v>6.72e-05</v>
      </c>
      <c r="G503" s="5">
        <f>IF(ISNUMBER(E503),ROUND(E503*'Reference data'!$B$2,0),"Unknown")</f>
        <v>6.0</v>
      </c>
      <c r="H503" s="5">
        <f>IF(ISNUMBER(F503),ROUND(F503*'Reference data'!$B$2,0),"Unknown")</f>
        <v>7.0</v>
      </c>
    </row>
    <row r="504" spans="1:13" ht="34" customHeight="1">
      <c r="A504" t="s">
        <v>303</v>
      </c>
      <c r="B504">
        <v>2</v>
      </c>
      <c r="C504" t="s">
        <v>138</v>
      </c>
      <c r="I504" s="6" t="s">
        <v>306</v>
      </c>
    </row>
    <row r="505" spans="1:13" ht="24" customHeight="1">
      <c r="A505" t="s">
        <v>303</v>
      </c>
      <c r="B505">
        <v>2</v>
      </c>
      <c r="C505" t="s">
        <v>134</v>
      </c>
      <c r="D505" s="1">
        <v>56</v>
      </c>
    </row>
    <row r="506" spans="1:13" ht="24" customHeight="1">
      <c r="A506" t="s">
        <v>303</v>
      </c>
      <c r="B506">
        <v>2</v>
      </c>
      <c r="C506" t="s">
        <v>135</v>
      </c>
      <c r="D506" s="1">
        <v>56</v>
      </c>
      <c r="L506" s="1">
        <v>3908</v>
      </c>
    </row>
    <row r="507" spans="1:13" s="4" customFormat="1" ht="24" customHeight="1">
      <c r="A507" s="4" t="s">
        <v>303</v>
      </c>
      <c r="B507" s="4">
        <v>2</v>
      </c>
      <c r="C507" s="4" t="s">
        <v>140</v>
      </c>
      <c r="E507" s="2">
        <f>IF(COUNT('Turns'!E497,'Turns'!E498,'Turns'!E503)=3,SUM('Turns'!E497,'Turns'!E498,'Turns'!E503),"Unknown")</f>
        <v>0.000736870224</v>
      </c>
      <c r="F507" s="2">
        <f>IF(COUNT('Turns'!F497,'Turns'!F498,'Turns'!F503)=3,SUM('Turns'!F497,'Turns'!F498,'Turns'!F503),"Unknown")</f>
        <v>0.0008376</v>
      </c>
      <c r="G507" s="5">
        <f>IF(ISNUMBER(E507),ROUND(E507*'Reference data'!$B$2,0),"Unknown")</f>
        <v>74.0</v>
      </c>
      <c r="H507" s="5">
        <f>IF(ISNUMBER(F507),ROUND(F507*'Reference data'!$B$2,0),"Unknown")</f>
        <v>84.0</v>
      </c>
      <c r="K507" s="4" t="s">
        <v>141</v>
      </c>
    </row>
    <row r="508" spans="1:13" s="4" customFormat="1" ht="24" customHeight="1">
      <c r="B508" s="4">
        <v>2</v>
      </c>
      <c r="C508" s="4" t="s">
        <v>157</v>
      </c>
      <c r="K508" s="4" t="s">
        <v>141</v>
      </c>
      <c r="M508" s="4" t="s">
        <v>307</v>
      </c>
    </row>
    <row r="509" spans="1:13" ht="24" customHeight="1">
      <c r="B509">
        <v>2</v>
      </c>
      <c r="C509" t="s">
        <v>144</v>
      </c>
      <c r="I509" s="6" t="s">
        <v>159</v>
      </c>
    </row>
    <row r="510" spans="1:13" ht="409" customHeight="1">
      <c r="B510">
        <v>2</v>
      </c>
      <c r="C510" t="s">
        <v>146</v>
      </c>
      <c r="I510" s="6" t="s">
        <v>308</v>
      </c>
    </row>
    <row r="511" spans="1:13" s="4" customFormat="1" ht="24" customHeight="1">
      <c r="A511" s="4" t="s">
        <v>309</v>
      </c>
      <c r="B511" s="4">
        <v>2</v>
      </c>
      <c r="C511" s="4" t="s">
        <v>125</v>
      </c>
      <c r="D511" s="4">
        <v>4725</v>
      </c>
      <c r="J511" s="4" t="s">
        <v>126</v>
      </c>
      <c r="M511" s="4" t="s">
        <v>310</v>
      </c>
    </row>
    <row r="512" spans="1:13" ht="24" customHeight="1">
      <c r="A512" t="s">
        <v>309</v>
      </c>
      <c r="B512">
        <v>2</v>
      </c>
      <c r="C512" t="s">
        <v>150</v>
      </c>
      <c r="D512" s="5">
        <v>0</v>
      </c>
      <c r="E512" s="2">
        <f>IF(AND(ISNUMBER(F512),ISNUMBER('Reference data'!$B$3)),F512*'Reference data'!$B$3,"Unknown")</f>
        <v>0.0</v>
      </c>
      <c r="F512" s="2">
        <f>IF(D512=0,0,IF(ISNUMBER('Reference data'!C22),D512*'Reference data'!C22/1000000,"Unknown"))</f>
        <v>0.0</v>
      </c>
      <c r="G512" s="5">
        <f>IF(ISNUMBER(E512),ROUND(E512*'Reference data'!$B$2,0),"Unknown")</f>
        <v>0.0</v>
      </c>
      <c r="H512" s="5">
        <f>IF(ISNUMBER(F512),ROUND(F512*'Reference data'!$B$2,0),"Unknown")</f>
        <v>0.0</v>
      </c>
    </row>
    <row r="513" spans="1:13" ht="24" customHeight="1">
      <c r="A513" t="s">
        <v>309</v>
      </c>
      <c r="B513">
        <v>2</v>
      </c>
      <c r="C513" t="s">
        <v>128</v>
      </c>
      <c r="D513" s="5">
        <v>4725</v>
      </c>
      <c r="E513" s="2">
        <f>IF(AND(ISNUMBER(F513),ISNUMBER('Reference data'!$B$3)),F513*'Reference data'!$B$3,"Unknown")</f>
        <v>0.0008313543</v>
      </c>
      <c r="F513" s="2">
        <f>IF(D513=0,0,IF(ISNUMBER('Reference data'!B22),D513*'Reference data'!B22/1000000,"Unknown"))</f>
        <v>0.000945</v>
      </c>
      <c r="G513" s="5">
        <f>IF(ISNUMBER(E513),ROUND(E513*'Reference data'!$B$2,0),"Unknown")</f>
        <v>83.0</v>
      </c>
      <c r="H513" s="5">
        <f>IF(ISNUMBER(F513),ROUND(F513*'Reference data'!$B$2,0),"Unknown")</f>
        <v>95.0</v>
      </c>
    </row>
    <row r="514" spans="1:13" ht="409" customHeight="1">
      <c r="A514" t="s">
        <v>309</v>
      </c>
      <c r="B514">
        <v>2</v>
      </c>
      <c r="C514" t="s">
        <v>151</v>
      </c>
      <c r="D514" s="1">
        <v>817</v>
      </c>
      <c r="I514" s="6" t="s">
        <v>308</v>
      </c>
    </row>
    <row r="515" spans="1:13" ht="24" customHeight="1">
      <c r="A515" t="s">
        <v>309</v>
      </c>
      <c r="B515">
        <v>2</v>
      </c>
      <c r="C515" t="s">
        <v>134</v>
      </c>
      <c r="D515" s="1">
        <v>4725</v>
      </c>
    </row>
    <row r="516" spans="1:13" ht="24" customHeight="1">
      <c r="A516" t="s">
        <v>309</v>
      </c>
      <c r="B516">
        <v>2</v>
      </c>
      <c r="C516" t="s">
        <v>135</v>
      </c>
      <c r="D516" s="1">
        <v>4725</v>
      </c>
      <c r="L516" s="1">
        <v>4725</v>
      </c>
    </row>
    <row r="517" spans="1:13" s="4" customFormat="1" ht="24" customHeight="1">
      <c r="A517" s="4" t="s">
        <v>309</v>
      </c>
      <c r="B517" s="4">
        <v>2</v>
      </c>
      <c r="C517" s="4" t="s">
        <v>136</v>
      </c>
      <c r="D517" s="4">
        <v>57</v>
      </c>
    </row>
    <row r="518" spans="1:13" ht="24" customHeight="1">
      <c r="A518" t="s">
        <v>309</v>
      </c>
      <c r="B518">
        <v>2</v>
      </c>
      <c r="C518" t="s">
        <v>137</v>
      </c>
      <c r="D518" s="5">
        <v>57</v>
      </c>
      <c r="E518" s="2">
        <f>IF(AND(ISNUMBER(F518),ISNUMBER('Reference data'!$B$3)),F518*'Reference data'!$B$3,"Unknown")</f>
        <v>6.0174216e-05</v>
      </c>
      <c r="F518" s="2">
        <f>IF(D518=0,0,IF(ISNUMBER('Reference data'!E22),D518*'Reference data'!E22/1000000,"Unknown"))</f>
        <v>6.84e-05</v>
      </c>
      <c r="G518" s="5">
        <f>IF(ISNUMBER(E518),ROUND(E518*'Reference data'!$B$2,0),"Unknown")</f>
        <v>6.0</v>
      </c>
      <c r="H518" s="5">
        <f>IF(ISNUMBER(F518),ROUND(F518*'Reference data'!$B$2,0),"Unknown")</f>
        <v>7.0</v>
      </c>
    </row>
    <row r="519" spans="1:13" ht="34" customHeight="1">
      <c r="A519" t="s">
        <v>309</v>
      </c>
      <c r="B519">
        <v>2</v>
      </c>
      <c r="C519" t="s">
        <v>138</v>
      </c>
      <c r="I519" s="6" t="s">
        <v>311</v>
      </c>
    </row>
    <row r="520" spans="1:13" ht="24" customHeight="1">
      <c r="A520" t="s">
        <v>309</v>
      </c>
      <c r="B520">
        <v>2</v>
      </c>
      <c r="C520" t="s">
        <v>134</v>
      </c>
      <c r="D520" s="1">
        <v>57</v>
      </c>
    </row>
    <row r="521" spans="1:13" ht="24" customHeight="1">
      <c r="A521" t="s">
        <v>309</v>
      </c>
      <c r="B521">
        <v>2</v>
      </c>
      <c r="C521" t="s">
        <v>135</v>
      </c>
      <c r="D521" s="1">
        <v>57</v>
      </c>
      <c r="L521" s="1">
        <v>4782</v>
      </c>
    </row>
    <row r="522" spans="1:13" s="4" customFormat="1" ht="24" customHeight="1">
      <c r="A522" s="4" t="s">
        <v>309</v>
      </c>
      <c r="B522" s="4">
        <v>2</v>
      </c>
      <c r="C522" s="4" t="s">
        <v>140</v>
      </c>
      <c r="E522" s="2">
        <f>IF(COUNT('Turns'!E512,'Turns'!E513,'Turns'!E518)=3,SUM('Turns'!E512,'Turns'!E513,'Turns'!E518),"Unknown")</f>
        <v>0.000891528516</v>
      </c>
      <c r="F522" s="2">
        <f>IF(COUNT('Turns'!F512,'Turns'!F513,'Turns'!F518)=3,SUM('Turns'!F512,'Turns'!F513,'Turns'!F518),"Unknown")</f>
        <v>0.0010134</v>
      </c>
      <c r="G522" s="5">
        <f>IF(ISNUMBER(E522),ROUND(E522*'Reference data'!$B$2,0),"Unknown")</f>
        <v>89.0</v>
      </c>
      <c r="H522" s="5">
        <f>IF(ISNUMBER(F522),ROUND(F522*'Reference data'!$B$2,0),"Unknown")</f>
        <v>101.0</v>
      </c>
      <c r="K522" s="4" t="s">
        <v>141</v>
      </c>
    </row>
    <row r="523" spans="1:13" s="4" customFormat="1" ht="24" customHeight="1">
      <c r="B523" s="4">
        <v>2</v>
      </c>
      <c r="C523" s="4" t="s">
        <v>157</v>
      </c>
      <c r="K523" s="4" t="s">
        <v>141</v>
      </c>
      <c r="M523" s="4" t="s">
        <v>312</v>
      </c>
    </row>
    <row r="524" spans="1:13" ht="24" customHeight="1">
      <c r="B524">
        <v>2</v>
      </c>
      <c r="C524" t="s">
        <v>144</v>
      </c>
      <c r="I524" s="6" t="s">
        <v>264</v>
      </c>
    </row>
    <row r="525" spans="1:13" ht="409" customHeight="1">
      <c r="B525">
        <v>2</v>
      </c>
      <c r="C525" t="s">
        <v>146</v>
      </c>
      <c r="I525" s="6" t="s">
        <v>265</v>
      </c>
    </row>
    <row r="526" spans="1:13" s="4" customFormat="1" ht="24" customHeight="1">
      <c r="A526" s="4" t="s">
        <v>313</v>
      </c>
      <c r="B526" s="4">
        <v>2</v>
      </c>
      <c r="C526" s="4" t="s">
        <v>125</v>
      </c>
      <c r="D526" s="4">
        <v>5067</v>
      </c>
      <c r="J526" s="4" t="s">
        <v>126</v>
      </c>
      <c r="M526" s="4" t="s">
        <v>314</v>
      </c>
    </row>
    <row r="527" spans="1:13" ht="24" customHeight="1">
      <c r="A527" t="s">
        <v>313</v>
      </c>
      <c r="B527">
        <v>2</v>
      </c>
      <c r="C527" t="s">
        <v>150</v>
      </c>
      <c r="D527" s="5">
        <v>0</v>
      </c>
      <c r="E527" s="2">
        <f>IF(AND(ISNUMBER(F527),ISNUMBER('Reference data'!$B$3)),F527*'Reference data'!$B$3,"Unknown")</f>
        <v>0.0</v>
      </c>
      <c r="F527" s="2">
        <f>IF(D527=0,0,IF(ISNUMBER('Reference data'!C22),D527*'Reference data'!C22/1000000,"Unknown"))</f>
        <v>0.0</v>
      </c>
      <c r="G527" s="5">
        <f>IF(ISNUMBER(E527),ROUND(E527*'Reference data'!$B$2,0),"Unknown")</f>
        <v>0.0</v>
      </c>
      <c r="H527" s="5">
        <f>IF(ISNUMBER(F527),ROUND(F527*'Reference data'!$B$2,0),"Unknown")</f>
        <v>0.0</v>
      </c>
    </row>
    <row r="528" spans="1:13" ht="24" customHeight="1">
      <c r="A528" t="s">
        <v>313</v>
      </c>
      <c r="B528">
        <v>2</v>
      </c>
      <c r="C528" t="s">
        <v>128</v>
      </c>
      <c r="D528" s="5">
        <v>5067</v>
      </c>
      <c r="E528" s="2">
        <f>IF(AND(ISNUMBER(F528),ISNUMBER('Reference data'!$B$3)),F528*'Reference data'!$B$3,"Unknown")</f>
        <v>0.000891528516</v>
      </c>
      <c r="F528" s="2">
        <f>IF(D528=0,0,IF(ISNUMBER('Reference data'!B22),D528*'Reference data'!B22/1000000,"Unknown"))</f>
        <v>0.0010134</v>
      </c>
      <c r="G528" s="5">
        <f>IF(ISNUMBER(E528),ROUND(E528*'Reference data'!$B$2,0),"Unknown")</f>
        <v>89.0</v>
      </c>
      <c r="H528" s="5">
        <f>IF(ISNUMBER(F528),ROUND(F528*'Reference data'!$B$2,0),"Unknown")</f>
        <v>101.0</v>
      </c>
    </row>
    <row r="529" spans="1:13" ht="409" customHeight="1">
      <c r="A529" t="s">
        <v>313</v>
      </c>
      <c r="B529">
        <v>2</v>
      </c>
      <c r="C529" t="s">
        <v>151</v>
      </c>
      <c r="D529" s="1">
        <v>285</v>
      </c>
      <c r="I529" s="6" t="s">
        <v>265</v>
      </c>
    </row>
    <row r="530" spans="1:13" ht="24" customHeight="1">
      <c r="A530" t="s">
        <v>313</v>
      </c>
      <c r="B530">
        <v>2</v>
      </c>
      <c r="C530" t="s">
        <v>134</v>
      </c>
      <c r="D530" s="1">
        <v>5067</v>
      </c>
    </row>
    <row r="531" spans="1:13" ht="24" customHeight="1">
      <c r="A531" t="s">
        <v>313</v>
      </c>
      <c r="B531">
        <v>2</v>
      </c>
      <c r="C531" t="s">
        <v>135</v>
      </c>
      <c r="D531" s="1">
        <v>5067</v>
      </c>
      <c r="L531" s="1">
        <v>5067</v>
      </c>
    </row>
    <row r="532" spans="1:13" s="4" customFormat="1" ht="24" customHeight="1">
      <c r="A532" s="4" t="s">
        <v>313</v>
      </c>
      <c r="B532" s="4">
        <v>2</v>
      </c>
      <c r="C532" s="4" t="s">
        <v>136</v>
      </c>
      <c r="D532" s="4">
        <v>144</v>
      </c>
    </row>
    <row r="533" spans="1:13" ht="24" customHeight="1">
      <c r="A533" t="s">
        <v>313</v>
      </c>
      <c r="B533">
        <v>2</v>
      </c>
      <c r="C533" t="s">
        <v>137</v>
      </c>
      <c r="D533" s="5">
        <v>144</v>
      </c>
      <c r="E533" s="2">
        <f>IF(AND(ISNUMBER(F533),ISNUMBER('Reference data'!$B$3)),F533*'Reference data'!$B$3,"Unknown")</f>
        <v>0.000152019072</v>
      </c>
      <c r="F533" s="2">
        <f>IF(D533=0,0,IF(ISNUMBER('Reference data'!E22),D533*'Reference data'!E22/1000000,"Unknown"))</f>
        <v>0.0001728</v>
      </c>
      <c r="G533" s="5">
        <f>IF(ISNUMBER(E533),ROUND(E533*'Reference data'!$B$2,0),"Unknown")</f>
        <v>15.0</v>
      </c>
      <c r="H533" s="5">
        <f>IF(ISNUMBER(F533),ROUND(F533*'Reference data'!$B$2,0),"Unknown")</f>
        <v>17.0</v>
      </c>
    </row>
    <row r="534" spans="1:13" ht="73" customHeight="1">
      <c r="A534" t="s">
        <v>313</v>
      </c>
      <c r="B534">
        <v>2</v>
      </c>
      <c r="C534" t="s">
        <v>138</v>
      </c>
      <c r="I534" s="6" t="s">
        <v>315</v>
      </c>
    </row>
    <row r="535" spans="1:13" ht="24" customHeight="1">
      <c r="A535" t="s">
        <v>313</v>
      </c>
      <c r="B535">
        <v>2</v>
      </c>
      <c r="C535" t="s">
        <v>134</v>
      </c>
      <c r="D535" s="1">
        <v>144</v>
      </c>
    </row>
    <row r="536" spans="1:13" ht="24" customHeight="1">
      <c r="A536" t="s">
        <v>313</v>
      </c>
      <c r="B536">
        <v>2</v>
      </c>
      <c r="C536" t="s">
        <v>135</v>
      </c>
      <c r="D536" s="1">
        <v>144</v>
      </c>
      <c r="L536" s="1">
        <v>5211</v>
      </c>
    </row>
    <row r="537" spans="1:13" s="4" customFormat="1" ht="24" customHeight="1">
      <c r="A537" s="4" t="s">
        <v>313</v>
      </c>
      <c r="B537" s="4">
        <v>2</v>
      </c>
      <c r="C537" s="4" t="s">
        <v>140</v>
      </c>
      <c r="E537" s="2">
        <f>IF(COUNT('Turns'!E527,'Turns'!E528,'Turns'!E533)=3,SUM('Turns'!E527,'Turns'!E528,'Turns'!E533),"Unknown")</f>
        <v>0.001043547588</v>
      </c>
      <c r="F537" s="2">
        <f>IF(COUNT('Turns'!F527,'Turns'!F528,'Turns'!F533)=3,SUM('Turns'!F527,'Turns'!F528,'Turns'!F533),"Unknown")</f>
        <v>0.0011862</v>
      </c>
      <c r="G537" s="5">
        <f>IF(ISNUMBER(E537),ROUND(E537*'Reference data'!$B$2,0),"Unknown")</f>
        <v>104.0</v>
      </c>
      <c r="H537" s="5">
        <f>IF(ISNUMBER(F537),ROUND(F537*'Reference data'!$B$2,0),"Unknown")</f>
        <v>119.0</v>
      </c>
      <c r="K537" s="4" t="s">
        <v>141</v>
      </c>
    </row>
    <row r="538" spans="1:13" s="4" customFormat="1" ht="24" customHeight="1">
      <c r="B538" s="4">
        <v>2</v>
      </c>
      <c r="C538" s="4" t="s">
        <v>192</v>
      </c>
      <c r="K538" s="4" t="s">
        <v>141</v>
      </c>
      <c r="M538" s="4" t="s">
        <v>316</v>
      </c>
    </row>
    <row r="539" spans="1:13" ht="60" customHeight="1">
      <c r="B539">
        <v>2</v>
      </c>
      <c r="C539" t="s">
        <v>144</v>
      </c>
      <c r="I539" s="6" t="s">
        <v>317</v>
      </c>
    </row>
    <row r="540" spans="1:13" ht="24" customHeight="1">
      <c r="B540">
        <v>2</v>
      </c>
      <c r="C540" t="s">
        <v>146</v>
      </c>
      <c r="I540" s="6" t="s">
        <v>318</v>
      </c>
    </row>
    <row r="541" spans="1:13" s="4" customFormat="1" ht="24" customHeight="1">
      <c r="A541" s="4" t="s">
        <v>319</v>
      </c>
      <c r="B541" s="4">
        <v>2</v>
      </c>
      <c r="C541" s="4" t="s">
        <v>125</v>
      </c>
      <c r="D541" s="4">
        <v>5254</v>
      </c>
      <c r="J541" s="4" t="s">
        <v>126</v>
      </c>
      <c r="M541" s="4" t="s">
        <v>320</v>
      </c>
    </row>
    <row r="542" spans="1:13" ht="24" customHeight="1">
      <c r="A542" t="s">
        <v>319</v>
      </c>
      <c r="B542">
        <v>2</v>
      </c>
      <c r="C542" t="s">
        <v>150</v>
      </c>
      <c r="D542" s="5">
        <v>0</v>
      </c>
      <c r="E542" s="2">
        <f>IF(AND(ISNUMBER(F542),ISNUMBER('Reference data'!$B$3)),F542*'Reference data'!$B$3,"Unknown")</f>
        <v>0.0</v>
      </c>
      <c r="F542" s="2">
        <f>IF(D542=0,0,IF(ISNUMBER('Reference data'!C22),D542*'Reference data'!C22/1000000,"Unknown"))</f>
        <v>0.0</v>
      </c>
      <c r="G542" s="5">
        <f>IF(ISNUMBER(E542),ROUND(E542*'Reference data'!$B$2,0),"Unknown")</f>
        <v>0.0</v>
      </c>
      <c r="H542" s="5">
        <f>IF(ISNUMBER(F542),ROUND(F542*'Reference data'!$B$2,0),"Unknown")</f>
        <v>0.0</v>
      </c>
    </row>
    <row r="543" spans="1:13" ht="24" customHeight="1">
      <c r="A543" t="s">
        <v>319</v>
      </c>
      <c r="B543">
        <v>2</v>
      </c>
      <c r="C543" t="s">
        <v>128</v>
      </c>
      <c r="D543" s="5">
        <v>5254</v>
      </c>
      <c r="E543" s="2">
        <f>IF(AND(ISNUMBER(F543),ISNUMBER('Reference data'!$B$3)),F543*'Reference data'!$B$3,"Unknown")</f>
        <v>0.000924430792</v>
      </c>
      <c r="F543" s="2">
        <f>IF(D543=0,0,IF(ISNUMBER('Reference data'!B22),D543*'Reference data'!B22/1000000,"Unknown"))</f>
        <v>0.0010508</v>
      </c>
      <c r="G543" s="5">
        <f>IF(ISNUMBER(E543),ROUND(E543*'Reference data'!$B$2,0),"Unknown")</f>
        <v>92.0</v>
      </c>
      <c r="H543" s="5">
        <f>IF(ISNUMBER(F543),ROUND(F543*'Reference data'!$B$2,0),"Unknown")</f>
        <v>105.0</v>
      </c>
    </row>
    <row r="544" spans="1:13" ht="24" customHeight="1">
      <c r="A544" t="s">
        <v>319</v>
      </c>
      <c r="B544">
        <v>2</v>
      </c>
      <c r="C544" t="s">
        <v>151</v>
      </c>
      <c r="D544" s="1">
        <v>43</v>
      </c>
      <c r="I544" s="6" t="s">
        <v>318</v>
      </c>
    </row>
    <row r="545" spans="1:13" ht="24" customHeight="1">
      <c r="A545" t="s">
        <v>319</v>
      </c>
      <c r="B545">
        <v>2</v>
      </c>
      <c r="C545" t="s">
        <v>134</v>
      </c>
      <c r="D545" s="1">
        <v>5254</v>
      </c>
    </row>
    <row r="546" spans="1:13" ht="24" customHeight="1">
      <c r="A546" t="s">
        <v>319</v>
      </c>
      <c r="B546">
        <v>2</v>
      </c>
      <c r="C546" t="s">
        <v>135</v>
      </c>
      <c r="D546" s="1">
        <v>5254</v>
      </c>
      <c r="L546" s="1">
        <v>5254</v>
      </c>
    </row>
    <row r="547" spans="1:13" s="4" customFormat="1" ht="24" customHeight="1">
      <c r="A547" s="4" t="s">
        <v>319</v>
      </c>
      <c r="B547" s="4">
        <v>2</v>
      </c>
      <c r="C547" s="4" t="s">
        <v>136</v>
      </c>
      <c r="D547" s="4">
        <v>36</v>
      </c>
    </row>
    <row r="548" spans="1:13" ht="24" customHeight="1">
      <c r="A548" t="s">
        <v>319</v>
      </c>
      <c r="B548">
        <v>2</v>
      </c>
      <c r="C548" t="s">
        <v>137</v>
      </c>
      <c r="D548" s="5">
        <v>36</v>
      </c>
      <c r="E548" s="2">
        <f>IF(AND(ISNUMBER(F548),ISNUMBER('Reference data'!$B$3)),F548*'Reference data'!$B$3,"Unknown")</f>
        <v>3.8004768e-05</v>
      </c>
      <c r="F548" s="2">
        <f>IF(D548=0,0,IF(ISNUMBER('Reference data'!E22),D548*'Reference data'!E22/1000000,"Unknown"))</f>
        <v>4.32e-05</v>
      </c>
      <c r="G548" s="5">
        <f>IF(ISNUMBER(E548),ROUND(E548*'Reference data'!$B$2,0),"Unknown")</f>
        <v>4.0</v>
      </c>
      <c r="H548" s="5">
        <f>IF(ISNUMBER(F548),ROUND(F548*'Reference data'!$B$2,0),"Unknown")</f>
        <v>4.0</v>
      </c>
    </row>
    <row r="549" spans="1:13" ht="24" customHeight="1">
      <c r="A549" t="s">
        <v>319</v>
      </c>
      <c r="B549">
        <v>2</v>
      </c>
      <c r="C549" t="s">
        <v>138</v>
      </c>
      <c r="I549" s="6" t="s">
        <v>321</v>
      </c>
    </row>
    <row r="550" spans="1:13" ht="24" customHeight="1">
      <c r="A550" t="s">
        <v>319</v>
      </c>
      <c r="B550">
        <v>2</v>
      </c>
      <c r="C550" t="s">
        <v>134</v>
      </c>
      <c r="D550" s="1">
        <v>36</v>
      </c>
    </row>
    <row r="551" spans="1:13" ht="24" customHeight="1">
      <c r="A551" t="s">
        <v>319</v>
      </c>
      <c r="B551">
        <v>2</v>
      </c>
      <c r="C551" t="s">
        <v>135</v>
      </c>
      <c r="D551" s="1">
        <v>36</v>
      </c>
      <c r="L551" s="1">
        <v>5290</v>
      </c>
    </row>
    <row r="552" spans="1:13" s="4" customFormat="1" ht="24" customHeight="1">
      <c r="A552" s="4" t="s">
        <v>319</v>
      </c>
      <c r="B552" s="4">
        <v>2</v>
      </c>
      <c r="C552" s="4" t="s">
        <v>140</v>
      </c>
      <c r="E552" s="2">
        <f>IF(COUNT('Turns'!E542,'Turns'!E543,'Turns'!E548)=3,SUM('Turns'!E542,'Turns'!E543,'Turns'!E548),"Unknown")</f>
        <v>0.00096243556</v>
      </c>
      <c r="F552" s="2">
        <f>IF(COUNT('Turns'!F542,'Turns'!F543,'Turns'!F548)=3,SUM('Turns'!F542,'Turns'!F543,'Turns'!F548),"Unknown")</f>
        <v>0.001094</v>
      </c>
      <c r="G552" s="5">
        <f>IF(ISNUMBER(E552),ROUND(E552*'Reference data'!$B$2,0),"Unknown")</f>
        <v>96.0</v>
      </c>
      <c r="H552" s="5">
        <f>IF(ISNUMBER(F552),ROUND(F552*'Reference data'!$B$2,0),"Unknown")</f>
        <v>109.0</v>
      </c>
      <c r="K552" s="4" t="s">
        <v>141</v>
      </c>
    </row>
    <row r="553" spans="1:13" s="4" customFormat="1" ht="24" customHeight="1">
      <c r="A553" s="4" t="s">
        <v>322</v>
      </c>
      <c r="B553" s="4">
        <v>2</v>
      </c>
      <c r="C553" s="4" t="s">
        <v>125</v>
      </c>
      <c r="D553" s="4">
        <v>1961</v>
      </c>
      <c r="J553" s="4" t="s">
        <v>126</v>
      </c>
      <c r="M553" s="4" t="s">
        <v>323</v>
      </c>
    </row>
    <row r="554" spans="1:13" ht="24" customHeight="1">
      <c r="A554" t="s">
        <v>322</v>
      </c>
      <c r="B554">
        <v>2</v>
      </c>
      <c r="C554" t="s">
        <v>150</v>
      </c>
      <c r="D554" s="5">
        <v>0</v>
      </c>
      <c r="E554" s="2">
        <f>IF(AND(ISNUMBER(F554),ISNUMBER('Reference data'!$B$3)),F554*'Reference data'!$B$3,"Unknown")</f>
        <v>0.0</v>
      </c>
      <c r="F554" s="2">
        <f>IF(D554=0,0,IF(ISNUMBER('Reference data'!C22),D554*'Reference data'!C22/1000000,"Unknown"))</f>
        <v>0.0</v>
      </c>
      <c r="G554" s="5">
        <f>IF(ISNUMBER(E554),ROUND(E554*'Reference data'!$B$2,0),"Unknown")</f>
        <v>0.0</v>
      </c>
      <c r="H554" s="5">
        <f>IF(ISNUMBER(F554),ROUND(F554*'Reference data'!$B$2,0),"Unknown")</f>
        <v>0.0</v>
      </c>
    </row>
    <row r="555" spans="1:13" ht="24" customHeight="1">
      <c r="A555" t="s">
        <v>322</v>
      </c>
      <c r="B555">
        <v>2</v>
      </c>
      <c r="C555" t="s">
        <v>128</v>
      </c>
      <c r="D555" s="5">
        <v>1961</v>
      </c>
      <c r="E555" s="2">
        <f>IF(AND(ISNUMBER(F555),ISNUMBER('Reference data'!$B$3)),F555*'Reference data'!$B$3,"Unknown")</f>
        <v>0.000345034028</v>
      </c>
      <c r="F555" s="2">
        <f>IF(D555=0,0,IF(ISNUMBER('Reference data'!B22),D555*'Reference data'!B22/1000000,"Unknown"))</f>
        <v>0.0003922</v>
      </c>
      <c r="G555" s="5">
        <f>IF(ISNUMBER(E555),ROUND(E555*'Reference data'!$B$2,0),"Unknown")</f>
        <v>35.0</v>
      </c>
      <c r="H555" s="5">
        <f>IF(ISNUMBER(F555),ROUND(F555*'Reference data'!$B$2,0),"Unknown")</f>
        <v>39.0</v>
      </c>
    </row>
    <row r="556" spans="1:13" ht="24" customHeight="1">
      <c r="A556" t="s">
        <v>322</v>
      </c>
      <c r="B556">
        <v>2</v>
      </c>
      <c r="C556" t="s">
        <v>134</v>
      </c>
      <c r="D556" s="1">
        <v>1961</v>
      </c>
    </row>
    <row r="557" spans="1:13" ht="24" customHeight="1">
      <c r="A557" t="s">
        <v>322</v>
      </c>
      <c r="B557">
        <v>2</v>
      </c>
      <c r="C557" t="s">
        <v>135</v>
      </c>
      <c r="D557" s="1">
        <v>1961</v>
      </c>
      <c r="L557" s="1">
        <v>1961</v>
      </c>
    </row>
    <row r="558" spans="1:13" s="4" customFormat="1" ht="24" customHeight="1">
      <c r="A558" s="4" t="s">
        <v>322</v>
      </c>
      <c r="B558" s="4">
        <v>2</v>
      </c>
      <c r="C558" s="4" t="s">
        <v>136</v>
      </c>
      <c r="D558" s="4">
        <v>56</v>
      </c>
    </row>
    <row r="559" spans="1:13" ht="24" customHeight="1">
      <c r="A559" t="s">
        <v>322</v>
      </c>
      <c r="B559">
        <v>2</v>
      </c>
      <c r="C559" t="s">
        <v>137</v>
      </c>
      <c r="D559" s="5">
        <v>56</v>
      </c>
      <c r="E559" s="2">
        <f>IF(AND(ISNUMBER(F559),ISNUMBER('Reference data'!$B$3)),F559*'Reference data'!$B$3,"Unknown")</f>
        <v>5.9118528e-05</v>
      </c>
      <c r="F559" s="2">
        <f>IF(D559=0,0,IF(ISNUMBER('Reference data'!E22),D559*'Reference data'!E22/1000000,"Unknown"))</f>
        <v>6.72e-05</v>
      </c>
      <c r="G559" s="5">
        <f>IF(ISNUMBER(E559),ROUND(E559*'Reference data'!$B$2,0),"Unknown")</f>
        <v>6.0</v>
      </c>
      <c r="H559" s="5">
        <f>IF(ISNUMBER(F559),ROUND(F559*'Reference data'!$B$2,0),"Unknown")</f>
        <v>7.0</v>
      </c>
    </row>
    <row r="560" spans="1:13" ht="34" customHeight="1">
      <c r="A560" t="s">
        <v>322</v>
      </c>
      <c r="B560">
        <v>2</v>
      </c>
      <c r="C560" t="s">
        <v>138</v>
      </c>
      <c r="I560" s="6" t="s">
        <v>324</v>
      </c>
    </row>
    <row r="561" spans="1:13" ht="24" customHeight="1">
      <c r="A561" t="s">
        <v>322</v>
      </c>
      <c r="B561">
        <v>2</v>
      </c>
      <c r="C561" t="s">
        <v>134</v>
      </c>
      <c r="D561" s="1">
        <v>56</v>
      </c>
    </row>
    <row r="562" spans="1:13" ht="24" customHeight="1">
      <c r="A562" t="s">
        <v>322</v>
      </c>
      <c r="B562">
        <v>2</v>
      </c>
      <c r="C562" t="s">
        <v>135</v>
      </c>
      <c r="D562" s="1">
        <v>56</v>
      </c>
      <c r="L562" s="1">
        <v>2017</v>
      </c>
    </row>
    <row r="563" spans="1:13" s="4" customFormat="1" ht="24" customHeight="1">
      <c r="A563" s="4" t="s">
        <v>322</v>
      </c>
      <c r="B563" s="4">
        <v>2</v>
      </c>
      <c r="C563" s="4" t="s">
        <v>140</v>
      </c>
      <c r="E563" s="2">
        <f>IF(COUNT('Turns'!E554,'Turns'!E555,'Turns'!E559)=3,SUM('Turns'!E554,'Turns'!E555,'Turns'!E559),"Unknown")</f>
        <v>0.000404152556</v>
      </c>
      <c r="F563" s="2">
        <f>IF(COUNT('Turns'!F554,'Turns'!F555,'Turns'!F559)=3,SUM('Turns'!F554,'Turns'!F555,'Turns'!F559),"Unknown")</f>
        <v>0.0004594</v>
      </c>
      <c r="G563" s="5">
        <f>IF(ISNUMBER(E563),ROUND(E563*'Reference data'!$B$2,0),"Unknown")</f>
        <v>40.0</v>
      </c>
      <c r="H563" s="5">
        <f>IF(ISNUMBER(F563),ROUND(F563*'Reference data'!$B$2,0),"Unknown")</f>
        <v>46.0</v>
      </c>
      <c r="K563" s="4" t="s">
        <v>141</v>
      </c>
    </row>
    <row r="564" spans="1:13" s="4" customFormat="1" ht="24" customHeight="1">
      <c r="B564" s="4">
        <v>2</v>
      </c>
      <c r="C564" s="4" t="s">
        <v>157</v>
      </c>
      <c r="K564" s="4" t="s">
        <v>141</v>
      </c>
      <c r="M564" s="4" t="s">
        <v>325</v>
      </c>
    </row>
    <row r="565" spans="1:13" ht="24" customHeight="1">
      <c r="B565">
        <v>2</v>
      </c>
      <c r="C565" t="s">
        <v>144</v>
      </c>
      <c r="I565" s="6" t="s">
        <v>159</v>
      </c>
    </row>
    <row r="566" spans="1:13" ht="409" customHeight="1">
      <c r="B566">
        <v>2</v>
      </c>
      <c r="C566" t="s">
        <v>146</v>
      </c>
      <c r="I566" s="6" t="s">
        <v>308</v>
      </c>
    </row>
    <row r="567" spans="1:13" s="4" customFormat="1" ht="24" customHeight="1">
      <c r="A567" s="4" t="s">
        <v>326</v>
      </c>
      <c r="B567" s="4">
        <v>2</v>
      </c>
      <c r="C567" s="4" t="s">
        <v>125</v>
      </c>
      <c r="D567" s="4">
        <v>2834</v>
      </c>
      <c r="J567" s="4" t="s">
        <v>126</v>
      </c>
      <c r="M567" s="4" t="s">
        <v>327</v>
      </c>
    </row>
    <row r="568" spans="1:13" ht="24" customHeight="1">
      <c r="A568" t="s">
        <v>326</v>
      </c>
      <c r="B568">
        <v>2</v>
      </c>
      <c r="C568" t="s">
        <v>150</v>
      </c>
      <c r="D568" s="5">
        <v>0</v>
      </c>
      <c r="E568" s="2">
        <f>IF(AND(ISNUMBER(F568),ISNUMBER('Reference data'!$B$3)),F568*'Reference data'!$B$3,"Unknown")</f>
        <v>0.0</v>
      </c>
      <c r="F568" s="2">
        <f>IF(D568=0,0,IF(ISNUMBER('Reference data'!C22),D568*'Reference data'!C22/1000000,"Unknown"))</f>
        <v>0.0</v>
      </c>
      <c r="G568" s="5">
        <f>IF(ISNUMBER(E568),ROUND(E568*'Reference data'!$B$2,0),"Unknown")</f>
        <v>0.0</v>
      </c>
      <c r="H568" s="5">
        <f>IF(ISNUMBER(F568),ROUND(F568*'Reference data'!$B$2,0),"Unknown")</f>
        <v>0.0</v>
      </c>
    </row>
    <row r="569" spans="1:13" ht="24" customHeight="1">
      <c r="A569" t="s">
        <v>326</v>
      </c>
      <c r="B569">
        <v>2</v>
      </c>
      <c r="C569" t="s">
        <v>128</v>
      </c>
      <c r="D569" s="5">
        <v>2834</v>
      </c>
      <c r="E569" s="2">
        <f>IF(AND(ISNUMBER(F569),ISNUMBER('Reference data'!$B$3)),F569*'Reference data'!$B$3,"Unknown")</f>
        <v>0.000498636632</v>
      </c>
      <c r="F569" s="2">
        <f>IF(D569=0,0,IF(ISNUMBER('Reference data'!B22),D569*'Reference data'!B22/1000000,"Unknown"))</f>
        <v>0.0005668</v>
      </c>
      <c r="G569" s="5">
        <f>IF(ISNUMBER(E569),ROUND(E569*'Reference data'!$B$2,0),"Unknown")</f>
        <v>50.0</v>
      </c>
      <c r="H569" s="5">
        <f>IF(ISNUMBER(F569),ROUND(F569*'Reference data'!$B$2,0),"Unknown")</f>
        <v>57.0</v>
      </c>
    </row>
    <row r="570" spans="1:13" ht="409" customHeight="1">
      <c r="A570" t="s">
        <v>326</v>
      </c>
      <c r="B570">
        <v>2</v>
      </c>
      <c r="C570" t="s">
        <v>151</v>
      </c>
      <c r="D570" s="1">
        <v>817</v>
      </c>
      <c r="I570" s="6" t="s">
        <v>308</v>
      </c>
    </row>
    <row r="571" spans="1:13" ht="24" customHeight="1">
      <c r="A571" t="s">
        <v>326</v>
      </c>
      <c r="B571">
        <v>2</v>
      </c>
      <c r="C571" t="s">
        <v>134</v>
      </c>
      <c r="D571" s="1">
        <v>2834</v>
      </c>
    </row>
    <row r="572" spans="1:13" ht="24" customHeight="1">
      <c r="A572" t="s">
        <v>326</v>
      </c>
      <c r="B572">
        <v>2</v>
      </c>
      <c r="C572" t="s">
        <v>135</v>
      </c>
      <c r="D572" s="1">
        <v>2834</v>
      </c>
      <c r="L572" s="1">
        <v>2834</v>
      </c>
    </row>
    <row r="573" spans="1:13" s="4" customFormat="1" ht="24" customHeight="1">
      <c r="A573" s="4" t="s">
        <v>326</v>
      </c>
      <c r="B573" s="4">
        <v>2</v>
      </c>
      <c r="C573" s="4" t="s">
        <v>136</v>
      </c>
      <c r="D573" s="4">
        <v>56</v>
      </c>
    </row>
    <row r="574" spans="1:13" ht="24" customHeight="1">
      <c r="A574" t="s">
        <v>326</v>
      </c>
      <c r="B574">
        <v>2</v>
      </c>
      <c r="C574" t="s">
        <v>137</v>
      </c>
      <c r="D574" s="5">
        <v>56</v>
      </c>
      <c r="E574" s="2">
        <f>IF(AND(ISNUMBER(F574),ISNUMBER('Reference data'!$B$3)),F574*'Reference data'!$B$3,"Unknown")</f>
        <v>5.9118528e-05</v>
      </c>
      <c r="F574" s="2">
        <f>IF(D574=0,0,IF(ISNUMBER('Reference data'!E22),D574*'Reference data'!E22/1000000,"Unknown"))</f>
        <v>6.72e-05</v>
      </c>
      <c r="G574" s="5">
        <f>IF(ISNUMBER(E574),ROUND(E574*'Reference data'!$B$2,0),"Unknown")</f>
        <v>6.0</v>
      </c>
      <c r="H574" s="5">
        <f>IF(ISNUMBER(F574),ROUND(F574*'Reference data'!$B$2,0),"Unknown")</f>
        <v>7.0</v>
      </c>
    </row>
    <row r="575" spans="1:13" ht="34" customHeight="1">
      <c r="A575" t="s">
        <v>326</v>
      </c>
      <c r="B575">
        <v>2</v>
      </c>
      <c r="C575" t="s">
        <v>138</v>
      </c>
      <c r="I575" s="6" t="s">
        <v>328</v>
      </c>
    </row>
    <row r="576" spans="1:13" ht="24" customHeight="1">
      <c r="A576" t="s">
        <v>326</v>
      </c>
      <c r="B576">
        <v>2</v>
      </c>
      <c r="C576" t="s">
        <v>134</v>
      </c>
      <c r="D576" s="1">
        <v>56</v>
      </c>
    </row>
    <row r="577" spans="1:13" ht="24" customHeight="1">
      <c r="A577" t="s">
        <v>326</v>
      </c>
      <c r="B577">
        <v>2</v>
      </c>
      <c r="C577" t="s">
        <v>135</v>
      </c>
      <c r="D577" s="1">
        <v>56</v>
      </c>
      <c r="L577" s="1">
        <v>2890</v>
      </c>
    </row>
    <row r="578" spans="1:13" s="4" customFormat="1" ht="24" customHeight="1">
      <c r="A578" s="4" t="s">
        <v>326</v>
      </c>
      <c r="B578" s="4">
        <v>2</v>
      </c>
      <c r="C578" s="4" t="s">
        <v>140</v>
      </c>
      <c r="E578" s="2">
        <f>IF(COUNT('Turns'!E568,'Turns'!E569,'Turns'!E574)=3,SUM('Turns'!E568,'Turns'!E569,'Turns'!E574),"Unknown")</f>
        <v>0.00055775516</v>
      </c>
      <c r="F578" s="2">
        <f>IF(COUNT('Turns'!F568,'Turns'!F569,'Turns'!F574)=3,SUM('Turns'!F568,'Turns'!F569,'Turns'!F574),"Unknown")</f>
        <v>0.000634</v>
      </c>
      <c r="G578" s="5">
        <f>IF(ISNUMBER(E578),ROUND(E578*'Reference data'!$B$2,0),"Unknown")</f>
        <v>56.0</v>
      </c>
      <c r="H578" s="5">
        <f>IF(ISNUMBER(F578),ROUND(F578*'Reference data'!$B$2,0),"Unknown")</f>
        <v>63.0</v>
      </c>
      <c r="K578" s="4" t="s">
        <v>141</v>
      </c>
    </row>
    <row r="579" spans="1:13" s="4" customFormat="1" ht="24" customHeight="1">
      <c r="B579" s="4">
        <v>2</v>
      </c>
      <c r="C579" s="4" t="s">
        <v>157</v>
      </c>
      <c r="K579" s="4" t="s">
        <v>141</v>
      </c>
      <c r="M579" s="4" t="s">
        <v>329</v>
      </c>
    </row>
    <row r="580" spans="1:13" ht="24" customHeight="1">
      <c r="B580">
        <v>2</v>
      </c>
      <c r="C580" t="s">
        <v>144</v>
      </c>
      <c r="I580" s="6" t="s">
        <v>179</v>
      </c>
    </row>
    <row r="581" spans="1:13" ht="294" customHeight="1">
      <c r="B581">
        <v>2</v>
      </c>
      <c r="C581" t="s">
        <v>146</v>
      </c>
      <c r="I581" s="6" t="s">
        <v>207</v>
      </c>
    </row>
    <row r="582" spans="1:13" s="4" customFormat="1" ht="24" customHeight="1">
      <c r="A582" s="4" t="s">
        <v>330</v>
      </c>
      <c r="B582" s="4">
        <v>2</v>
      </c>
      <c r="C582" s="4" t="s">
        <v>125</v>
      </c>
      <c r="D582" s="4">
        <v>3152</v>
      </c>
      <c r="J582" s="4" t="s">
        <v>126</v>
      </c>
      <c r="M582" s="4" t="s">
        <v>331</v>
      </c>
    </row>
    <row r="583" spans="1:13" ht="24" customHeight="1">
      <c r="A583" t="s">
        <v>330</v>
      </c>
      <c r="B583">
        <v>2</v>
      </c>
      <c r="C583" t="s">
        <v>150</v>
      </c>
      <c r="D583" s="5">
        <v>0</v>
      </c>
      <c r="E583" s="2">
        <f>IF(AND(ISNUMBER(F583),ISNUMBER('Reference data'!$B$3)),F583*'Reference data'!$B$3,"Unknown")</f>
        <v>0.0</v>
      </c>
      <c r="F583" s="2">
        <f>IF(D583=0,0,IF(ISNUMBER('Reference data'!C22),D583*'Reference data'!C22/1000000,"Unknown"))</f>
        <v>0.0</v>
      </c>
      <c r="G583" s="5">
        <f>IF(ISNUMBER(E583),ROUND(E583*'Reference data'!$B$2,0),"Unknown")</f>
        <v>0.0</v>
      </c>
      <c r="H583" s="5">
        <f>IF(ISNUMBER(F583),ROUND(F583*'Reference data'!$B$2,0),"Unknown")</f>
        <v>0.0</v>
      </c>
    </row>
    <row r="584" spans="1:13" ht="24" customHeight="1">
      <c r="A584" t="s">
        <v>330</v>
      </c>
      <c r="B584">
        <v>2</v>
      </c>
      <c r="C584" t="s">
        <v>128</v>
      </c>
      <c r="D584" s="5">
        <v>3152</v>
      </c>
      <c r="E584" s="2">
        <f>IF(AND(ISNUMBER(F584),ISNUMBER('Reference data'!$B$3)),F584*'Reference data'!$B$3,"Unknown")</f>
        <v>0.000554588096</v>
      </c>
      <c r="F584" s="2">
        <f>IF(D584=0,0,IF(ISNUMBER('Reference data'!B22),D584*'Reference data'!B22/1000000,"Unknown"))</f>
        <v>0.0006304</v>
      </c>
      <c r="G584" s="5">
        <f>IF(ISNUMBER(E584),ROUND(E584*'Reference data'!$B$2,0),"Unknown")</f>
        <v>55.0</v>
      </c>
      <c r="H584" s="5">
        <f>IF(ISNUMBER(F584),ROUND(F584*'Reference data'!$B$2,0),"Unknown")</f>
        <v>63.0</v>
      </c>
    </row>
    <row r="585" spans="1:13" ht="294" customHeight="1">
      <c r="A585" t="s">
        <v>330</v>
      </c>
      <c r="B585">
        <v>2</v>
      </c>
      <c r="C585" t="s">
        <v>151</v>
      </c>
      <c r="D585" s="1">
        <v>262</v>
      </c>
      <c r="I585" s="6" t="s">
        <v>207</v>
      </c>
    </row>
    <row r="586" spans="1:13" ht="24" customHeight="1">
      <c r="A586" t="s">
        <v>330</v>
      </c>
      <c r="B586">
        <v>2</v>
      </c>
      <c r="C586" t="s">
        <v>134</v>
      </c>
      <c r="D586" s="1">
        <v>3152</v>
      </c>
    </row>
    <row r="587" spans="1:13" ht="24" customHeight="1">
      <c r="A587" t="s">
        <v>330</v>
      </c>
      <c r="B587">
        <v>2</v>
      </c>
      <c r="C587" t="s">
        <v>135</v>
      </c>
      <c r="D587" s="1">
        <v>3152</v>
      </c>
      <c r="L587" s="1">
        <v>3152</v>
      </c>
    </row>
    <row r="588" spans="1:13" s="4" customFormat="1" ht="24" customHeight="1">
      <c r="A588" s="4" t="s">
        <v>330</v>
      </c>
      <c r="B588" s="4">
        <v>2</v>
      </c>
      <c r="C588" s="4" t="s">
        <v>136</v>
      </c>
      <c r="D588" s="4">
        <v>57</v>
      </c>
    </row>
    <row r="589" spans="1:13" ht="24" customHeight="1">
      <c r="A589" t="s">
        <v>330</v>
      </c>
      <c r="B589">
        <v>2</v>
      </c>
      <c r="C589" t="s">
        <v>137</v>
      </c>
      <c r="D589" s="5">
        <v>57</v>
      </c>
      <c r="E589" s="2">
        <f>IF(AND(ISNUMBER(F589),ISNUMBER('Reference data'!$B$3)),F589*'Reference data'!$B$3,"Unknown")</f>
        <v>6.0174216e-05</v>
      </c>
      <c r="F589" s="2">
        <f>IF(D589=0,0,IF(ISNUMBER('Reference data'!E22),D589*'Reference data'!E22/1000000,"Unknown"))</f>
        <v>6.84e-05</v>
      </c>
      <c r="G589" s="5">
        <f>IF(ISNUMBER(E589),ROUND(E589*'Reference data'!$B$2,0),"Unknown")</f>
        <v>6.0</v>
      </c>
      <c r="H589" s="5">
        <f>IF(ISNUMBER(F589),ROUND(F589*'Reference data'!$B$2,0),"Unknown")</f>
        <v>7.0</v>
      </c>
    </row>
    <row r="590" spans="1:13" ht="34" customHeight="1">
      <c r="A590" t="s">
        <v>330</v>
      </c>
      <c r="B590">
        <v>2</v>
      </c>
      <c r="C590" t="s">
        <v>138</v>
      </c>
      <c r="I590" s="6" t="s">
        <v>332</v>
      </c>
    </row>
    <row r="591" spans="1:13" ht="24" customHeight="1">
      <c r="A591" t="s">
        <v>330</v>
      </c>
      <c r="B591">
        <v>2</v>
      </c>
      <c r="C591" t="s">
        <v>134</v>
      </c>
      <c r="D591" s="1">
        <v>57</v>
      </c>
    </row>
    <row r="592" spans="1:13" ht="24" customHeight="1">
      <c r="A592" t="s">
        <v>330</v>
      </c>
      <c r="B592">
        <v>2</v>
      </c>
      <c r="C592" t="s">
        <v>135</v>
      </c>
      <c r="D592" s="1">
        <v>57</v>
      </c>
      <c r="L592" s="1">
        <v>3209</v>
      </c>
    </row>
    <row r="593" spans="1:13" s="4" customFormat="1" ht="24" customHeight="1">
      <c r="A593" s="4" t="s">
        <v>330</v>
      </c>
      <c r="B593" s="4">
        <v>2</v>
      </c>
      <c r="C593" s="4" t="s">
        <v>140</v>
      </c>
      <c r="E593" s="2">
        <f>IF(COUNT('Turns'!E583,'Turns'!E584,'Turns'!E589)=3,SUM('Turns'!E583,'Turns'!E584,'Turns'!E589),"Unknown")</f>
        <v>0.000614762312</v>
      </c>
      <c r="F593" s="2">
        <f>IF(COUNT('Turns'!F583,'Turns'!F584,'Turns'!F589)=3,SUM('Turns'!F583,'Turns'!F584,'Turns'!F589),"Unknown")</f>
        <v>0.0006988</v>
      </c>
      <c r="G593" s="5">
        <f>IF(ISNUMBER(E593),ROUND(E593*'Reference data'!$B$2,0),"Unknown")</f>
        <v>61.0</v>
      </c>
      <c r="H593" s="5">
        <f>IF(ISNUMBER(F593),ROUND(F593*'Reference data'!$B$2,0),"Unknown")</f>
        <v>70.0</v>
      </c>
      <c r="K593" s="4" t="s">
        <v>141</v>
      </c>
    </row>
    <row r="594" spans="1:13" s="4" customFormat="1" ht="24" customHeight="1">
      <c r="B594" s="4">
        <v>2</v>
      </c>
      <c r="C594" s="4" t="s">
        <v>157</v>
      </c>
      <c r="K594" s="4" t="s">
        <v>141</v>
      </c>
      <c r="M594" s="4" t="s">
        <v>333</v>
      </c>
    </row>
    <row r="595" spans="1:13" ht="24" customHeight="1">
      <c r="B595">
        <v>2</v>
      </c>
      <c r="C595" t="s">
        <v>144</v>
      </c>
      <c r="I595" s="6" t="s">
        <v>264</v>
      </c>
    </row>
    <row r="596" spans="1:13" ht="409" customHeight="1">
      <c r="B596">
        <v>2</v>
      </c>
      <c r="C596" t="s">
        <v>146</v>
      </c>
      <c r="I596" s="6" t="s">
        <v>334</v>
      </c>
    </row>
    <row r="597" spans="1:13" s="4" customFormat="1" ht="24" customHeight="1">
      <c r="A597" s="4" t="s">
        <v>335</v>
      </c>
      <c r="B597" s="4">
        <v>2</v>
      </c>
      <c r="C597" s="4" t="s">
        <v>125</v>
      </c>
      <c r="D597" s="4">
        <v>3555</v>
      </c>
      <c r="J597" s="4" t="s">
        <v>126</v>
      </c>
      <c r="M597" s="4" t="s">
        <v>336</v>
      </c>
    </row>
    <row r="598" spans="1:13" ht="24" customHeight="1">
      <c r="A598" t="s">
        <v>335</v>
      </c>
      <c r="B598">
        <v>2</v>
      </c>
      <c r="C598" t="s">
        <v>150</v>
      </c>
      <c r="D598" s="5">
        <v>0</v>
      </c>
      <c r="E598" s="2">
        <f>IF(AND(ISNUMBER(F598),ISNUMBER('Reference data'!$B$3)),F598*'Reference data'!$B$3,"Unknown")</f>
        <v>0.0</v>
      </c>
      <c r="F598" s="2">
        <f>IF(D598=0,0,IF(ISNUMBER('Reference data'!C22),D598*'Reference data'!C22/1000000,"Unknown"))</f>
        <v>0.0</v>
      </c>
      <c r="G598" s="5">
        <f>IF(ISNUMBER(E598),ROUND(E598*'Reference data'!$B$2,0),"Unknown")</f>
        <v>0.0</v>
      </c>
      <c r="H598" s="5">
        <f>IF(ISNUMBER(F598),ROUND(F598*'Reference data'!$B$2,0),"Unknown")</f>
        <v>0.0</v>
      </c>
    </row>
    <row r="599" spans="1:13" ht="24" customHeight="1">
      <c r="A599" t="s">
        <v>335</v>
      </c>
      <c r="B599">
        <v>2</v>
      </c>
      <c r="C599" t="s">
        <v>128</v>
      </c>
      <c r="D599" s="5">
        <v>3555</v>
      </c>
      <c r="E599" s="2">
        <f>IF(AND(ISNUMBER(F599),ISNUMBER('Reference data'!$B$3)),F599*'Reference data'!$B$3,"Unknown")</f>
        <v>0.00062549514</v>
      </c>
      <c r="F599" s="2">
        <f>IF(D599=0,0,IF(ISNUMBER('Reference data'!B22),D599*'Reference data'!B22/1000000,"Unknown"))</f>
        <v>0.000711</v>
      </c>
      <c r="G599" s="5">
        <f>IF(ISNUMBER(E599),ROUND(E599*'Reference data'!$B$2,0),"Unknown")</f>
        <v>63.0</v>
      </c>
      <c r="H599" s="5">
        <f>IF(ISNUMBER(F599),ROUND(F599*'Reference data'!$B$2,0),"Unknown")</f>
        <v>71.0</v>
      </c>
    </row>
    <row r="600" spans="1:13" ht="409" customHeight="1">
      <c r="A600" t="s">
        <v>335</v>
      </c>
      <c r="B600">
        <v>2</v>
      </c>
      <c r="C600" t="s">
        <v>151</v>
      </c>
      <c r="D600" s="1">
        <v>346</v>
      </c>
      <c r="I600" s="6" t="s">
        <v>334</v>
      </c>
    </row>
    <row r="601" spans="1:13" ht="24" customHeight="1">
      <c r="A601" t="s">
        <v>335</v>
      </c>
      <c r="B601">
        <v>2</v>
      </c>
      <c r="C601" t="s">
        <v>134</v>
      </c>
      <c r="D601" s="1">
        <v>3555</v>
      </c>
    </row>
    <row r="602" spans="1:13" ht="24" customHeight="1">
      <c r="A602" t="s">
        <v>335</v>
      </c>
      <c r="B602">
        <v>2</v>
      </c>
      <c r="C602" t="s">
        <v>135</v>
      </c>
      <c r="D602" s="1">
        <v>3555</v>
      </c>
      <c r="L602" s="1">
        <v>3555</v>
      </c>
    </row>
    <row r="603" spans="1:13" s="4" customFormat="1" ht="24" customHeight="1">
      <c r="A603" s="4" t="s">
        <v>335</v>
      </c>
      <c r="B603" s="4">
        <v>2</v>
      </c>
      <c r="C603" s="4" t="s">
        <v>136</v>
      </c>
      <c r="D603" s="4">
        <v>75</v>
      </c>
    </row>
    <row r="604" spans="1:13" ht="24" customHeight="1">
      <c r="A604" t="s">
        <v>335</v>
      </c>
      <c r="B604">
        <v>2</v>
      </c>
      <c r="C604" t="s">
        <v>137</v>
      </c>
      <c r="D604" s="5">
        <v>75</v>
      </c>
      <c r="E604" s="2">
        <f>IF(AND(ISNUMBER(F604),ISNUMBER('Reference data'!$B$3)),F604*'Reference data'!$B$3,"Unknown")</f>
        <v>7.91766e-05</v>
      </c>
      <c r="F604" s="2">
        <f>IF(D604=0,0,IF(ISNUMBER('Reference data'!E22),D604*'Reference data'!E22/1000000,"Unknown"))</f>
        <v>9e-05</v>
      </c>
      <c r="G604" s="5">
        <f>IF(ISNUMBER(E604),ROUND(E604*'Reference data'!$B$2,0),"Unknown")</f>
        <v>8.0</v>
      </c>
      <c r="H604" s="5">
        <f>IF(ISNUMBER(F604),ROUND(F604*'Reference data'!$B$2,0),"Unknown")</f>
        <v>9.0</v>
      </c>
    </row>
    <row r="605" spans="1:13" ht="47" customHeight="1">
      <c r="A605" t="s">
        <v>335</v>
      </c>
      <c r="B605">
        <v>2</v>
      </c>
      <c r="C605" t="s">
        <v>138</v>
      </c>
      <c r="I605" s="6" t="s">
        <v>337</v>
      </c>
    </row>
    <row r="606" spans="1:13" ht="24" customHeight="1">
      <c r="A606" t="s">
        <v>335</v>
      </c>
      <c r="B606">
        <v>2</v>
      </c>
      <c r="C606" t="s">
        <v>134</v>
      </c>
      <c r="D606" s="1">
        <v>75</v>
      </c>
    </row>
    <row r="607" spans="1:13" ht="24" customHeight="1">
      <c r="A607" t="s">
        <v>335</v>
      </c>
      <c r="B607">
        <v>2</v>
      </c>
      <c r="C607" t="s">
        <v>135</v>
      </c>
      <c r="D607" s="1">
        <v>75</v>
      </c>
      <c r="L607" s="1">
        <v>3630</v>
      </c>
    </row>
    <row r="608" spans="1:13" s="4" customFormat="1" ht="24" customHeight="1">
      <c r="A608" s="4" t="s">
        <v>335</v>
      </c>
      <c r="B608" s="4">
        <v>2</v>
      </c>
      <c r="C608" s="4" t="s">
        <v>140</v>
      </c>
      <c r="E608" s="2">
        <f>IF(COUNT('Turns'!E598,'Turns'!E599,'Turns'!E604)=3,SUM('Turns'!E598,'Turns'!E599,'Turns'!E604),"Unknown")</f>
        <v>0.00070467174</v>
      </c>
      <c r="F608" s="2">
        <f>IF(COUNT('Turns'!F598,'Turns'!F599,'Turns'!F604)=3,SUM('Turns'!F598,'Turns'!F599,'Turns'!F604),"Unknown")</f>
        <v>0.000801</v>
      </c>
      <c r="G608" s="5">
        <f>IF(ISNUMBER(E608),ROUND(E608*'Reference data'!$B$2,0),"Unknown")</f>
        <v>70.0</v>
      </c>
      <c r="H608" s="5">
        <f>IF(ISNUMBER(F608),ROUND(F608*'Reference data'!$B$2,0),"Unknown")</f>
        <v>80.0</v>
      </c>
      <c r="K608" s="4" t="s">
        <v>141</v>
      </c>
    </row>
    <row r="609" spans="1:13" s="4" customFormat="1" ht="24" customHeight="1">
      <c r="A609" s="4" t="s">
        <v>338</v>
      </c>
      <c r="B609" s="4">
        <v>2</v>
      </c>
      <c r="C609" s="4" t="s">
        <v>125</v>
      </c>
      <c r="D609" s="4">
        <v>6389</v>
      </c>
      <c r="J609" s="4" t="s">
        <v>126</v>
      </c>
      <c r="M609" s="4" t="s">
        <v>339</v>
      </c>
    </row>
    <row r="610" spans="1:13" ht="24" customHeight="1">
      <c r="A610" t="s">
        <v>338</v>
      </c>
      <c r="B610">
        <v>2</v>
      </c>
      <c r="C610" t="s">
        <v>150</v>
      </c>
      <c r="D610" s="5">
        <v>0</v>
      </c>
      <c r="E610" s="2">
        <f>IF(AND(ISNUMBER(F610),ISNUMBER('Reference data'!$B$3)),F610*'Reference data'!$B$3,"Unknown")</f>
        <v>0.0</v>
      </c>
      <c r="F610" s="2">
        <f>IF(D610=0,0,IF(ISNUMBER('Reference data'!C22),D610*'Reference data'!C22/1000000,"Unknown"))</f>
        <v>0.0</v>
      </c>
      <c r="G610" s="5">
        <f>IF(ISNUMBER(E610),ROUND(E610*'Reference data'!$B$2,0),"Unknown")</f>
        <v>0.0</v>
      </c>
      <c r="H610" s="5">
        <f>IF(ISNUMBER(F610),ROUND(F610*'Reference data'!$B$2,0),"Unknown")</f>
        <v>0.0</v>
      </c>
    </row>
    <row r="611" spans="1:13" ht="24" customHeight="1">
      <c r="A611" t="s">
        <v>338</v>
      </c>
      <c r="B611">
        <v>2</v>
      </c>
      <c r="C611" t="s">
        <v>128</v>
      </c>
      <c r="D611" s="5">
        <v>6389</v>
      </c>
      <c r="E611" s="2">
        <f>IF(AND(ISNUMBER(F611),ISNUMBER('Reference data'!$B$3)),F611*'Reference data'!$B$3,"Unknown")</f>
        <v>0.001124131772</v>
      </c>
      <c r="F611" s="2">
        <f>IF(D611=0,0,IF(ISNUMBER('Reference data'!B22),D611*'Reference data'!B22/1000000,"Unknown"))</f>
        <v>0.0012778</v>
      </c>
      <c r="G611" s="5">
        <f>IF(ISNUMBER(E611),ROUND(E611*'Reference data'!$B$2,0),"Unknown")</f>
        <v>112.0</v>
      </c>
      <c r="H611" s="5">
        <f>IF(ISNUMBER(F611),ROUND(F611*'Reference data'!$B$2,0),"Unknown")</f>
        <v>128.0</v>
      </c>
    </row>
    <row r="612" spans="1:13" ht="409" customHeight="1">
      <c r="A612" t="s">
        <v>338</v>
      </c>
      <c r="B612">
        <v>2</v>
      </c>
      <c r="C612" t="s">
        <v>151</v>
      </c>
      <c r="D612" s="1">
        <v>1973</v>
      </c>
      <c r="I612" s="6" t="s">
        <v>340</v>
      </c>
    </row>
    <row r="613" spans="1:13" ht="24" customHeight="1">
      <c r="A613" t="s">
        <v>338</v>
      </c>
      <c r="B613">
        <v>2</v>
      </c>
      <c r="C613" t="s">
        <v>134</v>
      </c>
      <c r="D613" s="1">
        <v>6389</v>
      </c>
    </row>
    <row r="614" spans="1:13" ht="24" customHeight="1">
      <c r="A614" t="s">
        <v>338</v>
      </c>
      <c r="B614">
        <v>2</v>
      </c>
      <c r="C614" t="s">
        <v>135</v>
      </c>
      <c r="D614" s="1">
        <v>6389</v>
      </c>
      <c r="L614" s="1">
        <v>6389</v>
      </c>
    </row>
    <row r="615" spans="1:13" s="4" customFormat="1" ht="24" customHeight="1">
      <c r="A615" s="4" t="s">
        <v>338</v>
      </c>
      <c r="B615" s="4">
        <v>2</v>
      </c>
      <c r="C615" s="4" t="s">
        <v>136</v>
      </c>
      <c r="D615" s="4">
        <v>56</v>
      </c>
    </row>
    <row r="616" spans="1:13" ht="24" customHeight="1">
      <c r="A616" t="s">
        <v>338</v>
      </c>
      <c r="B616">
        <v>2</v>
      </c>
      <c r="C616" t="s">
        <v>137</v>
      </c>
      <c r="D616" s="5">
        <v>56</v>
      </c>
      <c r="E616" s="2">
        <f>IF(AND(ISNUMBER(F616),ISNUMBER('Reference data'!$B$3)),F616*'Reference data'!$B$3,"Unknown")</f>
        <v>5.9118528e-05</v>
      </c>
      <c r="F616" s="2">
        <f>IF(D616=0,0,IF(ISNUMBER('Reference data'!E22),D616*'Reference data'!E22/1000000,"Unknown"))</f>
        <v>6.72e-05</v>
      </c>
      <c r="G616" s="5">
        <f>IF(ISNUMBER(E616),ROUND(E616*'Reference data'!$B$2,0),"Unknown")</f>
        <v>6.0</v>
      </c>
      <c r="H616" s="5">
        <f>IF(ISNUMBER(F616),ROUND(F616*'Reference data'!$B$2,0),"Unknown")</f>
        <v>7.0</v>
      </c>
    </row>
    <row r="617" spans="1:13" ht="34" customHeight="1">
      <c r="A617" t="s">
        <v>338</v>
      </c>
      <c r="B617">
        <v>2</v>
      </c>
      <c r="C617" t="s">
        <v>138</v>
      </c>
      <c r="I617" s="6" t="s">
        <v>341</v>
      </c>
    </row>
    <row r="618" spans="1:13" ht="24" customHeight="1">
      <c r="A618" t="s">
        <v>338</v>
      </c>
      <c r="B618">
        <v>2</v>
      </c>
      <c r="C618" t="s">
        <v>134</v>
      </c>
      <c r="D618" s="1">
        <v>56</v>
      </c>
    </row>
    <row r="619" spans="1:13" ht="24" customHeight="1">
      <c r="A619" t="s">
        <v>338</v>
      </c>
      <c r="B619">
        <v>2</v>
      </c>
      <c r="C619" t="s">
        <v>135</v>
      </c>
      <c r="D619" s="1">
        <v>56</v>
      </c>
      <c r="L619" s="1">
        <v>6445</v>
      </c>
    </row>
    <row r="620" spans="1:13" s="4" customFormat="1" ht="24" customHeight="1">
      <c r="A620" s="4" t="s">
        <v>338</v>
      </c>
      <c r="B620" s="4">
        <v>2</v>
      </c>
      <c r="C620" s="4" t="s">
        <v>140</v>
      </c>
      <c r="E620" s="2">
        <f>IF(COUNT('Turns'!E610,'Turns'!E611,'Turns'!E616)=3,SUM('Turns'!E610,'Turns'!E611,'Turns'!E616),"Unknown")</f>
        <v>0.0011832503</v>
      </c>
      <c r="F620" s="2">
        <f>IF(COUNT('Turns'!F610,'Turns'!F611,'Turns'!F616)=3,SUM('Turns'!F610,'Turns'!F611,'Turns'!F616),"Unknown")</f>
        <v>0.001345</v>
      </c>
      <c r="G620" s="5">
        <f>IF(ISNUMBER(E620),ROUND(E620*'Reference data'!$B$2,0),"Unknown")</f>
        <v>118.0</v>
      </c>
      <c r="H620" s="5">
        <f>IF(ISNUMBER(F620),ROUND(F620*'Reference data'!$B$2,0),"Unknown")</f>
        <v>135.0</v>
      </c>
      <c r="K620" s="4" t="s">
        <v>141</v>
      </c>
    </row>
    <row r="621" spans="1:13" s="4" customFormat="1" ht="24" customHeight="1">
      <c r="B621" s="4">
        <v>2</v>
      </c>
      <c r="C621" s="4" t="s">
        <v>157</v>
      </c>
      <c r="K621" s="4" t="s">
        <v>141</v>
      </c>
      <c r="M621" s="4" t="s">
        <v>342</v>
      </c>
    </row>
    <row r="622" spans="1:13" ht="24" customHeight="1">
      <c r="B622">
        <v>2</v>
      </c>
      <c r="C622" t="s">
        <v>144</v>
      </c>
      <c r="I622" s="6" t="s">
        <v>159</v>
      </c>
    </row>
    <row r="623" spans="1:13" ht="409" customHeight="1">
      <c r="B623">
        <v>2</v>
      </c>
      <c r="C623" t="s">
        <v>146</v>
      </c>
      <c r="I623" s="6" t="s">
        <v>308</v>
      </c>
    </row>
    <row r="624" spans="1:13" s="4" customFormat="1" ht="24" customHeight="1">
      <c r="A624" s="4" t="s">
        <v>343</v>
      </c>
      <c r="B624" s="4">
        <v>2</v>
      </c>
      <c r="C624" s="4" t="s">
        <v>125</v>
      </c>
      <c r="D624" s="4">
        <v>7262</v>
      </c>
      <c r="J624" s="4" t="s">
        <v>126</v>
      </c>
      <c r="M624" s="4" t="s">
        <v>344</v>
      </c>
    </row>
    <row r="625" spans="1:13" ht="24" customHeight="1">
      <c r="A625" t="s">
        <v>343</v>
      </c>
      <c r="B625">
        <v>2</v>
      </c>
      <c r="C625" t="s">
        <v>150</v>
      </c>
      <c r="D625" s="5">
        <v>0</v>
      </c>
      <c r="E625" s="2">
        <f>IF(AND(ISNUMBER(F625),ISNUMBER('Reference data'!$B$3)),F625*'Reference data'!$B$3,"Unknown")</f>
        <v>0.0</v>
      </c>
      <c r="F625" s="2">
        <f>IF(D625=0,0,IF(ISNUMBER('Reference data'!C22),D625*'Reference data'!C22/1000000,"Unknown"))</f>
        <v>0.0</v>
      </c>
      <c r="G625" s="5">
        <f>IF(ISNUMBER(E625),ROUND(E625*'Reference data'!$B$2,0),"Unknown")</f>
        <v>0.0</v>
      </c>
      <c r="H625" s="5">
        <f>IF(ISNUMBER(F625),ROUND(F625*'Reference data'!$B$2,0),"Unknown")</f>
        <v>0.0</v>
      </c>
    </row>
    <row r="626" spans="1:13" ht="24" customHeight="1">
      <c r="A626" t="s">
        <v>343</v>
      </c>
      <c r="B626">
        <v>2</v>
      </c>
      <c r="C626" t="s">
        <v>128</v>
      </c>
      <c r="D626" s="5">
        <v>7262</v>
      </c>
      <c r="E626" s="2">
        <f>IF(AND(ISNUMBER(F626),ISNUMBER('Reference data'!$B$3)),F626*'Reference data'!$B$3,"Unknown")</f>
        <v>0.001277734376</v>
      </c>
      <c r="F626" s="2">
        <f>IF(D626=0,0,IF(ISNUMBER('Reference data'!B22),D626*'Reference data'!B22/1000000,"Unknown"))</f>
        <v>0.0014524</v>
      </c>
      <c r="G626" s="5">
        <f>IF(ISNUMBER(E626),ROUND(E626*'Reference data'!$B$2,0),"Unknown")</f>
        <v>128.0</v>
      </c>
      <c r="H626" s="5">
        <f>IF(ISNUMBER(F626),ROUND(F626*'Reference data'!$B$2,0),"Unknown")</f>
        <v>145.0</v>
      </c>
    </row>
    <row r="627" spans="1:13" ht="409" customHeight="1">
      <c r="A627" t="s">
        <v>343</v>
      </c>
      <c r="B627">
        <v>2</v>
      </c>
      <c r="C627" t="s">
        <v>151</v>
      </c>
      <c r="D627" s="1">
        <v>817</v>
      </c>
      <c r="I627" s="6" t="s">
        <v>308</v>
      </c>
    </row>
    <row r="628" spans="1:13" ht="24" customHeight="1">
      <c r="A628" t="s">
        <v>343</v>
      </c>
      <c r="B628">
        <v>2</v>
      </c>
      <c r="C628" t="s">
        <v>134</v>
      </c>
      <c r="D628" s="1">
        <v>7262</v>
      </c>
    </row>
    <row r="629" spans="1:13" ht="24" customHeight="1">
      <c r="A629" t="s">
        <v>343</v>
      </c>
      <c r="B629">
        <v>2</v>
      </c>
      <c r="C629" t="s">
        <v>135</v>
      </c>
      <c r="D629" s="1">
        <v>7262</v>
      </c>
      <c r="L629" s="1">
        <v>7262</v>
      </c>
    </row>
    <row r="630" spans="1:13" s="4" customFormat="1" ht="24" customHeight="1">
      <c r="A630" s="4" t="s">
        <v>343</v>
      </c>
      <c r="B630" s="4">
        <v>2</v>
      </c>
      <c r="C630" s="4" t="s">
        <v>136</v>
      </c>
      <c r="D630" s="4">
        <v>112</v>
      </c>
    </row>
    <row r="631" spans="1:13" ht="24" customHeight="1">
      <c r="A631" t="s">
        <v>343</v>
      </c>
      <c r="B631">
        <v>2</v>
      </c>
      <c r="C631" t="s">
        <v>137</v>
      </c>
      <c r="D631" s="5">
        <v>112</v>
      </c>
      <c r="E631" s="2">
        <f>IF(AND(ISNUMBER(F631),ISNUMBER('Reference data'!$B$3)),F631*'Reference data'!$B$3,"Unknown")</f>
        <v>0.000118237056</v>
      </c>
      <c r="F631" s="2">
        <f>IF(D631=0,0,IF(ISNUMBER('Reference data'!E22),D631*'Reference data'!E22/1000000,"Unknown"))</f>
        <v>0.0001344</v>
      </c>
      <c r="G631" s="5">
        <f>IF(ISNUMBER(E631),ROUND(E631*'Reference data'!$B$2,0),"Unknown")</f>
        <v>12.0</v>
      </c>
      <c r="H631" s="5">
        <f>IF(ISNUMBER(F631),ROUND(F631*'Reference data'!$B$2,0),"Unknown")</f>
        <v>13.0</v>
      </c>
    </row>
    <row r="632" spans="1:13" ht="73" customHeight="1">
      <c r="A632" t="s">
        <v>343</v>
      </c>
      <c r="B632">
        <v>2</v>
      </c>
      <c r="C632" t="s">
        <v>138</v>
      </c>
      <c r="I632" s="6" t="s">
        <v>345</v>
      </c>
    </row>
    <row r="633" spans="1:13" ht="24" customHeight="1">
      <c r="A633" t="s">
        <v>343</v>
      </c>
      <c r="B633">
        <v>2</v>
      </c>
      <c r="C633" t="s">
        <v>134</v>
      </c>
      <c r="D633" s="1">
        <v>112</v>
      </c>
    </row>
    <row r="634" spans="1:13" ht="24" customHeight="1">
      <c r="A634" t="s">
        <v>343</v>
      </c>
      <c r="B634">
        <v>2</v>
      </c>
      <c r="C634" t="s">
        <v>135</v>
      </c>
      <c r="D634" s="1">
        <v>112</v>
      </c>
      <c r="L634" s="1">
        <v>7374</v>
      </c>
    </row>
    <row r="635" spans="1:13" s="4" customFormat="1" ht="24" customHeight="1">
      <c r="A635" s="4" t="s">
        <v>343</v>
      </c>
      <c r="B635" s="4">
        <v>2</v>
      </c>
      <c r="C635" s="4" t="s">
        <v>140</v>
      </c>
      <c r="E635" s="2">
        <f>IF(COUNT('Turns'!E625,'Turns'!E626,'Turns'!E631)=3,SUM('Turns'!E625,'Turns'!E626,'Turns'!E631),"Unknown")</f>
        <v>0.001395971432</v>
      </c>
      <c r="F635" s="2">
        <f>IF(COUNT('Turns'!F625,'Turns'!F626,'Turns'!F631)=3,SUM('Turns'!F625,'Turns'!F626,'Turns'!F631),"Unknown")</f>
        <v>0.0015868</v>
      </c>
      <c r="G635" s="5">
        <f>IF(ISNUMBER(E635),ROUND(E635*'Reference data'!$B$2,0),"Unknown")</f>
        <v>140.0</v>
      </c>
      <c r="H635" s="5">
        <f>IF(ISNUMBER(F635),ROUND(F635*'Reference data'!$B$2,0),"Unknown")</f>
        <v>159.0</v>
      </c>
      <c r="K635" s="4" t="s">
        <v>141</v>
      </c>
    </row>
    <row r="636" spans="1:13" s="4" customFormat="1" ht="24" customHeight="1">
      <c r="B636" s="4">
        <v>2</v>
      </c>
      <c r="C636" s="4" t="s">
        <v>192</v>
      </c>
      <c r="K636" s="4" t="s">
        <v>141</v>
      </c>
      <c r="M636" s="4" t="s">
        <v>346</v>
      </c>
    </row>
    <row r="637" spans="1:13" ht="60" customHeight="1">
      <c r="B637">
        <v>2</v>
      </c>
      <c r="C637" t="s">
        <v>144</v>
      </c>
      <c r="I637" s="6" t="s">
        <v>347</v>
      </c>
    </row>
    <row r="638" spans="1:13" ht="24" customHeight="1">
      <c r="B638">
        <v>2</v>
      </c>
      <c r="C638" t="s">
        <v>146</v>
      </c>
      <c r="I638" s="6" t="s">
        <v>222</v>
      </c>
    </row>
    <row r="639" spans="1:13" s="4" customFormat="1" ht="24" customHeight="1">
      <c r="A639" s="4" t="s">
        <v>348</v>
      </c>
      <c r="B639" s="4">
        <v>2</v>
      </c>
      <c r="C639" s="4" t="s">
        <v>125</v>
      </c>
      <c r="D639" s="4">
        <v>7416</v>
      </c>
      <c r="J639" s="4" t="s">
        <v>126</v>
      </c>
      <c r="M639" s="4" t="s">
        <v>349</v>
      </c>
    </row>
    <row r="640" spans="1:13" ht="24" customHeight="1">
      <c r="A640" t="s">
        <v>348</v>
      </c>
      <c r="B640">
        <v>2</v>
      </c>
      <c r="C640" t="s">
        <v>150</v>
      </c>
      <c r="D640" s="5">
        <v>0</v>
      </c>
      <c r="E640" s="2">
        <f>IF(AND(ISNUMBER(F640),ISNUMBER('Reference data'!$B$3)),F640*'Reference data'!$B$3,"Unknown")</f>
        <v>0.0</v>
      </c>
      <c r="F640" s="2">
        <f>IF(D640=0,0,IF(ISNUMBER('Reference data'!C22),D640*'Reference data'!C22/1000000,"Unknown"))</f>
        <v>0.0</v>
      </c>
      <c r="G640" s="5">
        <f>IF(ISNUMBER(E640),ROUND(E640*'Reference data'!$B$2,0),"Unknown")</f>
        <v>0.0</v>
      </c>
      <c r="H640" s="5">
        <f>IF(ISNUMBER(F640),ROUND(F640*'Reference data'!$B$2,0),"Unknown")</f>
        <v>0.0</v>
      </c>
    </row>
    <row r="641" spans="1:13" ht="24" customHeight="1">
      <c r="A641" t="s">
        <v>348</v>
      </c>
      <c r="B641">
        <v>2</v>
      </c>
      <c r="C641" t="s">
        <v>128</v>
      </c>
      <c r="D641" s="5">
        <v>7416</v>
      </c>
      <c r="E641" s="2">
        <f>IF(AND(ISNUMBER(F641),ISNUMBER('Reference data'!$B$3)),F641*'Reference data'!$B$3,"Unknown")</f>
        <v>0.001304830368</v>
      </c>
      <c r="F641" s="2">
        <f>IF(D641=0,0,IF(ISNUMBER('Reference data'!B22),D641*'Reference data'!B22/1000000,"Unknown"))</f>
        <v>0.0014832</v>
      </c>
      <c r="G641" s="5">
        <f>IF(ISNUMBER(E641),ROUND(E641*'Reference data'!$B$2,0),"Unknown")</f>
        <v>130.0</v>
      </c>
      <c r="H641" s="5">
        <f>IF(ISNUMBER(F641),ROUND(F641*'Reference data'!$B$2,0),"Unknown")</f>
        <v>148.0</v>
      </c>
    </row>
    <row r="642" spans="1:13" ht="24" customHeight="1">
      <c r="A642" t="s">
        <v>348</v>
      </c>
      <c r="B642">
        <v>2</v>
      </c>
      <c r="C642" t="s">
        <v>151</v>
      </c>
      <c r="D642" s="1">
        <v>42</v>
      </c>
      <c r="I642" s="6" t="s">
        <v>222</v>
      </c>
    </row>
    <row r="643" spans="1:13" ht="24" customHeight="1">
      <c r="A643" t="s">
        <v>348</v>
      </c>
      <c r="B643">
        <v>2</v>
      </c>
      <c r="C643" t="s">
        <v>134</v>
      </c>
      <c r="D643" s="1">
        <v>7416</v>
      </c>
    </row>
    <row r="644" spans="1:13" ht="24" customHeight="1">
      <c r="A644" t="s">
        <v>348</v>
      </c>
      <c r="B644">
        <v>2</v>
      </c>
      <c r="C644" t="s">
        <v>135</v>
      </c>
      <c r="D644" s="1">
        <v>7416</v>
      </c>
      <c r="L644" s="1">
        <v>7416</v>
      </c>
    </row>
    <row r="645" spans="1:13" s="4" customFormat="1" ht="24" customHeight="1">
      <c r="A645" s="4" t="s">
        <v>348</v>
      </c>
      <c r="B645" s="4">
        <v>2</v>
      </c>
      <c r="C645" s="4" t="s">
        <v>136</v>
      </c>
      <c r="D645" s="4">
        <v>56</v>
      </c>
    </row>
    <row r="646" spans="1:13" ht="24" customHeight="1">
      <c r="A646" t="s">
        <v>348</v>
      </c>
      <c r="B646">
        <v>2</v>
      </c>
      <c r="C646" t="s">
        <v>137</v>
      </c>
      <c r="D646" s="5">
        <v>56</v>
      </c>
      <c r="E646" s="2">
        <f>IF(AND(ISNUMBER(F646),ISNUMBER('Reference data'!$B$3)),F646*'Reference data'!$B$3,"Unknown")</f>
        <v>5.9118528e-05</v>
      </c>
      <c r="F646" s="2">
        <f>IF(D646=0,0,IF(ISNUMBER('Reference data'!E22),D646*'Reference data'!E22/1000000,"Unknown"))</f>
        <v>6.72e-05</v>
      </c>
      <c r="G646" s="5">
        <f>IF(ISNUMBER(E646),ROUND(E646*'Reference data'!$B$2,0),"Unknown")</f>
        <v>6.0</v>
      </c>
      <c r="H646" s="5">
        <f>IF(ISNUMBER(F646),ROUND(F646*'Reference data'!$B$2,0),"Unknown")</f>
        <v>7.0</v>
      </c>
    </row>
    <row r="647" spans="1:13" ht="34" customHeight="1">
      <c r="A647" t="s">
        <v>348</v>
      </c>
      <c r="B647">
        <v>2</v>
      </c>
      <c r="C647" t="s">
        <v>138</v>
      </c>
      <c r="I647" s="6" t="s">
        <v>350</v>
      </c>
    </row>
    <row r="648" spans="1:13" ht="24" customHeight="1">
      <c r="A648" t="s">
        <v>348</v>
      </c>
      <c r="B648">
        <v>2</v>
      </c>
      <c r="C648" t="s">
        <v>134</v>
      </c>
      <c r="D648" s="1">
        <v>56</v>
      </c>
    </row>
    <row r="649" spans="1:13" ht="24" customHeight="1">
      <c r="A649" t="s">
        <v>348</v>
      </c>
      <c r="B649">
        <v>2</v>
      </c>
      <c r="C649" t="s">
        <v>135</v>
      </c>
      <c r="D649" s="1">
        <v>56</v>
      </c>
      <c r="L649" s="1">
        <v>7472</v>
      </c>
    </row>
    <row r="650" spans="1:13" s="4" customFormat="1" ht="24" customHeight="1">
      <c r="A650" s="4" t="s">
        <v>348</v>
      </c>
      <c r="B650" s="4">
        <v>2</v>
      </c>
      <c r="C650" s="4" t="s">
        <v>140</v>
      </c>
      <c r="E650" s="2">
        <f>IF(COUNT('Turns'!E640,'Turns'!E641,'Turns'!E646)=3,SUM('Turns'!E640,'Turns'!E641,'Turns'!E646),"Unknown")</f>
        <v>0.001363948896</v>
      </c>
      <c r="F650" s="2">
        <f>IF(COUNT('Turns'!F640,'Turns'!F641,'Turns'!F646)=3,SUM('Turns'!F640,'Turns'!F641,'Turns'!F646),"Unknown")</f>
        <v>0.0015504</v>
      </c>
      <c r="G650" s="5">
        <f>IF(ISNUMBER(E650),ROUND(E650*'Reference data'!$B$2,0),"Unknown")</f>
        <v>136.0</v>
      </c>
      <c r="H650" s="5">
        <f>IF(ISNUMBER(F650),ROUND(F650*'Reference data'!$B$2,0),"Unknown")</f>
        <v>155.0</v>
      </c>
      <c r="K650" s="4" t="s">
        <v>141</v>
      </c>
    </row>
    <row r="651" spans="1:13" s="4" customFormat="1" ht="24" customHeight="1">
      <c r="B651" s="4">
        <v>2</v>
      </c>
      <c r="C651" s="4" t="s">
        <v>157</v>
      </c>
      <c r="K651" s="4" t="s">
        <v>141</v>
      </c>
      <c r="M651" s="4" t="s">
        <v>351</v>
      </c>
    </row>
    <row r="652" spans="1:13" ht="24" customHeight="1">
      <c r="B652">
        <v>2</v>
      </c>
      <c r="C652" t="s">
        <v>144</v>
      </c>
      <c r="I652" s="6" t="s">
        <v>159</v>
      </c>
    </row>
    <row r="653" spans="1:13" ht="409" customHeight="1">
      <c r="B653">
        <v>2</v>
      </c>
      <c r="C653" t="s">
        <v>146</v>
      </c>
      <c r="I653" s="6" t="s">
        <v>352</v>
      </c>
    </row>
    <row r="654" spans="1:13" s="4" customFormat="1" ht="24" customHeight="1">
      <c r="A654" s="4" t="s">
        <v>353</v>
      </c>
      <c r="B654" s="4">
        <v>2</v>
      </c>
      <c r="C654" s="4" t="s">
        <v>125</v>
      </c>
      <c r="D654" s="4">
        <v>5034</v>
      </c>
      <c r="J654" s="4" t="s">
        <v>126</v>
      </c>
      <c r="M654" s="4" t="s">
        <v>354</v>
      </c>
    </row>
    <row r="655" spans="1:13" ht="24" customHeight="1">
      <c r="A655" t="s">
        <v>353</v>
      </c>
      <c r="B655">
        <v>2</v>
      </c>
      <c r="C655" t="s">
        <v>150</v>
      </c>
      <c r="D655" s="5">
        <v>0</v>
      </c>
      <c r="E655" s="2">
        <f>IF(AND(ISNUMBER(F655),ISNUMBER('Reference data'!$B$3)),F655*'Reference data'!$B$3,"Unknown")</f>
        <v>0.0</v>
      </c>
      <c r="F655" s="2">
        <f>IF(D655=0,0,IF(ISNUMBER('Reference data'!C22),D655*'Reference data'!C22/1000000,"Unknown"))</f>
        <v>0.0</v>
      </c>
      <c r="G655" s="5">
        <f>IF(ISNUMBER(E655),ROUND(E655*'Reference data'!$B$2,0),"Unknown")</f>
        <v>0.0</v>
      </c>
      <c r="H655" s="5">
        <f>IF(ISNUMBER(F655),ROUND(F655*'Reference data'!$B$2,0),"Unknown")</f>
        <v>0.0</v>
      </c>
    </row>
    <row r="656" spans="1:13" ht="24" customHeight="1">
      <c r="A656" t="s">
        <v>353</v>
      </c>
      <c r="B656">
        <v>2</v>
      </c>
      <c r="C656" t="s">
        <v>128</v>
      </c>
      <c r="D656" s="5">
        <v>5034</v>
      </c>
      <c r="E656" s="2">
        <f>IF(AND(ISNUMBER(F656),ISNUMBER('Reference data'!$B$3)),F656*'Reference data'!$B$3,"Unknown")</f>
        <v>0.000885722232</v>
      </c>
      <c r="F656" s="2">
        <f>IF(D656=0,0,IF(ISNUMBER('Reference data'!B22),D656*'Reference data'!B22/1000000,"Unknown"))</f>
        <v>0.0010068</v>
      </c>
      <c r="G656" s="5">
        <f>IF(ISNUMBER(E656),ROUND(E656*'Reference data'!$B$2,0),"Unknown")</f>
        <v>89.0</v>
      </c>
      <c r="H656" s="5">
        <f>IF(ISNUMBER(F656),ROUND(F656*'Reference data'!$B$2,0),"Unknown")</f>
        <v>101.0</v>
      </c>
    </row>
    <row r="657" spans="1:13" ht="24" customHeight="1">
      <c r="A657" t="s">
        <v>353</v>
      </c>
      <c r="B657">
        <v>2</v>
      </c>
      <c r="C657" t="s">
        <v>134</v>
      </c>
      <c r="D657" s="1">
        <v>5034</v>
      </c>
    </row>
    <row r="658" spans="1:13" ht="24" customHeight="1">
      <c r="A658" t="s">
        <v>353</v>
      </c>
      <c r="B658">
        <v>2</v>
      </c>
      <c r="C658" t="s">
        <v>135</v>
      </c>
      <c r="D658" s="1">
        <v>5034</v>
      </c>
      <c r="L658" s="1">
        <v>5034</v>
      </c>
    </row>
    <row r="659" spans="1:13" s="4" customFormat="1" ht="24" customHeight="1">
      <c r="A659" s="4" t="s">
        <v>353</v>
      </c>
      <c r="B659" s="4">
        <v>2</v>
      </c>
      <c r="C659" s="4" t="s">
        <v>136</v>
      </c>
      <c r="D659" s="4">
        <v>74</v>
      </c>
    </row>
    <row r="660" spans="1:13" ht="24" customHeight="1">
      <c r="A660" t="s">
        <v>353</v>
      </c>
      <c r="B660">
        <v>2</v>
      </c>
      <c r="C660" t="s">
        <v>137</v>
      </c>
      <c r="D660" s="5">
        <v>74</v>
      </c>
      <c r="E660" s="2">
        <f>IF(AND(ISNUMBER(F660),ISNUMBER('Reference data'!$B$3)),F660*'Reference data'!$B$3,"Unknown")</f>
        <v>7.8120912e-05</v>
      </c>
      <c r="F660" s="2">
        <f>IF(D660=0,0,IF(ISNUMBER('Reference data'!E22),D660*'Reference data'!E22/1000000,"Unknown"))</f>
        <v>8.88e-05</v>
      </c>
      <c r="G660" s="5">
        <f>IF(ISNUMBER(E660),ROUND(E660*'Reference data'!$B$2,0),"Unknown")</f>
        <v>8.0</v>
      </c>
      <c r="H660" s="5">
        <f>IF(ISNUMBER(F660),ROUND(F660*'Reference data'!$B$2,0),"Unknown")</f>
        <v>9.0</v>
      </c>
    </row>
    <row r="661" spans="1:13" ht="60" customHeight="1">
      <c r="A661" t="s">
        <v>353</v>
      </c>
      <c r="B661">
        <v>2</v>
      </c>
      <c r="C661" t="s">
        <v>138</v>
      </c>
      <c r="I661" s="6" t="s">
        <v>231</v>
      </c>
    </row>
    <row r="662" spans="1:13" ht="24" customHeight="1">
      <c r="A662" t="s">
        <v>353</v>
      </c>
      <c r="B662">
        <v>2</v>
      </c>
      <c r="C662" t="s">
        <v>134</v>
      </c>
      <c r="D662" s="1">
        <v>74</v>
      </c>
    </row>
    <row r="663" spans="1:13" ht="24" customHeight="1">
      <c r="A663" t="s">
        <v>353</v>
      </c>
      <c r="B663">
        <v>2</v>
      </c>
      <c r="C663" t="s">
        <v>135</v>
      </c>
      <c r="D663" s="1">
        <v>74</v>
      </c>
      <c r="L663" s="1">
        <v>5108</v>
      </c>
    </row>
    <row r="664" spans="1:13" s="4" customFormat="1" ht="24" customHeight="1">
      <c r="A664" s="4" t="s">
        <v>353</v>
      </c>
      <c r="B664" s="4">
        <v>2</v>
      </c>
      <c r="C664" s="4" t="s">
        <v>140</v>
      </c>
      <c r="E664" s="2">
        <f>IF(COUNT('Turns'!E655,'Turns'!E656,'Turns'!E660)=3,SUM('Turns'!E655,'Turns'!E656,'Turns'!E660),"Unknown")</f>
        <v>0.000963843144</v>
      </c>
      <c r="F664" s="2">
        <f>IF(COUNT('Turns'!F655,'Turns'!F656,'Turns'!F660)=3,SUM('Turns'!F655,'Turns'!F656,'Turns'!F660),"Unknown")</f>
        <v>0.0010956</v>
      </c>
      <c r="G664" s="5">
        <f>IF(ISNUMBER(E664),ROUND(E664*'Reference data'!$B$2,0),"Unknown")</f>
        <v>96.0</v>
      </c>
      <c r="H664" s="5">
        <f>IF(ISNUMBER(F664),ROUND(F664*'Reference data'!$B$2,0),"Unknown")</f>
        <v>110.0</v>
      </c>
      <c r="K664" s="4" t="s">
        <v>141</v>
      </c>
    </row>
    <row r="665" spans="1:13" s="4" customFormat="1" ht="24" customHeight="1">
      <c r="A665" s="4" t="s">
        <v>355</v>
      </c>
      <c r="B665" s="4">
        <v>2</v>
      </c>
      <c r="C665" s="4" t="s">
        <v>125</v>
      </c>
      <c r="D665" s="4">
        <v>3609</v>
      </c>
      <c r="J665" s="4" t="s">
        <v>126</v>
      </c>
      <c r="M665" s="4" t="s">
        <v>356</v>
      </c>
    </row>
    <row r="666" spans="1:13" ht="24" customHeight="1">
      <c r="A666" t="s">
        <v>355</v>
      </c>
      <c r="B666">
        <v>2</v>
      </c>
      <c r="C666" t="s">
        <v>150</v>
      </c>
      <c r="D666" s="5">
        <v>0</v>
      </c>
      <c r="E666" s="2">
        <f>IF(AND(ISNUMBER(F666),ISNUMBER('Reference data'!$B$3)),F666*'Reference data'!$B$3,"Unknown")</f>
        <v>0.0</v>
      </c>
      <c r="F666" s="2">
        <f>IF(D666=0,0,IF(ISNUMBER('Reference data'!C22),D666*'Reference data'!C22/1000000,"Unknown"))</f>
        <v>0.0</v>
      </c>
      <c r="G666" s="5">
        <f>IF(ISNUMBER(E666),ROUND(E666*'Reference data'!$B$2,0),"Unknown")</f>
        <v>0.0</v>
      </c>
      <c r="H666" s="5">
        <f>IF(ISNUMBER(F666),ROUND(F666*'Reference data'!$B$2,0),"Unknown")</f>
        <v>0.0</v>
      </c>
    </row>
    <row r="667" spans="1:13" ht="24" customHeight="1">
      <c r="A667" t="s">
        <v>355</v>
      </c>
      <c r="B667">
        <v>2</v>
      </c>
      <c r="C667" t="s">
        <v>128</v>
      </c>
      <c r="D667" s="5">
        <v>3609</v>
      </c>
      <c r="E667" s="2">
        <f>IF(AND(ISNUMBER(F667),ISNUMBER('Reference data'!$B$3)),F667*'Reference data'!$B$3,"Unknown")</f>
        <v>0.000634996332</v>
      </c>
      <c r="F667" s="2">
        <f>IF(D667=0,0,IF(ISNUMBER('Reference data'!B22),D667*'Reference data'!B22/1000000,"Unknown"))</f>
        <v>0.0007218</v>
      </c>
      <c r="G667" s="5">
        <f>IF(ISNUMBER(E667),ROUND(E667*'Reference data'!$B$2,0),"Unknown")</f>
        <v>63.0</v>
      </c>
      <c r="H667" s="5">
        <f>IF(ISNUMBER(F667),ROUND(F667*'Reference data'!$B$2,0),"Unknown")</f>
        <v>72.0</v>
      </c>
    </row>
    <row r="668" spans="1:13" ht="409" customHeight="1">
      <c r="A668" t="s">
        <v>355</v>
      </c>
      <c r="B668">
        <v>2</v>
      </c>
      <c r="C668" t="s">
        <v>151</v>
      </c>
      <c r="D668" s="1">
        <v>838</v>
      </c>
      <c r="I668" s="6" t="s">
        <v>352</v>
      </c>
    </row>
    <row r="669" spans="1:13" ht="24" customHeight="1">
      <c r="A669" t="s">
        <v>355</v>
      </c>
      <c r="B669">
        <v>2</v>
      </c>
      <c r="C669" t="s">
        <v>134</v>
      </c>
      <c r="D669" s="1">
        <v>3609</v>
      </c>
    </row>
    <row r="670" spans="1:13" ht="24" customHeight="1">
      <c r="A670" t="s">
        <v>355</v>
      </c>
      <c r="B670">
        <v>2</v>
      </c>
      <c r="C670" t="s">
        <v>135</v>
      </c>
      <c r="D670" s="1">
        <v>3609</v>
      </c>
      <c r="L670" s="1">
        <v>3609</v>
      </c>
    </row>
    <row r="671" spans="1:13" s="4" customFormat="1" ht="24" customHeight="1">
      <c r="A671" s="4" t="s">
        <v>355</v>
      </c>
      <c r="B671" s="4">
        <v>2</v>
      </c>
      <c r="C671" s="4" t="s">
        <v>136</v>
      </c>
      <c r="D671" s="4">
        <v>65</v>
      </c>
    </row>
    <row r="672" spans="1:13" ht="24" customHeight="1">
      <c r="A672" t="s">
        <v>355</v>
      </c>
      <c r="B672">
        <v>2</v>
      </c>
      <c r="C672" t="s">
        <v>137</v>
      </c>
      <c r="D672" s="5">
        <v>65</v>
      </c>
      <c r="E672" s="2">
        <f>IF(AND(ISNUMBER(F672),ISNUMBER('Reference data'!$B$3)),F672*'Reference data'!$B$3,"Unknown")</f>
        <v>6.861972e-05</v>
      </c>
      <c r="F672" s="2">
        <f>IF(D672=0,0,IF(ISNUMBER('Reference data'!E22),D672*'Reference data'!E22/1000000,"Unknown"))</f>
        <v>7.8e-05</v>
      </c>
      <c r="G672" s="5">
        <f>IF(ISNUMBER(E672),ROUND(E672*'Reference data'!$B$2,0),"Unknown")</f>
        <v>7.0</v>
      </c>
      <c r="H672" s="5">
        <f>IF(ISNUMBER(F672),ROUND(F672*'Reference data'!$B$2,0),"Unknown")</f>
        <v>8.0</v>
      </c>
    </row>
    <row r="673" spans="1:12" ht="34" customHeight="1">
      <c r="A673" t="s">
        <v>355</v>
      </c>
      <c r="B673">
        <v>2</v>
      </c>
      <c r="C673" t="s">
        <v>138</v>
      </c>
      <c r="I673" s="6" t="s">
        <v>357</v>
      </c>
    </row>
    <row r="674" spans="1:12" ht="24" customHeight="1">
      <c r="A674" t="s">
        <v>355</v>
      </c>
      <c r="B674">
        <v>2</v>
      </c>
      <c r="C674" t="s">
        <v>134</v>
      </c>
      <c r="D674" s="1">
        <v>65</v>
      </c>
    </row>
    <row r="675" spans="1:12" ht="24" customHeight="1">
      <c r="A675" t="s">
        <v>355</v>
      </c>
      <c r="B675">
        <v>2</v>
      </c>
      <c r="C675" t="s">
        <v>135</v>
      </c>
      <c r="D675" s="1">
        <v>65</v>
      </c>
      <c r="L675" s="1">
        <v>3674</v>
      </c>
    </row>
    <row r="676" spans="1:12" s="4" customFormat="1" ht="24" customHeight="1">
      <c r="A676" s="4" t="s">
        <v>355</v>
      </c>
      <c r="B676" s="4">
        <v>2</v>
      </c>
      <c r="C676" s="4" t="s">
        <v>140</v>
      </c>
      <c r="E676" s="2">
        <f>IF(COUNT('Turns'!E666,'Turns'!E667,'Turns'!E672)=3,SUM('Turns'!E666,'Turns'!E667,'Turns'!E672),"Unknown")</f>
        <v>0.000703616052</v>
      </c>
      <c r="F676" s="2">
        <f>IF(COUNT('Turns'!F666,'Turns'!F667,'Turns'!F672)=3,SUM('Turns'!F666,'Turns'!F667,'Turns'!F672),"Unknown")</f>
        <v>0.0007998</v>
      </c>
      <c r="G676" s="5">
        <f>IF(ISNUMBER(E676),ROUND(E676*'Reference data'!$B$2,0),"Unknown")</f>
        <v>70.0</v>
      </c>
      <c r="H676" s="5">
        <f>IF(ISNUMBER(F676),ROUND(F676*'Reference data'!$B$2,0),"Unknown")</f>
        <v>80.0</v>
      </c>
      <c r="K676" s="4" t="s">
        <v>141</v>
      </c>
    </row>
  </sheetData>
  <conditionalFormatting sqref="A2:AE676">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248"/>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358</v>
      </c>
      <c r="B2" s="1">
        <v>0</v>
      </c>
      <c r="C2" s="1" t="s">
        <v>359</v>
      </c>
      <c r="D2" s="1" t="s">
        <v>47</v>
      </c>
      <c r="E2" s="1" t="s">
        <v>141</v>
      </c>
      <c r="G2" s="6" t="s">
        <v>360</v>
      </c>
      <c r="H2" t="s">
        <v>49</v>
      </c>
      <c r="J2" s="2">
        <f>IF(COUNT('Turns'!D5,'Turns'!D22,'Turns'!D33,'Turns'!D50,'Turns'!D65,'Turns'!D76,'Turns'!D92,'Turns'!D107,'Turns'!D119,'Turns'!D134,'Turns'!D149,'Turns'!D161,'Turns'!D175,'Turns'!D190,'Turns'!D201,'Turns'!D218,'Turns'!D233,'Turns'!D247,'Turns'!D260,'Turns'!D272,'Turns'!D287,'Turns'!D302,'Turns'!D317,'Turns'!D329,'Turns'!D343,'Turns'!D358,'Turns'!D373,'Turns'!D385,'Turns'!D400,'Turns'!D415,'Turns'!D430)=31,SUM('Turns'!D5,'Turns'!D22,'Turns'!D33,'Turns'!D50,'Turns'!D65,'Turns'!D76,'Turns'!D92,'Turns'!D107,'Turns'!D119,'Turns'!D134,'Turns'!D149,'Turns'!D161,'Turns'!D175,'Turns'!D190,'Turns'!D201,'Turns'!D218,'Turns'!D233,'Turns'!D247,'Turns'!D260,'Turns'!D272,'Turns'!D287,'Turns'!D302,'Turns'!D317,'Turns'!D329,'Turns'!D343,'Turns'!D358,'Turns'!D373,'Turns'!D385,'Turns'!D400,'Turns'!D415,'Turns'!D430),"Unknown")</f>
        <v>142267.0</v>
      </c>
      <c r="K2" s="2">
        <f>IF(COUNT('Turns'!E5,'Turns'!E22,'Turns'!E33,'Turns'!E50,'Turns'!E65,'Turns'!E76,'Turns'!E92,'Turns'!E107,'Turns'!E119,'Turns'!E134,'Turns'!E149,'Turns'!E161,'Turns'!E175,'Turns'!E190,'Turns'!E201,'Turns'!E218,'Turns'!E233,'Turns'!E247,'Turns'!E260,'Turns'!E272,'Turns'!E287,'Turns'!E302,'Turns'!E317,'Turns'!E329,'Turns'!E343,'Turns'!E358,'Turns'!E373,'Turns'!E385,'Turns'!E400,'Turns'!E415,'Turns'!E430)=31,SUM('Turns'!E5,'Turns'!E22,'Turns'!E33,'Turns'!E50,'Turns'!E65,'Turns'!E76,'Turns'!E92,'Turns'!E107,'Turns'!E119,'Turns'!E134,'Turns'!E149,'Turns'!E161,'Turns'!E175,'Turns'!E190,'Turns'!E201,'Turns'!E218,'Turns'!E233,'Turns'!E247,'Turns'!E260,'Turns'!E272,'Turns'!E287,'Turns'!E302,'Turns'!E317,'Turns'!E329,'Turns'!E343,'Turns'!E358,'Turns'!E373,'Turns'!E385,'Turns'!E400,'Turns'!E415,'Turns'!E430),"Unknown")</f>
        <v>0.025031594116</v>
      </c>
      <c r="L2" s="2">
        <f>IF(COUNT('Turns'!F5,'Turns'!F22,'Turns'!F33,'Turns'!F50,'Turns'!F65,'Turns'!F76,'Turns'!F92,'Turns'!F107,'Turns'!F119,'Turns'!F134,'Turns'!F149,'Turns'!F161,'Turns'!F175,'Turns'!F190,'Turns'!F201,'Turns'!F218,'Turns'!F233,'Turns'!F247,'Turns'!F260,'Turns'!F272,'Turns'!F287,'Turns'!F302,'Turns'!F317,'Turns'!F329,'Turns'!F343,'Turns'!F358,'Turns'!F373,'Turns'!F385,'Turns'!F400,'Turns'!F415,'Turns'!F430)=31,SUM('Turns'!F5,'Turns'!F22,'Turns'!F33,'Turns'!F50,'Turns'!F65,'Turns'!F76,'Turns'!F92,'Turns'!F107,'Turns'!F119,'Turns'!F134,'Turns'!F149,'Turns'!F161,'Turns'!F175,'Turns'!F190,'Turns'!F201,'Turns'!F218,'Turns'!F233,'Turns'!F247,'Turns'!F260,'Turns'!F272,'Turns'!F287,'Turns'!F302,'Turns'!F317,'Turns'!F329,'Turns'!F343,'Turns'!F358,'Turns'!F373,'Turns'!F385,'Turns'!F400,'Turns'!F415,'Turns'!F430),"Unknown")</f>
        <v>0.0284534</v>
      </c>
      <c r="M2" s="2">
        <f>IF(COUNT('Turns'!D21,'Turns'!D49,'Turns'!D64,'Turns'!D91,'Turns'!D106,'Turns'!D118,'Turns'!D133,'Turns'!D148,'Turns'!D160,'Turns'!D174,'Turns'!D189,'Turns'!D217,'Turns'!D232,'Turns'!D259,'Turns'!D271,'Turns'!D286,'Turns'!D301,'Turns'!D316,'Turns'!D328,'Turns'!D342,'Turns'!D357,'Turns'!D372,'Turns'!D384,'Turns'!D399,'Turns'!D414,'Turns'!D429)=26,SUM('Turns'!D21,'Turns'!D49,'Turns'!D64,'Turns'!D91,'Turns'!D106,'Turns'!D118,'Turns'!D133,'Turns'!D148,'Turns'!D160,'Turns'!D174,'Turns'!D189,'Turns'!D217,'Turns'!D232,'Turns'!D259,'Turns'!D271,'Turns'!D286,'Turns'!D301,'Turns'!D316,'Turns'!D328,'Turns'!D342,'Turns'!D357,'Turns'!D372,'Turns'!D384,'Turns'!D399,'Turns'!D414,'Turns'!D429),"Unknown")</f>
        <v>0.0</v>
      </c>
      <c r="N2" s="2">
        <f>IF(COUNT('Turns'!E21,'Turns'!E49,'Turns'!E64,'Turns'!E91,'Turns'!E106,'Turns'!E118,'Turns'!E133,'Turns'!E148,'Turns'!E160,'Turns'!E174,'Turns'!E189,'Turns'!E217,'Turns'!E232,'Turns'!E259,'Turns'!E271,'Turns'!E286,'Turns'!E301,'Turns'!E316,'Turns'!E328,'Turns'!E342,'Turns'!E357,'Turns'!E372,'Turns'!E384,'Turns'!E399,'Turns'!E414,'Turns'!E429)=26,SUM('Turns'!E21,'Turns'!E49,'Turns'!E64,'Turns'!E91,'Turns'!E106,'Turns'!E118,'Turns'!E133,'Turns'!E148,'Turns'!E160,'Turns'!E174,'Turns'!E189,'Turns'!E217,'Turns'!E232,'Turns'!E259,'Turns'!E271,'Turns'!E286,'Turns'!E301,'Turns'!E316,'Turns'!E328,'Turns'!E342,'Turns'!E357,'Turns'!E372,'Turns'!E384,'Turns'!E399,'Turns'!E414,'Turns'!E429),"Unknown")</f>
        <v>0.0</v>
      </c>
      <c r="O2" s="2">
        <f>IF(COUNT('Turns'!F21,'Turns'!F49,'Turns'!F64,'Turns'!F91,'Turns'!F106,'Turns'!F118,'Turns'!F133,'Turns'!F148,'Turns'!F160,'Turns'!F174,'Turns'!F189,'Turns'!F217,'Turns'!F232,'Turns'!F259,'Turns'!F271,'Turns'!F286,'Turns'!F301,'Turns'!F316,'Turns'!F328,'Turns'!F342,'Turns'!F357,'Turns'!F372,'Turns'!F384,'Turns'!F399,'Turns'!F414,'Turns'!F429)=26,SUM('Turns'!F21,'Turns'!F49,'Turns'!F64,'Turns'!F91,'Turns'!F106,'Turns'!F118,'Turns'!F133,'Turns'!F148,'Turns'!F160,'Turns'!F174,'Turns'!F189,'Turns'!F217,'Turns'!F232,'Turns'!F259,'Turns'!F271,'Turns'!F286,'Turns'!F301,'Turns'!F316,'Turns'!F328,'Turns'!F342,'Turns'!F357,'Turns'!F372,'Turns'!F384,'Turns'!F399,'Turns'!F414,'Turns'!F429),"Unknown")</f>
        <v>0.0</v>
      </c>
      <c r="P2" s="2">
        <v>0</v>
      </c>
      <c r="Q2" s="2">
        <v>0</v>
      </c>
      <c r="R2" s="2">
        <v>0</v>
      </c>
      <c r="S2" s="2">
        <f>IF(COUNT('Turns'!D12,'Turns'!D27,'Turns'!D40,'Turns'!D55,'Turns'!D70,'Turns'!D82,'Turns'!D97,'Turns'!D112,'Turns'!D124,'Turns'!D139,'Turns'!D154,'Turns'!D165,'Turns'!D180,'Turns'!D195,'Turns'!D208,'Turns'!D223,'Turns'!D238,'Turns'!D253,'Turns'!D265,'Turns'!D277,'Turns'!D292,'Turns'!D307,'Turns'!D322,'Turns'!D333,'Turns'!D348,'Turns'!D363,'Turns'!D378,'Turns'!D390,'Turns'!D405,'Turns'!D420,'Turns'!D435)=31,SUM('Turns'!D12,'Turns'!D27,'Turns'!D40,'Turns'!D55,'Turns'!D70,'Turns'!D82,'Turns'!D97,'Turns'!D112,'Turns'!D124,'Turns'!D139,'Turns'!D154,'Turns'!D165,'Turns'!D180,'Turns'!D195,'Turns'!D208,'Turns'!D223,'Turns'!D238,'Turns'!D253,'Turns'!D265,'Turns'!D277,'Turns'!D292,'Turns'!D307,'Turns'!D322,'Turns'!D333,'Turns'!D348,'Turns'!D363,'Turns'!D378,'Turns'!D390,'Turns'!D405,'Turns'!D420,'Turns'!D435),"Unknown")</f>
        <v>3123.0</v>
      </c>
      <c r="T2" s="2">
        <f>IF(COUNT('Turns'!E12,'Turns'!E27,'Turns'!E40,'Turns'!E55,'Turns'!E70,'Turns'!E82,'Turns'!E97,'Turns'!E112,'Turns'!E124,'Turns'!E139,'Turns'!E154,'Turns'!E165,'Turns'!E180,'Turns'!E195,'Turns'!E208,'Turns'!E223,'Turns'!E238,'Turns'!E253,'Turns'!E265,'Turns'!E277,'Turns'!E292,'Turns'!E307,'Turns'!E322,'Turns'!E333,'Turns'!E348,'Turns'!E363,'Turns'!E378,'Turns'!E390,'Turns'!E405,'Turns'!E420,'Turns'!E435)=31,SUM('Turns'!E12,'Turns'!E27,'Turns'!E40,'Turns'!E55,'Turns'!E70,'Turns'!E82,'Turns'!E97,'Turns'!E112,'Turns'!E124,'Turns'!E139,'Turns'!E154,'Turns'!E165,'Turns'!E180,'Turns'!E195,'Turns'!E208,'Turns'!E223,'Turns'!E238,'Turns'!E253,'Turns'!E265,'Turns'!E277,'Turns'!E292,'Turns'!E307,'Turns'!E322,'Turns'!E333,'Turns'!E348,'Turns'!E363,'Turns'!E378,'Turns'!E390,'Turns'!E405,'Turns'!E420,'Turns'!E435),"Unknown")</f>
        <v>0.003296913624</v>
      </c>
      <c r="U2" s="2">
        <f>IF(COUNT('Turns'!F12,'Turns'!F27,'Turns'!F40,'Turns'!F55,'Turns'!F70,'Turns'!F82,'Turns'!F97,'Turns'!F112,'Turns'!F124,'Turns'!F139,'Turns'!F154,'Turns'!F165,'Turns'!F180,'Turns'!F195,'Turns'!F208,'Turns'!F223,'Turns'!F238,'Turns'!F253,'Turns'!F265,'Turns'!F277,'Turns'!F292,'Turns'!F307,'Turns'!F322,'Turns'!F333,'Turns'!F348,'Turns'!F363,'Turns'!F378,'Turns'!F390,'Turns'!F405,'Turns'!F420,'Turns'!F435)=31,SUM('Turns'!F12,'Turns'!F27,'Turns'!F40,'Turns'!F55,'Turns'!F70,'Turns'!F82,'Turns'!F97,'Turns'!F112,'Turns'!F124,'Turns'!F139,'Turns'!F154,'Turns'!F165,'Turns'!F180,'Turns'!F195,'Turns'!F208,'Turns'!F223,'Turns'!F238,'Turns'!F253,'Turns'!F265,'Turns'!F277,'Turns'!F292,'Turns'!F307,'Turns'!F322,'Turns'!F333,'Turns'!F348,'Turns'!F363,'Turns'!F378,'Turns'!F390,'Turns'!F405,'Turns'!F420,'Turns'!F435),"Unknown")</f>
        <v>0.0037476</v>
      </c>
      <c r="V2" s="2">
        <v>0</v>
      </c>
      <c r="W2" s="2">
        <v>0</v>
      </c>
      <c r="X2" s="2">
        <v>0</v>
      </c>
      <c r="Y2" s="2">
        <f>IF(COUNT('Turns'!E16,'Turns'!E31,'Turns'!E44,'Turns'!E59,'Turns'!E74,'Turns'!E86,'Turns'!E101,'Turns'!E116,'Turns'!E128,'Turns'!E143,'Turns'!E158,'Turns'!E169,'Turns'!E184,'Turns'!E199,'Turns'!E212,'Turns'!E227,'Turns'!E242,'Turns'!E257,'Turns'!E269,'Turns'!E281,'Turns'!E296,'Turns'!E311,'Turns'!E326,'Turns'!E337,'Turns'!E352,'Turns'!E367,'Turns'!E382,'Turns'!E394,'Turns'!E409,'Turns'!E424,'Turns'!E439)=31,SUM('Turns'!E16,'Turns'!E31,'Turns'!E44,'Turns'!E59,'Turns'!E74,'Turns'!E86,'Turns'!E101,'Turns'!E116,'Turns'!E128,'Turns'!E143,'Turns'!E158,'Turns'!E169,'Turns'!E184,'Turns'!E199,'Turns'!E212,'Turns'!E227,'Turns'!E242,'Turns'!E257,'Turns'!E269,'Turns'!E281,'Turns'!E296,'Turns'!E311,'Turns'!E326,'Turns'!E337,'Turns'!E352,'Turns'!E367,'Turns'!E382,'Turns'!E394,'Turns'!E409,'Turns'!E424,'Turns'!E439),"Unknown")</f>
        <v>0.02832850774</v>
      </c>
      <c r="Z2" s="2">
        <f>IF(COUNT('Turns'!F16,'Turns'!F31,'Turns'!F44,'Turns'!F59,'Turns'!F74,'Turns'!F86,'Turns'!F101,'Turns'!F116,'Turns'!F128,'Turns'!F143,'Turns'!F158,'Turns'!F169,'Turns'!F184,'Turns'!F199,'Turns'!F212,'Turns'!F227,'Turns'!F242,'Turns'!F257,'Turns'!F269,'Turns'!F281,'Turns'!F296,'Turns'!F311,'Turns'!F326,'Turns'!F337,'Turns'!F352,'Turns'!F367,'Turns'!F382,'Turns'!F394,'Turns'!F409,'Turns'!F424,'Turns'!F439)=31,SUM('Turns'!F16,'Turns'!F31,'Turns'!F44,'Turns'!F59,'Turns'!F74,'Turns'!F86,'Turns'!F101,'Turns'!F116,'Turns'!F128,'Turns'!F143,'Turns'!F158,'Turns'!F169,'Turns'!F184,'Turns'!F199,'Turns'!F212,'Turns'!F227,'Turns'!F242,'Turns'!F257,'Turns'!F269,'Turns'!F281,'Turns'!F296,'Turns'!F311,'Turns'!F326,'Turns'!F337,'Turns'!F352,'Turns'!F367,'Turns'!F382,'Turns'!F394,'Turns'!F409,'Turns'!F424,'Turns'!F439),"Unknown")</f>
        <v>0.032201</v>
      </c>
      <c r="AA2" s="5">
        <f>IF(ISNUMBER(Y2),ROUND(Y2*'Reference data'!$B$2,0),"Unknown")</f>
        <v>2833.0</v>
      </c>
      <c r="AB2" s="5">
        <f>IF(ISNUMBER(Z2),ROUND(Z2*'Reference data'!$B$2,0),"Unknown")</f>
        <v>3220.0</v>
      </c>
      <c r="AD2" s="1">
        <v>553.65</v>
      </c>
      <c r="AE2" s="1" t="s">
        <v>361</v>
      </c>
    </row>
    <row r="3" spans="1:31" ht="54" customHeight="1">
      <c r="A3" s="6" t="s">
        <v>362</v>
      </c>
      <c r="B3" s="1">
        <v>1</v>
      </c>
      <c r="C3" s="1" t="s">
        <v>359</v>
      </c>
      <c r="D3" s="1" t="s">
        <v>47</v>
      </c>
      <c r="E3" s="1" t="s">
        <v>141</v>
      </c>
      <c r="G3" s="6" t="s">
        <v>363</v>
      </c>
      <c r="H3" t="s">
        <v>364</v>
      </c>
      <c r="I3" t="s">
        <v>49</v>
      </c>
      <c r="J3" s="2">
        <f>IF(COUNT('Turns'!D5,'Turns'!D22)=2,SUM('Turns'!D5,'Turns'!D22),"Unknown")</f>
        <v>7658.0</v>
      </c>
      <c r="K3" s="2">
        <f>IF(COUNT('Turns'!E5,'Turns'!E22)=2,SUM('Turns'!E5,'Turns'!E22),"Unknown")</f>
        <v>0.001347409784</v>
      </c>
      <c r="L3" s="2">
        <f>IF(COUNT('Turns'!F5,'Turns'!F22)=2,SUM('Turns'!F5,'Turns'!F22),"Unknown")</f>
        <v>0.0015316</v>
      </c>
      <c r="M3" s="2">
        <f>IF(COUNT('Turns'!D21)=1,SUM('Turns'!D21),"Unknown")</f>
        <v>0.0</v>
      </c>
      <c r="N3" s="2">
        <f>IF(COUNT('Turns'!E21)=1,SUM('Turns'!E21),"Unknown")</f>
        <v>0.0</v>
      </c>
      <c r="O3" s="2">
        <f>IF(COUNT('Turns'!F21)=1,SUM('Turns'!F21),"Unknown")</f>
        <v>0.0</v>
      </c>
      <c r="P3" s="2">
        <v>0</v>
      </c>
      <c r="Q3" s="2">
        <v>0</v>
      </c>
      <c r="R3" s="2">
        <v>0</v>
      </c>
      <c r="S3" s="2">
        <f>IF(COUNT('Turns'!D12,'Turns'!D27)=2,SUM('Turns'!D12,'Turns'!D27),"Unknown")</f>
        <v>846.0</v>
      </c>
      <c r="T3" s="2">
        <f>IF(COUNT('Turns'!E12,'Turns'!E27)=2,SUM('Turns'!E12,'Turns'!E27),"Unknown")</f>
        <v>0.000893112048</v>
      </c>
      <c r="U3" s="2">
        <f>IF(COUNT('Turns'!F12,'Turns'!F27)=2,SUM('Turns'!F12,'Turns'!F27),"Unknown")</f>
        <v>0.0010152</v>
      </c>
      <c r="V3" s="2">
        <v>0</v>
      </c>
      <c r="W3" s="2">
        <v>0</v>
      </c>
      <c r="X3" s="2">
        <v>0</v>
      </c>
      <c r="Y3" s="2">
        <f>IF(COUNT('Turns'!E16,'Turns'!E31)=2,SUM('Turns'!E16,'Turns'!E31),"Unknown")</f>
        <v>0.002240521832</v>
      </c>
      <c r="Z3" s="2">
        <f>IF(COUNT('Turns'!F16,'Turns'!F31)=2,SUM('Turns'!F16,'Turns'!F31),"Unknown")</f>
        <v>0.0025468</v>
      </c>
      <c r="AA3" s="5">
        <f>IF(ISNUMBER(Y3),ROUND(Y3*'Reference data'!$B$2,0),"Unknown")</f>
        <v>224.0</v>
      </c>
      <c r="AB3" s="5">
        <f>IF(ISNUMBER(Z3),ROUND(Z3*'Reference data'!$B$2,0),"Unknown")</f>
        <v>255.0</v>
      </c>
      <c r="AD3" s="1">
        <v>177.959</v>
      </c>
      <c r="AE3" s="1" t="s">
        <v>361</v>
      </c>
    </row>
    <row r="4" spans="1:31" ht="54" customHeight="1">
      <c r="A4" s="6" t="s">
        <v>365</v>
      </c>
      <c r="B4" s="1">
        <v>2</v>
      </c>
      <c r="C4" s="1" t="s">
        <v>359</v>
      </c>
      <c r="D4" s="1" t="s">
        <v>47</v>
      </c>
      <c r="E4" s="1" t="s">
        <v>141</v>
      </c>
      <c r="G4" s="6" t="s">
        <v>366</v>
      </c>
      <c r="H4" t="s">
        <v>367</v>
      </c>
      <c r="I4" t="s">
        <v>364</v>
      </c>
      <c r="J4" s="2">
        <f>IF(COUNT('Turns'!D5,'Turns'!D22)=2,SUM('Turns'!D5,'Turns'!D22),"Unknown")</f>
        <v>7658.0</v>
      </c>
      <c r="K4" s="2">
        <f>IF(COUNT('Turns'!E5,'Turns'!E22)=2,SUM('Turns'!E5,'Turns'!E22),"Unknown")</f>
        <v>0.001347409784</v>
      </c>
      <c r="L4" s="2">
        <f>IF(COUNT('Turns'!F5,'Turns'!F22)=2,SUM('Turns'!F5,'Turns'!F22),"Unknown")</f>
        <v>0.0015316</v>
      </c>
      <c r="M4" s="2">
        <f>IF(COUNT('Turns'!D21)=1,SUM('Turns'!D21),"Unknown")</f>
        <v>0.0</v>
      </c>
      <c r="N4" s="2">
        <f>IF(COUNT('Turns'!E21)=1,SUM('Turns'!E21),"Unknown")</f>
        <v>0.0</v>
      </c>
      <c r="O4" s="2">
        <f>IF(COUNT('Turns'!F21)=1,SUM('Turns'!F21),"Unknown")</f>
        <v>0.0</v>
      </c>
      <c r="P4" s="2">
        <v>0</v>
      </c>
      <c r="Q4" s="2">
        <v>0</v>
      </c>
      <c r="R4" s="2">
        <v>0</v>
      </c>
      <c r="S4" s="2">
        <f>IF(COUNT('Turns'!D12,'Turns'!D27)=2,SUM('Turns'!D12,'Turns'!D27),"Unknown")</f>
        <v>846.0</v>
      </c>
      <c r="T4" s="2">
        <f>IF(COUNT('Turns'!E12,'Turns'!E27)=2,SUM('Turns'!E12,'Turns'!E27),"Unknown")</f>
        <v>0.000893112048</v>
      </c>
      <c r="U4" s="2">
        <f>IF(COUNT('Turns'!F12,'Turns'!F27)=2,SUM('Turns'!F12,'Turns'!F27),"Unknown")</f>
        <v>0.0010152</v>
      </c>
      <c r="V4" s="2">
        <v>0</v>
      </c>
      <c r="W4" s="2">
        <v>0</v>
      </c>
      <c r="X4" s="2">
        <v>0</v>
      </c>
      <c r="Y4" s="2">
        <f>IF(COUNT('Turns'!E16,'Turns'!E31)=2,SUM('Turns'!E16,'Turns'!E31),"Unknown")</f>
        <v>0.002240521832</v>
      </c>
      <c r="Z4" s="2">
        <f>IF(COUNT('Turns'!F16,'Turns'!F31)=2,SUM('Turns'!F16,'Turns'!F31),"Unknown")</f>
        <v>0.0025468</v>
      </c>
      <c r="AA4" s="5">
        <f>IF(ISNUMBER(Y4),ROUND(Y4*'Reference data'!$B$2,0),"Unknown")</f>
        <v>224.0</v>
      </c>
      <c r="AB4" s="5">
        <f>IF(ISNUMBER(Z4),ROUND(Z4*'Reference data'!$B$2,0),"Unknown")</f>
        <v>255.0</v>
      </c>
      <c r="AD4" s="1">
        <v>175.824</v>
      </c>
      <c r="AE4" s="1" t="s">
        <v>361</v>
      </c>
    </row>
    <row r="5" spans="1:31" ht="54" customHeight="1">
      <c r="A5" s="6" t="s">
        <v>368</v>
      </c>
      <c r="B5" s="1">
        <v>3</v>
      </c>
      <c r="C5" s="1" t="s">
        <v>359</v>
      </c>
      <c r="D5" s="1" t="s">
        <v>47</v>
      </c>
      <c r="E5" s="1" t="s">
        <v>141</v>
      </c>
      <c r="G5" s="6" t="s">
        <v>369</v>
      </c>
      <c r="H5" t="s">
        <v>370</v>
      </c>
      <c r="I5" t="s">
        <v>367</v>
      </c>
      <c r="J5" s="2">
        <f>IF(COUNT('Turns'!D5,'Turns'!D22)=2,SUM('Turns'!D5,'Turns'!D22),"Unknown")</f>
        <v>7658.0</v>
      </c>
      <c r="K5" s="2">
        <f>IF(COUNT('Turns'!E5,'Turns'!E22)=2,SUM('Turns'!E5,'Turns'!E22),"Unknown")</f>
        <v>0.001347409784</v>
      </c>
      <c r="L5" s="2">
        <f>IF(COUNT('Turns'!F5,'Turns'!F22)=2,SUM('Turns'!F5,'Turns'!F22),"Unknown")</f>
        <v>0.0015316</v>
      </c>
      <c r="M5" s="2">
        <f>IF(COUNT('Turns'!D21)=1,SUM('Turns'!D21),"Unknown")</f>
        <v>0.0</v>
      </c>
      <c r="N5" s="2">
        <f>IF(COUNT('Turns'!E21)=1,SUM('Turns'!E21),"Unknown")</f>
        <v>0.0</v>
      </c>
      <c r="O5" s="2">
        <f>IF(COUNT('Turns'!F21)=1,SUM('Turns'!F21),"Unknown")</f>
        <v>0.0</v>
      </c>
      <c r="P5" s="2">
        <v>0</v>
      </c>
      <c r="Q5" s="2">
        <v>0</v>
      </c>
      <c r="R5" s="2">
        <v>0</v>
      </c>
      <c r="S5" s="2">
        <f>IF(COUNT('Turns'!D12,'Turns'!D27)=2,SUM('Turns'!D12,'Turns'!D27),"Unknown")</f>
        <v>846.0</v>
      </c>
      <c r="T5" s="2">
        <f>IF(COUNT('Turns'!E12,'Turns'!E27)=2,SUM('Turns'!E12,'Turns'!E27),"Unknown")</f>
        <v>0.000893112048</v>
      </c>
      <c r="U5" s="2">
        <f>IF(COUNT('Turns'!F12,'Turns'!F27)=2,SUM('Turns'!F12,'Turns'!F27),"Unknown")</f>
        <v>0.0010152</v>
      </c>
      <c r="V5" s="2">
        <v>0</v>
      </c>
      <c r="W5" s="2">
        <v>0</v>
      </c>
      <c r="X5" s="2">
        <v>0</v>
      </c>
      <c r="Y5" s="2">
        <f>IF(COUNT('Turns'!E16,'Turns'!E31)=2,SUM('Turns'!E16,'Turns'!E31),"Unknown")</f>
        <v>0.002240521832</v>
      </c>
      <c r="Z5" s="2">
        <f>IF(COUNT('Turns'!F16,'Turns'!F31)=2,SUM('Turns'!F16,'Turns'!F31),"Unknown")</f>
        <v>0.0025468</v>
      </c>
      <c r="AA5" s="5">
        <f>IF(ISNUMBER(Y5),ROUND(Y5*'Reference data'!$B$2,0),"Unknown")</f>
        <v>224.0</v>
      </c>
      <c r="AB5" s="5">
        <f>IF(ISNUMBER(Z5),ROUND(Z5*'Reference data'!$B$2,0),"Unknown")</f>
        <v>255.0</v>
      </c>
      <c r="AD5" s="1">
        <v>174.634</v>
      </c>
      <c r="AE5" s="1" t="s">
        <v>361</v>
      </c>
    </row>
    <row r="6" spans="1:31" ht="54" customHeight="1">
      <c r="A6" s="6" t="s">
        <v>371</v>
      </c>
      <c r="B6" s="1">
        <v>4</v>
      </c>
      <c r="C6" s="1" t="s">
        <v>359</v>
      </c>
      <c r="D6" s="1" t="s">
        <v>47</v>
      </c>
      <c r="E6" s="1" t="s">
        <v>141</v>
      </c>
      <c r="G6" s="6" t="s">
        <v>372</v>
      </c>
      <c r="H6" t="s">
        <v>373</v>
      </c>
      <c r="I6" t="s">
        <v>370</v>
      </c>
      <c r="AD6" s="1">
        <v>0.75</v>
      </c>
      <c r="AE6" s="1" t="s">
        <v>374</v>
      </c>
    </row>
    <row r="7" spans="1:31" ht="54" customHeight="1">
      <c r="A7" s="6" t="s">
        <v>375</v>
      </c>
      <c r="B7" s="1">
        <v>4</v>
      </c>
      <c r="C7" s="1" t="s">
        <v>359</v>
      </c>
      <c r="D7" s="1" t="s">
        <v>47</v>
      </c>
      <c r="E7" s="1" t="s">
        <v>141</v>
      </c>
      <c r="G7" s="6" t="s">
        <v>376</v>
      </c>
      <c r="H7" t="s">
        <v>377</v>
      </c>
      <c r="I7" t="s">
        <v>370</v>
      </c>
      <c r="J7" s="2">
        <f>IF(COUNT('Turns'!D5)=1,SUM('Turns'!D5),"Unknown")</f>
        <v>3426.0</v>
      </c>
      <c r="K7" s="2">
        <f>IF(COUNT('Turns'!E5)=1,SUM('Turns'!E5),"Unknown")</f>
        <v>0.000602797848</v>
      </c>
      <c r="L7" s="2">
        <f>IF(COUNT('Turns'!F5)=1,SUM('Turns'!F5),"Unknown")</f>
        <v>0.0006852</v>
      </c>
      <c r="M7" s="2">
        <v>0</v>
      </c>
      <c r="N7" s="2">
        <v>0</v>
      </c>
      <c r="O7" s="2">
        <v>0</v>
      </c>
      <c r="P7" s="2">
        <v>0</v>
      </c>
      <c r="Q7" s="2">
        <v>0</v>
      </c>
      <c r="R7" s="2">
        <v>0</v>
      </c>
      <c r="S7" s="2">
        <f>IF(COUNT('Turns'!D12)=1,SUM('Turns'!D12),"Unknown")</f>
        <v>773.0</v>
      </c>
      <c r="T7" s="2">
        <f>IF(COUNT('Turns'!E12)=1,SUM('Turns'!E12),"Unknown")</f>
        <v>0.000816046824</v>
      </c>
      <c r="U7" s="2">
        <f>IF(COUNT('Turns'!F12)=1,SUM('Turns'!F12),"Unknown")</f>
        <v>0.0009276</v>
      </c>
      <c r="V7" s="2">
        <v>0</v>
      </c>
      <c r="W7" s="2">
        <v>0</v>
      </c>
      <c r="X7" s="2">
        <v>0</v>
      </c>
      <c r="Y7" s="2">
        <f>IF(COUNT('Turns'!E16)=1,SUM('Turns'!E16),"Unknown")</f>
        <v>0.001418844672</v>
      </c>
      <c r="Z7" s="2">
        <f>IF(COUNT('Turns'!F16)=1,SUM('Turns'!F16),"Unknown")</f>
        <v>0.0016128</v>
      </c>
      <c r="AA7" s="5">
        <f>IF(ISNUMBER(Y7),ROUND(Y7*'Reference data'!$B$2,0),"Unknown")</f>
        <v>142.0</v>
      </c>
      <c r="AB7" s="5">
        <f>IF(ISNUMBER(Z7),ROUND(Z7*'Reference data'!$B$2,0),"Unknown")</f>
        <v>161.0</v>
      </c>
      <c r="AD7" s="1">
        <v>161.356</v>
      </c>
      <c r="AE7" s="1" t="s">
        <v>361</v>
      </c>
    </row>
    <row r="8" spans="1:31" ht="54" customHeight="1">
      <c r="A8" s="6" t="s">
        <v>378</v>
      </c>
      <c r="B8" s="1">
        <v>5</v>
      </c>
      <c r="C8" s="1" t="s">
        <v>379</v>
      </c>
      <c r="D8" s="1" t="s">
        <v>126</v>
      </c>
      <c r="E8" s="1" t="s">
        <v>141</v>
      </c>
      <c r="F8" s="1">
        <v>3426</v>
      </c>
      <c r="G8" s="6" t="s">
        <v>380</v>
      </c>
      <c r="H8" t="s">
        <v>127</v>
      </c>
      <c r="I8" t="s">
        <v>377</v>
      </c>
      <c r="J8" s="2">
        <f>IF(COUNT('Turns'!D5)=1,SUM('Turns'!D5),"Unknown")</f>
        <v>3426.0</v>
      </c>
      <c r="K8" s="2">
        <f>IF(COUNT('Turns'!E5)=1,SUM('Turns'!E5),"Unknown")</f>
        <v>0.000602797848</v>
      </c>
      <c r="L8" s="2">
        <f>IF(COUNT('Turns'!F5)=1,SUM('Turns'!F5),"Unknown")</f>
        <v>0.0006852</v>
      </c>
      <c r="M8" s="2">
        <v>0</v>
      </c>
      <c r="N8" s="2">
        <v>0</v>
      </c>
      <c r="O8" s="2">
        <v>0</v>
      </c>
      <c r="P8" s="2">
        <v>0</v>
      </c>
      <c r="Q8" s="2">
        <v>0</v>
      </c>
      <c r="R8" s="2">
        <v>0</v>
      </c>
      <c r="S8" s="2">
        <f>IF(COUNT('Turns'!D12)=1,SUM('Turns'!D12),"Unknown")</f>
        <v>773.0</v>
      </c>
      <c r="T8" s="2">
        <f>IF(COUNT('Turns'!E12)=1,SUM('Turns'!E12),"Unknown")</f>
        <v>0.000816046824</v>
      </c>
      <c r="U8" s="2">
        <f>IF(COUNT('Turns'!F12)=1,SUM('Turns'!F12),"Unknown")</f>
        <v>0.0009276</v>
      </c>
      <c r="V8" s="2">
        <v>0</v>
      </c>
      <c r="W8" s="2">
        <v>0</v>
      </c>
      <c r="X8" s="2">
        <v>0</v>
      </c>
      <c r="Y8" s="2">
        <f>IF(COUNT('Turns'!E16)=1,SUM('Turns'!E16),"Unknown")</f>
        <v>0.001418844672</v>
      </c>
      <c r="Z8" s="2">
        <f>IF(COUNT('Turns'!F16)=1,SUM('Turns'!F16),"Unknown")</f>
        <v>0.0016128</v>
      </c>
      <c r="AA8" s="5">
        <f>IF(ISNUMBER(Y8),ROUND(Y8*'Reference data'!$B$2,0),"Unknown")</f>
        <v>142.0</v>
      </c>
      <c r="AB8" s="5">
        <f>IF(ISNUMBER(Z8),ROUND(Z8*'Reference data'!$B$2,0),"Unknown")</f>
        <v>161.0</v>
      </c>
      <c r="AC8" s="1" t="s">
        <v>124</v>
      </c>
      <c r="AD8" s="1">
        <v>155.627</v>
      </c>
      <c r="AE8" s="1" t="s">
        <v>381</v>
      </c>
    </row>
    <row r="9" spans="1:31" ht="54" customHeight="1">
      <c r="A9" s="6" t="s">
        <v>382</v>
      </c>
      <c r="B9" s="1">
        <v>4</v>
      </c>
      <c r="C9" s="1" t="s">
        <v>359</v>
      </c>
      <c r="D9" s="1" t="s">
        <v>47</v>
      </c>
      <c r="E9" s="1" t="s">
        <v>141</v>
      </c>
      <c r="G9" s="6" t="s">
        <v>383</v>
      </c>
      <c r="H9" t="s">
        <v>384</v>
      </c>
      <c r="I9" t="s">
        <v>370</v>
      </c>
      <c r="AD9" s="1">
        <v>2.659</v>
      </c>
      <c r="AE9" s="1" t="s">
        <v>374</v>
      </c>
    </row>
    <row r="10" spans="1:31" ht="54" customHeight="1">
      <c r="A10" s="6" t="s">
        <v>385</v>
      </c>
      <c r="B10" s="1">
        <v>5</v>
      </c>
      <c r="C10" s="1" t="s">
        <v>386</v>
      </c>
      <c r="D10" s="1" t="s">
        <v>47</v>
      </c>
      <c r="E10" s="1" t="s">
        <v>141</v>
      </c>
      <c r="G10" s="6" t="s">
        <v>387</v>
      </c>
      <c r="H10" t="s">
        <v>143</v>
      </c>
      <c r="I10" t="s">
        <v>384</v>
      </c>
      <c r="AD10" s="1">
        <v>0.885</v>
      </c>
      <c r="AE10" s="1" t="s">
        <v>374</v>
      </c>
    </row>
    <row r="11" spans="1:31" ht="54" customHeight="1">
      <c r="A11" s="6" t="s">
        <v>371</v>
      </c>
      <c r="B11" s="1">
        <v>4</v>
      </c>
      <c r="C11" s="1" t="s">
        <v>359</v>
      </c>
      <c r="D11" s="1" t="s">
        <v>47</v>
      </c>
      <c r="E11" s="1" t="s">
        <v>141</v>
      </c>
      <c r="G11" s="6" t="s">
        <v>372</v>
      </c>
      <c r="H11" t="s">
        <v>388</v>
      </c>
      <c r="I11" t="s">
        <v>370</v>
      </c>
      <c r="AD11" s="1">
        <v>0.498</v>
      </c>
      <c r="AE11" s="1" t="s">
        <v>374</v>
      </c>
    </row>
    <row r="12" spans="1:31" ht="54" customHeight="1">
      <c r="A12" s="6" t="s">
        <v>375</v>
      </c>
      <c r="B12" s="1">
        <v>4</v>
      </c>
      <c r="C12" s="1" t="s">
        <v>359</v>
      </c>
      <c r="D12" s="1" t="s">
        <v>47</v>
      </c>
      <c r="E12" s="1" t="s">
        <v>141</v>
      </c>
      <c r="G12" s="6" t="s">
        <v>376</v>
      </c>
      <c r="H12" t="s">
        <v>389</v>
      </c>
      <c r="I12" t="s">
        <v>370</v>
      </c>
      <c r="J12" s="2">
        <f>IF(COUNT('Turns'!D22)=1,SUM('Turns'!D22),"Unknown")</f>
        <v>4232.0</v>
      </c>
      <c r="K12" s="2">
        <f>IF(COUNT('Turns'!E22)=1,SUM('Turns'!E22),"Unknown")</f>
        <v>0.000744611936</v>
      </c>
      <c r="L12" s="2">
        <f>IF(COUNT('Turns'!F22)=1,SUM('Turns'!F22),"Unknown")</f>
        <v>0.0008464</v>
      </c>
      <c r="M12" s="2">
        <f>IF(COUNT('Turns'!D21)=1,SUM('Turns'!D21),"Unknown")</f>
        <v>0.0</v>
      </c>
      <c r="N12" s="2">
        <f>IF(COUNT('Turns'!E21)=1,SUM('Turns'!E21),"Unknown")</f>
        <v>0.0</v>
      </c>
      <c r="O12" s="2">
        <f>IF(COUNT('Turns'!F21)=1,SUM('Turns'!F21),"Unknown")</f>
        <v>0.0</v>
      </c>
      <c r="P12" s="2">
        <v>0</v>
      </c>
      <c r="Q12" s="2">
        <v>0</v>
      </c>
      <c r="R12" s="2">
        <v>0</v>
      </c>
      <c r="S12" s="2">
        <f>IF(COUNT('Turns'!D27)=1,SUM('Turns'!D27),"Unknown")</f>
        <v>73.0</v>
      </c>
      <c r="T12" s="2">
        <f>IF(COUNT('Turns'!E27)=1,SUM('Turns'!E27),"Unknown")</f>
        <v>7.7065224e-05</v>
      </c>
      <c r="U12" s="2">
        <f>IF(COUNT('Turns'!F27)=1,SUM('Turns'!F27),"Unknown")</f>
        <v>8.76e-05</v>
      </c>
      <c r="V12" s="2">
        <v>0</v>
      </c>
      <c r="W12" s="2">
        <v>0</v>
      </c>
      <c r="X12" s="2">
        <v>0</v>
      </c>
      <c r="Y12" s="2">
        <f>IF(COUNT('Turns'!E31)=1,SUM('Turns'!E31),"Unknown")</f>
        <v>0.00082167716</v>
      </c>
      <c r="Z12" s="2">
        <f>IF(COUNT('Turns'!F31)=1,SUM('Turns'!F31),"Unknown")</f>
        <v>0.000934</v>
      </c>
      <c r="AA12" s="5">
        <f>IF(ISNUMBER(Y12),ROUND(Y12*'Reference data'!$B$2,0),"Unknown")</f>
        <v>82.0</v>
      </c>
      <c r="AB12" s="5">
        <f>IF(ISNUMBER(Z12),ROUND(Z12*'Reference data'!$B$2,0),"Unknown")</f>
        <v>93.0</v>
      </c>
      <c r="AD12" s="1">
        <v>4.513</v>
      </c>
      <c r="AE12" s="1" t="s">
        <v>361</v>
      </c>
    </row>
    <row r="13" spans="1:31" ht="54" customHeight="1">
      <c r="A13" s="6" t="s">
        <v>378</v>
      </c>
      <c r="B13" s="1">
        <v>5</v>
      </c>
      <c r="C13" s="1" t="s">
        <v>379</v>
      </c>
      <c r="D13" s="1" t="s">
        <v>126</v>
      </c>
      <c r="E13" s="1" t="s">
        <v>141</v>
      </c>
      <c r="F13" s="1">
        <v>4232</v>
      </c>
      <c r="G13" s="6" t="s">
        <v>380</v>
      </c>
      <c r="H13" t="s">
        <v>149</v>
      </c>
      <c r="I13" t="s">
        <v>389</v>
      </c>
      <c r="J13" s="2">
        <f>IF(COUNT('Turns'!D22)=1,SUM('Turns'!D22),"Unknown")</f>
        <v>4232.0</v>
      </c>
      <c r="K13" s="2">
        <f>IF(COUNT('Turns'!E22)=1,SUM('Turns'!E22),"Unknown")</f>
        <v>0.000744611936</v>
      </c>
      <c r="L13" s="2">
        <f>IF(COUNT('Turns'!F22)=1,SUM('Turns'!F22),"Unknown")</f>
        <v>0.0008464</v>
      </c>
      <c r="M13" s="2">
        <f>IF(COUNT('Turns'!D21)=1,SUM('Turns'!D21),"Unknown")</f>
        <v>0.0</v>
      </c>
      <c r="N13" s="2">
        <f>IF(COUNT('Turns'!E21)=1,SUM('Turns'!E21),"Unknown")</f>
        <v>0.0</v>
      </c>
      <c r="O13" s="2">
        <f>IF(COUNT('Turns'!F21)=1,SUM('Turns'!F21),"Unknown")</f>
        <v>0.0</v>
      </c>
      <c r="P13" s="2">
        <v>0</v>
      </c>
      <c r="Q13" s="2">
        <v>0</v>
      </c>
      <c r="R13" s="2">
        <v>0</v>
      </c>
      <c r="S13" s="2">
        <f>IF(COUNT('Turns'!D27)=1,SUM('Turns'!D27),"Unknown")</f>
        <v>73.0</v>
      </c>
      <c r="T13" s="2">
        <f>IF(COUNT('Turns'!E27)=1,SUM('Turns'!E27),"Unknown")</f>
        <v>7.7065224e-05</v>
      </c>
      <c r="U13" s="2">
        <f>IF(COUNT('Turns'!F27)=1,SUM('Turns'!F27),"Unknown")</f>
        <v>8.76e-05</v>
      </c>
      <c r="V13" s="2">
        <v>0</v>
      </c>
      <c r="W13" s="2">
        <v>0</v>
      </c>
      <c r="X13" s="2">
        <v>0</v>
      </c>
      <c r="Y13" s="2">
        <f>IF(COUNT('Turns'!E31)=1,SUM('Turns'!E31),"Unknown")</f>
        <v>0.00082167716</v>
      </c>
      <c r="Z13" s="2">
        <f>IF(COUNT('Turns'!F31)=1,SUM('Turns'!F31),"Unknown")</f>
        <v>0.000934</v>
      </c>
      <c r="AA13" s="5">
        <f>IF(ISNUMBER(Y13),ROUND(Y13*'Reference data'!$B$2,0),"Unknown")</f>
        <v>82.0</v>
      </c>
      <c r="AB13" s="5">
        <f>IF(ISNUMBER(Z13),ROUND(Z13*'Reference data'!$B$2,0),"Unknown")</f>
        <v>93.0</v>
      </c>
      <c r="AC13" s="1" t="s">
        <v>148</v>
      </c>
      <c r="AD13" s="1">
        <v>2.498</v>
      </c>
      <c r="AE13" s="1" t="s">
        <v>381</v>
      </c>
    </row>
    <row r="14" spans="1:31" ht="54" customHeight="1">
      <c r="A14" s="6" t="s">
        <v>390</v>
      </c>
      <c r="B14" s="1">
        <v>2</v>
      </c>
      <c r="C14" s="1" t="s">
        <v>359</v>
      </c>
      <c r="D14" s="1" t="s">
        <v>47</v>
      </c>
      <c r="E14" s="1" t="s">
        <v>141</v>
      </c>
      <c r="G14" s="6" t="s">
        <v>391</v>
      </c>
      <c r="H14" t="s">
        <v>392</v>
      </c>
      <c r="I14" t="s">
        <v>364</v>
      </c>
      <c r="AD14" s="1">
        <v>0.268</v>
      </c>
      <c r="AE14" s="1" t="s">
        <v>374</v>
      </c>
    </row>
    <row r="15" spans="1:31" ht="54" customHeight="1">
      <c r="A15" s="6" t="s">
        <v>393</v>
      </c>
      <c r="B15" s="1">
        <v>1</v>
      </c>
      <c r="C15" s="1" t="s">
        <v>359</v>
      </c>
      <c r="D15" s="1" t="s">
        <v>47</v>
      </c>
      <c r="E15" s="1" t="s">
        <v>141</v>
      </c>
      <c r="G15" s="6" t="s">
        <v>394</v>
      </c>
      <c r="H15" t="s">
        <v>395</v>
      </c>
      <c r="I15" t="s">
        <v>49</v>
      </c>
      <c r="J15" s="2">
        <f>IF(COUNT('Turns'!D33,'Turns'!D50,'Turns'!D65)=3,SUM('Turns'!D33,'Turns'!D50,'Turns'!D65),"Unknown")</f>
        <v>14782.0</v>
      </c>
      <c r="K15" s="2">
        <f>IF(COUNT('Turns'!E33,'Turns'!E50,'Turns'!E65)=3,SUM('Turns'!E33,'Turns'!E50,'Turns'!E65),"Unknown")</f>
        <v>0.002600863336</v>
      </c>
      <c r="L15" s="2">
        <f>IF(COUNT('Turns'!F33,'Turns'!F50,'Turns'!F65)=3,SUM('Turns'!F33,'Turns'!F50,'Turns'!F65),"Unknown")</f>
        <v>0.0029564</v>
      </c>
      <c r="M15" s="2">
        <f>IF(COUNT('Turns'!D49,'Turns'!D64)=2,SUM('Turns'!D49,'Turns'!D64),"Unknown")</f>
        <v>0.0</v>
      </c>
      <c r="N15" s="2">
        <f>IF(COUNT('Turns'!E49,'Turns'!E64)=2,SUM('Turns'!E49,'Turns'!E64),"Unknown")</f>
        <v>0.0</v>
      </c>
      <c r="O15" s="2">
        <f>IF(COUNT('Turns'!F49,'Turns'!F64)=2,SUM('Turns'!F49,'Turns'!F64),"Unknown")</f>
        <v>0.0</v>
      </c>
      <c r="P15" s="2">
        <v>0</v>
      </c>
      <c r="Q15" s="2">
        <v>0</v>
      </c>
      <c r="R15" s="2">
        <v>0</v>
      </c>
      <c r="S15" s="2">
        <f>IF(COUNT('Turns'!D40,'Turns'!D55,'Turns'!D70)=3,SUM('Turns'!D40,'Turns'!D55,'Turns'!D70),"Unknown")</f>
        <v>372.0</v>
      </c>
      <c r="T15" s="2">
        <f>IF(COUNT('Turns'!E40,'Turns'!E55,'Turns'!E70)=3,SUM('Turns'!E40,'Turns'!E55,'Turns'!E70),"Unknown")</f>
        <v>0.000392715936</v>
      </c>
      <c r="U15" s="2">
        <f>IF(COUNT('Turns'!F40,'Turns'!F55,'Turns'!F70)=3,SUM('Turns'!F40,'Turns'!F55,'Turns'!F70),"Unknown")</f>
        <v>0.0004464</v>
      </c>
      <c r="V15" s="2">
        <v>0</v>
      </c>
      <c r="W15" s="2">
        <v>0</v>
      </c>
      <c r="X15" s="2">
        <v>0</v>
      </c>
      <c r="Y15" s="2">
        <f>IF(COUNT('Turns'!E44,'Turns'!E59,'Turns'!E74)=3,SUM('Turns'!E44,'Turns'!E59,'Turns'!E74),"Unknown")</f>
        <v>0.002993579272</v>
      </c>
      <c r="Z15" s="2">
        <f>IF(COUNT('Turns'!F44,'Turns'!F59,'Turns'!F74)=3,SUM('Turns'!F44,'Turns'!F59,'Turns'!F74),"Unknown")</f>
        <v>0.0034028</v>
      </c>
      <c r="AA15" s="5">
        <f>IF(ISNUMBER(Y15),ROUND(Y15*'Reference data'!$B$2,0),"Unknown")</f>
        <v>299.0</v>
      </c>
      <c r="AB15" s="5">
        <f>IF(ISNUMBER(Z15),ROUND(Z15*'Reference data'!$B$2,0),"Unknown")</f>
        <v>340.0</v>
      </c>
      <c r="AD15" s="1">
        <v>33.227</v>
      </c>
      <c r="AE15" s="1" t="s">
        <v>361</v>
      </c>
    </row>
    <row r="16" spans="1:31" ht="54" customHeight="1">
      <c r="A16" s="6" t="s">
        <v>365</v>
      </c>
      <c r="B16" s="1">
        <v>2</v>
      </c>
      <c r="C16" s="1" t="s">
        <v>359</v>
      </c>
      <c r="D16" s="1" t="s">
        <v>47</v>
      </c>
      <c r="E16" s="1" t="s">
        <v>141</v>
      </c>
      <c r="G16" s="6" t="s">
        <v>366</v>
      </c>
      <c r="H16" t="s">
        <v>396</v>
      </c>
      <c r="I16" t="s">
        <v>395</v>
      </c>
      <c r="J16" s="2">
        <f>IF(COUNT('Turns'!D33,'Turns'!D50,'Turns'!D65)=3,SUM('Turns'!D33,'Turns'!D50,'Turns'!D65),"Unknown")</f>
        <v>14782.0</v>
      </c>
      <c r="K16" s="2">
        <f>IF(COUNT('Turns'!E33,'Turns'!E50,'Turns'!E65)=3,SUM('Turns'!E33,'Turns'!E50,'Turns'!E65),"Unknown")</f>
        <v>0.002600863336</v>
      </c>
      <c r="L16" s="2">
        <f>IF(COUNT('Turns'!F33,'Turns'!F50,'Turns'!F65)=3,SUM('Turns'!F33,'Turns'!F50,'Turns'!F65),"Unknown")</f>
        <v>0.0029564</v>
      </c>
      <c r="M16" s="2">
        <f>IF(COUNT('Turns'!D49,'Turns'!D64)=2,SUM('Turns'!D49,'Turns'!D64),"Unknown")</f>
        <v>0.0</v>
      </c>
      <c r="N16" s="2">
        <f>IF(COUNT('Turns'!E49,'Turns'!E64)=2,SUM('Turns'!E49,'Turns'!E64),"Unknown")</f>
        <v>0.0</v>
      </c>
      <c r="O16" s="2">
        <f>IF(COUNT('Turns'!F49,'Turns'!F64)=2,SUM('Turns'!F49,'Turns'!F64),"Unknown")</f>
        <v>0.0</v>
      </c>
      <c r="P16" s="2">
        <v>0</v>
      </c>
      <c r="Q16" s="2">
        <v>0</v>
      </c>
      <c r="R16" s="2">
        <v>0</v>
      </c>
      <c r="S16" s="2">
        <f>IF(COUNT('Turns'!D40,'Turns'!D55,'Turns'!D70)=3,SUM('Turns'!D40,'Turns'!D55,'Turns'!D70),"Unknown")</f>
        <v>372.0</v>
      </c>
      <c r="T16" s="2">
        <f>IF(COUNT('Turns'!E40,'Turns'!E55,'Turns'!E70)=3,SUM('Turns'!E40,'Turns'!E55,'Turns'!E70),"Unknown")</f>
        <v>0.000392715936</v>
      </c>
      <c r="U16" s="2">
        <f>IF(COUNT('Turns'!F40,'Turns'!F55,'Turns'!F70)=3,SUM('Turns'!F40,'Turns'!F55,'Turns'!F70),"Unknown")</f>
        <v>0.0004464</v>
      </c>
      <c r="V16" s="2">
        <v>0</v>
      </c>
      <c r="W16" s="2">
        <v>0</v>
      </c>
      <c r="X16" s="2">
        <v>0</v>
      </c>
      <c r="Y16" s="2">
        <f>IF(COUNT('Turns'!E44,'Turns'!E59,'Turns'!E74)=3,SUM('Turns'!E44,'Turns'!E59,'Turns'!E74),"Unknown")</f>
        <v>0.002993579272</v>
      </c>
      <c r="Z16" s="2">
        <f>IF(COUNT('Turns'!F44,'Turns'!F59,'Turns'!F74)=3,SUM('Turns'!F44,'Turns'!F59,'Turns'!F74),"Unknown")</f>
        <v>0.0034028</v>
      </c>
      <c r="AA16" s="5">
        <f>IF(ISNUMBER(Y16),ROUND(Y16*'Reference data'!$B$2,0),"Unknown")</f>
        <v>299.0</v>
      </c>
      <c r="AB16" s="5">
        <f>IF(ISNUMBER(Z16),ROUND(Z16*'Reference data'!$B$2,0),"Unknown")</f>
        <v>340.0</v>
      </c>
      <c r="AD16" s="1">
        <v>32.595</v>
      </c>
      <c r="AE16" s="1" t="s">
        <v>361</v>
      </c>
    </row>
    <row r="17" spans="1:31" ht="54" customHeight="1">
      <c r="A17" s="6" t="s">
        <v>397</v>
      </c>
      <c r="B17" s="1">
        <v>3</v>
      </c>
      <c r="C17" s="1" t="s">
        <v>359</v>
      </c>
      <c r="D17" s="1" t="s">
        <v>47</v>
      </c>
      <c r="E17" s="1" t="s">
        <v>141</v>
      </c>
      <c r="G17" s="6" t="s">
        <v>398</v>
      </c>
      <c r="H17" t="s">
        <v>399</v>
      </c>
      <c r="I17" t="s">
        <v>396</v>
      </c>
      <c r="J17" s="2">
        <f>IF(COUNT('Turns'!D33,'Turns'!D50,'Turns'!D65)=3,SUM('Turns'!D33,'Turns'!D50,'Turns'!D65),"Unknown")</f>
        <v>14782.0</v>
      </c>
      <c r="K17" s="2">
        <f>IF(COUNT('Turns'!E33,'Turns'!E50,'Turns'!E65)=3,SUM('Turns'!E33,'Turns'!E50,'Turns'!E65),"Unknown")</f>
        <v>0.002600863336</v>
      </c>
      <c r="L17" s="2">
        <f>IF(COUNT('Turns'!F33,'Turns'!F50,'Turns'!F65)=3,SUM('Turns'!F33,'Turns'!F50,'Turns'!F65),"Unknown")</f>
        <v>0.0029564</v>
      </c>
      <c r="M17" s="2">
        <f>IF(COUNT('Turns'!D49,'Turns'!D64)=2,SUM('Turns'!D49,'Turns'!D64),"Unknown")</f>
        <v>0.0</v>
      </c>
      <c r="N17" s="2">
        <f>IF(COUNT('Turns'!E49,'Turns'!E64)=2,SUM('Turns'!E49,'Turns'!E64),"Unknown")</f>
        <v>0.0</v>
      </c>
      <c r="O17" s="2">
        <f>IF(COUNT('Turns'!F49,'Turns'!F64)=2,SUM('Turns'!F49,'Turns'!F64),"Unknown")</f>
        <v>0.0</v>
      </c>
      <c r="P17" s="2">
        <v>0</v>
      </c>
      <c r="Q17" s="2">
        <v>0</v>
      </c>
      <c r="R17" s="2">
        <v>0</v>
      </c>
      <c r="S17" s="2">
        <f>IF(COUNT('Turns'!D40,'Turns'!D55,'Turns'!D70)=3,SUM('Turns'!D40,'Turns'!D55,'Turns'!D70),"Unknown")</f>
        <v>372.0</v>
      </c>
      <c r="T17" s="2">
        <f>IF(COUNT('Turns'!E40,'Turns'!E55,'Turns'!E70)=3,SUM('Turns'!E40,'Turns'!E55,'Turns'!E70),"Unknown")</f>
        <v>0.000392715936</v>
      </c>
      <c r="U17" s="2">
        <f>IF(COUNT('Turns'!F40,'Turns'!F55,'Turns'!F70)=3,SUM('Turns'!F40,'Turns'!F55,'Turns'!F70),"Unknown")</f>
        <v>0.0004464</v>
      </c>
      <c r="V17" s="2">
        <v>0</v>
      </c>
      <c r="W17" s="2">
        <v>0</v>
      </c>
      <c r="X17" s="2">
        <v>0</v>
      </c>
      <c r="Y17" s="2">
        <f>IF(COUNT('Turns'!E44,'Turns'!E59,'Turns'!E74)=3,SUM('Turns'!E44,'Turns'!E59,'Turns'!E74),"Unknown")</f>
        <v>0.002993579272</v>
      </c>
      <c r="Z17" s="2">
        <f>IF(COUNT('Turns'!F44,'Turns'!F59,'Turns'!F74)=3,SUM('Turns'!F44,'Turns'!F59,'Turns'!F74),"Unknown")</f>
        <v>0.0034028</v>
      </c>
      <c r="AA17" s="5">
        <f>IF(ISNUMBER(Y17),ROUND(Y17*'Reference data'!$B$2,0),"Unknown")</f>
        <v>299.0</v>
      </c>
      <c r="AB17" s="5">
        <f>IF(ISNUMBER(Z17),ROUND(Z17*'Reference data'!$B$2,0),"Unknown")</f>
        <v>340.0</v>
      </c>
      <c r="AD17" s="1">
        <v>31.899</v>
      </c>
      <c r="AE17" s="1" t="s">
        <v>361</v>
      </c>
    </row>
    <row r="18" spans="1:31" ht="54" customHeight="1">
      <c r="A18" s="6" t="s">
        <v>371</v>
      </c>
      <c r="B18" s="1">
        <v>4</v>
      </c>
      <c r="C18" s="1" t="s">
        <v>359</v>
      </c>
      <c r="D18" s="1" t="s">
        <v>47</v>
      </c>
      <c r="E18" s="1" t="s">
        <v>141</v>
      </c>
      <c r="G18" s="6" t="s">
        <v>372</v>
      </c>
      <c r="H18" t="s">
        <v>400</v>
      </c>
      <c r="I18" t="s">
        <v>399</v>
      </c>
      <c r="AD18" s="1">
        <v>0.508</v>
      </c>
      <c r="AE18" s="1" t="s">
        <v>374</v>
      </c>
    </row>
    <row r="19" spans="1:31" ht="54" customHeight="1">
      <c r="A19" s="6" t="s">
        <v>375</v>
      </c>
      <c r="B19" s="1">
        <v>4</v>
      </c>
      <c r="C19" s="1" t="s">
        <v>359</v>
      </c>
      <c r="D19" s="1" t="s">
        <v>47</v>
      </c>
      <c r="E19" s="1" t="s">
        <v>141</v>
      </c>
      <c r="G19" s="6" t="s">
        <v>376</v>
      </c>
      <c r="H19" t="s">
        <v>401</v>
      </c>
      <c r="I19" t="s">
        <v>399</v>
      </c>
      <c r="J19" s="2">
        <f>IF(COUNT('Turns'!D33)=1,SUM('Turns'!D33),"Unknown")</f>
        <v>4285.0</v>
      </c>
      <c r="K19" s="2">
        <f>IF(COUNT('Turns'!E33)=1,SUM('Turns'!E33),"Unknown")</f>
        <v>0.00075393718</v>
      </c>
      <c r="L19" s="2">
        <f>IF(COUNT('Turns'!F33)=1,SUM('Turns'!F33),"Unknown")</f>
        <v>0.000857</v>
      </c>
      <c r="M19" s="2">
        <v>0</v>
      </c>
      <c r="N19" s="2">
        <v>0</v>
      </c>
      <c r="O19" s="2">
        <v>0</v>
      </c>
      <c r="P19" s="2">
        <v>0</v>
      </c>
      <c r="Q19" s="2">
        <v>0</v>
      </c>
      <c r="R19" s="2">
        <v>0</v>
      </c>
      <c r="S19" s="2">
        <f>IF(COUNT('Turns'!D40)=1,SUM('Turns'!D40),"Unknown")</f>
        <v>56.0</v>
      </c>
      <c r="T19" s="2">
        <f>IF(COUNT('Turns'!E40)=1,SUM('Turns'!E40),"Unknown")</f>
        <v>5.9118528e-05</v>
      </c>
      <c r="U19" s="2">
        <f>IF(COUNT('Turns'!F40)=1,SUM('Turns'!F40),"Unknown")</f>
        <v>6.72e-05</v>
      </c>
      <c r="V19" s="2">
        <v>0</v>
      </c>
      <c r="W19" s="2">
        <v>0</v>
      </c>
      <c r="X19" s="2">
        <v>0</v>
      </c>
      <c r="Y19" s="2">
        <f>IF(COUNT('Turns'!E44)=1,SUM('Turns'!E44),"Unknown")</f>
        <v>0.000813055708</v>
      </c>
      <c r="Z19" s="2">
        <f>IF(COUNT('Turns'!F44)=1,SUM('Turns'!F44),"Unknown")</f>
        <v>0.0009242</v>
      </c>
      <c r="AA19" s="5">
        <f>IF(ISNUMBER(Y19),ROUND(Y19*'Reference data'!$B$2,0),"Unknown")</f>
        <v>81.0</v>
      </c>
      <c r="AB19" s="5">
        <f>IF(ISNUMBER(Z19),ROUND(Z19*'Reference data'!$B$2,0),"Unknown")</f>
        <v>92.0</v>
      </c>
      <c r="AD19" s="1">
        <v>7.012</v>
      </c>
      <c r="AE19" s="1" t="s">
        <v>361</v>
      </c>
    </row>
    <row r="20" spans="1:31" ht="54" customHeight="1">
      <c r="A20" s="6" t="s">
        <v>378</v>
      </c>
      <c r="B20" s="1">
        <v>5</v>
      </c>
      <c r="C20" s="1" t="s">
        <v>379</v>
      </c>
      <c r="D20" s="1" t="s">
        <v>126</v>
      </c>
      <c r="E20" s="1" t="s">
        <v>141</v>
      </c>
      <c r="F20" s="1">
        <v>4285</v>
      </c>
      <c r="G20" s="6" t="s">
        <v>402</v>
      </c>
      <c r="H20" t="s">
        <v>154</v>
      </c>
      <c r="I20" t="s">
        <v>401</v>
      </c>
      <c r="J20" s="2">
        <f>IF(COUNT('Turns'!D33)=1,SUM('Turns'!D33),"Unknown")</f>
        <v>4285.0</v>
      </c>
      <c r="K20" s="2">
        <f>IF(COUNT('Turns'!E33)=1,SUM('Turns'!E33),"Unknown")</f>
        <v>0.00075393718</v>
      </c>
      <c r="L20" s="2">
        <f>IF(COUNT('Turns'!F33)=1,SUM('Turns'!F33),"Unknown")</f>
        <v>0.000857</v>
      </c>
      <c r="M20" s="2">
        <v>0</v>
      </c>
      <c r="N20" s="2">
        <v>0</v>
      </c>
      <c r="O20" s="2">
        <v>0</v>
      </c>
      <c r="P20" s="2">
        <v>0</v>
      </c>
      <c r="Q20" s="2">
        <v>0</v>
      </c>
      <c r="R20" s="2">
        <v>0</v>
      </c>
      <c r="S20" s="2">
        <f>IF(COUNT('Turns'!D40)=1,SUM('Turns'!D40),"Unknown")</f>
        <v>56.0</v>
      </c>
      <c r="T20" s="2">
        <f>IF(COUNT('Turns'!E40)=1,SUM('Turns'!E40),"Unknown")</f>
        <v>5.9118528e-05</v>
      </c>
      <c r="U20" s="2">
        <f>IF(COUNT('Turns'!F40)=1,SUM('Turns'!F40),"Unknown")</f>
        <v>6.72e-05</v>
      </c>
      <c r="V20" s="2">
        <v>0</v>
      </c>
      <c r="W20" s="2">
        <v>0</v>
      </c>
      <c r="X20" s="2">
        <v>0</v>
      </c>
      <c r="Y20" s="2">
        <f>IF(COUNT('Turns'!E44)=1,SUM('Turns'!E44),"Unknown")</f>
        <v>0.000813055708</v>
      </c>
      <c r="Z20" s="2">
        <f>IF(COUNT('Turns'!F44)=1,SUM('Turns'!F44),"Unknown")</f>
        <v>0.0009242</v>
      </c>
      <c r="AA20" s="5">
        <f>IF(ISNUMBER(Y20),ROUND(Y20*'Reference data'!$B$2,0),"Unknown")</f>
        <v>81.0</v>
      </c>
      <c r="AB20" s="5">
        <f>IF(ISNUMBER(Z20),ROUND(Z20*'Reference data'!$B$2,0),"Unknown")</f>
        <v>92.0</v>
      </c>
      <c r="AC20" s="1" t="s">
        <v>153</v>
      </c>
      <c r="AD20" s="1">
        <v>3.094</v>
      </c>
      <c r="AE20" s="1" t="s">
        <v>381</v>
      </c>
    </row>
    <row r="21" spans="1:31" ht="54" customHeight="1">
      <c r="A21" s="6" t="s">
        <v>382</v>
      </c>
      <c r="B21" s="1">
        <v>4</v>
      </c>
      <c r="C21" s="1" t="s">
        <v>359</v>
      </c>
      <c r="D21" s="1" t="s">
        <v>47</v>
      </c>
      <c r="E21" s="1" t="s">
        <v>141</v>
      </c>
      <c r="G21" s="6" t="s">
        <v>383</v>
      </c>
      <c r="H21" t="s">
        <v>403</v>
      </c>
      <c r="I21" t="s">
        <v>399</v>
      </c>
      <c r="AD21" s="1">
        <v>4.682</v>
      </c>
      <c r="AE21" s="1" t="s">
        <v>374</v>
      </c>
    </row>
    <row r="22" spans="1:31" ht="54" customHeight="1">
      <c r="A22" s="6" t="s">
        <v>404</v>
      </c>
      <c r="B22" s="1">
        <v>5</v>
      </c>
      <c r="C22" s="1" t="s">
        <v>386</v>
      </c>
      <c r="D22" s="1" t="s">
        <v>47</v>
      </c>
      <c r="E22" s="1" t="s">
        <v>141</v>
      </c>
      <c r="G22" s="6" t="s">
        <v>405</v>
      </c>
      <c r="H22" t="s">
        <v>158</v>
      </c>
      <c r="I22" t="s">
        <v>403</v>
      </c>
      <c r="AD22" s="1">
        <v>3.598</v>
      </c>
      <c r="AE22" s="1" t="s">
        <v>374</v>
      </c>
    </row>
    <row r="23" spans="1:31" ht="54" customHeight="1">
      <c r="A23" s="6" t="s">
        <v>371</v>
      </c>
      <c r="B23" s="1">
        <v>4</v>
      </c>
      <c r="C23" s="1" t="s">
        <v>359</v>
      </c>
      <c r="D23" s="1" t="s">
        <v>47</v>
      </c>
      <c r="E23" s="1" t="s">
        <v>141</v>
      </c>
      <c r="G23" s="6" t="s">
        <v>372</v>
      </c>
      <c r="H23" t="s">
        <v>406</v>
      </c>
      <c r="I23" t="s">
        <v>399</v>
      </c>
      <c r="AD23" s="1">
        <v>0.792</v>
      </c>
      <c r="AE23" s="1" t="s">
        <v>374</v>
      </c>
    </row>
    <row r="24" spans="1:31" ht="54" customHeight="1">
      <c r="A24" s="6" t="s">
        <v>375</v>
      </c>
      <c r="B24" s="1">
        <v>4</v>
      </c>
      <c r="C24" s="1" t="s">
        <v>359</v>
      </c>
      <c r="D24" s="1" t="s">
        <v>47</v>
      </c>
      <c r="E24" s="1" t="s">
        <v>141</v>
      </c>
      <c r="G24" s="6" t="s">
        <v>376</v>
      </c>
      <c r="H24" t="s">
        <v>407</v>
      </c>
      <c r="I24" t="s">
        <v>399</v>
      </c>
      <c r="J24" s="2">
        <f>IF(COUNT('Turns'!D50)=1,SUM('Turns'!D50),"Unknown")</f>
        <v>5092.0</v>
      </c>
      <c r="K24" s="2">
        <f>IF(COUNT('Turns'!E50)=1,SUM('Turns'!E50),"Unknown")</f>
        <v>0.000895927216</v>
      </c>
      <c r="L24" s="2">
        <f>IF(COUNT('Turns'!F50)=1,SUM('Turns'!F50),"Unknown")</f>
        <v>0.0010184</v>
      </c>
      <c r="M24" s="2">
        <f>IF(COUNT('Turns'!D49)=1,SUM('Turns'!D49),"Unknown")</f>
        <v>0.0</v>
      </c>
      <c r="N24" s="2">
        <f>IF(COUNT('Turns'!E49)=1,SUM('Turns'!E49),"Unknown")</f>
        <v>0.0</v>
      </c>
      <c r="O24" s="2">
        <f>IF(COUNT('Turns'!F49)=1,SUM('Turns'!F49),"Unknown")</f>
        <v>0.0</v>
      </c>
      <c r="P24" s="2">
        <v>0</v>
      </c>
      <c r="Q24" s="2">
        <v>0</v>
      </c>
      <c r="R24" s="2">
        <v>0</v>
      </c>
      <c r="S24" s="2">
        <f>IF(COUNT('Turns'!D55)=1,SUM('Turns'!D55),"Unknown")</f>
        <v>280.0</v>
      </c>
      <c r="T24" s="2">
        <f>IF(COUNT('Turns'!E55)=1,SUM('Turns'!E55),"Unknown")</f>
        <v>0.00029559264</v>
      </c>
      <c r="U24" s="2">
        <f>IF(COUNT('Turns'!F55)=1,SUM('Turns'!F55),"Unknown")</f>
        <v>0.000336</v>
      </c>
      <c r="V24" s="2">
        <v>0</v>
      </c>
      <c r="W24" s="2">
        <v>0</v>
      </c>
      <c r="X24" s="2">
        <v>0</v>
      </c>
      <c r="Y24" s="2">
        <f>IF(COUNT('Turns'!E59)=1,SUM('Turns'!E59),"Unknown")</f>
        <v>0.001191519856</v>
      </c>
      <c r="Z24" s="2">
        <f>IF(COUNT('Turns'!F59)=1,SUM('Turns'!F59),"Unknown")</f>
        <v>0.0013544</v>
      </c>
      <c r="AA24" s="5">
        <f>IF(ISNUMBER(Y24),ROUND(Y24*'Reference data'!$B$2,0),"Unknown")</f>
        <v>119.0</v>
      </c>
      <c r="AB24" s="5">
        <f>IF(ISNUMBER(Z24),ROUND(Z24*'Reference data'!$B$2,0),"Unknown")</f>
        <v>135.0</v>
      </c>
      <c r="AD24" s="1">
        <v>6.165</v>
      </c>
      <c r="AE24" s="1" t="s">
        <v>361</v>
      </c>
    </row>
    <row r="25" spans="1:31" ht="54" customHeight="1">
      <c r="A25" s="6" t="s">
        <v>378</v>
      </c>
      <c r="B25" s="1">
        <v>5</v>
      </c>
      <c r="C25" s="1" t="s">
        <v>379</v>
      </c>
      <c r="D25" s="1" t="s">
        <v>126</v>
      </c>
      <c r="E25" s="1" t="s">
        <v>141</v>
      </c>
      <c r="F25" s="1">
        <v>5092</v>
      </c>
      <c r="G25" s="6" t="s">
        <v>402</v>
      </c>
      <c r="H25" t="s">
        <v>162</v>
      </c>
      <c r="I25" t="s">
        <v>407</v>
      </c>
      <c r="J25" s="2">
        <f>IF(COUNT('Turns'!D50)=1,SUM('Turns'!D50),"Unknown")</f>
        <v>5092.0</v>
      </c>
      <c r="K25" s="2">
        <f>IF(COUNT('Turns'!E50)=1,SUM('Turns'!E50),"Unknown")</f>
        <v>0.000895927216</v>
      </c>
      <c r="L25" s="2">
        <f>IF(COUNT('Turns'!F50)=1,SUM('Turns'!F50),"Unknown")</f>
        <v>0.0010184</v>
      </c>
      <c r="M25" s="2">
        <f>IF(COUNT('Turns'!D49)=1,SUM('Turns'!D49),"Unknown")</f>
        <v>0.0</v>
      </c>
      <c r="N25" s="2">
        <f>IF(COUNT('Turns'!E49)=1,SUM('Turns'!E49),"Unknown")</f>
        <v>0.0</v>
      </c>
      <c r="O25" s="2">
        <f>IF(COUNT('Turns'!F49)=1,SUM('Turns'!F49),"Unknown")</f>
        <v>0.0</v>
      </c>
      <c r="P25" s="2">
        <v>0</v>
      </c>
      <c r="Q25" s="2">
        <v>0</v>
      </c>
      <c r="R25" s="2">
        <v>0</v>
      </c>
      <c r="S25" s="2">
        <f>IF(COUNT('Turns'!D55)=1,SUM('Turns'!D55),"Unknown")</f>
        <v>280.0</v>
      </c>
      <c r="T25" s="2">
        <f>IF(COUNT('Turns'!E55)=1,SUM('Turns'!E55),"Unknown")</f>
        <v>0.00029559264</v>
      </c>
      <c r="U25" s="2">
        <f>IF(COUNT('Turns'!F55)=1,SUM('Turns'!F55),"Unknown")</f>
        <v>0.000336</v>
      </c>
      <c r="V25" s="2">
        <v>0</v>
      </c>
      <c r="W25" s="2">
        <v>0</v>
      </c>
      <c r="X25" s="2">
        <v>0</v>
      </c>
      <c r="Y25" s="2">
        <f>IF(COUNT('Turns'!E59)=1,SUM('Turns'!E59),"Unknown")</f>
        <v>0.001191519856</v>
      </c>
      <c r="Z25" s="2">
        <f>IF(COUNT('Turns'!F59)=1,SUM('Turns'!F59),"Unknown")</f>
        <v>0.0013544</v>
      </c>
      <c r="AA25" s="5">
        <f>IF(ISNUMBER(Y25),ROUND(Y25*'Reference data'!$B$2,0),"Unknown")</f>
        <v>119.0</v>
      </c>
      <c r="AB25" s="5">
        <f>IF(ISNUMBER(Z25),ROUND(Z25*'Reference data'!$B$2,0),"Unknown")</f>
        <v>135.0</v>
      </c>
      <c r="AC25" s="1" t="s">
        <v>161</v>
      </c>
      <c r="AD25" s="1">
        <v>4.105</v>
      </c>
      <c r="AE25" s="1" t="s">
        <v>381</v>
      </c>
    </row>
    <row r="26" spans="1:31" ht="54" customHeight="1">
      <c r="A26" s="6" t="s">
        <v>382</v>
      </c>
      <c r="B26" s="1">
        <v>4</v>
      </c>
      <c r="C26" s="1" t="s">
        <v>359</v>
      </c>
      <c r="D26" s="1" t="s">
        <v>47</v>
      </c>
      <c r="E26" s="1" t="s">
        <v>141</v>
      </c>
      <c r="G26" s="6" t="s">
        <v>383</v>
      </c>
      <c r="H26" t="s">
        <v>408</v>
      </c>
      <c r="I26" t="s">
        <v>399</v>
      </c>
      <c r="AD26" s="1">
        <v>1.961</v>
      </c>
      <c r="AE26" s="1" t="s">
        <v>374</v>
      </c>
    </row>
    <row r="27" spans="1:31" ht="54" customHeight="1">
      <c r="A27" s="6" t="s">
        <v>385</v>
      </c>
      <c r="B27" s="1">
        <v>5</v>
      </c>
      <c r="C27" s="1" t="s">
        <v>386</v>
      </c>
      <c r="D27" s="1" t="s">
        <v>47</v>
      </c>
      <c r="E27" s="1" t="s">
        <v>141</v>
      </c>
      <c r="G27" s="6" t="s">
        <v>387</v>
      </c>
      <c r="H27" t="s">
        <v>164</v>
      </c>
      <c r="I27" t="s">
        <v>408</v>
      </c>
      <c r="AD27" s="1">
        <v>0.819</v>
      </c>
      <c r="AE27" s="1" t="s">
        <v>374</v>
      </c>
    </row>
    <row r="28" spans="1:31" ht="54" customHeight="1">
      <c r="A28" s="6" t="s">
        <v>371</v>
      </c>
      <c r="B28" s="1">
        <v>4</v>
      </c>
      <c r="C28" s="1" t="s">
        <v>359</v>
      </c>
      <c r="D28" s="1" t="s">
        <v>47</v>
      </c>
      <c r="E28" s="1" t="s">
        <v>141</v>
      </c>
      <c r="G28" s="6" t="s">
        <v>372</v>
      </c>
      <c r="H28" t="s">
        <v>409</v>
      </c>
      <c r="I28" t="s">
        <v>399</v>
      </c>
      <c r="AD28" s="1">
        <v>0.5590000000000001</v>
      </c>
      <c r="AE28" s="1" t="s">
        <v>374</v>
      </c>
    </row>
    <row r="29" spans="1:31" ht="54" customHeight="1">
      <c r="A29" s="6" t="s">
        <v>375</v>
      </c>
      <c r="B29" s="1">
        <v>4</v>
      </c>
      <c r="C29" s="1" t="s">
        <v>359</v>
      </c>
      <c r="D29" s="1" t="s">
        <v>47</v>
      </c>
      <c r="E29" s="1" t="s">
        <v>141</v>
      </c>
      <c r="G29" s="6" t="s">
        <v>376</v>
      </c>
      <c r="H29" t="s">
        <v>410</v>
      </c>
      <c r="I29" t="s">
        <v>399</v>
      </c>
      <c r="J29" s="2">
        <f>IF(COUNT('Turns'!D65)=1,SUM('Turns'!D65),"Unknown")</f>
        <v>5405.0</v>
      </c>
      <c r="K29" s="2">
        <f>IF(COUNT('Turns'!E65)=1,SUM('Turns'!E65),"Unknown")</f>
        <v>0.00095099894</v>
      </c>
      <c r="L29" s="2">
        <f>IF(COUNT('Turns'!F65)=1,SUM('Turns'!F65),"Unknown")</f>
        <v>0.001081</v>
      </c>
      <c r="M29" s="2">
        <f>IF(COUNT('Turns'!D64)=1,SUM('Turns'!D64),"Unknown")</f>
        <v>0.0</v>
      </c>
      <c r="N29" s="2">
        <f>IF(COUNT('Turns'!E64)=1,SUM('Turns'!E64),"Unknown")</f>
        <v>0.0</v>
      </c>
      <c r="O29" s="2">
        <f>IF(COUNT('Turns'!F64)=1,SUM('Turns'!F64),"Unknown")</f>
        <v>0.0</v>
      </c>
      <c r="P29" s="2">
        <v>0</v>
      </c>
      <c r="Q29" s="2">
        <v>0</v>
      </c>
      <c r="R29" s="2">
        <v>0</v>
      </c>
      <c r="S29" s="2">
        <f>IF(COUNT('Turns'!D70)=1,SUM('Turns'!D70),"Unknown")</f>
        <v>36.0</v>
      </c>
      <c r="T29" s="2">
        <f>IF(COUNT('Turns'!E70)=1,SUM('Turns'!E70),"Unknown")</f>
        <v>3.8004768e-05</v>
      </c>
      <c r="U29" s="2">
        <f>IF(COUNT('Turns'!F70)=1,SUM('Turns'!F70),"Unknown")</f>
        <v>4.32e-05</v>
      </c>
      <c r="V29" s="2">
        <v>0</v>
      </c>
      <c r="W29" s="2">
        <v>0</v>
      </c>
      <c r="X29" s="2">
        <v>0</v>
      </c>
      <c r="Y29" s="2">
        <f>IF(COUNT('Turns'!E74)=1,SUM('Turns'!E74),"Unknown")</f>
        <v>0.000989003708</v>
      </c>
      <c r="Z29" s="2">
        <f>IF(COUNT('Turns'!F74)=1,SUM('Turns'!F74),"Unknown")</f>
        <v>0.0011242</v>
      </c>
      <c r="AA29" s="5">
        <f>IF(ISNUMBER(Y29),ROUND(Y29*'Reference data'!$B$2,0),"Unknown")</f>
        <v>99.0</v>
      </c>
      <c r="AB29" s="5">
        <f>IF(ISNUMBER(Z29),ROUND(Z29*'Reference data'!$B$2,0),"Unknown")</f>
        <v>112.0</v>
      </c>
      <c r="AD29" s="1">
        <v>4.967</v>
      </c>
      <c r="AE29" s="1" t="s">
        <v>361</v>
      </c>
    </row>
    <row r="30" spans="1:31" ht="54" customHeight="1">
      <c r="A30" s="6" t="s">
        <v>378</v>
      </c>
      <c r="B30" s="1">
        <v>5</v>
      </c>
      <c r="C30" s="1" t="s">
        <v>379</v>
      </c>
      <c r="D30" s="1" t="s">
        <v>126</v>
      </c>
      <c r="E30" s="1" t="s">
        <v>141</v>
      </c>
      <c r="F30" s="1">
        <v>5405</v>
      </c>
      <c r="G30" s="6" t="s">
        <v>402</v>
      </c>
      <c r="H30" t="s">
        <v>168</v>
      </c>
      <c r="I30" t="s">
        <v>410</v>
      </c>
      <c r="J30" s="2">
        <f>IF(COUNT('Turns'!D65)=1,SUM('Turns'!D65),"Unknown")</f>
        <v>5405.0</v>
      </c>
      <c r="K30" s="2">
        <f>IF(COUNT('Turns'!E65)=1,SUM('Turns'!E65),"Unknown")</f>
        <v>0.00095099894</v>
      </c>
      <c r="L30" s="2">
        <f>IF(COUNT('Turns'!F65)=1,SUM('Turns'!F65),"Unknown")</f>
        <v>0.001081</v>
      </c>
      <c r="M30" s="2">
        <f>IF(COUNT('Turns'!D64)=1,SUM('Turns'!D64),"Unknown")</f>
        <v>0.0</v>
      </c>
      <c r="N30" s="2">
        <f>IF(COUNT('Turns'!E64)=1,SUM('Turns'!E64),"Unknown")</f>
        <v>0.0</v>
      </c>
      <c r="O30" s="2">
        <f>IF(COUNT('Turns'!F64)=1,SUM('Turns'!F64),"Unknown")</f>
        <v>0.0</v>
      </c>
      <c r="P30" s="2">
        <v>0</v>
      </c>
      <c r="Q30" s="2">
        <v>0</v>
      </c>
      <c r="R30" s="2">
        <v>0</v>
      </c>
      <c r="S30" s="2">
        <f>IF(COUNT('Turns'!D70)=1,SUM('Turns'!D70),"Unknown")</f>
        <v>36.0</v>
      </c>
      <c r="T30" s="2">
        <f>IF(COUNT('Turns'!E70)=1,SUM('Turns'!E70),"Unknown")</f>
        <v>3.8004768e-05</v>
      </c>
      <c r="U30" s="2">
        <f>IF(COUNT('Turns'!F70)=1,SUM('Turns'!F70),"Unknown")</f>
        <v>4.32e-05</v>
      </c>
      <c r="V30" s="2">
        <v>0</v>
      </c>
      <c r="W30" s="2">
        <v>0</v>
      </c>
      <c r="X30" s="2">
        <v>0</v>
      </c>
      <c r="Y30" s="2">
        <f>IF(COUNT('Turns'!E74)=1,SUM('Turns'!E74),"Unknown")</f>
        <v>0.000989003708</v>
      </c>
      <c r="Z30" s="2">
        <f>IF(COUNT('Turns'!F74)=1,SUM('Turns'!F74),"Unknown")</f>
        <v>0.0011242</v>
      </c>
      <c r="AA30" s="5">
        <f>IF(ISNUMBER(Y30),ROUND(Y30*'Reference data'!$B$2,0),"Unknown")</f>
        <v>99.0</v>
      </c>
      <c r="AB30" s="5">
        <f>IF(ISNUMBER(Z30),ROUND(Z30*'Reference data'!$B$2,0),"Unknown")</f>
        <v>112.0</v>
      </c>
      <c r="AC30" s="1" t="s">
        <v>167</v>
      </c>
      <c r="AD30" s="1">
        <v>3.013</v>
      </c>
      <c r="AE30" s="1" t="s">
        <v>381</v>
      </c>
    </row>
    <row r="31" spans="1:31" ht="54" customHeight="1">
      <c r="A31" s="6" t="s">
        <v>411</v>
      </c>
      <c r="B31" s="1">
        <v>1</v>
      </c>
      <c r="C31" s="1" t="s">
        <v>359</v>
      </c>
      <c r="D31" s="1" t="s">
        <v>47</v>
      </c>
      <c r="E31" s="1" t="s">
        <v>141</v>
      </c>
      <c r="G31" s="6" t="s">
        <v>412</v>
      </c>
      <c r="H31" t="s">
        <v>413</v>
      </c>
      <c r="I31" t="s">
        <v>49</v>
      </c>
      <c r="AD31" s="1">
        <v>0.361</v>
      </c>
      <c r="AE31" s="1" t="s">
        <v>374</v>
      </c>
    </row>
    <row r="32" spans="1:31" ht="54" customHeight="1">
      <c r="A32" s="6" t="s">
        <v>414</v>
      </c>
      <c r="B32" s="1">
        <v>1</v>
      </c>
      <c r="C32" s="1" t="s">
        <v>359</v>
      </c>
      <c r="D32" s="1" t="s">
        <v>47</v>
      </c>
      <c r="E32" s="1" t="s">
        <v>141</v>
      </c>
      <c r="G32" s="6" t="s">
        <v>415</v>
      </c>
      <c r="H32" t="s">
        <v>416</v>
      </c>
      <c r="I32" t="s">
        <v>49</v>
      </c>
      <c r="J32" s="2">
        <f>IF(COUNT('Turns'!D76,'Turns'!D92,'Turns'!D107)=3,SUM('Turns'!D76,'Turns'!D92,'Turns'!D107),"Unknown")</f>
        <v>6569.0</v>
      </c>
      <c r="K32" s="2">
        <f>IF(COUNT('Turns'!E76,'Turns'!E92,'Turns'!E107)=3,SUM('Turns'!E76,'Turns'!E92,'Turns'!E107),"Unknown")</f>
        <v>0.001155802412</v>
      </c>
      <c r="L32" s="2">
        <f>IF(COUNT('Turns'!F76,'Turns'!F92,'Turns'!F107)=3,SUM('Turns'!F76,'Turns'!F92,'Turns'!F107),"Unknown")</f>
        <v>0.0013138</v>
      </c>
      <c r="M32" s="2">
        <f>IF(COUNT('Turns'!D91,'Turns'!D106)=2,SUM('Turns'!D91,'Turns'!D106),"Unknown")</f>
        <v>0.0</v>
      </c>
      <c r="N32" s="2">
        <f>IF(COUNT('Turns'!E91,'Turns'!E106)=2,SUM('Turns'!E91,'Turns'!E106),"Unknown")</f>
        <v>0.0</v>
      </c>
      <c r="O32" s="2">
        <f>IF(COUNT('Turns'!F91,'Turns'!F106)=2,SUM('Turns'!F91,'Turns'!F106),"Unknown")</f>
        <v>0.0</v>
      </c>
      <c r="P32" s="2">
        <v>0</v>
      </c>
      <c r="Q32" s="2">
        <v>0</v>
      </c>
      <c r="R32" s="2">
        <v>0</v>
      </c>
      <c r="S32" s="2">
        <f>IF(COUNT('Turns'!D82,'Turns'!D97,'Turns'!D112)=3,SUM('Turns'!D82,'Turns'!D97,'Turns'!D112),"Unknown")</f>
        <v>189.0</v>
      </c>
      <c r="T32" s="2">
        <f>IF(COUNT('Turns'!E82,'Turns'!E97,'Turns'!E112)=3,SUM('Turns'!E82,'Turns'!E97,'Turns'!E112),"Unknown")</f>
        <v>0.000199525032</v>
      </c>
      <c r="U32" s="2">
        <f>IF(COUNT('Turns'!F82,'Turns'!F97,'Turns'!F112)=3,SUM('Turns'!F82,'Turns'!F97,'Turns'!F112),"Unknown")</f>
        <v>0.0002268</v>
      </c>
      <c r="V32" s="2">
        <v>0</v>
      </c>
      <c r="W32" s="2">
        <v>0</v>
      </c>
      <c r="X32" s="2">
        <v>0</v>
      </c>
      <c r="Y32" s="2">
        <f>IF(COUNT('Turns'!E86,'Turns'!E101,'Turns'!E116)=3,SUM('Turns'!E86,'Turns'!E101,'Turns'!E116),"Unknown")</f>
        <v>0.001355327444</v>
      </c>
      <c r="Z32" s="2">
        <f>IF(COUNT('Turns'!F86,'Turns'!F101,'Turns'!F116)=3,SUM('Turns'!F86,'Turns'!F101,'Turns'!F116),"Unknown")</f>
        <v>0.0015406</v>
      </c>
      <c r="AA32" s="5">
        <f>IF(ISNUMBER(Y32),ROUND(Y32*'Reference data'!$B$2,0),"Unknown")</f>
        <v>136.0</v>
      </c>
      <c r="AB32" s="5">
        <f>IF(ISNUMBER(Z32),ROUND(Z32*'Reference data'!$B$2,0),"Unknown")</f>
        <v>154.0</v>
      </c>
      <c r="AD32" s="1">
        <v>22.074</v>
      </c>
      <c r="AE32" s="1" t="s">
        <v>361</v>
      </c>
    </row>
    <row r="33" spans="1:31" ht="54" customHeight="1">
      <c r="A33" s="6" t="s">
        <v>365</v>
      </c>
      <c r="B33" s="1">
        <v>2</v>
      </c>
      <c r="C33" s="1" t="s">
        <v>359</v>
      </c>
      <c r="D33" s="1" t="s">
        <v>47</v>
      </c>
      <c r="E33" s="1" t="s">
        <v>141</v>
      </c>
      <c r="G33" s="6" t="s">
        <v>366</v>
      </c>
      <c r="H33" t="s">
        <v>417</v>
      </c>
      <c r="I33" t="s">
        <v>416</v>
      </c>
      <c r="J33" s="2">
        <f>IF(COUNT('Turns'!D76,'Turns'!D92,'Turns'!D107)=3,SUM('Turns'!D76,'Turns'!D92,'Turns'!D107),"Unknown")</f>
        <v>6569.0</v>
      </c>
      <c r="K33" s="2">
        <f>IF(COUNT('Turns'!E76,'Turns'!E92,'Turns'!E107)=3,SUM('Turns'!E76,'Turns'!E92,'Turns'!E107),"Unknown")</f>
        <v>0.001155802412</v>
      </c>
      <c r="L33" s="2">
        <f>IF(COUNT('Turns'!F76,'Turns'!F92,'Turns'!F107)=3,SUM('Turns'!F76,'Turns'!F92,'Turns'!F107),"Unknown")</f>
        <v>0.0013138</v>
      </c>
      <c r="M33" s="2">
        <f>IF(COUNT('Turns'!D91,'Turns'!D106)=2,SUM('Turns'!D91,'Turns'!D106),"Unknown")</f>
        <v>0.0</v>
      </c>
      <c r="N33" s="2">
        <f>IF(COUNT('Turns'!E91,'Turns'!E106)=2,SUM('Turns'!E91,'Turns'!E106),"Unknown")</f>
        <v>0.0</v>
      </c>
      <c r="O33" s="2">
        <f>IF(COUNT('Turns'!F91,'Turns'!F106)=2,SUM('Turns'!F91,'Turns'!F106),"Unknown")</f>
        <v>0.0</v>
      </c>
      <c r="P33" s="2">
        <v>0</v>
      </c>
      <c r="Q33" s="2">
        <v>0</v>
      </c>
      <c r="R33" s="2">
        <v>0</v>
      </c>
      <c r="S33" s="2">
        <f>IF(COUNT('Turns'!D82,'Turns'!D97,'Turns'!D112)=3,SUM('Turns'!D82,'Turns'!D97,'Turns'!D112),"Unknown")</f>
        <v>189.0</v>
      </c>
      <c r="T33" s="2">
        <f>IF(COUNT('Turns'!E82,'Turns'!E97,'Turns'!E112)=3,SUM('Turns'!E82,'Turns'!E97,'Turns'!E112),"Unknown")</f>
        <v>0.000199525032</v>
      </c>
      <c r="U33" s="2">
        <f>IF(COUNT('Turns'!F82,'Turns'!F97,'Turns'!F112)=3,SUM('Turns'!F82,'Turns'!F97,'Turns'!F112),"Unknown")</f>
        <v>0.0002268</v>
      </c>
      <c r="V33" s="2">
        <v>0</v>
      </c>
      <c r="W33" s="2">
        <v>0</v>
      </c>
      <c r="X33" s="2">
        <v>0</v>
      </c>
      <c r="Y33" s="2">
        <f>IF(COUNT('Turns'!E86,'Turns'!E101,'Turns'!E116)=3,SUM('Turns'!E86,'Turns'!E101,'Turns'!E116),"Unknown")</f>
        <v>0.001355327444</v>
      </c>
      <c r="Z33" s="2">
        <f>IF(COUNT('Turns'!F86,'Turns'!F101,'Turns'!F116)=3,SUM('Turns'!F86,'Turns'!F101,'Turns'!F116),"Unknown")</f>
        <v>0.0015406</v>
      </c>
      <c r="AA33" s="5">
        <f>IF(ISNUMBER(Y33),ROUND(Y33*'Reference data'!$B$2,0),"Unknown")</f>
        <v>136.0</v>
      </c>
      <c r="AB33" s="5">
        <f>IF(ISNUMBER(Z33),ROUND(Z33*'Reference data'!$B$2,0),"Unknown")</f>
        <v>154.0</v>
      </c>
      <c r="AD33" s="1">
        <v>20.812</v>
      </c>
      <c r="AE33" s="1" t="s">
        <v>361</v>
      </c>
    </row>
    <row r="34" spans="1:31" ht="54" customHeight="1">
      <c r="A34" s="6" t="s">
        <v>418</v>
      </c>
      <c r="B34" s="1">
        <v>3</v>
      </c>
      <c r="C34" s="1" t="s">
        <v>359</v>
      </c>
      <c r="D34" s="1" t="s">
        <v>47</v>
      </c>
      <c r="E34" s="1" t="s">
        <v>141</v>
      </c>
      <c r="G34" s="6" t="s">
        <v>419</v>
      </c>
      <c r="H34" t="s">
        <v>420</v>
      </c>
      <c r="I34" t="s">
        <v>417</v>
      </c>
      <c r="J34" s="2">
        <f>IF(COUNT('Turns'!D76,'Turns'!D92,'Turns'!D107)=3,SUM('Turns'!D76,'Turns'!D92,'Turns'!D107),"Unknown")</f>
        <v>6569.0</v>
      </c>
      <c r="K34" s="2">
        <f>IF(COUNT('Turns'!E76,'Turns'!E92,'Turns'!E107)=3,SUM('Turns'!E76,'Turns'!E92,'Turns'!E107),"Unknown")</f>
        <v>0.001155802412</v>
      </c>
      <c r="L34" s="2">
        <f>IF(COUNT('Turns'!F76,'Turns'!F92,'Turns'!F107)=3,SUM('Turns'!F76,'Turns'!F92,'Turns'!F107),"Unknown")</f>
        <v>0.0013138</v>
      </c>
      <c r="M34" s="2">
        <f>IF(COUNT('Turns'!D91,'Turns'!D106)=2,SUM('Turns'!D91,'Turns'!D106),"Unknown")</f>
        <v>0.0</v>
      </c>
      <c r="N34" s="2">
        <f>IF(COUNT('Turns'!E91,'Turns'!E106)=2,SUM('Turns'!E91,'Turns'!E106),"Unknown")</f>
        <v>0.0</v>
      </c>
      <c r="O34" s="2">
        <f>IF(COUNT('Turns'!F91,'Turns'!F106)=2,SUM('Turns'!F91,'Turns'!F106),"Unknown")</f>
        <v>0.0</v>
      </c>
      <c r="P34" s="2">
        <v>0</v>
      </c>
      <c r="Q34" s="2">
        <v>0</v>
      </c>
      <c r="R34" s="2">
        <v>0</v>
      </c>
      <c r="S34" s="2">
        <f>IF(COUNT('Turns'!D82,'Turns'!D97,'Turns'!D112)=3,SUM('Turns'!D82,'Turns'!D97,'Turns'!D112),"Unknown")</f>
        <v>189.0</v>
      </c>
      <c r="T34" s="2">
        <f>IF(COUNT('Turns'!E82,'Turns'!E97,'Turns'!E112)=3,SUM('Turns'!E82,'Turns'!E97,'Turns'!E112),"Unknown")</f>
        <v>0.000199525032</v>
      </c>
      <c r="U34" s="2">
        <f>IF(COUNT('Turns'!F82,'Turns'!F97,'Turns'!F112)=3,SUM('Turns'!F82,'Turns'!F97,'Turns'!F112),"Unknown")</f>
        <v>0.0002268</v>
      </c>
      <c r="V34" s="2">
        <v>0</v>
      </c>
      <c r="W34" s="2">
        <v>0</v>
      </c>
      <c r="X34" s="2">
        <v>0</v>
      </c>
      <c r="Y34" s="2">
        <f>IF(COUNT('Turns'!E86,'Turns'!E101,'Turns'!E116)=3,SUM('Turns'!E86,'Turns'!E101,'Turns'!E116),"Unknown")</f>
        <v>0.001355327444</v>
      </c>
      <c r="Z34" s="2">
        <f>IF(COUNT('Turns'!F86,'Turns'!F101,'Turns'!F116)=3,SUM('Turns'!F86,'Turns'!F101,'Turns'!F116),"Unknown")</f>
        <v>0.0015406</v>
      </c>
      <c r="AA34" s="5">
        <f>IF(ISNUMBER(Y34),ROUND(Y34*'Reference data'!$B$2,0),"Unknown")</f>
        <v>136.0</v>
      </c>
      <c r="AB34" s="5">
        <f>IF(ISNUMBER(Z34),ROUND(Z34*'Reference data'!$B$2,0),"Unknown")</f>
        <v>154.0</v>
      </c>
      <c r="AD34" s="1">
        <v>19.968</v>
      </c>
      <c r="AE34" s="1" t="s">
        <v>361</v>
      </c>
    </row>
    <row r="35" spans="1:31" ht="54" customHeight="1">
      <c r="A35" s="6" t="s">
        <v>375</v>
      </c>
      <c r="B35" s="1">
        <v>4</v>
      </c>
      <c r="C35" s="1" t="s">
        <v>359</v>
      </c>
      <c r="D35" s="1" t="s">
        <v>47</v>
      </c>
      <c r="E35" s="1" t="s">
        <v>141</v>
      </c>
      <c r="G35" s="6" t="s">
        <v>376</v>
      </c>
      <c r="H35" t="s">
        <v>421</v>
      </c>
      <c r="I35" t="s">
        <v>420</v>
      </c>
      <c r="J35" s="2">
        <f>IF(COUNT('Turns'!D76)=1,SUM('Turns'!D76),"Unknown")</f>
        <v>1547.0</v>
      </c>
      <c r="K35" s="2">
        <f>IF(COUNT('Turns'!E76)=1,SUM('Turns'!E76),"Unknown")</f>
        <v>0.000272191556</v>
      </c>
      <c r="L35" s="2">
        <f>IF(COUNT('Turns'!F76)=1,SUM('Turns'!F76),"Unknown")</f>
        <v>0.0003094</v>
      </c>
      <c r="M35" s="2">
        <v>0</v>
      </c>
      <c r="N35" s="2">
        <v>0</v>
      </c>
      <c r="O35" s="2">
        <v>0</v>
      </c>
      <c r="P35" s="2">
        <v>0</v>
      </c>
      <c r="Q35" s="2">
        <v>0</v>
      </c>
      <c r="R35" s="2">
        <v>0</v>
      </c>
      <c r="S35" s="2">
        <f>IF(COUNT('Turns'!D82)=1,SUM('Turns'!D82),"Unknown")</f>
        <v>56.0</v>
      </c>
      <c r="T35" s="2">
        <f>IF(COUNT('Turns'!E82)=1,SUM('Turns'!E82),"Unknown")</f>
        <v>5.9118528e-05</v>
      </c>
      <c r="U35" s="2">
        <f>IF(COUNT('Turns'!F82)=1,SUM('Turns'!F82),"Unknown")</f>
        <v>6.72e-05</v>
      </c>
      <c r="V35" s="2">
        <v>0</v>
      </c>
      <c r="W35" s="2">
        <v>0</v>
      </c>
      <c r="X35" s="2">
        <v>0</v>
      </c>
      <c r="Y35" s="2">
        <f>IF(COUNT('Turns'!E86)=1,SUM('Turns'!E86),"Unknown")</f>
        <v>0.000331310084</v>
      </c>
      <c r="Z35" s="2">
        <f>IF(COUNT('Turns'!F86)=1,SUM('Turns'!F86),"Unknown")</f>
        <v>0.0003766</v>
      </c>
      <c r="AA35" s="5">
        <f>IF(ISNUMBER(Y35),ROUND(Y35*'Reference data'!$B$2,0),"Unknown")</f>
        <v>33.0</v>
      </c>
      <c r="AB35" s="5">
        <f>IF(ISNUMBER(Z35),ROUND(Z35*'Reference data'!$B$2,0),"Unknown")</f>
        <v>38.0</v>
      </c>
      <c r="AD35" s="1">
        <v>4.533</v>
      </c>
      <c r="AE35" s="1" t="s">
        <v>361</v>
      </c>
    </row>
    <row r="36" spans="1:31" ht="54" customHeight="1">
      <c r="A36" s="6" t="s">
        <v>378</v>
      </c>
      <c r="B36" s="1">
        <v>5</v>
      </c>
      <c r="C36" s="1" t="s">
        <v>379</v>
      </c>
      <c r="D36" s="1" t="s">
        <v>126</v>
      </c>
      <c r="E36" s="1" t="s">
        <v>141</v>
      </c>
      <c r="F36" s="1">
        <v>1547</v>
      </c>
      <c r="G36" s="6" t="s">
        <v>422</v>
      </c>
      <c r="H36" t="s">
        <v>171</v>
      </c>
      <c r="I36" t="s">
        <v>421</v>
      </c>
      <c r="J36" s="2">
        <f>IF(COUNT('Turns'!D76)=1,SUM('Turns'!D76),"Unknown")</f>
        <v>1547.0</v>
      </c>
      <c r="K36" s="2">
        <f>IF(COUNT('Turns'!E76)=1,SUM('Turns'!E76),"Unknown")</f>
        <v>0.000272191556</v>
      </c>
      <c r="L36" s="2">
        <f>IF(COUNT('Turns'!F76)=1,SUM('Turns'!F76),"Unknown")</f>
        <v>0.0003094</v>
      </c>
      <c r="M36" s="2">
        <v>0</v>
      </c>
      <c r="N36" s="2">
        <v>0</v>
      </c>
      <c r="O36" s="2">
        <v>0</v>
      </c>
      <c r="P36" s="2">
        <v>0</v>
      </c>
      <c r="Q36" s="2">
        <v>0</v>
      </c>
      <c r="R36" s="2">
        <v>0</v>
      </c>
      <c r="S36" s="2">
        <f>IF(COUNT('Turns'!D82)=1,SUM('Turns'!D82),"Unknown")</f>
        <v>56.0</v>
      </c>
      <c r="T36" s="2">
        <f>IF(COUNT('Turns'!E82)=1,SUM('Turns'!E82),"Unknown")</f>
        <v>5.9118528e-05</v>
      </c>
      <c r="U36" s="2">
        <f>IF(COUNT('Turns'!F82)=1,SUM('Turns'!F82),"Unknown")</f>
        <v>6.72e-05</v>
      </c>
      <c r="V36" s="2">
        <v>0</v>
      </c>
      <c r="W36" s="2">
        <v>0</v>
      </c>
      <c r="X36" s="2">
        <v>0</v>
      </c>
      <c r="Y36" s="2">
        <f>IF(COUNT('Turns'!E86)=1,SUM('Turns'!E86),"Unknown")</f>
        <v>0.000331310084</v>
      </c>
      <c r="Z36" s="2">
        <f>IF(COUNT('Turns'!F86)=1,SUM('Turns'!F86),"Unknown")</f>
        <v>0.0003766</v>
      </c>
      <c r="AA36" s="5">
        <f>IF(ISNUMBER(Y36),ROUND(Y36*'Reference data'!$B$2,0),"Unknown")</f>
        <v>33.0</v>
      </c>
      <c r="AB36" s="5">
        <f>IF(ISNUMBER(Z36),ROUND(Z36*'Reference data'!$B$2,0),"Unknown")</f>
        <v>38.0</v>
      </c>
      <c r="AC36" s="1" t="s">
        <v>170</v>
      </c>
      <c r="AD36" s="1">
        <v>2.367</v>
      </c>
      <c r="AE36" s="1" t="s">
        <v>381</v>
      </c>
    </row>
    <row r="37" spans="1:31" ht="54" customHeight="1">
      <c r="A37" s="6" t="s">
        <v>382</v>
      </c>
      <c r="B37" s="1">
        <v>4</v>
      </c>
      <c r="C37" s="1" t="s">
        <v>359</v>
      </c>
      <c r="D37" s="1" t="s">
        <v>47</v>
      </c>
      <c r="E37" s="1" t="s">
        <v>141</v>
      </c>
      <c r="G37" s="6" t="s">
        <v>383</v>
      </c>
      <c r="H37" t="s">
        <v>423</v>
      </c>
      <c r="I37" t="s">
        <v>420</v>
      </c>
      <c r="AD37" s="1">
        <v>1.908</v>
      </c>
      <c r="AE37" s="1" t="s">
        <v>374</v>
      </c>
    </row>
    <row r="38" spans="1:31" ht="54" customHeight="1">
      <c r="A38" s="6" t="s">
        <v>404</v>
      </c>
      <c r="B38" s="1">
        <v>5</v>
      </c>
      <c r="C38" s="1" t="s">
        <v>386</v>
      </c>
      <c r="D38" s="1" t="s">
        <v>47</v>
      </c>
      <c r="E38" s="1" t="s">
        <v>141</v>
      </c>
      <c r="G38" s="6" t="s">
        <v>405</v>
      </c>
      <c r="H38" t="s">
        <v>174</v>
      </c>
      <c r="I38" t="s">
        <v>423</v>
      </c>
      <c r="AD38" s="1">
        <v>0.829</v>
      </c>
      <c r="AE38" s="1" t="s">
        <v>374</v>
      </c>
    </row>
    <row r="39" spans="1:31" ht="54" customHeight="1">
      <c r="A39" s="6" t="s">
        <v>375</v>
      </c>
      <c r="B39" s="1">
        <v>4</v>
      </c>
      <c r="C39" s="1" t="s">
        <v>359</v>
      </c>
      <c r="D39" s="1" t="s">
        <v>47</v>
      </c>
      <c r="E39" s="1" t="s">
        <v>141</v>
      </c>
      <c r="G39" s="6" t="s">
        <v>376</v>
      </c>
      <c r="H39" t="s">
        <v>424</v>
      </c>
      <c r="I39" t="s">
        <v>420</v>
      </c>
      <c r="J39" s="2">
        <f>IF(COUNT('Turns'!D92)=1,SUM('Turns'!D92),"Unknown")</f>
        <v>2354.0</v>
      </c>
      <c r="K39" s="2">
        <f>IF(COUNT('Turns'!E92)=1,SUM('Turns'!E92),"Unknown")</f>
        <v>0.000414181592</v>
      </c>
      <c r="L39" s="2">
        <f>IF(COUNT('Turns'!F92)=1,SUM('Turns'!F92),"Unknown")</f>
        <v>0.0004708</v>
      </c>
      <c r="M39" s="2">
        <f>IF(COUNT('Turns'!D91)=1,SUM('Turns'!D91),"Unknown")</f>
        <v>0.0</v>
      </c>
      <c r="N39" s="2">
        <f>IF(COUNT('Turns'!E91)=1,SUM('Turns'!E91),"Unknown")</f>
        <v>0.0</v>
      </c>
      <c r="O39" s="2">
        <f>IF(COUNT('Turns'!F91)=1,SUM('Turns'!F91),"Unknown")</f>
        <v>0.0</v>
      </c>
      <c r="P39" s="2">
        <v>0</v>
      </c>
      <c r="Q39" s="2">
        <v>0</v>
      </c>
      <c r="R39" s="2">
        <v>0</v>
      </c>
      <c r="S39" s="2">
        <f>IF(COUNT('Turns'!D97)=1,SUM('Turns'!D97),"Unknown")</f>
        <v>56.0</v>
      </c>
      <c r="T39" s="2">
        <f>IF(COUNT('Turns'!E97)=1,SUM('Turns'!E97),"Unknown")</f>
        <v>5.9118528e-05</v>
      </c>
      <c r="U39" s="2">
        <f>IF(COUNT('Turns'!F97)=1,SUM('Turns'!F97),"Unknown")</f>
        <v>6.72e-05</v>
      </c>
      <c r="V39" s="2">
        <v>0</v>
      </c>
      <c r="W39" s="2">
        <v>0</v>
      </c>
      <c r="X39" s="2">
        <v>0</v>
      </c>
      <c r="Y39" s="2">
        <f>IF(COUNT('Turns'!E101)=1,SUM('Turns'!E101),"Unknown")</f>
        <v>0.00047330012</v>
      </c>
      <c r="Z39" s="2">
        <f>IF(COUNT('Turns'!F101)=1,SUM('Turns'!F101),"Unknown")</f>
        <v>0.000538</v>
      </c>
      <c r="AA39" s="5">
        <f>IF(ISNUMBER(Y39),ROUND(Y39*'Reference data'!$B$2,0),"Unknown")</f>
        <v>47.0</v>
      </c>
      <c r="AB39" s="5">
        <f>IF(ISNUMBER(Z39),ROUND(Z39*'Reference data'!$B$2,0),"Unknown")</f>
        <v>54.0</v>
      </c>
      <c r="AD39" s="1">
        <v>3.548</v>
      </c>
      <c r="AE39" s="1" t="s">
        <v>361</v>
      </c>
    </row>
    <row r="40" spans="1:31" ht="54" customHeight="1">
      <c r="A40" s="6" t="s">
        <v>378</v>
      </c>
      <c r="B40" s="1">
        <v>5</v>
      </c>
      <c r="C40" s="1" t="s">
        <v>379</v>
      </c>
      <c r="D40" s="1" t="s">
        <v>126</v>
      </c>
      <c r="E40" s="1" t="s">
        <v>141</v>
      </c>
      <c r="F40" s="1">
        <v>2354</v>
      </c>
      <c r="G40" s="6" t="s">
        <v>422</v>
      </c>
      <c r="H40" t="s">
        <v>176</v>
      </c>
      <c r="I40" t="s">
        <v>424</v>
      </c>
      <c r="J40" s="2">
        <f>IF(COUNT('Turns'!D92)=1,SUM('Turns'!D92),"Unknown")</f>
        <v>2354.0</v>
      </c>
      <c r="K40" s="2">
        <f>IF(COUNT('Turns'!E92)=1,SUM('Turns'!E92),"Unknown")</f>
        <v>0.000414181592</v>
      </c>
      <c r="L40" s="2">
        <f>IF(COUNT('Turns'!F92)=1,SUM('Turns'!F92),"Unknown")</f>
        <v>0.0004708</v>
      </c>
      <c r="M40" s="2">
        <f>IF(COUNT('Turns'!D91)=1,SUM('Turns'!D91),"Unknown")</f>
        <v>0.0</v>
      </c>
      <c r="N40" s="2">
        <f>IF(COUNT('Turns'!E91)=1,SUM('Turns'!E91),"Unknown")</f>
        <v>0.0</v>
      </c>
      <c r="O40" s="2">
        <f>IF(COUNT('Turns'!F91)=1,SUM('Turns'!F91),"Unknown")</f>
        <v>0.0</v>
      </c>
      <c r="P40" s="2">
        <v>0</v>
      </c>
      <c r="Q40" s="2">
        <v>0</v>
      </c>
      <c r="R40" s="2">
        <v>0</v>
      </c>
      <c r="S40" s="2">
        <f>IF(COUNT('Turns'!D97)=1,SUM('Turns'!D97),"Unknown")</f>
        <v>56.0</v>
      </c>
      <c r="T40" s="2">
        <f>IF(COUNT('Turns'!E97)=1,SUM('Turns'!E97),"Unknown")</f>
        <v>5.9118528e-05</v>
      </c>
      <c r="U40" s="2">
        <f>IF(COUNT('Turns'!F97)=1,SUM('Turns'!F97),"Unknown")</f>
        <v>6.72e-05</v>
      </c>
      <c r="V40" s="2">
        <v>0</v>
      </c>
      <c r="W40" s="2">
        <v>0</v>
      </c>
      <c r="X40" s="2">
        <v>0</v>
      </c>
      <c r="Y40" s="2">
        <f>IF(COUNT('Turns'!E101)=1,SUM('Turns'!E101),"Unknown")</f>
        <v>0.00047330012</v>
      </c>
      <c r="Z40" s="2">
        <f>IF(COUNT('Turns'!F101)=1,SUM('Turns'!F101),"Unknown")</f>
        <v>0.000538</v>
      </c>
      <c r="AA40" s="5">
        <f>IF(ISNUMBER(Y40),ROUND(Y40*'Reference data'!$B$2,0),"Unknown")</f>
        <v>47.0</v>
      </c>
      <c r="AB40" s="5">
        <f>IF(ISNUMBER(Z40),ROUND(Z40*'Reference data'!$B$2,0),"Unknown")</f>
        <v>54.0</v>
      </c>
      <c r="AC40" s="1" t="s">
        <v>175</v>
      </c>
      <c r="AD40" s="1">
        <v>2.303</v>
      </c>
      <c r="AE40" s="1" t="s">
        <v>381</v>
      </c>
    </row>
    <row r="41" spans="1:31" ht="54" customHeight="1">
      <c r="A41" s="6" t="s">
        <v>382</v>
      </c>
      <c r="B41" s="1">
        <v>4</v>
      </c>
      <c r="C41" s="1" t="s">
        <v>359</v>
      </c>
      <c r="D41" s="1" t="s">
        <v>47</v>
      </c>
      <c r="E41" s="1" t="s">
        <v>141</v>
      </c>
      <c r="G41" s="6" t="s">
        <v>383</v>
      </c>
      <c r="H41" t="s">
        <v>425</v>
      </c>
      <c r="I41" t="s">
        <v>420</v>
      </c>
      <c r="AD41" s="1">
        <v>2.629</v>
      </c>
      <c r="AE41" s="1" t="s">
        <v>374</v>
      </c>
    </row>
    <row r="42" spans="1:31" ht="54" customHeight="1">
      <c r="A42" s="6" t="s">
        <v>404</v>
      </c>
      <c r="B42" s="1">
        <v>5</v>
      </c>
      <c r="C42" s="1" t="s">
        <v>386</v>
      </c>
      <c r="D42" s="1" t="s">
        <v>47</v>
      </c>
      <c r="E42" s="1" t="s">
        <v>141</v>
      </c>
      <c r="G42" s="6" t="s">
        <v>405</v>
      </c>
      <c r="H42" t="s">
        <v>178</v>
      </c>
      <c r="I42" t="s">
        <v>425</v>
      </c>
      <c r="AD42" s="1">
        <v>1.534</v>
      </c>
      <c r="AE42" s="1" t="s">
        <v>374</v>
      </c>
    </row>
    <row r="43" spans="1:31" ht="54" customHeight="1">
      <c r="A43" s="6" t="s">
        <v>375</v>
      </c>
      <c r="B43" s="1">
        <v>4</v>
      </c>
      <c r="C43" s="1" t="s">
        <v>359</v>
      </c>
      <c r="D43" s="1" t="s">
        <v>47</v>
      </c>
      <c r="E43" s="1" t="s">
        <v>141</v>
      </c>
      <c r="G43" s="6" t="s">
        <v>376</v>
      </c>
      <c r="H43" t="s">
        <v>426</v>
      </c>
      <c r="I43" t="s">
        <v>420</v>
      </c>
      <c r="J43" s="2">
        <f>IF(COUNT('Turns'!D107)=1,SUM('Turns'!D107),"Unknown")</f>
        <v>2668.0</v>
      </c>
      <c r="K43" s="2">
        <f>IF(COUNT('Turns'!E107)=1,SUM('Turns'!E107),"Unknown")</f>
        <v>0.000469429264</v>
      </c>
      <c r="L43" s="2">
        <f>IF(COUNT('Turns'!F107)=1,SUM('Turns'!F107),"Unknown")</f>
        <v>0.0005336</v>
      </c>
      <c r="M43" s="2">
        <f>IF(COUNT('Turns'!D106)=1,SUM('Turns'!D106),"Unknown")</f>
        <v>0.0</v>
      </c>
      <c r="N43" s="2">
        <f>IF(COUNT('Turns'!E106)=1,SUM('Turns'!E106),"Unknown")</f>
        <v>0.0</v>
      </c>
      <c r="O43" s="2">
        <f>IF(COUNT('Turns'!F106)=1,SUM('Turns'!F106),"Unknown")</f>
        <v>0.0</v>
      </c>
      <c r="P43" s="2">
        <v>0</v>
      </c>
      <c r="Q43" s="2">
        <v>0</v>
      </c>
      <c r="R43" s="2">
        <v>0</v>
      </c>
      <c r="S43" s="2">
        <f>IF(COUNT('Turns'!D112)=1,SUM('Turns'!D112),"Unknown")</f>
        <v>77.0</v>
      </c>
      <c r="T43" s="2">
        <f>IF(COUNT('Turns'!E112)=1,SUM('Turns'!E112),"Unknown")</f>
        <v>8.1287976e-05</v>
      </c>
      <c r="U43" s="2">
        <f>IF(COUNT('Turns'!F112)=1,SUM('Turns'!F112),"Unknown")</f>
        <v>9.24e-05</v>
      </c>
      <c r="V43" s="2">
        <v>0</v>
      </c>
      <c r="W43" s="2">
        <v>0</v>
      </c>
      <c r="X43" s="2">
        <v>0</v>
      </c>
      <c r="Y43" s="2">
        <f>IF(COUNT('Turns'!E116)=1,SUM('Turns'!E116),"Unknown")</f>
        <v>0.00055071724</v>
      </c>
      <c r="Z43" s="2">
        <f>IF(COUNT('Turns'!F116)=1,SUM('Turns'!F116),"Unknown")</f>
        <v>0.000626</v>
      </c>
      <c r="AA43" s="5">
        <f>IF(ISNUMBER(Y43),ROUND(Y43*'Reference data'!$B$2,0),"Unknown")</f>
        <v>55.0</v>
      </c>
      <c r="AB43" s="5">
        <f>IF(ISNUMBER(Z43),ROUND(Z43*'Reference data'!$B$2,0),"Unknown")</f>
        <v>63.0</v>
      </c>
      <c r="AD43" s="1">
        <v>3.994</v>
      </c>
      <c r="AE43" s="1" t="s">
        <v>361</v>
      </c>
    </row>
    <row r="44" spans="1:31" ht="54" customHeight="1">
      <c r="A44" s="6" t="s">
        <v>378</v>
      </c>
      <c r="B44" s="1">
        <v>5</v>
      </c>
      <c r="C44" s="1" t="s">
        <v>379</v>
      </c>
      <c r="D44" s="1" t="s">
        <v>126</v>
      </c>
      <c r="E44" s="1" t="s">
        <v>141</v>
      </c>
      <c r="F44" s="1">
        <v>2668</v>
      </c>
      <c r="G44" s="6" t="s">
        <v>422</v>
      </c>
      <c r="H44" t="s">
        <v>182</v>
      </c>
      <c r="I44" t="s">
        <v>426</v>
      </c>
      <c r="J44" s="2">
        <f>IF(COUNT('Turns'!D107)=1,SUM('Turns'!D107),"Unknown")</f>
        <v>2668.0</v>
      </c>
      <c r="K44" s="2">
        <f>IF(COUNT('Turns'!E107)=1,SUM('Turns'!E107),"Unknown")</f>
        <v>0.000469429264</v>
      </c>
      <c r="L44" s="2">
        <f>IF(COUNT('Turns'!F107)=1,SUM('Turns'!F107),"Unknown")</f>
        <v>0.0005336</v>
      </c>
      <c r="M44" s="2">
        <f>IF(COUNT('Turns'!D106)=1,SUM('Turns'!D106),"Unknown")</f>
        <v>0.0</v>
      </c>
      <c r="N44" s="2">
        <f>IF(COUNT('Turns'!E106)=1,SUM('Turns'!E106),"Unknown")</f>
        <v>0.0</v>
      </c>
      <c r="O44" s="2">
        <f>IF(COUNT('Turns'!F106)=1,SUM('Turns'!F106),"Unknown")</f>
        <v>0.0</v>
      </c>
      <c r="P44" s="2">
        <v>0</v>
      </c>
      <c r="Q44" s="2">
        <v>0</v>
      </c>
      <c r="R44" s="2">
        <v>0</v>
      </c>
      <c r="S44" s="2">
        <f>IF(COUNT('Turns'!D112)=1,SUM('Turns'!D112),"Unknown")</f>
        <v>77.0</v>
      </c>
      <c r="T44" s="2">
        <f>IF(COUNT('Turns'!E112)=1,SUM('Turns'!E112),"Unknown")</f>
        <v>8.1287976e-05</v>
      </c>
      <c r="U44" s="2">
        <f>IF(COUNT('Turns'!F112)=1,SUM('Turns'!F112),"Unknown")</f>
        <v>9.24e-05</v>
      </c>
      <c r="V44" s="2">
        <v>0</v>
      </c>
      <c r="W44" s="2">
        <v>0</v>
      </c>
      <c r="X44" s="2">
        <v>0</v>
      </c>
      <c r="Y44" s="2">
        <f>IF(COUNT('Turns'!E116)=1,SUM('Turns'!E116),"Unknown")</f>
        <v>0.00055071724</v>
      </c>
      <c r="Z44" s="2">
        <f>IF(COUNT('Turns'!F116)=1,SUM('Turns'!F116),"Unknown")</f>
        <v>0.000626</v>
      </c>
      <c r="AA44" s="5">
        <f>IF(ISNUMBER(Y44),ROUND(Y44*'Reference data'!$B$2,0),"Unknown")</f>
        <v>55.0</v>
      </c>
      <c r="AB44" s="5">
        <f>IF(ISNUMBER(Z44),ROUND(Z44*'Reference data'!$B$2,0),"Unknown")</f>
        <v>63.0</v>
      </c>
      <c r="AC44" s="1" t="s">
        <v>181</v>
      </c>
      <c r="AD44" s="1">
        <v>2.519</v>
      </c>
      <c r="AE44" s="1" t="s">
        <v>381</v>
      </c>
    </row>
    <row r="45" spans="1:31" ht="54" customHeight="1">
      <c r="A45" s="6" t="s">
        <v>427</v>
      </c>
      <c r="B45" s="1">
        <v>2</v>
      </c>
      <c r="C45" s="1" t="s">
        <v>359</v>
      </c>
      <c r="D45" s="1" t="s">
        <v>47</v>
      </c>
      <c r="E45" s="1" t="s">
        <v>141</v>
      </c>
      <c r="G45" s="6" t="s">
        <v>428</v>
      </c>
      <c r="H45" t="s">
        <v>429</v>
      </c>
      <c r="I45" t="s">
        <v>416</v>
      </c>
      <c r="AD45" s="1">
        <v>0.249</v>
      </c>
      <c r="AE45" s="1" t="s">
        <v>374</v>
      </c>
    </row>
    <row r="46" spans="1:31" ht="54" customHeight="1">
      <c r="A46" s="6" t="s">
        <v>393</v>
      </c>
      <c r="B46" s="1">
        <v>1</v>
      </c>
      <c r="C46" s="1" t="s">
        <v>359</v>
      </c>
      <c r="D46" s="1" t="s">
        <v>47</v>
      </c>
      <c r="E46" s="1" t="s">
        <v>141</v>
      </c>
      <c r="G46" s="6" t="s">
        <v>394</v>
      </c>
      <c r="H46" t="s">
        <v>430</v>
      </c>
      <c r="I46" t="s">
        <v>49</v>
      </c>
      <c r="J46" s="2">
        <f>IF(COUNT('Turns'!D119,'Turns'!D134,'Turns'!D149)=3,SUM('Turns'!D119,'Turns'!D134,'Turns'!D149),"Unknown")</f>
        <v>18711.0</v>
      </c>
      <c r="K46" s="2">
        <f>IF(COUNT('Turns'!E119,'Turns'!E134,'Turns'!E149)=3,SUM('Turns'!E119,'Turns'!E134,'Turns'!E149),"Unknown")</f>
        <v>0.003292163028</v>
      </c>
      <c r="L46" s="2">
        <f>IF(COUNT('Turns'!F119,'Turns'!F134,'Turns'!F149)=3,SUM('Turns'!F119,'Turns'!F134,'Turns'!F149),"Unknown")</f>
        <v>0.0037422</v>
      </c>
      <c r="M46" s="2">
        <f>IF(COUNT('Turns'!D118,'Turns'!D133,'Turns'!D148)=3,SUM('Turns'!D118,'Turns'!D133,'Turns'!D148),"Unknown")</f>
        <v>0.0</v>
      </c>
      <c r="N46" s="2">
        <f>IF(COUNT('Turns'!E118,'Turns'!E133,'Turns'!E148)=3,SUM('Turns'!E118,'Turns'!E133,'Turns'!E148),"Unknown")</f>
        <v>0.0</v>
      </c>
      <c r="O46" s="2">
        <f>IF(COUNT('Turns'!F118,'Turns'!F133,'Turns'!F148)=3,SUM('Turns'!F118,'Turns'!F133,'Turns'!F148),"Unknown")</f>
        <v>0.0</v>
      </c>
      <c r="P46" s="2">
        <v>0</v>
      </c>
      <c r="Q46" s="2">
        <v>0</v>
      </c>
      <c r="R46" s="2">
        <v>0</v>
      </c>
      <c r="S46" s="2">
        <f>IF(COUNT('Turns'!D124,'Turns'!D139,'Turns'!D154)=3,SUM('Turns'!D124,'Turns'!D139,'Turns'!D154),"Unknown")</f>
        <v>176.0</v>
      </c>
      <c r="T46" s="2">
        <f>IF(COUNT('Turns'!E124,'Turns'!E139,'Turns'!E154)=3,SUM('Turns'!E124,'Turns'!E139,'Turns'!E154),"Unknown")</f>
        <v>0.000185801088</v>
      </c>
      <c r="U46" s="2">
        <f>IF(COUNT('Turns'!F124,'Turns'!F139,'Turns'!F154)=3,SUM('Turns'!F124,'Turns'!F139,'Turns'!F154),"Unknown")</f>
        <v>0.0002112</v>
      </c>
      <c r="V46" s="2">
        <v>0</v>
      </c>
      <c r="W46" s="2">
        <v>0</v>
      </c>
      <c r="X46" s="2">
        <v>0</v>
      </c>
      <c r="Y46" s="2">
        <f>IF(COUNT('Turns'!E128,'Turns'!E143,'Turns'!E158)=3,SUM('Turns'!E128,'Turns'!E143,'Turns'!E158),"Unknown")</f>
        <v>0.003477964116</v>
      </c>
      <c r="Z46" s="2">
        <f>IF(COUNT('Turns'!F128,'Turns'!F143,'Turns'!F158)=3,SUM('Turns'!F128,'Turns'!F143,'Turns'!F158),"Unknown")</f>
        <v>0.0039534</v>
      </c>
      <c r="AA46" s="5">
        <f>IF(ISNUMBER(Y46),ROUND(Y46*'Reference data'!$B$2,0),"Unknown")</f>
        <v>348.0</v>
      </c>
      <c r="AB46" s="5">
        <f>IF(ISNUMBER(Z46),ROUND(Z46*'Reference data'!$B$2,0),"Unknown")</f>
        <v>395.0</v>
      </c>
      <c r="AD46" s="1">
        <v>32.743</v>
      </c>
      <c r="AE46" s="1" t="s">
        <v>361</v>
      </c>
    </row>
    <row r="47" spans="1:31" ht="54" customHeight="1">
      <c r="A47" s="6" t="s">
        <v>365</v>
      </c>
      <c r="B47" s="1">
        <v>2</v>
      </c>
      <c r="C47" s="1" t="s">
        <v>359</v>
      </c>
      <c r="D47" s="1" t="s">
        <v>47</v>
      </c>
      <c r="E47" s="1" t="s">
        <v>141</v>
      </c>
      <c r="G47" s="6" t="s">
        <v>366</v>
      </c>
      <c r="H47" t="s">
        <v>431</v>
      </c>
      <c r="I47" t="s">
        <v>430</v>
      </c>
      <c r="J47" s="2">
        <f>IF(COUNT('Turns'!D119,'Turns'!D134,'Turns'!D149)=3,SUM('Turns'!D119,'Turns'!D134,'Turns'!D149),"Unknown")</f>
        <v>18711.0</v>
      </c>
      <c r="K47" s="2">
        <f>IF(COUNT('Turns'!E119,'Turns'!E134,'Turns'!E149)=3,SUM('Turns'!E119,'Turns'!E134,'Turns'!E149),"Unknown")</f>
        <v>0.003292163028</v>
      </c>
      <c r="L47" s="2">
        <f>IF(COUNT('Turns'!F119,'Turns'!F134,'Turns'!F149)=3,SUM('Turns'!F119,'Turns'!F134,'Turns'!F149),"Unknown")</f>
        <v>0.0037422</v>
      </c>
      <c r="M47" s="2">
        <f>IF(COUNT('Turns'!D118,'Turns'!D133,'Turns'!D148)=3,SUM('Turns'!D118,'Turns'!D133,'Turns'!D148),"Unknown")</f>
        <v>0.0</v>
      </c>
      <c r="N47" s="2">
        <f>IF(COUNT('Turns'!E118,'Turns'!E133,'Turns'!E148)=3,SUM('Turns'!E118,'Turns'!E133,'Turns'!E148),"Unknown")</f>
        <v>0.0</v>
      </c>
      <c r="O47" s="2">
        <f>IF(COUNT('Turns'!F118,'Turns'!F133,'Turns'!F148)=3,SUM('Turns'!F118,'Turns'!F133,'Turns'!F148),"Unknown")</f>
        <v>0.0</v>
      </c>
      <c r="P47" s="2">
        <v>0</v>
      </c>
      <c r="Q47" s="2">
        <v>0</v>
      </c>
      <c r="R47" s="2">
        <v>0</v>
      </c>
      <c r="S47" s="2">
        <f>IF(COUNT('Turns'!D124,'Turns'!D139,'Turns'!D154)=3,SUM('Turns'!D124,'Turns'!D139,'Turns'!D154),"Unknown")</f>
        <v>176.0</v>
      </c>
      <c r="T47" s="2">
        <f>IF(COUNT('Turns'!E124,'Turns'!E139,'Turns'!E154)=3,SUM('Turns'!E124,'Turns'!E139,'Turns'!E154),"Unknown")</f>
        <v>0.000185801088</v>
      </c>
      <c r="U47" s="2">
        <f>IF(COUNT('Turns'!F124,'Turns'!F139,'Turns'!F154)=3,SUM('Turns'!F124,'Turns'!F139,'Turns'!F154),"Unknown")</f>
        <v>0.0002112</v>
      </c>
      <c r="V47" s="2">
        <v>0</v>
      </c>
      <c r="W47" s="2">
        <v>0</v>
      </c>
      <c r="X47" s="2">
        <v>0</v>
      </c>
      <c r="Y47" s="2">
        <f>IF(COUNT('Turns'!E128,'Turns'!E143,'Turns'!E158)=3,SUM('Turns'!E128,'Turns'!E143,'Turns'!E158),"Unknown")</f>
        <v>0.003477964116</v>
      </c>
      <c r="Z47" s="2">
        <f>IF(COUNT('Turns'!F128,'Turns'!F143,'Turns'!F158)=3,SUM('Turns'!F128,'Turns'!F143,'Turns'!F158),"Unknown")</f>
        <v>0.0039534</v>
      </c>
      <c r="AA47" s="5">
        <f>IF(ISNUMBER(Y47),ROUND(Y47*'Reference data'!$B$2,0),"Unknown")</f>
        <v>348.0</v>
      </c>
      <c r="AB47" s="5">
        <f>IF(ISNUMBER(Z47),ROUND(Z47*'Reference data'!$B$2,0),"Unknown")</f>
        <v>395.0</v>
      </c>
      <c r="AD47" s="1">
        <v>32.003</v>
      </c>
      <c r="AE47" s="1" t="s">
        <v>361</v>
      </c>
    </row>
    <row r="48" spans="1:31" ht="54" customHeight="1">
      <c r="A48" s="6" t="s">
        <v>397</v>
      </c>
      <c r="B48" s="1">
        <v>3</v>
      </c>
      <c r="C48" s="1" t="s">
        <v>359</v>
      </c>
      <c r="D48" s="1" t="s">
        <v>47</v>
      </c>
      <c r="E48" s="1" t="s">
        <v>141</v>
      </c>
      <c r="G48" s="6" t="s">
        <v>398</v>
      </c>
      <c r="H48" t="s">
        <v>432</v>
      </c>
      <c r="I48" t="s">
        <v>431</v>
      </c>
      <c r="J48" s="2">
        <f>IF(COUNT('Turns'!D119,'Turns'!D134,'Turns'!D149)=3,SUM('Turns'!D119,'Turns'!D134,'Turns'!D149),"Unknown")</f>
        <v>18711.0</v>
      </c>
      <c r="K48" s="2">
        <f>IF(COUNT('Turns'!E119,'Turns'!E134,'Turns'!E149)=3,SUM('Turns'!E119,'Turns'!E134,'Turns'!E149),"Unknown")</f>
        <v>0.003292163028</v>
      </c>
      <c r="L48" s="2">
        <f>IF(COUNT('Turns'!F119,'Turns'!F134,'Turns'!F149)=3,SUM('Turns'!F119,'Turns'!F134,'Turns'!F149),"Unknown")</f>
        <v>0.0037422</v>
      </c>
      <c r="M48" s="2">
        <f>IF(COUNT('Turns'!D118,'Turns'!D133,'Turns'!D148)=3,SUM('Turns'!D118,'Turns'!D133,'Turns'!D148),"Unknown")</f>
        <v>0.0</v>
      </c>
      <c r="N48" s="2">
        <f>IF(COUNT('Turns'!E118,'Turns'!E133,'Turns'!E148)=3,SUM('Turns'!E118,'Turns'!E133,'Turns'!E148),"Unknown")</f>
        <v>0.0</v>
      </c>
      <c r="O48" s="2">
        <f>IF(COUNT('Turns'!F118,'Turns'!F133,'Turns'!F148)=3,SUM('Turns'!F118,'Turns'!F133,'Turns'!F148),"Unknown")</f>
        <v>0.0</v>
      </c>
      <c r="P48" s="2">
        <v>0</v>
      </c>
      <c r="Q48" s="2">
        <v>0</v>
      </c>
      <c r="R48" s="2">
        <v>0</v>
      </c>
      <c r="S48" s="2">
        <f>IF(COUNT('Turns'!D124,'Turns'!D139,'Turns'!D154)=3,SUM('Turns'!D124,'Turns'!D139,'Turns'!D154),"Unknown")</f>
        <v>176.0</v>
      </c>
      <c r="T48" s="2">
        <f>IF(COUNT('Turns'!E124,'Turns'!E139,'Turns'!E154)=3,SUM('Turns'!E124,'Turns'!E139,'Turns'!E154),"Unknown")</f>
        <v>0.000185801088</v>
      </c>
      <c r="U48" s="2">
        <f>IF(COUNT('Turns'!F124,'Turns'!F139,'Turns'!F154)=3,SUM('Turns'!F124,'Turns'!F139,'Turns'!F154),"Unknown")</f>
        <v>0.0002112</v>
      </c>
      <c r="V48" s="2">
        <v>0</v>
      </c>
      <c r="W48" s="2">
        <v>0</v>
      </c>
      <c r="X48" s="2">
        <v>0</v>
      </c>
      <c r="Y48" s="2">
        <f>IF(COUNT('Turns'!E128,'Turns'!E143,'Turns'!E158)=3,SUM('Turns'!E128,'Turns'!E143,'Turns'!E158),"Unknown")</f>
        <v>0.003477964116</v>
      </c>
      <c r="Z48" s="2">
        <f>IF(COUNT('Turns'!F128,'Turns'!F143,'Turns'!F158)=3,SUM('Turns'!F128,'Turns'!F143,'Turns'!F158),"Unknown")</f>
        <v>0.0039534</v>
      </c>
      <c r="AA48" s="5">
        <f>IF(ISNUMBER(Y48),ROUND(Y48*'Reference data'!$B$2,0),"Unknown")</f>
        <v>348.0</v>
      </c>
      <c r="AB48" s="5">
        <f>IF(ISNUMBER(Z48),ROUND(Z48*'Reference data'!$B$2,0),"Unknown")</f>
        <v>395.0</v>
      </c>
      <c r="AD48" s="1">
        <v>31.18</v>
      </c>
      <c r="AE48" s="1" t="s">
        <v>361</v>
      </c>
    </row>
    <row r="49" spans="1:31" ht="54" customHeight="1">
      <c r="A49" s="6" t="s">
        <v>371</v>
      </c>
      <c r="B49" s="1">
        <v>4</v>
      </c>
      <c r="C49" s="1" t="s">
        <v>359</v>
      </c>
      <c r="D49" s="1" t="s">
        <v>47</v>
      </c>
      <c r="E49" s="1" t="s">
        <v>141</v>
      </c>
      <c r="G49" s="6" t="s">
        <v>372</v>
      </c>
      <c r="H49" t="s">
        <v>433</v>
      </c>
      <c r="I49" t="s">
        <v>432</v>
      </c>
      <c r="AD49" s="1">
        <v>0.615</v>
      </c>
      <c r="AE49" s="1" t="s">
        <v>374</v>
      </c>
    </row>
    <row r="50" spans="1:31" ht="54" customHeight="1">
      <c r="A50" s="6" t="s">
        <v>375</v>
      </c>
      <c r="B50" s="1">
        <v>4</v>
      </c>
      <c r="C50" s="1" t="s">
        <v>359</v>
      </c>
      <c r="D50" s="1" t="s">
        <v>47</v>
      </c>
      <c r="E50" s="1" t="s">
        <v>141</v>
      </c>
      <c r="G50" s="6" t="s">
        <v>376</v>
      </c>
      <c r="H50" t="s">
        <v>434</v>
      </c>
      <c r="I50" t="s">
        <v>432</v>
      </c>
      <c r="J50" s="2">
        <f>IF(COUNT('Turns'!D119)=1,SUM('Turns'!D119),"Unknown")</f>
        <v>5987.0</v>
      </c>
      <c r="K50" s="2">
        <f>IF(COUNT('Turns'!E119)=1,SUM('Turns'!E119),"Unknown")</f>
        <v>0.001053400676</v>
      </c>
      <c r="L50" s="2">
        <f>IF(COUNT('Turns'!F119)=1,SUM('Turns'!F119),"Unknown")</f>
        <v>0.0011974</v>
      </c>
      <c r="M50" s="2">
        <f>IF(COUNT('Turns'!D118)=1,SUM('Turns'!D118),"Unknown")</f>
        <v>0.0</v>
      </c>
      <c r="N50" s="2">
        <f>IF(COUNT('Turns'!E118)=1,SUM('Turns'!E118),"Unknown")</f>
        <v>0.0</v>
      </c>
      <c r="O50" s="2">
        <f>IF(COUNT('Turns'!F118)=1,SUM('Turns'!F118),"Unknown")</f>
        <v>0.0</v>
      </c>
      <c r="P50" s="2">
        <v>0</v>
      </c>
      <c r="Q50" s="2">
        <v>0</v>
      </c>
      <c r="R50" s="2">
        <v>0</v>
      </c>
      <c r="S50" s="2">
        <f>IF(COUNT('Turns'!D124)=1,SUM('Turns'!D124),"Unknown")</f>
        <v>56.0</v>
      </c>
      <c r="T50" s="2">
        <f>IF(COUNT('Turns'!E124)=1,SUM('Turns'!E124),"Unknown")</f>
        <v>5.9118528e-05</v>
      </c>
      <c r="U50" s="2">
        <f>IF(COUNT('Turns'!F124)=1,SUM('Turns'!F124),"Unknown")</f>
        <v>6.72e-05</v>
      </c>
      <c r="V50" s="2">
        <v>0</v>
      </c>
      <c r="W50" s="2">
        <v>0</v>
      </c>
      <c r="X50" s="2">
        <v>0</v>
      </c>
      <c r="Y50" s="2">
        <f>IF(COUNT('Turns'!E128)=1,SUM('Turns'!E128),"Unknown")</f>
        <v>0.001112519204</v>
      </c>
      <c r="Z50" s="2">
        <f>IF(COUNT('Turns'!F128)=1,SUM('Turns'!F128),"Unknown")</f>
        <v>0.0012646</v>
      </c>
      <c r="AA50" s="5">
        <f>IF(ISNUMBER(Y50),ROUND(Y50*'Reference data'!$B$2,0),"Unknown")</f>
        <v>111.0</v>
      </c>
      <c r="AB50" s="5">
        <f>IF(ISNUMBER(Z50),ROUND(Z50*'Reference data'!$B$2,0),"Unknown")</f>
        <v>126.0</v>
      </c>
      <c r="AD50" s="1">
        <v>6.03</v>
      </c>
      <c r="AE50" s="1" t="s">
        <v>361</v>
      </c>
    </row>
    <row r="51" spans="1:31" ht="54" customHeight="1">
      <c r="A51" s="6" t="s">
        <v>378</v>
      </c>
      <c r="B51" s="1">
        <v>5</v>
      </c>
      <c r="C51" s="1" t="s">
        <v>379</v>
      </c>
      <c r="D51" s="1" t="s">
        <v>126</v>
      </c>
      <c r="E51" s="1" t="s">
        <v>141</v>
      </c>
      <c r="F51" s="1">
        <v>5987</v>
      </c>
      <c r="G51" s="6" t="s">
        <v>402</v>
      </c>
      <c r="H51" t="s">
        <v>185</v>
      </c>
      <c r="I51" t="s">
        <v>434</v>
      </c>
      <c r="J51" s="2">
        <f>IF(COUNT('Turns'!D119)=1,SUM('Turns'!D119),"Unknown")</f>
        <v>5987.0</v>
      </c>
      <c r="K51" s="2">
        <f>IF(COUNT('Turns'!E119)=1,SUM('Turns'!E119),"Unknown")</f>
        <v>0.001053400676</v>
      </c>
      <c r="L51" s="2">
        <f>IF(COUNT('Turns'!F119)=1,SUM('Turns'!F119),"Unknown")</f>
        <v>0.0011974</v>
      </c>
      <c r="M51" s="2">
        <f>IF(COUNT('Turns'!D118)=1,SUM('Turns'!D118),"Unknown")</f>
        <v>0.0</v>
      </c>
      <c r="N51" s="2">
        <f>IF(COUNT('Turns'!E118)=1,SUM('Turns'!E118),"Unknown")</f>
        <v>0.0</v>
      </c>
      <c r="O51" s="2">
        <f>IF(COUNT('Turns'!F118)=1,SUM('Turns'!F118),"Unknown")</f>
        <v>0.0</v>
      </c>
      <c r="P51" s="2">
        <v>0</v>
      </c>
      <c r="Q51" s="2">
        <v>0</v>
      </c>
      <c r="R51" s="2">
        <v>0</v>
      </c>
      <c r="S51" s="2">
        <f>IF(COUNT('Turns'!D124)=1,SUM('Turns'!D124),"Unknown")</f>
        <v>56.0</v>
      </c>
      <c r="T51" s="2">
        <f>IF(COUNT('Turns'!E124)=1,SUM('Turns'!E124),"Unknown")</f>
        <v>5.9118528e-05</v>
      </c>
      <c r="U51" s="2">
        <f>IF(COUNT('Turns'!F124)=1,SUM('Turns'!F124),"Unknown")</f>
        <v>6.72e-05</v>
      </c>
      <c r="V51" s="2">
        <v>0</v>
      </c>
      <c r="W51" s="2">
        <v>0</v>
      </c>
      <c r="X51" s="2">
        <v>0</v>
      </c>
      <c r="Y51" s="2">
        <f>IF(COUNT('Turns'!E128)=1,SUM('Turns'!E128),"Unknown")</f>
        <v>0.001112519204</v>
      </c>
      <c r="Z51" s="2">
        <f>IF(COUNT('Turns'!F128)=1,SUM('Turns'!F128),"Unknown")</f>
        <v>0.0012646</v>
      </c>
      <c r="AA51" s="5">
        <f>IF(ISNUMBER(Y51),ROUND(Y51*'Reference data'!$B$2,0),"Unknown")</f>
        <v>111.0</v>
      </c>
      <c r="AB51" s="5">
        <f>IF(ISNUMBER(Z51),ROUND(Z51*'Reference data'!$B$2,0),"Unknown")</f>
        <v>126.0</v>
      </c>
      <c r="AC51" s="1" t="s">
        <v>184</v>
      </c>
      <c r="AD51" s="1">
        <v>3.391</v>
      </c>
      <c r="AE51" s="1" t="s">
        <v>381</v>
      </c>
    </row>
    <row r="52" spans="1:31" ht="54" customHeight="1">
      <c r="A52" s="6" t="s">
        <v>382</v>
      </c>
      <c r="B52" s="1">
        <v>4</v>
      </c>
      <c r="C52" s="1" t="s">
        <v>359</v>
      </c>
      <c r="D52" s="1" t="s">
        <v>47</v>
      </c>
      <c r="E52" s="1" t="s">
        <v>141</v>
      </c>
      <c r="G52" s="6" t="s">
        <v>383</v>
      </c>
      <c r="H52" t="s">
        <v>435</v>
      </c>
      <c r="I52" t="s">
        <v>432</v>
      </c>
      <c r="AD52" s="1">
        <v>2.134</v>
      </c>
      <c r="AE52" s="1" t="s">
        <v>374</v>
      </c>
    </row>
    <row r="53" spans="1:31" ht="54" customHeight="1">
      <c r="A53" s="6" t="s">
        <v>404</v>
      </c>
      <c r="B53" s="1">
        <v>5</v>
      </c>
      <c r="C53" s="1" t="s">
        <v>386</v>
      </c>
      <c r="D53" s="1" t="s">
        <v>47</v>
      </c>
      <c r="E53" s="1" t="s">
        <v>141</v>
      </c>
      <c r="G53" s="6" t="s">
        <v>405</v>
      </c>
      <c r="H53" t="s">
        <v>188</v>
      </c>
      <c r="I53" t="s">
        <v>435</v>
      </c>
      <c r="AD53" s="1">
        <v>0.922</v>
      </c>
      <c r="AE53" s="1" t="s">
        <v>374</v>
      </c>
    </row>
    <row r="54" spans="1:31" ht="54" customHeight="1">
      <c r="A54" s="6" t="s">
        <v>371</v>
      </c>
      <c r="B54" s="1">
        <v>4</v>
      </c>
      <c r="C54" s="1" t="s">
        <v>359</v>
      </c>
      <c r="D54" s="1" t="s">
        <v>47</v>
      </c>
      <c r="E54" s="1" t="s">
        <v>141</v>
      </c>
      <c r="G54" s="6" t="s">
        <v>372</v>
      </c>
      <c r="H54" t="s">
        <v>436</v>
      </c>
      <c r="I54" t="s">
        <v>432</v>
      </c>
      <c r="AD54" s="1">
        <v>0.831</v>
      </c>
      <c r="AE54" s="1" t="s">
        <v>374</v>
      </c>
    </row>
    <row r="55" spans="1:31" ht="54" customHeight="1">
      <c r="A55" s="6" t="s">
        <v>375</v>
      </c>
      <c r="B55" s="1">
        <v>4</v>
      </c>
      <c r="C55" s="1" t="s">
        <v>359</v>
      </c>
      <c r="D55" s="1" t="s">
        <v>47</v>
      </c>
      <c r="E55" s="1" t="s">
        <v>141</v>
      </c>
      <c r="G55" s="6" t="s">
        <v>376</v>
      </c>
      <c r="H55" t="s">
        <v>437</v>
      </c>
      <c r="I55" t="s">
        <v>432</v>
      </c>
      <c r="J55" s="2">
        <f>IF(COUNT('Turns'!D134)=1,SUM('Turns'!D134),"Unknown")</f>
        <v>6301.0</v>
      </c>
      <c r="K55" s="2">
        <f>IF(COUNT('Turns'!E134)=1,SUM('Turns'!E134),"Unknown")</f>
        <v>0.001108648348</v>
      </c>
      <c r="L55" s="2">
        <f>IF(COUNT('Turns'!F134)=1,SUM('Turns'!F134),"Unknown")</f>
        <v>0.0012602</v>
      </c>
      <c r="M55" s="2">
        <f>IF(COUNT('Turns'!D133)=1,SUM('Turns'!D133),"Unknown")</f>
        <v>0.0</v>
      </c>
      <c r="N55" s="2">
        <f>IF(COUNT('Turns'!E133)=1,SUM('Turns'!E133),"Unknown")</f>
        <v>0.0</v>
      </c>
      <c r="O55" s="2">
        <f>IF(COUNT('Turns'!F133)=1,SUM('Turns'!F133),"Unknown")</f>
        <v>0.0</v>
      </c>
      <c r="P55" s="2">
        <v>0</v>
      </c>
      <c r="Q55" s="2">
        <v>0</v>
      </c>
      <c r="R55" s="2">
        <v>0</v>
      </c>
      <c r="S55" s="2">
        <f>IF(COUNT('Turns'!D139)=1,SUM('Turns'!D139),"Unknown")</f>
        <v>80.0</v>
      </c>
      <c r="T55" s="2">
        <f>IF(COUNT('Turns'!E139)=1,SUM('Turns'!E139),"Unknown")</f>
        <v>8.445504e-05</v>
      </c>
      <c r="U55" s="2">
        <f>IF(COUNT('Turns'!F139)=1,SUM('Turns'!F139),"Unknown")</f>
        <v>9.6e-05</v>
      </c>
      <c r="V55" s="2">
        <v>0</v>
      </c>
      <c r="W55" s="2">
        <v>0</v>
      </c>
      <c r="X55" s="2">
        <v>0</v>
      </c>
      <c r="Y55" s="2">
        <f>IF(COUNT('Turns'!E143)=1,SUM('Turns'!E143),"Unknown")</f>
        <v>0.001193103388</v>
      </c>
      <c r="Z55" s="2">
        <f>IF(COUNT('Turns'!F143)=1,SUM('Turns'!F143),"Unknown")</f>
        <v>0.0013562</v>
      </c>
      <c r="AA55" s="5">
        <f>IF(ISNUMBER(Y55),ROUND(Y55*'Reference data'!$B$2,0),"Unknown")</f>
        <v>119.0</v>
      </c>
      <c r="AB55" s="5">
        <f>IF(ISNUMBER(Z55),ROUND(Z55*'Reference data'!$B$2,0),"Unknown")</f>
        <v>136.0</v>
      </c>
      <c r="AD55" s="1">
        <v>5.53</v>
      </c>
      <c r="AE55" s="1" t="s">
        <v>361</v>
      </c>
    </row>
    <row r="56" spans="1:31" ht="54" customHeight="1">
      <c r="A56" s="6" t="s">
        <v>378</v>
      </c>
      <c r="B56" s="1">
        <v>5</v>
      </c>
      <c r="C56" s="1" t="s">
        <v>379</v>
      </c>
      <c r="D56" s="1" t="s">
        <v>126</v>
      </c>
      <c r="E56" s="1" t="s">
        <v>141</v>
      </c>
      <c r="F56" s="1">
        <v>6301</v>
      </c>
      <c r="G56" s="6" t="s">
        <v>402</v>
      </c>
      <c r="H56" t="s">
        <v>190</v>
      </c>
      <c r="I56" t="s">
        <v>437</v>
      </c>
      <c r="J56" s="2">
        <f>IF(COUNT('Turns'!D134)=1,SUM('Turns'!D134),"Unknown")</f>
        <v>6301.0</v>
      </c>
      <c r="K56" s="2">
        <f>IF(COUNT('Turns'!E134)=1,SUM('Turns'!E134),"Unknown")</f>
        <v>0.001108648348</v>
      </c>
      <c r="L56" s="2">
        <f>IF(COUNT('Turns'!F134)=1,SUM('Turns'!F134),"Unknown")</f>
        <v>0.0012602</v>
      </c>
      <c r="M56" s="2">
        <f>IF(COUNT('Turns'!D133)=1,SUM('Turns'!D133),"Unknown")</f>
        <v>0.0</v>
      </c>
      <c r="N56" s="2">
        <f>IF(COUNT('Turns'!E133)=1,SUM('Turns'!E133),"Unknown")</f>
        <v>0.0</v>
      </c>
      <c r="O56" s="2">
        <f>IF(COUNT('Turns'!F133)=1,SUM('Turns'!F133),"Unknown")</f>
        <v>0.0</v>
      </c>
      <c r="P56" s="2">
        <v>0</v>
      </c>
      <c r="Q56" s="2">
        <v>0</v>
      </c>
      <c r="R56" s="2">
        <v>0</v>
      </c>
      <c r="S56" s="2">
        <f>IF(COUNT('Turns'!D139)=1,SUM('Turns'!D139),"Unknown")</f>
        <v>80.0</v>
      </c>
      <c r="T56" s="2">
        <f>IF(COUNT('Turns'!E139)=1,SUM('Turns'!E139),"Unknown")</f>
        <v>8.445504e-05</v>
      </c>
      <c r="U56" s="2">
        <f>IF(COUNT('Turns'!F139)=1,SUM('Turns'!F139),"Unknown")</f>
        <v>9.6e-05</v>
      </c>
      <c r="V56" s="2">
        <v>0</v>
      </c>
      <c r="W56" s="2">
        <v>0</v>
      </c>
      <c r="X56" s="2">
        <v>0</v>
      </c>
      <c r="Y56" s="2">
        <f>IF(COUNT('Turns'!E143)=1,SUM('Turns'!E143),"Unknown")</f>
        <v>0.001193103388</v>
      </c>
      <c r="Z56" s="2">
        <f>IF(COUNT('Turns'!F143)=1,SUM('Turns'!F143),"Unknown")</f>
        <v>0.0013562</v>
      </c>
      <c r="AA56" s="5">
        <f>IF(ISNUMBER(Y56),ROUND(Y56*'Reference data'!$B$2,0),"Unknown")</f>
        <v>119.0</v>
      </c>
      <c r="AB56" s="5">
        <f>IF(ISNUMBER(Z56),ROUND(Z56*'Reference data'!$B$2,0),"Unknown")</f>
        <v>136.0</v>
      </c>
      <c r="AC56" s="1" t="s">
        <v>189</v>
      </c>
      <c r="AD56" s="1">
        <v>3.433</v>
      </c>
      <c r="AE56" s="1" t="s">
        <v>381</v>
      </c>
    </row>
    <row r="57" spans="1:31" ht="54" customHeight="1">
      <c r="A57" s="6" t="s">
        <v>382</v>
      </c>
      <c r="B57" s="1">
        <v>4</v>
      </c>
      <c r="C57" s="1" t="s">
        <v>359</v>
      </c>
      <c r="D57" s="1" t="s">
        <v>47</v>
      </c>
      <c r="E57" s="1" t="s">
        <v>141</v>
      </c>
      <c r="G57" s="6" t="s">
        <v>383</v>
      </c>
      <c r="H57" t="s">
        <v>438</v>
      </c>
      <c r="I57" t="s">
        <v>432</v>
      </c>
      <c r="AD57" s="1">
        <v>2.005</v>
      </c>
      <c r="AE57" s="1" t="s">
        <v>374</v>
      </c>
    </row>
    <row r="58" spans="1:31" ht="54" customHeight="1">
      <c r="A58" s="6" t="s">
        <v>439</v>
      </c>
      <c r="B58" s="1">
        <v>5</v>
      </c>
      <c r="C58" s="1" t="s">
        <v>386</v>
      </c>
      <c r="D58" s="1" t="s">
        <v>47</v>
      </c>
      <c r="E58" s="1" t="s">
        <v>141</v>
      </c>
      <c r="G58" s="6" t="s">
        <v>440</v>
      </c>
      <c r="H58" t="s">
        <v>193</v>
      </c>
      <c r="I58" t="s">
        <v>438</v>
      </c>
      <c r="AD58" s="1">
        <v>0.985</v>
      </c>
      <c r="AE58" s="1" t="s">
        <v>374</v>
      </c>
    </row>
    <row r="59" spans="1:31" ht="54" customHeight="1">
      <c r="A59" s="6" t="s">
        <v>371</v>
      </c>
      <c r="B59" s="1">
        <v>4</v>
      </c>
      <c r="C59" s="1" t="s">
        <v>359</v>
      </c>
      <c r="D59" s="1" t="s">
        <v>47</v>
      </c>
      <c r="E59" s="1" t="s">
        <v>141</v>
      </c>
      <c r="G59" s="6" t="s">
        <v>372</v>
      </c>
      <c r="H59" t="s">
        <v>441</v>
      </c>
      <c r="I59" t="s">
        <v>432</v>
      </c>
      <c r="AD59" s="1">
        <v>0.681</v>
      </c>
      <c r="AE59" s="1" t="s">
        <v>374</v>
      </c>
    </row>
    <row r="60" spans="1:31" ht="54" customHeight="1">
      <c r="A60" s="6" t="s">
        <v>375</v>
      </c>
      <c r="B60" s="1">
        <v>4</v>
      </c>
      <c r="C60" s="1" t="s">
        <v>359</v>
      </c>
      <c r="D60" s="1" t="s">
        <v>47</v>
      </c>
      <c r="E60" s="1" t="s">
        <v>141</v>
      </c>
      <c r="G60" s="6" t="s">
        <v>376</v>
      </c>
      <c r="H60" t="s">
        <v>442</v>
      </c>
      <c r="I60" t="s">
        <v>432</v>
      </c>
      <c r="J60" s="2">
        <f>IF(COUNT('Turns'!D149)=1,SUM('Turns'!D149),"Unknown")</f>
        <v>6423.0</v>
      </c>
      <c r="K60" s="2">
        <f>IF(COUNT('Turns'!E149)=1,SUM('Turns'!E149),"Unknown")</f>
        <v>0.001130114004</v>
      </c>
      <c r="L60" s="2">
        <f>IF(COUNT('Turns'!F149)=1,SUM('Turns'!F149),"Unknown")</f>
        <v>0.0012846</v>
      </c>
      <c r="M60" s="2">
        <f>IF(COUNT('Turns'!D148)=1,SUM('Turns'!D148),"Unknown")</f>
        <v>0.0</v>
      </c>
      <c r="N60" s="2">
        <f>IF(COUNT('Turns'!E148)=1,SUM('Turns'!E148),"Unknown")</f>
        <v>0.0</v>
      </c>
      <c r="O60" s="2">
        <f>IF(COUNT('Turns'!F148)=1,SUM('Turns'!F148),"Unknown")</f>
        <v>0.0</v>
      </c>
      <c r="P60" s="2">
        <v>0</v>
      </c>
      <c r="Q60" s="2">
        <v>0</v>
      </c>
      <c r="R60" s="2">
        <v>0</v>
      </c>
      <c r="S60" s="2">
        <f>IF(COUNT('Turns'!D154)=1,SUM('Turns'!D154),"Unknown")</f>
        <v>40.0</v>
      </c>
      <c r="T60" s="2">
        <f>IF(COUNT('Turns'!E154)=1,SUM('Turns'!E154),"Unknown")</f>
        <v>4.222752e-05</v>
      </c>
      <c r="U60" s="2">
        <f>IF(COUNT('Turns'!F154)=1,SUM('Turns'!F154),"Unknown")</f>
        <v>4.8e-05</v>
      </c>
      <c r="V60" s="2">
        <v>0</v>
      </c>
      <c r="W60" s="2">
        <v>0</v>
      </c>
      <c r="X60" s="2">
        <v>0</v>
      </c>
      <c r="Y60" s="2">
        <f>IF(COUNT('Turns'!E158)=1,SUM('Turns'!E158),"Unknown")</f>
        <v>0.001172341524</v>
      </c>
      <c r="Z60" s="2">
        <f>IF(COUNT('Turns'!F158)=1,SUM('Turns'!F158),"Unknown")</f>
        <v>0.0013326</v>
      </c>
      <c r="AA60" s="5">
        <f>IF(ISNUMBER(Y60),ROUND(Y60*'Reference data'!$B$2,0),"Unknown")</f>
        <v>117.0</v>
      </c>
      <c r="AB60" s="5">
        <f>IF(ISNUMBER(Z60),ROUND(Z60*'Reference data'!$B$2,0),"Unknown")</f>
        <v>133.0</v>
      </c>
      <c r="AD60" s="1">
        <v>7.59</v>
      </c>
      <c r="AE60" s="1" t="s">
        <v>361</v>
      </c>
    </row>
    <row r="61" spans="1:31" ht="54" customHeight="1">
      <c r="A61" s="6" t="s">
        <v>378</v>
      </c>
      <c r="B61" s="1">
        <v>5</v>
      </c>
      <c r="C61" s="1" t="s">
        <v>379</v>
      </c>
      <c r="D61" s="1" t="s">
        <v>126</v>
      </c>
      <c r="E61" s="1" t="s">
        <v>141</v>
      </c>
      <c r="F61" s="1">
        <v>6423</v>
      </c>
      <c r="G61" s="6" t="s">
        <v>402</v>
      </c>
      <c r="H61" t="s">
        <v>197</v>
      </c>
      <c r="I61" t="s">
        <v>442</v>
      </c>
      <c r="J61" s="2">
        <f>IF(COUNT('Turns'!D149)=1,SUM('Turns'!D149),"Unknown")</f>
        <v>6423.0</v>
      </c>
      <c r="K61" s="2">
        <f>IF(COUNT('Turns'!E149)=1,SUM('Turns'!E149),"Unknown")</f>
        <v>0.001130114004</v>
      </c>
      <c r="L61" s="2">
        <f>IF(COUNT('Turns'!F149)=1,SUM('Turns'!F149),"Unknown")</f>
        <v>0.0012846</v>
      </c>
      <c r="M61" s="2">
        <f>IF(COUNT('Turns'!D148)=1,SUM('Turns'!D148),"Unknown")</f>
        <v>0.0</v>
      </c>
      <c r="N61" s="2">
        <f>IF(COUNT('Turns'!E148)=1,SUM('Turns'!E148),"Unknown")</f>
        <v>0.0</v>
      </c>
      <c r="O61" s="2">
        <f>IF(COUNT('Turns'!F148)=1,SUM('Turns'!F148),"Unknown")</f>
        <v>0.0</v>
      </c>
      <c r="P61" s="2">
        <v>0</v>
      </c>
      <c r="Q61" s="2">
        <v>0</v>
      </c>
      <c r="R61" s="2">
        <v>0</v>
      </c>
      <c r="S61" s="2">
        <f>IF(COUNT('Turns'!D154)=1,SUM('Turns'!D154),"Unknown")</f>
        <v>40.0</v>
      </c>
      <c r="T61" s="2">
        <f>IF(COUNT('Turns'!E154)=1,SUM('Turns'!E154),"Unknown")</f>
        <v>4.222752e-05</v>
      </c>
      <c r="U61" s="2">
        <f>IF(COUNT('Turns'!F154)=1,SUM('Turns'!F154),"Unknown")</f>
        <v>4.8e-05</v>
      </c>
      <c r="V61" s="2">
        <v>0</v>
      </c>
      <c r="W61" s="2">
        <v>0</v>
      </c>
      <c r="X61" s="2">
        <v>0</v>
      </c>
      <c r="Y61" s="2">
        <f>IF(COUNT('Turns'!E158)=1,SUM('Turns'!E158),"Unknown")</f>
        <v>0.001172341524</v>
      </c>
      <c r="Z61" s="2">
        <f>IF(COUNT('Turns'!F158)=1,SUM('Turns'!F158),"Unknown")</f>
        <v>0.0013326</v>
      </c>
      <c r="AA61" s="5">
        <f>IF(ISNUMBER(Y61),ROUND(Y61*'Reference data'!$B$2,0),"Unknown")</f>
        <v>117.0</v>
      </c>
      <c r="AB61" s="5">
        <f>IF(ISNUMBER(Z61),ROUND(Z61*'Reference data'!$B$2,0),"Unknown")</f>
        <v>133.0</v>
      </c>
      <c r="AC61" s="1" t="s">
        <v>196</v>
      </c>
      <c r="AD61" s="1">
        <v>4.655</v>
      </c>
      <c r="AE61" s="1" t="s">
        <v>381</v>
      </c>
    </row>
    <row r="62" spans="1:31" ht="54" customHeight="1">
      <c r="A62" s="6" t="s">
        <v>411</v>
      </c>
      <c r="B62" s="1">
        <v>1</v>
      </c>
      <c r="C62" s="1" t="s">
        <v>359</v>
      </c>
      <c r="D62" s="1" t="s">
        <v>47</v>
      </c>
      <c r="E62" s="1" t="s">
        <v>141</v>
      </c>
      <c r="G62" s="6" t="s">
        <v>412</v>
      </c>
      <c r="H62" t="s">
        <v>443</v>
      </c>
      <c r="I62" t="s">
        <v>49</v>
      </c>
      <c r="AD62" s="1">
        <v>0.472</v>
      </c>
      <c r="AE62" s="1" t="s">
        <v>374</v>
      </c>
    </row>
    <row r="63" spans="1:31" ht="54" customHeight="1">
      <c r="A63" s="6" t="s">
        <v>414</v>
      </c>
      <c r="B63" s="1">
        <v>1</v>
      </c>
      <c r="C63" s="1" t="s">
        <v>359</v>
      </c>
      <c r="D63" s="1" t="s">
        <v>47</v>
      </c>
      <c r="E63" s="1" t="s">
        <v>141</v>
      </c>
      <c r="G63" s="6" t="s">
        <v>415</v>
      </c>
      <c r="H63" t="s">
        <v>444</v>
      </c>
      <c r="I63" t="s">
        <v>49</v>
      </c>
      <c r="J63" s="2">
        <f>IF(COUNT('Turns'!D161,'Turns'!D175,'Turns'!D190)=3,SUM('Turns'!D161,'Turns'!D175,'Turns'!D190),"Unknown")</f>
        <v>6903.0</v>
      </c>
      <c r="K63" s="2">
        <f>IF(COUNT('Turns'!E161,'Turns'!E175,'Turns'!E190)=3,SUM('Turns'!E161,'Turns'!E175,'Turns'!E190),"Unknown")</f>
        <v>0.001214569044</v>
      </c>
      <c r="L63" s="2">
        <f>IF(COUNT('Turns'!F161,'Turns'!F175,'Turns'!F190)=3,SUM('Turns'!F161,'Turns'!F175,'Turns'!F190),"Unknown")</f>
        <v>0.0013806</v>
      </c>
      <c r="M63" s="2">
        <f>IF(COUNT('Turns'!D160,'Turns'!D174,'Turns'!D189)=3,SUM('Turns'!D160,'Turns'!D174,'Turns'!D189),"Unknown")</f>
        <v>0.0</v>
      </c>
      <c r="N63" s="2">
        <f>IF(COUNT('Turns'!E160,'Turns'!E174,'Turns'!E189)=3,SUM('Turns'!E160,'Turns'!E174,'Turns'!E189),"Unknown")</f>
        <v>0.0</v>
      </c>
      <c r="O63" s="2">
        <f>IF(COUNT('Turns'!F160,'Turns'!F174,'Turns'!F189)=3,SUM('Turns'!F160,'Turns'!F174,'Turns'!F189),"Unknown")</f>
        <v>0.0</v>
      </c>
      <c r="P63" s="2">
        <v>0</v>
      </c>
      <c r="Q63" s="2">
        <v>0</v>
      </c>
      <c r="R63" s="2">
        <v>0</v>
      </c>
      <c r="S63" s="2">
        <f>IF(COUNT('Turns'!D165,'Turns'!D180,'Turns'!D195)=3,SUM('Turns'!D165,'Turns'!D180,'Turns'!D195),"Unknown")</f>
        <v>177.0</v>
      </c>
      <c r="T63" s="2">
        <f>IF(COUNT('Turns'!E165,'Turns'!E180,'Turns'!E195)=3,SUM('Turns'!E165,'Turns'!E180,'Turns'!E195),"Unknown")</f>
        <v>0.000186856776</v>
      </c>
      <c r="U63" s="2">
        <f>IF(COUNT('Turns'!F165,'Turns'!F180,'Turns'!F195)=3,SUM('Turns'!F165,'Turns'!F180,'Turns'!F195),"Unknown")</f>
        <v>0.0002124</v>
      </c>
      <c r="V63" s="2">
        <v>0</v>
      </c>
      <c r="W63" s="2">
        <v>0</v>
      </c>
      <c r="X63" s="2">
        <v>0</v>
      </c>
      <c r="Y63" s="2">
        <f>IF(COUNT('Turns'!E169,'Turns'!E184,'Turns'!E199)=3,SUM('Turns'!E169,'Turns'!E184,'Turns'!E199),"Unknown")</f>
        <v>0.00140142582</v>
      </c>
      <c r="Z63" s="2">
        <f>IF(COUNT('Turns'!F169,'Turns'!F184,'Turns'!F199)=3,SUM('Turns'!F169,'Turns'!F184,'Turns'!F199),"Unknown")</f>
        <v>0.001593</v>
      </c>
      <c r="AA63" s="5">
        <f>IF(ISNUMBER(Y63),ROUND(Y63*'Reference data'!$B$2,0),"Unknown")</f>
        <v>140.0</v>
      </c>
      <c r="AB63" s="5">
        <f>IF(ISNUMBER(Z63),ROUND(Z63*'Reference data'!$B$2,0),"Unknown")</f>
        <v>159.0</v>
      </c>
      <c r="AD63" s="1">
        <v>25.443</v>
      </c>
      <c r="AE63" s="1" t="s">
        <v>361</v>
      </c>
    </row>
    <row r="64" spans="1:31" ht="54" customHeight="1">
      <c r="A64" s="6" t="s">
        <v>365</v>
      </c>
      <c r="B64" s="1">
        <v>2</v>
      </c>
      <c r="C64" s="1" t="s">
        <v>359</v>
      </c>
      <c r="D64" s="1" t="s">
        <v>47</v>
      </c>
      <c r="E64" s="1" t="s">
        <v>141</v>
      </c>
      <c r="G64" s="6" t="s">
        <v>366</v>
      </c>
      <c r="H64" t="s">
        <v>445</v>
      </c>
      <c r="I64" t="s">
        <v>444</v>
      </c>
      <c r="J64" s="2">
        <f>IF(COUNT('Turns'!D161,'Turns'!D175,'Turns'!D190)=3,SUM('Turns'!D161,'Turns'!D175,'Turns'!D190),"Unknown")</f>
        <v>6903.0</v>
      </c>
      <c r="K64" s="2">
        <f>IF(COUNT('Turns'!E161,'Turns'!E175,'Turns'!E190)=3,SUM('Turns'!E161,'Turns'!E175,'Turns'!E190),"Unknown")</f>
        <v>0.001214569044</v>
      </c>
      <c r="L64" s="2">
        <f>IF(COUNT('Turns'!F161,'Turns'!F175,'Turns'!F190)=3,SUM('Turns'!F161,'Turns'!F175,'Turns'!F190),"Unknown")</f>
        <v>0.0013806</v>
      </c>
      <c r="M64" s="2">
        <f>IF(COUNT('Turns'!D160,'Turns'!D174,'Turns'!D189)=3,SUM('Turns'!D160,'Turns'!D174,'Turns'!D189),"Unknown")</f>
        <v>0.0</v>
      </c>
      <c r="N64" s="2">
        <f>IF(COUNT('Turns'!E160,'Turns'!E174,'Turns'!E189)=3,SUM('Turns'!E160,'Turns'!E174,'Turns'!E189),"Unknown")</f>
        <v>0.0</v>
      </c>
      <c r="O64" s="2">
        <f>IF(COUNT('Turns'!F160,'Turns'!F174,'Turns'!F189)=3,SUM('Turns'!F160,'Turns'!F174,'Turns'!F189),"Unknown")</f>
        <v>0.0</v>
      </c>
      <c r="P64" s="2">
        <v>0</v>
      </c>
      <c r="Q64" s="2">
        <v>0</v>
      </c>
      <c r="R64" s="2">
        <v>0</v>
      </c>
      <c r="S64" s="2">
        <f>IF(COUNT('Turns'!D165,'Turns'!D180,'Turns'!D195)=3,SUM('Turns'!D165,'Turns'!D180,'Turns'!D195),"Unknown")</f>
        <v>177.0</v>
      </c>
      <c r="T64" s="2">
        <f>IF(COUNT('Turns'!E165,'Turns'!E180,'Turns'!E195)=3,SUM('Turns'!E165,'Turns'!E180,'Turns'!E195),"Unknown")</f>
        <v>0.000186856776</v>
      </c>
      <c r="U64" s="2">
        <f>IF(COUNT('Turns'!F165,'Turns'!F180,'Turns'!F195)=3,SUM('Turns'!F165,'Turns'!F180,'Turns'!F195),"Unknown")</f>
        <v>0.0002124</v>
      </c>
      <c r="V64" s="2">
        <v>0</v>
      </c>
      <c r="W64" s="2">
        <v>0</v>
      </c>
      <c r="X64" s="2">
        <v>0</v>
      </c>
      <c r="Y64" s="2">
        <f>IF(COUNT('Turns'!E169,'Turns'!E184,'Turns'!E199)=3,SUM('Turns'!E169,'Turns'!E184,'Turns'!E199),"Unknown")</f>
        <v>0.00140142582</v>
      </c>
      <c r="Z64" s="2">
        <f>IF(COUNT('Turns'!F169,'Turns'!F184,'Turns'!F199)=3,SUM('Turns'!F169,'Turns'!F184,'Turns'!F199),"Unknown")</f>
        <v>0.001593</v>
      </c>
      <c r="AA64" s="5">
        <f>IF(ISNUMBER(Y64),ROUND(Y64*'Reference data'!$B$2,0),"Unknown")</f>
        <v>140.0</v>
      </c>
      <c r="AB64" s="5">
        <f>IF(ISNUMBER(Z64),ROUND(Z64*'Reference data'!$B$2,0),"Unknown")</f>
        <v>159.0</v>
      </c>
      <c r="AD64" s="1">
        <v>23.921</v>
      </c>
      <c r="AE64" s="1" t="s">
        <v>361</v>
      </c>
    </row>
    <row r="65" spans="1:31" ht="54" customHeight="1">
      <c r="A65" s="6" t="s">
        <v>418</v>
      </c>
      <c r="B65" s="1">
        <v>3</v>
      </c>
      <c r="C65" s="1" t="s">
        <v>359</v>
      </c>
      <c r="D65" s="1" t="s">
        <v>47</v>
      </c>
      <c r="E65" s="1" t="s">
        <v>141</v>
      </c>
      <c r="G65" s="6" t="s">
        <v>419</v>
      </c>
      <c r="H65" t="s">
        <v>446</v>
      </c>
      <c r="I65" t="s">
        <v>445</v>
      </c>
      <c r="J65" s="2">
        <f>IF(COUNT('Turns'!D161,'Turns'!D175,'Turns'!D190)=3,SUM('Turns'!D161,'Turns'!D175,'Turns'!D190),"Unknown")</f>
        <v>6903.0</v>
      </c>
      <c r="K65" s="2">
        <f>IF(COUNT('Turns'!E161,'Turns'!E175,'Turns'!E190)=3,SUM('Turns'!E161,'Turns'!E175,'Turns'!E190),"Unknown")</f>
        <v>0.001214569044</v>
      </c>
      <c r="L65" s="2">
        <f>IF(COUNT('Turns'!F161,'Turns'!F175,'Turns'!F190)=3,SUM('Turns'!F161,'Turns'!F175,'Turns'!F190),"Unknown")</f>
        <v>0.0013806</v>
      </c>
      <c r="M65" s="2">
        <f>IF(COUNT('Turns'!D160,'Turns'!D174,'Turns'!D189)=3,SUM('Turns'!D160,'Turns'!D174,'Turns'!D189),"Unknown")</f>
        <v>0.0</v>
      </c>
      <c r="N65" s="2">
        <f>IF(COUNT('Turns'!E160,'Turns'!E174,'Turns'!E189)=3,SUM('Turns'!E160,'Turns'!E174,'Turns'!E189),"Unknown")</f>
        <v>0.0</v>
      </c>
      <c r="O65" s="2">
        <f>IF(COUNT('Turns'!F160,'Turns'!F174,'Turns'!F189)=3,SUM('Turns'!F160,'Turns'!F174,'Turns'!F189),"Unknown")</f>
        <v>0.0</v>
      </c>
      <c r="P65" s="2">
        <v>0</v>
      </c>
      <c r="Q65" s="2">
        <v>0</v>
      </c>
      <c r="R65" s="2">
        <v>0</v>
      </c>
      <c r="S65" s="2">
        <f>IF(COUNT('Turns'!D165,'Turns'!D180,'Turns'!D195)=3,SUM('Turns'!D165,'Turns'!D180,'Turns'!D195),"Unknown")</f>
        <v>177.0</v>
      </c>
      <c r="T65" s="2">
        <f>IF(COUNT('Turns'!E165,'Turns'!E180,'Turns'!E195)=3,SUM('Turns'!E165,'Turns'!E180,'Turns'!E195),"Unknown")</f>
        <v>0.000186856776</v>
      </c>
      <c r="U65" s="2">
        <f>IF(COUNT('Turns'!F165,'Turns'!F180,'Turns'!F195)=3,SUM('Turns'!F165,'Turns'!F180,'Turns'!F195),"Unknown")</f>
        <v>0.0002124</v>
      </c>
      <c r="V65" s="2">
        <v>0</v>
      </c>
      <c r="W65" s="2">
        <v>0</v>
      </c>
      <c r="X65" s="2">
        <v>0</v>
      </c>
      <c r="Y65" s="2">
        <f>IF(COUNT('Turns'!E169,'Turns'!E184,'Turns'!E199)=3,SUM('Turns'!E169,'Turns'!E184,'Turns'!E199),"Unknown")</f>
        <v>0.00140142582</v>
      </c>
      <c r="Z65" s="2">
        <f>IF(COUNT('Turns'!F169,'Turns'!F184,'Turns'!F199)=3,SUM('Turns'!F169,'Turns'!F184,'Turns'!F199),"Unknown")</f>
        <v>0.001593</v>
      </c>
      <c r="AA65" s="5">
        <f>IF(ISNUMBER(Y65),ROUND(Y65*'Reference data'!$B$2,0),"Unknown")</f>
        <v>140.0</v>
      </c>
      <c r="AB65" s="5">
        <f>IF(ISNUMBER(Z65),ROUND(Z65*'Reference data'!$B$2,0),"Unknown")</f>
        <v>159.0</v>
      </c>
      <c r="AD65" s="1">
        <v>23.096</v>
      </c>
      <c r="AE65" s="1" t="s">
        <v>361</v>
      </c>
    </row>
    <row r="66" spans="1:31" ht="54" customHeight="1">
      <c r="A66" s="6" t="s">
        <v>375</v>
      </c>
      <c r="B66" s="1">
        <v>4</v>
      </c>
      <c r="C66" s="1" t="s">
        <v>359</v>
      </c>
      <c r="D66" s="1" t="s">
        <v>47</v>
      </c>
      <c r="E66" s="1" t="s">
        <v>141</v>
      </c>
      <c r="G66" s="6" t="s">
        <v>376</v>
      </c>
      <c r="H66" t="s">
        <v>447</v>
      </c>
      <c r="I66" t="s">
        <v>446</v>
      </c>
      <c r="J66" s="2">
        <f>IF(COUNT('Turns'!D161)=1,SUM('Turns'!D161),"Unknown")</f>
        <v>1657.0</v>
      </c>
      <c r="K66" s="2">
        <f>IF(COUNT('Turns'!E161)=1,SUM('Turns'!E161),"Unknown")</f>
        <v>0.000291545836</v>
      </c>
      <c r="L66" s="2">
        <f>IF(COUNT('Turns'!F161)=1,SUM('Turns'!F161),"Unknown")</f>
        <v>0.0003314</v>
      </c>
      <c r="M66" s="2">
        <f>IF(COUNT('Turns'!D160)=1,SUM('Turns'!D160),"Unknown")</f>
        <v>0.0</v>
      </c>
      <c r="N66" s="2">
        <f>IF(COUNT('Turns'!E160)=1,SUM('Turns'!E160),"Unknown")</f>
        <v>0.0</v>
      </c>
      <c r="O66" s="2">
        <f>IF(COUNT('Turns'!F160)=1,SUM('Turns'!F160),"Unknown")</f>
        <v>0.0</v>
      </c>
      <c r="P66" s="2">
        <v>0</v>
      </c>
      <c r="Q66" s="2">
        <v>0</v>
      </c>
      <c r="R66" s="2">
        <v>0</v>
      </c>
      <c r="S66" s="2">
        <f>IF(COUNT('Turns'!D165)=1,SUM('Turns'!D165),"Unknown")</f>
        <v>56.0</v>
      </c>
      <c r="T66" s="2">
        <f>IF(COUNT('Turns'!E165)=1,SUM('Turns'!E165),"Unknown")</f>
        <v>5.9118528e-05</v>
      </c>
      <c r="U66" s="2">
        <f>IF(COUNT('Turns'!F165)=1,SUM('Turns'!F165),"Unknown")</f>
        <v>6.72e-05</v>
      </c>
      <c r="V66" s="2">
        <v>0</v>
      </c>
      <c r="W66" s="2">
        <v>0</v>
      </c>
      <c r="X66" s="2">
        <v>0</v>
      </c>
      <c r="Y66" s="2">
        <f>IF(COUNT('Turns'!E169)=1,SUM('Turns'!E169),"Unknown")</f>
        <v>0.000350664364</v>
      </c>
      <c r="Z66" s="2">
        <f>IF(COUNT('Turns'!F169)=1,SUM('Turns'!F169),"Unknown")</f>
        <v>0.0003986</v>
      </c>
      <c r="AA66" s="5">
        <f>IF(ISNUMBER(Y66),ROUND(Y66*'Reference data'!$B$2,0),"Unknown")</f>
        <v>35.0</v>
      </c>
      <c r="AB66" s="5">
        <f>IF(ISNUMBER(Z66),ROUND(Z66*'Reference data'!$B$2,0),"Unknown")</f>
        <v>40.0</v>
      </c>
      <c r="AD66" s="1">
        <v>4.421</v>
      </c>
      <c r="AE66" s="1" t="s">
        <v>361</v>
      </c>
    </row>
    <row r="67" spans="1:31" ht="54" customHeight="1">
      <c r="A67" s="6" t="s">
        <v>378</v>
      </c>
      <c r="B67" s="1">
        <v>5</v>
      </c>
      <c r="C67" s="1" t="s">
        <v>379</v>
      </c>
      <c r="D67" s="1" t="s">
        <v>126</v>
      </c>
      <c r="E67" s="1" t="s">
        <v>141</v>
      </c>
      <c r="F67" s="1">
        <v>1657</v>
      </c>
      <c r="G67" s="6" t="s">
        <v>422</v>
      </c>
      <c r="H67" t="s">
        <v>200</v>
      </c>
      <c r="I67" t="s">
        <v>447</v>
      </c>
      <c r="J67" s="2">
        <f>IF(COUNT('Turns'!D161)=1,SUM('Turns'!D161),"Unknown")</f>
        <v>1657.0</v>
      </c>
      <c r="K67" s="2">
        <f>IF(COUNT('Turns'!E161)=1,SUM('Turns'!E161),"Unknown")</f>
        <v>0.000291545836</v>
      </c>
      <c r="L67" s="2">
        <f>IF(COUNT('Turns'!F161)=1,SUM('Turns'!F161),"Unknown")</f>
        <v>0.0003314</v>
      </c>
      <c r="M67" s="2">
        <f>IF(COUNT('Turns'!D160)=1,SUM('Turns'!D160),"Unknown")</f>
        <v>0.0</v>
      </c>
      <c r="N67" s="2">
        <f>IF(COUNT('Turns'!E160)=1,SUM('Turns'!E160),"Unknown")</f>
        <v>0.0</v>
      </c>
      <c r="O67" s="2">
        <f>IF(COUNT('Turns'!F160)=1,SUM('Turns'!F160),"Unknown")</f>
        <v>0.0</v>
      </c>
      <c r="P67" s="2">
        <v>0</v>
      </c>
      <c r="Q67" s="2">
        <v>0</v>
      </c>
      <c r="R67" s="2">
        <v>0</v>
      </c>
      <c r="S67" s="2">
        <f>IF(COUNT('Turns'!D165)=1,SUM('Turns'!D165),"Unknown")</f>
        <v>56.0</v>
      </c>
      <c r="T67" s="2">
        <f>IF(COUNT('Turns'!E165)=1,SUM('Turns'!E165),"Unknown")</f>
        <v>5.9118528e-05</v>
      </c>
      <c r="U67" s="2">
        <f>IF(COUNT('Turns'!F165)=1,SUM('Turns'!F165),"Unknown")</f>
        <v>6.72e-05</v>
      </c>
      <c r="V67" s="2">
        <v>0</v>
      </c>
      <c r="W67" s="2">
        <v>0</v>
      </c>
      <c r="X67" s="2">
        <v>0</v>
      </c>
      <c r="Y67" s="2">
        <f>IF(COUNT('Turns'!E169)=1,SUM('Turns'!E169),"Unknown")</f>
        <v>0.000350664364</v>
      </c>
      <c r="Z67" s="2">
        <f>IF(COUNT('Turns'!F169)=1,SUM('Turns'!F169),"Unknown")</f>
        <v>0.0003986</v>
      </c>
      <c r="AA67" s="5">
        <f>IF(ISNUMBER(Y67),ROUND(Y67*'Reference data'!$B$2,0),"Unknown")</f>
        <v>35.0</v>
      </c>
      <c r="AB67" s="5">
        <f>IF(ISNUMBER(Z67),ROUND(Z67*'Reference data'!$B$2,0),"Unknown")</f>
        <v>40.0</v>
      </c>
      <c r="AC67" s="1" t="s">
        <v>199</v>
      </c>
      <c r="AD67" s="1">
        <v>2.988</v>
      </c>
      <c r="AE67" s="1" t="s">
        <v>381</v>
      </c>
    </row>
    <row r="68" spans="1:31" ht="54" customHeight="1">
      <c r="A68" s="6" t="s">
        <v>382</v>
      </c>
      <c r="B68" s="1">
        <v>4</v>
      </c>
      <c r="C68" s="1" t="s">
        <v>359</v>
      </c>
      <c r="D68" s="1" t="s">
        <v>47</v>
      </c>
      <c r="E68" s="1" t="s">
        <v>141</v>
      </c>
      <c r="G68" s="6" t="s">
        <v>383</v>
      </c>
      <c r="H68" t="s">
        <v>448</v>
      </c>
      <c r="I68" t="s">
        <v>446</v>
      </c>
      <c r="AD68" s="1">
        <v>1.914</v>
      </c>
      <c r="AE68" s="1" t="s">
        <v>374</v>
      </c>
    </row>
    <row r="69" spans="1:31" ht="54" customHeight="1">
      <c r="A69" s="6" t="s">
        <v>404</v>
      </c>
      <c r="B69" s="1">
        <v>5</v>
      </c>
      <c r="C69" s="1" t="s">
        <v>386</v>
      </c>
      <c r="D69" s="1" t="s">
        <v>47</v>
      </c>
      <c r="E69" s="1" t="s">
        <v>141</v>
      </c>
      <c r="G69" s="6" t="s">
        <v>405</v>
      </c>
      <c r="H69" t="s">
        <v>202</v>
      </c>
      <c r="I69" t="s">
        <v>448</v>
      </c>
      <c r="AD69" s="1">
        <v>0.849</v>
      </c>
      <c r="AE69" s="1" t="s">
        <v>374</v>
      </c>
    </row>
    <row r="70" spans="1:31" ht="54" customHeight="1">
      <c r="A70" s="6" t="s">
        <v>375</v>
      </c>
      <c r="B70" s="1">
        <v>4</v>
      </c>
      <c r="C70" s="1" t="s">
        <v>359</v>
      </c>
      <c r="D70" s="1" t="s">
        <v>47</v>
      </c>
      <c r="E70" s="1" t="s">
        <v>141</v>
      </c>
      <c r="G70" s="6" t="s">
        <v>376</v>
      </c>
      <c r="H70" t="s">
        <v>449</v>
      </c>
      <c r="I70" t="s">
        <v>446</v>
      </c>
      <c r="J70" s="2">
        <f>IF(COUNT('Turns'!D175)=1,SUM('Turns'!D175),"Unknown")</f>
        <v>2464.0</v>
      </c>
      <c r="K70" s="2">
        <f>IF(COUNT('Turns'!E175)=1,SUM('Turns'!E175),"Unknown")</f>
        <v>0.000433535872</v>
      </c>
      <c r="L70" s="2">
        <f>IF(COUNT('Turns'!F175)=1,SUM('Turns'!F175),"Unknown")</f>
        <v>0.0004928</v>
      </c>
      <c r="M70" s="2">
        <f>IF(COUNT('Turns'!D174)=1,SUM('Turns'!D174),"Unknown")</f>
        <v>0.0</v>
      </c>
      <c r="N70" s="2">
        <f>IF(COUNT('Turns'!E174)=1,SUM('Turns'!E174),"Unknown")</f>
        <v>0.0</v>
      </c>
      <c r="O70" s="2">
        <f>IF(COUNT('Turns'!F174)=1,SUM('Turns'!F174),"Unknown")</f>
        <v>0.0</v>
      </c>
      <c r="P70" s="2">
        <v>0</v>
      </c>
      <c r="Q70" s="2">
        <v>0</v>
      </c>
      <c r="R70" s="2">
        <v>0</v>
      </c>
      <c r="S70" s="2">
        <f>IF(COUNT('Turns'!D180)=1,SUM('Turns'!D180),"Unknown")</f>
        <v>56.0</v>
      </c>
      <c r="T70" s="2">
        <f>IF(COUNT('Turns'!E180)=1,SUM('Turns'!E180),"Unknown")</f>
        <v>5.9118528e-05</v>
      </c>
      <c r="U70" s="2">
        <f>IF(COUNT('Turns'!F180)=1,SUM('Turns'!F180),"Unknown")</f>
        <v>6.72e-05</v>
      </c>
      <c r="V70" s="2">
        <v>0</v>
      </c>
      <c r="W70" s="2">
        <v>0</v>
      </c>
      <c r="X70" s="2">
        <v>0</v>
      </c>
      <c r="Y70" s="2">
        <f>IF(COUNT('Turns'!E184)=1,SUM('Turns'!E184),"Unknown")</f>
        <v>0.0004926544</v>
      </c>
      <c r="Z70" s="2">
        <f>IF(COUNT('Turns'!F184)=1,SUM('Turns'!F184),"Unknown")</f>
        <v>0.00056</v>
      </c>
      <c r="AA70" s="5">
        <f>IF(ISNUMBER(Y70),ROUND(Y70*'Reference data'!$B$2,0),"Unknown")</f>
        <v>49.0</v>
      </c>
      <c r="AB70" s="5">
        <f>IF(ISNUMBER(Z70),ROUND(Z70*'Reference data'!$B$2,0),"Unknown")</f>
        <v>56.0</v>
      </c>
      <c r="AD70" s="1">
        <v>3.978</v>
      </c>
      <c r="AE70" s="1" t="s">
        <v>361</v>
      </c>
    </row>
    <row r="71" spans="1:31" ht="54" customHeight="1">
      <c r="A71" s="6" t="s">
        <v>378</v>
      </c>
      <c r="B71" s="1">
        <v>5</v>
      </c>
      <c r="C71" s="1" t="s">
        <v>379</v>
      </c>
      <c r="D71" s="1" t="s">
        <v>126</v>
      </c>
      <c r="E71" s="1" t="s">
        <v>141</v>
      </c>
      <c r="F71" s="1">
        <v>2464</v>
      </c>
      <c r="G71" s="6" t="s">
        <v>422</v>
      </c>
      <c r="H71" t="s">
        <v>204</v>
      </c>
      <c r="I71" t="s">
        <v>449</v>
      </c>
      <c r="J71" s="2">
        <f>IF(COUNT('Turns'!D175)=1,SUM('Turns'!D175),"Unknown")</f>
        <v>2464.0</v>
      </c>
      <c r="K71" s="2">
        <f>IF(COUNT('Turns'!E175)=1,SUM('Turns'!E175),"Unknown")</f>
        <v>0.000433535872</v>
      </c>
      <c r="L71" s="2">
        <f>IF(COUNT('Turns'!F175)=1,SUM('Turns'!F175),"Unknown")</f>
        <v>0.0004928</v>
      </c>
      <c r="M71" s="2">
        <f>IF(COUNT('Turns'!D174)=1,SUM('Turns'!D174),"Unknown")</f>
        <v>0.0</v>
      </c>
      <c r="N71" s="2">
        <f>IF(COUNT('Turns'!E174)=1,SUM('Turns'!E174),"Unknown")</f>
        <v>0.0</v>
      </c>
      <c r="O71" s="2">
        <f>IF(COUNT('Turns'!F174)=1,SUM('Turns'!F174),"Unknown")</f>
        <v>0.0</v>
      </c>
      <c r="P71" s="2">
        <v>0</v>
      </c>
      <c r="Q71" s="2">
        <v>0</v>
      </c>
      <c r="R71" s="2">
        <v>0</v>
      </c>
      <c r="S71" s="2">
        <f>IF(COUNT('Turns'!D180)=1,SUM('Turns'!D180),"Unknown")</f>
        <v>56.0</v>
      </c>
      <c r="T71" s="2">
        <f>IF(COUNT('Turns'!E180)=1,SUM('Turns'!E180),"Unknown")</f>
        <v>5.9118528e-05</v>
      </c>
      <c r="U71" s="2">
        <f>IF(COUNT('Turns'!F180)=1,SUM('Turns'!F180),"Unknown")</f>
        <v>6.72e-05</v>
      </c>
      <c r="V71" s="2">
        <v>0</v>
      </c>
      <c r="W71" s="2">
        <v>0</v>
      </c>
      <c r="X71" s="2">
        <v>0</v>
      </c>
      <c r="Y71" s="2">
        <f>IF(COUNT('Turns'!E184)=1,SUM('Turns'!E184),"Unknown")</f>
        <v>0.0004926544</v>
      </c>
      <c r="Z71" s="2">
        <f>IF(COUNT('Turns'!F184)=1,SUM('Turns'!F184),"Unknown")</f>
        <v>0.00056</v>
      </c>
      <c r="AA71" s="5">
        <f>IF(ISNUMBER(Y71),ROUND(Y71*'Reference data'!$B$2,0),"Unknown")</f>
        <v>49.0</v>
      </c>
      <c r="AB71" s="5">
        <f>IF(ISNUMBER(Z71),ROUND(Z71*'Reference data'!$B$2,0),"Unknown")</f>
        <v>56.0</v>
      </c>
      <c r="AC71" s="1" t="s">
        <v>203</v>
      </c>
      <c r="AD71" s="1">
        <v>2.47</v>
      </c>
      <c r="AE71" s="1" t="s">
        <v>381</v>
      </c>
    </row>
    <row r="72" spans="1:31" ht="54" customHeight="1">
      <c r="A72" s="6" t="s">
        <v>382</v>
      </c>
      <c r="B72" s="1">
        <v>4</v>
      </c>
      <c r="C72" s="1" t="s">
        <v>359</v>
      </c>
      <c r="D72" s="1" t="s">
        <v>47</v>
      </c>
      <c r="E72" s="1" t="s">
        <v>141</v>
      </c>
      <c r="G72" s="6" t="s">
        <v>383</v>
      </c>
      <c r="H72" t="s">
        <v>450</v>
      </c>
      <c r="I72" t="s">
        <v>446</v>
      </c>
      <c r="AD72" s="1">
        <v>2.913</v>
      </c>
      <c r="AE72" s="1" t="s">
        <v>374</v>
      </c>
    </row>
    <row r="73" spans="1:31" ht="54" customHeight="1">
      <c r="A73" s="6" t="s">
        <v>404</v>
      </c>
      <c r="B73" s="1">
        <v>5</v>
      </c>
      <c r="C73" s="1" t="s">
        <v>386</v>
      </c>
      <c r="D73" s="1" t="s">
        <v>47</v>
      </c>
      <c r="E73" s="1" t="s">
        <v>141</v>
      </c>
      <c r="G73" s="6" t="s">
        <v>405</v>
      </c>
      <c r="H73" t="s">
        <v>206</v>
      </c>
      <c r="I73" t="s">
        <v>450</v>
      </c>
      <c r="AD73" s="1">
        <v>1.619</v>
      </c>
      <c r="AE73" s="1" t="s">
        <v>374</v>
      </c>
    </row>
    <row r="74" spans="1:31" ht="54" customHeight="1">
      <c r="A74" s="6" t="s">
        <v>375</v>
      </c>
      <c r="B74" s="1">
        <v>4</v>
      </c>
      <c r="C74" s="1" t="s">
        <v>359</v>
      </c>
      <c r="D74" s="1" t="s">
        <v>47</v>
      </c>
      <c r="E74" s="1" t="s">
        <v>141</v>
      </c>
      <c r="G74" s="6" t="s">
        <v>376</v>
      </c>
      <c r="H74" t="s">
        <v>451</v>
      </c>
      <c r="I74" t="s">
        <v>446</v>
      </c>
      <c r="J74" s="2">
        <f>IF(COUNT('Turns'!D190)=1,SUM('Turns'!D190),"Unknown")</f>
        <v>2782.0</v>
      </c>
      <c r="K74" s="2">
        <f>IF(COUNT('Turns'!E190)=1,SUM('Turns'!E190),"Unknown")</f>
        <v>0.000489487336</v>
      </c>
      <c r="L74" s="2">
        <f>IF(COUNT('Turns'!F190)=1,SUM('Turns'!F190),"Unknown")</f>
        <v>0.0005564</v>
      </c>
      <c r="M74" s="2">
        <f>IF(COUNT('Turns'!D189)=1,SUM('Turns'!D189),"Unknown")</f>
        <v>0.0</v>
      </c>
      <c r="N74" s="2">
        <f>IF(COUNT('Turns'!E189)=1,SUM('Turns'!E189),"Unknown")</f>
        <v>0.0</v>
      </c>
      <c r="O74" s="2">
        <f>IF(COUNT('Turns'!F189)=1,SUM('Turns'!F189),"Unknown")</f>
        <v>0.0</v>
      </c>
      <c r="P74" s="2">
        <v>0</v>
      </c>
      <c r="Q74" s="2">
        <v>0</v>
      </c>
      <c r="R74" s="2">
        <v>0</v>
      </c>
      <c r="S74" s="2">
        <f>IF(COUNT('Turns'!D195)=1,SUM('Turns'!D195),"Unknown")</f>
        <v>65.0</v>
      </c>
      <c r="T74" s="2">
        <f>IF(COUNT('Turns'!E195)=1,SUM('Turns'!E195),"Unknown")</f>
        <v>6.861972e-05</v>
      </c>
      <c r="U74" s="2">
        <f>IF(COUNT('Turns'!F195)=1,SUM('Turns'!F195),"Unknown")</f>
        <v>7.8e-05</v>
      </c>
      <c r="V74" s="2">
        <v>0</v>
      </c>
      <c r="W74" s="2">
        <v>0</v>
      </c>
      <c r="X74" s="2">
        <v>0</v>
      </c>
      <c r="Y74" s="2">
        <f>IF(COUNT('Turns'!E199)=1,SUM('Turns'!E199),"Unknown")</f>
        <v>0.000558107056</v>
      </c>
      <c r="Z74" s="2">
        <f>IF(COUNT('Turns'!F199)=1,SUM('Turns'!F199),"Unknown")</f>
        <v>0.0006344</v>
      </c>
      <c r="AA74" s="5">
        <f>IF(ISNUMBER(Y74),ROUND(Y74*'Reference data'!$B$2,0),"Unknown")</f>
        <v>56.0</v>
      </c>
      <c r="AB74" s="5">
        <f>IF(ISNUMBER(Z74),ROUND(Z74*'Reference data'!$B$2,0),"Unknown")</f>
        <v>63.0</v>
      </c>
      <c r="AD74" s="1">
        <v>5.955</v>
      </c>
      <c r="AE74" s="1" t="s">
        <v>361</v>
      </c>
    </row>
    <row r="75" spans="1:31" ht="54" customHeight="1">
      <c r="A75" s="6" t="s">
        <v>378</v>
      </c>
      <c r="B75" s="1">
        <v>5</v>
      </c>
      <c r="C75" s="1" t="s">
        <v>379</v>
      </c>
      <c r="D75" s="1" t="s">
        <v>126</v>
      </c>
      <c r="E75" s="1" t="s">
        <v>141</v>
      </c>
      <c r="F75" s="1">
        <v>2782</v>
      </c>
      <c r="G75" s="6" t="s">
        <v>422</v>
      </c>
      <c r="H75" t="s">
        <v>209</v>
      </c>
      <c r="I75" t="s">
        <v>451</v>
      </c>
      <c r="J75" s="2">
        <f>IF(COUNT('Turns'!D190)=1,SUM('Turns'!D190),"Unknown")</f>
        <v>2782.0</v>
      </c>
      <c r="K75" s="2">
        <f>IF(COUNT('Turns'!E190)=1,SUM('Turns'!E190),"Unknown")</f>
        <v>0.000489487336</v>
      </c>
      <c r="L75" s="2">
        <f>IF(COUNT('Turns'!F190)=1,SUM('Turns'!F190),"Unknown")</f>
        <v>0.0005564</v>
      </c>
      <c r="M75" s="2">
        <f>IF(COUNT('Turns'!D189)=1,SUM('Turns'!D189),"Unknown")</f>
        <v>0.0</v>
      </c>
      <c r="N75" s="2">
        <f>IF(COUNT('Turns'!E189)=1,SUM('Turns'!E189),"Unknown")</f>
        <v>0.0</v>
      </c>
      <c r="O75" s="2">
        <f>IF(COUNT('Turns'!F189)=1,SUM('Turns'!F189),"Unknown")</f>
        <v>0.0</v>
      </c>
      <c r="P75" s="2">
        <v>0</v>
      </c>
      <c r="Q75" s="2">
        <v>0</v>
      </c>
      <c r="R75" s="2">
        <v>0</v>
      </c>
      <c r="S75" s="2">
        <f>IF(COUNT('Turns'!D195)=1,SUM('Turns'!D195),"Unknown")</f>
        <v>65.0</v>
      </c>
      <c r="T75" s="2">
        <f>IF(COUNT('Turns'!E195)=1,SUM('Turns'!E195),"Unknown")</f>
        <v>6.861972e-05</v>
      </c>
      <c r="U75" s="2">
        <f>IF(COUNT('Turns'!F195)=1,SUM('Turns'!F195),"Unknown")</f>
        <v>7.8e-05</v>
      </c>
      <c r="V75" s="2">
        <v>0</v>
      </c>
      <c r="W75" s="2">
        <v>0</v>
      </c>
      <c r="X75" s="2">
        <v>0</v>
      </c>
      <c r="Y75" s="2">
        <f>IF(COUNT('Turns'!E199)=1,SUM('Turns'!E199),"Unknown")</f>
        <v>0.000558107056</v>
      </c>
      <c r="Z75" s="2">
        <f>IF(COUNT('Turns'!F199)=1,SUM('Turns'!F199),"Unknown")</f>
        <v>0.0006344</v>
      </c>
      <c r="AA75" s="5">
        <f>IF(ISNUMBER(Y75),ROUND(Y75*'Reference data'!$B$2,0),"Unknown")</f>
        <v>56.0</v>
      </c>
      <c r="AB75" s="5">
        <f>IF(ISNUMBER(Z75),ROUND(Z75*'Reference data'!$B$2,0),"Unknown")</f>
        <v>63.0</v>
      </c>
      <c r="AC75" s="1" t="s">
        <v>208</v>
      </c>
      <c r="AD75" s="1">
        <v>3.947</v>
      </c>
      <c r="AE75" s="1" t="s">
        <v>381</v>
      </c>
    </row>
    <row r="76" spans="1:31" ht="54" customHeight="1">
      <c r="A76" s="6" t="s">
        <v>427</v>
      </c>
      <c r="B76" s="1">
        <v>2</v>
      </c>
      <c r="C76" s="1" t="s">
        <v>359</v>
      </c>
      <c r="D76" s="1" t="s">
        <v>47</v>
      </c>
      <c r="E76" s="1" t="s">
        <v>141</v>
      </c>
      <c r="G76" s="6" t="s">
        <v>428</v>
      </c>
      <c r="H76" t="s">
        <v>452</v>
      </c>
      <c r="I76" t="s">
        <v>444</v>
      </c>
      <c r="AD76" s="1">
        <v>0.434</v>
      </c>
      <c r="AE76" s="1" t="s">
        <v>374</v>
      </c>
    </row>
    <row r="77" spans="1:31" ht="54" customHeight="1">
      <c r="A77" s="6" t="s">
        <v>453</v>
      </c>
      <c r="B77" s="1">
        <v>1</v>
      </c>
      <c r="C77" s="1" t="s">
        <v>359</v>
      </c>
      <c r="D77" s="1" t="s">
        <v>47</v>
      </c>
      <c r="E77" s="1" t="s">
        <v>141</v>
      </c>
      <c r="G77" s="6" t="s">
        <v>454</v>
      </c>
      <c r="H77" t="s">
        <v>455</v>
      </c>
      <c r="I77" t="s">
        <v>49</v>
      </c>
      <c r="J77" s="2">
        <f>IF(COUNT('Turns'!D201,'Turns'!D218,'Turns'!D233,'Turns'!D247,'Turns'!D260)=5,SUM('Turns'!D201,'Turns'!D218,'Turns'!D233,'Turns'!D247,'Turns'!D260),"Unknown")</f>
        <v>31965.0</v>
      </c>
      <c r="K77" s="2">
        <f>IF(COUNT('Turns'!E201,'Turns'!E218,'Turns'!E233,'Turns'!E247,'Turns'!E260)=5,SUM('Turns'!E201,'Turns'!E218,'Turns'!E233,'Turns'!E247,'Turns'!E260),"Unknown")</f>
        <v>0.00562417782</v>
      </c>
      <c r="L77" s="2">
        <f>IF(COUNT('Turns'!F201,'Turns'!F218,'Turns'!F233,'Turns'!F247,'Turns'!F260)=5,SUM('Turns'!F201,'Turns'!F218,'Turns'!F233,'Turns'!F247,'Turns'!F260),"Unknown")</f>
        <v>0.006393</v>
      </c>
      <c r="M77" s="2">
        <f>IF(COUNT('Turns'!D217,'Turns'!D232,'Turns'!D259)=3,SUM('Turns'!D217,'Turns'!D232,'Turns'!D259),"Unknown")</f>
        <v>0.0</v>
      </c>
      <c r="N77" s="2">
        <f>IF(COUNT('Turns'!E217,'Turns'!E232,'Turns'!E259)=3,SUM('Turns'!E217,'Turns'!E232,'Turns'!E259),"Unknown")</f>
        <v>0.0</v>
      </c>
      <c r="O77" s="2">
        <f>IF(COUNT('Turns'!F217,'Turns'!F232,'Turns'!F259)=3,SUM('Turns'!F217,'Turns'!F232,'Turns'!F259),"Unknown")</f>
        <v>0.0</v>
      </c>
      <c r="P77" s="2">
        <v>0</v>
      </c>
      <c r="Q77" s="2">
        <v>0</v>
      </c>
      <c r="R77" s="2">
        <v>0</v>
      </c>
      <c r="S77" s="2">
        <f>IF(COUNT('Turns'!D208,'Turns'!D223,'Turns'!D238,'Turns'!D253,'Turns'!D265)=5,SUM('Turns'!D208,'Turns'!D223,'Turns'!D238,'Turns'!D253,'Turns'!D265),"Unknown")</f>
        <v>371.0</v>
      </c>
      <c r="T77" s="2">
        <f>IF(COUNT('Turns'!E208,'Turns'!E223,'Turns'!E238,'Turns'!E253,'Turns'!E265)=5,SUM('Turns'!E208,'Turns'!E223,'Turns'!E238,'Turns'!E253,'Turns'!E265),"Unknown")</f>
        <v>0.000391660248</v>
      </c>
      <c r="U77" s="2">
        <f>IF(COUNT('Turns'!F208,'Turns'!F223,'Turns'!F238,'Turns'!F253,'Turns'!F265)=5,SUM('Turns'!F208,'Turns'!F223,'Turns'!F238,'Turns'!F253,'Turns'!F265),"Unknown")</f>
        <v>0.0004452</v>
      </c>
      <c r="V77" s="2">
        <v>0</v>
      </c>
      <c r="W77" s="2">
        <v>0</v>
      </c>
      <c r="X77" s="2">
        <v>0</v>
      </c>
      <c r="Y77" s="2">
        <f>IF(COUNT('Turns'!E212,'Turns'!E227,'Turns'!E242,'Turns'!E257,'Turns'!E269)=5,SUM('Turns'!E212,'Turns'!E227,'Turns'!E242,'Turns'!E257,'Turns'!E269),"Unknown")</f>
        <v>0.006015838068</v>
      </c>
      <c r="Z77" s="2">
        <f>IF(COUNT('Turns'!F212,'Turns'!F227,'Turns'!F242,'Turns'!F257,'Turns'!F269)=5,SUM('Turns'!F212,'Turns'!F227,'Turns'!F242,'Turns'!F257,'Turns'!F269),"Unknown")</f>
        <v>0.0068382</v>
      </c>
      <c r="AA77" s="5">
        <f>IF(ISNUMBER(Y77),ROUND(Y77*'Reference data'!$B$2,0),"Unknown")</f>
        <v>602.0</v>
      </c>
      <c r="AB77" s="5">
        <f>IF(ISNUMBER(Z77),ROUND(Z77*'Reference data'!$B$2,0),"Unknown")</f>
        <v>684.0</v>
      </c>
      <c r="AD77" s="1">
        <v>49.214</v>
      </c>
      <c r="AE77" s="1" t="s">
        <v>361</v>
      </c>
    </row>
    <row r="78" spans="1:31" ht="54" customHeight="1">
      <c r="A78" s="6" t="s">
        <v>365</v>
      </c>
      <c r="B78" s="1">
        <v>2</v>
      </c>
      <c r="C78" s="1" t="s">
        <v>359</v>
      </c>
      <c r="D78" s="1" t="s">
        <v>47</v>
      </c>
      <c r="E78" s="1" t="s">
        <v>141</v>
      </c>
      <c r="G78" s="6" t="s">
        <v>366</v>
      </c>
      <c r="H78" t="s">
        <v>456</v>
      </c>
      <c r="I78" t="s">
        <v>455</v>
      </c>
      <c r="J78" s="2">
        <f>IF(COUNT('Turns'!D201,'Turns'!D218,'Turns'!D233,'Turns'!D247,'Turns'!D260)=5,SUM('Turns'!D201,'Turns'!D218,'Turns'!D233,'Turns'!D247,'Turns'!D260),"Unknown")</f>
        <v>31965.0</v>
      </c>
      <c r="K78" s="2">
        <f>IF(COUNT('Turns'!E201,'Turns'!E218,'Turns'!E233,'Turns'!E247,'Turns'!E260)=5,SUM('Turns'!E201,'Turns'!E218,'Turns'!E233,'Turns'!E247,'Turns'!E260),"Unknown")</f>
        <v>0.00562417782</v>
      </c>
      <c r="L78" s="2">
        <f>IF(COUNT('Turns'!F201,'Turns'!F218,'Turns'!F233,'Turns'!F247,'Turns'!F260)=5,SUM('Turns'!F201,'Turns'!F218,'Turns'!F233,'Turns'!F247,'Turns'!F260),"Unknown")</f>
        <v>0.006393</v>
      </c>
      <c r="M78" s="2">
        <f>IF(COUNT('Turns'!D217,'Turns'!D232,'Turns'!D259)=3,SUM('Turns'!D217,'Turns'!D232,'Turns'!D259),"Unknown")</f>
        <v>0.0</v>
      </c>
      <c r="N78" s="2">
        <f>IF(COUNT('Turns'!E217,'Turns'!E232,'Turns'!E259)=3,SUM('Turns'!E217,'Turns'!E232,'Turns'!E259),"Unknown")</f>
        <v>0.0</v>
      </c>
      <c r="O78" s="2">
        <f>IF(COUNT('Turns'!F217,'Turns'!F232,'Turns'!F259)=3,SUM('Turns'!F217,'Turns'!F232,'Turns'!F259),"Unknown")</f>
        <v>0.0</v>
      </c>
      <c r="P78" s="2">
        <v>0</v>
      </c>
      <c r="Q78" s="2">
        <v>0</v>
      </c>
      <c r="R78" s="2">
        <v>0</v>
      </c>
      <c r="S78" s="2">
        <f>IF(COUNT('Turns'!D208,'Turns'!D223,'Turns'!D238,'Turns'!D253,'Turns'!D265)=5,SUM('Turns'!D208,'Turns'!D223,'Turns'!D238,'Turns'!D253,'Turns'!D265),"Unknown")</f>
        <v>371.0</v>
      </c>
      <c r="T78" s="2">
        <f>IF(COUNT('Turns'!E208,'Turns'!E223,'Turns'!E238,'Turns'!E253,'Turns'!E265)=5,SUM('Turns'!E208,'Turns'!E223,'Turns'!E238,'Turns'!E253,'Turns'!E265),"Unknown")</f>
        <v>0.000391660248</v>
      </c>
      <c r="U78" s="2">
        <f>IF(COUNT('Turns'!F208,'Turns'!F223,'Turns'!F238,'Turns'!F253,'Turns'!F265)=5,SUM('Turns'!F208,'Turns'!F223,'Turns'!F238,'Turns'!F253,'Turns'!F265),"Unknown")</f>
        <v>0.0004452</v>
      </c>
      <c r="V78" s="2">
        <v>0</v>
      </c>
      <c r="W78" s="2">
        <v>0</v>
      </c>
      <c r="X78" s="2">
        <v>0</v>
      </c>
      <c r="Y78" s="2">
        <f>IF(COUNT('Turns'!E212,'Turns'!E227,'Turns'!E242,'Turns'!E257,'Turns'!E269)=5,SUM('Turns'!E212,'Turns'!E227,'Turns'!E242,'Turns'!E257,'Turns'!E269),"Unknown")</f>
        <v>0.006015838068</v>
      </c>
      <c r="Z78" s="2">
        <f>IF(COUNT('Turns'!F212,'Turns'!F227,'Turns'!F242,'Turns'!F257,'Turns'!F269)=5,SUM('Turns'!F212,'Turns'!F227,'Turns'!F242,'Turns'!F257,'Turns'!F269),"Unknown")</f>
        <v>0.0068382</v>
      </c>
      <c r="AA78" s="5">
        <f>IF(ISNUMBER(Y78),ROUND(Y78*'Reference data'!$B$2,0),"Unknown")</f>
        <v>602.0</v>
      </c>
      <c r="AB78" s="5">
        <f>IF(ISNUMBER(Z78),ROUND(Z78*'Reference data'!$B$2,0),"Unknown")</f>
        <v>684.0</v>
      </c>
      <c r="AD78" s="1">
        <v>48.013</v>
      </c>
      <c r="AE78" s="1" t="s">
        <v>361</v>
      </c>
    </row>
    <row r="79" spans="1:31" ht="54" customHeight="1">
      <c r="A79" s="6" t="s">
        <v>368</v>
      </c>
      <c r="B79" s="1">
        <v>3</v>
      </c>
      <c r="C79" s="1" t="s">
        <v>359</v>
      </c>
      <c r="D79" s="1" t="s">
        <v>47</v>
      </c>
      <c r="E79" s="1" t="s">
        <v>141</v>
      </c>
      <c r="G79" s="6" t="s">
        <v>369</v>
      </c>
      <c r="H79" t="s">
        <v>457</v>
      </c>
      <c r="I79" t="s">
        <v>456</v>
      </c>
      <c r="J79" s="2">
        <f>IF(COUNT('Turns'!D201,'Turns'!D218,'Turns'!D233,'Turns'!D247,'Turns'!D260)=5,SUM('Turns'!D201,'Turns'!D218,'Turns'!D233,'Turns'!D247,'Turns'!D260),"Unknown")</f>
        <v>31965.0</v>
      </c>
      <c r="K79" s="2">
        <f>IF(COUNT('Turns'!E201,'Turns'!E218,'Turns'!E233,'Turns'!E247,'Turns'!E260)=5,SUM('Turns'!E201,'Turns'!E218,'Turns'!E233,'Turns'!E247,'Turns'!E260),"Unknown")</f>
        <v>0.00562417782</v>
      </c>
      <c r="L79" s="2">
        <f>IF(COUNT('Turns'!F201,'Turns'!F218,'Turns'!F233,'Turns'!F247,'Turns'!F260)=5,SUM('Turns'!F201,'Turns'!F218,'Turns'!F233,'Turns'!F247,'Turns'!F260),"Unknown")</f>
        <v>0.006393</v>
      </c>
      <c r="M79" s="2">
        <f>IF(COUNT('Turns'!D217,'Turns'!D232,'Turns'!D259)=3,SUM('Turns'!D217,'Turns'!D232,'Turns'!D259),"Unknown")</f>
        <v>0.0</v>
      </c>
      <c r="N79" s="2">
        <f>IF(COUNT('Turns'!E217,'Turns'!E232,'Turns'!E259)=3,SUM('Turns'!E217,'Turns'!E232,'Turns'!E259),"Unknown")</f>
        <v>0.0</v>
      </c>
      <c r="O79" s="2">
        <f>IF(COUNT('Turns'!F217,'Turns'!F232,'Turns'!F259)=3,SUM('Turns'!F217,'Turns'!F232,'Turns'!F259),"Unknown")</f>
        <v>0.0</v>
      </c>
      <c r="P79" s="2">
        <v>0</v>
      </c>
      <c r="Q79" s="2">
        <v>0</v>
      </c>
      <c r="R79" s="2">
        <v>0</v>
      </c>
      <c r="S79" s="2">
        <f>IF(COUNT('Turns'!D208,'Turns'!D223,'Turns'!D238,'Turns'!D253,'Turns'!D265)=5,SUM('Turns'!D208,'Turns'!D223,'Turns'!D238,'Turns'!D253,'Turns'!D265),"Unknown")</f>
        <v>371.0</v>
      </c>
      <c r="T79" s="2">
        <f>IF(COUNT('Turns'!E208,'Turns'!E223,'Turns'!E238,'Turns'!E253,'Turns'!E265)=5,SUM('Turns'!E208,'Turns'!E223,'Turns'!E238,'Turns'!E253,'Turns'!E265),"Unknown")</f>
        <v>0.000391660248</v>
      </c>
      <c r="U79" s="2">
        <f>IF(COUNT('Turns'!F208,'Turns'!F223,'Turns'!F238,'Turns'!F253,'Turns'!F265)=5,SUM('Turns'!F208,'Turns'!F223,'Turns'!F238,'Turns'!F253,'Turns'!F265),"Unknown")</f>
        <v>0.0004452</v>
      </c>
      <c r="V79" s="2">
        <v>0</v>
      </c>
      <c r="W79" s="2">
        <v>0</v>
      </c>
      <c r="X79" s="2">
        <v>0</v>
      </c>
      <c r="Y79" s="2">
        <f>IF(COUNT('Turns'!E212,'Turns'!E227,'Turns'!E242,'Turns'!E257,'Turns'!E269)=5,SUM('Turns'!E212,'Turns'!E227,'Turns'!E242,'Turns'!E257,'Turns'!E269),"Unknown")</f>
        <v>0.006015838068</v>
      </c>
      <c r="Z79" s="2">
        <f>IF(COUNT('Turns'!F212,'Turns'!F227,'Turns'!F242,'Turns'!F257,'Turns'!F269)=5,SUM('Turns'!F212,'Turns'!F227,'Turns'!F242,'Turns'!F257,'Turns'!F269),"Unknown")</f>
        <v>0.0068382</v>
      </c>
      <c r="AA79" s="5">
        <f>IF(ISNUMBER(Y79),ROUND(Y79*'Reference data'!$B$2,0),"Unknown")</f>
        <v>602.0</v>
      </c>
      <c r="AB79" s="5">
        <f>IF(ISNUMBER(Z79),ROUND(Z79*'Reference data'!$B$2,0),"Unknown")</f>
        <v>684.0</v>
      </c>
      <c r="AD79" s="1">
        <v>47.252</v>
      </c>
      <c r="AE79" s="1" t="s">
        <v>361</v>
      </c>
    </row>
    <row r="80" spans="1:31" ht="54" customHeight="1">
      <c r="A80" s="6" t="s">
        <v>371</v>
      </c>
      <c r="B80" s="1">
        <v>4</v>
      </c>
      <c r="C80" s="1" t="s">
        <v>359</v>
      </c>
      <c r="D80" s="1" t="s">
        <v>47</v>
      </c>
      <c r="E80" s="1" t="s">
        <v>141</v>
      </c>
      <c r="G80" s="6" t="s">
        <v>372</v>
      </c>
      <c r="H80" t="s">
        <v>458</v>
      </c>
      <c r="I80" t="s">
        <v>457</v>
      </c>
      <c r="AD80" s="1">
        <v>0.745</v>
      </c>
      <c r="AE80" s="1" t="s">
        <v>374</v>
      </c>
    </row>
    <row r="81" spans="1:31" ht="54" customHeight="1">
      <c r="A81" s="6" t="s">
        <v>375</v>
      </c>
      <c r="B81" s="1">
        <v>4</v>
      </c>
      <c r="C81" s="1" t="s">
        <v>359</v>
      </c>
      <c r="D81" s="1" t="s">
        <v>47</v>
      </c>
      <c r="E81" s="1" t="s">
        <v>141</v>
      </c>
      <c r="G81" s="6" t="s">
        <v>376</v>
      </c>
      <c r="H81" t="s">
        <v>459</v>
      </c>
      <c r="I81" t="s">
        <v>457</v>
      </c>
      <c r="J81" s="2">
        <f>IF(COUNT('Turns'!D201)=1,SUM('Turns'!D201),"Unknown")</f>
        <v>7025.0</v>
      </c>
      <c r="K81" s="2">
        <f>IF(COUNT('Turns'!E201)=1,SUM('Turns'!E201),"Unknown")</f>
        <v>0.0012360347</v>
      </c>
      <c r="L81" s="2">
        <f>IF(COUNT('Turns'!F201)=1,SUM('Turns'!F201),"Unknown")</f>
        <v>0.001405</v>
      </c>
      <c r="M81" s="2">
        <v>0</v>
      </c>
      <c r="N81" s="2">
        <v>0</v>
      </c>
      <c r="O81" s="2">
        <v>0</v>
      </c>
      <c r="P81" s="2">
        <v>0</v>
      </c>
      <c r="Q81" s="2">
        <v>0</v>
      </c>
      <c r="R81" s="2">
        <v>0</v>
      </c>
      <c r="S81" s="2">
        <f>IF(COUNT('Turns'!D208)=1,SUM('Turns'!D208),"Unknown")</f>
        <v>56.0</v>
      </c>
      <c r="T81" s="2">
        <f>IF(COUNT('Turns'!E208)=1,SUM('Turns'!E208),"Unknown")</f>
        <v>5.9118528e-05</v>
      </c>
      <c r="U81" s="2">
        <f>IF(COUNT('Turns'!F208)=1,SUM('Turns'!F208),"Unknown")</f>
        <v>6.72e-05</v>
      </c>
      <c r="V81" s="2">
        <v>0</v>
      </c>
      <c r="W81" s="2">
        <v>0</v>
      </c>
      <c r="X81" s="2">
        <v>0</v>
      </c>
      <c r="Y81" s="2">
        <f>IF(COUNT('Turns'!E212)=1,SUM('Turns'!E212),"Unknown")</f>
        <v>0.001295153228</v>
      </c>
      <c r="Z81" s="2">
        <f>IF(COUNT('Turns'!F212)=1,SUM('Turns'!F212),"Unknown")</f>
        <v>0.0014722</v>
      </c>
      <c r="AA81" s="5">
        <f>IF(ISNUMBER(Y81),ROUND(Y81*'Reference data'!$B$2,0),"Unknown")</f>
        <v>130.0</v>
      </c>
      <c r="AB81" s="5">
        <f>IF(ISNUMBER(Z81),ROUND(Z81*'Reference data'!$B$2,0),"Unknown")</f>
        <v>147.0</v>
      </c>
      <c r="AD81" s="1">
        <v>7.158</v>
      </c>
      <c r="AE81" s="1" t="s">
        <v>361</v>
      </c>
    </row>
    <row r="82" spans="1:31" ht="54" customHeight="1">
      <c r="A82" s="6" t="s">
        <v>378</v>
      </c>
      <c r="B82" s="1">
        <v>5</v>
      </c>
      <c r="C82" s="1" t="s">
        <v>379</v>
      </c>
      <c r="D82" s="1" t="s">
        <v>126</v>
      </c>
      <c r="E82" s="1" t="s">
        <v>141</v>
      </c>
      <c r="F82" s="1">
        <v>7025</v>
      </c>
      <c r="G82" s="6" t="s">
        <v>380</v>
      </c>
      <c r="H82" t="s">
        <v>212</v>
      </c>
      <c r="I82" t="s">
        <v>459</v>
      </c>
      <c r="J82" s="2">
        <f>IF(COUNT('Turns'!D201)=1,SUM('Turns'!D201),"Unknown")</f>
        <v>7025.0</v>
      </c>
      <c r="K82" s="2">
        <f>IF(COUNT('Turns'!E201)=1,SUM('Turns'!E201),"Unknown")</f>
        <v>0.0012360347</v>
      </c>
      <c r="L82" s="2">
        <f>IF(COUNT('Turns'!F201)=1,SUM('Turns'!F201),"Unknown")</f>
        <v>0.001405</v>
      </c>
      <c r="M82" s="2">
        <v>0</v>
      </c>
      <c r="N82" s="2">
        <v>0</v>
      </c>
      <c r="O82" s="2">
        <v>0</v>
      </c>
      <c r="P82" s="2">
        <v>0</v>
      </c>
      <c r="Q82" s="2">
        <v>0</v>
      </c>
      <c r="R82" s="2">
        <v>0</v>
      </c>
      <c r="S82" s="2">
        <f>IF(COUNT('Turns'!D208)=1,SUM('Turns'!D208),"Unknown")</f>
        <v>56.0</v>
      </c>
      <c r="T82" s="2">
        <f>IF(COUNT('Turns'!E208)=1,SUM('Turns'!E208),"Unknown")</f>
        <v>5.9118528e-05</v>
      </c>
      <c r="U82" s="2">
        <f>IF(COUNT('Turns'!F208)=1,SUM('Turns'!F208),"Unknown")</f>
        <v>6.72e-05</v>
      </c>
      <c r="V82" s="2">
        <v>0</v>
      </c>
      <c r="W82" s="2">
        <v>0</v>
      </c>
      <c r="X82" s="2">
        <v>0</v>
      </c>
      <c r="Y82" s="2">
        <f>IF(COUNT('Turns'!E212)=1,SUM('Turns'!E212),"Unknown")</f>
        <v>0.001295153228</v>
      </c>
      <c r="Z82" s="2">
        <f>IF(COUNT('Turns'!F212)=1,SUM('Turns'!F212),"Unknown")</f>
        <v>0.0014722</v>
      </c>
      <c r="AA82" s="5">
        <f>IF(ISNUMBER(Y82),ROUND(Y82*'Reference data'!$B$2,0),"Unknown")</f>
        <v>130.0</v>
      </c>
      <c r="AB82" s="5">
        <f>IF(ISNUMBER(Z82),ROUND(Z82*'Reference data'!$B$2,0),"Unknown")</f>
        <v>147.0</v>
      </c>
      <c r="AC82" s="1" t="s">
        <v>211</v>
      </c>
      <c r="AD82" s="1">
        <v>3.906</v>
      </c>
      <c r="AE82" s="1" t="s">
        <v>381</v>
      </c>
    </row>
    <row r="83" spans="1:31" ht="54" customHeight="1">
      <c r="A83" s="6" t="s">
        <v>382</v>
      </c>
      <c r="B83" s="1">
        <v>4</v>
      </c>
      <c r="C83" s="1" t="s">
        <v>359</v>
      </c>
      <c r="D83" s="1" t="s">
        <v>47</v>
      </c>
      <c r="E83" s="1" t="s">
        <v>141</v>
      </c>
      <c r="G83" s="6" t="s">
        <v>383</v>
      </c>
      <c r="H83" t="s">
        <v>460</v>
      </c>
      <c r="I83" t="s">
        <v>457</v>
      </c>
      <c r="AD83" s="1">
        <v>1.821</v>
      </c>
      <c r="AE83" s="1" t="s">
        <v>374</v>
      </c>
    </row>
    <row r="84" spans="1:31" ht="54" customHeight="1">
      <c r="A84" s="6" t="s">
        <v>404</v>
      </c>
      <c r="B84" s="1">
        <v>5</v>
      </c>
      <c r="C84" s="1" t="s">
        <v>386</v>
      </c>
      <c r="D84" s="1" t="s">
        <v>47</v>
      </c>
      <c r="E84" s="1" t="s">
        <v>141</v>
      </c>
      <c r="G84" s="6" t="s">
        <v>405</v>
      </c>
      <c r="H84" t="s">
        <v>216</v>
      </c>
      <c r="I84" t="s">
        <v>460</v>
      </c>
      <c r="AD84" s="1">
        <v>0.768</v>
      </c>
      <c r="AE84" s="1" t="s">
        <v>374</v>
      </c>
    </row>
    <row r="85" spans="1:31" ht="54" customHeight="1">
      <c r="A85" s="6" t="s">
        <v>371</v>
      </c>
      <c r="B85" s="1">
        <v>4</v>
      </c>
      <c r="C85" s="1" t="s">
        <v>359</v>
      </c>
      <c r="D85" s="1" t="s">
        <v>47</v>
      </c>
      <c r="E85" s="1" t="s">
        <v>141</v>
      </c>
      <c r="G85" s="6" t="s">
        <v>372</v>
      </c>
      <c r="H85" t="s">
        <v>461</v>
      </c>
      <c r="I85" t="s">
        <v>457</v>
      </c>
      <c r="AD85" s="1">
        <v>0.702</v>
      </c>
      <c r="AE85" s="1" t="s">
        <v>374</v>
      </c>
    </row>
    <row r="86" spans="1:31" ht="54" customHeight="1">
      <c r="A86" s="6" t="s">
        <v>375</v>
      </c>
      <c r="B86" s="1">
        <v>4</v>
      </c>
      <c r="C86" s="1" t="s">
        <v>359</v>
      </c>
      <c r="D86" s="1" t="s">
        <v>47</v>
      </c>
      <c r="E86" s="1" t="s">
        <v>141</v>
      </c>
      <c r="G86" s="6" t="s">
        <v>376</v>
      </c>
      <c r="H86" t="s">
        <v>462</v>
      </c>
      <c r="I86" t="s">
        <v>457</v>
      </c>
      <c r="J86" s="2">
        <f>IF(COUNT('Turns'!D218)=1,SUM('Turns'!D218),"Unknown")</f>
        <v>7832.0</v>
      </c>
      <c r="K86" s="2">
        <f>IF(COUNT('Turns'!E218)=1,SUM('Turns'!E218),"Unknown")</f>
        <v>0.001378024736</v>
      </c>
      <c r="L86" s="2">
        <f>IF(COUNT('Turns'!F218)=1,SUM('Turns'!F218),"Unknown")</f>
        <v>0.0015664</v>
      </c>
      <c r="M86" s="2">
        <f>IF(COUNT('Turns'!D217)=1,SUM('Turns'!D217),"Unknown")</f>
        <v>0.0</v>
      </c>
      <c r="N86" s="2">
        <f>IF(COUNT('Turns'!E217)=1,SUM('Turns'!E217),"Unknown")</f>
        <v>0.0</v>
      </c>
      <c r="O86" s="2">
        <f>IF(COUNT('Turns'!F217)=1,SUM('Turns'!F217),"Unknown")</f>
        <v>0.0</v>
      </c>
      <c r="P86" s="2">
        <v>0</v>
      </c>
      <c r="Q86" s="2">
        <v>0</v>
      </c>
      <c r="R86" s="2">
        <v>0</v>
      </c>
      <c r="S86" s="2">
        <f>IF(COUNT('Turns'!D223)=1,SUM('Turns'!D223),"Unknown")</f>
        <v>107.0</v>
      </c>
      <c r="T86" s="2">
        <f>IF(COUNT('Turns'!E223)=1,SUM('Turns'!E223),"Unknown")</f>
        <v>0.000112958616</v>
      </c>
      <c r="U86" s="2">
        <f>IF(COUNT('Turns'!F223)=1,SUM('Turns'!F223),"Unknown")</f>
        <v>0.0001284</v>
      </c>
      <c r="V86" s="2">
        <v>0</v>
      </c>
      <c r="W86" s="2">
        <v>0</v>
      </c>
      <c r="X86" s="2">
        <v>0</v>
      </c>
      <c r="Y86" s="2">
        <f>IF(COUNT('Turns'!E227)=1,SUM('Turns'!E227),"Unknown")</f>
        <v>0.001490983352</v>
      </c>
      <c r="Z86" s="2">
        <f>IF(COUNT('Turns'!F227)=1,SUM('Turns'!F227),"Unknown")</f>
        <v>0.0016948</v>
      </c>
      <c r="AA86" s="5">
        <f>IF(ISNUMBER(Y86),ROUND(Y86*'Reference data'!$B$2,0),"Unknown")</f>
        <v>149.0</v>
      </c>
      <c r="AB86" s="5">
        <f>IF(ISNUMBER(Z86),ROUND(Z86*'Reference data'!$B$2,0),"Unknown")</f>
        <v>169.0</v>
      </c>
      <c r="AD86" s="1">
        <v>6.073</v>
      </c>
      <c r="AE86" s="1" t="s">
        <v>361</v>
      </c>
    </row>
    <row r="87" spans="1:31" ht="54" customHeight="1">
      <c r="A87" s="6" t="s">
        <v>378</v>
      </c>
      <c r="B87" s="1">
        <v>5</v>
      </c>
      <c r="C87" s="1" t="s">
        <v>379</v>
      </c>
      <c r="D87" s="1" t="s">
        <v>126</v>
      </c>
      <c r="E87" s="1" t="s">
        <v>141</v>
      </c>
      <c r="F87" s="1">
        <v>7832</v>
      </c>
      <c r="G87" s="6" t="s">
        <v>380</v>
      </c>
      <c r="H87" t="s">
        <v>218</v>
      </c>
      <c r="I87" t="s">
        <v>462</v>
      </c>
      <c r="J87" s="2">
        <f>IF(COUNT('Turns'!D218)=1,SUM('Turns'!D218),"Unknown")</f>
        <v>7832.0</v>
      </c>
      <c r="K87" s="2">
        <f>IF(COUNT('Turns'!E218)=1,SUM('Turns'!E218),"Unknown")</f>
        <v>0.001378024736</v>
      </c>
      <c r="L87" s="2">
        <f>IF(COUNT('Turns'!F218)=1,SUM('Turns'!F218),"Unknown")</f>
        <v>0.0015664</v>
      </c>
      <c r="M87" s="2">
        <f>IF(COUNT('Turns'!D217)=1,SUM('Turns'!D217),"Unknown")</f>
        <v>0.0</v>
      </c>
      <c r="N87" s="2">
        <f>IF(COUNT('Turns'!E217)=1,SUM('Turns'!E217),"Unknown")</f>
        <v>0.0</v>
      </c>
      <c r="O87" s="2">
        <f>IF(COUNT('Turns'!F217)=1,SUM('Turns'!F217),"Unknown")</f>
        <v>0.0</v>
      </c>
      <c r="P87" s="2">
        <v>0</v>
      </c>
      <c r="Q87" s="2">
        <v>0</v>
      </c>
      <c r="R87" s="2">
        <v>0</v>
      </c>
      <c r="S87" s="2">
        <f>IF(COUNT('Turns'!D223)=1,SUM('Turns'!D223),"Unknown")</f>
        <v>107.0</v>
      </c>
      <c r="T87" s="2">
        <f>IF(COUNT('Turns'!E223)=1,SUM('Turns'!E223),"Unknown")</f>
        <v>0.000112958616</v>
      </c>
      <c r="U87" s="2">
        <f>IF(COUNT('Turns'!F223)=1,SUM('Turns'!F223),"Unknown")</f>
        <v>0.0001284</v>
      </c>
      <c r="V87" s="2">
        <v>0</v>
      </c>
      <c r="W87" s="2">
        <v>0</v>
      </c>
      <c r="X87" s="2">
        <v>0</v>
      </c>
      <c r="Y87" s="2">
        <f>IF(COUNT('Turns'!E227)=1,SUM('Turns'!E227),"Unknown")</f>
        <v>0.001490983352</v>
      </c>
      <c r="Z87" s="2">
        <f>IF(COUNT('Turns'!F227)=1,SUM('Turns'!F227),"Unknown")</f>
        <v>0.0016948</v>
      </c>
      <c r="AA87" s="5">
        <f>IF(ISNUMBER(Y87),ROUND(Y87*'Reference data'!$B$2,0),"Unknown")</f>
        <v>149.0</v>
      </c>
      <c r="AB87" s="5">
        <f>IF(ISNUMBER(Z87),ROUND(Z87*'Reference data'!$B$2,0),"Unknown")</f>
        <v>169.0</v>
      </c>
      <c r="AC87" s="1" t="s">
        <v>217</v>
      </c>
      <c r="AD87" s="1">
        <v>3.855</v>
      </c>
      <c r="AE87" s="1" t="s">
        <v>381</v>
      </c>
    </row>
    <row r="88" spans="1:31" ht="54" customHeight="1">
      <c r="A88" s="6" t="s">
        <v>382</v>
      </c>
      <c r="B88" s="1">
        <v>4</v>
      </c>
      <c r="C88" s="1" t="s">
        <v>359</v>
      </c>
      <c r="D88" s="1" t="s">
        <v>47</v>
      </c>
      <c r="E88" s="1" t="s">
        <v>141</v>
      </c>
      <c r="G88" s="6" t="s">
        <v>383</v>
      </c>
      <c r="H88" t="s">
        <v>463</v>
      </c>
      <c r="I88" t="s">
        <v>457</v>
      </c>
      <c r="AD88" s="1">
        <v>2.085</v>
      </c>
      <c r="AE88" s="1" t="s">
        <v>374</v>
      </c>
    </row>
    <row r="89" spans="1:31" ht="54" customHeight="1">
      <c r="A89" s="6" t="s">
        <v>439</v>
      </c>
      <c r="B89" s="1">
        <v>5</v>
      </c>
      <c r="C89" s="1" t="s">
        <v>386</v>
      </c>
      <c r="D89" s="1" t="s">
        <v>47</v>
      </c>
      <c r="E89" s="1" t="s">
        <v>141</v>
      </c>
      <c r="G89" s="6" t="s">
        <v>440</v>
      </c>
      <c r="H89" t="s">
        <v>220</v>
      </c>
      <c r="I89" t="s">
        <v>463</v>
      </c>
      <c r="AD89" s="1">
        <v>0.97</v>
      </c>
      <c r="AE89" s="1" t="s">
        <v>374</v>
      </c>
    </row>
    <row r="90" spans="1:31" ht="54" customHeight="1">
      <c r="A90" s="6" t="s">
        <v>371</v>
      </c>
      <c r="B90" s="1">
        <v>4</v>
      </c>
      <c r="C90" s="1" t="s">
        <v>359</v>
      </c>
      <c r="D90" s="1" t="s">
        <v>47</v>
      </c>
      <c r="E90" s="1" t="s">
        <v>141</v>
      </c>
      <c r="G90" s="6" t="s">
        <v>372</v>
      </c>
      <c r="H90" t="s">
        <v>464</v>
      </c>
      <c r="I90" t="s">
        <v>457</v>
      </c>
      <c r="AD90" s="1">
        <v>0.832</v>
      </c>
      <c r="AE90" s="1" t="s">
        <v>374</v>
      </c>
    </row>
    <row r="91" spans="1:31" ht="54" customHeight="1">
      <c r="A91" s="6" t="s">
        <v>375</v>
      </c>
      <c r="B91" s="1">
        <v>4</v>
      </c>
      <c r="C91" s="1" t="s">
        <v>359</v>
      </c>
      <c r="D91" s="1" t="s">
        <v>47</v>
      </c>
      <c r="E91" s="1" t="s">
        <v>141</v>
      </c>
      <c r="G91" s="6" t="s">
        <v>376</v>
      </c>
      <c r="H91" t="s">
        <v>465</v>
      </c>
      <c r="I91" t="s">
        <v>457</v>
      </c>
      <c r="J91" s="2">
        <f>IF(COUNT('Turns'!D233)=1,SUM('Turns'!D233),"Unknown")</f>
        <v>7981.0</v>
      </c>
      <c r="K91" s="2">
        <f>IF(COUNT('Turns'!E233)=1,SUM('Turns'!E233),"Unknown")</f>
        <v>0.001404240988</v>
      </c>
      <c r="L91" s="2">
        <f>IF(COUNT('Turns'!F233)=1,SUM('Turns'!F233),"Unknown")</f>
        <v>0.0015962</v>
      </c>
      <c r="M91" s="2">
        <f>IF(COUNT('Turns'!D232)=1,SUM('Turns'!D232),"Unknown")</f>
        <v>0.0</v>
      </c>
      <c r="N91" s="2">
        <f>IF(COUNT('Turns'!E232)=1,SUM('Turns'!E232),"Unknown")</f>
        <v>0.0</v>
      </c>
      <c r="O91" s="2">
        <f>IF(COUNT('Turns'!F232)=1,SUM('Turns'!F232),"Unknown")</f>
        <v>0.0</v>
      </c>
      <c r="P91" s="2">
        <v>0</v>
      </c>
      <c r="Q91" s="2">
        <v>0</v>
      </c>
      <c r="R91" s="2">
        <v>0</v>
      </c>
      <c r="S91" s="2">
        <f>IF(COUNT('Turns'!D238)=1,SUM('Turns'!D238),"Unknown")</f>
        <v>56.0</v>
      </c>
      <c r="T91" s="2">
        <f>IF(COUNT('Turns'!E238)=1,SUM('Turns'!E238),"Unknown")</f>
        <v>5.9118528e-05</v>
      </c>
      <c r="U91" s="2">
        <f>IF(COUNT('Turns'!F238)=1,SUM('Turns'!F238),"Unknown")</f>
        <v>6.72e-05</v>
      </c>
      <c r="V91" s="2">
        <v>0</v>
      </c>
      <c r="W91" s="2">
        <v>0</v>
      </c>
      <c r="X91" s="2">
        <v>0</v>
      </c>
      <c r="Y91" s="2">
        <f>IF(COUNT('Turns'!E242)=1,SUM('Turns'!E242),"Unknown")</f>
        <v>0.001463359516</v>
      </c>
      <c r="Z91" s="2">
        <f>IF(COUNT('Turns'!F242)=1,SUM('Turns'!F242),"Unknown")</f>
        <v>0.0016634</v>
      </c>
      <c r="AA91" s="5">
        <f>IF(ISNUMBER(Y91),ROUND(Y91*'Reference data'!$B$2,0),"Unknown")</f>
        <v>146.0</v>
      </c>
      <c r="AB91" s="5">
        <f>IF(ISNUMBER(Z91),ROUND(Z91*'Reference data'!$B$2,0),"Unknown")</f>
        <v>166.0</v>
      </c>
      <c r="AD91" s="1">
        <v>6.31</v>
      </c>
      <c r="AE91" s="1" t="s">
        <v>361</v>
      </c>
    </row>
    <row r="92" spans="1:31" ht="54" customHeight="1">
      <c r="A92" s="6" t="s">
        <v>378</v>
      </c>
      <c r="B92" s="1">
        <v>5</v>
      </c>
      <c r="C92" s="1" t="s">
        <v>379</v>
      </c>
      <c r="D92" s="1" t="s">
        <v>126</v>
      </c>
      <c r="E92" s="1" t="s">
        <v>141</v>
      </c>
      <c r="F92" s="1">
        <v>7981</v>
      </c>
      <c r="G92" s="6" t="s">
        <v>380</v>
      </c>
      <c r="H92" t="s">
        <v>224</v>
      </c>
      <c r="I92" t="s">
        <v>465</v>
      </c>
      <c r="J92" s="2">
        <f>IF(COUNT('Turns'!D233)=1,SUM('Turns'!D233),"Unknown")</f>
        <v>7981.0</v>
      </c>
      <c r="K92" s="2">
        <f>IF(COUNT('Turns'!E233)=1,SUM('Turns'!E233),"Unknown")</f>
        <v>0.001404240988</v>
      </c>
      <c r="L92" s="2">
        <f>IF(COUNT('Turns'!F233)=1,SUM('Turns'!F233),"Unknown")</f>
        <v>0.0015962</v>
      </c>
      <c r="M92" s="2">
        <f>IF(COUNT('Turns'!D232)=1,SUM('Turns'!D232),"Unknown")</f>
        <v>0.0</v>
      </c>
      <c r="N92" s="2">
        <f>IF(COUNT('Turns'!E232)=1,SUM('Turns'!E232),"Unknown")</f>
        <v>0.0</v>
      </c>
      <c r="O92" s="2">
        <f>IF(COUNT('Turns'!F232)=1,SUM('Turns'!F232),"Unknown")</f>
        <v>0.0</v>
      </c>
      <c r="P92" s="2">
        <v>0</v>
      </c>
      <c r="Q92" s="2">
        <v>0</v>
      </c>
      <c r="R92" s="2">
        <v>0</v>
      </c>
      <c r="S92" s="2">
        <f>IF(COUNT('Turns'!D238)=1,SUM('Turns'!D238),"Unknown")</f>
        <v>56.0</v>
      </c>
      <c r="T92" s="2">
        <f>IF(COUNT('Turns'!E238)=1,SUM('Turns'!E238),"Unknown")</f>
        <v>5.9118528e-05</v>
      </c>
      <c r="U92" s="2">
        <f>IF(COUNT('Turns'!F238)=1,SUM('Turns'!F238),"Unknown")</f>
        <v>6.72e-05</v>
      </c>
      <c r="V92" s="2">
        <v>0</v>
      </c>
      <c r="W92" s="2">
        <v>0</v>
      </c>
      <c r="X92" s="2">
        <v>0</v>
      </c>
      <c r="Y92" s="2">
        <f>IF(COUNT('Turns'!E242)=1,SUM('Turns'!E242),"Unknown")</f>
        <v>0.001463359516</v>
      </c>
      <c r="Z92" s="2">
        <f>IF(COUNT('Turns'!F242)=1,SUM('Turns'!F242),"Unknown")</f>
        <v>0.0016634</v>
      </c>
      <c r="AA92" s="5">
        <f>IF(ISNUMBER(Y92),ROUND(Y92*'Reference data'!$B$2,0),"Unknown")</f>
        <v>146.0</v>
      </c>
      <c r="AB92" s="5">
        <f>IF(ISNUMBER(Z92),ROUND(Z92*'Reference data'!$B$2,0),"Unknown")</f>
        <v>166.0</v>
      </c>
      <c r="AC92" s="1" t="s">
        <v>223</v>
      </c>
      <c r="AD92" s="1">
        <v>3.906</v>
      </c>
      <c r="AE92" s="1" t="s">
        <v>381</v>
      </c>
    </row>
    <row r="93" spans="1:31" ht="54" customHeight="1">
      <c r="A93" s="6" t="s">
        <v>382</v>
      </c>
      <c r="B93" s="1">
        <v>4</v>
      </c>
      <c r="C93" s="1" t="s">
        <v>359</v>
      </c>
      <c r="D93" s="1" t="s">
        <v>47</v>
      </c>
      <c r="E93" s="1" t="s">
        <v>141</v>
      </c>
      <c r="G93" s="6" t="s">
        <v>383</v>
      </c>
      <c r="H93" t="s">
        <v>466</v>
      </c>
      <c r="I93" t="s">
        <v>457</v>
      </c>
      <c r="AD93" s="1">
        <v>4.142</v>
      </c>
      <c r="AE93" s="1" t="s">
        <v>374</v>
      </c>
    </row>
    <row r="94" spans="1:31" ht="54" customHeight="1">
      <c r="A94" s="6" t="s">
        <v>404</v>
      </c>
      <c r="B94" s="1">
        <v>5</v>
      </c>
      <c r="C94" s="1" t="s">
        <v>386</v>
      </c>
      <c r="D94" s="1" t="s">
        <v>47</v>
      </c>
      <c r="E94" s="1" t="s">
        <v>141</v>
      </c>
      <c r="G94" s="6" t="s">
        <v>405</v>
      </c>
      <c r="H94" t="s">
        <v>226</v>
      </c>
      <c r="I94" t="s">
        <v>466</v>
      </c>
      <c r="AD94" s="1">
        <v>2.88</v>
      </c>
      <c r="AE94" s="1" t="s">
        <v>374</v>
      </c>
    </row>
    <row r="95" spans="1:31" ht="54" customHeight="1">
      <c r="A95" s="6" t="s">
        <v>371</v>
      </c>
      <c r="B95" s="1">
        <v>4</v>
      </c>
      <c r="C95" s="1" t="s">
        <v>359</v>
      </c>
      <c r="D95" s="1" t="s">
        <v>47</v>
      </c>
      <c r="E95" s="1" t="s">
        <v>141</v>
      </c>
      <c r="G95" s="6" t="s">
        <v>467</v>
      </c>
      <c r="H95" t="s">
        <v>468</v>
      </c>
      <c r="I95" t="s">
        <v>457</v>
      </c>
      <c r="J95" s="2">
        <f>IF(COUNT('Turns'!D247)=1,SUM('Turns'!D247),"Unknown")</f>
        <v>5808.0</v>
      </c>
      <c r="K95" s="2">
        <f>IF(COUNT('Turns'!E247)=1,SUM('Turns'!E247),"Unknown")</f>
        <v>0.001021905984</v>
      </c>
      <c r="L95" s="2">
        <f>IF(COUNT('Turns'!F247)=1,SUM('Turns'!F247),"Unknown")</f>
        <v>0.0011616</v>
      </c>
      <c r="M95" s="2">
        <v>0</v>
      </c>
      <c r="N95" s="2">
        <v>0</v>
      </c>
      <c r="O95" s="2">
        <v>0</v>
      </c>
      <c r="P95" s="2">
        <v>0</v>
      </c>
      <c r="Q95" s="2">
        <v>0</v>
      </c>
      <c r="R95" s="2">
        <v>0</v>
      </c>
      <c r="S95" s="2">
        <f>IF(COUNT('Turns'!D253)=1,SUM('Turns'!D253),"Unknown")</f>
        <v>74.0</v>
      </c>
      <c r="T95" s="2">
        <f>IF(COUNT('Turns'!E253)=1,SUM('Turns'!E253),"Unknown")</f>
        <v>7.8120912e-05</v>
      </c>
      <c r="U95" s="2">
        <f>IF(COUNT('Turns'!F253)=1,SUM('Turns'!F253),"Unknown")</f>
        <v>8.88e-05</v>
      </c>
      <c r="V95" s="2">
        <v>0</v>
      </c>
      <c r="W95" s="2">
        <v>0</v>
      </c>
      <c r="X95" s="2">
        <v>0</v>
      </c>
      <c r="Y95" s="2">
        <f>IF(COUNT('Turns'!E257)=1,SUM('Turns'!E257),"Unknown")</f>
        <v>0.001100026896</v>
      </c>
      <c r="Z95" s="2">
        <f>IF(COUNT('Turns'!F257)=1,SUM('Turns'!F257),"Unknown")</f>
        <v>0.0012504</v>
      </c>
      <c r="AA95" s="5">
        <f>IF(ISNUMBER(Y95),ROUND(Y95*'Reference data'!$B$2,0),"Unknown")</f>
        <v>110.0</v>
      </c>
      <c r="AB95" s="5">
        <f>IF(ISNUMBER(Z95),ROUND(Z95*'Reference data'!$B$2,0),"Unknown")</f>
        <v>125.0</v>
      </c>
      <c r="AD95" s="1">
        <v>5.495</v>
      </c>
      <c r="AE95" s="1" t="s">
        <v>361</v>
      </c>
    </row>
    <row r="96" spans="1:31" ht="54" customHeight="1">
      <c r="A96" s="6" t="s">
        <v>469</v>
      </c>
      <c r="B96" s="1">
        <v>5</v>
      </c>
      <c r="C96" s="1" t="s">
        <v>359</v>
      </c>
      <c r="D96" s="1" t="s">
        <v>47</v>
      </c>
      <c r="E96" s="1" t="s">
        <v>141</v>
      </c>
      <c r="G96" s="6" t="s">
        <v>470</v>
      </c>
      <c r="H96" t="s">
        <v>471</v>
      </c>
      <c r="I96" t="s">
        <v>468</v>
      </c>
      <c r="J96" s="2">
        <f>IF(COUNT('Turns'!D247)=1,SUM('Turns'!D247),"Unknown")</f>
        <v>5808.0</v>
      </c>
      <c r="K96" s="2">
        <f>IF(COUNT('Turns'!E247)=1,SUM('Turns'!E247),"Unknown")</f>
        <v>0.001021905984</v>
      </c>
      <c r="L96" s="2">
        <f>IF(COUNT('Turns'!F247)=1,SUM('Turns'!F247),"Unknown")</f>
        <v>0.0011616</v>
      </c>
      <c r="M96" s="2">
        <v>0</v>
      </c>
      <c r="N96" s="2">
        <v>0</v>
      </c>
      <c r="O96" s="2">
        <v>0</v>
      </c>
      <c r="P96" s="2">
        <v>0</v>
      </c>
      <c r="Q96" s="2">
        <v>0</v>
      </c>
      <c r="R96" s="2">
        <v>0</v>
      </c>
      <c r="S96" s="2">
        <f>IF(COUNT('Turns'!D253)=1,SUM('Turns'!D253),"Unknown")</f>
        <v>74.0</v>
      </c>
      <c r="T96" s="2">
        <f>IF(COUNT('Turns'!E253)=1,SUM('Turns'!E253),"Unknown")</f>
        <v>7.8120912e-05</v>
      </c>
      <c r="U96" s="2">
        <f>IF(COUNT('Turns'!F253)=1,SUM('Turns'!F253),"Unknown")</f>
        <v>8.88e-05</v>
      </c>
      <c r="V96" s="2">
        <v>0</v>
      </c>
      <c r="W96" s="2">
        <v>0</v>
      </c>
      <c r="X96" s="2">
        <v>0</v>
      </c>
      <c r="Y96" s="2">
        <f>IF(COUNT('Turns'!E257)=1,SUM('Turns'!E257),"Unknown")</f>
        <v>0.001100026896</v>
      </c>
      <c r="Z96" s="2">
        <f>IF(COUNT('Turns'!F257)=1,SUM('Turns'!F257),"Unknown")</f>
        <v>0.0012504</v>
      </c>
      <c r="AA96" s="5">
        <f>IF(ISNUMBER(Y96),ROUND(Y96*'Reference data'!$B$2,0),"Unknown")</f>
        <v>110.0</v>
      </c>
      <c r="AB96" s="5">
        <f>IF(ISNUMBER(Z96),ROUND(Z96*'Reference data'!$B$2,0),"Unknown")</f>
        <v>125.0</v>
      </c>
      <c r="AD96" s="1">
        <v>3.88</v>
      </c>
      <c r="AE96" s="1" t="s">
        <v>361</v>
      </c>
    </row>
    <row r="97" spans="1:31" ht="54" customHeight="1">
      <c r="A97" s="6" t="s">
        <v>472</v>
      </c>
      <c r="B97" s="1">
        <v>6</v>
      </c>
      <c r="C97" s="1" t="s">
        <v>379</v>
      </c>
      <c r="D97" s="1" t="s">
        <v>126</v>
      </c>
      <c r="E97" s="1" t="s">
        <v>141</v>
      </c>
      <c r="F97" s="1">
        <v>5808</v>
      </c>
      <c r="G97" s="6" t="s">
        <v>473</v>
      </c>
      <c r="H97" t="s">
        <v>229</v>
      </c>
      <c r="I97" t="s">
        <v>471</v>
      </c>
      <c r="J97" s="2">
        <f>IF(COUNT('Turns'!D247)=1,SUM('Turns'!D247),"Unknown")</f>
        <v>5808.0</v>
      </c>
      <c r="K97" s="2">
        <f>IF(COUNT('Turns'!E247)=1,SUM('Turns'!E247),"Unknown")</f>
        <v>0.001021905984</v>
      </c>
      <c r="L97" s="2">
        <f>IF(COUNT('Turns'!F247)=1,SUM('Turns'!F247),"Unknown")</f>
        <v>0.0011616</v>
      </c>
      <c r="M97" s="2">
        <v>0</v>
      </c>
      <c r="N97" s="2">
        <v>0</v>
      </c>
      <c r="O97" s="2">
        <v>0</v>
      </c>
      <c r="P97" s="2">
        <v>0</v>
      </c>
      <c r="Q97" s="2">
        <v>0</v>
      </c>
      <c r="R97" s="2">
        <v>0</v>
      </c>
      <c r="S97" s="2">
        <f>IF(COUNT('Turns'!D253)=1,SUM('Turns'!D253),"Unknown")</f>
        <v>74.0</v>
      </c>
      <c r="T97" s="2">
        <f>IF(COUNT('Turns'!E253)=1,SUM('Turns'!E253),"Unknown")</f>
        <v>7.8120912e-05</v>
      </c>
      <c r="U97" s="2">
        <f>IF(COUNT('Turns'!F253)=1,SUM('Turns'!F253),"Unknown")</f>
        <v>8.88e-05</v>
      </c>
      <c r="V97" s="2">
        <v>0</v>
      </c>
      <c r="W97" s="2">
        <v>0</v>
      </c>
      <c r="X97" s="2">
        <v>0</v>
      </c>
      <c r="Y97" s="2">
        <f>IF(COUNT('Turns'!E257)=1,SUM('Turns'!E257),"Unknown")</f>
        <v>0.001100026896</v>
      </c>
      <c r="Z97" s="2">
        <f>IF(COUNT('Turns'!F257)=1,SUM('Turns'!F257),"Unknown")</f>
        <v>0.0012504</v>
      </c>
      <c r="AA97" s="5">
        <f>IF(ISNUMBER(Y97),ROUND(Y97*'Reference data'!$B$2,0),"Unknown")</f>
        <v>110.0</v>
      </c>
      <c r="AB97" s="5">
        <f>IF(ISNUMBER(Z97),ROUND(Z97*'Reference data'!$B$2,0),"Unknown")</f>
        <v>125.0</v>
      </c>
      <c r="AC97" s="1" t="s">
        <v>228</v>
      </c>
      <c r="AD97" s="1">
        <v>2.637</v>
      </c>
      <c r="AE97" s="1" t="s">
        <v>381</v>
      </c>
    </row>
    <row r="98" spans="1:31" ht="54" customHeight="1">
      <c r="A98" s="6" t="s">
        <v>375</v>
      </c>
      <c r="B98" s="1">
        <v>4</v>
      </c>
      <c r="C98" s="1" t="s">
        <v>359</v>
      </c>
      <c r="D98" s="1" t="s">
        <v>47</v>
      </c>
      <c r="E98" s="1" t="s">
        <v>141</v>
      </c>
      <c r="G98" s="6" t="s">
        <v>376</v>
      </c>
      <c r="H98" t="s">
        <v>474</v>
      </c>
      <c r="I98" t="s">
        <v>457</v>
      </c>
      <c r="J98" s="2">
        <f>IF(COUNT('Turns'!D260)=1,SUM('Turns'!D260),"Unknown")</f>
        <v>3319.0</v>
      </c>
      <c r="K98" s="2">
        <f>IF(COUNT('Turns'!E260)=1,SUM('Turns'!E260),"Unknown")</f>
        <v>0.000583971412</v>
      </c>
      <c r="L98" s="2">
        <f>IF(COUNT('Turns'!F260)=1,SUM('Turns'!F260),"Unknown")</f>
        <v>0.0006638</v>
      </c>
      <c r="M98" s="2">
        <f>IF(COUNT('Turns'!D259)=1,SUM('Turns'!D259),"Unknown")</f>
        <v>0.0</v>
      </c>
      <c r="N98" s="2">
        <f>IF(COUNT('Turns'!E259)=1,SUM('Turns'!E259),"Unknown")</f>
        <v>0.0</v>
      </c>
      <c r="O98" s="2">
        <f>IF(COUNT('Turns'!F259)=1,SUM('Turns'!F259),"Unknown")</f>
        <v>0.0</v>
      </c>
      <c r="P98" s="2">
        <v>0</v>
      </c>
      <c r="Q98" s="2">
        <v>0</v>
      </c>
      <c r="R98" s="2">
        <v>0</v>
      </c>
      <c r="S98" s="2">
        <f>IF(COUNT('Turns'!D265)=1,SUM('Turns'!D265),"Unknown")</f>
        <v>78.0</v>
      </c>
      <c r="T98" s="2">
        <f>IF(COUNT('Turns'!E265)=1,SUM('Turns'!E265),"Unknown")</f>
        <v>8.2343664e-05</v>
      </c>
      <c r="U98" s="2">
        <f>IF(COUNT('Turns'!F265)=1,SUM('Turns'!F265),"Unknown")</f>
        <v>9.36e-05</v>
      </c>
      <c r="V98" s="2">
        <v>0</v>
      </c>
      <c r="W98" s="2">
        <v>0</v>
      </c>
      <c r="X98" s="2">
        <v>0</v>
      </c>
      <c r="Y98" s="2">
        <f>IF(COUNT('Turns'!E269)=1,SUM('Turns'!E269),"Unknown")</f>
        <v>0.000666315076</v>
      </c>
      <c r="Z98" s="2">
        <f>IF(COUNT('Turns'!F269)=1,SUM('Turns'!F269),"Unknown")</f>
        <v>0.0007574</v>
      </c>
      <c r="AA98" s="5">
        <f>IF(ISNUMBER(Y98),ROUND(Y98*'Reference data'!$B$2,0),"Unknown")</f>
        <v>67.0</v>
      </c>
      <c r="AB98" s="5">
        <f>IF(ISNUMBER(Z98),ROUND(Z98*'Reference data'!$B$2,0),"Unknown")</f>
        <v>76.0</v>
      </c>
      <c r="AD98" s="1">
        <v>4.226</v>
      </c>
      <c r="AE98" s="1" t="s">
        <v>361</v>
      </c>
    </row>
    <row r="99" spans="1:31" ht="54" customHeight="1">
      <c r="A99" s="6" t="s">
        <v>378</v>
      </c>
      <c r="B99" s="1">
        <v>5</v>
      </c>
      <c r="C99" s="1" t="s">
        <v>379</v>
      </c>
      <c r="D99" s="1" t="s">
        <v>126</v>
      </c>
      <c r="E99" s="1" t="s">
        <v>141</v>
      </c>
      <c r="F99" s="1">
        <v>3319</v>
      </c>
      <c r="G99" s="6" t="s">
        <v>380</v>
      </c>
      <c r="H99" t="s">
        <v>233</v>
      </c>
      <c r="I99" t="s">
        <v>474</v>
      </c>
      <c r="J99" s="2">
        <f>IF(COUNT('Turns'!D260)=1,SUM('Turns'!D260),"Unknown")</f>
        <v>3319.0</v>
      </c>
      <c r="K99" s="2">
        <f>IF(COUNT('Turns'!E260)=1,SUM('Turns'!E260),"Unknown")</f>
        <v>0.000583971412</v>
      </c>
      <c r="L99" s="2">
        <f>IF(COUNT('Turns'!F260)=1,SUM('Turns'!F260),"Unknown")</f>
        <v>0.0006638</v>
      </c>
      <c r="M99" s="2">
        <f>IF(COUNT('Turns'!D259)=1,SUM('Turns'!D259),"Unknown")</f>
        <v>0.0</v>
      </c>
      <c r="N99" s="2">
        <f>IF(COUNT('Turns'!E259)=1,SUM('Turns'!E259),"Unknown")</f>
        <v>0.0</v>
      </c>
      <c r="O99" s="2">
        <f>IF(COUNT('Turns'!F259)=1,SUM('Turns'!F259),"Unknown")</f>
        <v>0.0</v>
      </c>
      <c r="P99" s="2">
        <v>0</v>
      </c>
      <c r="Q99" s="2">
        <v>0</v>
      </c>
      <c r="R99" s="2">
        <v>0</v>
      </c>
      <c r="S99" s="2">
        <f>IF(COUNT('Turns'!D265)=1,SUM('Turns'!D265),"Unknown")</f>
        <v>78.0</v>
      </c>
      <c r="T99" s="2">
        <f>IF(COUNT('Turns'!E265)=1,SUM('Turns'!E265),"Unknown")</f>
        <v>8.2343664e-05</v>
      </c>
      <c r="U99" s="2">
        <f>IF(COUNT('Turns'!F265)=1,SUM('Turns'!F265),"Unknown")</f>
        <v>9.36e-05</v>
      </c>
      <c r="V99" s="2">
        <v>0</v>
      </c>
      <c r="W99" s="2">
        <v>0</v>
      </c>
      <c r="X99" s="2">
        <v>0</v>
      </c>
      <c r="Y99" s="2">
        <f>IF(COUNT('Turns'!E269)=1,SUM('Turns'!E269),"Unknown")</f>
        <v>0.000666315076</v>
      </c>
      <c r="Z99" s="2">
        <f>IF(COUNT('Turns'!F269)=1,SUM('Turns'!F269),"Unknown")</f>
        <v>0.0007574</v>
      </c>
      <c r="AA99" s="5">
        <f>IF(ISNUMBER(Y99),ROUND(Y99*'Reference data'!$B$2,0),"Unknown")</f>
        <v>67.0</v>
      </c>
      <c r="AB99" s="5">
        <f>IF(ISNUMBER(Z99),ROUND(Z99*'Reference data'!$B$2,0),"Unknown")</f>
        <v>76.0</v>
      </c>
      <c r="AC99" s="1" t="s">
        <v>232</v>
      </c>
      <c r="AD99" s="1">
        <v>2.332</v>
      </c>
      <c r="AE99" s="1" t="s">
        <v>381</v>
      </c>
    </row>
    <row r="100" spans="1:31" ht="54" customHeight="1">
      <c r="A100" s="6" t="s">
        <v>390</v>
      </c>
      <c r="B100" s="1">
        <v>2</v>
      </c>
      <c r="C100" s="1" t="s">
        <v>359</v>
      </c>
      <c r="D100" s="1" t="s">
        <v>47</v>
      </c>
      <c r="E100" s="1" t="s">
        <v>141</v>
      </c>
      <c r="G100" s="6" t="s">
        <v>391</v>
      </c>
      <c r="H100" t="s">
        <v>475</v>
      </c>
      <c r="I100" t="s">
        <v>455</v>
      </c>
      <c r="AD100" s="1">
        <v>0.235</v>
      </c>
      <c r="AE100" s="1" t="s">
        <v>374</v>
      </c>
    </row>
    <row r="101" spans="1:31" ht="54" customHeight="1">
      <c r="A101" s="6" t="s">
        <v>393</v>
      </c>
      <c r="B101" s="1">
        <v>1</v>
      </c>
      <c r="C101" s="1" t="s">
        <v>359</v>
      </c>
      <c r="D101" s="1" t="s">
        <v>47</v>
      </c>
      <c r="E101" s="1" t="s">
        <v>141</v>
      </c>
      <c r="G101" s="6" t="s">
        <v>394</v>
      </c>
      <c r="H101" t="s">
        <v>476</v>
      </c>
      <c r="I101" t="s">
        <v>49</v>
      </c>
      <c r="J101" s="2">
        <f>IF(COUNT('Turns'!D272,'Turns'!D287,'Turns'!D302,'Turns'!D317)=4,SUM('Turns'!D272,'Turns'!D287,'Turns'!D302,'Turns'!D317),"Unknown")</f>
        <v>16897.0</v>
      </c>
      <c r="K101" s="2">
        <f>IF(COUNT('Turns'!E272,'Turns'!E287,'Turns'!E302,'Turns'!E317)=4,SUM('Turns'!E272,'Turns'!E287,'Turns'!E302,'Turns'!E317),"Unknown")</f>
        <v>0.002972993356</v>
      </c>
      <c r="L101" s="2">
        <f>IF(COUNT('Turns'!F272,'Turns'!F287,'Turns'!F302,'Turns'!F317)=4,SUM('Turns'!F272,'Turns'!F287,'Turns'!F302,'Turns'!F317),"Unknown")</f>
        <v>0.0033794</v>
      </c>
      <c r="M101" s="2">
        <f>IF(COUNT('Turns'!D271,'Turns'!D286,'Turns'!D301,'Turns'!D316)=4,SUM('Turns'!D271,'Turns'!D286,'Turns'!D301,'Turns'!D316),"Unknown")</f>
        <v>0.0</v>
      </c>
      <c r="N101" s="2">
        <f>IF(COUNT('Turns'!E271,'Turns'!E286,'Turns'!E301,'Turns'!E316)=4,SUM('Turns'!E271,'Turns'!E286,'Turns'!E301,'Turns'!E316),"Unknown")</f>
        <v>0.0</v>
      </c>
      <c r="O101" s="2">
        <f>IF(COUNT('Turns'!F271,'Turns'!F286,'Turns'!F301,'Turns'!F316)=4,SUM('Turns'!F271,'Turns'!F286,'Turns'!F301,'Turns'!F316),"Unknown")</f>
        <v>0.0</v>
      </c>
      <c r="P101" s="2">
        <v>0</v>
      </c>
      <c r="Q101" s="2">
        <v>0</v>
      </c>
      <c r="R101" s="2">
        <v>0</v>
      </c>
      <c r="S101" s="2">
        <f>IF(COUNT('Turns'!D277,'Turns'!D292,'Turns'!D307,'Turns'!D322)=4,SUM('Turns'!D277,'Turns'!D292,'Turns'!D307,'Turns'!D322),"Unknown")</f>
        <v>456.0</v>
      </c>
      <c r="T101" s="2">
        <f>IF(COUNT('Turns'!E277,'Turns'!E292,'Turns'!E307,'Turns'!E322)=4,SUM('Turns'!E277,'Turns'!E292,'Turns'!E307,'Turns'!E322),"Unknown")</f>
        <v>0.000481393728</v>
      </c>
      <c r="U101" s="2">
        <f>IF(COUNT('Turns'!F277,'Turns'!F292,'Turns'!F307,'Turns'!F322)=4,SUM('Turns'!F277,'Turns'!F292,'Turns'!F307,'Turns'!F322),"Unknown")</f>
        <v>0.0005472</v>
      </c>
      <c r="V101" s="2">
        <v>0</v>
      </c>
      <c r="W101" s="2">
        <v>0</v>
      </c>
      <c r="X101" s="2">
        <v>0</v>
      </c>
      <c r="Y101" s="2">
        <f>IF(COUNT('Turns'!E281,'Turns'!E296,'Turns'!E311,'Turns'!E326)=4,SUM('Turns'!E281,'Turns'!E296,'Turns'!E311,'Turns'!E326),"Unknown")</f>
        <v>0.003454387084</v>
      </c>
      <c r="Z101" s="2">
        <f>IF(COUNT('Turns'!F281,'Turns'!F296,'Turns'!F311,'Turns'!F326)=4,SUM('Turns'!F281,'Turns'!F296,'Turns'!F311,'Turns'!F326),"Unknown")</f>
        <v>0.0039266</v>
      </c>
      <c r="AA101" s="5">
        <f>IF(ISNUMBER(Y101),ROUND(Y101*'Reference data'!$B$2,0),"Unknown")</f>
        <v>345.0</v>
      </c>
      <c r="AB101" s="5">
        <f>IF(ISNUMBER(Z101),ROUND(Z101*'Reference data'!$B$2,0),"Unknown")</f>
        <v>393.0</v>
      </c>
      <c r="AD101" s="1">
        <v>35.768</v>
      </c>
      <c r="AE101" s="1" t="s">
        <v>361</v>
      </c>
    </row>
    <row r="102" spans="1:31" ht="54" customHeight="1">
      <c r="A102" s="6" t="s">
        <v>365</v>
      </c>
      <c r="B102" s="1">
        <v>2</v>
      </c>
      <c r="C102" s="1" t="s">
        <v>359</v>
      </c>
      <c r="D102" s="1" t="s">
        <v>47</v>
      </c>
      <c r="E102" s="1" t="s">
        <v>141</v>
      </c>
      <c r="G102" s="6" t="s">
        <v>366</v>
      </c>
      <c r="H102" t="s">
        <v>477</v>
      </c>
      <c r="I102" t="s">
        <v>476</v>
      </c>
      <c r="J102" s="2">
        <f>IF(COUNT('Turns'!D272,'Turns'!D287,'Turns'!D302,'Turns'!D317)=4,SUM('Turns'!D272,'Turns'!D287,'Turns'!D302,'Turns'!D317),"Unknown")</f>
        <v>16897.0</v>
      </c>
      <c r="K102" s="2">
        <f>IF(COUNT('Turns'!E272,'Turns'!E287,'Turns'!E302,'Turns'!E317)=4,SUM('Turns'!E272,'Turns'!E287,'Turns'!E302,'Turns'!E317),"Unknown")</f>
        <v>0.002972993356</v>
      </c>
      <c r="L102" s="2">
        <f>IF(COUNT('Turns'!F272,'Turns'!F287,'Turns'!F302,'Turns'!F317)=4,SUM('Turns'!F272,'Turns'!F287,'Turns'!F302,'Turns'!F317),"Unknown")</f>
        <v>0.0033794</v>
      </c>
      <c r="M102" s="2">
        <f>IF(COUNT('Turns'!D271,'Turns'!D286,'Turns'!D301,'Turns'!D316)=4,SUM('Turns'!D271,'Turns'!D286,'Turns'!D301,'Turns'!D316),"Unknown")</f>
        <v>0.0</v>
      </c>
      <c r="N102" s="2">
        <f>IF(COUNT('Turns'!E271,'Turns'!E286,'Turns'!E301,'Turns'!E316)=4,SUM('Turns'!E271,'Turns'!E286,'Turns'!E301,'Turns'!E316),"Unknown")</f>
        <v>0.0</v>
      </c>
      <c r="O102" s="2">
        <f>IF(COUNT('Turns'!F271,'Turns'!F286,'Turns'!F301,'Turns'!F316)=4,SUM('Turns'!F271,'Turns'!F286,'Turns'!F301,'Turns'!F316),"Unknown")</f>
        <v>0.0</v>
      </c>
      <c r="P102" s="2">
        <v>0</v>
      </c>
      <c r="Q102" s="2">
        <v>0</v>
      </c>
      <c r="R102" s="2">
        <v>0</v>
      </c>
      <c r="S102" s="2">
        <f>IF(COUNT('Turns'!D277,'Turns'!D292,'Turns'!D307,'Turns'!D322)=4,SUM('Turns'!D277,'Turns'!D292,'Turns'!D307,'Turns'!D322),"Unknown")</f>
        <v>456.0</v>
      </c>
      <c r="T102" s="2">
        <f>IF(COUNT('Turns'!E277,'Turns'!E292,'Turns'!E307,'Turns'!E322)=4,SUM('Turns'!E277,'Turns'!E292,'Turns'!E307,'Turns'!E322),"Unknown")</f>
        <v>0.000481393728</v>
      </c>
      <c r="U102" s="2">
        <f>IF(COUNT('Turns'!F277,'Turns'!F292,'Turns'!F307,'Turns'!F322)=4,SUM('Turns'!F277,'Turns'!F292,'Turns'!F307,'Turns'!F322),"Unknown")</f>
        <v>0.0005472</v>
      </c>
      <c r="V102" s="2">
        <v>0</v>
      </c>
      <c r="W102" s="2">
        <v>0</v>
      </c>
      <c r="X102" s="2">
        <v>0</v>
      </c>
      <c r="Y102" s="2">
        <f>IF(COUNT('Turns'!E281,'Turns'!E296,'Turns'!E311,'Turns'!E326)=4,SUM('Turns'!E281,'Turns'!E296,'Turns'!E311,'Turns'!E326),"Unknown")</f>
        <v>0.003454387084</v>
      </c>
      <c r="Z102" s="2">
        <f>IF(COUNT('Turns'!F281,'Turns'!F296,'Turns'!F311,'Turns'!F326)=4,SUM('Turns'!F281,'Turns'!F296,'Turns'!F311,'Turns'!F326),"Unknown")</f>
        <v>0.0039266</v>
      </c>
      <c r="AA102" s="5">
        <f>IF(ISNUMBER(Y102),ROUND(Y102*'Reference data'!$B$2,0),"Unknown")</f>
        <v>345.0</v>
      </c>
      <c r="AB102" s="5">
        <f>IF(ISNUMBER(Z102),ROUND(Z102*'Reference data'!$B$2,0),"Unknown")</f>
        <v>393.0</v>
      </c>
      <c r="AD102" s="1">
        <v>35.216</v>
      </c>
      <c r="AE102" s="1" t="s">
        <v>361</v>
      </c>
    </row>
    <row r="103" spans="1:31" ht="54" customHeight="1">
      <c r="A103" s="6" t="s">
        <v>397</v>
      </c>
      <c r="B103" s="1">
        <v>3</v>
      </c>
      <c r="C103" s="1" t="s">
        <v>359</v>
      </c>
      <c r="D103" s="1" t="s">
        <v>47</v>
      </c>
      <c r="E103" s="1" t="s">
        <v>141</v>
      </c>
      <c r="G103" s="6" t="s">
        <v>398</v>
      </c>
      <c r="H103" t="s">
        <v>478</v>
      </c>
      <c r="I103" t="s">
        <v>477</v>
      </c>
      <c r="J103" s="2">
        <f>IF(COUNT('Turns'!D272,'Turns'!D287,'Turns'!D302,'Turns'!D317)=4,SUM('Turns'!D272,'Turns'!D287,'Turns'!D302,'Turns'!D317),"Unknown")</f>
        <v>16897.0</v>
      </c>
      <c r="K103" s="2">
        <f>IF(COUNT('Turns'!E272,'Turns'!E287,'Turns'!E302,'Turns'!E317)=4,SUM('Turns'!E272,'Turns'!E287,'Turns'!E302,'Turns'!E317),"Unknown")</f>
        <v>0.002972993356</v>
      </c>
      <c r="L103" s="2">
        <f>IF(COUNT('Turns'!F272,'Turns'!F287,'Turns'!F302,'Turns'!F317)=4,SUM('Turns'!F272,'Turns'!F287,'Turns'!F302,'Turns'!F317),"Unknown")</f>
        <v>0.0033794</v>
      </c>
      <c r="M103" s="2">
        <f>IF(COUNT('Turns'!D271,'Turns'!D286,'Turns'!D301,'Turns'!D316)=4,SUM('Turns'!D271,'Turns'!D286,'Turns'!D301,'Turns'!D316),"Unknown")</f>
        <v>0.0</v>
      </c>
      <c r="N103" s="2">
        <f>IF(COUNT('Turns'!E271,'Turns'!E286,'Turns'!E301,'Turns'!E316)=4,SUM('Turns'!E271,'Turns'!E286,'Turns'!E301,'Turns'!E316),"Unknown")</f>
        <v>0.0</v>
      </c>
      <c r="O103" s="2">
        <f>IF(COUNT('Turns'!F271,'Turns'!F286,'Turns'!F301,'Turns'!F316)=4,SUM('Turns'!F271,'Turns'!F286,'Turns'!F301,'Turns'!F316),"Unknown")</f>
        <v>0.0</v>
      </c>
      <c r="P103" s="2">
        <v>0</v>
      </c>
      <c r="Q103" s="2">
        <v>0</v>
      </c>
      <c r="R103" s="2">
        <v>0</v>
      </c>
      <c r="S103" s="2">
        <f>IF(COUNT('Turns'!D277,'Turns'!D292,'Turns'!D307,'Turns'!D322)=4,SUM('Turns'!D277,'Turns'!D292,'Turns'!D307,'Turns'!D322),"Unknown")</f>
        <v>456.0</v>
      </c>
      <c r="T103" s="2">
        <f>IF(COUNT('Turns'!E277,'Turns'!E292,'Turns'!E307,'Turns'!E322)=4,SUM('Turns'!E277,'Turns'!E292,'Turns'!E307,'Turns'!E322),"Unknown")</f>
        <v>0.000481393728</v>
      </c>
      <c r="U103" s="2">
        <f>IF(COUNT('Turns'!F277,'Turns'!F292,'Turns'!F307,'Turns'!F322)=4,SUM('Turns'!F277,'Turns'!F292,'Turns'!F307,'Turns'!F322),"Unknown")</f>
        <v>0.0005472</v>
      </c>
      <c r="V103" s="2">
        <v>0</v>
      </c>
      <c r="W103" s="2">
        <v>0</v>
      </c>
      <c r="X103" s="2">
        <v>0</v>
      </c>
      <c r="Y103" s="2">
        <f>IF(COUNT('Turns'!E281,'Turns'!E296,'Turns'!E311,'Turns'!E326)=4,SUM('Turns'!E281,'Turns'!E296,'Turns'!E311,'Turns'!E326),"Unknown")</f>
        <v>0.003454387084</v>
      </c>
      <c r="Z103" s="2">
        <f>IF(COUNT('Turns'!F281,'Turns'!F296,'Turns'!F311,'Turns'!F326)=4,SUM('Turns'!F281,'Turns'!F296,'Turns'!F311,'Turns'!F326),"Unknown")</f>
        <v>0.0039266</v>
      </c>
      <c r="AA103" s="5">
        <f>IF(ISNUMBER(Y103),ROUND(Y103*'Reference data'!$B$2,0),"Unknown")</f>
        <v>345.0</v>
      </c>
      <c r="AB103" s="5">
        <f>IF(ISNUMBER(Z103),ROUND(Z103*'Reference data'!$B$2,0),"Unknown")</f>
        <v>393.0</v>
      </c>
      <c r="AD103" s="1">
        <v>34.471</v>
      </c>
      <c r="AE103" s="1" t="s">
        <v>361</v>
      </c>
    </row>
    <row r="104" spans="1:31" ht="54" customHeight="1">
      <c r="A104" s="6" t="s">
        <v>371</v>
      </c>
      <c r="B104" s="1">
        <v>4</v>
      </c>
      <c r="C104" s="1" t="s">
        <v>359</v>
      </c>
      <c r="D104" s="1" t="s">
        <v>47</v>
      </c>
      <c r="E104" s="1" t="s">
        <v>141</v>
      </c>
      <c r="G104" s="6" t="s">
        <v>372</v>
      </c>
      <c r="H104" t="s">
        <v>479</v>
      </c>
      <c r="I104" t="s">
        <v>478</v>
      </c>
      <c r="AD104" s="1">
        <v>0.376</v>
      </c>
      <c r="AE104" s="1" t="s">
        <v>374</v>
      </c>
    </row>
    <row r="105" spans="1:31" ht="54" customHeight="1">
      <c r="A105" s="6" t="s">
        <v>375</v>
      </c>
      <c r="B105" s="1">
        <v>4</v>
      </c>
      <c r="C105" s="1" t="s">
        <v>359</v>
      </c>
      <c r="D105" s="1" t="s">
        <v>47</v>
      </c>
      <c r="E105" s="1" t="s">
        <v>141</v>
      </c>
      <c r="G105" s="6" t="s">
        <v>376</v>
      </c>
      <c r="H105" t="s">
        <v>480</v>
      </c>
      <c r="I105" t="s">
        <v>478</v>
      </c>
      <c r="J105" s="2">
        <f>IF(COUNT('Turns'!D272)=1,SUM('Turns'!D272),"Unknown")</f>
        <v>3364.0</v>
      </c>
      <c r="K105" s="2">
        <f>IF(COUNT('Turns'!E272)=1,SUM('Turns'!E272),"Unknown")</f>
        <v>0.000591889072</v>
      </c>
      <c r="L105" s="2">
        <f>IF(COUNT('Turns'!F272)=1,SUM('Turns'!F272),"Unknown")</f>
        <v>0.0006728</v>
      </c>
      <c r="M105" s="2">
        <f>IF(COUNT('Turns'!D271)=1,SUM('Turns'!D271),"Unknown")</f>
        <v>0.0</v>
      </c>
      <c r="N105" s="2">
        <f>IF(COUNT('Turns'!E271)=1,SUM('Turns'!E271),"Unknown")</f>
        <v>0.0</v>
      </c>
      <c r="O105" s="2">
        <f>IF(COUNT('Turns'!F271)=1,SUM('Turns'!F271),"Unknown")</f>
        <v>0.0</v>
      </c>
      <c r="P105" s="2">
        <v>0</v>
      </c>
      <c r="Q105" s="2">
        <v>0</v>
      </c>
      <c r="R105" s="2">
        <v>0</v>
      </c>
      <c r="S105" s="2">
        <f>IF(COUNT('Turns'!D277)=1,SUM('Turns'!D277),"Unknown")</f>
        <v>56.0</v>
      </c>
      <c r="T105" s="2">
        <f>IF(COUNT('Turns'!E277)=1,SUM('Turns'!E277),"Unknown")</f>
        <v>5.9118528e-05</v>
      </c>
      <c r="U105" s="2">
        <f>IF(COUNT('Turns'!F277)=1,SUM('Turns'!F277),"Unknown")</f>
        <v>6.72e-05</v>
      </c>
      <c r="V105" s="2">
        <v>0</v>
      </c>
      <c r="W105" s="2">
        <v>0</v>
      </c>
      <c r="X105" s="2">
        <v>0</v>
      </c>
      <c r="Y105" s="2">
        <f>IF(COUNT('Turns'!E281)=1,SUM('Turns'!E281),"Unknown")</f>
        <v>0.0006510076</v>
      </c>
      <c r="Z105" s="2">
        <f>IF(COUNT('Turns'!F281)=1,SUM('Turns'!F281),"Unknown")</f>
        <v>0.00074</v>
      </c>
      <c r="AA105" s="5">
        <f>IF(ISNUMBER(Y105),ROUND(Y105*'Reference data'!$B$2,0),"Unknown")</f>
        <v>65.0</v>
      </c>
      <c r="AB105" s="5">
        <f>IF(ISNUMBER(Z105),ROUND(Z105*'Reference data'!$B$2,0),"Unknown")</f>
        <v>74.0</v>
      </c>
      <c r="AD105" s="1">
        <v>4.968</v>
      </c>
      <c r="AE105" s="1" t="s">
        <v>361</v>
      </c>
    </row>
    <row r="106" spans="1:31" ht="54" customHeight="1">
      <c r="A106" s="6" t="s">
        <v>378</v>
      </c>
      <c r="B106" s="1">
        <v>5</v>
      </c>
      <c r="C106" s="1" t="s">
        <v>379</v>
      </c>
      <c r="D106" s="1" t="s">
        <v>126</v>
      </c>
      <c r="E106" s="1" t="s">
        <v>141</v>
      </c>
      <c r="F106" s="1">
        <v>3364</v>
      </c>
      <c r="G106" s="6" t="s">
        <v>402</v>
      </c>
      <c r="H106" t="s">
        <v>236</v>
      </c>
      <c r="I106" t="s">
        <v>480</v>
      </c>
      <c r="J106" s="2">
        <f>IF(COUNT('Turns'!D272)=1,SUM('Turns'!D272),"Unknown")</f>
        <v>3364.0</v>
      </c>
      <c r="K106" s="2">
        <f>IF(COUNT('Turns'!E272)=1,SUM('Turns'!E272),"Unknown")</f>
        <v>0.000591889072</v>
      </c>
      <c r="L106" s="2">
        <f>IF(COUNT('Turns'!F272)=1,SUM('Turns'!F272),"Unknown")</f>
        <v>0.0006728</v>
      </c>
      <c r="M106" s="2">
        <f>IF(COUNT('Turns'!D271)=1,SUM('Turns'!D271),"Unknown")</f>
        <v>0.0</v>
      </c>
      <c r="N106" s="2">
        <f>IF(COUNT('Turns'!E271)=1,SUM('Turns'!E271),"Unknown")</f>
        <v>0.0</v>
      </c>
      <c r="O106" s="2">
        <f>IF(COUNT('Turns'!F271)=1,SUM('Turns'!F271),"Unknown")</f>
        <v>0.0</v>
      </c>
      <c r="P106" s="2">
        <v>0</v>
      </c>
      <c r="Q106" s="2">
        <v>0</v>
      </c>
      <c r="R106" s="2">
        <v>0</v>
      </c>
      <c r="S106" s="2">
        <f>IF(COUNT('Turns'!D277)=1,SUM('Turns'!D277),"Unknown")</f>
        <v>56.0</v>
      </c>
      <c r="T106" s="2">
        <f>IF(COUNT('Turns'!E277)=1,SUM('Turns'!E277),"Unknown")</f>
        <v>5.9118528e-05</v>
      </c>
      <c r="U106" s="2">
        <f>IF(COUNT('Turns'!F277)=1,SUM('Turns'!F277),"Unknown")</f>
        <v>6.72e-05</v>
      </c>
      <c r="V106" s="2">
        <v>0</v>
      </c>
      <c r="W106" s="2">
        <v>0</v>
      </c>
      <c r="X106" s="2">
        <v>0</v>
      </c>
      <c r="Y106" s="2">
        <f>IF(COUNT('Turns'!E281)=1,SUM('Turns'!E281),"Unknown")</f>
        <v>0.0006510076</v>
      </c>
      <c r="Z106" s="2">
        <f>IF(COUNT('Turns'!F281)=1,SUM('Turns'!F281),"Unknown")</f>
        <v>0.00074</v>
      </c>
      <c r="AA106" s="5">
        <f>IF(ISNUMBER(Y106),ROUND(Y106*'Reference data'!$B$2,0),"Unknown")</f>
        <v>65.0</v>
      </c>
      <c r="AB106" s="5">
        <f>IF(ISNUMBER(Z106),ROUND(Z106*'Reference data'!$B$2,0),"Unknown")</f>
        <v>74.0</v>
      </c>
      <c r="AC106" s="1" t="s">
        <v>235</v>
      </c>
      <c r="AD106" s="1">
        <v>2.806</v>
      </c>
      <c r="AE106" s="1" t="s">
        <v>381</v>
      </c>
    </row>
    <row r="107" spans="1:31" ht="54" customHeight="1">
      <c r="A107" s="6" t="s">
        <v>382</v>
      </c>
      <c r="B107" s="1">
        <v>4</v>
      </c>
      <c r="C107" s="1" t="s">
        <v>359</v>
      </c>
      <c r="D107" s="1" t="s">
        <v>47</v>
      </c>
      <c r="E107" s="1" t="s">
        <v>141</v>
      </c>
      <c r="G107" s="6" t="s">
        <v>383</v>
      </c>
      <c r="H107" t="s">
        <v>481</v>
      </c>
      <c r="I107" t="s">
        <v>478</v>
      </c>
      <c r="AD107" s="1">
        <v>1.742</v>
      </c>
      <c r="AE107" s="1" t="s">
        <v>374</v>
      </c>
    </row>
    <row r="108" spans="1:31" ht="54" customHeight="1">
      <c r="A108" s="6" t="s">
        <v>404</v>
      </c>
      <c r="B108" s="1">
        <v>5</v>
      </c>
      <c r="C108" s="1" t="s">
        <v>386</v>
      </c>
      <c r="D108" s="1" t="s">
        <v>47</v>
      </c>
      <c r="E108" s="1" t="s">
        <v>141</v>
      </c>
      <c r="G108" s="6" t="s">
        <v>405</v>
      </c>
      <c r="H108" t="s">
        <v>238</v>
      </c>
      <c r="I108" t="s">
        <v>481</v>
      </c>
      <c r="AD108" s="1">
        <v>0.737</v>
      </c>
      <c r="AE108" s="1" t="s">
        <v>374</v>
      </c>
    </row>
    <row r="109" spans="1:31" ht="54" customHeight="1">
      <c r="A109" s="6" t="s">
        <v>371</v>
      </c>
      <c r="B109" s="1">
        <v>4</v>
      </c>
      <c r="C109" s="1" t="s">
        <v>359</v>
      </c>
      <c r="D109" s="1" t="s">
        <v>47</v>
      </c>
      <c r="E109" s="1" t="s">
        <v>141</v>
      </c>
      <c r="G109" s="6" t="s">
        <v>372</v>
      </c>
      <c r="H109" t="s">
        <v>482</v>
      </c>
      <c r="I109" t="s">
        <v>478</v>
      </c>
      <c r="AD109" s="1">
        <v>0.425</v>
      </c>
      <c r="AE109" s="1" t="s">
        <v>374</v>
      </c>
    </row>
    <row r="110" spans="1:31" ht="54" customHeight="1">
      <c r="A110" s="6" t="s">
        <v>375</v>
      </c>
      <c r="B110" s="1">
        <v>4</v>
      </c>
      <c r="C110" s="1" t="s">
        <v>359</v>
      </c>
      <c r="D110" s="1" t="s">
        <v>47</v>
      </c>
      <c r="E110" s="1" t="s">
        <v>141</v>
      </c>
      <c r="G110" s="6" t="s">
        <v>376</v>
      </c>
      <c r="H110" t="s">
        <v>483</v>
      </c>
      <c r="I110" t="s">
        <v>478</v>
      </c>
      <c r="J110" s="2">
        <f>IF(COUNT('Turns'!D287)=1,SUM('Turns'!D287),"Unknown")</f>
        <v>4185.0</v>
      </c>
      <c r="K110" s="2">
        <f>IF(COUNT('Turns'!E287)=1,SUM('Turns'!E287),"Unknown")</f>
        <v>0.00073634238</v>
      </c>
      <c r="L110" s="2">
        <f>IF(COUNT('Turns'!F287)=1,SUM('Turns'!F287),"Unknown")</f>
        <v>0.000837</v>
      </c>
      <c r="M110" s="2">
        <f>IF(COUNT('Turns'!D286)=1,SUM('Turns'!D286),"Unknown")</f>
        <v>0.0</v>
      </c>
      <c r="N110" s="2">
        <f>IF(COUNT('Turns'!E286)=1,SUM('Turns'!E286),"Unknown")</f>
        <v>0.0</v>
      </c>
      <c r="O110" s="2">
        <f>IF(COUNT('Turns'!F286)=1,SUM('Turns'!F286),"Unknown")</f>
        <v>0.0</v>
      </c>
      <c r="P110" s="2">
        <v>0</v>
      </c>
      <c r="Q110" s="2">
        <v>0</v>
      </c>
      <c r="R110" s="2">
        <v>0</v>
      </c>
      <c r="S110" s="2">
        <f>IF(COUNT('Turns'!D292)=1,SUM('Turns'!D292),"Unknown")</f>
        <v>56.0</v>
      </c>
      <c r="T110" s="2">
        <f>IF(COUNT('Turns'!E292)=1,SUM('Turns'!E292),"Unknown")</f>
        <v>5.9118528e-05</v>
      </c>
      <c r="U110" s="2">
        <f>IF(COUNT('Turns'!F292)=1,SUM('Turns'!F292),"Unknown")</f>
        <v>6.72e-05</v>
      </c>
      <c r="V110" s="2">
        <v>0</v>
      </c>
      <c r="W110" s="2">
        <v>0</v>
      </c>
      <c r="X110" s="2">
        <v>0</v>
      </c>
      <c r="Y110" s="2">
        <f>IF(COUNT('Turns'!E296)=1,SUM('Turns'!E296),"Unknown")</f>
        <v>0.000795460908</v>
      </c>
      <c r="Z110" s="2">
        <f>IF(COUNT('Turns'!F296)=1,SUM('Turns'!F296),"Unknown")</f>
        <v>0.0009042</v>
      </c>
      <c r="AA110" s="5">
        <f>IF(ISNUMBER(Y110),ROUND(Y110*'Reference data'!$B$2,0),"Unknown")</f>
        <v>80.0</v>
      </c>
      <c r="AB110" s="5">
        <f>IF(ISNUMBER(Z110),ROUND(Z110*'Reference data'!$B$2,0),"Unknown")</f>
        <v>90.0</v>
      </c>
      <c r="AD110" s="1">
        <v>4.666</v>
      </c>
      <c r="AE110" s="1" t="s">
        <v>361</v>
      </c>
    </row>
    <row r="111" spans="1:31" ht="54" customHeight="1">
      <c r="A111" s="6" t="s">
        <v>378</v>
      </c>
      <c r="B111" s="1">
        <v>5</v>
      </c>
      <c r="C111" s="1" t="s">
        <v>379</v>
      </c>
      <c r="D111" s="1" t="s">
        <v>126</v>
      </c>
      <c r="E111" s="1" t="s">
        <v>141</v>
      </c>
      <c r="F111" s="1">
        <v>4185</v>
      </c>
      <c r="G111" s="6" t="s">
        <v>402</v>
      </c>
      <c r="H111" t="s">
        <v>240</v>
      </c>
      <c r="I111" t="s">
        <v>483</v>
      </c>
      <c r="J111" s="2">
        <f>IF(COUNT('Turns'!D287)=1,SUM('Turns'!D287),"Unknown")</f>
        <v>4185.0</v>
      </c>
      <c r="K111" s="2">
        <f>IF(COUNT('Turns'!E287)=1,SUM('Turns'!E287),"Unknown")</f>
        <v>0.00073634238</v>
      </c>
      <c r="L111" s="2">
        <f>IF(COUNT('Turns'!F287)=1,SUM('Turns'!F287),"Unknown")</f>
        <v>0.000837</v>
      </c>
      <c r="M111" s="2">
        <f>IF(COUNT('Turns'!D286)=1,SUM('Turns'!D286),"Unknown")</f>
        <v>0.0</v>
      </c>
      <c r="N111" s="2">
        <f>IF(COUNT('Turns'!E286)=1,SUM('Turns'!E286),"Unknown")</f>
        <v>0.0</v>
      </c>
      <c r="O111" s="2">
        <f>IF(COUNT('Turns'!F286)=1,SUM('Turns'!F286),"Unknown")</f>
        <v>0.0</v>
      </c>
      <c r="P111" s="2">
        <v>0</v>
      </c>
      <c r="Q111" s="2">
        <v>0</v>
      </c>
      <c r="R111" s="2">
        <v>0</v>
      </c>
      <c r="S111" s="2">
        <f>IF(COUNT('Turns'!D292)=1,SUM('Turns'!D292),"Unknown")</f>
        <v>56.0</v>
      </c>
      <c r="T111" s="2">
        <f>IF(COUNT('Turns'!E292)=1,SUM('Turns'!E292),"Unknown")</f>
        <v>5.9118528e-05</v>
      </c>
      <c r="U111" s="2">
        <f>IF(COUNT('Turns'!F292)=1,SUM('Turns'!F292),"Unknown")</f>
        <v>6.72e-05</v>
      </c>
      <c r="V111" s="2">
        <v>0</v>
      </c>
      <c r="W111" s="2">
        <v>0</v>
      </c>
      <c r="X111" s="2">
        <v>0</v>
      </c>
      <c r="Y111" s="2">
        <f>IF(COUNT('Turns'!E296)=1,SUM('Turns'!E296),"Unknown")</f>
        <v>0.000795460908</v>
      </c>
      <c r="Z111" s="2">
        <f>IF(COUNT('Turns'!F296)=1,SUM('Turns'!F296),"Unknown")</f>
        <v>0.0009042</v>
      </c>
      <c r="AA111" s="5">
        <f>IF(ISNUMBER(Y111),ROUND(Y111*'Reference data'!$B$2,0),"Unknown")</f>
        <v>80.0</v>
      </c>
      <c r="AB111" s="5">
        <f>IF(ISNUMBER(Z111),ROUND(Z111*'Reference data'!$B$2,0),"Unknown")</f>
        <v>90.0</v>
      </c>
      <c r="AC111" s="1" t="s">
        <v>239</v>
      </c>
      <c r="AD111" s="1">
        <v>2.795</v>
      </c>
      <c r="AE111" s="1" t="s">
        <v>381</v>
      </c>
    </row>
    <row r="112" spans="1:31" ht="54" customHeight="1">
      <c r="A112" s="6" t="s">
        <v>382</v>
      </c>
      <c r="B112" s="1">
        <v>4</v>
      </c>
      <c r="C112" s="1" t="s">
        <v>359</v>
      </c>
      <c r="D112" s="1" t="s">
        <v>47</v>
      </c>
      <c r="E112" s="1" t="s">
        <v>141</v>
      </c>
      <c r="G112" s="6" t="s">
        <v>383</v>
      </c>
      <c r="H112" t="s">
        <v>484</v>
      </c>
      <c r="I112" t="s">
        <v>478</v>
      </c>
      <c r="AD112" s="1">
        <v>1.907</v>
      </c>
      <c r="AE112" s="1" t="s">
        <v>374</v>
      </c>
    </row>
    <row r="113" spans="1:31" ht="54" customHeight="1">
      <c r="A113" s="6" t="s">
        <v>404</v>
      </c>
      <c r="B113" s="1">
        <v>5</v>
      </c>
      <c r="C113" s="1" t="s">
        <v>386</v>
      </c>
      <c r="D113" s="1" t="s">
        <v>47</v>
      </c>
      <c r="E113" s="1" t="s">
        <v>141</v>
      </c>
      <c r="G113" s="6" t="s">
        <v>405</v>
      </c>
      <c r="H113" t="s">
        <v>242</v>
      </c>
      <c r="I113" t="s">
        <v>484</v>
      </c>
      <c r="AD113" s="1">
        <v>0.775</v>
      </c>
      <c r="AE113" s="1" t="s">
        <v>374</v>
      </c>
    </row>
    <row r="114" spans="1:31" ht="54" customHeight="1">
      <c r="A114" s="6" t="s">
        <v>371</v>
      </c>
      <c r="B114" s="1">
        <v>4</v>
      </c>
      <c r="C114" s="1" t="s">
        <v>359</v>
      </c>
      <c r="D114" s="1" t="s">
        <v>47</v>
      </c>
      <c r="E114" s="1" t="s">
        <v>141</v>
      </c>
      <c r="G114" s="6" t="s">
        <v>372</v>
      </c>
      <c r="H114" t="s">
        <v>485</v>
      </c>
      <c r="I114" t="s">
        <v>478</v>
      </c>
      <c r="AD114" s="1">
        <v>0.486</v>
      </c>
      <c r="AE114" s="1" t="s">
        <v>374</v>
      </c>
    </row>
    <row r="115" spans="1:31" ht="54" customHeight="1">
      <c r="A115" s="6" t="s">
        <v>375</v>
      </c>
      <c r="B115" s="1">
        <v>4</v>
      </c>
      <c r="C115" s="1" t="s">
        <v>359</v>
      </c>
      <c r="D115" s="1" t="s">
        <v>47</v>
      </c>
      <c r="E115" s="1" t="s">
        <v>141</v>
      </c>
      <c r="G115" s="6" t="s">
        <v>376</v>
      </c>
      <c r="H115" t="s">
        <v>486</v>
      </c>
      <c r="I115" t="s">
        <v>478</v>
      </c>
      <c r="J115" s="2">
        <f>IF(COUNT('Turns'!D302)=1,SUM('Turns'!D302),"Unknown")</f>
        <v>4503.0</v>
      </c>
      <c r="K115" s="2">
        <f>IF(COUNT('Turns'!E302)=1,SUM('Turns'!E302),"Unknown")</f>
        <v>0.000792293844</v>
      </c>
      <c r="L115" s="2">
        <f>IF(COUNT('Turns'!F302)=1,SUM('Turns'!F302),"Unknown")</f>
        <v>0.0009006</v>
      </c>
      <c r="M115" s="2">
        <f>IF(COUNT('Turns'!D301)=1,SUM('Turns'!D301),"Unknown")</f>
        <v>0.0</v>
      </c>
      <c r="N115" s="2">
        <f>IF(COUNT('Turns'!E301)=1,SUM('Turns'!E301),"Unknown")</f>
        <v>0.0</v>
      </c>
      <c r="O115" s="2">
        <f>IF(COUNT('Turns'!F301)=1,SUM('Turns'!F301),"Unknown")</f>
        <v>0.0</v>
      </c>
      <c r="P115" s="2">
        <v>0</v>
      </c>
      <c r="Q115" s="2">
        <v>0</v>
      </c>
      <c r="R115" s="2">
        <v>0</v>
      </c>
      <c r="S115" s="2">
        <f>IF(COUNT('Turns'!D307)=1,SUM('Turns'!D307),"Unknown")</f>
        <v>308.0</v>
      </c>
      <c r="T115" s="2">
        <f>IF(COUNT('Turns'!E307)=1,SUM('Turns'!E307),"Unknown")</f>
        <v>0.000325151904</v>
      </c>
      <c r="U115" s="2">
        <f>IF(COUNT('Turns'!F307)=1,SUM('Turns'!F307),"Unknown")</f>
        <v>0.0003696</v>
      </c>
      <c r="V115" s="2">
        <v>0</v>
      </c>
      <c r="W115" s="2">
        <v>0</v>
      </c>
      <c r="X115" s="2">
        <v>0</v>
      </c>
      <c r="Y115" s="2">
        <f>IF(COUNT('Turns'!E311)=1,SUM('Turns'!E311),"Unknown")</f>
        <v>0.001117445748</v>
      </c>
      <c r="Z115" s="2">
        <f>IF(COUNT('Turns'!F311)=1,SUM('Turns'!F311),"Unknown")</f>
        <v>0.0012702</v>
      </c>
      <c r="AA115" s="5">
        <f>IF(ISNUMBER(Y115),ROUND(Y115*'Reference data'!$B$2,0),"Unknown")</f>
        <v>112.0</v>
      </c>
      <c r="AB115" s="5">
        <f>IF(ISNUMBER(Z115),ROUND(Z115*'Reference data'!$B$2,0),"Unknown")</f>
        <v>127.0</v>
      </c>
      <c r="AD115" s="1">
        <v>6.474</v>
      </c>
      <c r="AE115" s="1" t="s">
        <v>361</v>
      </c>
    </row>
    <row r="116" spans="1:31" ht="54" customHeight="1">
      <c r="A116" s="6" t="s">
        <v>378</v>
      </c>
      <c r="B116" s="1">
        <v>5</v>
      </c>
      <c r="C116" s="1" t="s">
        <v>379</v>
      </c>
      <c r="D116" s="1" t="s">
        <v>126</v>
      </c>
      <c r="E116" s="1" t="s">
        <v>141</v>
      </c>
      <c r="F116" s="1">
        <v>4503</v>
      </c>
      <c r="G116" s="6" t="s">
        <v>402</v>
      </c>
      <c r="H116" t="s">
        <v>244</v>
      </c>
      <c r="I116" t="s">
        <v>486</v>
      </c>
      <c r="J116" s="2">
        <f>IF(COUNT('Turns'!D302)=1,SUM('Turns'!D302),"Unknown")</f>
        <v>4503.0</v>
      </c>
      <c r="K116" s="2">
        <f>IF(COUNT('Turns'!E302)=1,SUM('Turns'!E302),"Unknown")</f>
        <v>0.000792293844</v>
      </c>
      <c r="L116" s="2">
        <f>IF(COUNT('Turns'!F302)=1,SUM('Turns'!F302),"Unknown")</f>
        <v>0.0009006</v>
      </c>
      <c r="M116" s="2">
        <f>IF(COUNT('Turns'!D301)=1,SUM('Turns'!D301),"Unknown")</f>
        <v>0.0</v>
      </c>
      <c r="N116" s="2">
        <f>IF(COUNT('Turns'!E301)=1,SUM('Turns'!E301),"Unknown")</f>
        <v>0.0</v>
      </c>
      <c r="O116" s="2">
        <f>IF(COUNT('Turns'!F301)=1,SUM('Turns'!F301),"Unknown")</f>
        <v>0.0</v>
      </c>
      <c r="P116" s="2">
        <v>0</v>
      </c>
      <c r="Q116" s="2">
        <v>0</v>
      </c>
      <c r="R116" s="2">
        <v>0</v>
      </c>
      <c r="S116" s="2">
        <f>IF(COUNT('Turns'!D307)=1,SUM('Turns'!D307),"Unknown")</f>
        <v>308.0</v>
      </c>
      <c r="T116" s="2">
        <f>IF(COUNT('Turns'!E307)=1,SUM('Turns'!E307),"Unknown")</f>
        <v>0.000325151904</v>
      </c>
      <c r="U116" s="2">
        <f>IF(COUNT('Turns'!F307)=1,SUM('Turns'!F307),"Unknown")</f>
        <v>0.0003696</v>
      </c>
      <c r="V116" s="2">
        <v>0</v>
      </c>
      <c r="W116" s="2">
        <v>0</v>
      </c>
      <c r="X116" s="2">
        <v>0</v>
      </c>
      <c r="Y116" s="2">
        <f>IF(COUNT('Turns'!E311)=1,SUM('Turns'!E311),"Unknown")</f>
        <v>0.001117445748</v>
      </c>
      <c r="Z116" s="2">
        <f>IF(COUNT('Turns'!F311)=1,SUM('Turns'!F311),"Unknown")</f>
        <v>0.0012702</v>
      </c>
      <c r="AA116" s="5">
        <f>IF(ISNUMBER(Y116),ROUND(Y116*'Reference data'!$B$2,0),"Unknown")</f>
        <v>112.0</v>
      </c>
      <c r="AB116" s="5">
        <f>IF(ISNUMBER(Z116),ROUND(Z116*'Reference data'!$B$2,0),"Unknown")</f>
        <v>127.0</v>
      </c>
      <c r="AC116" s="1" t="s">
        <v>243</v>
      </c>
      <c r="AD116" s="1">
        <v>3.504</v>
      </c>
      <c r="AE116" s="1" t="s">
        <v>381</v>
      </c>
    </row>
    <row r="117" spans="1:31" ht="54" customHeight="1">
      <c r="A117" s="6" t="s">
        <v>382</v>
      </c>
      <c r="B117" s="1">
        <v>4</v>
      </c>
      <c r="C117" s="1" t="s">
        <v>359</v>
      </c>
      <c r="D117" s="1" t="s">
        <v>47</v>
      </c>
      <c r="E117" s="1" t="s">
        <v>141</v>
      </c>
      <c r="G117" s="6" t="s">
        <v>383</v>
      </c>
      <c r="H117" t="s">
        <v>487</v>
      </c>
      <c r="I117" t="s">
        <v>478</v>
      </c>
      <c r="AD117" s="1">
        <v>1.717</v>
      </c>
      <c r="AE117" s="1" t="s">
        <v>374</v>
      </c>
    </row>
    <row r="118" spans="1:31" ht="54" customHeight="1">
      <c r="A118" s="6" t="s">
        <v>385</v>
      </c>
      <c r="B118" s="1">
        <v>5</v>
      </c>
      <c r="C118" s="1" t="s">
        <v>386</v>
      </c>
      <c r="D118" s="1" t="s">
        <v>47</v>
      </c>
      <c r="E118" s="1" t="s">
        <v>141</v>
      </c>
      <c r="G118" s="6" t="s">
        <v>387</v>
      </c>
      <c r="H118" t="s">
        <v>246</v>
      </c>
      <c r="I118" t="s">
        <v>487</v>
      </c>
      <c r="AD118" s="1">
        <v>0.744</v>
      </c>
      <c r="AE118" s="1" t="s">
        <v>374</v>
      </c>
    </row>
    <row r="119" spans="1:31" ht="54" customHeight="1">
      <c r="A119" s="6" t="s">
        <v>371</v>
      </c>
      <c r="B119" s="1">
        <v>4</v>
      </c>
      <c r="C119" s="1" t="s">
        <v>359</v>
      </c>
      <c r="D119" s="1" t="s">
        <v>47</v>
      </c>
      <c r="E119" s="1" t="s">
        <v>141</v>
      </c>
      <c r="G119" s="6" t="s">
        <v>372</v>
      </c>
      <c r="H119" t="s">
        <v>488</v>
      </c>
      <c r="I119" t="s">
        <v>478</v>
      </c>
      <c r="AD119" s="1">
        <v>0.488</v>
      </c>
      <c r="AE119" s="1" t="s">
        <v>374</v>
      </c>
    </row>
    <row r="120" spans="1:31" ht="54" customHeight="1">
      <c r="A120" s="6" t="s">
        <v>375</v>
      </c>
      <c r="B120" s="1">
        <v>4</v>
      </c>
      <c r="C120" s="1" t="s">
        <v>359</v>
      </c>
      <c r="D120" s="1" t="s">
        <v>47</v>
      </c>
      <c r="E120" s="1" t="s">
        <v>141</v>
      </c>
      <c r="G120" s="6" t="s">
        <v>376</v>
      </c>
      <c r="H120" t="s">
        <v>489</v>
      </c>
      <c r="I120" t="s">
        <v>478</v>
      </c>
      <c r="J120" s="2">
        <f>IF(COUNT('Turns'!D317)=1,SUM('Turns'!D317),"Unknown")</f>
        <v>4845.0</v>
      </c>
      <c r="K120" s="2">
        <f>IF(COUNT('Turns'!E317)=1,SUM('Turns'!E317),"Unknown")</f>
        <v>0.00085246806</v>
      </c>
      <c r="L120" s="2">
        <f>IF(COUNT('Turns'!F317)=1,SUM('Turns'!F317),"Unknown")</f>
        <v>0.000969</v>
      </c>
      <c r="M120" s="2">
        <f>IF(COUNT('Turns'!D316)=1,SUM('Turns'!D316),"Unknown")</f>
        <v>0.0</v>
      </c>
      <c r="N120" s="2">
        <f>IF(COUNT('Turns'!E316)=1,SUM('Turns'!E316),"Unknown")</f>
        <v>0.0</v>
      </c>
      <c r="O120" s="2">
        <f>IF(COUNT('Turns'!F316)=1,SUM('Turns'!F316),"Unknown")</f>
        <v>0.0</v>
      </c>
      <c r="P120" s="2">
        <v>0</v>
      </c>
      <c r="Q120" s="2">
        <v>0</v>
      </c>
      <c r="R120" s="2">
        <v>0</v>
      </c>
      <c r="S120" s="2">
        <f>IF(COUNT('Turns'!D322)=1,SUM('Turns'!D322),"Unknown")</f>
        <v>36.0</v>
      </c>
      <c r="T120" s="2">
        <f>IF(COUNT('Turns'!E322)=1,SUM('Turns'!E322),"Unknown")</f>
        <v>3.8004768e-05</v>
      </c>
      <c r="U120" s="2">
        <f>IF(COUNT('Turns'!F322)=1,SUM('Turns'!F322),"Unknown")</f>
        <v>4.32e-05</v>
      </c>
      <c r="V120" s="2">
        <v>0</v>
      </c>
      <c r="W120" s="2">
        <v>0</v>
      </c>
      <c r="X120" s="2">
        <v>0</v>
      </c>
      <c r="Y120" s="2">
        <f>IF(COUNT('Turns'!E326)=1,SUM('Turns'!E326),"Unknown")</f>
        <v>0.000890472828</v>
      </c>
      <c r="Z120" s="2">
        <f>IF(COUNT('Turns'!F326)=1,SUM('Turns'!F326),"Unknown")</f>
        <v>0.0010122</v>
      </c>
      <c r="AA120" s="5">
        <f>IF(ISNUMBER(Y120),ROUND(Y120*'Reference data'!$B$2,0),"Unknown")</f>
        <v>89.0</v>
      </c>
      <c r="AB120" s="5">
        <f>IF(ISNUMBER(Z120),ROUND(Z120*'Reference data'!$B$2,0),"Unknown")</f>
        <v>101.0</v>
      </c>
      <c r="AD120" s="1">
        <v>4.499</v>
      </c>
      <c r="AE120" s="1" t="s">
        <v>361</v>
      </c>
    </row>
    <row r="121" spans="1:31" ht="54" customHeight="1">
      <c r="A121" s="6" t="s">
        <v>378</v>
      </c>
      <c r="B121" s="1">
        <v>5</v>
      </c>
      <c r="C121" s="1" t="s">
        <v>379</v>
      </c>
      <c r="D121" s="1" t="s">
        <v>126</v>
      </c>
      <c r="E121" s="1" t="s">
        <v>141</v>
      </c>
      <c r="F121" s="1">
        <v>4845</v>
      </c>
      <c r="G121" s="6" t="s">
        <v>402</v>
      </c>
      <c r="H121" t="s">
        <v>250</v>
      </c>
      <c r="I121" t="s">
        <v>489</v>
      </c>
      <c r="J121" s="2">
        <f>IF(COUNT('Turns'!D317)=1,SUM('Turns'!D317),"Unknown")</f>
        <v>4845.0</v>
      </c>
      <c r="K121" s="2">
        <f>IF(COUNT('Turns'!E317)=1,SUM('Turns'!E317),"Unknown")</f>
        <v>0.00085246806</v>
      </c>
      <c r="L121" s="2">
        <f>IF(COUNT('Turns'!F317)=1,SUM('Turns'!F317),"Unknown")</f>
        <v>0.000969</v>
      </c>
      <c r="M121" s="2">
        <f>IF(COUNT('Turns'!D316)=1,SUM('Turns'!D316),"Unknown")</f>
        <v>0.0</v>
      </c>
      <c r="N121" s="2">
        <f>IF(COUNT('Turns'!E316)=1,SUM('Turns'!E316),"Unknown")</f>
        <v>0.0</v>
      </c>
      <c r="O121" s="2">
        <f>IF(COUNT('Turns'!F316)=1,SUM('Turns'!F316),"Unknown")</f>
        <v>0.0</v>
      </c>
      <c r="P121" s="2">
        <v>0</v>
      </c>
      <c r="Q121" s="2">
        <v>0</v>
      </c>
      <c r="R121" s="2">
        <v>0</v>
      </c>
      <c r="S121" s="2">
        <f>IF(COUNT('Turns'!D322)=1,SUM('Turns'!D322),"Unknown")</f>
        <v>36.0</v>
      </c>
      <c r="T121" s="2">
        <f>IF(COUNT('Turns'!E322)=1,SUM('Turns'!E322),"Unknown")</f>
        <v>3.8004768e-05</v>
      </c>
      <c r="U121" s="2">
        <f>IF(COUNT('Turns'!F322)=1,SUM('Turns'!F322),"Unknown")</f>
        <v>4.32e-05</v>
      </c>
      <c r="V121" s="2">
        <v>0</v>
      </c>
      <c r="W121" s="2">
        <v>0</v>
      </c>
      <c r="X121" s="2">
        <v>0</v>
      </c>
      <c r="Y121" s="2">
        <f>IF(COUNT('Turns'!E326)=1,SUM('Turns'!E326),"Unknown")</f>
        <v>0.000890472828</v>
      </c>
      <c r="Z121" s="2">
        <f>IF(COUNT('Turns'!F326)=1,SUM('Turns'!F326),"Unknown")</f>
        <v>0.0010122</v>
      </c>
      <c r="AA121" s="5">
        <f>IF(ISNUMBER(Y121),ROUND(Y121*'Reference data'!$B$2,0),"Unknown")</f>
        <v>89.0</v>
      </c>
      <c r="AB121" s="5">
        <f>IF(ISNUMBER(Z121),ROUND(Z121*'Reference data'!$B$2,0),"Unknown")</f>
        <v>101.0</v>
      </c>
      <c r="AC121" s="1" t="s">
        <v>249</v>
      </c>
      <c r="AD121" s="1">
        <v>2.663</v>
      </c>
      <c r="AE121" s="1" t="s">
        <v>381</v>
      </c>
    </row>
    <row r="122" spans="1:31" ht="54" customHeight="1">
      <c r="A122" s="6" t="s">
        <v>411</v>
      </c>
      <c r="B122" s="1">
        <v>1</v>
      </c>
      <c r="C122" s="1" t="s">
        <v>359</v>
      </c>
      <c r="D122" s="1" t="s">
        <v>47</v>
      </c>
      <c r="E122" s="1" t="s">
        <v>141</v>
      </c>
      <c r="G122" s="6" t="s">
        <v>412</v>
      </c>
      <c r="H122" t="s">
        <v>490</v>
      </c>
      <c r="I122" t="s">
        <v>49</v>
      </c>
      <c r="AD122" s="1">
        <v>90.946</v>
      </c>
      <c r="AE122" s="1" t="s">
        <v>374</v>
      </c>
    </row>
    <row r="123" spans="1:31" ht="54" customHeight="1">
      <c r="A123" s="6" t="s">
        <v>414</v>
      </c>
      <c r="B123" s="1">
        <v>1</v>
      </c>
      <c r="C123" s="1" t="s">
        <v>359</v>
      </c>
      <c r="D123" s="1" t="s">
        <v>47</v>
      </c>
      <c r="E123" s="1" t="s">
        <v>141</v>
      </c>
      <c r="G123" s="6" t="s">
        <v>415</v>
      </c>
      <c r="H123" t="s">
        <v>491</v>
      </c>
      <c r="I123" t="s">
        <v>49</v>
      </c>
      <c r="J123" s="2">
        <f>IF(COUNT('Turns'!D329,'Turns'!D343,'Turns'!D358,'Turns'!D373)=4,SUM('Turns'!D329,'Turns'!D343,'Turns'!D358,'Turns'!D373),"Unknown")</f>
        <v>10989.0</v>
      </c>
      <c r="K123" s="2">
        <f>IF(COUNT('Turns'!E329,'Turns'!E343,'Turns'!E358,'Turns'!E373)=4,SUM('Turns'!E329,'Turns'!E343,'Turns'!E358,'Turns'!E373),"Unknown")</f>
        <v>0.001933492572</v>
      </c>
      <c r="L123" s="2">
        <f>IF(COUNT('Turns'!F329,'Turns'!F343,'Turns'!F358,'Turns'!F373)=4,SUM('Turns'!F329,'Turns'!F343,'Turns'!F358,'Turns'!F373),"Unknown")</f>
        <v>0.0021978</v>
      </c>
      <c r="M123" s="2">
        <f>IF(COUNT('Turns'!D328,'Turns'!D342,'Turns'!D357,'Turns'!D372)=4,SUM('Turns'!D328,'Turns'!D342,'Turns'!D357,'Turns'!D372),"Unknown")</f>
        <v>0.0</v>
      </c>
      <c r="N123" s="2">
        <f>IF(COUNT('Turns'!E328,'Turns'!E342,'Turns'!E357,'Turns'!E372)=4,SUM('Turns'!E328,'Turns'!E342,'Turns'!E357,'Turns'!E372),"Unknown")</f>
        <v>0.0</v>
      </c>
      <c r="O123" s="2">
        <f>IF(COUNT('Turns'!F328,'Turns'!F342,'Turns'!F357,'Turns'!F372)=4,SUM('Turns'!F328,'Turns'!F342,'Turns'!F357,'Turns'!F372),"Unknown")</f>
        <v>0.0</v>
      </c>
      <c r="P123" s="2">
        <v>0</v>
      </c>
      <c r="Q123" s="2">
        <v>0</v>
      </c>
      <c r="R123" s="2">
        <v>0</v>
      </c>
      <c r="S123" s="2">
        <f>IF(COUNT('Turns'!D333,'Turns'!D348,'Turns'!D363,'Turns'!D378)=4,SUM('Turns'!D333,'Turns'!D348,'Turns'!D363,'Turns'!D378),"Unknown")</f>
        <v>247.0</v>
      </c>
      <c r="T123" s="2">
        <f>IF(COUNT('Turns'!E333,'Turns'!E348,'Turns'!E363,'Turns'!E378)=4,SUM('Turns'!E333,'Turns'!E348,'Turns'!E363,'Turns'!E378),"Unknown")</f>
        <v>0.000260754936</v>
      </c>
      <c r="U123" s="2">
        <f>IF(COUNT('Turns'!F333,'Turns'!F348,'Turns'!F363,'Turns'!F378)=4,SUM('Turns'!F333,'Turns'!F348,'Turns'!F363,'Turns'!F378),"Unknown")</f>
        <v>0.0002964</v>
      </c>
      <c r="V123" s="2">
        <v>0</v>
      </c>
      <c r="W123" s="2">
        <v>0</v>
      </c>
      <c r="X123" s="2">
        <v>0</v>
      </c>
      <c r="Y123" s="2">
        <f>IF(COUNT('Turns'!E337,'Turns'!E352,'Turns'!E367,'Turns'!E382)=4,SUM('Turns'!E337,'Turns'!E352,'Turns'!E367,'Turns'!E382),"Unknown")</f>
        <v>0.002194247508</v>
      </c>
      <c r="Z123" s="2">
        <f>IF(COUNT('Turns'!F337,'Turns'!F352,'Turns'!F367,'Turns'!F382)=4,SUM('Turns'!F337,'Turns'!F352,'Turns'!F367,'Turns'!F382),"Unknown")</f>
        <v>0.0024942</v>
      </c>
      <c r="AA123" s="5">
        <f>IF(ISNUMBER(Y123),ROUND(Y123*'Reference data'!$B$2,0),"Unknown")</f>
        <v>219.0</v>
      </c>
      <c r="AB123" s="5">
        <f>IF(ISNUMBER(Z123),ROUND(Z123*'Reference data'!$B$2,0),"Unknown")</f>
        <v>249.0</v>
      </c>
      <c r="AD123" s="1">
        <v>30.689</v>
      </c>
      <c r="AE123" s="1" t="s">
        <v>361</v>
      </c>
    </row>
    <row r="124" spans="1:31" ht="54" customHeight="1">
      <c r="A124" s="6" t="s">
        <v>365</v>
      </c>
      <c r="B124" s="1">
        <v>2</v>
      </c>
      <c r="C124" s="1" t="s">
        <v>359</v>
      </c>
      <c r="D124" s="1" t="s">
        <v>47</v>
      </c>
      <c r="E124" s="1" t="s">
        <v>141</v>
      </c>
      <c r="G124" s="6" t="s">
        <v>366</v>
      </c>
      <c r="H124" t="s">
        <v>492</v>
      </c>
      <c r="I124" t="s">
        <v>491</v>
      </c>
      <c r="J124" s="2">
        <f>IF(COUNT('Turns'!D329,'Turns'!D343,'Turns'!D358,'Turns'!D373)=4,SUM('Turns'!D329,'Turns'!D343,'Turns'!D358,'Turns'!D373),"Unknown")</f>
        <v>10989.0</v>
      </c>
      <c r="K124" s="2">
        <f>IF(COUNT('Turns'!E329,'Turns'!E343,'Turns'!E358,'Turns'!E373)=4,SUM('Turns'!E329,'Turns'!E343,'Turns'!E358,'Turns'!E373),"Unknown")</f>
        <v>0.001933492572</v>
      </c>
      <c r="L124" s="2">
        <f>IF(COUNT('Turns'!F329,'Turns'!F343,'Turns'!F358,'Turns'!F373)=4,SUM('Turns'!F329,'Turns'!F343,'Turns'!F358,'Turns'!F373),"Unknown")</f>
        <v>0.0021978</v>
      </c>
      <c r="M124" s="2">
        <f>IF(COUNT('Turns'!D328,'Turns'!D342,'Turns'!D357,'Turns'!D372)=4,SUM('Turns'!D328,'Turns'!D342,'Turns'!D357,'Turns'!D372),"Unknown")</f>
        <v>0.0</v>
      </c>
      <c r="N124" s="2">
        <f>IF(COUNT('Turns'!E328,'Turns'!E342,'Turns'!E357,'Turns'!E372)=4,SUM('Turns'!E328,'Turns'!E342,'Turns'!E357,'Turns'!E372),"Unknown")</f>
        <v>0.0</v>
      </c>
      <c r="O124" s="2">
        <f>IF(COUNT('Turns'!F328,'Turns'!F342,'Turns'!F357,'Turns'!F372)=4,SUM('Turns'!F328,'Turns'!F342,'Turns'!F357,'Turns'!F372),"Unknown")</f>
        <v>0.0</v>
      </c>
      <c r="P124" s="2">
        <v>0</v>
      </c>
      <c r="Q124" s="2">
        <v>0</v>
      </c>
      <c r="R124" s="2">
        <v>0</v>
      </c>
      <c r="S124" s="2">
        <f>IF(COUNT('Turns'!D333,'Turns'!D348,'Turns'!D363,'Turns'!D378)=4,SUM('Turns'!D333,'Turns'!D348,'Turns'!D363,'Turns'!D378),"Unknown")</f>
        <v>247.0</v>
      </c>
      <c r="T124" s="2">
        <f>IF(COUNT('Turns'!E333,'Turns'!E348,'Turns'!E363,'Turns'!E378)=4,SUM('Turns'!E333,'Turns'!E348,'Turns'!E363,'Turns'!E378),"Unknown")</f>
        <v>0.000260754936</v>
      </c>
      <c r="U124" s="2">
        <f>IF(COUNT('Turns'!F333,'Turns'!F348,'Turns'!F363,'Turns'!F378)=4,SUM('Turns'!F333,'Turns'!F348,'Turns'!F363,'Turns'!F378),"Unknown")</f>
        <v>0.0002964</v>
      </c>
      <c r="V124" s="2">
        <v>0</v>
      </c>
      <c r="W124" s="2">
        <v>0</v>
      </c>
      <c r="X124" s="2">
        <v>0</v>
      </c>
      <c r="Y124" s="2">
        <f>IF(COUNT('Turns'!E337,'Turns'!E352,'Turns'!E367,'Turns'!E382)=4,SUM('Turns'!E337,'Turns'!E352,'Turns'!E367,'Turns'!E382),"Unknown")</f>
        <v>0.002194247508</v>
      </c>
      <c r="Z124" s="2">
        <f>IF(COUNT('Turns'!F337,'Turns'!F352,'Turns'!F367,'Turns'!F382)=4,SUM('Turns'!F337,'Turns'!F352,'Turns'!F367,'Turns'!F382),"Unknown")</f>
        <v>0.0024942</v>
      </c>
      <c r="AA124" s="5">
        <f>IF(ISNUMBER(Y124),ROUND(Y124*'Reference data'!$B$2,0),"Unknown")</f>
        <v>219.0</v>
      </c>
      <c r="AB124" s="5">
        <f>IF(ISNUMBER(Z124),ROUND(Z124*'Reference data'!$B$2,0),"Unknown")</f>
        <v>249.0</v>
      </c>
      <c r="AD124" s="1">
        <v>29.361</v>
      </c>
      <c r="AE124" s="1" t="s">
        <v>361</v>
      </c>
    </row>
    <row r="125" spans="1:31" ht="54" customHeight="1">
      <c r="A125" s="6" t="s">
        <v>418</v>
      </c>
      <c r="B125" s="1">
        <v>3</v>
      </c>
      <c r="C125" s="1" t="s">
        <v>359</v>
      </c>
      <c r="D125" s="1" t="s">
        <v>47</v>
      </c>
      <c r="E125" s="1" t="s">
        <v>141</v>
      </c>
      <c r="G125" s="6" t="s">
        <v>419</v>
      </c>
      <c r="H125" t="s">
        <v>493</v>
      </c>
      <c r="I125" t="s">
        <v>492</v>
      </c>
      <c r="J125" s="2">
        <f>IF(COUNT('Turns'!D329,'Turns'!D343,'Turns'!D358,'Turns'!D373)=4,SUM('Turns'!D329,'Turns'!D343,'Turns'!D358,'Turns'!D373),"Unknown")</f>
        <v>10989.0</v>
      </c>
      <c r="K125" s="2">
        <f>IF(COUNT('Turns'!E329,'Turns'!E343,'Turns'!E358,'Turns'!E373)=4,SUM('Turns'!E329,'Turns'!E343,'Turns'!E358,'Turns'!E373),"Unknown")</f>
        <v>0.001933492572</v>
      </c>
      <c r="L125" s="2">
        <f>IF(COUNT('Turns'!F329,'Turns'!F343,'Turns'!F358,'Turns'!F373)=4,SUM('Turns'!F329,'Turns'!F343,'Turns'!F358,'Turns'!F373),"Unknown")</f>
        <v>0.0021978</v>
      </c>
      <c r="M125" s="2">
        <f>IF(COUNT('Turns'!D328,'Turns'!D342,'Turns'!D357,'Turns'!D372)=4,SUM('Turns'!D328,'Turns'!D342,'Turns'!D357,'Turns'!D372),"Unknown")</f>
        <v>0.0</v>
      </c>
      <c r="N125" s="2">
        <f>IF(COUNT('Turns'!E328,'Turns'!E342,'Turns'!E357,'Turns'!E372)=4,SUM('Turns'!E328,'Turns'!E342,'Turns'!E357,'Turns'!E372),"Unknown")</f>
        <v>0.0</v>
      </c>
      <c r="O125" s="2">
        <f>IF(COUNT('Turns'!F328,'Turns'!F342,'Turns'!F357,'Turns'!F372)=4,SUM('Turns'!F328,'Turns'!F342,'Turns'!F357,'Turns'!F372),"Unknown")</f>
        <v>0.0</v>
      </c>
      <c r="P125" s="2">
        <v>0</v>
      </c>
      <c r="Q125" s="2">
        <v>0</v>
      </c>
      <c r="R125" s="2">
        <v>0</v>
      </c>
      <c r="S125" s="2">
        <f>IF(COUNT('Turns'!D333,'Turns'!D348,'Turns'!D363,'Turns'!D378)=4,SUM('Turns'!D333,'Turns'!D348,'Turns'!D363,'Turns'!D378),"Unknown")</f>
        <v>247.0</v>
      </c>
      <c r="T125" s="2">
        <f>IF(COUNT('Turns'!E333,'Turns'!E348,'Turns'!E363,'Turns'!E378)=4,SUM('Turns'!E333,'Turns'!E348,'Turns'!E363,'Turns'!E378),"Unknown")</f>
        <v>0.000260754936</v>
      </c>
      <c r="U125" s="2">
        <f>IF(COUNT('Turns'!F333,'Turns'!F348,'Turns'!F363,'Turns'!F378)=4,SUM('Turns'!F333,'Turns'!F348,'Turns'!F363,'Turns'!F378),"Unknown")</f>
        <v>0.0002964</v>
      </c>
      <c r="V125" s="2">
        <v>0</v>
      </c>
      <c r="W125" s="2">
        <v>0</v>
      </c>
      <c r="X125" s="2">
        <v>0</v>
      </c>
      <c r="Y125" s="2">
        <f>IF(COUNT('Turns'!E337,'Turns'!E352,'Turns'!E367,'Turns'!E382)=4,SUM('Turns'!E337,'Turns'!E352,'Turns'!E367,'Turns'!E382),"Unknown")</f>
        <v>0.002194247508</v>
      </c>
      <c r="Z125" s="2">
        <f>IF(COUNT('Turns'!F337,'Turns'!F352,'Turns'!F367,'Turns'!F382)=4,SUM('Turns'!F337,'Turns'!F352,'Turns'!F367,'Turns'!F382),"Unknown")</f>
        <v>0.0024942</v>
      </c>
      <c r="AA125" s="5">
        <f>IF(ISNUMBER(Y125),ROUND(Y125*'Reference data'!$B$2,0),"Unknown")</f>
        <v>219.0</v>
      </c>
      <c r="AB125" s="5">
        <f>IF(ISNUMBER(Z125),ROUND(Z125*'Reference data'!$B$2,0),"Unknown")</f>
        <v>249.0</v>
      </c>
      <c r="AD125" s="1">
        <v>28.443</v>
      </c>
      <c r="AE125" s="1" t="s">
        <v>361</v>
      </c>
    </row>
    <row r="126" spans="1:31" ht="54" customHeight="1">
      <c r="A126" s="6" t="s">
        <v>375</v>
      </c>
      <c r="B126" s="1">
        <v>4</v>
      </c>
      <c r="C126" s="1" t="s">
        <v>359</v>
      </c>
      <c r="D126" s="1" t="s">
        <v>47</v>
      </c>
      <c r="E126" s="1" t="s">
        <v>141</v>
      </c>
      <c r="G126" s="6" t="s">
        <v>376</v>
      </c>
      <c r="H126" t="s">
        <v>494</v>
      </c>
      <c r="I126" t="s">
        <v>493</v>
      </c>
      <c r="J126" s="2">
        <f>IF(COUNT('Turns'!D329)=1,SUM('Turns'!D329),"Unknown")</f>
        <v>1887.0</v>
      </c>
      <c r="K126" s="2">
        <f>IF(COUNT('Turns'!E329)=1,SUM('Turns'!E329),"Unknown")</f>
        <v>0.000332013876</v>
      </c>
      <c r="L126" s="2">
        <f>IF(COUNT('Turns'!F329)=1,SUM('Turns'!F329),"Unknown")</f>
        <v>0.0003774</v>
      </c>
      <c r="M126" s="2">
        <f>IF(COUNT('Turns'!D328)=1,SUM('Turns'!D328),"Unknown")</f>
        <v>0.0</v>
      </c>
      <c r="N126" s="2">
        <f>IF(COUNT('Turns'!E328)=1,SUM('Turns'!E328),"Unknown")</f>
        <v>0.0</v>
      </c>
      <c r="O126" s="2">
        <f>IF(COUNT('Turns'!F328)=1,SUM('Turns'!F328),"Unknown")</f>
        <v>0.0</v>
      </c>
      <c r="P126" s="2">
        <v>0</v>
      </c>
      <c r="Q126" s="2">
        <v>0</v>
      </c>
      <c r="R126" s="2">
        <v>0</v>
      </c>
      <c r="S126" s="2">
        <f>IF(COUNT('Turns'!D333)=1,SUM('Turns'!D333),"Unknown")</f>
        <v>56.0</v>
      </c>
      <c r="T126" s="2">
        <f>IF(COUNT('Turns'!E333)=1,SUM('Turns'!E333),"Unknown")</f>
        <v>5.9118528e-05</v>
      </c>
      <c r="U126" s="2">
        <f>IF(COUNT('Turns'!F333)=1,SUM('Turns'!F333),"Unknown")</f>
        <v>6.72e-05</v>
      </c>
      <c r="V126" s="2">
        <v>0</v>
      </c>
      <c r="W126" s="2">
        <v>0</v>
      </c>
      <c r="X126" s="2">
        <v>0</v>
      </c>
      <c r="Y126" s="2">
        <f>IF(COUNT('Turns'!E337)=1,SUM('Turns'!E337),"Unknown")</f>
        <v>0.000391132404</v>
      </c>
      <c r="Z126" s="2">
        <f>IF(COUNT('Turns'!F337)=1,SUM('Turns'!F337),"Unknown")</f>
        <v>0.0004446</v>
      </c>
      <c r="AA126" s="5">
        <f>IF(ISNUMBER(Y126),ROUND(Y126*'Reference data'!$B$2,0),"Unknown")</f>
        <v>39.0</v>
      </c>
      <c r="AB126" s="5">
        <f>IF(ISNUMBER(Z126),ROUND(Z126*'Reference data'!$B$2,0),"Unknown")</f>
        <v>44.0</v>
      </c>
      <c r="AD126" s="1">
        <v>5.374</v>
      </c>
      <c r="AE126" s="1" t="s">
        <v>361</v>
      </c>
    </row>
    <row r="127" spans="1:31" ht="54" customHeight="1">
      <c r="A127" s="6" t="s">
        <v>378</v>
      </c>
      <c r="B127" s="1">
        <v>5</v>
      </c>
      <c r="C127" s="1" t="s">
        <v>379</v>
      </c>
      <c r="D127" s="1" t="s">
        <v>126</v>
      </c>
      <c r="E127" s="1" t="s">
        <v>141</v>
      </c>
      <c r="F127" s="1">
        <v>1887</v>
      </c>
      <c r="G127" s="6" t="s">
        <v>422</v>
      </c>
      <c r="H127" t="s">
        <v>253</v>
      </c>
      <c r="I127" t="s">
        <v>494</v>
      </c>
      <c r="J127" s="2">
        <f>IF(COUNT('Turns'!D329)=1,SUM('Turns'!D329),"Unknown")</f>
        <v>1887.0</v>
      </c>
      <c r="K127" s="2">
        <f>IF(COUNT('Turns'!E329)=1,SUM('Turns'!E329),"Unknown")</f>
        <v>0.000332013876</v>
      </c>
      <c r="L127" s="2">
        <f>IF(COUNT('Turns'!F329)=1,SUM('Turns'!F329),"Unknown")</f>
        <v>0.0003774</v>
      </c>
      <c r="M127" s="2">
        <f>IF(COUNT('Turns'!D328)=1,SUM('Turns'!D328),"Unknown")</f>
        <v>0.0</v>
      </c>
      <c r="N127" s="2">
        <f>IF(COUNT('Turns'!E328)=1,SUM('Turns'!E328),"Unknown")</f>
        <v>0.0</v>
      </c>
      <c r="O127" s="2">
        <f>IF(COUNT('Turns'!F328)=1,SUM('Turns'!F328),"Unknown")</f>
        <v>0.0</v>
      </c>
      <c r="P127" s="2">
        <v>0</v>
      </c>
      <c r="Q127" s="2">
        <v>0</v>
      </c>
      <c r="R127" s="2">
        <v>0</v>
      </c>
      <c r="S127" s="2">
        <f>IF(COUNT('Turns'!D333)=1,SUM('Turns'!D333),"Unknown")</f>
        <v>56.0</v>
      </c>
      <c r="T127" s="2">
        <f>IF(COUNT('Turns'!E333)=1,SUM('Turns'!E333),"Unknown")</f>
        <v>5.9118528e-05</v>
      </c>
      <c r="U127" s="2">
        <f>IF(COUNT('Turns'!F333)=1,SUM('Turns'!F333),"Unknown")</f>
        <v>6.72e-05</v>
      </c>
      <c r="V127" s="2">
        <v>0</v>
      </c>
      <c r="W127" s="2">
        <v>0</v>
      </c>
      <c r="X127" s="2">
        <v>0</v>
      </c>
      <c r="Y127" s="2">
        <f>IF(COUNT('Turns'!E337)=1,SUM('Turns'!E337),"Unknown")</f>
        <v>0.000391132404</v>
      </c>
      <c r="Z127" s="2">
        <f>IF(COUNT('Turns'!F337)=1,SUM('Turns'!F337),"Unknown")</f>
        <v>0.0004446</v>
      </c>
      <c r="AA127" s="5">
        <f>IF(ISNUMBER(Y127),ROUND(Y127*'Reference data'!$B$2,0),"Unknown")</f>
        <v>39.0</v>
      </c>
      <c r="AB127" s="5">
        <f>IF(ISNUMBER(Z127),ROUND(Z127*'Reference data'!$B$2,0),"Unknown")</f>
        <v>44.0</v>
      </c>
      <c r="AC127" s="1" t="s">
        <v>252</v>
      </c>
      <c r="AD127" s="1">
        <v>3.066</v>
      </c>
      <c r="AE127" s="1" t="s">
        <v>381</v>
      </c>
    </row>
    <row r="128" spans="1:31" ht="54" customHeight="1">
      <c r="A128" s="6" t="s">
        <v>382</v>
      </c>
      <c r="B128" s="1">
        <v>4</v>
      </c>
      <c r="C128" s="1" t="s">
        <v>359</v>
      </c>
      <c r="D128" s="1" t="s">
        <v>47</v>
      </c>
      <c r="E128" s="1" t="s">
        <v>141</v>
      </c>
      <c r="G128" s="6" t="s">
        <v>383</v>
      </c>
      <c r="H128" t="s">
        <v>495</v>
      </c>
      <c r="I128" t="s">
        <v>493</v>
      </c>
      <c r="AD128" s="1">
        <v>2.038</v>
      </c>
      <c r="AE128" s="1" t="s">
        <v>374</v>
      </c>
    </row>
    <row r="129" spans="1:31" ht="54" customHeight="1">
      <c r="A129" s="6" t="s">
        <v>404</v>
      </c>
      <c r="B129" s="1">
        <v>5</v>
      </c>
      <c r="C129" s="1" t="s">
        <v>386</v>
      </c>
      <c r="D129" s="1" t="s">
        <v>47</v>
      </c>
      <c r="E129" s="1" t="s">
        <v>141</v>
      </c>
      <c r="G129" s="6" t="s">
        <v>405</v>
      </c>
      <c r="H129" t="s">
        <v>255</v>
      </c>
      <c r="I129" t="s">
        <v>495</v>
      </c>
      <c r="AD129" s="1">
        <v>0.919</v>
      </c>
      <c r="AE129" s="1" t="s">
        <v>374</v>
      </c>
    </row>
    <row r="130" spans="1:31" ht="54" customHeight="1">
      <c r="A130" s="6" t="s">
        <v>375</v>
      </c>
      <c r="B130" s="1">
        <v>4</v>
      </c>
      <c r="C130" s="1" t="s">
        <v>359</v>
      </c>
      <c r="D130" s="1" t="s">
        <v>47</v>
      </c>
      <c r="E130" s="1" t="s">
        <v>141</v>
      </c>
      <c r="G130" s="6" t="s">
        <v>376</v>
      </c>
      <c r="H130" t="s">
        <v>496</v>
      </c>
      <c r="I130" t="s">
        <v>493</v>
      </c>
      <c r="J130" s="2">
        <f>IF(COUNT('Turns'!D343)=1,SUM('Turns'!D343),"Unknown")</f>
        <v>2708.0</v>
      </c>
      <c r="K130" s="2">
        <f>IF(COUNT('Turns'!E343)=1,SUM('Turns'!E343),"Unknown")</f>
        <v>0.000476467184</v>
      </c>
      <c r="L130" s="2">
        <f>IF(COUNT('Turns'!F343)=1,SUM('Turns'!F343),"Unknown")</f>
        <v>0.0005416</v>
      </c>
      <c r="M130" s="2">
        <f>IF(COUNT('Turns'!D342)=1,SUM('Turns'!D342),"Unknown")</f>
        <v>0.0</v>
      </c>
      <c r="N130" s="2">
        <f>IF(COUNT('Turns'!E342)=1,SUM('Turns'!E342),"Unknown")</f>
        <v>0.0</v>
      </c>
      <c r="O130" s="2">
        <f>IF(COUNT('Turns'!F342)=1,SUM('Turns'!F342),"Unknown")</f>
        <v>0.0</v>
      </c>
      <c r="P130" s="2">
        <v>0</v>
      </c>
      <c r="Q130" s="2">
        <v>0</v>
      </c>
      <c r="R130" s="2">
        <v>0</v>
      </c>
      <c r="S130" s="2">
        <f>IF(COUNT('Turns'!D348)=1,SUM('Turns'!D348),"Unknown")</f>
        <v>56.0</v>
      </c>
      <c r="T130" s="2">
        <f>IF(COUNT('Turns'!E348)=1,SUM('Turns'!E348),"Unknown")</f>
        <v>5.9118528e-05</v>
      </c>
      <c r="U130" s="2">
        <f>IF(COUNT('Turns'!F348)=1,SUM('Turns'!F348),"Unknown")</f>
        <v>6.72e-05</v>
      </c>
      <c r="V130" s="2">
        <v>0</v>
      </c>
      <c r="W130" s="2">
        <v>0</v>
      </c>
      <c r="X130" s="2">
        <v>0</v>
      </c>
      <c r="Y130" s="2">
        <f>IF(COUNT('Turns'!E352)=1,SUM('Turns'!E352),"Unknown")</f>
        <v>0.000535585712</v>
      </c>
      <c r="Z130" s="2">
        <f>IF(COUNT('Turns'!F352)=1,SUM('Turns'!F352),"Unknown")</f>
        <v>0.0006088</v>
      </c>
      <c r="AA130" s="5">
        <f>IF(ISNUMBER(Y130),ROUND(Y130*'Reference data'!$B$2,0),"Unknown")</f>
        <v>54.0</v>
      </c>
      <c r="AB130" s="5">
        <f>IF(ISNUMBER(Z130),ROUND(Z130*'Reference data'!$B$2,0),"Unknown")</f>
        <v>61.0</v>
      </c>
      <c r="AD130" s="1">
        <v>3.918</v>
      </c>
      <c r="AE130" s="1" t="s">
        <v>361</v>
      </c>
    </row>
    <row r="131" spans="1:31" ht="54" customHeight="1">
      <c r="A131" s="6" t="s">
        <v>378</v>
      </c>
      <c r="B131" s="1">
        <v>5</v>
      </c>
      <c r="C131" s="1" t="s">
        <v>379</v>
      </c>
      <c r="D131" s="1" t="s">
        <v>126</v>
      </c>
      <c r="E131" s="1" t="s">
        <v>141</v>
      </c>
      <c r="F131" s="1">
        <v>2708</v>
      </c>
      <c r="G131" s="6" t="s">
        <v>422</v>
      </c>
      <c r="H131" t="s">
        <v>257</v>
      </c>
      <c r="I131" t="s">
        <v>496</v>
      </c>
      <c r="J131" s="2">
        <f>IF(COUNT('Turns'!D343)=1,SUM('Turns'!D343),"Unknown")</f>
        <v>2708.0</v>
      </c>
      <c r="K131" s="2">
        <f>IF(COUNT('Turns'!E343)=1,SUM('Turns'!E343),"Unknown")</f>
        <v>0.000476467184</v>
      </c>
      <c r="L131" s="2">
        <f>IF(COUNT('Turns'!F343)=1,SUM('Turns'!F343),"Unknown")</f>
        <v>0.0005416</v>
      </c>
      <c r="M131" s="2">
        <f>IF(COUNT('Turns'!D342)=1,SUM('Turns'!D342),"Unknown")</f>
        <v>0.0</v>
      </c>
      <c r="N131" s="2">
        <f>IF(COUNT('Turns'!E342)=1,SUM('Turns'!E342),"Unknown")</f>
        <v>0.0</v>
      </c>
      <c r="O131" s="2">
        <f>IF(COUNT('Turns'!F342)=1,SUM('Turns'!F342),"Unknown")</f>
        <v>0.0</v>
      </c>
      <c r="P131" s="2">
        <v>0</v>
      </c>
      <c r="Q131" s="2">
        <v>0</v>
      </c>
      <c r="R131" s="2">
        <v>0</v>
      </c>
      <c r="S131" s="2">
        <f>IF(COUNT('Turns'!D348)=1,SUM('Turns'!D348),"Unknown")</f>
        <v>56.0</v>
      </c>
      <c r="T131" s="2">
        <f>IF(COUNT('Turns'!E348)=1,SUM('Turns'!E348),"Unknown")</f>
        <v>5.9118528e-05</v>
      </c>
      <c r="U131" s="2">
        <f>IF(COUNT('Turns'!F348)=1,SUM('Turns'!F348),"Unknown")</f>
        <v>6.72e-05</v>
      </c>
      <c r="V131" s="2">
        <v>0</v>
      </c>
      <c r="W131" s="2">
        <v>0</v>
      </c>
      <c r="X131" s="2">
        <v>0</v>
      </c>
      <c r="Y131" s="2">
        <f>IF(COUNT('Turns'!E352)=1,SUM('Turns'!E352),"Unknown")</f>
        <v>0.000535585712</v>
      </c>
      <c r="Z131" s="2">
        <f>IF(COUNT('Turns'!F352)=1,SUM('Turns'!F352),"Unknown")</f>
        <v>0.0006088</v>
      </c>
      <c r="AA131" s="5">
        <f>IF(ISNUMBER(Y131),ROUND(Y131*'Reference data'!$B$2,0),"Unknown")</f>
        <v>54.0</v>
      </c>
      <c r="AB131" s="5">
        <f>IF(ISNUMBER(Z131),ROUND(Z131*'Reference data'!$B$2,0),"Unknown")</f>
        <v>61.0</v>
      </c>
      <c r="AC131" s="1" t="s">
        <v>256</v>
      </c>
      <c r="AD131" s="1">
        <v>2.58</v>
      </c>
      <c r="AE131" s="1" t="s">
        <v>381</v>
      </c>
    </row>
    <row r="132" spans="1:31" ht="54" customHeight="1">
      <c r="A132" s="6" t="s">
        <v>382</v>
      </c>
      <c r="B132" s="1">
        <v>4</v>
      </c>
      <c r="C132" s="1" t="s">
        <v>359</v>
      </c>
      <c r="D132" s="1" t="s">
        <v>47</v>
      </c>
      <c r="E132" s="1" t="s">
        <v>141</v>
      </c>
      <c r="G132" s="6" t="s">
        <v>383</v>
      </c>
      <c r="H132" t="s">
        <v>497</v>
      </c>
      <c r="I132" t="s">
        <v>493</v>
      </c>
      <c r="AD132" s="1">
        <v>1.839</v>
      </c>
      <c r="AE132" s="1" t="s">
        <v>374</v>
      </c>
    </row>
    <row r="133" spans="1:31" ht="54" customHeight="1">
      <c r="A133" s="6" t="s">
        <v>404</v>
      </c>
      <c r="B133" s="1">
        <v>5</v>
      </c>
      <c r="C133" s="1" t="s">
        <v>386</v>
      </c>
      <c r="D133" s="1" t="s">
        <v>47</v>
      </c>
      <c r="E133" s="1" t="s">
        <v>141</v>
      </c>
      <c r="G133" s="6" t="s">
        <v>405</v>
      </c>
      <c r="H133" t="s">
        <v>259</v>
      </c>
      <c r="I133" t="s">
        <v>497</v>
      </c>
      <c r="AD133" s="1">
        <v>0.781</v>
      </c>
      <c r="AE133" s="1" t="s">
        <v>374</v>
      </c>
    </row>
    <row r="134" spans="1:31" ht="54" customHeight="1">
      <c r="A134" s="6" t="s">
        <v>375</v>
      </c>
      <c r="B134" s="1">
        <v>4</v>
      </c>
      <c r="C134" s="1" t="s">
        <v>359</v>
      </c>
      <c r="D134" s="1" t="s">
        <v>47</v>
      </c>
      <c r="E134" s="1" t="s">
        <v>141</v>
      </c>
      <c r="G134" s="6" t="s">
        <v>376</v>
      </c>
      <c r="H134" t="s">
        <v>498</v>
      </c>
      <c r="I134" t="s">
        <v>493</v>
      </c>
      <c r="J134" s="2">
        <f>IF(COUNT('Turns'!D358)=1,SUM('Turns'!D358),"Unknown")</f>
        <v>3026.0</v>
      </c>
      <c r="K134" s="2">
        <f>IF(COUNT('Turns'!E358)=1,SUM('Turns'!E358),"Unknown")</f>
        <v>0.000532418648</v>
      </c>
      <c r="L134" s="2">
        <f>IF(COUNT('Turns'!F358)=1,SUM('Turns'!F358),"Unknown")</f>
        <v>0.0006052</v>
      </c>
      <c r="M134" s="2">
        <f>IF(COUNT('Turns'!D357)=1,SUM('Turns'!D357),"Unknown")</f>
        <v>0.0</v>
      </c>
      <c r="N134" s="2">
        <f>IF(COUNT('Turns'!E357)=1,SUM('Turns'!E357),"Unknown")</f>
        <v>0.0</v>
      </c>
      <c r="O134" s="2">
        <f>IF(COUNT('Turns'!F357)=1,SUM('Turns'!F357),"Unknown")</f>
        <v>0.0</v>
      </c>
      <c r="P134" s="2">
        <v>0</v>
      </c>
      <c r="Q134" s="2">
        <v>0</v>
      </c>
      <c r="R134" s="2">
        <v>0</v>
      </c>
      <c r="S134" s="2">
        <f>IF(COUNT('Turns'!D363)=1,SUM('Turns'!D363),"Unknown")</f>
        <v>57.0</v>
      </c>
      <c r="T134" s="2">
        <f>IF(COUNT('Turns'!E363)=1,SUM('Turns'!E363),"Unknown")</f>
        <v>6.0174216e-05</v>
      </c>
      <c r="U134" s="2">
        <f>IF(COUNT('Turns'!F363)=1,SUM('Turns'!F363),"Unknown")</f>
        <v>6.84e-05</v>
      </c>
      <c r="V134" s="2">
        <v>0</v>
      </c>
      <c r="W134" s="2">
        <v>0</v>
      </c>
      <c r="X134" s="2">
        <v>0</v>
      </c>
      <c r="Y134" s="2">
        <f>IF(COUNT('Turns'!E367)=1,SUM('Turns'!E367),"Unknown")</f>
        <v>0.000592592864</v>
      </c>
      <c r="Z134" s="2">
        <f>IF(COUNT('Turns'!F367)=1,SUM('Turns'!F367),"Unknown")</f>
        <v>0.0006736</v>
      </c>
      <c r="AA134" s="5">
        <f>IF(ISNUMBER(Y134),ROUND(Y134*'Reference data'!$B$2,0),"Unknown")</f>
        <v>59.0</v>
      </c>
      <c r="AB134" s="5">
        <f>IF(ISNUMBER(Z134),ROUND(Z134*'Reference data'!$B$2,0),"Unknown")</f>
        <v>67.0</v>
      </c>
      <c r="AD134" s="1">
        <v>4.468</v>
      </c>
      <c r="AE134" s="1" t="s">
        <v>361</v>
      </c>
    </row>
    <row r="135" spans="1:31" ht="54" customHeight="1">
      <c r="A135" s="6" t="s">
        <v>378</v>
      </c>
      <c r="B135" s="1">
        <v>5</v>
      </c>
      <c r="C135" s="1" t="s">
        <v>379</v>
      </c>
      <c r="D135" s="1" t="s">
        <v>126</v>
      </c>
      <c r="E135" s="1" t="s">
        <v>141</v>
      </c>
      <c r="F135" s="1">
        <v>3026</v>
      </c>
      <c r="G135" s="6" t="s">
        <v>422</v>
      </c>
      <c r="H135" t="s">
        <v>261</v>
      </c>
      <c r="I135" t="s">
        <v>498</v>
      </c>
      <c r="J135" s="2">
        <f>IF(COUNT('Turns'!D358)=1,SUM('Turns'!D358),"Unknown")</f>
        <v>3026.0</v>
      </c>
      <c r="K135" s="2">
        <f>IF(COUNT('Turns'!E358)=1,SUM('Turns'!E358),"Unknown")</f>
        <v>0.000532418648</v>
      </c>
      <c r="L135" s="2">
        <f>IF(COUNT('Turns'!F358)=1,SUM('Turns'!F358),"Unknown")</f>
        <v>0.0006052</v>
      </c>
      <c r="M135" s="2">
        <f>IF(COUNT('Turns'!D357)=1,SUM('Turns'!D357),"Unknown")</f>
        <v>0.0</v>
      </c>
      <c r="N135" s="2">
        <f>IF(COUNT('Turns'!E357)=1,SUM('Turns'!E357),"Unknown")</f>
        <v>0.0</v>
      </c>
      <c r="O135" s="2">
        <f>IF(COUNT('Turns'!F357)=1,SUM('Turns'!F357),"Unknown")</f>
        <v>0.0</v>
      </c>
      <c r="P135" s="2">
        <v>0</v>
      </c>
      <c r="Q135" s="2">
        <v>0</v>
      </c>
      <c r="R135" s="2">
        <v>0</v>
      </c>
      <c r="S135" s="2">
        <f>IF(COUNT('Turns'!D363)=1,SUM('Turns'!D363),"Unknown")</f>
        <v>57.0</v>
      </c>
      <c r="T135" s="2">
        <f>IF(COUNT('Turns'!E363)=1,SUM('Turns'!E363),"Unknown")</f>
        <v>6.0174216e-05</v>
      </c>
      <c r="U135" s="2">
        <f>IF(COUNT('Turns'!F363)=1,SUM('Turns'!F363),"Unknown")</f>
        <v>6.84e-05</v>
      </c>
      <c r="V135" s="2">
        <v>0</v>
      </c>
      <c r="W135" s="2">
        <v>0</v>
      </c>
      <c r="X135" s="2">
        <v>0</v>
      </c>
      <c r="Y135" s="2">
        <f>IF(COUNT('Turns'!E367)=1,SUM('Turns'!E367),"Unknown")</f>
        <v>0.000592592864</v>
      </c>
      <c r="Z135" s="2">
        <f>IF(COUNT('Turns'!F367)=1,SUM('Turns'!F367),"Unknown")</f>
        <v>0.0006736</v>
      </c>
      <c r="AA135" s="5">
        <f>IF(ISNUMBER(Y135),ROUND(Y135*'Reference data'!$B$2,0),"Unknown")</f>
        <v>59.0</v>
      </c>
      <c r="AB135" s="5">
        <f>IF(ISNUMBER(Z135),ROUND(Z135*'Reference data'!$B$2,0),"Unknown")</f>
        <v>67.0</v>
      </c>
      <c r="AC135" s="1" t="s">
        <v>260</v>
      </c>
      <c r="AD135" s="1">
        <v>2.976</v>
      </c>
      <c r="AE135" s="1" t="s">
        <v>381</v>
      </c>
    </row>
    <row r="136" spans="1:31" ht="54" customHeight="1">
      <c r="A136" s="6" t="s">
        <v>382</v>
      </c>
      <c r="B136" s="1">
        <v>4</v>
      </c>
      <c r="C136" s="1" t="s">
        <v>359</v>
      </c>
      <c r="D136" s="1" t="s">
        <v>47</v>
      </c>
      <c r="E136" s="1" t="s">
        <v>141</v>
      </c>
      <c r="G136" s="6" t="s">
        <v>383</v>
      </c>
      <c r="H136" t="s">
        <v>499</v>
      </c>
      <c r="I136" t="s">
        <v>493</v>
      </c>
      <c r="AD136" s="1">
        <v>2.022</v>
      </c>
      <c r="AE136" s="1" t="s">
        <v>374</v>
      </c>
    </row>
    <row r="137" spans="1:31" ht="54" customHeight="1">
      <c r="A137" s="6" t="s">
        <v>404</v>
      </c>
      <c r="B137" s="1">
        <v>5</v>
      </c>
      <c r="C137" s="1" t="s">
        <v>386</v>
      </c>
      <c r="D137" s="1" t="s">
        <v>47</v>
      </c>
      <c r="E137" s="1" t="s">
        <v>141</v>
      </c>
      <c r="G137" s="6" t="s">
        <v>405</v>
      </c>
      <c r="H137" t="s">
        <v>263</v>
      </c>
      <c r="I137" t="s">
        <v>499</v>
      </c>
      <c r="AD137" s="1">
        <v>0.819</v>
      </c>
      <c r="AE137" s="1" t="s">
        <v>374</v>
      </c>
    </row>
    <row r="138" spans="1:31" ht="54" customHeight="1">
      <c r="A138" s="6" t="s">
        <v>375</v>
      </c>
      <c r="B138" s="1">
        <v>4</v>
      </c>
      <c r="C138" s="1" t="s">
        <v>359</v>
      </c>
      <c r="D138" s="1" t="s">
        <v>47</v>
      </c>
      <c r="E138" s="1" t="s">
        <v>141</v>
      </c>
      <c r="G138" s="6" t="s">
        <v>376</v>
      </c>
      <c r="H138" t="s">
        <v>500</v>
      </c>
      <c r="I138" t="s">
        <v>493</v>
      </c>
      <c r="J138" s="2">
        <f>IF(COUNT('Turns'!D373)=1,SUM('Turns'!D373),"Unknown")</f>
        <v>3368.0</v>
      </c>
      <c r="K138" s="2">
        <f>IF(COUNT('Turns'!E373)=1,SUM('Turns'!E373),"Unknown")</f>
        <v>0.000592592864</v>
      </c>
      <c r="L138" s="2">
        <f>IF(COUNT('Turns'!F373)=1,SUM('Turns'!F373),"Unknown")</f>
        <v>0.0006736</v>
      </c>
      <c r="M138" s="2">
        <f>IF(COUNT('Turns'!D372)=1,SUM('Turns'!D372),"Unknown")</f>
        <v>0.0</v>
      </c>
      <c r="N138" s="2">
        <f>IF(COUNT('Turns'!E372)=1,SUM('Turns'!E372),"Unknown")</f>
        <v>0.0</v>
      </c>
      <c r="O138" s="2">
        <f>IF(COUNT('Turns'!F372)=1,SUM('Turns'!F372),"Unknown")</f>
        <v>0.0</v>
      </c>
      <c r="P138" s="2">
        <v>0</v>
      </c>
      <c r="Q138" s="2">
        <v>0</v>
      </c>
      <c r="R138" s="2">
        <v>0</v>
      </c>
      <c r="S138" s="2">
        <f>IF(COUNT('Turns'!D378)=1,SUM('Turns'!D378),"Unknown")</f>
        <v>78.0</v>
      </c>
      <c r="T138" s="2">
        <f>IF(COUNT('Turns'!E378)=1,SUM('Turns'!E378),"Unknown")</f>
        <v>8.2343664e-05</v>
      </c>
      <c r="U138" s="2">
        <f>IF(COUNT('Turns'!F378)=1,SUM('Turns'!F378),"Unknown")</f>
        <v>9.36e-05</v>
      </c>
      <c r="V138" s="2">
        <v>0</v>
      </c>
      <c r="W138" s="2">
        <v>0</v>
      </c>
      <c r="X138" s="2">
        <v>0</v>
      </c>
      <c r="Y138" s="2">
        <f>IF(COUNT('Turns'!E382)=1,SUM('Turns'!E382),"Unknown")</f>
        <v>0.000674936528</v>
      </c>
      <c r="Z138" s="2">
        <f>IF(COUNT('Turns'!F382)=1,SUM('Turns'!F382),"Unknown")</f>
        <v>0.0007672</v>
      </c>
      <c r="AA138" s="5">
        <f>IF(ISNUMBER(Y138),ROUND(Y138*'Reference data'!$B$2,0),"Unknown")</f>
        <v>67.0</v>
      </c>
      <c r="AB138" s="5">
        <f>IF(ISNUMBER(Z138),ROUND(Z138*'Reference data'!$B$2,0),"Unknown")</f>
        <v>77.0</v>
      </c>
      <c r="AD138" s="1">
        <v>3.712</v>
      </c>
      <c r="AE138" s="1" t="s">
        <v>361</v>
      </c>
    </row>
    <row r="139" spans="1:31" ht="54" customHeight="1">
      <c r="A139" s="6" t="s">
        <v>378</v>
      </c>
      <c r="B139" s="1">
        <v>5</v>
      </c>
      <c r="C139" s="1" t="s">
        <v>379</v>
      </c>
      <c r="D139" s="1" t="s">
        <v>126</v>
      </c>
      <c r="E139" s="1" t="s">
        <v>141</v>
      </c>
      <c r="F139" s="1">
        <v>3368</v>
      </c>
      <c r="G139" s="6" t="s">
        <v>422</v>
      </c>
      <c r="H139" t="s">
        <v>267</v>
      </c>
      <c r="I139" t="s">
        <v>500</v>
      </c>
      <c r="J139" s="2">
        <f>IF(COUNT('Turns'!D373)=1,SUM('Turns'!D373),"Unknown")</f>
        <v>3368.0</v>
      </c>
      <c r="K139" s="2">
        <f>IF(COUNT('Turns'!E373)=1,SUM('Turns'!E373),"Unknown")</f>
        <v>0.000592592864</v>
      </c>
      <c r="L139" s="2">
        <f>IF(COUNT('Turns'!F373)=1,SUM('Turns'!F373),"Unknown")</f>
        <v>0.0006736</v>
      </c>
      <c r="M139" s="2">
        <f>IF(COUNT('Turns'!D372)=1,SUM('Turns'!D372),"Unknown")</f>
        <v>0.0</v>
      </c>
      <c r="N139" s="2">
        <f>IF(COUNT('Turns'!E372)=1,SUM('Turns'!E372),"Unknown")</f>
        <v>0.0</v>
      </c>
      <c r="O139" s="2">
        <f>IF(COUNT('Turns'!F372)=1,SUM('Turns'!F372),"Unknown")</f>
        <v>0.0</v>
      </c>
      <c r="P139" s="2">
        <v>0</v>
      </c>
      <c r="Q139" s="2">
        <v>0</v>
      </c>
      <c r="R139" s="2">
        <v>0</v>
      </c>
      <c r="S139" s="2">
        <f>IF(COUNT('Turns'!D378)=1,SUM('Turns'!D378),"Unknown")</f>
        <v>78.0</v>
      </c>
      <c r="T139" s="2">
        <f>IF(COUNT('Turns'!E378)=1,SUM('Turns'!E378),"Unknown")</f>
        <v>8.2343664e-05</v>
      </c>
      <c r="U139" s="2">
        <f>IF(COUNT('Turns'!F378)=1,SUM('Turns'!F378),"Unknown")</f>
        <v>9.36e-05</v>
      </c>
      <c r="V139" s="2">
        <v>0</v>
      </c>
      <c r="W139" s="2">
        <v>0</v>
      </c>
      <c r="X139" s="2">
        <v>0</v>
      </c>
      <c r="Y139" s="2">
        <f>IF(COUNT('Turns'!E382)=1,SUM('Turns'!E382),"Unknown")</f>
        <v>0.000674936528</v>
      </c>
      <c r="Z139" s="2">
        <f>IF(COUNT('Turns'!F382)=1,SUM('Turns'!F382),"Unknown")</f>
        <v>0.0007672</v>
      </c>
      <c r="AA139" s="5">
        <f>IF(ISNUMBER(Y139),ROUND(Y139*'Reference data'!$B$2,0),"Unknown")</f>
        <v>67.0</v>
      </c>
      <c r="AB139" s="5">
        <f>IF(ISNUMBER(Z139),ROUND(Z139*'Reference data'!$B$2,0),"Unknown")</f>
        <v>77.0</v>
      </c>
      <c r="AC139" s="1" t="s">
        <v>266</v>
      </c>
      <c r="AD139" s="1">
        <v>2.252</v>
      </c>
      <c r="AE139" s="1" t="s">
        <v>381</v>
      </c>
    </row>
    <row r="140" spans="1:31" ht="54" customHeight="1">
      <c r="A140" s="6" t="s">
        <v>427</v>
      </c>
      <c r="B140" s="1">
        <v>2</v>
      </c>
      <c r="C140" s="1" t="s">
        <v>359</v>
      </c>
      <c r="D140" s="1" t="s">
        <v>47</v>
      </c>
      <c r="E140" s="1" t="s">
        <v>141</v>
      </c>
      <c r="G140" s="6" t="s">
        <v>428</v>
      </c>
      <c r="H140" t="s">
        <v>501</v>
      </c>
      <c r="I140" t="s">
        <v>491</v>
      </c>
      <c r="AD140" s="1">
        <v>0.23</v>
      </c>
      <c r="AE140" s="1" t="s">
        <v>374</v>
      </c>
    </row>
    <row r="141" spans="1:31" ht="54" customHeight="1">
      <c r="A141" s="6" t="s">
        <v>453</v>
      </c>
      <c r="B141" s="1">
        <v>1</v>
      </c>
      <c r="C141" s="1" t="s">
        <v>359</v>
      </c>
      <c r="D141" s="1" t="s">
        <v>47</v>
      </c>
      <c r="E141" s="1" t="s">
        <v>141</v>
      </c>
      <c r="G141" s="6" t="s">
        <v>454</v>
      </c>
      <c r="H141" t="s">
        <v>502</v>
      </c>
      <c r="I141" t="s">
        <v>49</v>
      </c>
      <c r="J141" s="2">
        <f>IF(COUNT('Turns'!D385,'Turns'!D400,'Turns'!D415,'Turns'!D430)=4,SUM('Turns'!D385,'Turns'!D400,'Turns'!D415,'Turns'!D430),"Unknown")</f>
        <v>27793.0</v>
      </c>
      <c r="K141" s="2">
        <f>IF(COUNT('Turns'!E385,'Turns'!E400,'Turns'!E415,'Turns'!E430)=4,SUM('Turns'!E385,'Turns'!E400,'Turns'!E415,'Turns'!E430),"Unknown")</f>
        <v>0.004890122764</v>
      </c>
      <c r="L141" s="2">
        <f>IF(COUNT('Turns'!F385,'Turns'!F400,'Turns'!F415,'Turns'!F430)=4,SUM('Turns'!F385,'Turns'!F400,'Turns'!F415,'Turns'!F430),"Unknown")</f>
        <v>0.0055586</v>
      </c>
      <c r="M141" s="2">
        <f>IF(COUNT('Turns'!D384,'Turns'!D399,'Turns'!D414,'Turns'!D429)=4,SUM('Turns'!D384,'Turns'!D399,'Turns'!D414,'Turns'!D429),"Unknown")</f>
        <v>0.0</v>
      </c>
      <c r="N141" s="2">
        <f>IF(COUNT('Turns'!E384,'Turns'!E399,'Turns'!E414,'Turns'!E429)=4,SUM('Turns'!E384,'Turns'!E399,'Turns'!E414,'Turns'!E429),"Unknown")</f>
        <v>0.0</v>
      </c>
      <c r="O141" s="2">
        <f>IF(COUNT('Turns'!F384,'Turns'!F399,'Turns'!F414,'Turns'!F429)=4,SUM('Turns'!F384,'Turns'!F399,'Turns'!F414,'Turns'!F429),"Unknown")</f>
        <v>0.0</v>
      </c>
      <c r="P141" s="2">
        <v>0</v>
      </c>
      <c r="Q141" s="2">
        <v>0</v>
      </c>
      <c r="R141" s="2">
        <v>0</v>
      </c>
      <c r="S141" s="2">
        <f>IF(COUNT('Turns'!D390,'Turns'!D405,'Turns'!D420,'Turns'!D435)=4,SUM('Turns'!D390,'Turns'!D405,'Turns'!D420,'Turns'!D435),"Unknown")</f>
        <v>289.0</v>
      </c>
      <c r="T141" s="2">
        <f>IF(COUNT('Turns'!E390,'Turns'!E405,'Turns'!E420,'Turns'!E435)=4,SUM('Turns'!E390,'Turns'!E405,'Turns'!E420,'Turns'!E435),"Unknown")</f>
        <v>0.000305093832</v>
      </c>
      <c r="U141" s="2">
        <f>IF(COUNT('Turns'!F390,'Turns'!F405,'Turns'!F420,'Turns'!F435)=4,SUM('Turns'!F390,'Turns'!F405,'Turns'!F420,'Turns'!F435),"Unknown")</f>
        <v>0.0003468</v>
      </c>
      <c r="V141" s="2">
        <v>0</v>
      </c>
      <c r="W141" s="2">
        <v>0</v>
      </c>
      <c r="X141" s="2">
        <v>0</v>
      </c>
      <c r="Y141" s="2">
        <f>IF(COUNT('Turns'!E394,'Turns'!E409,'Turns'!E424,'Turns'!E439)=4,SUM('Turns'!E394,'Turns'!E409,'Turns'!E424,'Turns'!E439),"Unknown")</f>
        <v>0.005195216596</v>
      </c>
      <c r="Z141" s="2">
        <f>IF(COUNT('Turns'!F394,'Turns'!F409,'Turns'!F424,'Turns'!F439)=4,SUM('Turns'!F394,'Turns'!F409,'Turns'!F424,'Turns'!F439),"Unknown")</f>
        <v>0.0059054</v>
      </c>
      <c r="AA141" s="5">
        <f>IF(ISNUMBER(Y141),ROUND(Y141*'Reference data'!$B$2,0),"Unknown")</f>
        <v>520.0</v>
      </c>
      <c r="AB141" s="5">
        <f>IF(ISNUMBER(Z141),ROUND(Z141*'Reference data'!$B$2,0),"Unknown")</f>
        <v>591.0</v>
      </c>
      <c r="AD141" s="1">
        <v>42.283</v>
      </c>
      <c r="AE141" s="1" t="s">
        <v>361</v>
      </c>
    </row>
    <row r="142" spans="1:31" ht="54" customHeight="1">
      <c r="A142" s="6" t="s">
        <v>365</v>
      </c>
      <c r="B142" s="1">
        <v>2</v>
      </c>
      <c r="C142" s="1" t="s">
        <v>359</v>
      </c>
      <c r="D142" s="1" t="s">
        <v>47</v>
      </c>
      <c r="E142" s="1" t="s">
        <v>141</v>
      </c>
      <c r="G142" s="6" t="s">
        <v>366</v>
      </c>
      <c r="H142" t="s">
        <v>503</v>
      </c>
      <c r="I142" t="s">
        <v>502</v>
      </c>
      <c r="J142" s="2">
        <f>IF(COUNT('Turns'!D385,'Turns'!D400,'Turns'!D415,'Turns'!D430)=4,SUM('Turns'!D385,'Turns'!D400,'Turns'!D415,'Turns'!D430),"Unknown")</f>
        <v>27793.0</v>
      </c>
      <c r="K142" s="2">
        <f>IF(COUNT('Turns'!E385,'Turns'!E400,'Turns'!E415,'Turns'!E430)=4,SUM('Turns'!E385,'Turns'!E400,'Turns'!E415,'Turns'!E430),"Unknown")</f>
        <v>0.004890122764</v>
      </c>
      <c r="L142" s="2">
        <f>IF(COUNT('Turns'!F385,'Turns'!F400,'Turns'!F415,'Turns'!F430)=4,SUM('Turns'!F385,'Turns'!F400,'Turns'!F415,'Turns'!F430),"Unknown")</f>
        <v>0.0055586</v>
      </c>
      <c r="M142" s="2">
        <f>IF(COUNT('Turns'!D384,'Turns'!D399,'Turns'!D414,'Turns'!D429)=4,SUM('Turns'!D384,'Turns'!D399,'Turns'!D414,'Turns'!D429),"Unknown")</f>
        <v>0.0</v>
      </c>
      <c r="N142" s="2">
        <f>IF(COUNT('Turns'!E384,'Turns'!E399,'Turns'!E414,'Turns'!E429)=4,SUM('Turns'!E384,'Turns'!E399,'Turns'!E414,'Turns'!E429),"Unknown")</f>
        <v>0.0</v>
      </c>
      <c r="O142" s="2">
        <f>IF(COUNT('Turns'!F384,'Turns'!F399,'Turns'!F414,'Turns'!F429)=4,SUM('Turns'!F384,'Turns'!F399,'Turns'!F414,'Turns'!F429),"Unknown")</f>
        <v>0.0</v>
      </c>
      <c r="P142" s="2">
        <v>0</v>
      </c>
      <c r="Q142" s="2">
        <v>0</v>
      </c>
      <c r="R142" s="2">
        <v>0</v>
      </c>
      <c r="S142" s="2">
        <f>IF(COUNT('Turns'!D390,'Turns'!D405,'Turns'!D420,'Turns'!D435)=4,SUM('Turns'!D390,'Turns'!D405,'Turns'!D420,'Turns'!D435),"Unknown")</f>
        <v>289.0</v>
      </c>
      <c r="T142" s="2">
        <f>IF(COUNT('Turns'!E390,'Turns'!E405,'Turns'!E420,'Turns'!E435)=4,SUM('Turns'!E390,'Turns'!E405,'Turns'!E420,'Turns'!E435),"Unknown")</f>
        <v>0.000305093832</v>
      </c>
      <c r="U142" s="2">
        <f>IF(COUNT('Turns'!F390,'Turns'!F405,'Turns'!F420,'Turns'!F435)=4,SUM('Turns'!F390,'Turns'!F405,'Turns'!F420,'Turns'!F435),"Unknown")</f>
        <v>0.0003468</v>
      </c>
      <c r="V142" s="2">
        <v>0</v>
      </c>
      <c r="W142" s="2">
        <v>0</v>
      </c>
      <c r="X142" s="2">
        <v>0</v>
      </c>
      <c r="Y142" s="2">
        <f>IF(COUNT('Turns'!E394,'Turns'!E409,'Turns'!E424,'Turns'!E439)=4,SUM('Turns'!E394,'Turns'!E409,'Turns'!E424,'Turns'!E439),"Unknown")</f>
        <v>0.005195216596</v>
      </c>
      <c r="Z142" s="2">
        <f>IF(COUNT('Turns'!F394,'Turns'!F409,'Turns'!F424,'Turns'!F439)=4,SUM('Turns'!F394,'Turns'!F409,'Turns'!F424,'Turns'!F439),"Unknown")</f>
        <v>0.0059054</v>
      </c>
      <c r="AA142" s="5">
        <f>IF(ISNUMBER(Y142),ROUND(Y142*'Reference data'!$B$2,0),"Unknown")</f>
        <v>520.0</v>
      </c>
      <c r="AB142" s="5">
        <f>IF(ISNUMBER(Z142),ROUND(Z142*'Reference data'!$B$2,0),"Unknown")</f>
        <v>591.0</v>
      </c>
      <c r="AD142" s="1">
        <v>41.117</v>
      </c>
      <c r="AE142" s="1" t="s">
        <v>361</v>
      </c>
    </row>
    <row r="143" spans="1:31" ht="54" customHeight="1">
      <c r="A143" s="6" t="s">
        <v>368</v>
      </c>
      <c r="B143" s="1">
        <v>3</v>
      </c>
      <c r="C143" s="1" t="s">
        <v>359</v>
      </c>
      <c r="D143" s="1" t="s">
        <v>47</v>
      </c>
      <c r="E143" s="1" t="s">
        <v>141</v>
      </c>
      <c r="G143" s="6" t="s">
        <v>369</v>
      </c>
      <c r="H143" t="s">
        <v>504</v>
      </c>
      <c r="I143" t="s">
        <v>503</v>
      </c>
      <c r="J143" s="2">
        <f>IF(COUNT('Turns'!D385,'Turns'!D400,'Turns'!D415,'Turns'!D430)=4,SUM('Turns'!D385,'Turns'!D400,'Turns'!D415,'Turns'!D430),"Unknown")</f>
        <v>27793.0</v>
      </c>
      <c r="K143" s="2">
        <f>IF(COUNT('Turns'!E385,'Turns'!E400,'Turns'!E415,'Turns'!E430)=4,SUM('Turns'!E385,'Turns'!E400,'Turns'!E415,'Turns'!E430),"Unknown")</f>
        <v>0.004890122764</v>
      </c>
      <c r="L143" s="2">
        <f>IF(COUNT('Turns'!F385,'Turns'!F400,'Turns'!F415,'Turns'!F430)=4,SUM('Turns'!F385,'Turns'!F400,'Turns'!F415,'Turns'!F430),"Unknown")</f>
        <v>0.0055586</v>
      </c>
      <c r="M143" s="2">
        <f>IF(COUNT('Turns'!D384,'Turns'!D399,'Turns'!D414,'Turns'!D429)=4,SUM('Turns'!D384,'Turns'!D399,'Turns'!D414,'Turns'!D429),"Unknown")</f>
        <v>0.0</v>
      </c>
      <c r="N143" s="2">
        <f>IF(COUNT('Turns'!E384,'Turns'!E399,'Turns'!E414,'Turns'!E429)=4,SUM('Turns'!E384,'Turns'!E399,'Turns'!E414,'Turns'!E429),"Unknown")</f>
        <v>0.0</v>
      </c>
      <c r="O143" s="2">
        <f>IF(COUNT('Turns'!F384,'Turns'!F399,'Turns'!F414,'Turns'!F429)=4,SUM('Turns'!F384,'Turns'!F399,'Turns'!F414,'Turns'!F429),"Unknown")</f>
        <v>0.0</v>
      </c>
      <c r="P143" s="2">
        <v>0</v>
      </c>
      <c r="Q143" s="2">
        <v>0</v>
      </c>
      <c r="R143" s="2">
        <v>0</v>
      </c>
      <c r="S143" s="2">
        <f>IF(COUNT('Turns'!D390,'Turns'!D405,'Turns'!D420,'Turns'!D435)=4,SUM('Turns'!D390,'Turns'!D405,'Turns'!D420,'Turns'!D435),"Unknown")</f>
        <v>289.0</v>
      </c>
      <c r="T143" s="2">
        <f>IF(COUNT('Turns'!E390,'Turns'!E405,'Turns'!E420,'Turns'!E435)=4,SUM('Turns'!E390,'Turns'!E405,'Turns'!E420,'Turns'!E435),"Unknown")</f>
        <v>0.000305093832</v>
      </c>
      <c r="U143" s="2">
        <f>IF(COUNT('Turns'!F390,'Turns'!F405,'Turns'!F420,'Turns'!F435)=4,SUM('Turns'!F390,'Turns'!F405,'Turns'!F420,'Turns'!F435),"Unknown")</f>
        <v>0.0003468</v>
      </c>
      <c r="V143" s="2">
        <v>0</v>
      </c>
      <c r="W143" s="2">
        <v>0</v>
      </c>
      <c r="X143" s="2">
        <v>0</v>
      </c>
      <c r="Y143" s="2">
        <f>IF(COUNT('Turns'!E394,'Turns'!E409,'Turns'!E424,'Turns'!E439)=4,SUM('Turns'!E394,'Turns'!E409,'Turns'!E424,'Turns'!E439),"Unknown")</f>
        <v>0.005195216596</v>
      </c>
      <c r="Z143" s="2">
        <f>IF(COUNT('Turns'!F394,'Turns'!F409,'Turns'!F424,'Turns'!F439)=4,SUM('Turns'!F394,'Turns'!F409,'Turns'!F424,'Turns'!F439),"Unknown")</f>
        <v>0.0059054</v>
      </c>
      <c r="AA143" s="5">
        <f>IF(ISNUMBER(Y143),ROUND(Y143*'Reference data'!$B$2,0),"Unknown")</f>
        <v>520.0</v>
      </c>
      <c r="AB143" s="5">
        <f>IF(ISNUMBER(Z143),ROUND(Z143*'Reference data'!$B$2,0),"Unknown")</f>
        <v>591.0</v>
      </c>
      <c r="AD143" s="1">
        <v>40.379</v>
      </c>
      <c r="AE143" s="1" t="s">
        <v>361</v>
      </c>
    </row>
    <row r="144" spans="1:31" ht="54" customHeight="1">
      <c r="A144" s="6" t="s">
        <v>371</v>
      </c>
      <c r="B144" s="1">
        <v>4</v>
      </c>
      <c r="C144" s="1" t="s">
        <v>359</v>
      </c>
      <c r="D144" s="1" t="s">
        <v>47</v>
      </c>
      <c r="E144" s="1" t="s">
        <v>141</v>
      </c>
      <c r="G144" s="6" t="s">
        <v>372</v>
      </c>
      <c r="H144" t="s">
        <v>505</v>
      </c>
      <c r="I144" t="s">
        <v>504</v>
      </c>
      <c r="AD144" s="1">
        <v>0.638</v>
      </c>
      <c r="AE144" s="1" t="s">
        <v>374</v>
      </c>
    </row>
    <row r="145" spans="1:31" ht="54" customHeight="1">
      <c r="A145" s="6" t="s">
        <v>375</v>
      </c>
      <c r="B145" s="1">
        <v>4</v>
      </c>
      <c r="C145" s="1" t="s">
        <v>359</v>
      </c>
      <c r="D145" s="1" t="s">
        <v>47</v>
      </c>
      <c r="E145" s="1" t="s">
        <v>141</v>
      </c>
      <c r="G145" s="6" t="s">
        <v>376</v>
      </c>
      <c r="H145" t="s">
        <v>506</v>
      </c>
      <c r="I145" t="s">
        <v>504</v>
      </c>
      <c r="J145" s="2">
        <f>IF(COUNT('Turns'!D385)=1,SUM('Turns'!D385),"Unknown")</f>
        <v>6045.0</v>
      </c>
      <c r="K145" s="2">
        <f>IF(COUNT('Turns'!E385)=1,SUM('Turns'!E385),"Unknown")</f>
        <v>0.00106360566</v>
      </c>
      <c r="L145" s="2">
        <f>IF(COUNT('Turns'!F385)=1,SUM('Turns'!F385),"Unknown")</f>
        <v>0.001209</v>
      </c>
      <c r="M145" s="2">
        <f>IF(COUNT('Turns'!D384)=1,SUM('Turns'!D384),"Unknown")</f>
        <v>0.0</v>
      </c>
      <c r="N145" s="2">
        <f>IF(COUNT('Turns'!E384)=1,SUM('Turns'!E384),"Unknown")</f>
        <v>0.0</v>
      </c>
      <c r="O145" s="2">
        <f>IF(COUNT('Turns'!F384)=1,SUM('Turns'!F384),"Unknown")</f>
        <v>0.0</v>
      </c>
      <c r="P145" s="2">
        <v>0</v>
      </c>
      <c r="Q145" s="2">
        <v>0</v>
      </c>
      <c r="R145" s="2">
        <v>0</v>
      </c>
      <c r="S145" s="2">
        <f>IF(COUNT('Turns'!D390)=1,SUM('Turns'!D390),"Unknown")</f>
        <v>56.0</v>
      </c>
      <c r="T145" s="2">
        <f>IF(COUNT('Turns'!E390)=1,SUM('Turns'!E390),"Unknown")</f>
        <v>5.9118528e-05</v>
      </c>
      <c r="U145" s="2">
        <f>IF(COUNT('Turns'!F390)=1,SUM('Turns'!F390),"Unknown")</f>
        <v>6.72e-05</v>
      </c>
      <c r="V145" s="2">
        <v>0</v>
      </c>
      <c r="W145" s="2">
        <v>0</v>
      </c>
      <c r="X145" s="2">
        <v>0</v>
      </c>
      <c r="Y145" s="2">
        <f>IF(COUNT('Turns'!E394)=1,SUM('Turns'!E394),"Unknown")</f>
        <v>0.001122724188</v>
      </c>
      <c r="Z145" s="2">
        <f>IF(COUNT('Turns'!F394)=1,SUM('Turns'!F394),"Unknown")</f>
        <v>0.0012762</v>
      </c>
      <c r="AA145" s="5">
        <f>IF(ISNUMBER(Y145),ROUND(Y145*'Reference data'!$B$2,0),"Unknown")</f>
        <v>112.0</v>
      </c>
      <c r="AB145" s="5">
        <f>IF(ISNUMBER(Z145),ROUND(Z145*'Reference data'!$B$2,0),"Unknown")</f>
        <v>128.0</v>
      </c>
      <c r="AD145" s="1">
        <v>5.831</v>
      </c>
      <c r="AE145" s="1" t="s">
        <v>361</v>
      </c>
    </row>
    <row r="146" spans="1:31" ht="54" customHeight="1">
      <c r="A146" s="6" t="s">
        <v>378</v>
      </c>
      <c r="B146" s="1">
        <v>5</v>
      </c>
      <c r="C146" s="1" t="s">
        <v>379</v>
      </c>
      <c r="D146" s="1" t="s">
        <v>126</v>
      </c>
      <c r="E146" s="1" t="s">
        <v>141</v>
      </c>
      <c r="F146" s="1">
        <v>6045</v>
      </c>
      <c r="G146" s="6" t="s">
        <v>380</v>
      </c>
      <c r="H146" t="s">
        <v>270</v>
      </c>
      <c r="I146" t="s">
        <v>506</v>
      </c>
      <c r="J146" s="2">
        <f>IF(COUNT('Turns'!D385)=1,SUM('Turns'!D385),"Unknown")</f>
        <v>6045.0</v>
      </c>
      <c r="K146" s="2">
        <f>IF(COUNT('Turns'!E385)=1,SUM('Turns'!E385),"Unknown")</f>
        <v>0.00106360566</v>
      </c>
      <c r="L146" s="2">
        <f>IF(COUNT('Turns'!F385)=1,SUM('Turns'!F385),"Unknown")</f>
        <v>0.001209</v>
      </c>
      <c r="M146" s="2">
        <f>IF(COUNT('Turns'!D384)=1,SUM('Turns'!D384),"Unknown")</f>
        <v>0.0</v>
      </c>
      <c r="N146" s="2">
        <f>IF(COUNT('Turns'!E384)=1,SUM('Turns'!E384),"Unknown")</f>
        <v>0.0</v>
      </c>
      <c r="O146" s="2">
        <f>IF(COUNT('Turns'!F384)=1,SUM('Turns'!F384),"Unknown")</f>
        <v>0.0</v>
      </c>
      <c r="P146" s="2">
        <v>0</v>
      </c>
      <c r="Q146" s="2">
        <v>0</v>
      </c>
      <c r="R146" s="2">
        <v>0</v>
      </c>
      <c r="S146" s="2">
        <f>IF(COUNT('Turns'!D390)=1,SUM('Turns'!D390),"Unknown")</f>
        <v>56.0</v>
      </c>
      <c r="T146" s="2">
        <f>IF(COUNT('Turns'!E390)=1,SUM('Turns'!E390),"Unknown")</f>
        <v>5.9118528e-05</v>
      </c>
      <c r="U146" s="2">
        <f>IF(COUNT('Turns'!F390)=1,SUM('Turns'!F390),"Unknown")</f>
        <v>6.72e-05</v>
      </c>
      <c r="V146" s="2">
        <v>0</v>
      </c>
      <c r="W146" s="2">
        <v>0</v>
      </c>
      <c r="X146" s="2">
        <v>0</v>
      </c>
      <c r="Y146" s="2">
        <f>IF(COUNT('Turns'!E394)=1,SUM('Turns'!E394),"Unknown")</f>
        <v>0.001122724188</v>
      </c>
      <c r="Z146" s="2">
        <f>IF(COUNT('Turns'!F394)=1,SUM('Turns'!F394),"Unknown")</f>
        <v>0.0012762</v>
      </c>
      <c r="AA146" s="5">
        <f>IF(ISNUMBER(Y146),ROUND(Y146*'Reference data'!$B$2,0),"Unknown")</f>
        <v>112.0</v>
      </c>
      <c r="AB146" s="5">
        <f>IF(ISNUMBER(Z146),ROUND(Z146*'Reference data'!$B$2,0),"Unknown")</f>
        <v>128.0</v>
      </c>
      <c r="AC146" s="1" t="s">
        <v>269</v>
      </c>
      <c r="AD146" s="1">
        <v>3.498</v>
      </c>
      <c r="AE146" s="1" t="s">
        <v>381</v>
      </c>
    </row>
    <row r="147" spans="1:31" ht="54" customHeight="1">
      <c r="A147" s="6" t="s">
        <v>382</v>
      </c>
      <c r="B147" s="1">
        <v>4</v>
      </c>
      <c r="C147" s="1" t="s">
        <v>359</v>
      </c>
      <c r="D147" s="1" t="s">
        <v>47</v>
      </c>
      <c r="E147" s="1" t="s">
        <v>141</v>
      </c>
      <c r="G147" s="6" t="s">
        <v>383</v>
      </c>
      <c r="H147" t="s">
        <v>507</v>
      </c>
      <c r="I147" t="s">
        <v>504</v>
      </c>
      <c r="AD147" s="1">
        <v>1.796</v>
      </c>
      <c r="AE147" s="1" t="s">
        <v>374</v>
      </c>
    </row>
    <row r="148" spans="1:31" ht="54" customHeight="1">
      <c r="A148" s="6" t="s">
        <v>404</v>
      </c>
      <c r="B148" s="1">
        <v>5</v>
      </c>
      <c r="C148" s="1" t="s">
        <v>386</v>
      </c>
      <c r="D148" s="1" t="s">
        <v>47</v>
      </c>
      <c r="E148" s="1" t="s">
        <v>141</v>
      </c>
      <c r="G148" s="6" t="s">
        <v>405</v>
      </c>
      <c r="H148" t="s">
        <v>273</v>
      </c>
      <c r="I148" t="s">
        <v>507</v>
      </c>
      <c r="AD148" s="1">
        <v>0.805</v>
      </c>
      <c r="AE148" s="1" t="s">
        <v>374</v>
      </c>
    </row>
    <row r="149" spans="1:31" ht="54" customHeight="1">
      <c r="A149" s="6" t="s">
        <v>371</v>
      </c>
      <c r="B149" s="1">
        <v>4</v>
      </c>
      <c r="C149" s="1" t="s">
        <v>359</v>
      </c>
      <c r="D149" s="1" t="s">
        <v>47</v>
      </c>
      <c r="E149" s="1" t="s">
        <v>141</v>
      </c>
      <c r="G149" s="6" t="s">
        <v>372</v>
      </c>
      <c r="H149" t="s">
        <v>508</v>
      </c>
      <c r="I149" t="s">
        <v>504</v>
      </c>
      <c r="AD149" s="1">
        <v>0.631</v>
      </c>
      <c r="AE149" s="1" t="s">
        <v>374</v>
      </c>
    </row>
    <row r="150" spans="1:31" ht="54" customHeight="1">
      <c r="A150" s="6" t="s">
        <v>375</v>
      </c>
      <c r="B150" s="1">
        <v>4</v>
      </c>
      <c r="C150" s="1" t="s">
        <v>359</v>
      </c>
      <c r="D150" s="1" t="s">
        <v>47</v>
      </c>
      <c r="E150" s="1" t="s">
        <v>141</v>
      </c>
      <c r="G150" s="6" t="s">
        <v>376</v>
      </c>
      <c r="H150" t="s">
        <v>509</v>
      </c>
      <c r="I150" t="s">
        <v>504</v>
      </c>
      <c r="J150" s="2">
        <f>IF(COUNT('Turns'!D400)=1,SUM('Turns'!D400),"Unknown")</f>
        <v>6866.0</v>
      </c>
      <c r="K150" s="2">
        <f>IF(COUNT('Turns'!E400)=1,SUM('Turns'!E400),"Unknown")</f>
        <v>0.001208058968</v>
      </c>
      <c r="L150" s="2">
        <f>IF(COUNT('Turns'!F400)=1,SUM('Turns'!F400),"Unknown")</f>
        <v>0.0013732</v>
      </c>
      <c r="M150" s="2">
        <f>IF(COUNT('Turns'!D399)=1,SUM('Turns'!D399),"Unknown")</f>
        <v>0.0</v>
      </c>
      <c r="N150" s="2">
        <f>IF(COUNT('Turns'!E399)=1,SUM('Turns'!E399),"Unknown")</f>
        <v>0.0</v>
      </c>
      <c r="O150" s="2">
        <f>IF(COUNT('Turns'!F399)=1,SUM('Turns'!F399),"Unknown")</f>
        <v>0.0</v>
      </c>
      <c r="P150" s="2">
        <v>0</v>
      </c>
      <c r="Q150" s="2">
        <v>0</v>
      </c>
      <c r="R150" s="2">
        <v>0</v>
      </c>
      <c r="S150" s="2">
        <f>IF(COUNT('Turns'!D405)=1,SUM('Turns'!D405),"Unknown")</f>
        <v>112.0</v>
      </c>
      <c r="T150" s="2">
        <f>IF(COUNT('Turns'!E405)=1,SUM('Turns'!E405),"Unknown")</f>
        <v>0.000118237056</v>
      </c>
      <c r="U150" s="2">
        <f>IF(COUNT('Turns'!F405)=1,SUM('Turns'!F405),"Unknown")</f>
        <v>0.0001344</v>
      </c>
      <c r="V150" s="2">
        <v>0</v>
      </c>
      <c r="W150" s="2">
        <v>0</v>
      </c>
      <c r="X150" s="2">
        <v>0</v>
      </c>
      <c r="Y150" s="2">
        <f>IF(COUNT('Turns'!E409)=1,SUM('Turns'!E409),"Unknown")</f>
        <v>0.001326296024</v>
      </c>
      <c r="Z150" s="2">
        <f>IF(COUNT('Turns'!F409)=1,SUM('Turns'!F409),"Unknown")</f>
        <v>0.0015076</v>
      </c>
      <c r="AA150" s="5">
        <f>IF(ISNUMBER(Y150),ROUND(Y150*'Reference data'!$B$2,0),"Unknown")</f>
        <v>133.0</v>
      </c>
      <c r="AB150" s="5">
        <f>IF(ISNUMBER(Z150),ROUND(Z150*'Reference data'!$B$2,0),"Unknown")</f>
        <v>151.0</v>
      </c>
      <c r="AD150" s="1">
        <v>5.495</v>
      </c>
      <c r="AE150" s="1" t="s">
        <v>361</v>
      </c>
    </row>
    <row r="151" spans="1:31" ht="54" customHeight="1">
      <c r="A151" s="6" t="s">
        <v>378</v>
      </c>
      <c r="B151" s="1">
        <v>5</v>
      </c>
      <c r="C151" s="1" t="s">
        <v>379</v>
      </c>
      <c r="D151" s="1" t="s">
        <v>126</v>
      </c>
      <c r="E151" s="1" t="s">
        <v>141</v>
      </c>
      <c r="F151" s="1">
        <v>6866</v>
      </c>
      <c r="G151" s="6" t="s">
        <v>380</v>
      </c>
      <c r="H151" t="s">
        <v>275</v>
      </c>
      <c r="I151" t="s">
        <v>509</v>
      </c>
      <c r="J151" s="2">
        <f>IF(COUNT('Turns'!D400)=1,SUM('Turns'!D400),"Unknown")</f>
        <v>6866.0</v>
      </c>
      <c r="K151" s="2">
        <f>IF(COUNT('Turns'!E400)=1,SUM('Turns'!E400),"Unknown")</f>
        <v>0.001208058968</v>
      </c>
      <c r="L151" s="2">
        <f>IF(COUNT('Turns'!F400)=1,SUM('Turns'!F400),"Unknown")</f>
        <v>0.0013732</v>
      </c>
      <c r="M151" s="2">
        <f>IF(COUNT('Turns'!D399)=1,SUM('Turns'!D399),"Unknown")</f>
        <v>0.0</v>
      </c>
      <c r="N151" s="2">
        <f>IF(COUNT('Turns'!E399)=1,SUM('Turns'!E399),"Unknown")</f>
        <v>0.0</v>
      </c>
      <c r="O151" s="2">
        <f>IF(COUNT('Turns'!F399)=1,SUM('Turns'!F399),"Unknown")</f>
        <v>0.0</v>
      </c>
      <c r="P151" s="2">
        <v>0</v>
      </c>
      <c r="Q151" s="2">
        <v>0</v>
      </c>
      <c r="R151" s="2">
        <v>0</v>
      </c>
      <c r="S151" s="2">
        <f>IF(COUNT('Turns'!D405)=1,SUM('Turns'!D405),"Unknown")</f>
        <v>112.0</v>
      </c>
      <c r="T151" s="2">
        <f>IF(COUNT('Turns'!E405)=1,SUM('Turns'!E405),"Unknown")</f>
        <v>0.000118237056</v>
      </c>
      <c r="U151" s="2">
        <f>IF(COUNT('Turns'!F405)=1,SUM('Turns'!F405),"Unknown")</f>
        <v>0.0001344</v>
      </c>
      <c r="V151" s="2">
        <v>0</v>
      </c>
      <c r="W151" s="2">
        <v>0</v>
      </c>
      <c r="X151" s="2">
        <v>0</v>
      </c>
      <c r="Y151" s="2">
        <f>IF(COUNT('Turns'!E409)=1,SUM('Turns'!E409),"Unknown")</f>
        <v>0.001326296024</v>
      </c>
      <c r="Z151" s="2">
        <f>IF(COUNT('Turns'!F409)=1,SUM('Turns'!F409),"Unknown")</f>
        <v>0.0015076</v>
      </c>
      <c r="AA151" s="5">
        <f>IF(ISNUMBER(Y151),ROUND(Y151*'Reference data'!$B$2,0),"Unknown")</f>
        <v>133.0</v>
      </c>
      <c r="AB151" s="5">
        <f>IF(ISNUMBER(Z151),ROUND(Z151*'Reference data'!$B$2,0),"Unknown")</f>
        <v>151.0</v>
      </c>
      <c r="AC151" s="1" t="s">
        <v>274</v>
      </c>
      <c r="AD151" s="1">
        <v>3.44</v>
      </c>
      <c r="AE151" s="1" t="s">
        <v>381</v>
      </c>
    </row>
    <row r="152" spans="1:31" ht="54" customHeight="1">
      <c r="A152" s="6" t="s">
        <v>382</v>
      </c>
      <c r="B152" s="1">
        <v>4</v>
      </c>
      <c r="C152" s="1" t="s">
        <v>359</v>
      </c>
      <c r="D152" s="1" t="s">
        <v>47</v>
      </c>
      <c r="E152" s="1" t="s">
        <v>141</v>
      </c>
      <c r="G152" s="6" t="s">
        <v>383</v>
      </c>
      <c r="H152" t="s">
        <v>510</v>
      </c>
      <c r="I152" t="s">
        <v>504</v>
      </c>
      <c r="AD152" s="1">
        <v>2.667</v>
      </c>
      <c r="AE152" s="1" t="s">
        <v>374</v>
      </c>
    </row>
    <row r="153" spans="1:31" ht="54" customHeight="1">
      <c r="A153" s="6" t="s">
        <v>439</v>
      </c>
      <c r="B153" s="1">
        <v>5</v>
      </c>
      <c r="C153" s="1" t="s">
        <v>386</v>
      </c>
      <c r="D153" s="1" t="s">
        <v>47</v>
      </c>
      <c r="E153" s="1" t="s">
        <v>141</v>
      </c>
      <c r="G153" s="6" t="s">
        <v>440</v>
      </c>
      <c r="H153" t="s">
        <v>277</v>
      </c>
      <c r="I153" t="s">
        <v>510</v>
      </c>
      <c r="AD153" s="1">
        <v>1.453</v>
      </c>
      <c r="AE153" s="1" t="s">
        <v>374</v>
      </c>
    </row>
    <row r="154" spans="1:31" ht="54" customHeight="1">
      <c r="A154" s="6" t="s">
        <v>371</v>
      </c>
      <c r="B154" s="1">
        <v>4</v>
      </c>
      <c r="C154" s="1" t="s">
        <v>359</v>
      </c>
      <c r="D154" s="1" t="s">
        <v>47</v>
      </c>
      <c r="E154" s="1" t="s">
        <v>141</v>
      </c>
      <c r="G154" s="6" t="s">
        <v>372</v>
      </c>
      <c r="H154" t="s">
        <v>511</v>
      </c>
      <c r="I154" t="s">
        <v>504</v>
      </c>
      <c r="AD154" s="1">
        <v>0.761</v>
      </c>
      <c r="AE154" s="1" t="s">
        <v>374</v>
      </c>
    </row>
    <row r="155" spans="1:31" ht="54" customHeight="1">
      <c r="A155" s="6" t="s">
        <v>375</v>
      </c>
      <c r="B155" s="1">
        <v>4</v>
      </c>
      <c r="C155" s="1" t="s">
        <v>359</v>
      </c>
      <c r="D155" s="1" t="s">
        <v>47</v>
      </c>
      <c r="E155" s="1" t="s">
        <v>141</v>
      </c>
      <c r="G155" s="6" t="s">
        <v>376</v>
      </c>
      <c r="H155" t="s">
        <v>512</v>
      </c>
      <c r="I155" t="s">
        <v>504</v>
      </c>
      <c r="J155" s="2">
        <f>IF(COUNT('Turns'!D415)=1,SUM('Turns'!D415),"Unknown")</f>
        <v>7020.0</v>
      </c>
      <c r="K155" s="2">
        <f>IF(COUNT('Turns'!E415)=1,SUM('Turns'!E415),"Unknown")</f>
        <v>0.00123515496</v>
      </c>
      <c r="L155" s="2">
        <f>IF(COUNT('Turns'!F415)=1,SUM('Turns'!F415),"Unknown")</f>
        <v>0.001404</v>
      </c>
      <c r="M155" s="2">
        <f>IF(COUNT('Turns'!D414)=1,SUM('Turns'!D414),"Unknown")</f>
        <v>0.0</v>
      </c>
      <c r="N155" s="2">
        <f>IF(COUNT('Turns'!E414)=1,SUM('Turns'!E414),"Unknown")</f>
        <v>0.0</v>
      </c>
      <c r="O155" s="2">
        <f>IF(COUNT('Turns'!F414)=1,SUM('Turns'!F414),"Unknown")</f>
        <v>0.0</v>
      </c>
      <c r="P155" s="2">
        <v>0</v>
      </c>
      <c r="Q155" s="2">
        <v>0</v>
      </c>
      <c r="R155" s="2">
        <v>0</v>
      </c>
      <c r="S155" s="2">
        <f>IF(COUNT('Turns'!D420)=1,SUM('Turns'!D420),"Unknown")</f>
        <v>56.0</v>
      </c>
      <c r="T155" s="2">
        <f>IF(COUNT('Turns'!E420)=1,SUM('Turns'!E420),"Unknown")</f>
        <v>5.9118528e-05</v>
      </c>
      <c r="U155" s="2">
        <f>IF(COUNT('Turns'!F420)=1,SUM('Turns'!F420),"Unknown")</f>
        <v>6.72e-05</v>
      </c>
      <c r="V155" s="2">
        <v>0</v>
      </c>
      <c r="W155" s="2">
        <v>0</v>
      </c>
      <c r="X155" s="2">
        <v>0</v>
      </c>
      <c r="Y155" s="2">
        <f>IF(COUNT('Turns'!E424)=1,SUM('Turns'!E424),"Unknown")</f>
        <v>0.001294273488</v>
      </c>
      <c r="Z155" s="2">
        <f>IF(COUNT('Turns'!F424)=1,SUM('Turns'!F424),"Unknown")</f>
        <v>0.0014712</v>
      </c>
      <c r="AA155" s="5">
        <f>IF(ISNUMBER(Y155),ROUND(Y155*'Reference data'!$B$2,0),"Unknown")</f>
        <v>129.0</v>
      </c>
      <c r="AB155" s="5">
        <f>IF(ISNUMBER(Z155),ROUND(Z155*'Reference data'!$B$2,0),"Unknown")</f>
        <v>147.0</v>
      </c>
      <c r="AD155" s="1">
        <v>6.193</v>
      </c>
      <c r="AE155" s="1" t="s">
        <v>361</v>
      </c>
    </row>
    <row r="156" spans="1:31" ht="54" customHeight="1">
      <c r="A156" s="6" t="s">
        <v>378</v>
      </c>
      <c r="B156" s="1">
        <v>5</v>
      </c>
      <c r="C156" s="1" t="s">
        <v>379</v>
      </c>
      <c r="D156" s="1" t="s">
        <v>126</v>
      </c>
      <c r="E156" s="1" t="s">
        <v>141</v>
      </c>
      <c r="F156" s="1">
        <v>7020</v>
      </c>
      <c r="G156" s="6" t="s">
        <v>380</v>
      </c>
      <c r="H156" t="s">
        <v>280</v>
      </c>
      <c r="I156" t="s">
        <v>512</v>
      </c>
      <c r="J156" s="2">
        <f>IF(COUNT('Turns'!D415)=1,SUM('Turns'!D415),"Unknown")</f>
        <v>7020.0</v>
      </c>
      <c r="K156" s="2">
        <f>IF(COUNT('Turns'!E415)=1,SUM('Turns'!E415),"Unknown")</f>
        <v>0.00123515496</v>
      </c>
      <c r="L156" s="2">
        <f>IF(COUNT('Turns'!F415)=1,SUM('Turns'!F415),"Unknown")</f>
        <v>0.001404</v>
      </c>
      <c r="M156" s="2">
        <f>IF(COUNT('Turns'!D414)=1,SUM('Turns'!D414),"Unknown")</f>
        <v>0.0</v>
      </c>
      <c r="N156" s="2">
        <f>IF(COUNT('Turns'!E414)=1,SUM('Turns'!E414),"Unknown")</f>
        <v>0.0</v>
      </c>
      <c r="O156" s="2">
        <f>IF(COUNT('Turns'!F414)=1,SUM('Turns'!F414),"Unknown")</f>
        <v>0.0</v>
      </c>
      <c r="P156" s="2">
        <v>0</v>
      </c>
      <c r="Q156" s="2">
        <v>0</v>
      </c>
      <c r="R156" s="2">
        <v>0</v>
      </c>
      <c r="S156" s="2">
        <f>IF(COUNT('Turns'!D420)=1,SUM('Turns'!D420),"Unknown")</f>
        <v>56.0</v>
      </c>
      <c r="T156" s="2">
        <f>IF(COUNT('Turns'!E420)=1,SUM('Turns'!E420),"Unknown")</f>
        <v>5.9118528e-05</v>
      </c>
      <c r="U156" s="2">
        <f>IF(COUNT('Turns'!F420)=1,SUM('Turns'!F420),"Unknown")</f>
        <v>6.72e-05</v>
      </c>
      <c r="V156" s="2">
        <v>0</v>
      </c>
      <c r="W156" s="2">
        <v>0</v>
      </c>
      <c r="X156" s="2">
        <v>0</v>
      </c>
      <c r="Y156" s="2">
        <f>IF(COUNT('Turns'!E424)=1,SUM('Turns'!E424),"Unknown")</f>
        <v>0.001294273488</v>
      </c>
      <c r="Z156" s="2">
        <f>IF(COUNT('Turns'!F424)=1,SUM('Turns'!F424),"Unknown")</f>
        <v>0.0014712</v>
      </c>
      <c r="AA156" s="5">
        <f>IF(ISNUMBER(Y156),ROUND(Y156*'Reference data'!$B$2,0),"Unknown")</f>
        <v>129.0</v>
      </c>
      <c r="AB156" s="5">
        <f>IF(ISNUMBER(Z156),ROUND(Z156*'Reference data'!$B$2,0),"Unknown")</f>
        <v>147.0</v>
      </c>
      <c r="AC156" s="1" t="s">
        <v>279</v>
      </c>
      <c r="AD156" s="1">
        <v>3.655</v>
      </c>
      <c r="AE156" s="1" t="s">
        <v>381</v>
      </c>
    </row>
    <row r="157" spans="1:31" ht="54" customHeight="1">
      <c r="A157" s="6" t="s">
        <v>382</v>
      </c>
      <c r="B157" s="1">
        <v>4</v>
      </c>
      <c r="C157" s="1" t="s">
        <v>359</v>
      </c>
      <c r="D157" s="1" t="s">
        <v>47</v>
      </c>
      <c r="E157" s="1" t="s">
        <v>141</v>
      </c>
      <c r="G157" s="6" t="s">
        <v>383</v>
      </c>
      <c r="H157" t="s">
        <v>513</v>
      </c>
      <c r="I157" t="s">
        <v>504</v>
      </c>
      <c r="AD157" s="1">
        <v>3.074</v>
      </c>
      <c r="AE157" s="1" t="s">
        <v>374</v>
      </c>
    </row>
    <row r="158" spans="1:31" ht="54" customHeight="1">
      <c r="A158" s="6" t="s">
        <v>404</v>
      </c>
      <c r="B158" s="1">
        <v>5</v>
      </c>
      <c r="C158" s="1" t="s">
        <v>386</v>
      </c>
      <c r="D158" s="1" t="s">
        <v>47</v>
      </c>
      <c r="E158" s="1" t="s">
        <v>141</v>
      </c>
      <c r="G158" s="6" t="s">
        <v>405</v>
      </c>
      <c r="H158" t="s">
        <v>282</v>
      </c>
      <c r="I158" t="s">
        <v>513</v>
      </c>
      <c r="AD158" s="1">
        <v>1.835</v>
      </c>
      <c r="AE158" s="1" t="s">
        <v>374</v>
      </c>
    </row>
    <row r="159" spans="1:31" ht="54" customHeight="1">
      <c r="A159" s="6" t="s">
        <v>371</v>
      </c>
      <c r="B159" s="1">
        <v>4</v>
      </c>
      <c r="C159" s="1" t="s">
        <v>359</v>
      </c>
      <c r="D159" s="1" t="s">
        <v>47</v>
      </c>
      <c r="E159" s="1" t="s">
        <v>141</v>
      </c>
      <c r="G159" s="6" t="s">
        <v>372</v>
      </c>
      <c r="H159" t="s">
        <v>514</v>
      </c>
      <c r="I159" t="s">
        <v>504</v>
      </c>
      <c r="AD159" s="1">
        <v>0.666</v>
      </c>
      <c r="AE159" s="1" t="s">
        <v>374</v>
      </c>
    </row>
    <row r="160" spans="1:31" ht="54" customHeight="1">
      <c r="A160" s="6" t="s">
        <v>375</v>
      </c>
      <c r="B160" s="1">
        <v>4</v>
      </c>
      <c r="C160" s="1" t="s">
        <v>359</v>
      </c>
      <c r="D160" s="1" t="s">
        <v>47</v>
      </c>
      <c r="E160" s="1" t="s">
        <v>141</v>
      </c>
      <c r="G160" s="6" t="s">
        <v>376</v>
      </c>
      <c r="H160" t="s">
        <v>515</v>
      </c>
      <c r="I160" t="s">
        <v>504</v>
      </c>
      <c r="J160" s="2">
        <f>IF(COUNT('Turns'!D430)=1,SUM('Turns'!D430),"Unknown")</f>
        <v>7862.0</v>
      </c>
      <c r="K160" s="2">
        <f>IF(COUNT('Turns'!E430)=1,SUM('Turns'!E430),"Unknown")</f>
        <v>0.001383303176</v>
      </c>
      <c r="L160" s="2">
        <f>IF(COUNT('Turns'!F430)=1,SUM('Turns'!F430),"Unknown")</f>
        <v>0.0015724</v>
      </c>
      <c r="M160" s="2">
        <f>IF(COUNT('Turns'!D429)=1,SUM('Turns'!D429),"Unknown")</f>
        <v>0.0</v>
      </c>
      <c r="N160" s="2">
        <f>IF(COUNT('Turns'!E429)=1,SUM('Turns'!E429),"Unknown")</f>
        <v>0.0</v>
      </c>
      <c r="O160" s="2">
        <f>IF(COUNT('Turns'!F429)=1,SUM('Turns'!F429),"Unknown")</f>
        <v>0.0</v>
      </c>
      <c r="P160" s="2">
        <v>0</v>
      </c>
      <c r="Q160" s="2">
        <v>0</v>
      </c>
      <c r="R160" s="2">
        <v>0</v>
      </c>
      <c r="S160" s="2">
        <f>IF(COUNT('Turns'!D435)=1,SUM('Turns'!D435),"Unknown")</f>
        <v>65.0</v>
      </c>
      <c r="T160" s="2">
        <f>IF(COUNT('Turns'!E435)=1,SUM('Turns'!E435),"Unknown")</f>
        <v>6.861972e-05</v>
      </c>
      <c r="U160" s="2">
        <f>IF(COUNT('Turns'!F435)=1,SUM('Turns'!F435),"Unknown")</f>
        <v>7.8e-05</v>
      </c>
      <c r="V160" s="2">
        <v>0</v>
      </c>
      <c r="W160" s="2">
        <v>0</v>
      </c>
      <c r="X160" s="2">
        <v>0</v>
      </c>
      <c r="Y160" s="2">
        <f>IF(COUNT('Turns'!E439)=1,SUM('Turns'!E439),"Unknown")</f>
        <v>0.001451922896</v>
      </c>
      <c r="Z160" s="2">
        <f>IF(COUNT('Turns'!F439)=1,SUM('Turns'!F439),"Unknown")</f>
        <v>0.0016504</v>
      </c>
      <c r="AA160" s="5">
        <f>IF(ISNUMBER(Y160),ROUND(Y160*'Reference data'!$B$2,0),"Unknown")</f>
        <v>145.0</v>
      </c>
      <c r="AB160" s="5">
        <f>IF(ISNUMBER(Z160),ROUND(Z160*'Reference data'!$B$2,0),"Unknown")</f>
        <v>165.0</v>
      </c>
      <c r="AD160" s="1">
        <v>5.212</v>
      </c>
      <c r="AE160" s="1" t="s">
        <v>361</v>
      </c>
    </row>
    <row r="161" spans="1:31" ht="54" customHeight="1">
      <c r="A161" s="6" t="s">
        <v>378</v>
      </c>
      <c r="B161" s="1">
        <v>5</v>
      </c>
      <c r="C161" s="1" t="s">
        <v>379</v>
      </c>
      <c r="D161" s="1" t="s">
        <v>126</v>
      </c>
      <c r="E161" s="1" t="s">
        <v>141</v>
      </c>
      <c r="F161" s="1">
        <v>7862</v>
      </c>
      <c r="G161" s="6" t="s">
        <v>380</v>
      </c>
      <c r="H161" t="s">
        <v>285</v>
      </c>
      <c r="I161" t="s">
        <v>515</v>
      </c>
      <c r="J161" s="2">
        <f>IF(COUNT('Turns'!D430)=1,SUM('Turns'!D430),"Unknown")</f>
        <v>7862.0</v>
      </c>
      <c r="K161" s="2">
        <f>IF(COUNT('Turns'!E430)=1,SUM('Turns'!E430),"Unknown")</f>
        <v>0.001383303176</v>
      </c>
      <c r="L161" s="2">
        <f>IF(COUNT('Turns'!F430)=1,SUM('Turns'!F430),"Unknown")</f>
        <v>0.0015724</v>
      </c>
      <c r="M161" s="2">
        <f>IF(COUNT('Turns'!D429)=1,SUM('Turns'!D429),"Unknown")</f>
        <v>0.0</v>
      </c>
      <c r="N161" s="2">
        <f>IF(COUNT('Turns'!E429)=1,SUM('Turns'!E429),"Unknown")</f>
        <v>0.0</v>
      </c>
      <c r="O161" s="2">
        <f>IF(COUNT('Turns'!F429)=1,SUM('Turns'!F429),"Unknown")</f>
        <v>0.0</v>
      </c>
      <c r="P161" s="2">
        <v>0</v>
      </c>
      <c r="Q161" s="2">
        <v>0</v>
      </c>
      <c r="R161" s="2">
        <v>0</v>
      </c>
      <c r="S161" s="2">
        <f>IF(COUNT('Turns'!D435)=1,SUM('Turns'!D435),"Unknown")</f>
        <v>65.0</v>
      </c>
      <c r="T161" s="2">
        <f>IF(COUNT('Turns'!E435)=1,SUM('Turns'!E435),"Unknown")</f>
        <v>6.861972e-05</v>
      </c>
      <c r="U161" s="2">
        <f>IF(COUNT('Turns'!F435)=1,SUM('Turns'!F435),"Unknown")</f>
        <v>7.8e-05</v>
      </c>
      <c r="V161" s="2">
        <v>0</v>
      </c>
      <c r="W161" s="2">
        <v>0</v>
      </c>
      <c r="X161" s="2">
        <v>0</v>
      </c>
      <c r="Y161" s="2">
        <f>IF(COUNT('Turns'!E439)=1,SUM('Turns'!E439),"Unknown")</f>
        <v>0.001451922896</v>
      </c>
      <c r="Z161" s="2">
        <f>IF(COUNT('Turns'!F439)=1,SUM('Turns'!F439),"Unknown")</f>
        <v>0.0016504</v>
      </c>
      <c r="AA161" s="5">
        <f>IF(ISNUMBER(Y161),ROUND(Y161*'Reference data'!$B$2,0),"Unknown")</f>
        <v>145.0</v>
      </c>
      <c r="AB161" s="5">
        <f>IF(ISNUMBER(Z161),ROUND(Z161*'Reference data'!$B$2,0),"Unknown")</f>
        <v>165.0</v>
      </c>
      <c r="AC161" s="1" t="s">
        <v>284</v>
      </c>
      <c r="AD161" s="1">
        <v>3.203</v>
      </c>
      <c r="AE161" s="1" t="s">
        <v>381</v>
      </c>
    </row>
    <row r="162" spans="1:31" ht="54" customHeight="1">
      <c r="A162" s="6" t="s">
        <v>390</v>
      </c>
      <c r="B162" s="1">
        <v>2</v>
      </c>
      <c r="C162" s="1" t="s">
        <v>359</v>
      </c>
      <c r="D162" s="1" t="s">
        <v>47</v>
      </c>
      <c r="E162" s="1" t="s">
        <v>141</v>
      </c>
      <c r="G162" s="6" t="s">
        <v>391</v>
      </c>
      <c r="H162" t="s">
        <v>516</v>
      </c>
      <c r="I162" t="s">
        <v>502</v>
      </c>
      <c r="AD162" s="1">
        <v>0.266</v>
      </c>
      <c r="AE162" s="1" t="s">
        <v>374</v>
      </c>
    </row>
    <row r="163" spans="1:31" ht="54" customHeight="1">
      <c r="A163" s="6" t="s">
        <v>517</v>
      </c>
      <c r="B163" s="1">
        <v>1</v>
      </c>
      <c r="C163" s="1" t="s">
        <v>359</v>
      </c>
      <c r="D163" s="1" t="s">
        <v>47</v>
      </c>
      <c r="E163" s="1" t="s">
        <v>141</v>
      </c>
      <c r="G163" s="6" t="s">
        <v>518</v>
      </c>
      <c r="H163" t="s">
        <v>519</v>
      </c>
      <c r="I163" t="s">
        <v>49</v>
      </c>
      <c r="AD163" s="1">
        <v>0.329</v>
      </c>
      <c r="AE163" s="1" t="s">
        <v>374</v>
      </c>
    </row>
    <row r="164" spans="1:31" ht="54" customHeight="1">
      <c r="A164" s="6" t="s">
        <v>358</v>
      </c>
      <c r="B164" s="1">
        <v>0</v>
      </c>
      <c r="C164" s="1" t="s">
        <v>359</v>
      </c>
      <c r="D164" s="1" t="s">
        <v>47</v>
      </c>
      <c r="E164" s="1" t="s">
        <v>141</v>
      </c>
      <c r="G164" s="6" t="s">
        <v>360</v>
      </c>
      <c r="H164" t="s">
        <v>520</v>
      </c>
      <c r="J164" s="2">
        <f>IF(COUNT('Turns'!D443,'Turns'!D458,'Turns'!D471,'Turns'!D486,'Turns'!D498,'Turns'!D513,'Turns'!D528,'Turns'!D543,'Turns'!D555,'Turns'!D569,'Turns'!D584,'Turns'!D599,'Turns'!D611,'Turns'!D626,'Turns'!D641,'Turns'!D656,'Turns'!D667)=17,SUM('Turns'!D443,'Turns'!D458,'Turns'!D471,'Turns'!D486,'Turns'!D498,'Turns'!D513,'Turns'!D528,'Turns'!D543,'Turns'!D555,'Turns'!D569,'Turns'!D584,'Turns'!D599,'Turns'!D611,'Turns'!D626,'Turns'!D641,'Turns'!D656,'Turns'!D667),"Unknown")</f>
        <v>79981.0</v>
      </c>
      <c r="K164" s="2">
        <f>IF(COUNT('Turns'!E443,'Turns'!E458,'Turns'!E471,'Turns'!E486,'Turns'!E498,'Turns'!E513,'Turns'!E528,'Turns'!E543,'Turns'!E555,'Turns'!E569,'Turns'!E584,'Turns'!E599,'Turns'!E611,'Turns'!E626,'Turns'!E641,'Turns'!E656,'Turns'!E667)=17,SUM('Turns'!E443,'Turns'!E458,'Turns'!E471,'Turns'!E486,'Turns'!E498,'Turns'!E513,'Turns'!E528,'Turns'!E543,'Turns'!E555,'Turns'!E569,'Turns'!E584,'Turns'!E599,'Turns'!E611,'Turns'!E626,'Turns'!E641,'Turns'!E656,'Turns'!E667),"Unknown")</f>
        <v>0.014072496988</v>
      </c>
      <c r="L164" s="2">
        <f>IF(COUNT('Turns'!F443,'Turns'!F458,'Turns'!F471,'Turns'!F486,'Turns'!F498,'Turns'!F513,'Turns'!F528,'Turns'!F543,'Turns'!F555,'Turns'!F569,'Turns'!F584,'Turns'!F599,'Turns'!F611,'Turns'!F626,'Turns'!F641,'Turns'!F656,'Turns'!F667)=17,SUM('Turns'!F443,'Turns'!F458,'Turns'!F471,'Turns'!F486,'Turns'!F498,'Turns'!F513,'Turns'!F528,'Turns'!F543,'Turns'!F555,'Turns'!F569,'Turns'!F584,'Turns'!F599,'Turns'!F611,'Turns'!F626,'Turns'!F641,'Turns'!F656,'Turns'!F667),"Unknown")</f>
        <v>0.0159962</v>
      </c>
      <c r="M164" s="2">
        <f>IF(COUNT('Turns'!D442,'Turns'!D470,'Turns'!D485,'Turns'!D497,'Turns'!D512,'Turns'!D527,'Turns'!D542,'Turns'!D554,'Turns'!D568,'Turns'!D583,'Turns'!D598,'Turns'!D610,'Turns'!D625,'Turns'!D640,'Turns'!D655,'Turns'!D666)=16,SUM('Turns'!D442,'Turns'!D470,'Turns'!D485,'Turns'!D497,'Turns'!D512,'Turns'!D527,'Turns'!D542,'Turns'!D554,'Turns'!D568,'Turns'!D583,'Turns'!D598,'Turns'!D610,'Turns'!D625,'Turns'!D640,'Turns'!D655,'Turns'!D666),"Unknown")</f>
        <v>0.0</v>
      </c>
      <c r="N164" s="2">
        <f>IF(COUNT('Turns'!E442,'Turns'!E470,'Turns'!E485,'Turns'!E497,'Turns'!E512,'Turns'!E527,'Turns'!E542,'Turns'!E554,'Turns'!E568,'Turns'!E583,'Turns'!E598,'Turns'!E610,'Turns'!E625,'Turns'!E640,'Turns'!E655,'Turns'!E666)=16,SUM('Turns'!E442,'Turns'!E470,'Turns'!E485,'Turns'!E497,'Turns'!E512,'Turns'!E527,'Turns'!E542,'Turns'!E554,'Turns'!E568,'Turns'!E583,'Turns'!E598,'Turns'!E610,'Turns'!E625,'Turns'!E640,'Turns'!E655,'Turns'!E666),"Unknown")</f>
        <v>0.0</v>
      </c>
      <c r="O164" s="2">
        <f>IF(COUNT('Turns'!F442,'Turns'!F470,'Turns'!F485,'Turns'!F497,'Turns'!F512,'Turns'!F527,'Turns'!F542,'Turns'!F554,'Turns'!F568,'Turns'!F583,'Turns'!F598,'Turns'!F610,'Turns'!F625,'Turns'!F640,'Turns'!F655,'Turns'!F666)=16,SUM('Turns'!F442,'Turns'!F470,'Turns'!F485,'Turns'!F497,'Turns'!F512,'Turns'!F527,'Turns'!F542,'Turns'!F554,'Turns'!F568,'Turns'!F583,'Turns'!F598,'Turns'!F610,'Turns'!F625,'Turns'!F640,'Turns'!F655,'Turns'!F666),"Unknown")</f>
        <v>0.0</v>
      </c>
      <c r="P164" s="2">
        <v>0</v>
      </c>
      <c r="Q164" s="2">
        <v>0</v>
      </c>
      <c r="R164" s="2">
        <v>0</v>
      </c>
      <c r="S164" s="2">
        <f>IF(COUNT('Turns'!D449,'Turns'!D464,'Turns'!D476,'Turns'!D491,'Turns'!D503,'Turns'!D518,'Turns'!D533,'Turns'!D548,'Turns'!D559,'Turns'!D574,'Turns'!D589,'Turns'!D604,'Turns'!D616,'Turns'!D631,'Turns'!D646,'Turns'!D660,'Turns'!D672)=17,SUM('Turns'!D449,'Turns'!D464,'Turns'!D476,'Turns'!D491,'Turns'!D503,'Turns'!D518,'Turns'!D533,'Turns'!D548,'Turns'!D559,'Turns'!D574,'Turns'!D589,'Turns'!D604,'Turns'!D616,'Turns'!D631,'Turns'!D646,'Turns'!D660,'Turns'!D672),"Unknown")</f>
        <v>1209.0</v>
      </c>
      <c r="T164" s="2">
        <f>IF(COUNT('Turns'!E449,'Turns'!E464,'Turns'!E476,'Turns'!E491,'Turns'!E503,'Turns'!E518,'Turns'!E533,'Turns'!E548,'Turns'!E559,'Turns'!E574,'Turns'!E589,'Turns'!E604,'Turns'!E616,'Turns'!E631,'Turns'!E646,'Turns'!E660,'Turns'!E672)=17,SUM('Turns'!E449,'Turns'!E464,'Turns'!E476,'Turns'!E491,'Turns'!E503,'Turns'!E518,'Turns'!E533,'Turns'!E548,'Turns'!E559,'Turns'!E574,'Turns'!E589,'Turns'!E604,'Turns'!E616,'Turns'!E631,'Turns'!E646,'Turns'!E660,'Turns'!E672),"Unknown")</f>
        <v>0.001276326792</v>
      </c>
      <c r="U164" s="2">
        <f>IF(COUNT('Turns'!F449,'Turns'!F464,'Turns'!F476,'Turns'!F491,'Turns'!F503,'Turns'!F518,'Turns'!F533,'Turns'!F548,'Turns'!F559,'Turns'!F574,'Turns'!F589,'Turns'!F604,'Turns'!F616,'Turns'!F631,'Turns'!F646,'Turns'!F660,'Turns'!F672)=17,SUM('Turns'!F449,'Turns'!F464,'Turns'!F476,'Turns'!F491,'Turns'!F503,'Turns'!F518,'Turns'!F533,'Turns'!F548,'Turns'!F559,'Turns'!F574,'Turns'!F589,'Turns'!F604,'Turns'!F616,'Turns'!F631,'Turns'!F646,'Turns'!F660,'Turns'!F672),"Unknown")</f>
        <v>0.0014508</v>
      </c>
      <c r="V164" s="2">
        <v>0</v>
      </c>
      <c r="W164" s="2">
        <v>0</v>
      </c>
      <c r="X164" s="2">
        <v>0</v>
      </c>
      <c r="Y164" s="2">
        <f>IF(COUNT('Turns'!E453,'Turns'!E468,'Turns'!E480,'Turns'!E495,'Turns'!E507,'Turns'!E522,'Turns'!E537,'Turns'!E552,'Turns'!E563,'Turns'!E578,'Turns'!E593,'Turns'!E608,'Turns'!E620,'Turns'!E635,'Turns'!E650,'Turns'!E664,'Turns'!E676)=17,SUM('Turns'!E453,'Turns'!E468,'Turns'!E480,'Turns'!E495,'Turns'!E507,'Turns'!E522,'Turns'!E537,'Turns'!E552,'Turns'!E563,'Turns'!E578,'Turns'!E593,'Turns'!E608,'Turns'!E620,'Turns'!E635,'Turns'!E650,'Turns'!E664,'Turns'!E676),"Unknown")</f>
        <v>0.01534882378</v>
      </c>
      <c r="Z164" s="2">
        <f>IF(COUNT('Turns'!F453,'Turns'!F468,'Turns'!F480,'Turns'!F495,'Turns'!F507,'Turns'!F522,'Turns'!F537,'Turns'!F552,'Turns'!F563,'Turns'!F578,'Turns'!F593,'Turns'!F608,'Turns'!F620,'Turns'!F635,'Turns'!F650,'Turns'!F664,'Turns'!F676)=17,SUM('Turns'!F453,'Turns'!F468,'Turns'!F480,'Turns'!F495,'Turns'!F507,'Turns'!F522,'Turns'!F537,'Turns'!F552,'Turns'!F563,'Turns'!F578,'Turns'!F593,'Turns'!F608,'Turns'!F620,'Turns'!F635,'Turns'!F650,'Turns'!F664,'Turns'!F676),"Unknown")</f>
        <v>0.017447</v>
      </c>
      <c r="AA164" s="5">
        <f>IF(ISNUMBER(Y164),ROUND(Y164*'Reference data'!$B$2,0),"Unknown")</f>
        <v>1535.0</v>
      </c>
      <c r="AB164" s="5">
        <f>IF(ISNUMBER(Z164),ROUND(Z164*'Reference data'!$B$2,0),"Unknown")</f>
        <v>1745.0</v>
      </c>
      <c r="AD164" s="1">
        <v>240.949</v>
      </c>
      <c r="AE164" s="1" t="s">
        <v>361</v>
      </c>
    </row>
    <row r="165" spans="1:31" ht="54" customHeight="1">
      <c r="A165" s="6" t="s">
        <v>362</v>
      </c>
      <c r="B165" s="1">
        <v>1</v>
      </c>
      <c r="C165" s="1" t="s">
        <v>359</v>
      </c>
      <c r="D165" s="1" t="s">
        <v>47</v>
      </c>
      <c r="E165" s="1" t="s">
        <v>141</v>
      </c>
      <c r="G165" s="6" t="s">
        <v>363</v>
      </c>
      <c r="H165" t="s">
        <v>521</v>
      </c>
      <c r="I165" t="s">
        <v>520</v>
      </c>
      <c r="J165" s="2">
        <f>IF(COUNT('Turns'!D443,'Turns'!D458,'Turns'!D471,'Turns'!D486)=4,SUM('Turns'!D443,'Turns'!D458,'Turns'!D471,'Turns'!D486),"Unknown")</f>
        <v>19871.0</v>
      </c>
      <c r="K165" s="2">
        <f>IF(COUNT('Turns'!E443,'Turns'!E458,'Turns'!E471,'Turns'!E486)=4,SUM('Turns'!E443,'Turns'!E458,'Turns'!E471,'Turns'!E486),"Unknown")</f>
        <v>0.003496262708</v>
      </c>
      <c r="L165" s="2">
        <f>IF(COUNT('Turns'!F443,'Turns'!F458,'Turns'!F471,'Turns'!F486)=4,SUM('Turns'!F443,'Turns'!F458,'Turns'!F471,'Turns'!F486),"Unknown")</f>
        <v>0.0039742</v>
      </c>
      <c r="M165" s="2">
        <f>IF(COUNT('Turns'!D442,'Turns'!D470,'Turns'!D485)=3,SUM('Turns'!D442,'Turns'!D470,'Turns'!D485),"Unknown")</f>
        <v>0.0</v>
      </c>
      <c r="N165" s="2">
        <f>IF(COUNT('Turns'!E442,'Turns'!E470,'Turns'!E485)=3,SUM('Turns'!E442,'Turns'!E470,'Turns'!E485),"Unknown")</f>
        <v>0.0</v>
      </c>
      <c r="O165" s="2">
        <f>IF(COUNT('Turns'!F442,'Turns'!F470,'Turns'!F485)=3,SUM('Turns'!F442,'Turns'!F470,'Turns'!F485),"Unknown")</f>
        <v>0.0</v>
      </c>
      <c r="P165" s="2">
        <v>0</v>
      </c>
      <c r="Q165" s="2">
        <v>0</v>
      </c>
      <c r="R165" s="2">
        <v>0</v>
      </c>
      <c r="S165" s="2">
        <f>IF(COUNT('Turns'!D449,'Turns'!D464,'Turns'!D476,'Turns'!D491)=4,SUM('Turns'!D449,'Turns'!D464,'Turns'!D476,'Turns'!D491),"Unknown")</f>
        <v>309.0</v>
      </c>
      <c r="T165" s="2">
        <f>IF(COUNT('Turns'!E449,'Turns'!E464,'Turns'!E476,'Turns'!E491)=4,SUM('Turns'!E449,'Turns'!E464,'Turns'!E476,'Turns'!E491),"Unknown")</f>
        <v>0.000326207592</v>
      </c>
      <c r="U165" s="2">
        <f>IF(COUNT('Turns'!F449,'Turns'!F464,'Turns'!F476,'Turns'!F491)=4,SUM('Turns'!F449,'Turns'!F464,'Turns'!F476,'Turns'!F491),"Unknown")</f>
        <v>0.0003708</v>
      </c>
      <c r="V165" s="2">
        <v>0</v>
      </c>
      <c r="W165" s="2">
        <v>0</v>
      </c>
      <c r="X165" s="2">
        <v>0</v>
      </c>
      <c r="Y165" s="2">
        <f>IF(COUNT('Turns'!E453,'Turns'!E468,'Turns'!E480,'Turns'!E495)=4,SUM('Turns'!E453,'Turns'!E468,'Turns'!E480,'Turns'!E495),"Unknown")</f>
        <v>0.0038224703</v>
      </c>
      <c r="Z165" s="2">
        <f>IF(COUNT('Turns'!F453,'Turns'!F468,'Turns'!F480,'Turns'!F495)=4,SUM('Turns'!F453,'Turns'!F468,'Turns'!F480,'Turns'!F495),"Unknown")</f>
        <v>0.004345</v>
      </c>
      <c r="AA165" s="5">
        <f>IF(ISNUMBER(Y165),ROUND(Y165*'Reference data'!$B$2,0),"Unknown")</f>
        <v>382.0</v>
      </c>
      <c r="AB165" s="5">
        <f>IF(ISNUMBER(Z165),ROUND(Z165*'Reference data'!$B$2,0),"Unknown")</f>
        <v>435.0</v>
      </c>
      <c r="AD165" s="1">
        <v>33.846</v>
      </c>
      <c r="AE165" s="1" t="s">
        <v>361</v>
      </c>
    </row>
    <row r="166" spans="1:31" ht="54" customHeight="1">
      <c r="A166" s="6" t="s">
        <v>365</v>
      </c>
      <c r="B166" s="1">
        <v>2</v>
      </c>
      <c r="C166" s="1" t="s">
        <v>359</v>
      </c>
      <c r="D166" s="1" t="s">
        <v>47</v>
      </c>
      <c r="E166" s="1" t="s">
        <v>141</v>
      </c>
      <c r="G166" s="6" t="s">
        <v>366</v>
      </c>
      <c r="H166" t="s">
        <v>522</v>
      </c>
      <c r="I166" t="s">
        <v>521</v>
      </c>
      <c r="J166" s="2">
        <f>IF(COUNT('Turns'!D443,'Turns'!D458,'Turns'!D471,'Turns'!D486)=4,SUM('Turns'!D443,'Turns'!D458,'Turns'!D471,'Turns'!D486),"Unknown")</f>
        <v>19871.0</v>
      </c>
      <c r="K166" s="2">
        <f>IF(COUNT('Turns'!E443,'Turns'!E458,'Turns'!E471,'Turns'!E486)=4,SUM('Turns'!E443,'Turns'!E458,'Turns'!E471,'Turns'!E486),"Unknown")</f>
        <v>0.003496262708</v>
      </c>
      <c r="L166" s="2">
        <f>IF(COUNT('Turns'!F443,'Turns'!F458,'Turns'!F471,'Turns'!F486)=4,SUM('Turns'!F443,'Turns'!F458,'Turns'!F471,'Turns'!F486),"Unknown")</f>
        <v>0.0039742</v>
      </c>
      <c r="M166" s="2">
        <f>IF(COUNT('Turns'!D442,'Turns'!D470,'Turns'!D485)=3,SUM('Turns'!D442,'Turns'!D470,'Turns'!D485),"Unknown")</f>
        <v>0.0</v>
      </c>
      <c r="N166" s="2">
        <f>IF(COUNT('Turns'!E442,'Turns'!E470,'Turns'!E485)=3,SUM('Turns'!E442,'Turns'!E470,'Turns'!E485),"Unknown")</f>
        <v>0.0</v>
      </c>
      <c r="O166" s="2">
        <f>IF(COUNT('Turns'!F442,'Turns'!F470,'Turns'!F485)=3,SUM('Turns'!F442,'Turns'!F470,'Turns'!F485),"Unknown")</f>
        <v>0.0</v>
      </c>
      <c r="P166" s="2">
        <v>0</v>
      </c>
      <c r="Q166" s="2">
        <v>0</v>
      </c>
      <c r="R166" s="2">
        <v>0</v>
      </c>
      <c r="S166" s="2">
        <f>IF(COUNT('Turns'!D449,'Turns'!D464,'Turns'!D476,'Turns'!D491)=4,SUM('Turns'!D449,'Turns'!D464,'Turns'!D476,'Turns'!D491),"Unknown")</f>
        <v>309.0</v>
      </c>
      <c r="T166" s="2">
        <f>IF(COUNT('Turns'!E449,'Turns'!E464,'Turns'!E476,'Turns'!E491)=4,SUM('Turns'!E449,'Turns'!E464,'Turns'!E476,'Turns'!E491),"Unknown")</f>
        <v>0.000326207592</v>
      </c>
      <c r="U166" s="2">
        <f>IF(COUNT('Turns'!F449,'Turns'!F464,'Turns'!F476,'Turns'!F491)=4,SUM('Turns'!F449,'Turns'!F464,'Turns'!F476,'Turns'!F491),"Unknown")</f>
        <v>0.0003708</v>
      </c>
      <c r="V166" s="2">
        <v>0</v>
      </c>
      <c r="W166" s="2">
        <v>0</v>
      </c>
      <c r="X166" s="2">
        <v>0</v>
      </c>
      <c r="Y166" s="2">
        <f>IF(COUNT('Turns'!E453,'Turns'!E468,'Turns'!E480,'Turns'!E495)=4,SUM('Turns'!E453,'Turns'!E468,'Turns'!E480,'Turns'!E495),"Unknown")</f>
        <v>0.0038224703</v>
      </c>
      <c r="Z166" s="2">
        <f>IF(COUNT('Turns'!F453,'Turns'!F468,'Turns'!F480,'Turns'!F495)=4,SUM('Turns'!F453,'Turns'!F468,'Turns'!F480,'Turns'!F495),"Unknown")</f>
        <v>0.004345</v>
      </c>
      <c r="AA166" s="5">
        <f>IF(ISNUMBER(Y166),ROUND(Y166*'Reference data'!$B$2,0),"Unknown")</f>
        <v>382.0</v>
      </c>
      <c r="AB166" s="5">
        <f>IF(ISNUMBER(Z166),ROUND(Z166*'Reference data'!$B$2,0),"Unknown")</f>
        <v>435.0</v>
      </c>
      <c r="AD166" s="1">
        <v>32.473</v>
      </c>
      <c r="AE166" s="1" t="s">
        <v>361</v>
      </c>
    </row>
    <row r="167" spans="1:31" ht="54" customHeight="1">
      <c r="A167" s="6" t="s">
        <v>368</v>
      </c>
      <c r="B167" s="1">
        <v>3</v>
      </c>
      <c r="C167" s="1" t="s">
        <v>359</v>
      </c>
      <c r="D167" s="1" t="s">
        <v>47</v>
      </c>
      <c r="E167" s="1" t="s">
        <v>141</v>
      </c>
      <c r="G167" s="6" t="s">
        <v>369</v>
      </c>
      <c r="H167" t="s">
        <v>523</v>
      </c>
      <c r="I167" t="s">
        <v>522</v>
      </c>
      <c r="J167" s="2">
        <f>IF(COUNT('Turns'!D443,'Turns'!D458,'Turns'!D471,'Turns'!D486)=4,SUM('Turns'!D443,'Turns'!D458,'Turns'!D471,'Turns'!D486),"Unknown")</f>
        <v>19871.0</v>
      </c>
      <c r="K167" s="2">
        <f>IF(COUNT('Turns'!E443,'Turns'!E458,'Turns'!E471,'Turns'!E486)=4,SUM('Turns'!E443,'Turns'!E458,'Turns'!E471,'Turns'!E486),"Unknown")</f>
        <v>0.003496262708</v>
      </c>
      <c r="L167" s="2">
        <f>IF(COUNT('Turns'!F443,'Turns'!F458,'Turns'!F471,'Turns'!F486)=4,SUM('Turns'!F443,'Turns'!F458,'Turns'!F471,'Turns'!F486),"Unknown")</f>
        <v>0.0039742</v>
      </c>
      <c r="M167" s="2">
        <f>IF(COUNT('Turns'!D442,'Turns'!D470,'Turns'!D485)=3,SUM('Turns'!D442,'Turns'!D470,'Turns'!D485),"Unknown")</f>
        <v>0.0</v>
      </c>
      <c r="N167" s="2">
        <f>IF(COUNT('Turns'!E442,'Turns'!E470,'Turns'!E485)=3,SUM('Turns'!E442,'Turns'!E470,'Turns'!E485),"Unknown")</f>
        <v>0.0</v>
      </c>
      <c r="O167" s="2">
        <f>IF(COUNT('Turns'!F442,'Turns'!F470,'Turns'!F485)=3,SUM('Turns'!F442,'Turns'!F470,'Turns'!F485),"Unknown")</f>
        <v>0.0</v>
      </c>
      <c r="P167" s="2">
        <v>0</v>
      </c>
      <c r="Q167" s="2">
        <v>0</v>
      </c>
      <c r="R167" s="2">
        <v>0</v>
      </c>
      <c r="S167" s="2">
        <f>IF(COUNT('Turns'!D449,'Turns'!D464,'Turns'!D476,'Turns'!D491)=4,SUM('Turns'!D449,'Turns'!D464,'Turns'!D476,'Turns'!D491),"Unknown")</f>
        <v>309.0</v>
      </c>
      <c r="T167" s="2">
        <f>IF(COUNT('Turns'!E449,'Turns'!E464,'Turns'!E476,'Turns'!E491)=4,SUM('Turns'!E449,'Turns'!E464,'Turns'!E476,'Turns'!E491),"Unknown")</f>
        <v>0.000326207592</v>
      </c>
      <c r="U167" s="2">
        <f>IF(COUNT('Turns'!F449,'Turns'!F464,'Turns'!F476,'Turns'!F491)=4,SUM('Turns'!F449,'Turns'!F464,'Turns'!F476,'Turns'!F491),"Unknown")</f>
        <v>0.0003708</v>
      </c>
      <c r="V167" s="2">
        <v>0</v>
      </c>
      <c r="W167" s="2">
        <v>0</v>
      </c>
      <c r="X167" s="2">
        <v>0</v>
      </c>
      <c r="Y167" s="2">
        <f>IF(COUNT('Turns'!E453,'Turns'!E468,'Turns'!E480,'Turns'!E495)=4,SUM('Turns'!E453,'Turns'!E468,'Turns'!E480,'Turns'!E495),"Unknown")</f>
        <v>0.0038224703</v>
      </c>
      <c r="Z167" s="2">
        <f>IF(COUNT('Turns'!F453,'Turns'!F468,'Turns'!F480,'Turns'!F495)=4,SUM('Turns'!F453,'Turns'!F468,'Turns'!F480,'Turns'!F495),"Unknown")</f>
        <v>0.004345</v>
      </c>
      <c r="AA167" s="5">
        <f>IF(ISNUMBER(Y167),ROUND(Y167*'Reference data'!$B$2,0),"Unknown")</f>
        <v>382.0</v>
      </c>
      <c r="AB167" s="5">
        <f>IF(ISNUMBER(Z167),ROUND(Z167*'Reference data'!$B$2,0),"Unknown")</f>
        <v>435.0</v>
      </c>
      <c r="AD167" s="1">
        <v>31.457</v>
      </c>
      <c r="AE167" s="1" t="s">
        <v>361</v>
      </c>
    </row>
    <row r="168" spans="1:31" ht="54" customHeight="1">
      <c r="A168" s="6" t="s">
        <v>371</v>
      </c>
      <c r="B168" s="1">
        <v>4</v>
      </c>
      <c r="C168" s="1" t="s">
        <v>359</v>
      </c>
      <c r="D168" s="1" t="s">
        <v>47</v>
      </c>
      <c r="E168" s="1" t="s">
        <v>141</v>
      </c>
      <c r="G168" s="6" t="s">
        <v>372</v>
      </c>
      <c r="H168" t="s">
        <v>524</v>
      </c>
      <c r="I168" t="s">
        <v>523</v>
      </c>
      <c r="AD168" s="1">
        <v>1.263</v>
      </c>
      <c r="AE168" s="1" t="s">
        <v>374</v>
      </c>
    </row>
    <row r="169" spans="1:31" ht="54" customHeight="1">
      <c r="A169" s="6" t="s">
        <v>375</v>
      </c>
      <c r="B169" s="1">
        <v>4</v>
      </c>
      <c r="C169" s="1" t="s">
        <v>359</v>
      </c>
      <c r="D169" s="1" t="s">
        <v>47</v>
      </c>
      <c r="E169" s="1" t="s">
        <v>141</v>
      </c>
      <c r="G169" s="6" t="s">
        <v>376</v>
      </c>
      <c r="H169" t="s">
        <v>525</v>
      </c>
      <c r="I169" t="s">
        <v>523</v>
      </c>
      <c r="J169" s="2">
        <f>IF(COUNT('Turns'!D443)=1,SUM('Turns'!D443),"Unknown")</f>
        <v>7700.0</v>
      </c>
      <c r="K169" s="2">
        <f>IF(COUNT('Turns'!E443)=1,SUM('Turns'!E443),"Unknown")</f>
        <v>0.0013547996</v>
      </c>
      <c r="L169" s="2">
        <f>IF(COUNT('Turns'!F443)=1,SUM('Turns'!F443),"Unknown")</f>
        <v>0.00154</v>
      </c>
      <c r="M169" s="2">
        <f>IF(COUNT('Turns'!D442)=1,SUM('Turns'!D442),"Unknown")</f>
        <v>0.0</v>
      </c>
      <c r="N169" s="2">
        <f>IF(COUNT('Turns'!E442)=1,SUM('Turns'!E442),"Unknown")</f>
        <v>0.0</v>
      </c>
      <c r="O169" s="2">
        <f>IF(COUNT('Turns'!F442)=1,SUM('Turns'!F442),"Unknown")</f>
        <v>0.0</v>
      </c>
      <c r="P169" s="2">
        <v>0</v>
      </c>
      <c r="Q169" s="2">
        <v>0</v>
      </c>
      <c r="R169" s="2">
        <v>0</v>
      </c>
      <c r="S169" s="2">
        <f>IF(COUNT('Turns'!D449)=1,SUM('Turns'!D449),"Unknown")</f>
        <v>56.0</v>
      </c>
      <c r="T169" s="2">
        <f>IF(COUNT('Turns'!E449)=1,SUM('Turns'!E449),"Unknown")</f>
        <v>5.9118528e-05</v>
      </c>
      <c r="U169" s="2">
        <f>IF(COUNT('Turns'!F449)=1,SUM('Turns'!F449),"Unknown")</f>
        <v>6.72e-05</v>
      </c>
      <c r="V169" s="2">
        <v>0</v>
      </c>
      <c r="W169" s="2">
        <v>0</v>
      </c>
      <c r="X169" s="2">
        <v>0</v>
      </c>
      <c r="Y169" s="2">
        <f>IF(COUNT('Turns'!E453)=1,SUM('Turns'!E453),"Unknown")</f>
        <v>0.001413918128</v>
      </c>
      <c r="Z169" s="2">
        <f>IF(COUNT('Turns'!F453)=1,SUM('Turns'!F453),"Unknown")</f>
        <v>0.0016072</v>
      </c>
      <c r="AA169" s="5">
        <f>IF(ISNUMBER(Y169),ROUND(Y169*'Reference data'!$B$2,0),"Unknown")</f>
        <v>141.0</v>
      </c>
      <c r="AB169" s="5">
        <f>IF(ISNUMBER(Z169),ROUND(Z169*'Reference data'!$B$2,0),"Unknown")</f>
        <v>161.0</v>
      </c>
      <c r="AD169" s="1">
        <v>6.269</v>
      </c>
      <c r="AE169" s="1" t="s">
        <v>361</v>
      </c>
    </row>
    <row r="170" spans="1:31" ht="54" customHeight="1">
      <c r="A170" s="6" t="s">
        <v>378</v>
      </c>
      <c r="B170" s="1">
        <v>5</v>
      </c>
      <c r="C170" s="1" t="s">
        <v>379</v>
      </c>
      <c r="D170" s="1" t="s">
        <v>126</v>
      </c>
      <c r="E170" s="1" t="s">
        <v>141</v>
      </c>
      <c r="F170" s="1">
        <v>7700</v>
      </c>
      <c r="G170" s="6" t="s">
        <v>380</v>
      </c>
      <c r="H170" t="s">
        <v>289</v>
      </c>
      <c r="I170" t="s">
        <v>525</v>
      </c>
      <c r="J170" s="2">
        <f>IF(COUNT('Turns'!D443)=1,SUM('Turns'!D443),"Unknown")</f>
        <v>7700.0</v>
      </c>
      <c r="K170" s="2">
        <f>IF(COUNT('Turns'!E443)=1,SUM('Turns'!E443),"Unknown")</f>
        <v>0.0013547996</v>
      </c>
      <c r="L170" s="2">
        <f>IF(COUNT('Turns'!F443)=1,SUM('Turns'!F443),"Unknown")</f>
        <v>0.00154</v>
      </c>
      <c r="M170" s="2">
        <f>IF(COUNT('Turns'!D442)=1,SUM('Turns'!D442),"Unknown")</f>
        <v>0.0</v>
      </c>
      <c r="N170" s="2">
        <f>IF(COUNT('Turns'!E442)=1,SUM('Turns'!E442),"Unknown")</f>
        <v>0.0</v>
      </c>
      <c r="O170" s="2">
        <f>IF(COUNT('Turns'!F442)=1,SUM('Turns'!F442),"Unknown")</f>
        <v>0.0</v>
      </c>
      <c r="P170" s="2">
        <v>0</v>
      </c>
      <c r="Q170" s="2">
        <v>0</v>
      </c>
      <c r="R170" s="2">
        <v>0</v>
      </c>
      <c r="S170" s="2">
        <f>IF(COUNT('Turns'!D449)=1,SUM('Turns'!D449),"Unknown")</f>
        <v>56.0</v>
      </c>
      <c r="T170" s="2">
        <f>IF(COUNT('Turns'!E449)=1,SUM('Turns'!E449),"Unknown")</f>
        <v>5.9118528e-05</v>
      </c>
      <c r="U170" s="2">
        <f>IF(COUNT('Turns'!F449)=1,SUM('Turns'!F449),"Unknown")</f>
        <v>6.72e-05</v>
      </c>
      <c r="V170" s="2">
        <v>0</v>
      </c>
      <c r="W170" s="2">
        <v>0</v>
      </c>
      <c r="X170" s="2">
        <v>0</v>
      </c>
      <c r="Y170" s="2">
        <f>IF(COUNT('Turns'!E453)=1,SUM('Turns'!E453),"Unknown")</f>
        <v>0.001413918128</v>
      </c>
      <c r="Z170" s="2">
        <f>IF(COUNT('Turns'!F453)=1,SUM('Turns'!F453),"Unknown")</f>
        <v>0.0016072</v>
      </c>
      <c r="AA170" s="5">
        <f>IF(ISNUMBER(Y170),ROUND(Y170*'Reference data'!$B$2,0),"Unknown")</f>
        <v>141.0</v>
      </c>
      <c r="AB170" s="5">
        <f>IF(ISNUMBER(Z170),ROUND(Z170*'Reference data'!$B$2,0),"Unknown")</f>
        <v>161.0</v>
      </c>
      <c r="AC170" s="1" t="s">
        <v>288</v>
      </c>
      <c r="AD170" s="1">
        <v>3.903</v>
      </c>
      <c r="AE170" s="1" t="s">
        <v>381</v>
      </c>
    </row>
    <row r="171" spans="1:31" ht="54" customHeight="1">
      <c r="A171" s="6" t="s">
        <v>382</v>
      </c>
      <c r="B171" s="1">
        <v>4</v>
      </c>
      <c r="C171" s="1" t="s">
        <v>359</v>
      </c>
      <c r="D171" s="1" t="s">
        <v>47</v>
      </c>
      <c r="E171" s="1" t="s">
        <v>141</v>
      </c>
      <c r="G171" s="6" t="s">
        <v>383</v>
      </c>
      <c r="H171" t="s">
        <v>526</v>
      </c>
      <c r="I171" t="s">
        <v>523</v>
      </c>
      <c r="AD171" s="1">
        <v>1.752</v>
      </c>
      <c r="AE171" s="1" t="s">
        <v>374</v>
      </c>
    </row>
    <row r="172" spans="1:31" ht="54" customHeight="1">
      <c r="A172" s="6" t="s">
        <v>404</v>
      </c>
      <c r="B172" s="1">
        <v>5</v>
      </c>
      <c r="C172" s="1" t="s">
        <v>386</v>
      </c>
      <c r="D172" s="1" t="s">
        <v>47</v>
      </c>
      <c r="E172" s="1" t="s">
        <v>141</v>
      </c>
      <c r="G172" s="6" t="s">
        <v>405</v>
      </c>
      <c r="H172" t="s">
        <v>292</v>
      </c>
      <c r="I172" t="s">
        <v>526</v>
      </c>
      <c r="AD172" s="1">
        <v>0.781</v>
      </c>
      <c r="AE172" s="1" t="s">
        <v>374</v>
      </c>
    </row>
    <row r="173" spans="1:31" ht="54" customHeight="1">
      <c r="A173" s="6" t="s">
        <v>371</v>
      </c>
      <c r="B173" s="1">
        <v>4</v>
      </c>
      <c r="C173" s="1" t="s">
        <v>359</v>
      </c>
      <c r="D173" s="1" t="s">
        <v>47</v>
      </c>
      <c r="E173" s="1" t="s">
        <v>141</v>
      </c>
      <c r="G173" s="6" t="s">
        <v>527</v>
      </c>
      <c r="H173" t="s">
        <v>528</v>
      </c>
      <c r="I173" t="s">
        <v>523</v>
      </c>
      <c r="J173" s="2">
        <f>IF(COUNT('Turns'!D458)=1,SUM('Turns'!D458),"Unknown")</f>
        <v>5699.0</v>
      </c>
      <c r="K173" s="2">
        <f>IF(COUNT('Turns'!E458)=1,SUM('Turns'!E458),"Unknown")</f>
        <v>0.001002727652</v>
      </c>
      <c r="L173" s="2">
        <f>IF(COUNT('Turns'!F458)=1,SUM('Turns'!F458),"Unknown")</f>
        <v>0.0011398</v>
      </c>
      <c r="M173" s="2">
        <v>0</v>
      </c>
      <c r="N173" s="2">
        <v>0</v>
      </c>
      <c r="O173" s="2">
        <v>0</v>
      </c>
      <c r="P173" s="2">
        <v>0</v>
      </c>
      <c r="Q173" s="2">
        <v>0</v>
      </c>
      <c r="R173" s="2">
        <v>0</v>
      </c>
      <c r="S173" s="2">
        <f>IF(COUNT('Turns'!D464)=1,SUM('Turns'!D464),"Unknown")</f>
        <v>74.0</v>
      </c>
      <c r="T173" s="2">
        <f>IF(COUNT('Turns'!E464)=1,SUM('Turns'!E464),"Unknown")</f>
        <v>7.8120912e-05</v>
      </c>
      <c r="U173" s="2">
        <f>IF(COUNT('Turns'!F464)=1,SUM('Turns'!F464),"Unknown")</f>
        <v>8.88e-05</v>
      </c>
      <c r="V173" s="2">
        <v>0</v>
      </c>
      <c r="W173" s="2">
        <v>0</v>
      </c>
      <c r="X173" s="2">
        <v>0</v>
      </c>
      <c r="Y173" s="2">
        <f>IF(COUNT('Turns'!E468)=1,SUM('Turns'!E468),"Unknown")</f>
        <v>0.001080848564</v>
      </c>
      <c r="Z173" s="2">
        <f>IF(COUNT('Turns'!F468)=1,SUM('Turns'!F468),"Unknown")</f>
        <v>0.0012286</v>
      </c>
      <c r="AA173" s="5">
        <f>IF(ISNUMBER(Y173),ROUND(Y173*'Reference data'!$B$2,0),"Unknown")</f>
        <v>108.0</v>
      </c>
      <c r="AB173" s="5">
        <f>IF(ISNUMBER(Z173),ROUND(Z173*'Reference data'!$B$2,0),"Unknown")</f>
        <v>123.0</v>
      </c>
      <c r="AD173" s="1">
        <v>4.95</v>
      </c>
      <c r="AE173" s="1" t="s">
        <v>361</v>
      </c>
    </row>
    <row r="174" spans="1:31" ht="54" customHeight="1">
      <c r="A174" s="6" t="s">
        <v>469</v>
      </c>
      <c r="B174" s="1">
        <v>5</v>
      </c>
      <c r="C174" s="1" t="s">
        <v>359</v>
      </c>
      <c r="D174" s="1" t="s">
        <v>47</v>
      </c>
      <c r="E174" s="1" t="s">
        <v>141</v>
      </c>
      <c r="G174" s="6" t="s">
        <v>470</v>
      </c>
      <c r="H174" t="s">
        <v>529</v>
      </c>
      <c r="I174" t="s">
        <v>528</v>
      </c>
      <c r="J174" s="2">
        <f>IF(COUNT('Turns'!D458)=1,SUM('Turns'!D458),"Unknown")</f>
        <v>5699.0</v>
      </c>
      <c r="K174" s="2">
        <f>IF(COUNT('Turns'!E458)=1,SUM('Turns'!E458),"Unknown")</f>
        <v>0.001002727652</v>
      </c>
      <c r="L174" s="2">
        <f>IF(COUNT('Turns'!F458)=1,SUM('Turns'!F458),"Unknown")</f>
        <v>0.0011398</v>
      </c>
      <c r="M174" s="2">
        <v>0</v>
      </c>
      <c r="N174" s="2">
        <v>0</v>
      </c>
      <c r="O174" s="2">
        <v>0</v>
      </c>
      <c r="P174" s="2">
        <v>0</v>
      </c>
      <c r="Q174" s="2">
        <v>0</v>
      </c>
      <c r="R174" s="2">
        <v>0</v>
      </c>
      <c r="S174" s="2">
        <f>IF(COUNT('Turns'!D464)=1,SUM('Turns'!D464),"Unknown")</f>
        <v>74.0</v>
      </c>
      <c r="T174" s="2">
        <f>IF(COUNT('Turns'!E464)=1,SUM('Turns'!E464),"Unknown")</f>
        <v>7.8120912e-05</v>
      </c>
      <c r="U174" s="2">
        <f>IF(COUNT('Turns'!F464)=1,SUM('Turns'!F464),"Unknown")</f>
        <v>8.88e-05</v>
      </c>
      <c r="V174" s="2">
        <v>0</v>
      </c>
      <c r="W174" s="2">
        <v>0</v>
      </c>
      <c r="X174" s="2">
        <v>0</v>
      </c>
      <c r="Y174" s="2">
        <f>IF(COUNT('Turns'!E468)=1,SUM('Turns'!E468),"Unknown")</f>
        <v>0.001080848564</v>
      </c>
      <c r="Z174" s="2">
        <f>IF(COUNT('Turns'!F468)=1,SUM('Turns'!F468),"Unknown")</f>
        <v>0.0012286</v>
      </c>
      <c r="AA174" s="5">
        <f>IF(ISNUMBER(Y174),ROUND(Y174*'Reference data'!$B$2,0),"Unknown")</f>
        <v>108.0</v>
      </c>
      <c r="AB174" s="5">
        <f>IF(ISNUMBER(Z174),ROUND(Z174*'Reference data'!$B$2,0),"Unknown")</f>
        <v>123.0</v>
      </c>
      <c r="AD174" s="1">
        <v>3.49</v>
      </c>
      <c r="AE174" s="1" t="s">
        <v>361</v>
      </c>
    </row>
    <row r="175" spans="1:31" ht="54" customHeight="1">
      <c r="A175" s="6" t="s">
        <v>472</v>
      </c>
      <c r="B175" s="1">
        <v>6</v>
      </c>
      <c r="C175" s="1" t="s">
        <v>379</v>
      </c>
      <c r="D175" s="1" t="s">
        <v>126</v>
      </c>
      <c r="E175" s="1" t="s">
        <v>141</v>
      </c>
      <c r="F175" s="1">
        <v>5699</v>
      </c>
      <c r="G175" s="6" t="s">
        <v>473</v>
      </c>
      <c r="H175" t="s">
        <v>294</v>
      </c>
      <c r="I175" t="s">
        <v>529</v>
      </c>
      <c r="J175" s="2">
        <f>IF(COUNT('Turns'!D458)=1,SUM('Turns'!D458),"Unknown")</f>
        <v>5699.0</v>
      </c>
      <c r="K175" s="2">
        <f>IF(COUNT('Turns'!E458)=1,SUM('Turns'!E458),"Unknown")</f>
        <v>0.001002727652</v>
      </c>
      <c r="L175" s="2">
        <f>IF(COUNT('Turns'!F458)=1,SUM('Turns'!F458),"Unknown")</f>
        <v>0.0011398</v>
      </c>
      <c r="M175" s="2">
        <v>0</v>
      </c>
      <c r="N175" s="2">
        <v>0</v>
      </c>
      <c r="O175" s="2">
        <v>0</v>
      </c>
      <c r="P175" s="2">
        <v>0</v>
      </c>
      <c r="Q175" s="2">
        <v>0</v>
      </c>
      <c r="R175" s="2">
        <v>0</v>
      </c>
      <c r="S175" s="2">
        <f>IF(COUNT('Turns'!D464)=1,SUM('Turns'!D464),"Unknown")</f>
        <v>74.0</v>
      </c>
      <c r="T175" s="2">
        <f>IF(COUNT('Turns'!E464)=1,SUM('Turns'!E464),"Unknown")</f>
        <v>7.8120912e-05</v>
      </c>
      <c r="U175" s="2">
        <f>IF(COUNT('Turns'!F464)=1,SUM('Turns'!F464),"Unknown")</f>
        <v>8.88e-05</v>
      </c>
      <c r="V175" s="2">
        <v>0</v>
      </c>
      <c r="W175" s="2">
        <v>0</v>
      </c>
      <c r="X175" s="2">
        <v>0</v>
      </c>
      <c r="Y175" s="2">
        <f>IF(COUNT('Turns'!E468)=1,SUM('Turns'!E468),"Unknown")</f>
        <v>0.001080848564</v>
      </c>
      <c r="Z175" s="2">
        <f>IF(COUNT('Turns'!F468)=1,SUM('Turns'!F468),"Unknown")</f>
        <v>0.0012286</v>
      </c>
      <c r="AA175" s="5">
        <f>IF(ISNUMBER(Y175),ROUND(Y175*'Reference data'!$B$2,0),"Unknown")</f>
        <v>108.0</v>
      </c>
      <c r="AB175" s="5">
        <f>IF(ISNUMBER(Z175),ROUND(Z175*'Reference data'!$B$2,0),"Unknown")</f>
        <v>123.0</v>
      </c>
      <c r="AC175" s="1" t="s">
        <v>293</v>
      </c>
      <c r="AD175" s="1">
        <v>2.538</v>
      </c>
      <c r="AE175" s="1" t="s">
        <v>381</v>
      </c>
    </row>
    <row r="176" spans="1:31" ht="54" customHeight="1">
      <c r="A176" s="6" t="s">
        <v>375</v>
      </c>
      <c r="B176" s="1">
        <v>4</v>
      </c>
      <c r="C176" s="1" t="s">
        <v>359</v>
      </c>
      <c r="D176" s="1" t="s">
        <v>47</v>
      </c>
      <c r="E176" s="1" t="s">
        <v>141</v>
      </c>
      <c r="G176" s="6" t="s">
        <v>376</v>
      </c>
      <c r="H176" t="s">
        <v>530</v>
      </c>
      <c r="I176" t="s">
        <v>523</v>
      </c>
      <c r="J176" s="2">
        <f>IF(COUNT('Turns'!D471)=1,SUM('Turns'!D471),"Unknown")</f>
        <v>3163.0</v>
      </c>
      <c r="K176" s="2">
        <f>IF(COUNT('Turns'!E471)=1,SUM('Turns'!E471),"Unknown")</f>
        <v>0.000556523524</v>
      </c>
      <c r="L176" s="2">
        <f>IF(COUNT('Turns'!F471)=1,SUM('Turns'!F471),"Unknown")</f>
        <v>0.0006326</v>
      </c>
      <c r="M176" s="2">
        <f>IF(COUNT('Turns'!D470)=1,SUM('Turns'!D470),"Unknown")</f>
        <v>0.0</v>
      </c>
      <c r="N176" s="2">
        <f>IF(COUNT('Turns'!E470)=1,SUM('Turns'!E470),"Unknown")</f>
        <v>0.0</v>
      </c>
      <c r="O176" s="2">
        <f>IF(COUNT('Turns'!F470)=1,SUM('Turns'!F470),"Unknown")</f>
        <v>0.0</v>
      </c>
      <c r="P176" s="2">
        <v>0</v>
      </c>
      <c r="Q176" s="2">
        <v>0</v>
      </c>
      <c r="R176" s="2">
        <v>0</v>
      </c>
      <c r="S176" s="2">
        <f>IF(COUNT('Turns'!D476)=1,SUM('Turns'!D476),"Unknown")</f>
        <v>104.0</v>
      </c>
      <c r="T176" s="2">
        <f>IF(COUNT('Turns'!E476)=1,SUM('Turns'!E476),"Unknown")</f>
        <v>0.000109791552</v>
      </c>
      <c r="U176" s="2">
        <f>IF(COUNT('Turns'!F476)=1,SUM('Turns'!F476),"Unknown")</f>
        <v>0.0001248</v>
      </c>
      <c r="V176" s="2">
        <v>0</v>
      </c>
      <c r="W176" s="2">
        <v>0</v>
      </c>
      <c r="X176" s="2">
        <v>0</v>
      </c>
      <c r="Y176" s="2">
        <f>IF(COUNT('Turns'!E480)=1,SUM('Turns'!E480),"Unknown")</f>
        <v>0.000666315076</v>
      </c>
      <c r="Z176" s="2">
        <f>IF(COUNT('Turns'!F480)=1,SUM('Turns'!F480),"Unknown")</f>
        <v>0.0007574</v>
      </c>
      <c r="AA176" s="5">
        <f>IF(ISNUMBER(Y176),ROUND(Y176*'Reference data'!$B$2,0),"Unknown")</f>
        <v>67.0</v>
      </c>
      <c r="AB176" s="5">
        <f>IF(ISNUMBER(Z176),ROUND(Z176*'Reference data'!$B$2,0),"Unknown")</f>
        <v>76.0</v>
      </c>
      <c r="AD176" s="1">
        <v>4.834</v>
      </c>
      <c r="AE176" s="1" t="s">
        <v>361</v>
      </c>
    </row>
    <row r="177" spans="1:31" ht="54" customHeight="1">
      <c r="A177" s="6" t="s">
        <v>378</v>
      </c>
      <c r="B177" s="1">
        <v>5</v>
      </c>
      <c r="C177" s="1" t="s">
        <v>379</v>
      </c>
      <c r="D177" s="1" t="s">
        <v>126</v>
      </c>
      <c r="E177" s="1" t="s">
        <v>141</v>
      </c>
      <c r="F177" s="1">
        <v>3163</v>
      </c>
      <c r="G177" s="6" t="s">
        <v>380</v>
      </c>
      <c r="H177" t="s">
        <v>296</v>
      </c>
      <c r="I177" t="s">
        <v>530</v>
      </c>
      <c r="J177" s="2">
        <f>IF(COUNT('Turns'!D471)=1,SUM('Turns'!D471),"Unknown")</f>
        <v>3163.0</v>
      </c>
      <c r="K177" s="2">
        <f>IF(COUNT('Turns'!E471)=1,SUM('Turns'!E471),"Unknown")</f>
        <v>0.000556523524</v>
      </c>
      <c r="L177" s="2">
        <f>IF(COUNT('Turns'!F471)=1,SUM('Turns'!F471),"Unknown")</f>
        <v>0.0006326</v>
      </c>
      <c r="M177" s="2">
        <f>IF(COUNT('Turns'!D470)=1,SUM('Turns'!D470),"Unknown")</f>
        <v>0.0</v>
      </c>
      <c r="N177" s="2">
        <f>IF(COUNT('Turns'!E470)=1,SUM('Turns'!E470),"Unknown")</f>
        <v>0.0</v>
      </c>
      <c r="O177" s="2">
        <f>IF(COUNT('Turns'!F470)=1,SUM('Turns'!F470),"Unknown")</f>
        <v>0.0</v>
      </c>
      <c r="P177" s="2">
        <v>0</v>
      </c>
      <c r="Q177" s="2">
        <v>0</v>
      </c>
      <c r="R177" s="2">
        <v>0</v>
      </c>
      <c r="S177" s="2">
        <f>IF(COUNT('Turns'!D476)=1,SUM('Turns'!D476),"Unknown")</f>
        <v>104.0</v>
      </c>
      <c r="T177" s="2">
        <f>IF(COUNT('Turns'!E476)=1,SUM('Turns'!E476),"Unknown")</f>
        <v>0.000109791552</v>
      </c>
      <c r="U177" s="2">
        <f>IF(COUNT('Turns'!F476)=1,SUM('Turns'!F476),"Unknown")</f>
        <v>0.0001248</v>
      </c>
      <c r="V177" s="2">
        <v>0</v>
      </c>
      <c r="W177" s="2">
        <v>0</v>
      </c>
      <c r="X177" s="2">
        <v>0</v>
      </c>
      <c r="Y177" s="2">
        <f>IF(COUNT('Turns'!E480)=1,SUM('Turns'!E480),"Unknown")</f>
        <v>0.000666315076</v>
      </c>
      <c r="Z177" s="2">
        <f>IF(COUNT('Turns'!F480)=1,SUM('Turns'!F480),"Unknown")</f>
        <v>0.0007574</v>
      </c>
      <c r="AA177" s="5">
        <f>IF(ISNUMBER(Y177),ROUND(Y177*'Reference data'!$B$2,0),"Unknown")</f>
        <v>67.0</v>
      </c>
      <c r="AB177" s="5">
        <f>IF(ISNUMBER(Z177),ROUND(Z177*'Reference data'!$B$2,0),"Unknown")</f>
        <v>76.0</v>
      </c>
      <c r="AC177" s="1" t="s">
        <v>295</v>
      </c>
      <c r="AD177" s="1">
        <v>2.893</v>
      </c>
      <c r="AE177" s="1" t="s">
        <v>381</v>
      </c>
    </row>
    <row r="178" spans="1:31" ht="54" customHeight="1">
      <c r="A178" s="6" t="s">
        <v>382</v>
      </c>
      <c r="B178" s="1">
        <v>4</v>
      </c>
      <c r="C178" s="1" t="s">
        <v>359</v>
      </c>
      <c r="D178" s="1" t="s">
        <v>47</v>
      </c>
      <c r="E178" s="1" t="s">
        <v>141</v>
      </c>
      <c r="G178" s="6" t="s">
        <v>383</v>
      </c>
      <c r="H178" t="s">
        <v>531</v>
      </c>
      <c r="I178" t="s">
        <v>523</v>
      </c>
      <c r="AD178" s="1">
        <v>2.483</v>
      </c>
      <c r="AE178" s="1" t="s">
        <v>374</v>
      </c>
    </row>
    <row r="179" spans="1:31" ht="54" customHeight="1">
      <c r="A179" s="6" t="s">
        <v>439</v>
      </c>
      <c r="B179" s="1">
        <v>5</v>
      </c>
      <c r="C179" s="1" t="s">
        <v>386</v>
      </c>
      <c r="D179" s="1" t="s">
        <v>47</v>
      </c>
      <c r="E179" s="1" t="s">
        <v>141</v>
      </c>
      <c r="G179" s="6" t="s">
        <v>440</v>
      </c>
      <c r="H179" t="s">
        <v>298</v>
      </c>
      <c r="I179" t="s">
        <v>531</v>
      </c>
      <c r="AD179" s="1">
        <v>1.139</v>
      </c>
      <c r="AE179" s="1" t="s">
        <v>374</v>
      </c>
    </row>
    <row r="180" spans="1:31" ht="54" customHeight="1">
      <c r="A180" s="6" t="s">
        <v>371</v>
      </c>
      <c r="B180" s="1">
        <v>4</v>
      </c>
      <c r="C180" s="1" t="s">
        <v>359</v>
      </c>
      <c r="D180" s="1" t="s">
        <v>47</v>
      </c>
      <c r="E180" s="1" t="s">
        <v>141</v>
      </c>
      <c r="G180" s="6" t="s">
        <v>372</v>
      </c>
      <c r="H180" t="s">
        <v>532</v>
      </c>
      <c r="I180" t="s">
        <v>523</v>
      </c>
      <c r="AD180" s="1">
        <v>0.441</v>
      </c>
      <c r="AE180" s="1" t="s">
        <v>374</v>
      </c>
    </row>
    <row r="181" spans="1:31" ht="54" customHeight="1">
      <c r="A181" s="6" t="s">
        <v>375</v>
      </c>
      <c r="B181" s="1">
        <v>4</v>
      </c>
      <c r="C181" s="1" t="s">
        <v>359</v>
      </c>
      <c r="D181" s="1" t="s">
        <v>47</v>
      </c>
      <c r="E181" s="1" t="s">
        <v>141</v>
      </c>
      <c r="G181" s="6" t="s">
        <v>376</v>
      </c>
      <c r="H181" t="s">
        <v>533</v>
      </c>
      <c r="I181" t="s">
        <v>523</v>
      </c>
      <c r="J181" s="2">
        <f>IF(COUNT('Turns'!D486)=1,SUM('Turns'!D486),"Unknown")</f>
        <v>3309.0</v>
      </c>
      <c r="K181" s="2">
        <f>IF(COUNT('Turns'!E486)=1,SUM('Turns'!E486),"Unknown")</f>
        <v>0.000582211932</v>
      </c>
      <c r="L181" s="2">
        <f>IF(COUNT('Turns'!F486)=1,SUM('Turns'!F486),"Unknown")</f>
        <v>0.0006618</v>
      </c>
      <c r="M181" s="2">
        <f>IF(COUNT('Turns'!D485)=1,SUM('Turns'!D485),"Unknown")</f>
        <v>0.0</v>
      </c>
      <c r="N181" s="2">
        <f>IF(COUNT('Turns'!E485)=1,SUM('Turns'!E485),"Unknown")</f>
        <v>0.0</v>
      </c>
      <c r="O181" s="2">
        <f>IF(COUNT('Turns'!F485)=1,SUM('Turns'!F485),"Unknown")</f>
        <v>0.0</v>
      </c>
      <c r="P181" s="2">
        <v>0</v>
      </c>
      <c r="Q181" s="2">
        <v>0</v>
      </c>
      <c r="R181" s="2">
        <v>0</v>
      </c>
      <c r="S181" s="2">
        <f>IF(COUNT('Turns'!D491)=1,SUM('Turns'!D491),"Unknown")</f>
        <v>75.0</v>
      </c>
      <c r="T181" s="2">
        <f>IF(COUNT('Turns'!E491)=1,SUM('Turns'!E491),"Unknown")</f>
        <v>7.91766e-05</v>
      </c>
      <c r="U181" s="2">
        <f>IF(COUNT('Turns'!F491)=1,SUM('Turns'!F491),"Unknown")</f>
        <v>9e-05</v>
      </c>
      <c r="V181" s="2">
        <v>0</v>
      </c>
      <c r="W181" s="2">
        <v>0</v>
      </c>
      <c r="X181" s="2">
        <v>0</v>
      </c>
      <c r="Y181" s="2">
        <f>IF(COUNT('Turns'!E495)=1,SUM('Turns'!E495),"Unknown")</f>
        <v>0.000661388532</v>
      </c>
      <c r="Z181" s="2">
        <f>IF(COUNT('Turns'!F495)=1,SUM('Turns'!F495),"Unknown")</f>
        <v>0.0007518</v>
      </c>
      <c r="AA181" s="5">
        <f>IF(ISNUMBER(Y181),ROUND(Y181*'Reference data'!$B$2,0),"Unknown")</f>
        <v>66.0</v>
      </c>
      <c r="AB181" s="5">
        <f>IF(ISNUMBER(Z181),ROUND(Z181*'Reference data'!$B$2,0),"Unknown")</f>
        <v>75.0</v>
      </c>
      <c r="AD181" s="1">
        <v>4.02</v>
      </c>
      <c r="AE181" s="1" t="s">
        <v>361</v>
      </c>
    </row>
    <row r="182" spans="1:31" ht="54" customHeight="1">
      <c r="A182" s="6" t="s">
        <v>378</v>
      </c>
      <c r="B182" s="1">
        <v>5</v>
      </c>
      <c r="C182" s="1" t="s">
        <v>379</v>
      </c>
      <c r="D182" s="1" t="s">
        <v>126</v>
      </c>
      <c r="E182" s="1" t="s">
        <v>141</v>
      </c>
      <c r="F182" s="1">
        <v>3309</v>
      </c>
      <c r="G182" s="6" t="s">
        <v>380</v>
      </c>
      <c r="H182" t="s">
        <v>301</v>
      </c>
      <c r="I182" t="s">
        <v>533</v>
      </c>
      <c r="J182" s="2">
        <f>IF(COUNT('Turns'!D486)=1,SUM('Turns'!D486),"Unknown")</f>
        <v>3309.0</v>
      </c>
      <c r="K182" s="2">
        <f>IF(COUNT('Turns'!E486)=1,SUM('Turns'!E486),"Unknown")</f>
        <v>0.000582211932</v>
      </c>
      <c r="L182" s="2">
        <f>IF(COUNT('Turns'!F486)=1,SUM('Turns'!F486),"Unknown")</f>
        <v>0.0006618</v>
      </c>
      <c r="M182" s="2">
        <f>IF(COUNT('Turns'!D485)=1,SUM('Turns'!D485),"Unknown")</f>
        <v>0.0</v>
      </c>
      <c r="N182" s="2">
        <f>IF(COUNT('Turns'!E485)=1,SUM('Turns'!E485),"Unknown")</f>
        <v>0.0</v>
      </c>
      <c r="O182" s="2">
        <f>IF(COUNT('Turns'!F485)=1,SUM('Turns'!F485),"Unknown")</f>
        <v>0.0</v>
      </c>
      <c r="P182" s="2">
        <v>0</v>
      </c>
      <c r="Q182" s="2">
        <v>0</v>
      </c>
      <c r="R182" s="2">
        <v>0</v>
      </c>
      <c r="S182" s="2">
        <f>IF(COUNT('Turns'!D491)=1,SUM('Turns'!D491),"Unknown")</f>
        <v>75.0</v>
      </c>
      <c r="T182" s="2">
        <f>IF(COUNT('Turns'!E491)=1,SUM('Turns'!E491),"Unknown")</f>
        <v>7.91766e-05</v>
      </c>
      <c r="U182" s="2">
        <f>IF(COUNT('Turns'!F491)=1,SUM('Turns'!F491),"Unknown")</f>
        <v>9e-05</v>
      </c>
      <c r="V182" s="2">
        <v>0</v>
      </c>
      <c r="W182" s="2">
        <v>0</v>
      </c>
      <c r="X182" s="2">
        <v>0</v>
      </c>
      <c r="Y182" s="2">
        <f>IF(COUNT('Turns'!E495)=1,SUM('Turns'!E495),"Unknown")</f>
        <v>0.000661388532</v>
      </c>
      <c r="Z182" s="2">
        <f>IF(COUNT('Turns'!F495)=1,SUM('Turns'!F495),"Unknown")</f>
        <v>0.0007518</v>
      </c>
      <c r="AA182" s="5">
        <f>IF(ISNUMBER(Y182),ROUND(Y182*'Reference data'!$B$2,0),"Unknown")</f>
        <v>66.0</v>
      </c>
      <c r="AB182" s="5">
        <f>IF(ISNUMBER(Z182),ROUND(Z182*'Reference data'!$B$2,0),"Unknown")</f>
        <v>75.0</v>
      </c>
      <c r="AC182" s="1" t="s">
        <v>300</v>
      </c>
      <c r="AD182" s="1">
        <v>2.231</v>
      </c>
      <c r="AE182" s="1" t="s">
        <v>381</v>
      </c>
    </row>
    <row r="183" spans="1:31" ht="54" customHeight="1">
      <c r="A183" s="6" t="s">
        <v>390</v>
      </c>
      <c r="B183" s="1">
        <v>2</v>
      </c>
      <c r="C183" s="1" t="s">
        <v>359</v>
      </c>
      <c r="D183" s="1" t="s">
        <v>47</v>
      </c>
      <c r="E183" s="1" t="s">
        <v>141</v>
      </c>
      <c r="G183" s="6" t="s">
        <v>391</v>
      </c>
      <c r="H183" t="s">
        <v>534</v>
      </c>
      <c r="I183" t="s">
        <v>521</v>
      </c>
      <c r="AD183" s="1">
        <v>0.252</v>
      </c>
      <c r="AE183" s="1" t="s">
        <v>374</v>
      </c>
    </row>
    <row r="184" spans="1:31" ht="54" customHeight="1">
      <c r="A184" s="6" t="s">
        <v>393</v>
      </c>
      <c r="B184" s="1">
        <v>1</v>
      </c>
      <c r="C184" s="1" t="s">
        <v>359</v>
      </c>
      <c r="D184" s="1" t="s">
        <v>47</v>
      </c>
      <c r="E184" s="1" t="s">
        <v>141</v>
      </c>
      <c r="G184" s="6" t="s">
        <v>394</v>
      </c>
      <c r="H184" t="s">
        <v>535</v>
      </c>
      <c r="I184" t="s">
        <v>520</v>
      </c>
      <c r="J184" s="2">
        <f>IF(COUNT('Turns'!D498,'Turns'!D513,'Turns'!D528,'Turns'!D543)=4,SUM('Turns'!D498,'Turns'!D513,'Turns'!D528,'Turns'!D543),"Unknown")</f>
        <v>18898.0</v>
      </c>
      <c r="K184" s="2">
        <f>IF(COUNT('Turns'!E498,'Turns'!E513,'Turns'!E528,'Turns'!E543)=4,SUM('Turns'!E498,'Turns'!E513,'Turns'!E528,'Turns'!E543),"Unknown")</f>
        <v>0.003325065304</v>
      </c>
      <c r="L184" s="2">
        <f>IF(COUNT('Turns'!F498,'Turns'!F513,'Turns'!F528,'Turns'!F543)=4,SUM('Turns'!F498,'Turns'!F513,'Turns'!F528,'Turns'!F543),"Unknown")</f>
        <v>0.0037796</v>
      </c>
      <c r="M184" s="2">
        <f>IF(COUNT('Turns'!D497,'Turns'!D512,'Turns'!D527,'Turns'!D542)=4,SUM('Turns'!D497,'Turns'!D512,'Turns'!D527,'Turns'!D542),"Unknown")</f>
        <v>0.0</v>
      </c>
      <c r="N184" s="2">
        <f>IF(COUNT('Turns'!E497,'Turns'!E512,'Turns'!E527,'Turns'!E542)=4,SUM('Turns'!E497,'Turns'!E512,'Turns'!E527,'Turns'!E542),"Unknown")</f>
        <v>0.0</v>
      </c>
      <c r="O184" s="2">
        <f>IF(COUNT('Turns'!F497,'Turns'!F512,'Turns'!F527,'Turns'!F542)=4,SUM('Turns'!F497,'Turns'!F512,'Turns'!F527,'Turns'!F542),"Unknown")</f>
        <v>0.0</v>
      </c>
      <c r="P184" s="2">
        <v>0</v>
      </c>
      <c r="Q184" s="2">
        <v>0</v>
      </c>
      <c r="R184" s="2">
        <v>0</v>
      </c>
      <c r="S184" s="2">
        <f>IF(COUNT('Turns'!D503,'Turns'!D518,'Turns'!D533,'Turns'!D548)=4,SUM('Turns'!D503,'Turns'!D518,'Turns'!D533,'Turns'!D548),"Unknown")</f>
        <v>293.0</v>
      </c>
      <c r="T184" s="2">
        <f>IF(COUNT('Turns'!E503,'Turns'!E518,'Turns'!E533,'Turns'!E548)=4,SUM('Turns'!E503,'Turns'!E518,'Turns'!E533,'Turns'!E548),"Unknown")</f>
        <v>0.000309316584</v>
      </c>
      <c r="U184" s="2">
        <f>IF(COUNT('Turns'!F503,'Turns'!F518,'Turns'!F533,'Turns'!F548)=4,SUM('Turns'!F503,'Turns'!F518,'Turns'!F533,'Turns'!F548),"Unknown")</f>
        <v>0.0003516</v>
      </c>
      <c r="V184" s="2">
        <v>0</v>
      </c>
      <c r="W184" s="2">
        <v>0</v>
      </c>
      <c r="X184" s="2">
        <v>0</v>
      </c>
      <c r="Y184" s="2">
        <f>IF(COUNT('Turns'!E507,'Turns'!E522,'Turns'!E537,'Turns'!E552)=4,SUM('Turns'!E507,'Turns'!E522,'Turns'!E537,'Turns'!E552),"Unknown")</f>
        <v>0.003634381888</v>
      </c>
      <c r="Z184" s="2">
        <f>IF(COUNT('Turns'!F507,'Turns'!F522,'Turns'!F537,'Turns'!F552)=4,SUM('Turns'!F507,'Turns'!F522,'Turns'!F537,'Turns'!F552),"Unknown")</f>
        <v>0.0041312</v>
      </c>
      <c r="AA184" s="5">
        <f>IF(ISNUMBER(Y184),ROUND(Y184*'Reference data'!$B$2,0),"Unknown")</f>
        <v>363.0</v>
      </c>
      <c r="AB184" s="5">
        <f>IF(ISNUMBER(Z184),ROUND(Z184*'Reference data'!$B$2,0),"Unknown")</f>
        <v>413.0</v>
      </c>
      <c r="AD184" s="1">
        <v>45.778</v>
      </c>
      <c r="AE184" s="1" t="s">
        <v>361</v>
      </c>
    </row>
    <row r="185" spans="1:31" ht="54" customHeight="1">
      <c r="A185" s="6" t="s">
        <v>365</v>
      </c>
      <c r="B185" s="1">
        <v>2</v>
      </c>
      <c r="C185" s="1" t="s">
        <v>359</v>
      </c>
      <c r="D185" s="1" t="s">
        <v>47</v>
      </c>
      <c r="E185" s="1" t="s">
        <v>141</v>
      </c>
      <c r="G185" s="6" t="s">
        <v>366</v>
      </c>
      <c r="H185" t="s">
        <v>536</v>
      </c>
      <c r="I185" t="s">
        <v>535</v>
      </c>
      <c r="J185" s="2">
        <f>IF(COUNT('Turns'!D498,'Turns'!D513,'Turns'!D528,'Turns'!D543)=4,SUM('Turns'!D498,'Turns'!D513,'Turns'!D528,'Turns'!D543),"Unknown")</f>
        <v>18898.0</v>
      </c>
      <c r="K185" s="2">
        <f>IF(COUNT('Turns'!E498,'Turns'!E513,'Turns'!E528,'Turns'!E543)=4,SUM('Turns'!E498,'Turns'!E513,'Turns'!E528,'Turns'!E543),"Unknown")</f>
        <v>0.003325065304</v>
      </c>
      <c r="L185" s="2">
        <f>IF(COUNT('Turns'!F498,'Turns'!F513,'Turns'!F528,'Turns'!F543)=4,SUM('Turns'!F498,'Turns'!F513,'Turns'!F528,'Turns'!F543),"Unknown")</f>
        <v>0.0037796</v>
      </c>
      <c r="M185" s="2">
        <f>IF(COUNT('Turns'!D497,'Turns'!D512,'Turns'!D527,'Turns'!D542)=4,SUM('Turns'!D497,'Turns'!D512,'Turns'!D527,'Turns'!D542),"Unknown")</f>
        <v>0.0</v>
      </c>
      <c r="N185" s="2">
        <f>IF(COUNT('Turns'!E497,'Turns'!E512,'Turns'!E527,'Turns'!E542)=4,SUM('Turns'!E497,'Turns'!E512,'Turns'!E527,'Turns'!E542),"Unknown")</f>
        <v>0.0</v>
      </c>
      <c r="O185" s="2">
        <f>IF(COUNT('Turns'!F497,'Turns'!F512,'Turns'!F527,'Turns'!F542)=4,SUM('Turns'!F497,'Turns'!F512,'Turns'!F527,'Turns'!F542),"Unknown")</f>
        <v>0.0</v>
      </c>
      <c r="P185" s="2">
        <v>0</v>
      </c>
      <c r="Q185" s="2">
        <v>0</v>
      </c>
      <c r="R185" s="2">
        <v>0</v>
      </c>
      <c r="S185" s="2">
        <f>IF(COUNT('Turns'!D503,'Turns'!D518,'Turns'!D533,'Turns'!D548)=4,SUM('Turns'!D503,'Turns'!D518,'Turns'!D533,'Turns'!D548),"Unknown")</f>
        <v>293.0</v>
      </c>
      <c r="T185" s="2">
        <f>IF(COUNT('Turns'!E503,'Turns'!E518,'Turns'!E533,'Turns'!E548)=4,SUM('Turns'!E503,'Turns'!E518,'Turns'!E533,'Turns'!E548),"Unknown")</f>
        <v>0.000309316584</v>
      </c>
      <c r="U185" s="2">
        <f>IF(COUNT('Turns'!F503,'Turns'!F518,'Turns'!F533,'Turns'!F548)=4,SUM('Turns'!F503,'Turns'!F518,'Turns'!F533,'Turns'!F548),"Unknown")</f>
        <v>0.0003516</v>
      </c>
      <c r="V185" s="2">
        <v>0</v>
      </c>
      <c r="W185" s="2">
        <v>0</v>
      </c>
      <c r="X185" s="2">
        <v>0</v>
      </c>
      <c r="Y185" s="2">
        <f>IF(COUNT('Turns'!E507,'Turns'!E522,'Turns'!E537,'Turns'!E552)=4,SUM('Turns'!E507,'Turns'!E522,'Turns'!E537,'Turns'!E552),"Unknown")</f>
        <v>0.003634381888</v>
      </c>
      <c r="Z185" s="2">
        <f>IF(COUNT('Turns'!F507,'Turns'!F522,'Turns'!F537,'Turns'!F552)=4,SUM('Turns'!F507,'Turns'!F522,'Turns'!F537,'Turns'!F552),"Unknown")</f>
        <v>0.0041312</v>
      </c>
      <c r="AA185" s="5">
        <f>IF(ISNUMBER(Y185),ROUND(Y185*'Reference data'!$B$2,0),"Unknown")</f>
        <v>363.0</v>
      </c>
      <c r="AB185" s="5">
        <f>IF(ISNUMBER(Z185),ROUND(Z185*'Reference data'!$B$2,0),"Unknown")</f>
        <v>413.0</v>
      </c>
      <c r="AD185" s="1">
        <v>45.229</v>
      </c>
      <c r="AE185" s="1" t="s">
        <v>361</v>
      </c>
    </row>
    <row r="186" spans="1:31" ht="54" customHeight="1">
      <c r="A186" s="6" t="s">
        <v>397</v>
      </c>
      <c r="B186" s="1">
        <v>3</v>
      </c>
      <c r="C186" s="1" t="s">
        <v>359</v>
      </c>
      <c r="D186" s="1" t="s">
        <v>47</v>
      </c>
      <c r="E186" s="1" t="s">
        <v>141</v>
      </c>
      <c r="G186" s="6" t="s">
        <v>398</v>
      </c>
      <c r="H186" t="s">
        <v>537</v>
      </c>
      <c r="I186" t="s">
        <v>536</v>
      </c>
      <c r="J186" s="2">
        <f>IF(COUNT('Turns'!D498,'Turns'!D513,'Turns'!D528,'Turns'!D543)=4,SUM('Turns'!D498,'Turns'!D513,'Turns'!D528,'Turns'!D543),"Unknown")</f>
        <v>18898.0</v>
      </c>
      <c r="K186" s="2">
        <f>IF(COUNT('Turns'!E498,'Turns'!E513,'Turns'!E528,'Turns'!E543)=4,SUM('Turns'!E498,'Turns'!E513,'Turns'!E528,'Turns'!E543),"Unknown")</f>
        <v>0.003325065304</v>
      </c>
      <c r="L186" s="2">
        <f>IF(COUNT('Turns'!F498,'Turns'!F513,'Turns'!F528,'Turns'!F543)=4,SUM('Turns'!F498,'Turns'!F513,'Turns'!F528,'Turns'!F543),"Unknown")</f>
        <v>0.0037796</v>
      </c>
      <c r="M186" s="2">
        <f>IF(COUNT('Turns'!D497,'Turns'!D512,'Turns'!D527,'Turns'!D542)=4,SUM('Turns'!D497,'Turns'!D512,'Turns'!D527,'Turns'!D542),"Unknown")</f>
        <v>0.0</v>
      </c>
      <c r="N186" s="2">
        <f>IF(COUNT('Turns'!E497,'Turns'!E512,'Turns'!E527,'Turns'!E542)=4,SUM('Turns'!E497,'Turns'!E512,'Turns'!E527,'Turns'!E542),"Unknown")</f>
        <v>0.0</v>
      </c>
      <c r="O186" s="2">
        <f>IF(COUNT('Turns'!F497,'Turns'!F512,'Turns'!F527,'Turns'!F542)=4,SUM('Turns'!F497,'Turns'!F512,'Turns'!F527,'Turns'!F542),"Unknown")</f>
        <v>0.0</v>
      </c>
      <c r="P186" s="2">
        <v>0</v>
      </c>
      <c r="Q186" s="2">
        <v>0</v>
      </c>
      <c r="R186" s="2">
        <v>0</v>
      </c>
      <c r="S186" s="2">
        <f>IF(COUNT('Turns'!D503,'Turns'!D518,'Turns'!D533,'Turns'!D548)=4,SUM('Turns'!D503,'Turns'!D518,'Turns'!D533,'Turns'!D548),"Unknown")</f>
        <v>293.0</v>
      </c>
      <c r="T186" s="2">
        <f>IF(COUNT('Turns'!E503,'Turns'!E518,'Turns'!E533,'Turns'!E548)=4,SUM('Turns'!E503,'Turns'!E518,'Turns'!E533,'Turns'!E548),"Unknown")</f>
        <v>0.000309316584</v>
      </c>
      <c r="U186" s="2">
        <f>IF(COUNT('Turns'!F503,'Turns'!F518,'Turns'!F533,'Turns'!F548)=4,SUM('Turns'!F503,'Turns'!F518,'Turns'!F533,'Turns'!F548),"Unknown")</f>
        <v>0.0003516</v>
      </c>
      <c r="V186" s="2">
        <v>0</v>
      </c>
      <c r="W186" s="2">
        <v>0</v>
      </c>
      <c r="X186" s="2">
        <v>0</v>
      </c>
      <c r="Y186" s="2">
        <f>IF(COUNT('Turns'!E507,'Turns'!E522,'Turns'!E537,'Turns'!E552)=4,SUM('Turns'!E507,'Turns'!E522,'Turns'!E537,'Turns'!E552),"Unknown")</f>
        <v>0.003634381888</v>
      </c>
      <c r="Z186" s="2">
        <f>IF(COUNT('Turns'!F507,'Turns'!F522,'Turns'!F537,'Turns'!F552)=4,SUM('Turns'!F507,'Turns'!F522,'Turns'!F537,'Turns'!F552),"Unknown")</f>
        <v>0.0041312</v>
      </c>
      <c r="AA186" s="5">
        <f>IF(ISNUMBER(Y186),ROUND(Y186*'Reference data'!$B$2,0),"Unknown")</f>
        <v>363.0</v>
      </c>
      <c r="AB186" s="5">
        <f>IF(ISNUMBER(Z186),ROUND(Z186*'Reference data'!$B$2,0),"Unknown")</f>
        <v>413.0</v>
      </c>
      <c r="AD186" s="1">
        <v>44.55</v>
      </c>
      <c r="AE186" s="1" t="s">
        <v>361</v>
      </c>
    </row>
    <row r="187" spans="1:31" ht="54" customHeight="1">
      <c r="A187" s="6" t="s">
        <v>371</v>
      </c>
      <c r="B187" s="1">
        <v>4</v>
      </c>
      <c r="C187" s="1" t="s">
        <v>359</v>
      </c>
      <c r="D187" s="1" t="s">
        <v>47</v>
      </c>
      <c r="E187" s="1" t="s">
        <v>141</v>
      </c>
      <c r="G187" s="6" t="s">
        <v>372</v>
      </c>
      <c r="H187" t="s">
        <v>538</v>
      </c>
      <c r="I187" t="s">
        <v>537</v>
      </c>
      <c r="AD187" s="1">
        <v>0.374</v>
      </c>
      <c r="AE187" s="1" t="s">
        <v>374</v>
      </c>
    </row>
    <row r="188" spans="1:31" ht="54" customHeight="1">
      <c r="A188" s="6" t="s">
        <v>375</v>
      </c>
      <c r="B188" s="1">
        <v>4</v>
      </c>
      <c r="C188" s="1" t="s">
        <v>359</v>
      </c>
      <c r="D188" s="1" t="s">
        <v>47</v>
      </c>
      <c r="E188" s="1" t="s">
        <v>141</v>
      </c>
      <c r="G188" s="6" t="s">
        <v>376</v>
      </c>
      <c r="H188" t="s">
        <v>539</v>
      </c>
      <c r="I188" t="s">
        <v>537</v>
      </c>
      <c r="J188" s="2">
        <f>IF(COUNT('Turns'!D498)=1,SUM('Turns'!D498),"Unknown")</f>
        <v>3852.0</v>
      </c>
      <c r="K188" s="2">
        <f>IF(COUNT('Turns'!E498)=1,SUM('Turns'!E498),"Unknown")</f>
        <v>0.000677751696</v>
      </c>
      <c r="L188" s="2">
        <f>IF(COUNT('Turns'!F498)=1,SUM('Turns'!F498),"Unknown")</f>
        <v>0.0007704</v>
      </c>
      <c r="M188" s="2">
        <f>IF(COUNT('Turns'!D497)=1,SUM('Turns'!D497),"Unknown")</f>
        <v>0.0</v>
      </c>
      <c r="N188" s="2">
        <f>IF(COUNT('Turns'!E497)=1,SUM('Turns'!E497),"Unknown")</f>
        <v>0.0</v>
      </c>
      <c r="O188" s="2">
        <f>IF(COUNT('Turns'!F497)=1,SUM('Turns'!F497),"Unknown")</f>
        <v>0.0</v>
      </c>
      <c r="P188" s="2">
        <v>0</v>
      </c>
      <c r="Q188" s="2">
        <v>0</v>
      </c>
      <c r="R188" s="2">
        <v>0</v>
      </c>
      <c r="S188" s="2">
        <f>IF(COUNT('Turns'!D503)=1,SUM('Turns'!D503),"Unknown")</f>
        <v>56.0</v>
      </c>
      <c r="T188" s="2">
        <f>IF(COUNT('Turns'!E503)=1,SUM('Turns'!E503),"Unknown")</f>
        <v>5.9118528e-05</v>
      </c>
      <c r="U188" s="2">
        <f>IF(COUNT('Turns'!F503)=1,SUM('Turns'!F503),"Unknown")</f>
        <v>6.72e-05</v>
      </c>
      <c r="V188" s="2">
        <v>0</v>
      </c>
      <c r="W188" s="2">
        <v>0</v>
      </c>
      <c r="X188" s="2">
        <v>0</v>
      </c>
      <c r="Y188" s="2">
        <f>IF(COUNT('Turns'!E507)=1,SUM('Turns'!E507),"Unknown")</f>
        <v>0.000736870224</v>
      </c>
      <c r="Z188" s="2">
        <f>IF(COUNT('Turns'!F507)=1,SUM('Turns'!F507),"Unknown")</f>
        <v>0.0008376</v>
      </c>
      <c r="AA188" s="5">
        <f>IF(ISNUMBER(Y188),ROUND(Y188*'Reference data'!$B$2,0),"Unknown")</f>
        <v>74.0</v>
      </c>
      <c r="AB188" s="5">
        <f>IF(ISNUMBER(Z188),ROUND(Z188*'Reference data'!$B$2,0),"Unknown")</f>
        <v>84.0</v>
      </c>
      <c r="AD188" s="1">
        <v>4.768</v>
      </c>
      <c r="AE188" s="1" t="s">
        <v>361</v>
      </c>
    </row>
    <row r="189" spans="1:31" ht="54" customHeight="1">
      <c r="A189" s="6" t="s">
        <v>378</v>
      </c>
      <c r="B189" s="1">
        <v>5</v>
      </c>
      <c r="C189" s="1" t="s">
        <v>379</v>
      </c>
      <c r="D189" s="1" t="s">
        <v>126</v>
      </c>
      <c r="E189" s="1" t="s">
        <v>141</v>
      </c>
      <c r="F189" s="1">
        <v>3852</v>
      </c>
      <c r="G189" s="6" t="s">
        <v>402</v>
      </c>
      <c r="H189" t="s">
        <v>304</v>
      </c>
      <c r="I189" t="s">
        <v>539</v>
      </c>
      <c r="J189" s="2">
        <f>IF(COUNT('Turns'!D498)=1,SUM('Turns'!D498),"Unknown")</f>
        <v>3852.0</v>
      </c>
      <c r="K189" s="2">
        <f>IF(COUNT('Turns'!E498)=1,SUM('Turns'!E498),"Unknown")</f>
        <v>0.000677751696</v>
      </c>
      <c r="L189" s="2">
        <f>IF(COUNT('Turns'!F498)=1,SUM('Turns'!F498),"Unknown")</f>
        <v>0.0007704</v>
      </c>
      <c r="M189" s="2">
        <f>IF(COUNT('Turns'!D497)=1,SUM('Turns'!D497),"Unknown")</f>
        <v>0.0</v>
      </c>
      <c r="N189" s="2">
        <f>IF(COUNT('Turns'!E497)=1,SUM('Turns'!E497),"Unknown")</f>
        <v>0.0</v>
      </c>
      <c r="O189" s="2">
        <f>IF(COUNT('Turns'!F497)=1,SUM('Turns'!F497),"Unknown")</f>
        <v>0.0</v>
      </c>
      <c r="P189" s="2">
        <v>0</v>
      </c>
      <c r="Q189" s="2">
        <v>0</v>
      </c>
      <c r="R189" s="2">
        <v>0</v>
      </c>
      <c r="S189" s="2">
        <f>IF(COUNT('Turns'!D503)=1,SUM('Turns'!D503),"Unknown")</f>
        <v>56.0</v>
      </c>
      <c r="T189" s="2">
        <f>IF(COUNT('Turns'!E503)=1,SUM('Turns'!E503),"Unknown")</f>
        <v>5.9118528e-05</v>
      </c>
      <c r="U189" s="2">
        <f>IF(COUNT('Turns'!F503)=1,SUM('Turns'!F503),"Unknown")</f>
        <v>6.72e-05</v>
      </c>
      <c r="V189" s="2">
        <v>0</v>
      </c>
      <c r="W189" s="2">
        <v>0</v>
      </c>
      <c r="X189" s="2">
        <v>0</v>
      </c>
      <c r="Y189" s="2">
        <f>IF(COUNT('Turns'!E507)=1,SUM('Turns'!E507),"Unknown")</f>
        <v>0.000736870224</v>
      </c>
      <c r="Z189" s="2">
        <f>IF(COUNT('Turns'!F507)=1,SUM('Turns'!F507),"Unknown")</f>
        <v>0.0008376</v>
      </c>
      <c r="AA189" s="5">
        <f>IF(ISNUMBER(Y189),ROUND(Y189*'Reference data'!$B$2,0),"Unknown")</f>
        <v>74.0</v>
      </c>
      <c r="AB189" s="5">
        <f>IF(ISNUMBER(Z189),ROUND(Z189*'Reference data'!$B$2,0),"Unknown")</f>
        <v>84.0</v>
      </c>
      <c r="AC189" s="1" t="s">
        <v>303</v>
      </c>
      <c r="AD189" s="1">
        <v>2.897</v>
      </c>
      <c r="AE189" s="1" t="s">
        <v>381</v>
      </c>
    </row>
    <row r="190" spans="1:31" ht="54" customHeight="1">
      <c r="A190" s="6" t="s">
        <v>382</v>
      </c>
      <c r="B190" s="1">
        <v>4</v>
      </c>
      <c r="C190" s="1" t="s">
        <v>359</v>
      </c>
      <c r="D190" s="1" t="s">
        <v>47</v>
      </c>
      <c r="E190" s="1" t="s">
        <v>141</v>
      </c>
      <c r="G190" s="6" t="s">
        <v>383</v>
      </c>
      <c r="H190" t="s">
        <v>540</v>
      </c>
      <c r="I190" t="s">
        <v>537</v>
      </c>
      <c r="AD190" s="1">
        <v>4.735</v>
      </c>
      <c r="AE190" s="1" t="s">
        <v>374</v>
      </c>
    </row>
    <row r="191" spans="1:31" ht="54" customHeight="1">
      <c r="A191" s="6" t="s">
        <v>404</v>
      </c>
      <c r="B191" s="1">
        <v>5</v>
      </c>
      <c r="C191" s="1" t="s">
        <v>386</v>
      </c>
      <c r="D191" s="1" t="s">
        <v>47</v>
      </c>
      <c r="E191" s="1" t="s">
        <v>141</v>
      </c>
      <c r="G191" s="6" t="s">
        <v>405</v>
      </c>
      <c r="H191" t="s">
        <v>307</v>
      </c>
      <c r="I191" t="s">
        <v>540</v>
      </c>
      <c r="AD191" s="1">
        <v>3.558</v>
      </c>
      <c r="AE191" s="1" t="s">
        <v>374</v>
      </c>
    </row>
    <row r="192" spans="1:31" ht="54" customHeight="1">
      <c r="A192" s="6" t="s">
        <v>371</v>
      </c>
      <c r="B192" s="1">
        <v>4</v>
      </c>
      <c r="C192" s="1" t="s">
        <v>359</v>
      </c>
      <c r="D192" s="1" t="s">
        <v>47</v>
      </c>
      <c r="E192" s="1" t="s">
        <v>141</v>
      </c>
      <c r="G192" s="6" t="s">
        <v>372</v>
      </c>
      <c r="H192" t="s">
        <v>541</v>
      </c>
      <c r="I192" t="s">
        <v>537</v>
      </c>
      <c r="AD192" s="1">
        <v>0.543</v>
      </c>
      <c r="AE192" s="1" t="s">
        <v>374</v>
      </c>
    </row>
    <row r="193" spans="1:31" ht="54" customHeight="1">
      <c r="A193" s="6" t="s">
        <v>375</v>
      </c>
      <c r="B193" s="1">
        <v>4</v>
      </c>
      <c r="C193" s="1" t="s">
        <v>359</v>
      </c>
      <c r="D193" s="1" t="s">
        <v>47</v>
      </c>
      <c r="E193" s="1" t="s">
        <v>141</v>
      </c>
      <c r="G193" s="6" t="s">
        <v>376</v>
      </c>
      <c r="H193" t="s">
        <v>542</v>
      </c>
      <c r="I193" t="s">
        <v>537</v>
      </c>
      <c r="J193" s="2">
        <f>IF(COUNT('Turns'!D513)=1,SUM('Turns'!D513),"Unknown")</f>
        <v>4725.0</v>
      </c>
      <c r="K193" s="2">
        <f>IF(COUNT('Turns'!E513)=1,SUM('Turns'!E513),"Unknown")</f>
        <v>0.0008313543</v>
      </c>
      <c r="L193" s="2">
        <f>IF(COUNT('Turns'!F513)=1,SUM('Turns'!F513),"Unknown")</f>
        <v>0.000945</v>
      </c>
      <c r="M193" s="2">
        <f>IF(COUNT('Turns'!D512)=1,SUM('Turns'!D512),"Unknown")</f>
        <v>0.0</v>
      </c>
      <c r="N193" s="2">
        <f>IF(COUNT('Turns'!E512)=1,SUM('Turns'!E512),"Unknown")</f>
        <v>0.0</v>
      </c>
      <c r="O193" s="2">
        <f>IF(COUNT('Turns'!F512)=1,SUM('Turns'!F512),"Unknown")</f>
        <v>0.0</v>
      </c>
      <c r="P193" s="2">
        <v>0</v>
      </c>
      <c r="Q193" s="2">
        <v>0</v>
      </c>
      <c r="R193" s="2">
        <v>0</v>
      </c>
      <c r="S193" s="2">
        <f>IF(COUNT('Turns'!D518)=1,SUM('Turns'!D518),"Unknown")</f>
        <v>57.0</v>
      </c>
      <c r="T193" s="2">
        <f>IF(COUNT('Turns'!E518)=1,SUM('Turns'!E518),"Unknown")</f>
        <v>6.0174216e-05</v>
      </c>
      <c r="U193" s="2">
        <f>IF(COUNT('Turns'!F518)=1,SUM('Turns'!F518),"Unknown")</f>
        <v>6.84e-05</v>
      </c>
      <c r="V193" s="2">
        <v>0</v>
      </c>
      <c r="W193" s="2">
        <v>0</v>
      </c>
      <c r="X193" s="2">
        <v>0</v>
      </c>
      <c r="Y193" s="2">
        <f>IF(COUNT('Turns'!E522)=1,SUM('Turns'!E522),"Unknown")</f>
        <v>0.000891528516</v>
      </c>
      <c r="Z193" s="2">
        <f>IF(COUNT('Turns'!F522)=1,SUM('Turns'!F522),"Unknown")</f>
        <v>0.0010134</v>
      </c>
      <c r="AA193" s="5">
        <f>IF(ISNUMBER(Y193),ROUND(Y193*'Reference data'!$B$2,0),"Unknown")</f>
        <v>89.0</v>
      </c>
      <c r="AB193" s="5">
        <f>IF(ISNUMBER(Z193),ROUND(Z193*'Reference data'!$B$2,0),"Unknown")</f>
        <v>101.0</v>
      </c>
      <c r="AD193" s="1">
        <v>5.129</v>
      </c>
      <c r="AE193" s="1" t="s">
        <v>361</v>
      </c>
    </row>
    <row r="194" spans="1:31" ht="54" customHeight="1">
      <c r="A194" s="6" t="s">
        <v>378</v>
      </c>
      <c r="B194" s="1">
        <v>5</v>
      </c>
      <c r="C194" s="1" t="s">
        <v>379</v>
      </c>
      <c r="D194" s="1" t="s">
        <v>126</v>
      </c>
      <c r="E194" s="1" t="s">
        <v>141</v>
      </c>
      <c r="F194" s="1">
        <v>4725</v>
      </c>
      <c r="G194" s="6" t="s">
        <v>402</v>
      </c>
      <c r="H194" t="s">
        <v>310</v>
      </c>
      <c r="I194" t="s">
        <v>542</v>
      </c>
      <c r="J194" s="2">
        <f>IF(COUNT('Turns'!D513)=1,SUM('Turns'!D513),"Unknown")</f>
        <v>4725.0</v>
      </c>
      <c r="K194" s="2">
        <f>IF(COUNT('Turns'!E513)=1,SUM('Turns'!E513),"Unknown")</f>
        <v>0.0008313543</v>
      </c>
      <c r="L194" s="2">
        <f>IF(COUNT('Turns'!F513)=1,SUM('Turns'!F513),"Unknown")</f>
        <v>0.000945</v>
      </c>
      <c r="M194" s="2">
        <f>IF(COUNT('Turns'!D512)=1,SUM('Turns'!D512),"Unknown")</f>
        <v>0.0</v>
      </c>
      <c r="N194" s="2">
        <f>IF(COUNT('Turns'!E512)=1,SUM('Turns'!E512),"Unknown")</f>
        <v>0.0</v>
      </c>
      <c r="O194" s="2">
        <f>IF(COUNT('Turns'!F512)=1,SUM('Turns'!F512),"Unknown")</f>
        <v>0.0</v>
      </c>
      <c r="P194" s="2">
        <v>0</v>
      </c>
      <c r="Q194" s="2">
        <v>0</v>
      </c>
      <c r="R194" s="2">
        <v>0</v>
      </c>
      <c r="S194" s="2">
        <f>IF(COUNT('Turns'!D518)=1,SUM('Turns'!D518),"Unknown")</f>
        <v>57.0</v>
      </c>
      <c r="T194" s="2">
        <f>IF(COUNT('Turns'!E518)=1,SUM('Turns'!E518),"Unknown")</f>
        <v>6.0174216e-05</v>
      </c>
      <c r="U194" s="2">
        <f>IF(COUNT('Turns'!F518)=1,SUM('Turns'!F518),"Unknown")</f>
        <v>6.84e-05</v>
      </c>
      <c r="V194" s="2">
        <v>0</v>
      </c>
      <c r="W194" s="2">
        <v>0</v>
      </c>
      <c r="X194" s="2">
        <v>0</v>
      </c>
      <c r="Y194" s="2">
        <f>IF(COUNT('Turns'!E522)=1,SUM('Turns'!E522),"Unknown")</f>
        <v>0.000891528516</v>
      </c>
      <c r="Z194" s="2">
        <f>IF(COUNT('Turns'!F522)=1,SUM('Turns'!F522),"Unknown")</f>
        <v>0.0010134</v>
      </c>
      <c r="AA194" s="5">
        <f>IF(ISNUMBER(Y194),ROUND(Y194*'Reference data'!$B$2,0),"Unknown")</f>
        <v>89.0</v>
      </c>
      <c r="AB194" s="5">
        <f>IF(ISNUMBER(Z194),ROUND(Z194*'Reference data'!$B$2,0),"Unknown")</f>
        <v>101.0</v>
      </c>
      <c r="AC194" s="1" t="s">
        <v>309</v>
      </c>
      <c r="AD194" s="1">
        <v>3.124</v>
      </c>
      <c r="AE194" s="1" t="s">
        <v>381</v>
      </c>
    </row>
    <row r="195" spans="1:31" ht="54" customHeight="1">
      <c r="A195" s="6" t="s">
        <v>382</v>
      </c>
      <c r="B195" s="1">
        <v>4</v>
      </c>
      <c r="C195" s="1" t="s">
        <v>359</v>
      </c>
      <c r="D195" s="1" t="s">
        <v>47</v>
      </c>
      <c r="E195" s="1" t="s">
        <v>141</v>
      </c>
      <c r="G195" s="6" t="s">
        <v>383</v>
      </c>
      <c r="H195" t="s">
        <v>543</v>
      </c>
      <c r="I195" t="s">
        <v>537</v>
      </c>
      <c r="AD195" s="1">
        <v>2.317</v>
      </c>
      <c r="AE195" s="1" t="s">
        <v>374</v>
      </c>
    </row>
    <row r="196" spans="1:31" ht="54" customHeight="1">
      <c r="A196" s="6" t="s">
        <v>404</v>
      </c>
      <c r="B196" s="1">
        <v>5</v>
      </c>
      <c r="C196" s="1" t="s">
        <v>386</v>
      </c>
      <c r="D196" s="1" t="s">
        <v>47</v>
      </c>
      <c r="E196" s="1" t="s">
        <v>141</v>
      </c>
      <c r="G196" s="6" t="s">
        <v>405</v>
      </c>
      <c r="H196" t="s">
        <v>312</v>
      </c>
      <c r="I196" t="s">
        <v>543</v>
      </c>
      <c r="AD196" s="1">
        <v>0.842</v>
      </c>
      <c r="AE196" s="1" t="s">
        <v>374</v>
      </c>
    </row>
    <row r="197" spans="1:31" ht="54" customHeight="1">
      <c r="A197" s="6" t="s">
        <v>371</v>
      </c>
      <c r="B197" s="1">
        <v>4</v>
      </c>
      <c r="C197" s="1" t="s">
        <v>359</v>
      </c>
      <c r="D197" s="1" t="s">
        <v>47</v>
      </c>
      <c r="E197" s="1" t="s">
        <v>141</v>
      </c>
      <c r="G197" s="6" t="s">
        <v>372</v>
      </c>
      <c r="H197" t="s">
        <v>544</v>
      </c>
      <c r="I197" t="s">
        <v>537</v>
      </c>
      <c r="AD197" s="1">
        <v>0.6</v>
      </c>
      <c r="AE197" s="1" t="s">
        <v>374</v>
      </c>
    </row>
    <row r="198" spans="1:31" ht="54" customHeight="1">
      <c r="A198" s="6" t="s">
        <v>375</v>
      </c>
      <c r="B198" s="1">
        <v>4</v>
      </c>
      <c r="C198" s="1" t="s">
        <v>359</v>
      </c>
      <c r="D198" s="1" t="s">
        <v>47</v>
      </c>
      <c r="E198" s="1" t="s">
        <v>141</v>
      </c>
      <c r="G198" s="6" t="s">
        <v>376</v>
      </c>
      <c r="H198" t="s">
        <v>545</v>
      </c>
      <c r="I198" t="s">
        <v>537</v>
      </c>
      <c r="J198" s="2">
        <f>IF(COUNT('Turns'!D528)=1,SUM('Turns'!D528),"Unknown")</f>
        <v>5067.0</v>
      </c>
      <c r="K198" s="2">
        <f>IF(COUNT('Turns'!E528)=1,SUM('Turns'!E528),"Unknown")</f>
        <v>0.000891528516</v>
      </c>
      <c r="L198" s="2">
        <f>IF(COUNT('Turns'!F528)=1,SUM('Turns'!F528),"Unknown")</f>
        <v>0.0010134</v>
      </c>
      <c r="M198" s="2">
        <f>IF(COUNT('Turns'!D527)=1,SUM('Turns'!D527),"Unknown")</f>
        <v>0.0</v>
      </c>
      <c r="N198" s="2">
        <f>IF(COUNT('Turns'!E527)=1,SUM('Turns'!E527),"Unknown")</f>
        <v>0.0</v>
      </c>
      <c r="O198" s="2">
        <f>IF(COUNT('Turns'!F527)=1,SUM('Turns'!F527),"Unknown")</f>
        <v>0.0</v>
      </c>
      <c r="P198" s="2">
        <v>0</v>
      </c>
      <c r="Q198" s="2">
        <v>0</v>
      </c>
      <c r="R198" s="2">
        <v>0</v>
      </c>
      <c r="S198" s="2">
        <f>IF(COUNT('Turns'!D533)=1,SUM('Turns'!D533),"Unknown")</f>
        <v>144.0</v>
      </c>
      <c r="T198" s="2">
        <f>IF(COUNT('Turns'!E533)=1,SUM('Turns'!E533),"Unknown")</f>
        <v>0.000152019072</v>
      </c>
      <c r="U198" s="2">
        <f>IF(COUNT('Turns'!F533)=1,SUM('Turns'!F533),"Unknown")</f>
        <v>0.0001728</v>
      </c>
      <c r="V198" s="2">
        <v>0</v>
      </c>
      <c r="W198" s="2">
        <v>0</v>
      </c>
      <c r="X198" s="2">
        <v>0</v>
      </c>
      <c r="Y198" s="2">
        <f>IF(COUNT('Turns'!E537)=1,SUM('Turns'!E537),"Unknown")</f>
        <v>0.001043547588</v>
      </c>
      <c r="Z198" s="2">
        <f>IF(COUNT('Turns'!F537)=1,SUM('Turns'!F537),"Unknown")</f>
        <v>0.0011862</v>
      </c>
      <c r="AA198" s="5">
        <f>IF(ISNUMBER(Y198),ROUND(Y198*'Reference data'!$B$2,0),"Unknown")</f>
        <v>104.0</v>
      </c>
      <c r="AB198" s="5">
        <f>IF(ISNUMBER(Z198),ROUND(Z198*'Reference data'!$B$2,0),"Unknown")</f>
        <v>119.0</v>
      </c>
      <c r="AD198" s="1">
        <v>6.38</v>
      </c>
      <c r="AE198" s="1" t="s">
        <v>361</v>
      </c>
    </row>
    <row r="199" spans="1:31" ht="54" customHeight="1">
      <c r="A199" s="6" t="s">
        <v>378</v>
      </c>
      <c r="B199" s="1">
        <v>5</v>
      </c>
      <c r="C199" s="1" t="s">
        <v>379</v>
      </c>
      <c r="D199" s="1" t="s">
        <v>126</v>
      </c>
      <c r="E199" s="1" t="s">
        <v>141</v>
      </c>
      <c r="F199" s="1">
        <v>5067</v>
      </c>
      <c r="G199" s="6" t="s">
        <v>402</v>
      </c>
      <c r="H199" t="s">
        <v>314</v>
      </c>
      <c r="I199" t="s">
        <v>545</v>
      </c>
      <c r="J199" s="2">
        <f>IF(COUNT('Turns'!D528)=1,SUM('Turns'!D528),"Unknown")</f>
        <v>5067.0</v>
      </c>
      <c r="K199" s="2">
        <f>IF(COUNT('Turns'!E528)=1,SUM('Turns'!E528),"Unknown")</f>
        <v>0.000891528516</v>
      </c>
      <c r="L199" s="2">
        <f>IF(COUNT('Turns'!F528)=1,SUM('Turns'!F528),"Unknown")</f>
        <v>0.0010134</v>
      </c>
      <c r="M199" s="2">
        <f>IF(COUNT('Turns'!D527)=1,SUM('Turns'!D527),"Unknown")</f>
        <v>0.0</v>
      </c>
      <c r="N199" s="2">
        <f>IF(COUNT('Turns'!E527)=1,SUM('Turns'!E527),"Unknown")</f>
        <v>0.0</v>
      </c>
      <c r="O199" s="2">
        <f>IF(COUNT('Turns'!F527)=1,SUM('Turns'!F527),"Unknown")</f>
        <v>0.0</v>
      </c>
      <c r="P199" s="2">
        <v>0</v>
      </c>
      <c r="Q199" s="2">
        <v>0</v>
      </c>
      <c r="R199" s="2">
        <v>0</v>
      </c>
      <c r="S199" s="2">
        <f>IF(COUNT('Turns'!D533)=1,SUM('Turns'!D533),"Unknown")</f>
        <v>144.0</v>
      </c>
      <c r="T199" s="2">
        <f>IF(COUNT('Turns'!E533)=1,SUM('Turns'!E533),"Unknown")</f>
        <v>0.000152019072</v>
      </c>
      <c r="U199" s="2">
        <f>IF(COUNT('Turns'!F533)=1,SUM('Turns'!F533),"Unknown")</f>
        <v>0.0001728</v>
      </c>
      <c r="V199" s="2">
        <v>0</v>
      </c>
      <c r="W199" s="2">
        <v>0</v>
      </c>
      <c r="X199" s="2">
        <v>0</v>
      </c>
      <c r="Y199" s="2">
        <f>IF(COUNT('Turns'!E537)=1,SUM('Turns'!E537),"Unknown")</f>
        <v>0.001043547588</v>
      </c>
      <c r="Z199" s="2">
        <f>IF(COUNT('Turns'!F537)=1,SUM('Turns'!F537),"Unknown")</f>
        <v>0.0011862</v>
      </c>
      <c r="AA199" s="5">
        <f>IF(ISNUMBER(Y199),ROUND(Y199*'Reference data'!$B$2,0),"Unknown")</f>
        <v>104.0</v>
      </c>
      <c r="AB199" s="5">
        <f>IF(ISNUMBER(Z199),ROUND(Z199*'Reference data'!$B$2,0),"Unknown")</f>
        <v>119.0</v>
      </c>
      <c r="AC199" s="1" t="s">
        <v>313</v>
      </c>
      <c r="AD199" s="1">
        <v>3.921</v>
      </c>
      <c r="AE199" s="1" t="s">
        <v>381</v>
      </c>
    </row>
    <row r="200" spans="1:31" ht="54" customHeight="1">
      <c r="A200" s="6" t="s">
        <v>382</v>
      </c>
      <c r="B200" s="1">
        <v>4</v>
      </c>
      <c r="C200" s="1" t="s">
        <v>359</v>
      </c>
      <c r="D200" s="1" t="s">
        <v>47</v>
      </c>
      <c r="E200" s="1" t="s">
        <v>141</v>
      </c>
      <c r="G200" s="6" t="s">
        <v>383</v>
      </c>
      <c r="H200" t="s">
        <v>546</v>
      </c>
      <c r="I200" t="s">
        <v>537</v>
      </c>
      <c r="AD200" s="1">
        <v>6.869</v>
      </c>
      <c r="AE200" s="1" t="s">
        <v>374</v>
      </c>
    </row>
    <row r="201" spans="1:31" ht="54" customHeight="1">
      <c r="A201" s="6" t="s">
        <v>439</v>
      </c>
      <c r="B201" s="1">
        <v>5</v>
      </c>
      <c r="C201" s="1" t="s">
        <v>386</v>
      </c>
      <c r="D201" s="1" t="s">
        <v>47</v>
      </c>
      <c r="E201" s="1" t="s">
        <v>141</v>
      </c>
      <c r="G201" s="6" t="s">
        <v>440</v>
      </c>
      <c r="H201" t="s">
        <v>316</v>
      </c>
      <c r="I201" t="s">
        <v>546</v>
      </c>
      <c r="AD201" s="1">
        <v>5.683</v>
      </c>
      <c r="AE201" s="1" t="s">
        <v>374</v>
      </c>
    </row>
    <row r="202" spans="1:31" ht="54" customHeight="1">
      <c r="A202" s="6" t="s">
        <v>371</v>
      </c>
      <c r="B202" s="1">
        <v>4</v>
      </c>
      <c r="C202" s="1" t="s">
        <v>359</v>
      </c>
      <c r="D202" s="1" t="s">
        <v>47</v>
      </c>
      <c r="E202" s="1" t="s">
        <v>141</v>
      </c>
      <c r="G202" s="6" t="s">
        <v>372</v>
      </c>
      <c r="H202" t="s">
        <v>547</v>
      </c>
      <c r="I202" t="s">
        <v>537</v>
      </c>
      <c r="AD202" s="1">
        <v>0.582</v>
      </c>
      <c r="AE202" s="1" t="s">
        <v>374</v>
      </c>
    </row>
    <row r="203" spans="1:31" ht="54" customHeight="1">
      <c r="A203" s="6" t="s">
        <v>375</v>
      </c>
      <c r="B203" s="1">
        <v>4</v>
      </c>
      <c r="C203" s="1" t="s">
        <v>359</v>
      </c>
      <c r="D203" s="1" t="s">
        <v>47</v>
      </c>
      <c r="E203" s="1" t="s">
        <v>141</v>
      </c>
      <c r="G203" s="6" t="s">
        <v>376</v>
      </c>
      <c r="H203" t="s">
        <v>548</v>
      </c>
      <c r="I203" t="s">
        <v>537</v>
      </c>
      <c r="J203" s="2">
        <f>IF(COUNT('Turns'!D543)=1,SUM('Turns'!D543),"Unknown")</f>
        <v>5254.0</v>
      </c>
      <c r="K203" s="2">
        <f>IF(COUNT('Turns'!E543)=1,SUM('Turns'!E543),"Unknown")</f>
        <v>0.000924430792</v>
      </c>
      <c r="L203" s="2">
        <f>IF(COUNT('Turns'!F543)=1,SUM('Turns'!F543),"Unknown")</f>
        <v>0.0010508</v>
      </c>
      <c r="M203" s="2">
        <f>IF(COUNT('Turns'!D542)=1,SUM('Turns'!D542),"Unknown")</f>
        <v>0.0</v>
      </c>
      <c r="N203" s="2">
        <f>IF(COUNT('Turns'!E542)=1,SUM('Turns'!E542),"Unknown")</f>
        <v>0.0</v>
      </c>
      <c r="O203" s="2">
        <f>IF(COUNT('Turns'!F542)=1,SUM('Turns'!F542),"Unknown")</f>
        <v>0.0</v>
      </c>
      <c r="P203" s="2">
        <v>0</v>
      </c>
      <c r="Q203" s="2">
        <v>0</v>
      </c>
      <c r="R203" s="2">
        <v>0</v>
      </c>
      <c r="S203" s="2">
        <f>IF(COUNT('Turns'!D548)=1,SUM('Turns'!D548),"Unknown")</f>
        <v>36.0</v>
      </c>
      <c r="T203" s="2">
        <f>IF(COUNT('Turns'!E548)=1,SUM('Turns'!E548),"Unknown")</f>
        <v>3.8004768e-05</v>
      </c>
      <c r="U203" s="2">
        <f>IF(COUNT('Turns'!F548)=1,SUM('Turns'!F548),"Unknown")</f>
        <v>4.32e-05</v>
      </c>
      <c r="V203" s="2">
        <v>0</v>
      </c>
      <c r="W203" s="2">
        <v>0</v>
      </c>
      <c r="X203" s="2">
        <v>0</v>
      </c>
      <c r="Y203" s="2">
        <f>IF(COUNT('Turns'!E552)=1,SUM('Turns'!E552),"Unknown")</f>
        <v>0.00096243556</v>
      </c>
      <c r="Z203" s="2">
        <f>IF(COUNT('Turns'!F552)=1,SUM('Turns'!F552),"Unknown")</f>
        <v>0.001094</v>
      </c>
      <c r="AA203" s="5">
        <f>IF(ISNUMBER(Y203),ROUND(Y203*'Reference data'!$B$2,0),"Unknown")</f>
        <v>96.0</v>
      </c>
      <c r="AB203" s="5">
        <f>IF(ISNUMBER(Z203),ROUND(Z203*'Reference data'!$B$2,0),"Unknown")</f>
        <v>109.0</v>
      </c>
      <c r="AD203" s="1">
        <v>4.845</v>
      </c>
      <c r="AE203" s="1" t="s">
        <v>361</v>
      </c>
    </row>
    <row r="204" spans="1:31" ht="54" customHeight="1">
      <c r="A204" s="6" t="s">
        <v>378</v>
      </c>
      <c r="B204" s="1">
        <v>5</v>
      </c>
      <c r="C204" s="1" t="s">
        <v>379</v>
      </c>
      <c r="D204" s="1" t="s">
        <v>126</v>
      </c>
      <c r="E204" s="1" t="s">
        <v>141</v>
      </c>
      <c r="F204" s="1">
        <v>5254</v>
      </c>
      <c r="G204" s="6" t="s">
        <v>402</v>
      </c>
      <c r="H204" t="s">
        <v>320</v>
      </c>
      <c r="I204" t="s">
        <v>548</v>
      </c>
      <c r="J204" s="2">
        <f>IF(COUNT('Turns'!D543)=1,SUM('Turns'!D543),"Unknown")</f>
        <v>5254.0</v>
      </c>
      <c r="K204" s="2">
        <f>IF(COUNT('Turns'!E543)=1,SUM('Turns'!E543),"Unknown")</f>
        <v>0.000924430792</v>
      </c>
      <c r="L204" s="2">
        <f>IF(COUNT('Turns'!F543)=1,SUM('Turns'!F543),"Unknown")</f>
        <v>0.0010508</v>
      </c>
      <c r="M204" s="2">
        <f>IF(COUNT('Turns'!D542)=1,SUM('Turns'!D542),"Unknown")</f>
        <v>0.0</v>
      </c>
      <c r="N204" s="2">
        <f>IF(COUNT('Turns'!E542)=1,SUM('Turns'!E542),"Unknown")</f>
        <v>0.0</v>
      </c>
      <c r="O204" s="2">
        <f>IF(COUNT('Turns'!F542)=1,SUM('Turns'!F542),"Unknown")</f>
        <v>0.0</v>
      </c>
      <c r="P204" s="2">
        <v>0</v>
      </c>
      <c r="Q204" s="2">
        <v>0</v>
      </c>
      <c r="R204" s="2">
        <v>0</v>
      </c>
      <c r="S204" s="2">
        <f>IF(COUNT('Turns'!D548)=1,SUM('Turns'!D548),"Unknown")</f>
        <v>36.0</v>
      </c>
      <c r="T204" s="2">
        <f>IF(COUNT('Turns'!E548)=1,SUM('Turns'!E548),"Unknown")</f>
        <v>3.8004768e-05</v>
      </c>
      <c r="U204" s="2">
        <f>IF(COUNT('Turns'!F548)=1,SUM('Turns'!F548),"Unknown")</f>
        <v>4.32e-05</v>
      </c>
      <c r="V204" s="2">
        <v>0</v>
      </c>
      <c r="W204" s="2">
        <v>0</v>
      </c>
      <c r="X204" s="2">
        <v>0</v>
      </c>
      <c r="Y204" s="2">
        <f>IF(COUNT('Turns'!E552)=1,SUM('Turns'!E552),"Unknown")</f>
        <v>0.00096243556</v>
      </c>
      <c r="Z204" s="2">
        <f>IF(COUNT('Turns'!F552)=1,SUM('Turns'!F552),"Unknown")</f>
        <v>0.001094</v>
      </c>
      <c r="AA204" s="5">
        <f>IF(ISNUMBER(Y204),ROUND(Y204*'Reference data'!$B$2,0),"Unknown")</f>
        <v>96.0</v>
      </c>
      <c r="AB204" s="5">
        <f>IF(ISNUMBER(Z204),ROUND(Z204*'Reference data'!$B$2,0),"Unknown")</f>
        <v>109.0</v>
      </c>
      <c r="AC204" s="1" t="s">
        <v>319</v>
      </c>
      <c r="AD204" s="1">
        <v>2.817</v>
      </c>
      <c r="AE204" s="1" t="s">
        <v>381</v>
      </c>
    </row>
    <row r="205" spans="1:31" ht="54" customHeight="1">
      <c r="A205" s="6" t="s">
        <v>411</v>
      </c>
      <c r="B205" s="1">
        <v>1</v>
      </c>
      <c r="C205" s="1" t="s">
        <v>359</v>
      </c>
      <c r="D205" s="1" t="s">
        <v>47</v>
      </c>
      <c r="E205" s="1" t="s">
        <v>141</v>
      </c>
      <c r="G205" s="6" t="s">
        <v>412</v>
      </c>
      <c r="H205" t="s">
        <v>549</v>
      </c>
      <c r="I205" t="s">
        <v>520</v>
      </c>
      <c r="AD205" s="1">
        <v>77.47</v>
      </c>
      <c r="AE205" s="1" t="s">
        <v>374</v>
      </c>
    </row>
    <row r="206" spans="1:31" ht="54" customHeight="1">
      <c r="A206" s="6" t="s">
        <v>414</v>
      </c>
      <c r="B206" s="1">
        <v>1</v>
      </c>
      <c r="C206" s="1" t="s">
        <v>359</v>
      </c>
      <c r="D206" s="1" t="s">
        <v>47</v>
      </c>
      <c r="E206" s="1" t="s">
        <v>141</v>
      </c>
      <c r="G206" s="6" t="s">
        <v>415</v>
      </c>
      <c r="H206" t="s">
        <v>550</v>
      </c>
      <c r="I206" t="s">
        <v>520</v>
      </c>
      <c r="J206" s="2">
        <f>IF(COUNT('Turns'!D555,'Turns'!D569,'Turns'!D584,'Turns'!D599)=4,SUM('Turns'!D555,'Turns'!D569,'Turns'!D584,'Turns'!D599),"Unknown")</f>
        <v>11502.0</v>
      </c>
      <c r="K206" s="2">
        <f>IF(COUNT('Turns'!E555,'Turns'!E569,'Turns'!E584,'Turns'!E599)=4,SUM('Turns'!E555,'Turns'!E569,'Turns'!E584,'Turns'!E599),"Unknown")</f>
        <v>0.002023753896</v>
      </c>
      <c r="L206" s="2">
        <f>IF(COUNT('Turns'!F555,'Turns'!F569,'Turns'!F584,'Turns'!F599)=4,SUM('Turns'!F555,'Turns'!F569,'Turns'!F584,'Turns'!F599),"Unknown")</f>
        <v>0.0023004</v>
      </c>
      <c r="M206" s="2">
        <f>IF(COUNT('Turns'!D554,'Turns'!D568,'Turns'!D583,'Turns'!D598)=4,SUM('Turns'!D554,'Turns'!D568,'Turns'!D583,'Turns'!D598),"Unknown")</f>
        <v>0.0</v>
      </c>
      <c r="N206" s="2">
        <f>IF(COUNT('Turns'!E554,'Turns'!E568,'Turns'!E583,'Turns'!E598)=4,SUM('Turns'!E554,'Turns'!E568,'Turns'!E583,'Turns'!E598),"Unknown")</f>
        <v>0.0</v>
      </c>
      <c r="O206" s="2">
        <f>IF(COUNT('Turns'!F554,'Turns'!F568,'Turns'!F583,'Turns'!F598)=4,SUM('Turns'!F554,'Turns'!F568,'Turns'!F583,'Turns'!F598),"Unknown")</f>
        <v>0.0</v>
      </c>
      <c r="P206" s="2">
        <v>0</v>
      </c>
      <c r="Q206" s="2">
        <v>0</v>
      </c>
      <c r="R206" s="2">
        <v>0</v>
      </c>
      <c r="S206" s="2">
        <f>IF(COUNT('Turns'!D559,'Turns'!D574,'Turns'!D589,'Turns'!D604)=4,SUM('Turns'!D559,'Turns'!D574,'Turns'!D589,'Turns'!D604),"Unknown")</f>
        <v>244.0</v>
      </c>
      <c r="T206" s="2">
        <f>IF(COUNT('Turns'!E559,'Turns'!E574,'Turns'!E589,'Turns'!E604)=4,SUM('Turns'!E559,'Turns'!E574,'Turns'!E589,'Turns'!E604),"Unknown")</f>
        <v>0.000257587872</v>
      </c>
      <c r="U206" s="2">
        <f>IF(COUNT('Turns'!F559,'Turns'!F574,'Turns'!F589,'Turns'!F604)=4,SUM('Turns'!F559,'Turns'!F574,'Turns'!F589,'Turns'!F604),"Unknown")</f>
        <v>0.0002928</v>
      </c>
      <c r="V206" s="2">
        <v>0</v>
      </c>
      <c r="W206" s="2">
        <v>0</v>
      </c>
      <c r="X206" s="2">
        <v>0</v>
      </c>
      <c r="Y206" s="2">
        <f>IF(COUNT('Turns'!E563,'Turns'!E578,'Turns'!E593,'Turns'!E608)=4,SUM('Turns'!E563,'Turns'!E578,'Turns'!E593,'Turns'!E608),"Unknown")</f>
        <v>0.002281341768</v>
      </c>
      <c r="Z206" s="2">
        <f>IF(COUNT('Turns'!F563,'Turns'!F578,'Turns'!F593,'Turns'!F608)=4,SUM('Turns'!F563,'Turns'!F578,'Turns'!F593,'Turns'!F608),"Unknown")</f>
        <v>0.0025932</v>
      </c>
      <c r="AA206" s="5">
        <f>IF(ISNUMBER(Y206),ROUND(Y206*'Reference data'!$B$2,0),"Unknown")</f>
        <v>228.0</v>
      </c>
      <c r="AB206" s="5">
        <f>IF(ISNUMBER(Z206),ROUND(Z206*'Reference data'!$B$2,0),"Unknown")</f>
        <v>259.0</v>
      </c>
      <c r="AD206" s="1">
        <v>31.514</v>
      </c>
      <c r="AE206" s="1" t="s">
        <v>361</v>
      </c>
    </row>
    <row r="207" spans="1:31" ht="54" customHeight="1">
      <c r="A207" s="6" t="s">
        <v>365</v>
      </c>
      <c r="B207" s="1">
        <v>2</v>
      </c>
      <c r="C207" s="1" t="s">
        <v>359</v>
      </c>
      <c r="D207" s="1" t="s">
        <v>47</v>
      </c>
      <c r="E207" s="1" t="s">
        <v>141</v>
      </c>
      <c r="G207" s="6" t="s">
        <v>366</v>
      </c>
      <c r="H207" t="s">
        <v>551</v>
      </c>
      <c r="I207" t="s">
        <v>550</v>
      </c>
      <c r="J207" s="2">
        <f>IF(COUNT('Turns'!D555,'Turns'!D569,'Turns'!D584,'Turns'!D599)=4,SUM('Turns'!D555,'Turns'!D569,'Turns'!D584,'Turns'!D599),"Unknown")</f>
        <v>11502.0</v>
      </c>
      <c r="K207" s="2">
        <f>IF(COUNT('Turns'!E555,'Turns'!E569,'Turns'!E584,'Turns'!E599)=4,SUM('Turns'!E555,'Turns'!E569,'Turns'!E584,'Turns'!E599),"Unknown")</f>
        <v>0.002023753896</v>
      </c>
      <c r="L207" s="2">
        <f>IF(COUNT('Turns'!F555,'Turns'!F569,'Turns'!F584,'Turns'!F599)=4,SUM('Turns'!F555,'Turns'!F569,'Turns'!F584,'Turns'!F599),"Unknown")</f>
        <v>0.0023004</v>
      </c>
      <c r="M207" s="2">
        <f>IF(COUNT('Turns'!D554,'Turns'!D568,'Turns'!D583,'Turns'!D598)=4,SUM('Turns'!D554,'Turns'!D568,'Turns'!D583,'Turns'!D598),"Unknown")</f>
        <v>0.0</v>
      </c>
      <c r="N207" s="2">
        <f>IF(COUNT('Turns'!E554,'Turns'!E568,'Turns'!E583,'Turns'!E598)=4,SUM('Turns'!E554,'Turns'!E568,'Turns'!E583,'Turns'!E598),"Unknown")</f>
        <v>0.0</v>
      </c>
      <c r="O207" s="2">
        <f>IF(COUNT('Turns'!F554,'Turns'!F568,'Turns'!F583,'Turns'!F598)=4,SUM('Turns'!F554,'Turns'!F568,'Turns'!F583,'Turns'!F598),"Unknown")</f>
        <v>0.0</v>
      </c>
      <c r="P207" s="2">
        <v>0</v>
      </c>
      <c r="Q207" s="2">
        <v>0</v>
      </c>
      <c r="R207" s="2">
        <v>0</v>
      </c>
      <c r="S207" s="2">
        <f>IF(COUNT('Turns'!D559,'Turns'!D574,'Turns'!D589,'Turns'!D604)=4,SUM('Turns'!D559,'Turns'!D574,'Turns'!D589,'Turns'!D604),"Unknown")</f>
        <v>244.0</v>
      </c>
      <c r="T207" s="2">
        <f>IF(COUNT('Turns'!E559,'Turns'!E574,'Turns'!E589,'Turns'!E604)=4,SUM('Turns'!E559,'Turns'!E574,'Turns'!E589,'Turns'!E604),"Unknown")</f>
        <v>0.000257587872</v>
      </c>
      <c r="U207" s="2">
        <f>IF(COUNT('Turns'!F559,'Turns'!F574,'Turns'!F589,'Turns'!F604)=4,SUM('Turns'!F559,'Turns'!F574,'Turns'!F589,'Turns'!F604),"Unknown")</f>
        <v>0.0002928</v>
      </c>
      <c r="V207" s="2">
        <v>0</v>
      </c>
      <c r="W207" s="2">
        <v>0</v>
      </c>
      <c r="X207" s="2">
        <v>0</v>
      </c>
      <c r="Y207" s="2">
        <f>IF(COUNT('Turns'!E563,'Turns'!E578,'Turns'!E593,'Turns'!E608)=4,SUM('Turns'!E563,'Turns'!E578,'Turns'!E593,'Turns'!E608),"Unknown")</f>
        <v>0.002281341768</v>
      </c>
      <c r="Z207" s="2">
        <f>IF(COUNT('Turns'!F563,'Turns'!F578,'Turns'!F593,'Turns'!F608)=4,SUM('Turns'!F563,'Turns'!F578,'Turns'!F593,'Turns'!F608),"Unknown")</f>
        <v>0.0025932</v>
      </c>
      <c r="AA207" s="5">
        <f>IF(ISNUMBER(Y207),ROUND(Y207*'Reference data'!$B$2,0),"Unknown")</f>
        <v>228.0</v>
      </c>
      <c r="AB207" s="5">
        <f>IF(ISNUMBER(Z207),ROUND(Z207*'Reference data'!$B$2,0),"Unknown")</f>
        <v>259.0</v>
      </c>
      <c r="AD207" s="1">
        <v>30.049</v>
      </c>
      <c r="AE207" s="1" t="s">
        <v>361</v>
      </c>
    </row>
    <row r="208" spans="1:31" ht="54" customHeight="1">
      <c r="A208" s="6" t="s">
        <v>418</v>
      </c>
      <c r="B208" s="1">
        <v>3</v>
      </c>
      <c r="C208" s="1" t="s">
        <v>359</v>
      </c>
      <c r="D208" s="1" t="s">
        <v>47</v>
      </c>
      <c r="E208" s="1" t="s">
        <v>141</v>
      </c>
      <c r="G208" s="6" t="s">
        <v>419</v>
      </c>
      <c r="H208" t="s">
        <v>552</v>
      </c>
      <c r="I208" t="s">
        <v>551</v>
      </c>
      <c r="J208" s="2">
        <f>IF(COUNT('Turns'!D555,'Turns'!D569,'Turns'!D584,'Turns'!D599)=4,SUM('Turns'!D555,'Turns'!D569,'Turns'!D584,'Turns'!D599),"Unknown")</f>
        <v>11502.0</v>
      </c>
      <c r="K208" s="2">
        <f>IF(COUNT('Turns'!E555,'Turns'!E569,'Turns'!E584,'Turns'!E599)=4,SUM('Turns'!E555,'Turns'!E569,'Turns'!E584,'Turns'!E599),"Unknown")</f>
        <v>0.002023753896</v>
      </c>
      <c r="L208" s="2">
        <f>IF(COUNT('Turns'!F555,'Turns'!F569,'Turns'!F584,'Turns'!F599)=4,SUM('Turns'!F555,'Turns'!F569,'Turns'!F584,'Turns'!F599),"Unknown")</f>
        <v>0.0023004</v>
      </c>
      <c r="M208" s="2">
        <f>IF(COUNT('Turns'!D554,'Turns'!D568,'Turns'!D583,'Turns'!D598)=4,SUM('Turns'!D554,'Turns'!D568,'Turns'!D583,'Turns'!D598),"Unknown")</f>
        <v>0.0</v>
      </c>
      <c r="N208" s="2">
        <f>IF(COUNT('Turns'!E554,'Turns'!E568,'Turns'!E583,'Turns'!E598)=4,SUM('Turns'!E554,'Turns'!E568,'Turns'!E583,'Turns'!E598),"Unknown")</f>
        <v>0.0</v>
      </c>
      <c r="O208" s="2">
        <f>IF(COUNT('Turns'!F554,'Turns'!F568,'Turns'!F583,'Turns'!F598)=4,SUM('Turns'!F554,'Turns'!F568,'Turns'!F583,'Turns'!F598),"Unknown")</f>
        <v>0.0</v>
      </c>
      <c r="P208" s="2">
        <v>0</v>
      </c>
      <c r="Q208" s="2">
        <v>0</v>
      </c>
      <c r="R208" s="2">
        <v>0</v>
      </c>
      <c r="S208" s="2">
        <f>IF(COUNT('Turns'!D559,'Turns'!D574,'Turns'!D589,'Turns'!D604)=4,SUM('Turns'!D559,'Turns'!D574,'Turns'!D589,'Turns'!D604),"Unknown")</f>
        <v>244.0</v>
      </c>
      <c r="T208" s="2">
        <f>IF(COUNT('Turns'!E559,'Turns'!E574,'Turns'!E589,'Turns'!E604)=4,SUM('Turns'!E559,'Turns'!E574,'Turns'!E589,'Turns'!E604),"Unknown")</f>
        <v>0.000257587872</v>
      </c>
      <c r="U208" s="2">
        <f>IF(COUNT('Turns'!F559,'Turns'!F574,'Turns'!F589,'Turns'!F604)=4,SUM('Turns'!F559,'Turns'!F574,'Turns'!F589,'Turns'!F604),"Unknown")</f>
        <v>0.0002928</v>
      </c>
      <c r="V208" s="2">
        <v>0</v>
      </c>
      <c r="W208" s="2">
        <v>0</v>
      </c>
      <c r="X208" s="2">
        <v>0</v>
      </c>
      <c r="Y208" s="2">
        <f>IF(COUNT('Turns'!E563,'Turns'!E578,'Turns'!E593,'Turns'!E608)=4,SUM('Turns'!E563,'Turns'!E578,'Turns'!E593,'Turns'!E608),"Unknown")</f>
        <v>0.002281341768</v>
      </c>
      <c r="Z208" s="2">
        <f>IF(COUNT('Turns'!F563,'Turns'!F578,'Turns'!F593,'Turns'!F608)=4,SUM('Turns'!F563,'Turns'!F578,'Turns'!F593,'Turns'!F608),"Unknown")</f>
        <v>0.0025932</v>
      </c>
      <c r="AA208" s="5">
        <f>IF(ISNUMBER(Y208),ROUND(Y208*'Reference data'!$B$2,0),"Unknown")</f>
        <v>228.0</v>
      </c>
      <c r="AB208" s="5">
        <f>IF(ISNUMBER(Z208),ROUND(Z208*'Reference data'!$B$2,0),"Unknown")</f>
        <v>259.0</v>
      </c>
      <c r="AD208" s="1">
        <v>29.195</v>
      </c>
      <c r="AE208" s="1" t="s">
        <v>361</v>
      </c>
    </row>
    <row r="209" spans="1:31" ht="54" customHeight="1">
      <c r="A209" s="6" t="s">
        <v>375</v>
      </c>
      <c r="B209" s="1">
        <v>4</v>
      </c>
      <c r="C209" s="1" t="s">
        <v>359</v>
      </c>
      <c r="D209" s="1" t="s">
        <v>47</v>
      </c>
      <c r="E209" s="1" t="s">
        <v>141</v>
      </c>
      <c r="G209" s="6" t="s">
        <v>376</v>
      </c>
      <c r="H209" t="s">
        <v>553</v>
      </c>
      <c r="I209" t="s">
        <v>552</v>
      </c>
      <c r="J209" s="2">
        <f>IF(COUNT('Turns'!D555)=1,SUM('Turns'!D555),"Unknown")</f>
        <v>1961.0</v>
      </c>
      <c r="K209" s="2">
        <f>IF(COUNT('Turns'!E555)=1,SUM('Turns'!E555),"Unknown")</f>
        <v>0.000345034028</v>
      </c>
      <c r="L209" s="2">
        <f>IF(COUNT('Turns'!F555)=1,SUM('Turns'!F555),"Unknown")</f>
        <v>0.0003922</v>
      </c>
      <c r="M209" s="2">
        <f>IF(COUNT('Turns'!D554)=1,SUM('Turns'!D554),"Unknown")</f>
        <v>0.0</v>
      </c>
      <c r="N209" s="2">
        <f>IF(COUNT('Turns'!E554)=1,SUM('Turns'!E554),"Unknown")</f>
        <v>0.0</v>
      </c>
      <c r="O209" s="2">
        <f>IF(COUNT('Turns'!F554)=1,SUM('Turns'!F554),"Unknown")</f>
        <v>0.0</v>
      </c>
      <c r="P209" s="2">
        <v>0</v>
      </c>
      <c r="Q209" s="2">
        <v>0</v>
      </c>
      <c r="R209" s="2">
        <v>0</v>
      </c>
      <c r="S209" s="2">
        <f>IF(COUNT('Turns'!D559)=1,SUM('Turns'!D559),"Unknown")</f>
        <v>56.0</v>
      </c>
      <c r="T209" s="2">
        <f>IF(COUNT('Turns'!E559)=1,SUM('Turns'!E559),"Unknown")</f>
        <v>5.9118528e-05</v>
      </c>
      <c r="U209" s="2">
        <f>IF(COUNT('Turns'!F559)=1,SUM('Turns'!F559),"Unknown")</f>
        <v>6.72e-05</v>
      </c>
      <c r="V209" s="2">
        <v>0</v>
      </c>
      <c r="W209" s="2">
        <v>0</v>
      </c>
      <c r="X209" s="2">
        <v>0</v>
      </c>
      <c r="Y209" s="2">
        <f>IF(COUNT('Turns'!E563)=1,SUM('Turns'!E563),"Unknown")</f>
        <v>0.000404152556</v>
      </c>
      <c r="Z209" s="2">
        <f>IF(COUNT('Turns'!F563)=1,SUM('Turns'!F563),"Unknown")</f>
        <v>0.0004594</v>
      </c>
      <c r="AA209" s="5">
        <f>IF(ISNUMBER(Y209),ROUND(Y209*'Reference data'!$B$2,0),"Unknown")</f>
        <v>40.0</v>
      </c>
      <c r="AB209" s="5">
        <f>IF(ISNUMBER(Z209),ROUND(Z209*'Reference data'!$B$2,0),"Unknown")</f>
        <v>46.0</v>
      </c>
      <c r="AD209" s="1">
        <v>5.253</v>
      </c>
      <c r="AE209" s="1" t="s">
        <v>361</v>
      </c>
    </row>
    <row r="210" spans="1:31" ht="54" customHeight="1">
      <c r="A210" s="6" t="s">
        <v>378</v>
      </c>
      <c r="B210" s="1">
        <v>5</v>
      </c>
      <c r="C210" s="1" t="s">
        <v>379</v>
      </c>
      <c r="D210" s="1" t="s">
        <v>126</v>
      </c>
      <c r="E210" s="1" t="s">
        <v>141</v>
      </c>
      <c r="F210" s="1">
        <v>1961</v>
      </c>
      <c r="G210" s="6" t="s">
        <v>422</v>
      </c>
      <c r="H210" t="s">
        <v>323</v>
      </c>
      <c r="I210" t="s">
        <v>553</v>
      </c>
      <c r="J210" s="2">
        <f>IF(COUNT('Turns'!D555)=1,SUM('Turns'!D555),"Unknown")</f>
        <v>1961.0</v>
      </c>
      <c r="K210" s="2">
        <f>IF(COUNT('Turns'!E555)=1,SUM('Turns'!E555),"Unknown")</f>
        <v>0.000345034028</v>
      </c>
      <c r="L210" s="2">
        <f>IF(COUNT('Turns'!F555)=1,SUM('Turns'!F555),"Unknown")</f>
        <v>0.0003922</v>
      </c>
      <c r="M210" s="2">
        <f>IF(COUNT('Turns'!D554)=1,SUM('Turns'!D554),"Unknown")</f>
        <v>0.0</v>
      </c>
      <c r="N210" s="2">
        <f>IF(COUNT('Turns'!E554)=1,SUM('Turns'!E554),"Unknown")</f>
        <v>0.0</v>
      </c>
      <c r="O210" s="2">
        <f>IF(COUNT('Turns'!F554)=1,SUM('Turns'!F554),"Unknown")</f>
        <v>0.0</v>
      </c>
      <c r="P210" s="2">
        <v>0</v>
      </c>
      <c r="Q210" s="2">
        <v>0</v>
      </c>
      <c r="R210" s="2">
        <v>0</v>
      </c>
      <c r="S210" s="2">
        <f>IF(COUNT('Turns'!D559)=1,SUM('Turns'!D559),"Unknown")</f>
        <v>56.0</v>
      </c>
      <c r="T210" s="2">
        <f>IF(COUNT('Turns'!E559)=1,SUM('Turns'!E559),"Unknown")</f>
        <v>5.9118528e-05</v>
      </c>
      <c r="U210" s="2">
        <f>IF(COUNT('Turns'!F559)=1,SUM('Turns'!F559),"Unknown")</f>
        <v>6.72e-05</v>
      </c>
      <c r="V210" s="2">
        <v>0</v>
      </c>
      <c r="W210" s="2">
        <v>0</v>
      </c>
      <c r="X210" s="2">
        <v>0</v>
      </c>
      <c r="Y210" s="2">
        <f>IF(COUNT('Turns'!E563)=1,SUM('Turns'!E563),"Unknown")</f>
        <v>0.000404152556</v>
      </c>
      <c r="Z210" s="2">
        <f>IF(COUNT('Turns'!F563)=1,SUM('Turns'!F563),"Unknown")</f>
        <v>0.0004594</v>
      </c>
      <c r="AA210" s="5">
        <f>IF(ISNUMBER(Y210),ROUND(Y210*'Reference data'!$B$2,0),"Unknown")</f>
        <v>40.0</v>
      </c>
      <c r="AB210" s="5">
        <f>IF(ISNUMBER(Z210),ROUND(Z210*'Reference data'!$B$2,0),"Unknown")</f>
        <v>46.0</v>
      </c>
      <c r="AC210" s="1" t="s">
        <v>322</v>
      </c>
      <c r="AD210" s="1">
        <v>2.964</v>
      </c>
      <c r="AE210" s="1" t="s">
        <v>381</v>
      </c>
    </row>
    <row r="211" spans="1:31" ht="54" customHeight="1">
      <c r="A211" s="6" t="s">
        <v>382</v>
      </c>
      <c r="B211" s="1">
        <v>4</v>
      </c>
      <c r="C211" s="1" t="s">
        <v>359</v>
      </c>
      <c r="D211" s="1" t="s">
        <v>47</v>
      </c>
      <c r="E211" s="1" t="s">
        <v>141</v>
      </c>
      <c r="G211" s="6" t="s">
        <v>383</v>
      </c>
      <c r="H211" t="s">
        <v>554</v>
      </c>
      <c r="I211" t="s">
        <v>552</v>
      </c>
      <c r="AD211" s="1">
        <v>2.111</v>
      </c>
      <c r="AE211" s="1" t="s">
        <v>374</v>
      </c>
    </row>
    <row r="212" spans="1:31" ht="54" customHeight="1">
      <c r="A212" s="6" t="s">
        <v>404</v>
      </c>
      <c r="B212" s="1">
        <v>5</v>
      </c>
      <c r="C212" s="1" t="s">
        <v>386</v>
      </c>
      <c r="D212" s="1" t="s">
        <v>47</v>
      </c>
      <c r="E212" s="1" t="s">
        <v>141</v>
      </c>
      <c r="G212" s="6" t="s">
        <v>405</v>
      </c>
      <c r="H212" t="s">
        <v>325</v>
      </c>
      <c r="I212" t="s">
        <v>554</v>
      </c>
      <c r="AD212" s="1">
        <v>0.925</v>
      </c>
      <c r="AE212" s="1" t="s">
        <v>374</v>
      </c>
    </row>
    <row r="213" spans="1:31" ht="54" customHeight="1">
      <c r="A213" s="6" t="s">
        <v>375</v>
      </c>
      <c r="B213" s="1">
        <v>4</v>
      </c>
      <c r="C213" s="1" t="s">
        <v>359</v>
      </c>
      <c r="D213" s="1" t="s">
        <v>47</v>
      </c>
      <c r="E213" s="1" t="s">
        <v>141</v>
      </c>
      <c r="G213" s="6" t="s">
        <v>376</v>
      </c>
      <c r="H213" t="s">
        <v>555</v>
      </c>
      <c r="I213" t="s">
        <v>552</v>
      </c>
      <c r="J213" s="2">
        <f>IF(COUNT('Turns'!D569)=1,SUM('Turns'!D569),"Unknown")</f>
        <v>2834.0</v>
      </c>
      <c r="K213" s="2">
        <f>IF(COUNT('Turns'!E569)=1,SUM('Turns'!E569),"Unknown")</f>
        <v>0.000498636632</v>
      </c>
      <c r="L213" s="2">
        <f>IF(COUNT('Turns'!F569)=1,SUM('Turns'!F569),"Unknown")</f>
        <v>0.0005668</v>
      </c>
      <c r="M213" s="2">
        <f>IF(COUNT('Turns'!D568)=1,SUM('Turns'!D568),"Unknown")</f>
        <v>0.0</v>
      </c>
      <c r="N213" s="2">
        <f>IF(COUNT('Turns'!E568)=1,SUM('Turns'!E568),"Unknown")</f>
        <v>0.0</v>
      </c>
      <c r="O213" s="2">
        <f>IF(COUNT('Turns'!F568)=1,SUM('Turns'!F568),"Unknown")</f>
        <v>0.0</v>
      </c>
      <c r="P213" s="2">
        <v>0</v>
      </c>
      <c r="Q213" s="2">
        <v>0</v>
      </c>
      <c r="R213" s="2">
        <v>0</v>
      </c>
      <c r="S213" s="2">
        <f>IF(COUNT('Turns'!D574)=1,SUM('Turns'!D574),"Unknown")</f>
        <v>56.0</v>
      </c>
      <c r="T213" s="2">
        <f>IF(COUNT('Turns'!E574)=1,SUM('Turns'!E574),"Unknown")</f>
        <v>5.9118528e-05</v>
      </c>
      <c r="U213" s="2">
        <f>IF(COUNT('Turns'!F574)=1,SUM('Turns'!F574),"Unknown")</f>
        <v>6.72e-05</v>
      </c>
      <c r="V213" s="2">
        <v>0</v>
      </c>
      <c r="W213" s="2">
        <v>0</v>
      </c>
      <c r="X213" s="2">
        <v>0</v>
      </c>
      <c r="Y213" s="2">
        <f>IF(COUNT('Turns'!E578)=1,SUM('Turns'!E578),"Unknown")</f>
        <v>0.00055775516</v>
      </c>
      <c r="Z213" s="2">
        <f>IF(COUNT('Turns'!F578)=1,SUM('Turns'!F578),"Unknown")</f>
        <v>0.000634</v>
      </c>
      <c r="AA213" s="5">
        <f>IF(ISNUMBER(Y213),ROUND(Y213*'Reference data'!$B$2,0),"Unknown")</f>
        <v>56.0</v>
      </c>
      <c r="AB213" s="5">
        <f>IF(ISNUMBER(Z213),ROUND(Z213*'Reference data'!$B$2,0),"Unknown")</f>
        <v>63.0</v>
      </c>
      <c r="AD213" s="1">
        <v>4.141</v>
      </c>
      <c r="AE213" s="1" t="s">
        <v>361</v>
      </c>
    </row>
    <row r="214" spans="1:31" ht="54" customHeight="1">
      <c r="A214" s="6" t="s">
        <v>378</v>
      </c>
      <c r="B214" s="1">
        <v>5</v>
      </c>
      <c r="C214" s="1" t="s">
        <v>379</v>
      </c>
      <c r="D214" s="1" t="s">
        <v>126</v>
      </c>
      <c r="E214" s="1" t="s">
        <v>141</v>
      </c>
      <c r="F214" s="1">
        <v>2834</v>
      </c>
      <c r="G214" s="6" t="s">
        <v>422</v>
      </c>
      <c r="H214" t="s">
        <v>327</v>
      </c>
      <c r="I214" t="s">
        <v>555</v>
      </c>
      <c r="J214" s="2">
        <f>IF(COUNT('Turns'!D569)=1,SUM('Turns'!D569),"Unknown")</f>
        <v>2834.0</v>
      </c>
      <c r="K214" s="2">
        <f>IF(COUNT('Turns'!E569)=1,SUM('Turns'!E569),"Unknown")</f>
        <v>0.000498636632</v>
      </c>
      <c r="L214" s="2">
        <f>IF(COUNT('Turns'!F569)=1,SUM('Turns'!F569),"Unknown")</f>
        <v>0.0005668</v>
      </c>
      <c r="M214" s="2">
        <f>IF(COUNT('Turns'!D568)=1,SUM('Turns'!D568),"Unknown")</f>
        <v>0.0</v>
      </c>
      <c r="N214" s="2">
        <f>IF(COUNT('Turns'!E568)=1,SUM('Turns'!E568),"Unknown")</f>
        <v>0.0</v>
      </c>
      <c r="O214" s="2">
        <f>IF(COUNT('Turns'!F568)=1,SUM('Turns'!F568),"Unknown")</f>
        <v>0.0</v>
      </c>
      <c r="P214" s="2">
        <v>0</v>
      </c>
      <c r="Q214" s="2">
        <v>0</v>
      </c>
      <c r="R214" s="2">
        <v>0</v>
      </c>
      <c r="S214" s="2">
        <f>IF(COUNT('Turns'!D574)=1,SUM('Turns'!D574),"Unknown")</f>
        <v>56.0</v>
      </c>
      <c r="T214" s="2">
        <f>IF(COUNT('Turns'!E574)=1,SUM('Turns'!E574),"Unknown")</f>
        <v>5.9118528e-05</v>
      </c>
      <c r="U214" s="2">
        <f>IF(COUNT('Turns'!F574)=1,SUM('Turns'!F574),"Unknown")</f>
        <v>6.72e-05</v>
      </c>
      <c r="V214" s="2">
        <v>0</v>
      </c>
      <c r="W214" s="2">
        <v>0</v>
      </c>
      <c r="X214" s="2">
        <v>0</v>
      </c>
      <c r="Y214" s="2">
        <f>IF(COUNT('Turns'!E578)=1,SUM('Turns'!E578),"Unknown")</f>
        <v>0.00055775516</v>
      </c>
      <c r="Z214" s="2">
        <f>IF(COUNT('Turns'!F578)=1,SUM('Turns'!F578),"Unknown")</f>
        <v>0.000634</v>
      </c>
      <c r="AA214" s="5">
        <f>IF(ISNUMBER(Y214),ROUND(Y214*'Reference data'!$B$2,0),"Unknown")</f>
        <v>56.0</v>
      </c>
      <c r="AB214" s="5">
        <f>IF(ISNUMBER(Z214),ROUND(Z214*'Reference data'!$B$2,0),"Unknown")</f>
        <v>63.0</v>
      </c>
      <c r="AC214" s="1" t="s">
        <v>326</v>
      </c>
      <c r="AD214" s="1">
        <v>2.763</v>
      </c>
      <c r="AE214" s="1" t="s">
        <v>381</v>
      </c>
    </row>
    <row r="215" spans="1:31" ht="54" customHeight="1">
      <c r="A215" s="6" t="s">
        <v>382</v>
      </c>
      <c r="B215" s="1">
        <v>4</v>
      </c>
      <c r="C215" s="1" t="s">
        <v>359</v>
      </c>
      <c r="D215" s="1" t="s">
        <v>47</v>
      </c>
      <c r="E215" s="1" t="s">
        <v>141</v>
      </c>
      <c r="G215" s="6" t="s">
        <v>383</v>
      </c>
      <c r="H215" t="s">
        <v>556</v>
      </c>
      <c r="I215" t="s">
        <v>552</v>
      </c>
      <c r="AD215" s="1">
        <v>1.936</v>
      </c>
      <c r="AE215" s="1" t="s">
        <v>374</v>
      </c>
    </row>
    <row r="216" spans="1:31" ht="54" customHeight="1">
      <c r="A216" s="6" t="s">
        <v>404</v>
      </c>
      <c r="B216" s="1">
        <v>5</v>
      </c>
      <c r="C216" s="1" t="s">
        <v>386</v>
      </c>
      <c r="D216" s="1" t="s">
        <v>47</v>
      </c>
      <c r="E216" s="1" t="s">
        <v>141</v>
      </c>
      <c r="G216" s="6" t="s">
        <v>405</v>
      </c>
      <c r="H216" t="s">
        <v>329</v>
      </c>
      <c r="I216" t="s">
        <v>556</v>
      </c>
      <c r="AD216" s="1">
        <v>0.794</v>
      </c>
      <c r="AE216" s="1" t="s">
        <v>374</v>
      </c>
    </row>
    <row r="217" spans="1:31" ht="54" customHeight="1">
      <c r="A217" s="6" t="s">
        <v>375</v>
      </c>
      <c r="B217" s="1">
        <v>4</v>
      </c>
      <c r="C217" s="1" t="s">
        <v>359</v>
      </c>
      <c r="D217" s="1" t="s">
        <v>47</v>
      </c>
      <c r="E217" s="1" t="s">
        <v>141</v>
      </c>
      <c r="G217" s="6" t="s">
        <v>376</v>
      </c>
      <c r="H217" t="s">
        <v>557</v>
      </c>
      <c r="I217" t="s">
        <v>552</v>
      </c>
      <c r="J217" s="2">
        <f>IF(COUNT('Turns'!D584)=1,SUM('Turns'!D584),"Unknown")</f>
        <v>3152.0</v>
      </c>
      <c r="K217" s="2">
        <f>IF(COUNT('Turns'!E584)=1,SUM('Turns'!E584),"Unknown")</f>
        <v>0.000554588096</v>
      </c>
      <c r="L217" s="2">
        <f>IF(COUNT('Turns'!F584)=1,SUM('Turns'!F584),"Unknown")</f>
        <v>0.0006304</v>
      </c>
      <c r="M217" s="2">
        <f>IF(COUNT('Turns'!D583)=1,SUM('Turns'!D583),"Unknown")</f>
        <v>0.0</v>
      </c>
      <c r="N217" s="2">
        <f>IF(COUNT('Turns'!E583)=1,SUM('Turns'!E583),"Unknown")</f>
        <v>0.0</v>
      </c>
      <c r="O217" s="2">
        <f>IF(COUNT('Turns'!F583)=1,SUM('Turns'!F583),"Unknown")</f>
        <v>0.0</v>
      </c>
      <c r="P217" s="2">
        <v>0</v>
      </c>
      <c r="Q217" s="2">
        <v>0</v>
      </c>
      <c r="R217" s="2">
        <v>0</v>
      </c>
      <c r="S217" s="2">
        <f>IF(COUNT('Turns'!D589)=1,SUM('Turns'!D589),"Unknown")</f>
        <v>57.0</v>
      </c>
      <c r="T217" s="2">
        <f>IF(COUNT('Turns'!E589)=1,SUM('Turns'!E589),"Unknown")</f>
        <v>6.0174216e-05</v>
      </c>
      <c r="U217" s="2">
        <f>IF(COUNT('Turns'!F589)=1,SUM('Turns'!F589),"Unknown")</f>
        <v>6.84e-05</v>
      </c>
      <c r="V217" s="2">
        <v>0</v>
      </c>
      <c r="W217" s="2">
        <v>0</v>
      </c>
      <c r="X217" s="2">
        <v>0</v>
      </c>
      <c r="Y217" s="2">
        <f>IF(COUNT('Turns'!E593)=1,SUM('Turns'!E593),"Unknown")</f>
        <v>0.000614762312</v>
      </c>
      <c r="Z217" s="2">
        <f>IF(COUNT('Turns'!F593)=1,SUM('Turns'!F593),"Unknown")</f>
        <v>0.0006988</v>
      </c>
      <c r="AA217" s="5">
        <f>IF(ISNUMBER(Y217),ROUND(Y217*'Reference data'!$B$2,0),"Unknown")</f>
        <v>61.0</v>
      </c>
      <c r="AB217" s="5">
        <f>IF(ISNUMBER(Z217),ROUND(Z217*'Reference data'!$B$2,0),"Unknown")</f>
        <v>70.0</v>
      </c>
      <c r="AD217" s="1">
        <v>4.343</v>
      </c>
      <c r="AE217" s="1" t="s">
        <v>361</v>
      </c>
    </row>
    <row r="218" spans="1:31" ht="54" customHeight="1">
      <c r="A218" s="6" t="s">
        <v>378</v>
      </c>
      <c r="B218" s="1">
        <v>5</v>
      </c>
      <c r="C218" s="1" t="s">
        <v>379</v>
      </c>
      <c r="D218" s="1" t="s">
        <v>126</v>
      </c>
      <c r="E218" s="1" t="s">
        <v>141</v>
      </c>
      <c r="F218" s="1">
        <v>3152</v>
      </c>
      <c r="G218" s="6" t="s">
        <v>422</v>
      </c>
      <c r="H218" t="s">
        <v>331</v>
      </c>
      <c r="I218" t="s">
        <v>557</v>
      </c>
      <c r="J218" s="2">
        <f>IF(COUNT('Turns'!D584)=1,SUM('Turns'!D584),"Unknown")</f>
        <v>3152.0</v>
      </c>
      <c r="K218" s="2">
        <f>IF(COUNT('Turns'!E584)=1,SUM('Turns'!E584),"Unknown")</f>
        <v>0.000554588096</v>
      </c>
      <c r="L218" s="2">
        <f>IF(COUNT('Turns'!F584)=1,SUM('Turns'!F584),"Unknown")</f>
        <v>0.0006304</v>
      </c>
      <c r="M218" s="2">
        <f>IF(COUNT('Turns'!D583)=1,SUM('Turns'!D583),"Unknown")</f>
        <v>0.0</v>
      </c>
      <c r="N218" s="2">
        <f>IF(COUNT('Turns'!E583)=1,SUM('Turns'!E583),"Unknown")</f>
        <v>0.0</v>
      </c>
      <c r="O218" s="2">
        <f>IF(COUNT('Turns'!F583)=1,SUM('Turns'!F583),"Unknown")</f>
        <v>0.0</v>
      </c>
      <c r="P218" s="2">
        <v>0</v>
      </c>
      <c r="Q218" s="2">
        <v>0</v>
      </c>
      <c r="R218" s="2">
        <v>0</v>
      </c>
      <c r="S218" s="2">
        <f>IF(COUNT('Turns'!D589)=1,SUM('Turns'!D589),"Unknown")</f>
        <v>57.0</v>
      </c>
      <c r="T218" s="2">
        <f>IF(COUNT('Turns'!E589)=1,SUM('Turns'!E589),"Unknown")</f>
        <v>6.0174216e-05</v>
      </c>
      <c r="U218" s="2">
        <f>IF(COUNT('Turns'!F589)=1,SUM('Turns'!F589),"Unknown")</f>
        <v>6.84e-05</v>
      </c>
      <c r="V218" s="2">
        <v>0</v>
      </c>
      <c r="W218" s="2">
        <v>0</v>
      </c>
      <c r="X218" s="2">
        <v>0</v>
      </c>
      <c r="Y218" s="2">
        <f>IF(COUNT('Turns'!E593)=1,SUM('Turns'!E593),"Unknown")</f>
        <v>0.000614762312</v>
      </c>
      <c r="Z218" s="2">
        <f>IF(COUNT('Turns'!F593)=1,SUM('Turns'!F593),"Unknown")</f>
        <v>0.0006988</v>
      </c>
      <c r="AA218" s="5">
        <f>IF(ISNUMBER(Y218),ROUND(Y218*'Reference data'!$B$2,0),"Unknown")</f>
        <v>61.0</v>
      </c>
      <c r="AB218" s="5">
        <f>IF(ISNUMBER(Z218),ROUND(Z218*'Reference data'!$B$2,0),"Unknown")</f>
        <v>70.0</v>
      </c>
      <c r="AC218" s="1" t="s">
        <v>330</v>
      </c>
      <c r="AD218" s="1">
        <v>3.02</v>
      </c>
      <c r="AE218" s="1" t="s">
        <v>381</v>
      </c>
    </row>
    <row r="219" spans="1:31" ht="54" customHeight="1">
      <c r="A219" s="6" t="s">
        <v>382</v>
      </c>
      <c r="B219" s="1">
        <v>4</v>
      </c>
      <c r="C219" s="1" t="s">
        <v>359</v>
      </c>
      <c r="D219" s="1" t="s">
        <v>47</v>
      </c>
      <c r="E219" s="1" t="s">
        <v>141</v>
      </c>
      <c r="G219" s="6" t="s">
        <v>383</v>
      </c>
      <c r="H219" t="s">
        <v>558</v>
      </c>
      <c r="I219" t="s">
        <v>552</v>
      </c>
      <c r="AD219" s="1">
        <v>2.015</v>
      </c>
      <c r="AE219" s="1" t="s">
        <v>374</v>
      </c>
    </row>
    <row r="220" spans="1:31" ht="54" customHeight="1">
      <c r="A220" s="6" t="s">
        <v>404</v>
      </c>
      <c r="B220" s="1">
        <v>5</v>
      </c>
      <c r="C220" s="1" t="s">
        <v>386</v>
      </c>
      <c r="D220" s="1" t="s">
        <v>47</v>
      </c>
      <c r="E220" s="1" t="s">
        <v>141</v>
      </c>
      <c r="G220" s="6" t="s">
        <v>405</v>
      </c>
      <c r="H220" t="s">
        <v>333</v>
      </c>
      <c r="I220" t="s">
        <v>558</v>
      </c>
      <c r="AD220" s="1">
        <v>0.779</v>
      </c>
      <c r="AE220" s="1" t="s">
        <v>374</v>
      </c>
    </row>
    <row r="221" spans="1:31" ht="54" customHeight="1">
      <c r="A221" s="6" t="s">
        <v>375</v>
      </c>
      <c r="B221" s="1">
        <v>4</v>
      </c>
      <c r="C221" s="1" t="s">
        <v>359</v>
      </c>
      <c r="D221" s="1" t="s">
        <v>47</v>
      </c>
      <c r="E221" s="1" t="s">
        <v>141</v>
      </c>
      <c r="G221" s="6" t="s">
        <v>376</v>
      </c>
      <c r="H221" t="s">
        <v>559</v>
      </c>
      <c r="I221" t="s">
        <v>552</v>
      </c>
      <c r="J221" s="2">
        <f>IF(COUNT('Turns'!D599)=1,SUM('Turns'!D599),"Unknown")</f>
        <v>3555.0</v>
      </c>
      <c r="K221" s="2">
        <f>IF(COUNT('Turns'!E599)=1,SUM('Turns'!E599),"Unknown")</f>
        <v>0.00062549514</v>
      </c>
      <c r="L221" s="2">
        <f>IF(COUNT('Turns'!F599)=1,SUM('Turns'!F599),"Unknown")</f>
        <v>0.000711</v>
      </c>
      <c r="M221" s="2">
        <f>IF(COUNT('Turns'!D598)=1,SUM('Turns'!D598),"Unknown")</f>
        <v>0.0</v>
      </c>
      <c r="N221" s="2">
        <f>IF(COUNT('Turns'!E598)=1,SUM('Turns'!E598),"Unknown")</f>
        <v>0.0</v>
      </c>
      <c r="O221" s="2">
        <f>IF(COUNT('Turns'!F598)=1,SUM('Turns'!F598),"Unknown")</f>
        <v>0.0</v>
      </c>
      <c r="P221" s="2">
        <v>0</v>
      </c>
      <c r="Q221" s="2">
        <v>0</v>
      </c>
      <c r="R221" s="2">
        <v>0</v>
      </c>
      <c r="S221" s="2">
        <f>IF(COUNT('Turns'!D604)=1,SUM('Turns'!D604),"Unknown")</f>
        <v>75.0</v>
      </c>
      <c r="T221" s="2">
        <f>IF(COUNT('Turns'!E604)=1,SUM('Turns'!E604),"Unknown")</f>
        <v>7.91766e-05</v>
      </c>
      <c r="U221" s="2">
        <f>IF(COUNT('Turns'!F604)=1,SUM('Turns'!F604),"Unknown")</f>
        <v>9e-05</v>
      </c>
      <c r="V221" s="2">
        <v>0</v>
      </c>
      <c r="W221" s="2">
        <v>0</v>
      </c>
      <c r="X221" s="2">
        <v>0</v>
      </c>
      <c r="Y221" s="2">
        <f>IF(COUNT('Turns'!E608)=1,SUM('Turns'!E608),"Unknown")</f>
        <v>0.00070467174</v>
      </c>
      <c r="Z221" s="2">
        <f>IF(COUNT('Turns'!F608)=1,SUM('Turns'!F608),"Unknown")</f>
        <v>0.000801</v>
      </c>
      <c r="AA221" s="5">
        <f>IF(ISNUMBER(Y221),ROUND(Y221*'Reference data'!$B$2,0),"Unknown")</f>
        <v>70.0</v>
      </c>
      <c r="AB221" s="5">
        <f>IF(ISNUMBER(Z221),ROUND(Z221*'Reference data'!$B$2,0),"Unknown")</f>
        <v>80.0</v>
      </c>
      <c r="AD221" s="1">
        <v>4.309</v>
      </c>
      <c r="AE221" s="1" t="s">
        <v>361</v>
      </c>
    </row>
    <row r="222" spans="1:31" ht="54" customHeight="1">
      <c r="A222" s="6" t="s">
        <v>378</v>
      </c>
      <c r="B222" s="1">
        <v>5</v>
      </c>
      <c r="C222" s="1" t="s">
        <v>379</v>
      </c>
      <c r="D222" s="1" t="s">
        <v>126</v>
      </c>
      <c r="E222" s="1" t="s">
        <v>141</v>
      </c>
      <c r="F222" s="1">
        <v>3555</v>
      </c>
      <c r="G222" s="6" t="s">
        <v>422</v>
      </c>
      <c r="H222" t="s">
        <v>336</v>
      </c>
      <c r="I222" t="s">
        <v>559</v>
      </c>
      <c r="J222" s="2">
        <f>IF(COUNT('Turns'!D599)=1,SUM('Turns'!D599),"Unknown")</f>
        <v>3555.0</v>
      </c>
      <c r="K222" s="2">
        <f>IF(COUNT('Turns'!E599)=1,SUM('Turns'!E599),"Unknown")</f>
        <v>0.00062549514</v>
      </c>
      <c r="L222" s="2">
        <f>IF(COUNT('Turns'!F599)=1,SUM('Turns'!F599),"Unknown")</f>
        <v>0.000711</v>
      </c>
      <c r="M222" s="2">
        <f>IF(COUNT('Turns'!D598)=1,SUM('Turns'!D598),"Unknown")</f>
        <v>0.0</v>
      </c>
      <c r="N222" s="2">
        <f>IF(COUNT('Turns'!E598)=1,SUM('Turns'!E598),"Unknown")</f>
        <v>0.0</v>
      </c>
      <c r="O222" s="2">
        <f>IF(COUNT('Turns'!F598)=1,SUM('Turns'!F598),"Unknown")</f>
        <v>0.0</v>
      </c>
      <c r="P222" s="2">
        <v>0</v>
      </c>
      <c r="Q222" s="2">
        <v>0</v>
      </c>
      <c r="R222" s="2">
        <v>0</v>
      </c>
      <c r="S222" s="2">
        <f>IF(COUNT('Turns'!D604)=1,SUM('Turns'!D604),"Unknown")</f>
        <v>75.0</v>
      </c>
      <c r="T222" s="2">
        <f>IF(COUNT('Turns'!E604)=1,SUM('Turns'!E604),"Unknown")</f>
        <v>7.91766e-05</v>
      </c>
      <c r="U222" s="2">
        <f>IF(COUNT('Turns'!F604)=1,SUM('Turns'!F604),"Unknown")</f>
        <v>9e-05</v>
      </c>
      <c r="V222" s="2">
        <v>0</v>
      </c>
      <c r="W222" s="2">
        <v>0</v>
      </c>
      <c r="X222" s="2">
        <v>0</v>
      </c>
      <c r="Y222" s="2">
        <f>IF(COUNT('Turns'!E608)=1,SUM('Turns'!E608),"Unknown")</f>
        <v>0.00070467174</v>
      </c>
      <c r="Z222" s="2">
        <f>IF(COUNT('Turns'!F608)=1,SUM('Turns'!F608),"Unknown")</f>
        <v>0.000801</v>
      </c>
      <c r="AA222" s="5">
        <f>IF(ISNUMBER(Y222),ROUND(Y222*'Reference data'!$B$2,0),"Unknown")</f>
        <v>70.0</v>
      </c>
      <c r="AB222" s="5">
        <f>IF(ISNUMBER(Z222),ROUND(Z222*'Reference data'!$B$2,0),"Unknown")</f>
        <v>80.0</v>
      </c>
      <c r="AC222" s="1" t="s">
        <v>335</v>
      </c>
      <c r="AD222" s="1">
        <v>2.677</v>
      </c>
      <c r="AE222" s="1" t="s">
        <v>381</v>
      </c>
    </row>
    <row r="223" spans="1:31" ht="54" customHeight="1">
      <c r="A223" s="6" t="s">
        <v>427</v>
      </c>
      <c r="B223" s="1">
        <v>2</v>
      </c>
      <c r="C223" s="1" t="s">
        <v>359</v>
      </c>
      <c r="D223" s="1" t="s">
        <v>47</v>
      </c>
      <c r="E223" s="1" t="s">
        <v>141</v>
      </c>
      <c r="G223" s="6" t="s">
        <v>428</v>
      </c>
      <c r="H223" t="s">
        <v>560</v>
      </c>
      <c r="I223" t="s">
        <v>550</v>
      </c>
      <c r="AD223" s="1">
        <v>0.275</v>
      </c>
      <c r="AE223" s="1" t="s">
        <v>374</v>
      </c>
    </row>
    <row r="224" spans="1:31" ht="54" customHeight="1">
      <c r="A224" s="6" t="s">
        <v>453</v>
      </c>
      <c r="B224" s="1">
        <v>1</v>
      </c>
      <c r="C224" s="1" t="s">
        <v>359</v>
      </c>
      <c r="D224" s="1" t="s">
        <v>47</v>
      </c>
      <c r="E224" s="1" t="s">
        <v>141</v>
      </c>
      <c r="G224" s="6" t="s">
        <v>454</v>
      </c>
      <c r="H224" t="s">
        <v>561</v>
      </c>
      <c r="I224" t="s">
        <v>520</v>
      </c>
      <c r="J224" s="2">
        <f>IF(COUNT('Turns'!D611,'Turns'!D626,'Turns'!D641,'Turns'!D656,'Turns'!D667)=5,SUM('Turns'!D611,'Turns'!D626,'Turns'!D641,'Turns'!D656,'Turns'!D667),"Unknown")</f>
        <v>29710.0</v>
      </c>
      <c r="K224" s="2">
        <f>IF(COUNT('Turns'!E611,'Turns'!E626,'Turns'!E641,'Turns'!E656,'Turns'!E667)=5,SUM('Turns'!E611,'Turns'!E626,'Turns'!E641,'Turns'!E656,'Turns'!E667),"Unknown")</f>
        <v>0.00522741508</v>
      </c>
      <c r="L224" s="2">
        <f>IF(COUNT('Turns'!F611,'Turns'!F626,'Turns'!F641,'Turns'!F656,'Turns'!F667)=5,SUM('Turns'!F611,'Turns'!F626,'Turns'!F641,'Turns'!F656,'Turns'!F667),"Unknown")</f>
        <v>0.005942</v>
      </c>
      <c r="M224" s="2">
        <f>IF(COUNT('Turns'!D610,'Turns'!D625,'Turns'!D640,'Turns'!D655,'Turns'!D666)=5,SUM('Turns'!D610,'Turns'!D625,'Turns'!D640,'Turns'!D655,'Turns'!D666),"Unknown")</f>
        <v>0.0</v>
      </c>
      <c r="N224" s="2">
        <f>IF(COUNT('Turns'!E610,'Turns'!E625,'Turns'!E640,'Turns'!E655,'Turns'!E666)=5,SUM('Turns'!E610,'Turns'!E625,'Turns'!E640,'Turns'!E655,'Turns'!E666),"Unknown")</f>
        <v>0.0</v>
      </c>
      <c r="O224" s="2">
        <f>IF(COUNT('Turns'!F610,'Turns'!F625,'Turns'!F640,'Turns'!F655,'Turns'!F666)=5,SUM('Turns'!F610,'Turns'!F625,'Turns'!F640,'Turns'!F655,'Turns'!F666),"Unknown")</f>
        <v>0.0</v>
      </c>
      <c r="P224" s="2">
        <v>0</v>
      </c>
      <c r="Q224" s="2">
        <v>0</v>
      </c>
      <c r="R224" s="2">
        <v>0</v>
      </c>
      <c r="S224" s="2">
        <f>IF(COUNT('Turns'!D616,'Turns'!D631,'Turns'!D646,'Turns'!D660,'Turns'!D672)=5,SUM('Turns'!D616,'Turns'!D631,'Turns'!D646,'Turns'!D660,'Turns'!D672),"Unknown")</f>
        <v>363.0</v>
      </c>
      <c r="T224" s="2">
        <f>IF(COUNT('Turns'!E616,'Turns'!E631,'Turns'!E646,'Turns'!E660,'Turns'!E672)=5,SUM('Turns'!E616,'Turns'!E631,'Turns'!E646,'Turns'!E660,'Turns'!E672),"Unknown")</f>
        <v>0.000383214744</v>
      </c>
      <c r="U224" s="2">
        <f>IF(COUNT('Turns'!F616,'Turns'!F631,'Turns'!F646,'Turns'!F660,'Turns'!F672)=5,SUM('Turns'!F616,'Turns'!F631,'Turns'!F646,'Turns'!F660,'Turns'!F672),"Unknown")</f>
        <v>0.0004356</v>
      </c>
      <c r="V224" s="2">
        <v>0</v>
      </c>
      <c r="W224" s="2">
        <v>0</v>
      </c>
      <c r="X224" s="2">
        <v>0</v>
      </c>
      <c r="Y224" s="2">
        <f>IF(COUNT('Turns'!E620,'Turns'!E635,'Turns'!E650,'Turns'!E664,'Turns'!E676)=5,SUM('Turns'!E620,'Turns'!E635,'Turns'!E650,'Turns'!E664,'Turns'!E676),"Unknown")</f>
        <v>0.005610629824</v>
      </c>
      <c r="Z224" s="2">
        <f>IF(COUNT('Turns'!F620,'Turns'!F635,'Turns'!F650,'Turns'!F664,'Turns'!F676)=5,SUM('Turns'!F620,'Turns'!F635,'Turns'!F650,'Turns'!F664,'Turns'!F676),"Unknown")</f>
        <v>0.0063776</v>
      </c>
      <c r="AA224" s="5">
        <f>IF(ISNUMBER(Y224),ROUND(Y224*'Reference data'!$B$2,0),"Unknown")</f>
        <v>561.0</v>
      </c>
      <c r="AB224" s="5">
        <f>IF(ISNUMBER(Z224),ROUND(Z224*'Reference data'!$B$2,0),"Unknown")</f>
        <v>638.0</v>
      </c>
      <c r="AD224" s="1">
        <v>45.718</v>
      </c>
      <c r="AE224" s="1" t="s">
        <v>361</v>
      </c>
    </row>
    <row r="225" spans="1:31" ht="54" customHeight="1">
      <c r="A225" s="6" t="s">
        <v>365</v>
      </c>
      <c r="B225" s="1">
        <v>2</v>
      </c>
      <c r="C225" s="1" t="s">
        <v>359</v>
      </c>
      <c r="D225" s="1" t="s">
        <v>47</v>
      </c>
      <c r="E225" s="1" t="s">
        <v>141</v>
      </c>
      <c r="G225" s="6" t="s">
        <v>366</v>
      </c>
      <c r="H225" t="s">
        <v>562</v>
      </c>
      <c r="I225" t="s">
        <v>561</v>
      </c>
      <c r="J225" s="2">
        <f>IF(COUNT('Turns'!D611,'Turns'!D626,'Turns'!D641,'Turns'!D656,'Turns'!D667)=5,SUM('Turns'!D611,'Turns'!D626,'Turns'!D641,'Turns'!D656,'Turns'!D667),"Unknown")</f>
        <v>29710.0</v>
      </c>
      <c r="K225" s="2">
        <f>IF(COUNT('Turns'!E611,'Turns'!E626,'Turns'!E641,'Turns'!E656,'Turns'!E667)=5,SUM('Turns'!E611,'Turns'!E626,'Turns'!E641,'Turns'!E656,'Turns'!E667),"Unknown")</f>
        <v>0.00522741508</v>
      </c>
      <c r="L225" s="2">
        <f>IF(COUNT('Turns'!F611,'Turns'!F626,'Turns'!F641,'Turns'!F656,'Turns'!F667)=5,SUM('Turns'!F611,'Turns'!F626,'Turns'!F641,'Turns'!F656,'Turns'!F667),"Unknown")</f>
        <v>0.005942</v>
      </c>
      <c r="M225" s="2">
        <f>IF(COUNT('Turns'!D610,'Turns'!D625,'Turns'!D640,'Turns'!D655,'Turns'!D666)=5,SUM('Turns'!D610,'Turns'!D625,'Turns'!D640,'Turns'!D655,'Turns'!D666),"Unknown")</f>
        <v>0.0</v>
      </c>
      <c r="N225" s="2">
        <f>IF(COUNT('Turns'!E610,'Turns'!E625,'Turns'!E640,'Turns'!E655,'Turns'!E666)=5,SUM('Turns'!E610,'Turns'!E625,'Turns'!E640,'Turns'!E655,'Turns'!E666),"Unknown")</f>
        <v>0.0</v>
      </c>
      <c r="O225" s="2">
        <f>IF(COUNT('Turns'!F610,'Turns'!F625,'Turns'!F640,'Turns'!F655,'Turns'!F666)=5,SUM('Turns'!F610,'Turns'!F625,'Turns'!F640,'Turns'!F655,'Turns'!F666),"Unknown")</f>
        <v>0.0</v>
      </c>
      <c r="P225" s="2">
        <v>0</v>
      </c>
      <c r="Q225" s="2">
        <v>0</v>
      </c>
      <c r="R225" s="2">
        <v>0</v>
      </c>
      <c r="S225" s="2">
        <f>IF(COUNT('Turns'!D616,'Turns'!D631,'Turns'!D646,'Turns'!D660,'Turns'!D672)=5,SUM('Turns'!D616,'Turns'!D631,'Turns'!D646,'Turns'!D660,'Turns'!D672),"Unknown")</f>
        <v>363.0</v>
      </c>
      <c r="T225" s="2">
        <f>IF(COUNT('Turns'!E616,'Turns'!E631,'Turns'!E646,'Turns'!E660,'Turns'!E672)=5,SUM('Turns'!E616,'Turns'!E631,'Turns'!E646,'Turns'!E660,'Turns'!E672),"Unknown")</f>
        <v>0.000383214744</v>
      </c>
      <c r="U225" s="2">
        <f>IF(COUNT('Turns'!F616,'Turns'!F631,'Turns'!F646,'Turns'!F660,'Turns'!F672)=5,SUM('Turns'!F616,'Turns'!F631,'Turns'!F646,'Turns'!F660,'Turns'!F672),"Unknown")</f>
        <v>0.0004356</v>
      </c>
      <c r="V225" s="2">
        <v>0</v>
      </c>
      <c r="W225" s="2">
        <v>0</v>
      </c>
      <c r="X225" s="2">
        <v>0</v>
      </c>
      <c r="Y225" s="2">
        <f>IF(COUNT('Turns'!E620,'Turns'!E635,'Turns'!E650,'Turns'!E664,'Turns'!E676)=5,SUM('Turns'!E620,'Turns'!E635,'Turns'!E650,'Turns'!E664,'Turns'!E676),"Unknown")</f>
        <v>0.005610629824</v>
      </c>
      <c r="Z225" s="2">
        <f>IF(COUNT('Turns'!F620,'Turns'!F635,'Turns'!F650,'Turns'!F664,'Turns'!F676)=5,SUM('Turns'!F620,'Turns'!F635,'Turns'!F650,'Turns'!F664,'Turns'!F676),"Unknown")</f>
        <v>0.0063776</v>
      </c>
      <c r="AA225" s="5">
        <f>IF(ISNUMBER(Y225),ROUND(Y225*'Reference data'!$B$2,0),"Unknown")</f>
        <v>561.0</v>
      </c>
      <c r="AB225" s="5">
        <f>IF(ISNUMBER(Z225),ROUND(Z225*'Reference data'!$B$2,0),"Unknown")</f>
        <v>638.0</v>
      </c>
      <c r="AD225" s="1">
        <v>44.615</v>
      </c>
      <c r="AE225" s="1" t="s">
        <v>361</v>
      </c>
    </row>
    <row r="226" spans="1:31" ht="54" customHeight="1">
      <c r="A226" s="6" t="s">
        <v>368</v>
      </c>
      <c r="B226" s="1">
        <v>3</v>
      </c>
      <c r="C226" s="1" t="s">
        <v>359</v>
      </c>
      <c r="D226" s="1" t="s">
        <v>47</v>
      </c>
      <c r="E226" s="1" t="s">
        <v>141</v>
      </c>
      <c r="G226" s="6" t="s">
        <v>369</v>
      </c>
      <c r="H226" t="s">
        <v>563</v>
      </c>
      <c r="I226" t="s">
        <v>562</v>
      </c>
      <c r="J226" s="2">
        <f>IF(COUNT('Turns'!D611,'Turns'!D626,'Turns'!D641,'Turns'!D656,'Turns'!D667)=5,SUM('Turns'!D611,'Turns'!D626,'Turns'!D641,'Turns'!D656,'Turns'!D667),"Unknown")</f>
        <v>29710.0</v>
      </c>
      <c r="K226" s="2">
        <f>IF(COUNT('Turns'!E611,'Turns'!E626,'Turns'!E641,'Turns'!E656,'Turns'!E667)=5,SUM('Turns'!E611,'Turns'!E626,'Turns'!E641,'Turns'!E656,'Turns'!E667),"Unknown")</f>
        <v>0.00522741508</v>
      </c>
      <c r="L226" s="2">
        <f>IF(COUNT('Turns'!F611,'Turns'!F626,'Turns'!F641,'Turns'!F656,'Turns'!F667)=5,SUM('Turns'!F611,'Turns'!F626,'Turns'!F641,'Turns'!F656,'Turns'!F667),"Unknown")</f>
        <v>0.005942</v>
      </c>
      <c r="M226" s="2">
        <f>IF(COUNT('Turns'!D610,'Turns'!D625,'Turns'!D640,'Turns'!D655,'Turns'!D666)=5,SUM('Turns'!D610,'Turns'!D625,'Turns'!D640,'Turns'!D655,'Turns'!D666),"Unknown")</f>
        <v>0.0</v>
      </c>
      <c r="N226" s="2">
        <f>IF(COUNT('Turns'!E610,'Turns'!E625,'Turns'!E640,'Turns'!E655,'Turns'!E666)=5,SUM('Turns'!E610,'Turns'!E625,'Turns'!E640,'Turns'!E655,'Turns'!E666),"Unknown")</f>
        <v>0.0</v>
      </c>
      <c r="O226" s="2">
        <f>IF(COUNT('Turns'!F610,'Turns'!F625,'Turns'!F640,'Turns'!F655,'Turns'!F666)=5,SUM('Turns'!F610,'Turns'!F625,'Turns'!F640,'Turns'!F655,'Turns'!F666),"Unknown")</f>
        <v>0.0</v>
      </c>
      <c r="P226" s="2">
        <v>0</v>
      </c>
      <c r="Q226" s="2">
        <v>0</v>
      </c>
      <c r="R226" s="2">
        <v>0</v>
      </c>
      <c r="S226" s="2">
        <f>IF(COUNT('Turns'!D616,'Turns'!D631,'Turns'!D646,'Turns'!D660,'Turns'!D672)=5,SUM('Turns'!D616,'Turns'!D631,'Turns'!D646,'Turns'!D660,'Turns'!D672),"Unknown")</f>
        <v>363.0</v>
      </c>
      <c r="T226" s="2">
        <f>IF(COUNT('Turns'!E616,'Turns'!E631,'Turns'!E646,'Turns'!E660,'Turns'!E672)=5,SUM('Turns'!E616,'Turns'!E631,'Turns'!E646,'Turns'!E660,'Turns'!E672),"Unknown")</f>
        <v>0.000383214744</v>
      </c>
      <c r="U226" s="2">
        <f>IF(COUNT('Turns'!F616,'Turns'!F631,'Turns'!F646,'Turns'!F660,'Turns'!F672)=5,SUM('Turns'!F616,'Turns'!F631,'Turns'!F646,'Turns'!F660,'Turns'!F672),"Unknown")</f>
        <v>0.0004356</v>
      </c>
      <c r="V226" s="2">
        <v>0</v>
      </c>
      <c r="W226" s="2">
        <v>0</v>
      </c>
      <c r="X226" s="2">
        <v>0</v>
      </c>
      <c r="Y226" s="2">
        <f>IF(COUNT('Turns'!E620,'Turns'!E635,'Turns'!E650,'Turns'!E664,'Turns'!E676)=5,SUM('Turns'!E620,'Turns'!E635,'Turns'!E650,'Turns'!E664,'Turns'!E676),"Unknown")</f>
        <v>0.005610629824</v>
      </c>
      <c r="Z226" s="2">
        <f>IF(COUNT('Turns'!F620,'Turns'!F635,'Turns'!F650,'Turns'!F664,'Turns'!F676)=5,SUM('Turns'!F620,'Turns'!F635,'Turns'!F650,'Turns'!F664,'Turns'!F676),"Unknown")</f>
        <v>0.0063776</v>
      </c>
      <c r="AA226" s="5">
        <f>IF(ISNUMBER(Y226),ROUND(Y226*'Reference data'!$B$2,0),"Unknown")</f>
        <v>561.0</v>
      </c>
      <c r="AB226" s="5">
        <f>IF(ISNUMBER(Z226),ROUND(Z226*'Reference data'!$B$2,0),"Unknown")</f>
        <v>638.0</v>
      </c>
      <c r="AD226" s="1">
        <v>43.843</v>
      </c>
      <c r="AE226" s="1" t="s">
        <v>361</v>
      </c>
    </row>
    <row r="227" spans="1:31" ht="54" customHeight="1">
      <c r="A227" s="6" t="s">
        <v>371</v>
      </c>
      <c r="B227" s="1">
        <v>4</v>
      </c>
      <c r="C227" s="1" t="s">
        <v>359</v>
      </c>
      <c r="D227" s="1" t="s">
        <v>47</v>
      </c>
      <c r="E227" s="1" t="s">
        <v>141</v>
      </c>
      <c r="G227" s="6" t="s">
        <v>372</v>
      </c>
      <c r="H227" t="s">
        <v>564</v>
      </c>
      <c r="I227" t="s">
        <v>563</v>
      </c>
      <c r="AD227" s="1">
        <v>0.583</v>
      </c>
      <c r="AE227" s="1" t="s">
        <v>374</v>
      </c>
    </row>
    <row r="228" spans="1:31" ht="54" customHeight="1">
      <c r="A228" s="6" t="s">
        <v>375</v>
      </c>
      <c r="B228" s="1">
        <v>4</v>
      </c>
      <c r="C228" s="1" t="s">
        <v>359</v>
      </c>
      <c r="D228" s="1" t="s">
        <v>47</v>
      </c>
      <c r="E228" s="1" t="s">
        <v>141</v>
      </c>
      <c r="G228" s="6" t="s">
        <v>376</v>
      </c>
      <c r="H228" t="s">
        <v>565</v>
      </c>
      <c r="I228" t="s">
        <v>563</v>
      </c>
      <c r="J228" s="2">
        <f>IF(COUNT('Turns'!D611)=1,SUM('Turns'!D611),"Unknown")</f>
        <v>6389.0</v>
      </c>
      <c r="K228" s="2">
        <f>IF(COUNT('Turns'!E611)=1,SUM('Turns'!E611),"Unknown")</f>
        <v>0.001124131772</v>
      </c>
      <c r="L228" s="2">
        <f>IF(COUNT('Turns'!F611)=1,SUM('Turns'!F611),"Unknown")</f>
        <v>0.0012778</v>
      </c>
      <c r="M228" s="2">
        <f>IF(COUNT('Turns'!D610)=1,SUM('Turns'!D610),"Unknown")</f>
        <v>0.0</v>
      </c>
      <c r="N228" s="2">
        <f>IF(COUNT('Turns'!E610)=1,SUM('Turns'!E610),"Unknown")</f>
        <v>0.0</v>
      </c>
      <c r="O228" s="2">
        <f>IF(COUNT('Turns'!F610)=1,SUM('Turns'!F610),"Unknown")</f>
        <v>0.0</v>
      </c>
      <c r="P228" s="2">
        <v>0</v>
      </c>
      <c r="Q228" s="2">
        <v>0</v>
      </c>
      <c r="R228" s="2">
        <v>0</v>
      </c>
      <c r="S228" s="2">
        <f>IF(COUNT('Turns'!D616)=1,SUM('Turns'!D616),"Unknown")</f>
        <v>56.0</v>
      </c>
      <c r="T228" s="2">
        <f>IF(COUNT('Turns'!E616)=1,SUM('Turns'!E616),"Unknown")</f>
        <v>5.9118528e-05</v>
      </c>
      <c r="U228" s="2">
        <f>IF(COUNT('Turns'!F616)=1,SUM('Turns'!F616),"Unknown")</f>
        <v>6.72e-05</v>
      </c>
      <c r="V228" s="2">
        <v>0</v>
      </c>
      <c r="W228" s="2">
        <v>0</v>
      </c>
      <c r="X228" s="2">
        <v>0</v>
      </c>
      <c r="Y228" s="2">
        <f>IF(COUNT('Turns'!E620)=1,SUM('Turns'!E620),"Unknown")</f>
        <v>0.0011832503</v>
      </c>
      <c r="Z228" s="2">
        <f>IF(COUNT('Turns'!F620)=1,SUM('Turns'!F620),"Unknown")</f>
        <v>0.001345</v>
      </c>
      <c r="AA228" s="5">
        <f>IF(ISNUMBER(Y228),ROUND(Y228*'Reference data'!$B$2,0),"Unknown")</f>
        <v>118.0</v>
      </c>
      <c r="AB228" s="5">
        <f>IF(ISNUMBER(Z228),ROUND(Z228*'Reference data'!$B$2,0),"Unknown")</f>
        <v>135.0</v>
      </c>
      <c r="AD228" s="1">
        <v>5.86</v>
      </c>
      <c r="AE228" s="1" t="s">
        <v>361</v>
      </c>
    </row>
    <row r="229" spans="1:31" ht="54" customHeight="1">
      <c r="A229" s="6" t="s">
        <v>378</v>
      </c>
      <c r="B229" s="1">
        <v>5</v>
      </c>
      <c r="C229" s="1" t="s">
        <v>379</v>
      </c>
      <c r="D229" s="1" t="s">
        <v>126</v>
      </c>
      <c r="E229" s="1" t="s">
        <v>141</v>
      </c>
      <c r="F229" s="1">
        <v>6389</v>
      </c>
      <c r="G229" s="6" t="s">
        <v>380</v>
      </c>
      <c r="H229" t="s">
        <v>339</v>
      </c>
      <c r="I229" t="s">
        <v>565</v>
      </c>
      <c r="J229" s="2">
        <f>IF(COUNT('Turns'!D611)=1,SUM('Turns'!D611),"Unknown")</f>
        <v>6389.0</v>
      </c>
      <c r="K229" s="2">
        <f>IF(COUNT('Turns'!E611)=1,SUM('Turns'!E611),"Unknown")</f>
        <v>0.001124131772</v>
      </c>
      <c r="L229" s="2">
        <f>IF(COUNT('Turns'!F611)=1,SUM('Turns'!F611),"Unknown")</f>
        <v>0.0012778</v>
      </c>
      <c r="M229" s="2">
        <f>IF(COUNT('Turns'!D610)=1,SUM('Turns'!D610),"Unknown")</f>
        <v>0.0</v>
      </c>
      <c r="N229" s="2">
        <f>IF(COUNT('Turns'!E610)=1,SUM('Turns'!E610),"Unknown")</f>
        <v>0.0</v>
      </c>
      <c r="O229" s="2">
        <f>IF(COUNT('Turns'!F610)=1,SUM('Turns'!F610),"Unknown")</f>
        <v>0.0</v>
      </c>
      <c r="P229" s="2">
        <v>0</v>
      </c>
      <c r="Q229" s="2">
        <v>0</v>
      </c>
      <c r="R229" s="2">
        <v>0</v>
      </c>
      <c r="S229" s="2">
        <f>IF(COUNT('Turns'!D616)=1,SUM('Turns'!D616),"Unknown")</f>
        <v>56.0</v>
      </c>
      <c r="T229" s="2">
        <f>IF(COUNT('Turns'!E616)=1,SUM('Turns'!E616),"Unknown")</f>
        <v>5.9118528e-05</v>
      </c>
      <c r="U229" s="2">
        <f>IF(COUNT('Turns'!F616)=1,SUM('Turns'!F616),"Unknown")</f>
        <v>6.72e-05</v>
      </c>
      <c r="V229" s="2">
        <v>0</v>
      </c>
      <c r="W229" s="2">
        <v>0</v>
      </c>
      <c r="X229" s="2">
        <v>0</v>
      </c>
      <c r="Y229" s="2">
        <f>IF(COUNT('Turns'!E620)=1,SUM('Turns'!E620),"Unknown")</f>
        <v>0.0011832503</v>
      </c>
      <c r="Z229" s="2">
        <f>IF(COUNT('Turns'!F620)=1,SUM('Turns'!F620),"Unknown")</f>
        <v>0.001345</v>
      </c>
      <c r="AA229" s="5">
        <f>IF(ISNUMBER(Y229),ROUND(Y229*'Reference data'!$B$2,0),"Unknown")</f>
        <v>118.0</v>
      </c>
      <c r="AB229" s="5">
        <f>IF(ISNUMBER(Z229),ROUND(Z229*'Reference data'!$B$2,0),"Unknown")</f>
        <v>135.0</v>
      </c>
      <c r="AC229" s="1" t="s">
        <v>338</v>
      </c>
      <c r="AD229" s="1">
        <v>3.714</v>
      </c>
      <c r="AE229" s="1" t="s">
        <v>381</v>
      </c>
    </row>
    <row r="230" spans="1:31" ht="54" customHeight="1">
      <c r="A230" s="6" t="s">
        <v>382</v>
      </c>
      <c r="B230" s="1">
        <v>4</v>
      </c>
      <c r="C230" s="1" t="s">
        <v>359</v>
      </c>
      <c r="D230" s="1" t="s">
        <v>47</v>
      </c>
      <c r="E230" s="1" t="s">
        <v>141</v>
      </c>
      <c r="G230" s="6" t="s">
        <v>383</v>
      </c>
      <c r="H230" t="s">
        <v>566</v>
      </c>
      <c r="I230" t="s">
        <v>563</v>
      </c>
      <c r="AD230" s="1">
        <v>1.662</v>
      </c>
      <c r="AE230" s="1" t="s">
        <v>374</v>
      </c>
    </row>
    <row r="231" spans="1:31" ht="54" customHeight="1">
      <c r="A231" s="6" t="s">
        <v>404</v>
      </c>
      <c r="B231" s="1">
        <v>5</v>
      </c>
      <c r="C231" s="1" t="s">
        <v>386</v>
      </c>
      <c r="D231" s="1" t="s">
        <v>47</v>
      </c>
      <c r="E231" s="1" t="s">
        <v>141</v>
      </c>
      <c r="G231" s="6" t="s">
        <v>405</v>
      </c>
      <c r="H231" t="s">
        <v>342</v>
      </c>
      <c r="I231" t="s">
        <v>566</v>
      </c>
      <c r="AD231" s="1">
        <v>0.726</v>
      </c>
      <c r="AE231" s="1" t="s">
        <v>374</v>
      </c>
    </row>
    <row r="232" spans="1:31" ht="54" customHeight="1">
      <c r="A232" s="6" t="s">
        <v>371</v>
      </c>
      <c r="B232" s="1">
        <v>4</v>
      </c>
      <c r="C232" s="1" t="s">
        <v>359</v>
      </c>
      <c r="D232" s="1" t="s">
        <v>47</v>
      </c>
      <c r="E232" s="1" t="s">
        <v>141</v>
      </c>
      <c r="G232" s="6" t="s">
        <v>372</v>
      </c>
      <c r="H232" t="s">
        <v>567</v>
      </c>
      <c r="I232" t="s">
        <v>563</v>
      </c>
      <c r="AD232" s="1">
        <v>0.652</v>
      </c>
      <c r="AE232" s="1" t="s">
        <v>374</v>
      </c>
    </row>
    <row r="233" spans="1:31" ht="54" customHeight="1">
      <c r="A233" s="6" t="s">
        <v>375</v>
      </c>
      <c r="B233" s="1">
        <v>4</v>
      </c>
      <c r="C233" s="1" t="s">
        <v>359</v>
      </c>
      <c r="D233" s="1" t="s">
        <v>47</v>
      </c>
      <c r="E233" s="1" t="s">
        <v>141</v>
      </c>
      <c r="G233" s="6" t="s">
        <v>376</v>
      </c>
      <c r="H233" t="s">
        <v>568</v>
      </c>
      <c r="I233" t="s">
        <v>563</v>
      </c>
      <c r="J233" s="2">
        <f>IF(COUNT('Turns'!D626)=1,SUM('Turns'!D626),"Unknown")</f>
        <v>7262.0</v>
      </c>
      <c r="K233" s="2">
        <f>IF(COUNT('Turns'!E626)=1,SUM('Turns'!E626),"Unknown")</f>
        <v>0.001277734376</v>
      </c>
      <c r="L233" s="2">
        <f>IF(COUNT('Turns'!F626)=1,SUM('Turns'!F626),"Unknown")</f>
        <v>0.0014524</v>
      </c>
      <c r="M233" s="2">
        <f>IF(COUNT('Turns'!D625)=1,SUM('Turns'!D625),"Unknown")</f>
        <v>0.0</v>
      </c>
      <c r="N233" s="2">
        <f>IF(COUNT('Turns'!E625)=1,SUM('Turns'!E625),"Unknown")</f>
        <v>0.0</v>
      </c>
      <c r="O233" s="2">
        <f>IF(COUNT('Turns'!F625)=1,SUM('Turns'!F625),"Unknown")</f>
        <v>0.0</v>
      </c>
      <c r="P233" s="2">
        <v>0</v>
      </c>
      <c r="Q233" s="2">
        <v>0</v>
      </c>
      <c r="R233" s="2">
        <v>0</v>
      </c>
      <c r="S233" s="2">
        <f>IF(COUNT('Turns'!D631)=1,SUM('Turns'!D631),"Unknown")</f>
        <v>112.0</v>
      </c>
      <c r="T233" s="2">
        <f>IF(COUNT('Turns'!E631)=1,SUM('Turns'!E631),"Unknown")</f>
        <v>0.000118237056</v>
      </c>
      <c r="U233" s="2">
        <f>IF(COUNT('Turns'!F631)=1,SUM('Turns'!F631),"Unknown")</f>
        <v>0.0001344</v>
      </c>
      <c r="V233" s="2">
        <v>0</v>
      </c>
      <c r="W233" s="2">
        <v>0</v>
      </c>
      <c r="X233" s="2">
        <v>0</v>
      </c>
      <c r="Y233" s="2">
        <f>IF(COUNT('Turns'!E635)=1,SUM('Turns'!E635),"Unknown")</f>
        <v>0.001395971432</v>
      </c>
      <c r="Z233" s="2">
        <f>IF(COUNT('Turns'!F635)=1,SUM('Turns'!F635),"Unknown")</f>
        <v>0.0015868</v>
      </c>
      <c r="AA233" s="5">
        <f>IF(ISNUMBER(Y233),ROUND(Y233*'Reference data'!$B$2,0),"Unknown")</f>
        <v>140.0</v>
      </c>
      <c r="AB233" s="5">
        <f>IF(ISNUMBER(Z233),ROUND(Z233*'Reference data'!$B$2,0),"Unknown")</f>
        <v>159.0</v>
      </c>
      <c r="AD233" s="1">
        <v>5.923</v>
      </c>
      <c r="AE233" s="1" t="s">
        <v>361</v>
      </c>
    </row>
    <row r="234" spans="1:31" ht="54" customHeight="1">
      <c r="A234" s="6" t="s">
        <v>378</v>
      </c>
      <c r="B234" s="1">
        <v>5</v>
      </c>
      <c r="C234" s="1" t="s">
        <v>379</v>
      </c>
      <c r="D234" s="1" t="s">
        <v>126</v>
      </c>
      <c r="E234" s="1" t="s">
        <v>141</v>
      </c>
      <c r="F234" s="1">
        <v>7262</v>
      </c>
      <c r="G234" s="6" t="s">
        <v>380</v>
      </c>
      <c r="H234" t="s">
        <v>344</v>
      </c>
      <c r="I234" t="s">
        <v>568</v>
      </c>
      <c r="J234" s="2">
        <f>IF(COUNT('Turns'!D626)=1,SUM('Turns'!D626),"Unknown")</f>
        <v>7262.0</v>
      </c>
      <c r="K234" s="2">
        <f>IF(COUNT('Turns'!E626)=1,SUM('Turns'!E626),"Unknown")</f>
        <v>0.001277734376</v>
      </c>
      <c r="L234" s="2">
        <f>IF(COUNT('Turns'!F626)=1,SUM('Turns'!F626),"Unknown")</f>
        <v>0.0014524</v>
      </c>
      <c r="M234" s="2">
        <f>IF(COUNT('Turns'!D625)=1,SUM('Turns'!D625),"Unknown")</f>
        <v>0.0</v>
      </c>
      <c r="N234" s="2">
        <f>IF(COUNT('Turns'!E625)=1,SUM('Turns'!E625),"Unknown")</f>
        <v>0.0</v>
      </c>
      <c r="O234" s="2">
        <f>IF(COUNT('Turns'!F625)=1,SUM('Turns'!F625),"Unknown")</f>
        <v>0.0</v>
      </c>
      <c r="P234" s="2">
        <v>0</v>
      </c>
      <c r="Q234" s="2">
        <v>0</v>
      </c>
      <c r="R234" s="2">
        <v>0</v>
      </c>
      <c r="S234" s="2">
        <f>IF(COUNT('Turns'!D631)=1,SUM('Turns'!D631),"Unknown")</f>
        <v>112.0</v>
      </c>
      <c r="T234" s="2">
        <f>IF(COUNT('Turns'!E631)=1,SUM('Turns'!E631),"Unknown")</f>
        <v>0.000118237056</v>
      </c>
      <c r="U234" s="2">
        <f>IF(COUNT('Turns'!F631)=1,SUM('Turns'!F631),"Unknown")</f>
        <v>0.0001344</v>
      </c>
      <c r="V234" s="2">
        <v>0</v>
      </c>
      <c r="W234" s="2">
        <v>0</v>
      </c>
      <c r="X234" s="2">
        <v>0</v>
      </c>
      <c r="Y234" s="2">
        <f>IF(COUNT('Turns'!E635)=1,SUM('Turns'!E635),"Unknown")</f>
        <v>0.001395971432</v>
      </c>
      <c r="Z234" s="2">
        <f>IF(COUNT('Turns'!F635)=1,SUM('Turns'!F635),"Unknown")</f>
        <v>0.0015868</v>
      </c>
      <c r="AA234" s="5">
        <f>IF(ISNUMBER(Y234),ROUND(Y234*'Reference data'!$B$2,0),"Unknown")</f>
        <v>140.0</v>
      </c>
      <c r="AB234" s="5">
        <f>IF(ISNUMBER(Z234),ROUND(Z234*'Reference data'!$B$2,0),"Unknown")</f>
        <v>159.0</v>
      </c>
      <c r="AC234" s="1" t="s">
        <v>343</v>
      </c>
      <c r="AD234" s="1">
        <v>3.818</v>
      </c>
      <c r="AE234" s="1" t="s">
        <v>381</v>
      </c>
    </row>
    <row r="235" spans="1:31" ht="54" customHeight="1">
      <c r="A235" s="6" t="s">
        <v>382</v>
      </c>
      <c r="B235" s="1">
        <v>4</v>
      </c>
      <c r="C235" s="1" t="s">
        <v>359</v>
      </c>
      <c r="D235" s="1" t="s">
        <v>47</v>
      </c>
      <c r="E235" s="1" t="s">
        <v>141</v>
      </c>
      <c r="G235" s="6" t="s">
        <v>383</v>
      </c>
      <c r="H235" t="s">
        <v>569</v>
      </c>
      <c r="I235" t="s">
        <v>563</v>
      </c>
      <c r="AD235" s="1">
        <v>2.01</v>
      </c>
      <c r="AE235" s="1" t="s">
        <v>374</v>
      </c>
    </row>
    <row r="236" spans="1:31" ht="54" customHeight="1">
      <c r="A236" s="6" t="s">
        <v>439</v>
      </c>
      <c r="B236" s="1">
        <v>5</v>
      </c>
      <c r="C236" s="1" t="s">
        <v>386</v>
      </c>
      <c r="D236" s="1" t="s">
        <v>47</v>
      </c>
      <c r="E236" s="1" t="s">
        <v>141</v>
      </c>
      <c r="G236" s="6" t="s">
        <v>440</v>
      </c>
      <c r="H236" t="s">
        <v>346</v>
      </c>
      <c r="I236" t="s">
        <v>569</v>
      </c>
      <c r="AD236" s="1">
        <v>1.056</v>
      </c>
      <c r="AE236" s="1" t="s">
        <v>374</v>
      </c>
    </row>
    <row r="237" spans="1:31" ht="54" customHeight="1">
      <c r="A237" s="6" t="s">
        <v>371</v>
      </c>
      <c r="B237" s="1">
        <v>4</v>
      </c>
      <c r="C237" s="1" t="s">
        <v>359</v>
      </c>
      <c r="D237" s="1" t="s">
        <v>47</v>
      </c>
      <c r="E237" s="1" t="s">
        <v>141</v>
      </c>
      <c r="G237" s="6" t="s">
        <v>372</v>
      </c>
      <c r="H237" t="s">
        <v>570</v>
      </c>
      <c r="I237" t="s">
        <v>563</v>
      </c>
      <c r="AD237" s="1">
        <v>0.6</v>
      </c>
      <c r="AE237" s="1" t="s">
        <v>374</v>
      </c>
    </row>
    <row r="238" spans="1:31" ht="54" customHeight="1">
      <c r="A238" s="6" t="s">
        <v>375</v>
      </c>
      <c r="B238" s="1">
        <v>4</v>
      </c>
      <c r="C238" s="1" t="s">
        <v>359</v>
      </c>
      <c r="D238" s="1" t="s">
        <v>47</v>
      </c>
      <c r="E238" s="1" t="s">
        <v>141</v>
      </c>
      <c r="G238" s="6" t="s">
        <v>376</v>
      </c>
      <c r="H238" t="s">
        <v>571</v>
      </c>
      <c r="I238" t="s">
        <v>563</v>
      </c>
      <c r="J238" s="2">
        <f>IF(COUNT('Turns'!D641)=1,SUM('Turns'!D641),"Unknown")</f>
        <v>7416.0</v>
      </c>
      <c r="K238" s="2">
        <f>IF(COUNT('Turns'!E641)=1,SUM('Turns'!E641),"Unknown")</f>
        <v>0.001304830368</v>
      </c>
      <c r="L238" s="2">
        <f>IF(COUNT('Turns'!F641)=1,SUM('Turns'!F641),"Unknown")</f>
        <v>0.0014832</v>
      </c>
      <c r="M238" s="2">
        <f>IF(COUNT('Turns'!D640)=1,SUM('Turns'!D640),"Unknown")</f>
        <v>0.0</v>
      </c>
      <c r="N238" s="2">
        <f>IF(COUNT('Turns'!E640)=1,SUM('Turns'!E640),"Unknown")</f>
        <v>0.0</v>
      </c>
      <c r="O238" s="2">
        <f>IF(COUNT('Turns'!F640)=1,SUM('Turns'!F640),"Unknown")</f>
        <v>0.0</v>
      </c>
      <c r="P238" s="2">
        <v>0</v>
      </c>
      <c r="Q238" s="2">
        <v>0</v>
      </c>
      <c r="R238" s="2">
        <v>0</v>
      </c>
      <c r="S238" s="2">
        <f>IF(COUNT('Turns'!D646)=1,SUM('Turns'!D646),"Unknown")</f>
        <v>56.0</v>
      </c>
      <c r="T238" s="2">
        <f>IF(COUNT('Turns'!E646)=1,SUM('Turns'!E646),"Unknown")</f>
        <v>5.9118528e-05</v>
      </c>
      <c r="U238" s="2">
        <f>IF(COUNT('Turns'!F646)=1,SUM('Turns'!F646),"Unknown")</f>
        <v>6.72e-05</v>
      </c>
      <c r="V238" s="2">
        <v>0</v>
      </c>
      <c r="W238" s="2">
        <v>0</v>
      </c>
      <c r="X238" s="2">
        <v>0</v>
      </c>
      <c r="Y238" s="2">
        <f>IF(COUNT('Turns'!E650)=1,SUM('Turns'!E650),"Unknown")</f>
        <v>0.001363948896</v>
      </c>
      <c r="Z238" s="2">
        <f>IF(COUNT('Turns'!F650)=1,SUM('Turns'!F650),"Unknown")</f>
        <v>0.0015504</v>
      </c>
      <c r="AA238" s="5">
        <f>IF(ISNUMBER(Y238),ROUND(Y238*'Reference data'!$B$2,0),"Unknown")</f>
        <v>136.0</v>
      </c>
      <c r="AB238" s="5">
        <f>IF(ISNUMBER(Z238),ROUND(Z238*'Reference data'!$B$2,0),"Unknown")</f>
        <v>155.0</v>
      </c>
      <c r="AD238" s="1">
        <v>6.246</v>
      </c>
      <c r="AE238" s="1" t="s">
        <v>361</v>
      </c>
    </row>
    <row r="239" spans="1:31" ht="54" customHeight="1">
      <c r="A239" s="6" t="s">
        <v>378</v>
      </c>
      <c r="B239" s="1">
        <v>5</v>
      </c>
      <c r="C239" s="1" t="s">
        <v>379</v>
      </c>
      <c r="D239" s="1" t="s">
        <v>126</v>
      </c>
      <c r="E239" s="1" t="s">
        <v>141</v>
      </c>
      <c r="F239" s="1">
        <v>7416</v>
      </c>
      <c r="G239" s="6" t="s">
        <v>380</v>
      </c>
      <c r="H239" t="s">
        <v>349</v>
      </c>
      <c r="I239" t="s">
        <v>571</v>
      </c>
      <c r="J239" s="2">
        <f>IF(COUNT('Turns'!D641)=1,SUM('Turns'!D641),"Unknown")</f>
        <v>7416.0</v>
      </c>
      <c r="K239" s="2">
        <f>IF(COUNT('Turns'!E641)=1,SUM('Turns'!E641),"Unknown")</f>
        <v>0.001304830368</v>
      </c>
      <c r="L239" s="2">
        <f>IF(COUNT('Turns'!F641)=1,SUM('Turns'!F641),"Unknown")</f>
        <v>0.0014832</v>
      </c>
      <c r="M239" s="2">
        <f>IF(COUNT('Turns'!D640)=1,SUM('Turns'!D640),"Unknown")</f>
        <v>0.0</v>
      </c>
      <c r="N239" s="2">
        <f>IF(COUNT('Turns'!E640)=1,SUM('Turns'!E640),"Unknown")</f>
        <v>0.0</v>
      </c>
      <c r="O239" s="2">
        <f>IF(COUNT('Turns'!F640)=1,SUM('Turns'!F640),"Unknown")</f>
        <v>0.0</v>
      </c>
      <c r="P239" s="2">
        <v>0</v>
      </c>
      <c r="Q239" s="2">
        <v>0</v>
      </c>
      <c r="R239" s="2">
        <v>0</v>
      </c>
      <c r="S239" s="2">
        <f>IF(COUNT('Turns'!D646)=1,SUM('Turns'!D646),"Unknown")</f>
        <v>56.0</v>
      </c>
      <c r="T239" s="2">
        <f>IF(COUNT('Turns'!E646)=1,SUM('Turns'!E646),"Unknown")</f>
        <v>5.9118528e-05</v>
      </c>
      <c r="U239" s="2">
        <f>IF(COUNT('Turns'!F646)=1,SUM('Turns'!F646),"Unknown")</f>
        <v>6.72e-05</v>
      </c>
      <c r="V239" s="2">
        <v>0</v>
      </c>
      <c r="W239" s="2">
        <v>0</v>
      </c>
      <c r="X239" s="2">
        <v>0</v>
      </c>
      <c r="Y239" s="2">
        <f>IF(COUNT('Turns'!E650)=1,SUM('Turns'!E650),"Unknown")</f>
        <v>0.001363948896</v>
      </c>
      <c r="Z239" s="2">
        <f>IF(COUNT('Turns'!F650)=1,SUM('Turns'!F650),"Unknown")</f>
        <v>0.0015504</v>
      </c>
      <c r="AA239" s="5">
        <f>IF(ISNUMBER(Y239),ROUND(Y239*'Reference data'!$B$2,0),"Unknown")</f>
        <v>136.0</v>
      </c>
      <c r="AB239" s="5">
        <f>IF(ISNUMBER(Z239),ROUND(Z239*'Reference data'!$B$2,0),"Unknown")</f>
        <v>155.0</v>
      </c>
      <c r="AC239" s="1" t="s">
        <v>348</v>
      </c>
      <c r="AD239" s="1">
        <v>3.961</v>
      </c>
      <c r="AE239" s="1" t="s">
        <v>381</v>
      </c>
    </row>
    <row r="240" spans="1:31" ht="54" customHeight="1">
      <c r="A240" s="6" t="s">
        <v>382</v>
      </c>
      <c r="B240" s="1">
        <v>4</v>
      </c>
      <c r="C240" s="1" t="s">
        <v>359</v>
      </c>
      <c r="D240" s="1" t="s">
        <v>47</v>
      </c>
      <c r="E240" s="1" t="s">
        <v>141</v>
      </c>
      <c r="G240" s="6" t="s">
        <v>383</v>
      </c>
      <c r="H240" t="s">
        <v>572</v>
      </c>
      <c r="I240" t="s">
        <v>563</v>
      </c>
      <c r="AD240" s="1">
        <v>4.026</v>
      </c>
      <c r="AE240" s="1" t="s">
        <v>374</v>
      </c>
    </row>
    <row r="241" spans="1:31" ht="54" customHeight="1">
      <c r="A241" s="6" t="s">
        <v>404</v>
      </c>
      <c r="B241" s="1">
        <v>5</v>
      </c>
      <c r="C241" s="1" t="s">
        <v>386</v>
      </c>
      <c r="D241" s="1" t="s">
        <v>47</v>
      </c>
      <c r="E241" s="1" t="s">
        <v>141</v>
      </c>
      <c r="G241" s="6" t="s">
        <v>405</v>
      </c>
      <c r="H241" t="s">
        <v>351</v>
      </c>
      <c r="I241" t="s">
        <v>572</v>
      </c>
      <c r="AD241" s="1">
        <v>2.859</v>
      </c>
      <c r="AE241" s="1" t="s">
        <v>374</v>
      </c>
    </row>
    <row r="242" spans="1:31" ht="54" customHeight="1">
      <c r="A242" s="6" t="s">
        <v>371</v>
      </c>
      <c r="B242" s="1">
        <v>4</v>
      </c>
      <c r="C242" s="1" t="s">
        <v>359</v>
      </c>
      <c r="D242" s="1" t="s">
        <v>47</v>
      </c>
      <c r="E242" s="1" t="s">
        <v>141</v>
      </c>
      <c r="G242" s="6" t="s">
        <v>573</v>
      </c>
      <c r="H242" t="s">
        <v>574</v>
      </c>
      <c r="I242" t="s">
        <v>563</v>
      </c>
      <c r="J242" s="2">
        <f>IF(COUNT('Turns'!D656)=1,SUM('Turns'!D656),"Unknown")</f>
        <v>5034.0</v>
      </c>
      <c r="K242" s="2">
        <f>IF(COUNT('Turns'!E656)=1,SUM('Turns'!E656),"Unknown")</f>
        <v>0.000885722232</v>
      </c>
      <c r="L242" s="2">
        <f>IF(COUNT('Turns'!F656)=1,SUM('Turns'!F656),"Unknown")</f>
        <v>0.0010068</v>
      </c>
      <c r="M242" s="2">
        <f>IF(COUNT('Turns'!D655)=1,SUM('Turns'!D655),"Unknown")</f>
        <v>0.0</v>
      </c>
      <c r="N242" s="2">
        <f>IF(COUNT('Turns'!E655)=1,SUM('Turns'!E655),"Unknown")</f>
        <v>0.0</v>
      </c>
      <c r="O242" s="2">
        <f>IF(COUNT('Turns'!F655)=1,SUM('Turns'!F655),"Unknown")</f>
        <v>0.0</v>
      </c>
      <c r="P242" s="2">
        <v>0</v>
      </c>
      <c r="Q242" s="2">
        <v>0</v>
      </c>
      <c r="R242" s="2">
        <v>0</v>
      </c>
      <c r="S242" s="2">
        <f>IF(COUNT('Turns'!D660)=1,SUM('Turns'!D660),"Unknown")</f>
        <v>74.0</v>
      </c>
      <c r="T242" s="2">
        <f>IF(COUNT('Turns'!E660)=1,SUM('Turns'!E660),"Unknown")</f>
        <v>7.8120912e-05</v>
      </c>
      <c r="U242" s="2">
        <f>IF(COUNT('Turns'!F660)=1,SUM('Turns'!F660),"Unknown")</f>
        <v>8.88e-05</v>
      </c>
      <c r="V242" s="2">
        <v>0</v>
      </c>
      <c r="W242" s="2">
        <v>0</v>
      </c>
      <c r="X242" s="2">
        <v>0</v>
      </c>
      <c r="Y242" s="2">
        <f>IF(COUNT('Turns'!E664)=1,SUM('Turns'!E664),"Unknown")</f>
        <v>0.000963843144</v>
      </c>
      <c r="Z242" s="2">
        <f>IF(COUNT('Turns'!F664)=1,SUM('Turns'!F664),"Unknown")</f>
        <v>0.0010956</v>
      </c>
      <c r="AA242" s="5">
        <f>IF(ISNUMBER(Y242),ROUND(Y242*'Reference data'!$B$2,0),"Unknown")</f>
        <v>96.0</v>
      </c>
      <c r="AB242" s="5">
        <f>IF(ISNUMBER(Z242),ROUND(Z242*'Reference data'!$B$2,0),"Unknown")</f>
        <v>110.0</v>
      </c>
      <c r="AD242" s="1">
        <v>5.136</v>
      </c>
      <c r="AE242" s="1" t="s">
        <v>361</v>
      </c>
    </row>
    <row r="243" spans="1:31" ht="54" customHeight="1">
      <c r="A243" s="6" t="s">
        <v>469</v>
      </c>
      <c r="B243" s="1">
        <v>5</v>
      </c>
      <c r="C243" s="1" t="s">
        <v>359</v>
      </c>
      <c r="D243" s="1" t="s">
        <v>47</v>
      </c>
      <c r="E243" s="1" t="s">
        <v>141</v>
      </c>
      <c r="G243" s="6" t="s">
        <v>470</v>
      </c>
      <c r="H243" t="s">
        <v>575</v>
      </c>
      <c r="I243" t="s">
        <v>574</v>
      </c>
      <c r="J243" s="2">
        <f>IF(COUNT('Turns'!D656)=1,SUM('Turns'!D656),"Unknown")</f>
        <v>5034.0</v>
      </c>
      <c r="K243" s="2">
        <f>IF(COUNT('Turns'!E656)=1,SUM('Turns'!E656),"Unknown")</f>
        <v>0.000885722232</v>
      </c>
      <c r="L243" s="2">
        <f>IF(COUNT('Turns'!F656)=1,SUM('Turns'!F656),"Unknown")</f>
        <v>0.0010068</v>
      </c>
      <c r="M243" s="2">
        <f>IF(COUNT('Turns'!D655)=1,SUM('Turns'!D655),"Unknown")</f>
        <v>0.0</v>
      </c>
      <c r="N243" s="2">
        <f>IF(COUNT('Turns'!E655)=1,SUM('Turns'!E655),"Unknown")</f>
        <v>0.0</v>
      </c>
      <c r="O243" s="2">
        <f>IF(COUNT('Turns'!F655)=1,SUM('Turns'!F655),"Unknown")</f>
        <v>0.0</v>
      </c>
      <c r="P243" s="2">
        <v>0</v>
      </c>
      <c r="Q243" s="2">
        <v>0</v>
      </c>
      <c r="R243" s="2">
        <v>0</v>
      </c>
      <c r="S243" s="2">
        <f>IF(COUNT('Turns'!D660)=1,SUM('Turns'!D660),"Unknown")</f>
        <v>74.0</v>
      </c>
      <c r="T243" s="2">
        <f>IF(COUNT('Turns'!E660)=1,SUM('Turns'!E660),"Unknown")</f>
        <v>7.8120912e-05</v>
      </c>
      <c r="U243" s="2">
        <f>IF(COUNT('Turns'!F660)=1,SUM('Turns'!F660),"Unknown")</f>
        <v>8.88e-05</v>
      </c>
      <c r="V243" s="2">
        <v>0</v>
      </c>
      <c r="W243" s="2">
        <v>0</v>
      </c>
      <c r="X243" s="2">
        <v>0</v>
      </c>
      <c r="Y243" s="2">
        <f>IF(COUNT('Turns'!E664)=1,SUM('Turns'!E664),"Unknown")</f>
        <v>0.000963843144</v>
      </c>
      <c r="Z243" s="2">
        <f>IF(COUNT('Turns'!F664)=1,SUM('Turns'!F664),"Unknown")</f>
        <v>0.0010956</v>
      </c>
      <c r="AA243" s="5">
        <f>IF(ISNUMBER(Y243),ROUND(Y243*'Reference data'!$B$2,0),"Unknown")</f>
        <v>96.0</v>
      </c>
      <c r="AB243" s="5">
        <f>IF(ISNUMBER(Z243),ROUND(Z243*'Reference data'!$B$2,0),"Unknown")</f>
        <v>110.0</v>
      </c>
      <c r="AD243" s="1">
        <v>3.684</v>
      </c>
      <c r="AE243" s="1" t="s">
        <v>361</v>
      </c>
    </row>
    <row r="244" spans="1:31" ht="54" customHeight="1">
      <c r="A244" s="6" t="s">
        <v>472</v>
      </c>
      <c r="B244" s="1">
        <v>6</v>
      </c>
      <c r="C244" s="1" t="s">
        <v>379</v>
      </c>
      <c r="D244" s="1" t="s">
        <v>126</v>
      </c>
      <c r="E244" s="1" t="s">
        <v>141</v>
      </c>
      <c r="F244" s="1">
        <v>5034</v>
      </c>
      <c r="G244" s="6" t="s">
        <v>473</v>
      </c>
      <c r="H244" t="s">
        <v>354</v>
      </c>
      <c r="I244" t="s">
        <v>575</v>
      </c>
      <c r="J244" s="2">
        <f>IF(COUNT('Turns'!D656)=1,SUM('Turns'!D656),"Unknown")</f>
        <v>5034.0</v>
      </c>
      <c r="K244" s="2">
        <f>IF(COUNT('Turns'!E656)=1,SUM('Turns'!E656),"Unknown")</f>
        <v>0.000885722232</v>
      </c>
      <c r="L244" s="2">
        <f>IF(COUNT('Turns'!F656)=1,SUM('Turns'!F656),"Unknown")</f>
        <v>0.0010068</v>
      </c>
      <c r="M244" s="2">
        <f>IF(COUNT('Turns'!D655)=1,SUM('Turns'!D655),"Unknown")</f>
        <v>0.0</v>
      </c>
      <c r="N244" s="2">
        <f>IF(COUNT('Turns'!E655)=1,SUM('Turns'!E655),"Unknown")</f>
        <v>0.0</v>
      </c>
      <c r="O244" s="2">
        <f>IF(COUNT('Turns'!F655)=1,SUM('Turns'!F655),"Unknown")</f>
        <v>0.0</v>
      </c>
      <c r="P244" s="2">
        <v>0</v>
      </c>
      <c r="Q244" s="2">
        <v>0</v>
      </c>
      <c r="R244" s="2">
        <v>0</v>
      </c>
      <c r="S244" s="2">
        <f>IF(COUNT('Turns'!D660)=1,SUM('Turns'!D660),"Unknown")</f>
        <v>74.0</v>
      </c>
      <c r="T244" s="2">
        <f>IF(COUNT('Turns'!E660)=1,SUM('Turns'!E660),"Unknown")</f>
        <v>7.8120912e-05</v>
      </c>
      <c r="U244" s="2">
        <f>IF(COUNT('Turns'!F660)=1,SUM('Turns'!F660),"Unknown")</f>
        <v>8.88e-05</v>
      </c>
      <c r="V244" s="2">
        <v>0</v>
      </c>
      <c r="W244" s="2">
        <v>0</v>
      </c>
      <c r="X244" s="2">
        <v>0</v>
      </c>
      <c r="Y244" s="2">
        <f>IF(COUNT('Turns'!E664)=1,SUM('Turns'!E664),"Unknown")</f>
        <v>0.000963843144</v>
      </c>
      <c r="Z244" s="2">
        <f>IF(COUNT('Turns'!F664)=1,SUM('Turns'!F664),"Unknown")</f>
        <v>0.0010956</v>
      </c>
      <c r="AA244" s="5">
        <f>IF(ISNUMBER(Y244),ROUND(Y244*'Reference data'!$B$2,0),"Unknown")</f>
        <v>96.0</v>
      </c>
      <c r="AB244" s="5">
        <f>IF(ISNUMBER(Z244),ROUND(Z244*'Reference data'!$B$2,0),"Unknown")</f>
        <v>110.0</v>
      </c>
      <c r="AC244" s="1" t="s">
        <v>353</v>
      </c>
      <c r="AD244" s="1">
        <v>2.779</v>
      </c>
      <c r="AE244" s="1" t="s">
        <v>381</v>
      </c>
    </row>
    <row r="245" spans="1:31" ht="54" customHeight="1">
      <c r="A245" s="6" t="s">
        <v>375</v>
      </c>
      <c r="B245" s="1">
        <v>4</v>
      </c>
      <c r="C245" s="1" t="s">
        <v>359</v>
      </c>
      <c r="D245" s="1" t="s">
        <v>47</v>
      </c>
      <c r="E245" s="1" t="s">
        <v>141</v>
      </c>
      <c r="G245" s="6" t="s">
        <v>376</v>
      </c>
      <c r="H245" t="s">
        <v>576</v>
      </c>
      <c r="I245" t="s">
        <v>563</v>
      </c>
      <c r="J245" s="2">
        <f>IF(COUNT('Turns'!D667)=1,SUM('Turns'!D667),"Unknown")</f>
        <v>3609.0</v>
      </c>
      <c r="K245" s="2">
        <f>IF(COUNT('Turns'!E667)=1,SUM('Turns'!E667),"Unknown")</f>
        <v>0.000634996332</v>
      </c>
      <c r="L245" s="2">
        <f>IF(COUNT('Turns'!F667)=1,SUM('Turns'!F667),"Unknown")</f>
        <v>0.0007218</v>
      </c>
      <c r="M245" s="2">
        <f>IF(COUNT('Turns'!D666)=1,SUM('Turns'!D666),"Unknown")</f>
        <v>0.0</v>
      </c>
      <c r="N245" s="2">
        <f>IF(COUNT('Turns'!E666)=1,SUM('Turns'!E666),"Unknown")</f>
        <v>0.0</v>
      </c>
      <c r="O245" s="2">
        <f>IF(COUNT('Turns'!F666)=1,SUM('Turns'!F666),"Unknown")</f>
        <v>0.0</v>
      </c>
      <c r="P245" s="2">
        <v>0</v>
      </c>
      <c r="Q245" s="2">
        <v>0</v>
      </c>
      <c r="R245" s="2">
        <v>0</v>
      </c>
      <c r="S245" s="2">
        <f>IF(COUNT('Turns'!D672)=1,SUM('Turns'!D672),"Unknown")</f>
        <v>65.0</v>
      </c>
      <c r="T245" s="2">
        <f>IF(COUNT('Turns'!E672)=1,SUM('Turns'!E672),"Unknown")</f>
        <v>6.861972e-05</v>
      </c>
      <c r="U245" s="2">
        <f>IF(COUNT('Turns'!F672)=1,SUM('Turns'!F672),"Unknown")</f>
        <v>7.8e-05</v>
      </c>
      <c r="V245" s="2">
        <v>0</v>
      </c>
      <c r="W245" s="2">
        <v>0</v>
      </c>
      <c r="X245" s="2">
        <v>0</v>
      </c>
      <c r="Y245" s="2">
        <f>IF(COUNT('Turns'!E676)=1,SUM('Turns'!E676),"Unknown")</f>
        <v>0.000703616052</v>
      </c>
      <c r="Z245" s="2">
        <f>IF(COUNT('Turns'!F676)=1,SUM('Turns'!F676),"Unknown")</f>
        <v>0.0007998</v>
      </c>
      <c r="AA245" s="5">
        <f>IF(ISNUMBER(Y245),ROUND(Y245*'Reference data'!$B$2,0),"Unknown")</f>
        <v>70.0</v>
      </c>
      <c r="AB245" s="5">
        <f>IF(ISNUMBER(Z245),ROUND(Z245*'Reference data'!$B$2,0),"Unknown")</f>
        <v>80.0</v>
      </c>
      <c r="AD245" s="1">
        <v>3.984</v>
      </c>
      <c r="AE245" s="1" t="s">
        <v>361</v>
      </c>
    </row>
    <row r="246" spans="1:31" ht="54" customHeight="1">
      <c r="A246" s="6" t="s">
        <v>378</v>
      </c>
      <c r="B246" s="1">
        <v>5</v>
      </c>
      <c r="C246" s="1" t="s">
        <v>379</v>
      </c>
      <c r="D246" s="1" t="s">
        <v>126</v>
      </c>
      <c r="E246" s="1" t="s">
        <v>141</v>
      </c>
      <c r="F246" s="1">
        <v>3609</v>
      </c>
      <c r="G246" s="6" t="s">
        <v>380</v>
      </c>
      <c r="H246" t="s">
        <v>356</v>
      </c>
      <c r="I246" t="s">
        <v>576</v>
      </c>
      <c r="J246" s="2">
        <f>IF(COUNT('Turns'!D667)=1,SUM('Turns'!D667),"Unknown")</f>
        <v>3609.0</v>
      </c>
      <c r="K246" s="2">
        <f>IF(COUNT('Turns'!E667)=1,SUM('Turns'!E667),"Unknown")</f>
        <v>0.000634996332</v>
      </c>
      <c r="L246" s="2">
        <f>IF(COUNT('Turns'!F667)=1,SUM('Turns'!F667),"Unknown")</f>
        <v>0.0007218</v>
      </c>
      <c r="M246" s="2">
        <f>IF(COUNT('Turns'!D666)=1,SUM('Turns'!D666),"Unknown")</f>
        <v>0.0</v>
      </c>
      <c r="N246" s="2">
        <f>IF(COUNT('Turns'!E666)=1,SUM('Turns'!E666),"Unknown")</f>
        <v>0.0</v>
      </c>
      <c r="O246" s="2">
        <f>IF(COUNT('Turns'!F666)=1,SUM('Turns'!F666),"Unknown")</f>
        <v>0.0</v>
      </c>
      <c r="P246" s="2">
        <v>0</v>
      </c>
      <c r="Q246" s="2">
        <v>0</v>
      </c>
      <c r="R246" s="2">
        <v>0</v>
      </c>
      <c r="S246" s="2">
        <f>IF(COUNT('Turns'!D672)=1,SUM('Turns'!D672),"Unknown")</f>
        <v>65.0</v>
      </c>
      <c r="T246" s="2">
        <f>IF(COUNT('Turns'!E672)=1,SUM('Turns'!E672),"Unknown")</f>
        <v>6.861972e-05</v>
      </c>
      <c r="U246" s="2">
        <f>IF(COUNT('Turns'!F672)=1,SUM('Turns'!F672),"Unknown")</f>
        <v>7.8e-05</v>
      </c>
      <c r="V246" s="2">
        <v>0</v>
      </c>
      <c r="W246" s="2">
        <v>0</v>
      </c>
      <c r="X246" s="2">
        <v>0</v>
      </c>
      <c r="Y246" s="2">
        <f>IF(COUNT('Turns'!E676)=1,SUM('Turns'!E676),"Unknown")</f>
        <v>0.000703616052</v>
      </c>
      <c r="Z246" s="2">
        <f>IF(COUNT('Turns'!F676)=1,SUM('Turns'!F676),"Unknown")</f>
        <v>0.0007998</v>
      </c>
      <c r="AA246" s="5">
        <f>IF(ISNUMBER(Y246),ROUND(Y246*'Reference data'!$B$2,0),"Unknown")</f>
        <v>70.0</v>
      </c>
      <c r="AB246" s="5">
        <f>IF(ISNUMBER(Z246),ROUND(Z246*'Reference data'!$B$2,0),"Unknown")</f>
        <v>80.0</v>
      </c>
      <c r="AC246" s="1" t="s">
        <v>355</v>
      </c>
      <c r="AD246" s="1">
        <v>2.251</v>
      </c>
      <c r="AE246" s="1" t="s">
        <v>381</v>
      </c>
    </row>
    <row r="247" spans="1:31" ht="54" customHeight="1">
      <c r="A247" s="6" t="s">
        <v>390</v>
      </c>
      <c r="B247" s="1">
        <v>2</v>
      </c>
      <c r="C247" s="1" t="s">
        <v>359</v>
      </c>
      <c r="D247" s="1" t="s">
        <v>47</v>
      </c>
      <c r="E247" s="1" t="s">
        <v>141</v>
      </c>
      <c r="G247" s="6" t="s">
        <v>391</v>
      </c>
      <c r="H247" t="s">
        <v>577</v>
      </c>
      <c r="I247" t="s">
        <v>561</v>
      </c>
      <c r="AD247" s="1">
        <v>0.233</v>
      </c>
      <c r="AE247" s="1" t="s">
        <v>374</v>
      </c>
    </row>
    <row r="248" spans="1:31" ht="54" customHeight="1">
      <c r="A248" s="6" t="s">
        <v>517</v>
      </c>
      <c r="B248" s="1">
        <v>1</v>
      </c>
      <c r="C248" s="1" t="s">
        <v>359</v>
      </c>
      <c r="D248" s="1" t="s">
        <v>47</v>
      </c>
      <c r="E248" s="1" t="s">
        <v>141</v>
      </c>
      <c r="G248" s="6" t="s">
        <v>518</v>
      </c>
      <c r="H248" t="s">
        <v>578</v>
      </c>
      <c r="I248" t="s">
        <v>520</v>
      </c>
      <c r="AD248" s="1">
        <v>0.335</v>
      </c>
      <c r="AE248" s="1" t="s">
        <v>374</v>
      </c>
    </row>
  </sheetData>
  <conditionalFormatting sqref="A2:AE248">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4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0.87974</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row r="23" spans="1:9" ht="72" customHeight="1">
      <c r="A23" s="6" t="s">
        <v>91</v>
      </c>
      <c r="B23" s="2">
        <v>1</v>
      </c>
      <c r="C23" s="2">
        <v>0.10</v>
      </c>
      <c r="D23" s="2">
        <v>1.25</v>
      </c>
      <c r="E23" s="2">
        <v>5</v>
      </c>
      <c r="F23" s="2">
        <v>5</v>
      </c>
      <c r="G23" s="6" t="s">
        <v>78</v>
      </c>
      <c r="H23" s="6" t="s">
        <v>86</v>
      </c>
      <c r="I23" s="6" t="s">
        <v>80</v>
      </c>
    </row>
    <row r="24" spans="1:9" ht="72" customHeight="1">
      <c r="A24" s="6" t="s">
        <v>92</v>
      </c>
      <c r="B24" s="2">
        <v>1</v>
      </c>
      <c r="C24" s="2">
        <v>0.10</v>
      </c>
      <c r="D24" s="2">
        <v>1.25</v>
      </c>
      <c r="E24" s="2">
        <v>5</v>
      </c>
      <c r="F24" s="2">
        <v>5</v>
      </c>
      <c r="G24" s="6" t="s">
        <v>78</v>
      </c>
      <c r="H24" s="6" t="s">
        <v>86</v>
      </c>
      <c r="I24" s="6" t="s">
        <v>80</v>
      </c>
    </row>
    <row r="25" spans="1:9" ht="72" customHeight="1">
      <c r="A25" s="6" t="s">
        <v>93</v>
      </c>
      <c r="B25" s="2">
        <v>4</v>
      </c>
      <c r="C25" s="2">
        <v>0.20</v>
      </c>
      <c r="D25" s="2">
        <v>5</v>
      </c>
      <c r="E25" s="2">
        <v>20</v>
      </c>
      <c r="F25" s="2">
        <v>20</v>
      </c>
      <c r="G25" s="6" t="s">
        <v>78</v>
      </c>
      <c r="H25" s="6" t="s">
        <v>86</v>
      </c>
      <c r="I25" s="6" t="s">
        <v>80</v>
      </c>
    </row>
    <row r="26" spans="1:9" ht="72" customHeight="1">
      <c r="A26" s="6" t="s">
        <v>94</v>
      </c>
      <c r="B26" s="2">
        <v>3</v>
      </c>
      <c r="C26" s="2">
        <v>0.30</v>
      </c>
      <c r="D26" s="2">
        <v>3.75</v>
      </c>
      <c r="E26" s="2">
        <v>15</v>
      </c>
      <c r="F26" s="2">
        <v>15</v>
      </c>
      <c r="G26" s="6" t="s">
        <v>78</v>
      </c>
      <c r="H26" s="6" t="s">
        <v>86</v>
      </c>
      <c r="I26" s="6" t="s">
        <v>80</v>
      </c>
    </row>
    <row r="27" spans="1:9" ht="72" customHeight="1">
      <c r="A27" s="6" t="s">
        <v>95</v>
      </c>
      <c r="B27" s="2">
        <v>2</v>
      </c>
      <c r="C27" s="2">
        <v>0.20</v>
      </c>
      <c r="D27" s="2">
        <v>2.50</v>
      </c>
      <c r="E27" s="2">
        <v>10</v>
      </c>
      <c r="F27" s="2">
        <v>10</v>
      </c>
      <c r="G27" s="6" t="s">
        <v>78</v>
      </c>
      <c r="H27" s="6" t="s">
        <v>86</v>
      </c>
      <c r="I27" s="6" t="s">
        <v>80</v>
      </c>
    </row>
    <row r="28" spans="1:9" ht="72" customHeight="1">
      <c r="A28" s="6" t="s">
        <v>96</v>
      </c>
      <c r="B28" s="2">
        <v>1.00</v>
      </c>
      <c r="C28" s="2">
        <v>0.10</v>
      </c>
      <c r="D28" s="2">
        <v>1.25</v>
      </c>
      <c r="E28" s="2">
        <v>5.00</v>
      </c>
      <c r="F28" s="2">
        <v>5.00</v>
      </c>
      <c r="G28" s="6" t="s">
        <v>78</v>
      </c>
      <c r="H28" s="6" t="s">
        <v>97</v>
      </c>
      <c r="I28" s="6" t="s">
        <v>80</v>
      </c>
    </row>
    <row r="29" spans="1:9" ht="72" customHeight="1">
      <c r="A29" s="6" t="s">
        <v>98</v>
      </c>
      <c r="B29" s="2">
        <v>4.00</v>
      </c>
      <c r="C29" s="2">
        <v>0.20</v>
      </c>
      <c r="D29" s="2">
        <v>5.00</v>
      </c>
      <c r="E29" s="2">
        <v>20.00</v>
      </c>
      <c r="F29" s="2">
        <v>20.00</v>
      </c>
      <c r="G29" s="6" t="s">
        <v>78</v>
      </c>
      <c r="H29" s="6" t="s">
        <v>97</v>
      </c>
      <c r="I29" s="6" t="s">
        <v>80</v>
      </c>
    </row>
    <row r="30" spans="1:9" ht="72" customHeight="1">
      <c r="A30" s="6" t="s">
        <v>99</v>
      </c>
      <c r="B30" s="2">
        <v>3.00</v>
      </c>
      <c r="C30" s="2">
        <v>0.30</v>
      </c>
      <c r="D30" s="2">
        <v>3.75</v>
      </c>
      <c r="E30" s="2">
        <v>15.00</v>
      </c>
      <c r="F30" s="2">
        <v>15.00</v>
      </c>
      <c r="G30" s="6" t="s">
        <v>78</v>
      </c>
      <c r="H30" s="6" t="s">
        <v>97</v>
      </c>
      <c r="I30" s="6" t="s">
        <v>80</v>
      </c>
    </row>
    <row r="31" spans="1:9" ht="72" customHeight="1">
      <c r="A31" s="6" t="s">
        <v>100</v>
      </c>
      <c r="B31" s="2">
        <v>2.00</v>
      </c>
      <c r="C31" s="2">
        <v>0.20</v>
      </c>
      <c r="D31" s="2">
        <v>2.50</v>
      </c>
      <c r="E31" s="2">
        <v>10.00</v>
      </c>
      <c r="F31" s="2">
        <v>10.00</v>
      </c>
      <c r="G31" s="6" t="s">
        <v>78</v>
      </c>
      <c r="H31" s="6" t="s">
        <v>97</v>
      </c>
      <c r="I31" s="6" t="s">
        <v>80</v>
      </c>
    </row>
    <row r="32" spans="1:9" ht="72" customHeight="1">
      <c r="A32" s="6" t="s">
        <v>101</v>
      </c>
      <c r="B32" s="2">
        <v>0.75</v>
      </c>
      <c r="C32" s="2">
        <v>0.075</v>
      </c>
      <c r="D32" s="2" t="s">
        <v>77</v>
      </c>
      <c r="E32" s="2">
        <v>3.75</v>
      </c>
      <c r="F32" s="2">
        <v>3.75</v>
      </c>
      <c r="G32" s="6" t="s">
        <v>78</v>
      </c>
      <c r="H32" s="6" t="s">
        <v>97</v>
      </c>
      <c r="I32" s="6" t="s">
        <v>80</v>
      </c>
    </row>
    <row r="33" spans="1:9" ht="72" customHeight="1">
      <c r="A33" s="6" t="s">
        <v>102</v>
      </c>
      <c r="B33" s="2">
        <v>1.75</v>
      </c>
      <c r="C33" s="2">
        <v>0.175</v>
      </c>
      <c r="D33" s="2" t="s">
        <v>77</v>
      </c>
      <c r="E33" s="2">
        <v>14.00</v>
      </c>
      <c r="F33" s="2">
        <v>14.00</v>
      </c>
      <c r="G33" s="6" t="s">
        <v>78</v>
      </c>
      <c r="H33" s="6" t="s">
        <v>97</v>
      </c>
      <c r="I33" s="6" t="s">
        <v>80</v>
      </c>
    </row>
    <row r="34" spans="1:9" ht="72" customHeight="1">
      <c r="A34" s="6" t="s">
        <v>103</v>
      </c>
      <c r="B34" s="2">
        <v>2.50</v>
      </c>
      <c r="C34" s="2">
        <v>0.25</v>
      </c>
      <c r="D34" s="2" t="s">
        <v>77</v>
      </c>
      <c r="E34" s="2">
        <v>15.00</v>
      </c>
      <c r="F34" s="2">
        <v>15.00</v>
      </c>
      <c r="G34" s="6" t="s">
        <v>78</v>
      </c>
      <c r="H34" s="6" t="s">
        <v>97</v>
      </c>
      <c r="I34" s="6" t="s">
        <v>80</v>
      </c>
    </row>
    <row r="35" spans="1:9" ht="72" customHeight="1">
      <c r="A35" s="6" t="s">
        <v>104</v>
      </c>
      <c r="B35" s="2">
        <v>10.00</v>
      </c>
      <c r="C35" s="2">
        <v>1.00</v>
      </c>
      <c r="D35" s="2">
        <v>12.50</v>
      </c>
      <c r="E35" s="2">
        <v>50.00</v>
      </c>
      <c r="F35" s="2">
        <v>50.00</v>
      </c>
      <c r="G35" s="6" t="s">
        <v>78</v>
      </c>
      <c r="H35" s="6" t="s">
        <v>97</v>
      </c>
      <c r="I35" s="6" t="s">
        <v>80</v>
      </c>
    </row>
    <row r="36" spans="1:9" ht="72" customHeight="1">
      <c r="A36" s="6" t="s">
        <v>105</v>
      </c>
      <c r="B36" s="2">
        <v>0.10</v>
      </c>
      <c r="C36" s="2">
        <v>0.01</v>
      </c>
      <c r="D36" s="2">
        <v>0.125</v>
      </c>
      <c r="E36" s="2">
        <v>0.50</v>
      </c>
      <c r="F36" s="2">
        <v>0.50</v>
      </c>
      <c r="G36" s="6" t="s">
        <v>78</v>
      </c>
      <c r="H36" s="6" t="s">
        <v>97</v>
      </c>
      <c r="I36" s="6" t="s">
        <v>80</v>
      </c>
    </row>
    <row r="37" spans="1:9" ht="72" customHeight="1">
      <c r="A37" s="6" t="s">
        <v>106</v>
      </c>
      <c r="B37" s="2">
        <v>2.00</v>
      </c>
      <c r="C37" s="2">
        <v>0.20</v>
      </c>
      <c r="D37" s="2">
        <v>2.50</v>
      </c>
      <c r="E37" s="2">
        <v>10.00</v>
      </c>
      <c r="F37" s="2">
        <v>10.00</v>
      </c>
      <c r="G37" s="6" t="s">
        <v>78</v>
      </c>
      <c r="H37" s="6" t="s">
        <v>97</v>
      </c>
      <c r="I37" s="6" t="s">
        <v>80</v>
      </c>
    </row>
    <row r="38" spans="1:9" ht="72" customHeight="1">
      <c r="A38" s="6" t="s">
        <v>107</v>
      </c>
      <c r="B38" s="2">
        <v>2.00</v>
      </c>
      <c r="C38" s="2">
        <v>0.10</v>
      </c>
      <c r="D38" s="2">
        <v>2.50</v>
      </c>
      <c r="E38" s="2">
        <v>10.00</v>
      </c>
      <c r="F38" s="2">
        <v>10.00</v>
      </c>
      <c r="G38" s="6" t="s">
        <v>78</v>
      </c>
      <c r="H38" s="6" t="s">
        <v>97</v>
      </c>
      <c r="I38" s="6" t="s">
        <v>80</v>
      </c>
    </row>
    <row r="39" spans="1:9" ht="72" customHeight="1">
      <c r="A39" s="6" t="s">
        <v>108</v>
      </c>
      <c r="B39" s="2">
        <v>10</v>
      </c>
      <c r="C39" s="2">
        <v>1</v>
      </c>
      <c r="D39" s="2">
        <v>12.50</v>
      </c>
      <c r="E39" s="2">
        <v>50</v>
      </c>
      <c r="F39" s="2">
        <v>50</v>
      </c>
      <c r="G39" s="6" t="s">
        <v>78</v>
      </c>
      <c r="H39" s="6" t="s">
        <v>109</v>
      </c>
      <c r="I39" s="6" t="s">
        <v>80</v>
      </c>
    </row>
    <row r="40" spans="1:9" ht="72" customHeight="1">
      <c r="A40" s="6" t="s">
        <v>110</v>
      </c>
      <c r="B40" s="2">
        <v>0.1</v>
      </c>
      <c r="C40" s="2">
        <v>0.01</v>
      </c>
      <c r="D40" s="2">
        <v>0.125</v>
      </c>
      <c r="E40" s="2">
        <v>0.5</v>
      </c>
      <c r="F40" s="2">
        <v>0.5</v>
      </c>
      <c r="G40" s="6" t="s">
        <v>78</v>
      </c>
      <c r="H40" s="6" t="s">
        <v>111</v>
      </c>
      <c r="I40" s="6" t="s">
        <v>80</v>
      </c>
    </row>
    <row r="41" spans="1:9" ht="72" customHeight="1">
      <c r="A41" s="6" t="s">
        <v>112</v>
      </c>
      <c r="B41" s="2">
        <v>2</v>
      </c>
      <c r="C41" s="2">
        <v>0.2</v>
      </c>
      <c r="D41" s="2">
        <v>2.50</v>
      </c>
      <c r="E41" s="2">
        <v>10</v>
      </c>
      <c r="F41" s="2">
        <v>10</v>
      </c>
      <c r="G41" s="6" t="s">
        <v>78</v>
      </c>
      <c r="H41" s="6" t="s">
        <v>113</v>
      </c>
      <c r="I41" s="6" t="s">
        <v>80</v>
      </c>
    </row>
    <row r="42" spans="1:9" ht="72" customHeight="1">
      <c r="A42" s="6" t="s">
        <v>114</v>
      </c>
      <c r="B42" s="2">
        <v>2</v>
      </c>
      <c r="C42" s="2">
        <v>0.1</v>
      </c>
      <c r="D42" s="2">
        <v>2.50</v>
      </c>
      <c r="E42" s="2">
        <v>10</v>
      </c>
      <c r="F42" s="2">
        <v>10</v>
      </c>
      <c r="G42" s="6" t="s">
        <v>78</v>
      </c>
      <c r="H42" s="6" t="s">
        <v>115</v>
      </c>
      <c r="I42" s="6" t="s">
        <v>80</v>
      </c>
    </row>
    <row r="43" spans="1:9" ht="72" customHeight="1">
      <c r="A43" s="6" t="s">
        <v>116</v>
      </c>
      <c r="B43" s="2">
        <v>5.00</v>
      </c>
      <c r="C43" s="2">
        <v>0.50</v>
      </c>
      <c r="D43" s="2" t="s">
        <v>77</v>
      </c>
      <c r="E43" s="2">
        <v>22.50</v>
      </c>
      <c r="F43" s="2">
        <v>22.50</v>
      </c>
      <c r="G43" s="6" t="s">
        <v>78</v>
      </c>
      <c r="H43" s="6" t="s">
        <v>97</v>
      </c>
      <c r="I43" s="6" t="s">
        <v>117</v>
      </c>
    </row>
    <row r="44" spans="1:9" ht="72" customHeight="1">
      <c r="A44" s="6" t="s">
        <v>118</v>
      </c>
      <c r="B44" s="2">
        <v>20.00</v>
      </c>
      <c r="C44" s="2">
        <v>2.00</v>
      </c>
      <c r="D44" s="2">
        <v>25.00</v>
      </c>
      <c r="E44" s="2">
        <v>75.00</v>
      </c>
      <c r="F44" s="2">
        <v>75.00</v>
      </c>
      <c r="G44" s="6" t="s">
        <v>78</v>
      </c>
      <c r="H44" s="6" t="s">
        <v>97</v>
      </c>
      <c r="I44" s="6" t="s">
        <v>117</v>
      </c>
    </row>
    <row r="45" spans="1:9" ht="72" customHeight="1">
      <c r="A45" s="6" t="s">
        <v>119</v>
      </c>
      <c r="B45" s="2">
        <v>0.20</v>
      </c>
      <c r="C45" s="2">
        <v>0.02</v>
      </c>
      <c r="D45" s="2">
        <v>0.25</v>
      </c>
      <c r="E45" s="2">
        <v>0.75</v>
      </c>
      <c r="F45" s="2">
        <v>0.75</v>
      </c>
      <c r="G45" s="6" t="s">
        <v>78</v>
      </c>
      <c r="H45" s="6" t="s">
        <v>97</v>
      </c>
      <c r="I45" s="6" t="s">
        <v>117</v>
      </c>
    </row>
    <row r="46" spans="1:9" ht="72" customHeight="1">
      <c r="A46" s="6" t="s">
        <v>120</v>
      </c>
      <c r="B46" s="2">
        <v>4.00</v>
      </c>
      <c r="C46" s="2">
        <v>0.40</v>
      </c>
      <c r="D46" s="2">
        <v>5.00</v>
      </c>
      <c r="E46" s="2">
        <v>15.00</v>
      </c>
      <c r="F46" s="2">
        <v>15.00</v>
      </c>
      <c r="G46" s="6" t="s">
        <v>78</v>
      </c>
      <c r="H46" s="6" t="s">
        <v>97</v>
      </c>
      <c r="I46" s="6" t="s">
        <v>117</v>
      </c>
    </row>
    <row r="47" spans="1:9" ht="72" customHeight="1">
      <c r="A47" s="6" t="s">
        <v>121</v>
      </c>
      <c r="B47" s="2">
        <v>4.00</v>
      </c>
      <c r="C47" s="2">
        <v>0.20</v>
      </c>
      <c r="D47" s="2">
        <v>5.00</v>
      </c>
      <c r="E47" s="2">
        <v>15.00</v>
      </c>
      <c r="F47" s="2">
        <v>15.00</v>
      </c>
      <c r="G47" s="6" t="s">
        <v>78</v>
      </c>
      <c r="H47" s="6" t="s">
        <v>97</v>
      </c>
      <c r="I47" s="6" t="s">
        <v>117</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2026-10-07T13:15:00Z</dcterms:created>
  <dcterms:modified xsi:type="dcterms:W3CDTF">2026-10-07T13:15:00Z</dcterms:modified>
</cp:coreProperties>
</file>
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9df96763ba148a6" /></Relationships>
</file>

<file path=xl/workbook.xml><?xml version="1.0" encoding="utf-8"?>
<x:workbook xmlns:x="http://schemas.openxmlformats.org/spreadsheetml/2006/main">
  <x:sheets>
    <x:sheet xmlns:r="http://schemas.openxmlformats.org/officeDocument/2006/relationships" name="Turns" sheetId="1" r:id="R51b3121f711340c2"/>
    <x:sheet xmlns:r="http://schemas.openxmlformats.org/officeDocument/2006/relationships" name="Execution tree" sheetId="2" r:id="R661dd5aee1f04c0c"/>
    <x:sheet xmlns:r="http://schemas.openxmlformats.org/officeDocument/2006/relationships" name="Reference data" sheetId="3" r:id="R7054cec8cbc045d2"/>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0.###############;-0.###############;0"/>
    <x:numFmt numFmtId="202" formatCode="yyyy-mm-dd"/>
    <x:numFmt numFmtId="203" formatCode="yyyy-mm-dd hh:mm:ss"/>
    <x:numFmt numFmtId="204" formatCode="0.00"/>
  </x:numFmts>
  <x:fonts count="5">
    <x:font>
      <x:sz val="11"/>
      <x:name val="Carlito"/>
    </x:font>
    <x:font>
      <x:sz val="10"/>
      <x:color rgb="FF193E42"/>
      <x:name val="Arial"/>
    </x:font>
    <x:font>
      <x:b/>
      <x:sz val="10"/>
      <x:color rgb="FFFFFFFF"/>
      <x:name val="Arial"/>
    </x:font>
    <x:font>
      <x:b/>
      <x:sz val="10"/>
      <x:color rgb="FF173B70"/>
      <x:name val="Arial"/>
    </x:font>
    <x:font>
      <x:b/>
      <x:sz val="10"/>
      <x:color rgb="FF193E42"/>
      <x:name val="Arial"/>
    </x:font>
  </x:fonts>
  <x:fills count="9">
    <x:fill>
      <x:patternFill patternType="none"/>
    </x:fill>
    <x:fill>
      <x:patternFill patternType="gray125"/>
    </x:fill>
    <x:fill>
      <x:patternFill patternType="solid">
        <x:fgColor rgb="FF173B70"/>
      </x:patternFill>
    </x:fill>
    <x:fill>
      <x:patternFill patternType="solid">
        <x:fgColor rgb="FFFFF1B8"/>
      </x:patternFill>
    </x:fill>
    <x:fill>
      <x:patternFill patternType="solid">
        <x:fgColor rgb="FFDBE5F1"/>
      </x:patternFill>
    </x:fill>
    <x:fill>
      <x:patternFill patternType="solid">
        <x:fgColor rgb="FFF0F5FC"/>
      </x:patternFill>
    </x:fill>
    <x:fill>
      <x:patternFill patternType="solid">
        <x:fgColor rgb="FFF4F4F4"/>
      </x:patternFill>
    </x:fill>
    <x:fill>
      <x:patternFill patternType="solid">
        <x:fgColor rgb="FFE8EEF7"/>
      </x:patternFill>
    </x:fill>
    <x:fill>
      <x:patternFill patternType="solid">
        <x:fgColor rgb="FFFFFFFF"/>
      </x:patternFill>
    </x:fill>
  </x:fills>
  <x:borders count="1">
    <x:border/>
  </x:borders>
  <x:cellStyleXfs count="1">
    <x:xf numFmtId="0" fontId="0" fillId="0" borderId="0"/>
  </x:cellStyleXfs>
  <x:cellXfs count="4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2" fillId="2" borderId="0" xfId="0" applyNumberFormat="1" applyFont="1" applyFill="1" applyBorder="1" applyAlignment="1">
      <x:alignment vertical="top"/>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x:xf>
    <x:xf numFmtId="0" fontId="3" fillId="3" borderId="0" xfId="0" applyNumberFormat="1" applyFont="1" applyFill="1" applyBorder="1" applyAlignment="1">
      <x:alignment vertical="top"/>
    </x:xf>
    <x:xf numFmtId="200" fontId="3" fillId="3" borderId="0" xfId="0" applyNumberFormat="1" applyFont="1" applyFill="1" applyBorder="1" applyAlignment="1">
      <x:alignment vertical="top"/>
    </x:xf>
    <x:xf numFmtId="201"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3"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4" borderId="0" xfId="0" applyNumberFormat="1" applyFont="1" applyFill="1" applyBorder="1" applyAlignment="1">
      <x:alignment vertical="top"/>
    </x:xf>
    <x:xf numFmtId="0" fontId="3" fillId="4" borderId="0" xfId="0" applyNumberFormat="1" applyFont="1" applyFill="1" applyBorder="1" applyAlignment="1">
      <x:alignment vertical="top"/>
    </x:xf>
    <x:xf numFmtId="0" fontId="1" fillId="5" borderId="0" xfId="0" applyNumberFormat="1" applyFont="1" applyFill="1" applyBorder="1" applyAlignment="1">
      <x:alignment vertical="top"/>
    </x:xf>
    <x:xf numFmtId="0" fontId="3" fillId="5" borderId="0" xfId="0" applyNumberFormat="1" applyFont="1" applyFill="1" applyBorder="1" applyAlignment="1">
      <x:alignment vertical="top"/>
    </x:xf>
    <x:xf numFmtId="0" fontId="4" fillId="0" borderId="0" xfId="0" applyNumberFormat="1" applyFont="1" applyFill="1" applyBorder="1" applyAlignment="1">
      <x:alignment vertical="top"/>
    </x:xf>
    <x:xf numFmtId="0" fontId="1" fillId="6" borderId="0" xfId="0" applyNumberFormat="1" applyFont="1" applyFill="1" applyBorder="1" applyAlignment="1">
      <x:alignment vertical="top"/>
    </x:xf>
    <x:xf numFmtId="0" fontId="4" fillId="6" borderId="0" xfId="0" applyNumberFormat="1" applyFont="1" applyFill="1" applyBorder="1" applyAlignment="1">
      <x:alignment vertical="top"/>
    </x:xf>
    <x:xf numFmtId="0" fontId="3" fillId="4"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4" fillId="6" borderId="0" xfId="0" applyNumberFormat="1" applyFont="1" applyFill="1" applyBorder="1" applyAlignment="1">
      <x:alignment vertical="top" wrapText="1"/>
    </x:xf>
    <x:xf numFmtId="201" fontId="3" fillId="4" borderId="0" xfId="0" applyNumberFormat="1" applyFont="1" applyFill="1" applyBorder="1" applyAlignment="1">
      <x:alignment vertical="top"/>
    </x:xf>
    <x:xf numFmtId="201" fontId="3" fillId="5" borderId="0" xfId="0" applyNumberFormat="1" applyFont="1" applyFill="1" applyBorder="1" applyAlignment="1">
      <x:alignment vertical="top"/>
    </x:xf>
    <x:xf numFmtId="201" fontId="4" fillId="6" borderId="0" xfId="0" applyNumberFormat="1" applyFont="1" applyFill="1" applyBorder="1" applyAlignment="1">
      <x:alignment vertical="top"/>
    </x:xf>
    <x:xf numFmtId="200" fontId="3" fillId="4" borderId="0" xfId="0" applyNumberFormat="1" applyFont="1" applyFill="1" applyBorder="1" applyAlignment="1">
      <x:alignment vertical="top"/>
    </x:xf>
    <x:xf numFmtId="200" fontId="3" fillId="5" borderId="0" xfId="0" applyNumberFormat="1" applyFont="1" applyFill="1" applyBorder="1" applyAlignment="1">
      <x:alignment vertical="top"/>
    </x:xf>
    <x:xf numFmtId="200" fontId="1" fillId="0" borderId="0" xfId="0" applyNumberFormat="1" applyFont="1" applyFill="1" applyBorder="1" applyAlignment="1">
      <x:alignment vertical="top"/>
    </x:xf>
    <x:xf numFmtId="200" fontId="4" fillId="6"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8" borderId="0" xfId="0" applyNumberFormat="1" applyFont="1" applyFill="1" applyBorder="1" applyAlignment="1">
      <x:alignment vertical="top"/>
    </x:xf>
    <x:xf numFmtId="200" fontId="1" fillId="7" borderId="0" xfId="0" applyNumberFormat="1" applyFont="1" applyFill="1" applyBorder="1" applyAlignment="1">
      <x:alignment vertical="top"/>
    </x:xf>
    <x:xf numFmtId="200" fontId="1" fillId="8" borderId="0" xfId="0" applyNumberFormat="1" applyFont="1" applyFill="1" applyBorder="1" applyAlignment="1">
      <x:alignment vertical="top"/>
    </x:xf>
    <x:xf numFmtId="200" fontId="1" fillId="5" borderId="0" xfId="0" applyNumberFormat="1" applyFont="1" applyFill="1" applyBorder="1" applyAlignment="1">
      <x:alignment vertical="top"/>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204" fontId="1" fillId="0" borderId="0" xfId="0" applyNumberFormat="1" applyFont="1" applyFill="1" applyBorder="1" applyAlignment="1">
      <x:alignment vertical="top"/>
    </x:xf>
  </x:cellXfs>
  <x:cellStyles count="1">
    <x:cellStyle name="Normal" xfId="0"/>
  </x:cellStyles>
  <x:dxfs count="4">
    <x:dxf>
      <x:font>
        <x:color rgb="FF8B1010"/>
      </x:font>
      <x:fill>
        <x:patternFill patternType="solid">
          <x:bgColor rgb="FFFFD3D3"/>
        </x:patternFill>
      </x:fill>
    </x:dxf>
    <x:dxf>
      <x:font>
        <x:color rgb="FF8B1010"/>
      </x:font>
      <x:fill>
        <x:patternFill patternType="solid">
          <x:bgColor rgb="FFFFD3D3"/>
        </x:patternFill>
      </x:fill>
    </x:dxf>
    <x:dxf>
      <x:font>
        <x:color rgb="FF8B1010"/>
      </x:font>
      <x:fill>
        <x:patternFill patternType="solid">
          <x:bgColor rgb="FFFFD3D3"/>
        </x:patternFill>
      </x:fill>
    </x:dxf>
    <x:dxf>
      <x:font>
        <x:color rgb="FF8B1010"/>
      </x:font>
      <x:fill>
        <x:patternFill patternType="solid">
          <x:bgColor rgb="FFFFD3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49f3e1d7f1e450d" /><Relationship Type="http://schemas.openxmlformats.org/officeDocument/2006/relationships/theme" Target="/xl/theme/theme1.xml" Id="Rddf42fff25234a54" /><Relationship Type="http://schemas.openxmlformats.org/officeDocument/2006/relationships/sharedStrings" Target="/xl/sharedStrings.xml" Id="R401a9bddfe04471c" /><Relationship Type="http://schemas.openxmlformats.org/officeDocument/2006/relationships/worksheet" Target="/xl/worksheets/sheet1.xml" Id="R51b3121f711340c2" /><Relationship Type="http://schemas.openxmlformats.org/officeDocument/2006/relationships/worksheet" Target="/xl/worksheets/sheet2.xml" Id="R661dd5aee1f04c0c" /><Relationship Type="http://schemas.openxmlformats.org/officeDocument/2006/relationships/worksheet" Target="/xl/worksheets/sheet3.xml" Id="R7054cec8cbc045d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173B70"/>
  </x:sheetPr>
  <x:sheetViews>
    <x:sheetView showGridLines="0" workbookViewId="0">
      <x:pane xSplit="1" ySplit="1" topLeftCell="B2" activePane="bottomRight" state="frozen"/>
    </x:sheetView>
  </x:sheetViews>
  <x:sheetFormatPr defaultRowHeight="15"/>
  <x:cols>
    <x:col min="1" max="1" width="10" hidden="0" customWidth="1"/>
    <x:col min="2" max="2" width="10" hidden="0" customWidth="1"/>
    <x:col min="3" max="3" width="38" hidden="0" customWidth="1"/>
    <x:col min="4" max="4" width="14" hidden="0" customWidth="1"/>
    <x:col min="5" max="5" width="22" hidden="0" customWidth="1"/>
    <x:col min="6" max="6" width="22" hidden="0" customWidth="1"/>
    <x:col min="7" max="7" width="18" hidden="0" customWidth="1"/>
    <x:col min="8" max="8" width="18" hidden="0" customWidth="1"/>
    <x:col min="9" max="9" width="100" hidden="0" customWidth="1"/>
    <x:col min="10" max="10" width="26" hidden="0" customWidth="1"/>
    <x:col min="11" max="11" width="18" hidden="0" customWidth="1"/>
    <x:col min="12" max="12" width="18" hidden="0" customWidth="1"/>
    <x:col min="13" max="13" width="38" hidden="0" customWidth="1"/>
  </x:cols>
  <x:sheetData>
    <x:row r="1" ht="44" customHeight="1">
      <x:c r="A1" s="7" t="str">
        <x:v>Request</x:v>
      </x:c>
      <x:c r="B1" s="7" t="str">
        <x:v>Turn</x:v>
      </x:c>
      <x:c r="C1" s="7" t="str">
        <x:v>Sequence</x:v>
      </x:c>
      <x:c r="D1" s="7" t="str">
        <x:v>Tokens</x:v>
      </x:c>
      <x:c r="E1" s="7" t="str">
        <x:v>EUR / execution</x:v>
      </x:c>
      <x:c r="F1" s="7" t="str">
        <x:v>USD / execution</x:v>
      </x:c>
      <x:c r="G1" s="7" t="str">
        <x:v>Projected EUR</x:v>
      </x:c>
      <x:c r="H1" s="7" t="str">
        <x:v>Projected USD</x:v>
      </x:c>
      <x:c r="I1" s="7" t="str">
        <x:v>Content</x:v>
      </x:c>
      <x:c r="J1" s="7" t="str">
        <x:v>Model · effort</x:v>
      </x:c>
      <x:c r="K1" s="7" t="str">
        <x:v>Status</x:v>
      </x:c>
      <x:c r="L1" s="7" t="str">
        <x:v>Context total tokens</x:v>
      </x:c>
      <x:c r="M1" s="7" t="str">
        <x:v>Span ID</x:v>
      </x:c>
    </x:row>
    <x:row r="2" ht="24" customHeight="1">
      <x:c r="A2" s="19"/>
      <x:c r="B2" s="19"/>
      <x:c r="C2" s="19" t="str">
        <x:v>Run total</x:v>
      </x:c>
      <x:c r="D2" s="31"/>
      <x:c r="E2" s="28" t="n">
        <x:f>IF(COUNT(E16,E28,E40,E55,E70,E82,E96,E108,E120,E134,E145,E159,E173,E185,E199,E211,E223)=17,SUM(E16,E28,E40,E55,E70,E82,E96,E108,E120,E134,E145,E159,E173,E185,E199,E211,E223),"Unknown")</x:f>
        <x:v>0.0031281041440000003</x:v>
      </x:c>
      <x:c r="F2" s="28" t="n">
        <x:f>IF(COUNT(F16,F28,F40,F55,F70,F82,F96,F108,F120,F134,F145,F159,F173,F185,F199,F211,F223)=17,SUM(F16,F28,F40,F55,F70,F82,F96,F108,F120,F134,F145,F159,F173,F185,F199,F211,F223),"Unknown")</x:f>
        <x:v>0.0035942000000000005</x:v>
      </x:c>
      <x:c r="G2" s="31" t="n">
        <x:f>IF(ISNUMBER(E2),ROUND(E2*'Reference data'!$B$2,0),"Unknown")</x:f>
        <x:v>313</x:v>
      </x:c>
      <x:c r="H2" s="31" t="n">
        <x:f>IF(ISNUMBER(F2),ROUND(F2*'Reference data'!$B$2,0),"Unknown")</x:f>
        <x:v>359</x:v>
      </x:c>
      <x:c r="I2" s="25"/>
      <x:c r="J2" s="19"/>
      <x:c r="K2" s="19"/>
      <x:c r="L2" s="31"/>
      <x:c r="M2" s="19"/>
    </x:row>
    <x:row r="3" ht="24" customHeight="1">
      <x:c r="A3" s="19"/>
      <x:c r="B3" s="19" t="n">
        <x:v>1</x:v>
      </x:c>
      <x:c r="C3" s="19" t="str">
        <x:v>Turn 1</x:v>
      </x:c>
      <x:c r="D3" s="31"/>
      <x:c r="E3" s="28" t="n">
        <x:f>IF(COUNT(E16,E28,E40,E55,E70,E82,E96,E108,E120)=9,SUM(E16,E28,E40,E55,E70,E82,E96,E108,E120),"Unknown")</x:f>
        <x:v>0.001624365248</x:v>
      </x:c>
      <x:c r="F3" s="28" t="n">
        <x:f>IF(COUNT(F16,F28,F40,F55,F70,F82,F96,F108,F120)=9,SUM(F16,F28,F40,F55,F70,F82,F96,F108,F120),"Unknown")</x:f>
        <x:v>0.0018664000000000003</x:v>
      </x:c>
      <x:c r="G3" s="31" t="n">
        <x:f>IF(ISNUMBER(E3),ROUND(E3*'Reference data'!$B$2,0),"Unknown")</x:f>
        <x:v>162</x:v>
      </x:c>
      <x:c r="H3" s="31" t="n">
        <x:f>IF(ISNUMBER(F3),ROUND(F3*'Reference data'!$B$2,0),"Unknown")</x:f>
        <x:v>187</x:v>
      </x:c>
      <x:c r="I3" s="25"/>
      <x:c r="J3" s="19"/>
      <x:c r="K3" s="19"/>
      <x:c r="L3" s="31"/>
      <x:c r="M3" s="19"/>
    </x:row>
    <x:row r="4" ht="24" customHeight="1">
      <x:c r="A4" s="21" t="str">
        <x:v>R1</x:v>
      </x:c>
      <x:c r="B4" s="21" t="n">
        <x:v>1</x:v>
      </x:c>
      <x:c r="C4" s="21" t="str">
        <x:v>LLM request</x:v>
      </x:c>
      <x:c r="D4" s="32" t="n">
        <x:v>423</x:v>
      </x:c>
      <x:c r="E4" s="29"/>
      <x:c r="F4" s="29"/>
      <x:c r="G4" s="32"/>
      <x:c r="H4" s="32"/>
      <x:c r="I4" s="26"/>
      <x:c r="J4" s="21" t="str">
        <x:v>scripted-chat</x:v>
      </x:c>
      <x:c r="K4" s="21"/>
      <x:c r="L4" s="32"/>
      <x:c r="M4" s="21" t="str">
        <x:v>01a0c6fd-6d9d-7461-b48c-677a338145c8</x:v>
      </x:c>
    </x:row>
    <x:row r="5" ht="24" customHeight="1">
      <x:c r="A5" s="2" t="str">
        <x:v>R1</x:v>
      </x:c>
      <x:c r="B5" s="2" t="n">
        <x:v>1</x:v>
      </x:c>
      <x:c r="C5" s="22" t="str">
        <x:v>Fresh input</x:v>
      </x:c>
      <x:c r="D5" s="33" t="n">
        <x:v>423</x:v>
      </x:c>
      <x:c r="E5" s="11" t="n">
        <x:f>IF(AND(ISNUMBER(F5),ISNUMBER('Reference data'!$B$3)),F5*'Reference data'!$B$3,"Unknown")</x:f>
        <x:v>0.000073629072</x:v>
      </x:c>
      <x:c r="F5" s="11" t="n">
        <x:f>IF(D5=0,0,IF(ISNUMBER('Reference data'!B22),D5*'Reference data'!B22/1000000,"Unknown"))</x:f>
        <x:v>0.00008460000000000001</x:v>
      </x:c>
      <x:c r="G5" s="33" t="n">
        <x:f>IF(ISNUMBER(E5),ROUND(E5*'Reference data'!$B$2,0),"Unknown")</x:f>
        <x:v>7</x:v>
      </x:c>
      <x:c r="H5" s="33" t="n">
        <x:f>IF(ISNUMBER(F5),ROUND(F5*'Reference data'!$B$2,0),"Unknown")</x:f>
        <x:v>8</x:v>
      </x:c>
      <x:c r="I5" s="14"/>
      <x:c r="J5" s="2"/>
      <x:c r="K5" s="2"/>
      <x:c r="L5" s="33"/>
      <x:c r="M5" s="2"/>
    </x:row>
    <x:row r="6" ht="24" customHeight="1">
      <x:c r="A6" s="2" t="str">
        <x:v>R1</x:v>
      </x:c>
      <x:c r="B6" s="2" t="n">
        <x:v>1</x:v>
      </x:c>
      <x:c r="C6" s="2" t="str">
        <x:v>    Tool definitions</x:v>
      </x:c>
      <x:c r="D6" s="33" t="n">
        <x:v>2</x:v>
      </x:c>
      <x:c r="E6" s="11"/>
      <x:c r="F6" s="11"/>
      <x:c r="G6" s="33"/>
      <x:c r="H6" s="33"/>
      <x:c r="I6" s="14"/>
      <x:c r="J6" s="2"/>
      <x:c r="K6" s="2"/>
      <x:c r="L6" s="33"/>
      <x:c r="M6" s="2"/>
    </x:row>
    <x:row r="7" ht="47" customHeight="1">
      <x:c r="A7" s="2" t="str">
        <x:v>R1</x:v>
      </x:c>
      <x:c r="B7" s="2" t="n">
        <x:v>1</x:v>
      </x:c>
      <x:c r="C7" s="2" t="str">
        <x:v>    System prompt</x:v>
      </x:c>
      <x:c r="D7" s="33" t="n">
        <x:v>66</x:v>
      </x:c>
      <x:c r="E7" s="11"/>
      <x:c r="F7" s="11"/>
      <x:c r="G7" s="33"/>
      <x:c r="H7" s="33"/>
      <x:c r="I7" s="14" t="str">
        <x:v>You are the planning peer. Read the latest user request and earlier context. Write a short brief for the responding peer, preserving user constraints. Do not answer the user or call tools.</x:v>
      </x:c>
      <x:c r="J7" s="2"/>
      <x:c r="K7" s="2"/>
      <x:c r="L7" s="33"/>
      <x:c r="M7" s="2"/>
    </x:row>
    <x:row r="8" ht="346" customHeight="1">
      <x:c r="A8" s="2" t="str">
        <x:v>R1</x:v>
      </x:c>
      <x:c r="B8" s="2" t="n">
        <x:v>1</x:v>
      </x:c>
      <x:c r="C8" s="2" t="str">
        <x:v>    User prompt</x:v>
      </x:c>
      <x:c r="D8" s="33" t="n">
        <x:v>355</x:v>
      </x:c>
      <x:c r="E8" s="11"/>
      <x:c r="F8" s="11"/>
      <x:c r="G8" s="33"/>
      <x:c r="H8" s="33"/>
      <x:c r="I8" s="14" t="str">
        <x:v>PARENT_ONLY_DETAIL: Answer in French. Explain agent workflow delegation.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x:v>
      </x:c>
      <x:c r="J8" s="2"/>
      <x:c r="K8" s="2"/>
      <x:c r="L8" s="33"/>
      <x:c r="M8" s="2"/>
    </x:row>
    <x:row r="9" ht="24" customHeight="1">
      <x:c r="A9" s="2" t="str">
        <x:v>R1</x:v>
      </x:c>
      <x:c r="B9" s="2" t="n">
        <x:v>1</x:v>
      </x:c>
      <x:c r="C9" s="2" t="str">
        <x:v>Cache write</x:v>
      </x:c>
      <x:c r="D9" s="33" t="n">
        <x:v>423</x:v>
      </x:c>
      <x:c r="E9" s="11"/>
      <x:c r="F9" s="11"/>
      <x:c r="G9" s="33"/>
      <x:c r="H9" s="33"/>
      <x:c r="I9" s="14"/>
      <x:c r="J9" s="2"/>
      <x:c r="K9" s="2"/>
      <x:c r="L9" s="33"/>
      <x:c r="M9" s="2"/>
    </x:row>
    <x:row r="10" ht="24" customHeight="1">
      <x:c r="A10" s="2" t="str">
        <x:v>R1</x:v>
      </x:c>
      <x:c r="B10" s="2" t="n">
        <x:v>1</x:v>
      </x:c>
      <x:c r="C10" s="2" t="str">
        <x:v>Context · added / total</x:v>
      </x:c>
      <x:c r="D10" s="33" t="n">
        <x:v>423</x:v>
      </x:c>
      <x:c r="E10" s="11"/>
      <x:c r="F10" s="11"/>
      <x:c r="G10" s="33"/>
      <x:c r="H10" s="33"/>
      <x:c r="I10" s="14"/>
      <x:c r="J10" s="2"/>
      <x:c r="K10" s="2"/>
      <x:c r="L10" s="33" t="n">
        <x:v>423</x:v>
      </x:c>
      <x:c r="M10" s="2"/>
    </x:row>
    <x:row r="11" ht="24" customHeight="1">
      <x:c r="A11" s="21" t="str">
        <x:v>R1</x:v>
      </x:c>
      <x:c r="B11" s="21" t="n">
        <x:v>1</x:v>
      </x:c>
      <x:c r="C11" s="21" t="str">
        <x:v>LLM response</x:v>
      </x:c>
      <x:c r="D11" s="32" t="n">
        <x:v>42</x:v>
      </x:c>
      <x:c r="E11" s="29"/>
      <x:c r="F11" s="29"/>
      <x:c r="G11" s="32"/>
      <x:c r="H11" s="32"/>
      <x:c r="I11" s="26"/>
      <x:c r="J11" s="21"/>
      <x:c r="K11" s="21"/>
      <x:c r="L11" s="32"/>
      <x:c r="M11" s="21"/>
    </x:row>
    <x:row r="12" ht="24" customHeight="1">
      <x:c r="A12" s="2" t="str">
        <x:v>R1</x:v>
      </x:c>
      <x:c r="B12" s="2" t="n">
        <x:v>1</x:v>
      </x:c>
      <x:c r="C12" s="22" t="str">
        <x:v>Output</x:v>
      </x:c>
      <x:c r="D12" s="33" t="n">
        <x:v>42</x:v>
      </x:c>
      <x:c r="E12" s="11" t="n">
        <x:f>IF(AND(ISNUMBER(F12),ISNUMBER('Reference data'!$B$3)),F12*'Reference data'!$B$3,"Unknown")</x:f>
        <x:v>0.000043864127999999996</x:v>
      </x:c>
      <x:c r="F12" s="11" t="n">
        <x:f>IF(D12=0,0,IF(ISNUMBER('Reference data'!E22),D12*'Reference data'!E22/1000000,"Unknown"))</x:f>
        <x:v>0.0000504</x:v>
      </x:c>
      <x:c r="G12" s="33" t="n">
        <x:f>IF(ISNUMBER(E12),ROUND(E12*'Reference data'!$B$2,0),"Unknown")</x:f>
        <x:v>4</x:v>
      </x:c>
      <x:c r="H12" s="33" t="n">
        <x:f>IF(ISNUMBER(F12),ROUND(F12*'Reference data'!$B$2,0),"Unknown")</x:f>
        <x:v>5</x:v>
      </x:c>
      <x:c r="I12" s="14"/>
      <x:c r="J12" s="2"/>
      <x:c r="K12" s="2"/>
      <x:c r="L12" s="33"/>
      <x:c r="M12" s="2"/>
    </x:row>
    <x:row r="13" ht="34" customHeight="1">
      <x:c r="A13" s="2" t="str">
        <x:v>R1</x:v>
      </x:c>
      <x:c r="B13" s="2" t="n">
        <x:v>1</x:v>
      </x:c>
      <x:c r="C13" s="2" t="str">
        <x:v>    Output content</x:v>
      </x:c>
      <x:c r="D13" s="33"/>
      <x:c r="E13" s="11"/>
      <x:c r="F13" s="11"/>
      <x:c r="G13" s="33"/>
      <x:c r="H13" s="33"/>
      <x:c r="I13" s="14" t="str">
        <x:v>Preserve the French language requirement; obtain workflow evidence and explain delegation.</x:v>
      </x:c>
      <x:c r="J13" s="2"/>
      <x:c r="K13" s="2"/>
      <x:c r="L13" s="33"/>
      <x:c r="M13" s="2"/>
    </x:row>
    <x:row r="14" ht="24" customHeight="1">
      <x:c r="A14" s="2" t="str">
        <x:v>R1</x:v>
      </x:c>
      <x:c r="B14" s="2" t="n">
        <x:v>1</x:v>
      </x:c>
      <x:c r="C14" s="2" t="str">
        <x:v>Cache write</x:v>
      </x:c>
      <x:c r="D14" s="33" t="n">
        <x:v>42</x:v>
      </x:c>
      <x:c r="E14" s="11"/>
      <x:c r="F14" s="11"/>
      <x:c r="G14" s="33"/>
      <x:c r="H14" s="33"/>
      <x:c r="I14" s="14"/>
      <x:c r="J14" s="2"/>
      <x:c r="K14" s="2"/>
      <x:c r="L14" s="33"/>
      <x:c r="M14" s="2"/>
    </x:row>
    <x:row r="15" ht="24" customHeight="1">
      <x:c r="A15" s="2" t="str">
        <x:v>R1</x:v>
      </x:c>
      <x:c r="B15" s="2" t="n">
        <x:v>1</x:v>
      </x:c>
      <x:c r="C15" s="2" t="str">
        <x:v>Context · added / total</x:v>
      </x:c>
      <x:c r="D15" s="33" t="n">
        <x:v>42</x:v>
      </x:c>
      <x:c r="E15" s="11"/>
      <x:c r="F15" s="11"/>
      <x:c r="G15" s="33"/>
      <x:c r="H15" s="33"/>
      <x:c r="I15" s="14"/>
      <x:c r="J15" s="2"/>
      <x:c r="K15" s="2"/>
      <x:c r="L15" s="33" t="n">
        <x:v>465</x:v>
      </x:c>
      <x:c r="M15" s="2"/>
    </x:row>
    <x:row r="16" ht="24" customHeight="1">
      <x:c r="A16" s="21" t="str">
        <x:v>R1</x:v>
      </x:c>
      <x:c r="B16" s="21" t="n">
        <x:v>1</x:v>
      </x:c>
      <x:c r="C16" s="21" t="str">
        <x:v>Call total</x:v>
      </x:c>
      <x:c r="D16" s="32"/>
      <x:c r="E16" s="29" t="n">
        <x:f>IF(COUNT(E5,E12)=2,SUM(E5,E12),"Unknown")</x:f>
        <x:v>0.0001174932</x:v>
      </x:c>
      <x:c r="F16" s="29" t="n">
        <x:f>IF(COUNT(F5,F12)=2,SUM(F5,F12),"Unknown")</x:f>
        <x:v>0.000135</x:v>
      </x:c>
      <x:c r="G16" s="32" t="n">
        <x:f>IF(ISNUMBER(E16),ROUND(E16*'Reference data'!$B$2,0),"Unknown")</x:f>
        <x:v>12</x:v>
      </x:c>
      <x:c r="H16" s="32" t="n">
        <x:f>IF(ISNUMBER(F16),ROUND(F16*'Reference data'!$B$2,0),"Unknown")</x:f>
        <x:v>14</x:v>
      </x:c>
      <x:c r="I16" s="26"/>
      <x:c r="J16" s="21"/>
      <x:c r="K16" s="21" t="str">
        <x:v>ok</x:v>
      </x:c>
      <x:c r="L16" s="32"/>
      <x:c r="M16" s="21"/>
    </x:row>
    <x:row r="17" ht="24" customHeight="1">
      <x:c r="A17" s="21" t="str">
        <x:v>R2</x:v>
      </x:c>
      <x:c r="B17" s="21" t="n">
        <x:v>1</x:v>
      </x:c>
      <x:c r="C17" s="21" t="str">
        <x:v>LLM request</x:v>
      </x:c>
      <x:c r="D17" s="32" t="n">
        <x:v>939</x:v>
      </x:c>
      <x:c r="E17" s="29"/>
      <x:c r="F17" s="29"/>
      <x:c r="G17" s="32"/>
      <x:c r="H17" s="32"/>
      <x:c r="I17" s="26"/>
      <x:c r="J17" s="21" t="str">
        <x:v>scripted-chat</x:v>
      </x:c>
      <x:c r="K17" s="21"/>
      <x:c r="L17" s="32"/>
      <x:c r="M17" s="21" t="str">
        <x:v>01a0c6fd-6da3-7d60-a579-1952a966dd3e</x:v>
      </x:c>
    </x:row>
    <x:row r="18" ht="24" customHeight="1">
      <x:c r="A18" s="2" t="str">
        <x:v>R2</x:v>
      </x:c>
      <x:c r="B18" s="2" t="n">
        <x:v>1</x:v>
      </x:c>
      <x:c r="C18" s="22" t="str">
        <x:v>Fresh input</x:v>
      </x:c>
      <x:c r="D18" s="33" t="n">
        <x:v>939</x:v>
      </x:c>
      <x:c r="E18" s="11" t="n">
        <x:f>IF(AND(ISNUMBER(F18),ISNUMBER('Reference data'!$B$3)),F18*'Reference data'!$B$3,"Unknown")</x:f>
        <x:v>0.000163446096</x:v>
      </x:c>
      <x:c r="F18" s="11" t="n">
        <x:f>IF(D18=0,0,IF(ISNUMBER('Reference data'!B22),D18*'Reference data'!B22/1000000,"Unknown"))</x:f>
        <x:v>0.0001878</x:v>
      </x:c>
      <x:c r="G18" s="33" t="n">
        <x:f>IF(ISNUMBER(E18),ROUND(E18*'Reference data'!$B$2,0),"Unknown")</x:f>
        <x:v>16</x:v>
      </x:c>
      <x:c r="H18" s="33" t="n">
        <x:f>IF(ISNUMBER(F18),ROUND(F18*'Reference data'!$B$2,0),"Unknown")</x:f>
        <x:v>19</x:v>
      </x:c>
      <x:c r="I18" s="14"/>
      <x:c r="J18" s="2"/>
      <x:c r="K18" s="2"/>
      <x:c r="L18" s="33"/>
      <x:c r="M18" s="2"/>
    </x:row>
    <x:row r="19" ht="24" customHeight="1">
      <x:c r="A19" s="2" t="str">
        <x:v>R2</x:v>
      </x:c>
      <x:c r="B19" s="2" t="n">
        <x:v>1</x:v>
      </x:c>
      <x:c r="C19" s="2" t="str">
        <x:v>    Tool definitions</x:v>
      </x:c>
      <x:c r="D19" s="33" t="n">
        <x:v>2</x:v>
      </x:c>
      <x:c r="E19" s="11"/>
      <x:c r="F19" s="11"/>
      <x:c r="G19" s="33"/>
      <x:c r="H19" s="33"/>
      <x:c r="I19" s="14"/>
      <x:c r="J19" s="2"/>
      <x:c r="K19" s="2"/>
      <x:c r="L19" s="33"/>
      <x:c r="M19" s="2"/>
    </x:row>
    <x:row r="20" ht="24" customHeight="1">
      <x:c r="A20" s="2" t="str">
        <x:v>R2</x:v>
      </x:c>
      <x:c r="B20" s="2" t="n">
        <x:v>1</x:v>
      </x:c>
      <x:c r="C20" s="2" t="str">
        <x:v>    System prompt</x:v>
      </x:c>
      <x:c r="D20" s="33"/>
      <x:c r="E20" s="11"/>
      <x:c r="F20" s="11"/>
      <x:c r="G20" s="33"/>
      <x:c r="H20" s="33"/>
      <x:c r="I20" s="14" t="str">
        <x:v>Empty system message (framing only).</x:v>
      </x:c>
      <x:c r="J20" s="2"/>
      <x:c r="K20" s="2"/>
      <x:c r="L20" s="33"/>
      <x:c r="M20" s="2"/>
    </x:row>
    <x:row r="21" ht="24" customHeight="1">
      <x:c r="A21" s="2" t="str">
        <x:v>R2</x:v>
      </x:c>
      <x:c r="B21" s="2" t="n">
        <x:v>1</x:v>
      </x:c>
      <x:c r="C21" s="2" t="str">
        <x:v>Cache write</x:v>
      </x:c>
      <x:c r="D21" s="33" t="n">
        <x:v>939</x:v>
      </x:c>
      <x:c r="E21" s="11"/>
      <x:c r="F21" s="11"/>
      <x:c r="G21" s="33"/>
      <x:c r="H21" s="33"/>
      <x:c r="I21" s="14"/>
      <x:c r="J21" s="2"/>
      <x:c r="K21" s="2"/>
      <x:c r="L21" s="33"/>
      <x:c r="M21" s="2"/>
    </x:row>
    <x:row r="22" ht="24" customHeight="1">
      <x:c r="A22" s="2" t="str">
        <x:v>R2</x:v>
      </x:c>
      <x:c r="B22" s="2" t="n">
        <x:v>1</x:v>
      </x:c>
      <x:c r="C22" s="2" t="str">
        <x:v>Context · added / total</x:v>
      </x:c>
      <x:c r="D22" s="33" t="n">
        <x:v>939</x:v>
      </x:c>
      <x:c r="E22" s="11"/>
      <x:c r="F22" s="11"/>
      <x:c r="G22" s="33"/>
      <x:c r="H22" s="33"/>
      <x:c r="I22" s="14"/>
      <x:c r="J22" s="2"/>
      <x:c r="K22" s="2"/>
      <x:c r="L22" s="33" t="n">
        <x:v>939</x:v>
      </x:c>
      <x:c r="M22" s="2"/>
    </x:row>
    <x:row r="23" ht="24" customHeight="1">
      <x:c r="A23" s="21" t="str">
        <x:v>R2</x:v>
      </x:c>
      <x:c r="B23" s="21" t="n">
        <x:v>1</x:v>
      </x:c>
      <x:c r="C23" s="21" t="str">
        <x:v>LLM response</x:v>
      </x:c>
      <x:c r="D23" s="32" t="n">
        <x:v>42</x:v>
      </x:c>
      <x:c r="E23" s="29"/>
      <x:c r="F23" s="29"/>
      <x:c r="G23" s="32"/>
      <x:c r="H23" s="32"/>
      <x:c r="I23" s="26"/>
      <x:c r="J23" s="21"/>
      <x:c r="K23" s="21"/>
      <x:c r="L23" s="32"/>
      <x:c r="M23" s="21"/>
    </x:row>
    <x:row r="24" ht="24" customHeight="1">
      <x:c r="A24" s="2" t="str">
        <x:v>R2</x:v>
      </x:c>
      <x:c r="B24" s="2" t="n">
        <x:v>1</x:v>
      </x:c>
      <x:c r="C24" s="22" t="str">
        <x:v>Output</x:v>
      </x:c>
      <x:c r="D24" s="33" t="n">
        <x:v>42</x:v>
      </x:c>
      <x:c r="E24" s="11" t="n">
        <x:f>IF(AND(ISNUMBER(F24),ISNUMBER('Reference data'!$B$3)),F24*'Reference data'!$B$3,"Unknown")</x:f>
        <x:v>0.000043864127999999996</x:v>
      </x:c>
      <x:c r="F24" s="11" t="n">
        <x:f>IF(D24=0,0,IF(ISNUMBER('Reference data'!E22),D24*'Reference data'!E22/1000000,"Unknown"))</x:f>
        <x:v>0.0000504</x:v>
      </x:c>
      <x:c r="G24" s="33" t="n">
        <x:f>IF(ISNUMBER(E24),ROUND(E24*'Reference data'!$B$2,0),"Unknown")</x:f>
        <x:v>4</x:v>
      </x:c>
      <x:c r="H24" s="33" t="n">
        <x:f>IF(ISNUMBER(F24),ROUND(F24*'Reference data'!$B$2,0),"Unknown")</x:f>
        <x:v>5</x:v>
      </x:c>
      <x:c r="I24" s="14"/>
      <x:c r="J24" s="2"/>
      <x:c r="K24" s="2"/>
      <x:c r="L24" s="33"/>
      <x:c r="M24" s="2"/>
    </x:row>
    <x:row r="25" ht="24" customHeight="1">
      <x:c r="A25" s="2" t="str">
        <x:v>R2</x:v>
      </x:c>
      <x:c r="B25" s="2" t="n">
        <x:v>1</x:v>
      </x:c>
      <x:c r="C25" s="2" t="str">
        <x:v>    Output content</x:v>
      </x:c>
      <x:c r="D25" s="33"/>
      <x:c r="E25" s="11"/>
      <x:c r="F25" s="11"/>
      <x:c r="G25" s="33"/>
      <x:c r="H25" s="33"/>
      <x:c r="I25" s="14" t="str">
        <x:v>The user requires French answers about workflow delegation. Preserve that constraint.</x:v>
      </x:c>
      <x:c r="J25" s="2"/>
      <x:c r="K25" s="2"/>
      <x:c r="L25" s="33"/>
      <x:c r="M25" s="2"/>
    </x:row>
    <x:row r="26" ht="24" customHeight="1">
      <x:c r="A26" s="2" t="str">
        <x:v>R2</x:v>
      </x:c>
      <x:c r="B26" s="2" t="n">
        <x:v>1</x:v>
      </x:c>
      <x:c r="C26" s="2" t="str">
        <x:v>Cache write</x:v>
      </x:c>
      <x:c r="D26" s="33" t="n">
        <x:v>42</x:v>
      </x:c>
      <x:c r="E26" s="11"/>
      <x:c r="F26" s="11"/>
      <x:c r="G26" s="33"/>
      <x:c r="H26" s="33"/>
      <x:c r="I26" s="14"/>
      <x:c r="J26" s="2"/>
      <x:c r="K26" s="2"/>
      <x:c r="L26" s="33"/>
      <x:c r="M26" s="2"/>
    </x:row>
    <x:row r="27" ht="24" customHeight="1">
      <x:c r="A27" s="2" t="str">
        <x:v>R2</x:v>
      </x:c>
      <x:c r="B27" s="2" t="n">
        <x:v>1</x:v>
      </x:c>
      <x:c r="C27" s="2" t="str">
        <x:v>Context · added / total</x:v>
      </x:c>
      <x:c r="D27" s="33" t="n">
        <x:v>42</x:v>
      </x:c>
      <x:c r="E27" s="11"/>
      <x:c r="F27" s="11"/>
      <x:c r="G27" s="33"/>
      <x:c r="H27" s="33"/>
      <x:c r="I27" s="14"/>
      <x:c r="J27" s="2"/>
      <x:c r="K27" s="2"/>
      <x:c r="L27" s="33" t="n">
        <x:v>981</x:v>
      </x:c>
      <x:c r="M27" s="2"/>
    </x:row>
    <x:row r="28" ht="24" customHeight="1">
      <x:c r="A28" s="21" t="str">
        <x:v>R2</x:v>
      </x:c>
      <x:c r="B28" s="21" t="n">
        <x:v>1</x:v>
      </x:c>
      <x:c r="C28" s="21" t="str">
        <x:v>Call total</x:v>
      </x:c>
      <x:c r="D28" s="32"/>
      <x:c r="E28" s="29" t="n">
        <x:f>IF(COUNT(E18,E24)=2,SUM(E18,E24),"Unknown")</x:f>
        <x:v>0.000207310224</x:v>
      </x:c>
      <x:c r="F28" s="29" t="n">
        <x:f>IF(COUNT(F18,F24)=2,SUM(F18,F24),"Unknown")</x:f>
        <x:v>0.00023820000000000002</x:v>
      </x:c>
      <x:c r="G28" s="32" t="n">
        <x:f>IF(ISNUMBER(E28),ROUND(E28*'Reference data'!$B$2,0),"Unknown")</x:f>
        <x:v>21</x:v>
      </x:c>
      <x:c r="H28" s="32" t="n">
        <x:f>IF(ISNUMBER(F28),ROUND(F28*'Reference data'!$B$2,0),"Unknown")</x:f>
        <x:v>24</x:v>
      </x:c>
      <x:c r="I28" s="26"/>
      <x:c r="J28" s="21"/>
      <x:c r="K28" s="21" t="str">
        <x:v>ok</x:v>
      </x:c>
      <x:c r="L28" s="32"/>
      <x:c r="M28" s="21"/>
    </x:row>
    <x:row r="29" ht="24" customHeight="1">
      <x:c r="A29" s="21" t="str">
        <x:v>R3</x:v>
      </x:c>
      <x:c r="B29" s="21" t="n">
        <x:v>1</x:v>
      </x:c>
      <x:c r="C29" s="21" t="str">
        <x:v>LLM request</x:v>
      </x:c>
      <x:c r="D29" s="32" t="n">
        <x:v>584</x:v>
      </x:c>
      <x:c r="E29" s="29"/>
      <x:c r="F29" s="29"/>
      <x:c r="G29" s="32"/>
      <x:c r="H29" s="32"/>
      <x:c r="I29" s="26"/>
      <x:c r="J29" s="21" t="str">
        <x:v>scripted-chat</x:v>
      </x:c>
      <x:c r="K29" s="21"/>
      <x:c r="L29" s="32"/>
      <x:c r="M29" s="21" t="str">
        <x:v>01a0c6fd-6da8-7831-b8f1-c1eb79a216e5</x:v>
      </x:c>
    </x:row>
    <x:row r="30" ht="24" customHeight="1">
      <x:c r="A30" s="2" t="str">
        <x:v>R3</x:v>
      </x:c>
      <x:c r="B30" s="2" t="n">
        <x:v>1</x:v>
      </x:c>
      <x:c r="C30" s="22" t="str">
        <x:v>Fresh input</x:v>
      </x:c>
      <x:c r="D30" s="33" t="n">
        <x:v>584</x:v>
      </x:c>
      <x:c r="E30" s="11" t="n">
        <x:f>IF(AND(ISNUMBER(F30),ISNUMBER('Reference data'!$B$3)),F30*'Reference data'!$B$3,"Unknown")</x:f>
        <x:v>0.000101653376</x:v>
      </x:c>
      <x:c r="F30" s="11" t="n">
        <x:f>IF(D30=0,0,IF(ISNUMBER('Reference data'!B22),D30*'Reference data'!B22/1000000,"Unknown"))</x:f>
        <x:v>0.0001168</x:v>
      </x:c>
      <x:c r="G30" s="33" t="n">
        <x:f>IF(ISNUMBER(E30),ROUND(E30*'Reference data'!$B$2,0),"Unknown")</x:f>
        <x:v>10</x:v>
      </x:c>
      <x:c r="H30" s="33" t="n">
        <x:f>IF(ISNUMBER(F30),ROUND(F30*'Reference data'!$B$2,0),"Unknown")</x:f>
        <x:v>12</x:v>
      </x:c>
      <x:c r="I30" s="14"/>
      <x:c r="J30" s="2"/>
      <x:c r="K30" s="2"/>
      <x:c r="L30" s="33"/>
      <x:c r="M30" s="2"/>
    </x:row>
    <x:row r="31" ht="24" customHeight="1">
      <x:c r="A31" s="2" t="str">
        <x:v>R3</x:v>
      </x:c>
      <x:c r="B31" s="2" t="n">
        <x:v>1</x:v>
      </x:c>
      <x:c r="C31" s="2" t="str">
        <x:v>    Tool definitions</x:v>
      </x:c>
      <x:c r="D31" s="33" t="n">
        <x:v>405</x:v>
      </x:c>
      <x:c r="E31" s="11"/>
      <x:c r="F31" s="11"/>
      <x:c r="G31" s="33"/>
      <x:c r="H31" s="33"/>
      <x:c r="I31" s="14"/>
      <x:c r="J31" s="2"/>
      <x:c r="K31" s="2"/>
      <x:c r="L31" s="33"/>
      <x:c r="M31" s="2"/>
    </x:row>
    <x:row r="32" ht="60" customHeight="1">
      <x:c r="A32" s="2" t="str">
        <x:v>R3</x:v>
      </x:c>
      <x:c r="B32" s="2" t="n">
        <x:v>1</x:v>
      </x:c>
      <x:c r="C32" s="2" t="str">
        <x:v>    System prompt</x:v>
      </x:c>
      <x:c r="D32" s="33" t="n">
        <x:v>82</x:v>
      </x:c>
      <x:c r="E32" s="11"/>
      <x:c r="F32" s="11"/>
      <x:c r="G32" s="33"/>
      <x:c r="H32" s="33"/>
      <x:c r="I32" s="14" t="str">
        <x:v>You are the responding peer. Read the user's request and the planning brief. Delegate workflow reference research to workflow-specialist using task with a self-contained assignment. Then answer concisely using the returned evidence. Preserve user constraints from the shared conversation or its summary.</x:v>
      </x:c>
      <x:c r="J32" s="2"/>
      <x:c r="K32" s="2"/>
      <x:c r="L32" s="33"/>
      <x:c r="M32" s="2"/>
    </x:row>
    <x:row r="33" ht="24" customHeight="1">
      <x:c r="A33" s="2" t="str">
        <x:v>R3</x:v>
      </x:c>
      <x:c r="B33" s="2" t="n">
        <x:v>1</x:v>
      </x:c>
      <x:c r="C33" s="2" t="str">
        <x:v>Cache write</x:v>
      </x:c>
      <x:c r="D33" s="33" t="n">
        <x:v>584</x:v>
      </x:c>
      <x:c r="E33" s="11"/>
      <x:c r="F33" s="11"/>
      <x:c r="G33" s="33"/>
      <x:c r="H33" s="33"/>
      <x:c r="I33" s="14"/>
      <x:c r="J33" s="2"/>
      <x:c r="K33" s="2"/>
      <x:c r="L33" s="33"/>
      <x:c r="M33" s="2"/>
    </x:row>
    <x:row r="34" ht="24" customHeight="1">
      <x:c r="A34" s="2" t="str">
        <x:v>R3</x:v>
      </x:c>
      <x:c r="B34" s="2" t="n">
        <x:v>1</x:v>
      </x:c>
      <x:c r="C34" s="2" t="str">
        <x:v>Context · added / total</x:v>
      </x:c>
      <x:c r="D34" s="33" t="n">
        <x:v>584</x:v>
      </x:c>
      <x:c r="E34" s="11"/>
      <x:c r="F34" s="11"/>
      <x:c r="G34" s="33"/>
      <x:c r="H34" s="33"/>
      <x:c r="I34" s="14"/>
      <x:c r="J34" s="2"/>
      <x:c r="K34" s="2"/>
      <x:c r="L34" s="33" t="n">
        <x:v>584</x:v>
      </x:c>
      <x:c r="M34" s="2"/>
    </x:row>
    <x:row r="35" ht="24" customHeight="1">
      <x:c r="A35" s="21" t="str">
        <x:v>R3</x:v>
      </x:c>
      <x:c r="B35" s="21" t="n">
        <x:v>1</x:v>
      </x:c>
      <x:c r="C35" s="21" t="str">
        <x:v>LLM response</x:v>
      </x:c>
      <x:c r="D35" s="32" t="n">
        <x:v>90</x:v>
      </x:c>
      <x:c r="E35" s="29"/>
      <x:c r="F35" s="29"/>
      <x:c r="G35" s="32"/>
      <x:c r="H35" s="32"/>
      <x:c r="I35" s="26"/>
      <x:c r="J35" s="21"/>
      <x:c r="K35" s="21"/>
      <x:c r="L35" s="32"/>
      <x:c r="M35" s="21"/>
    </x:row>
    <x:row r="36" ht="24" customHeight="1">
      <x:c r="A36" s="2" t="str">
        <x:v>R3</x:v>
      </x:c>
      <x:c r="B36" s="2" t="n">
        <x:v>1</x:v>
      </x:c>
      <x:c r="C36" s="22" t="str">
        <x:v>Output</x:v>
      </x:c>
      <x:c r="D36" s="33" t="n">
        <x:v>90</x:v>
      </x:c>
      <x:c r="E36" s="11" t="n">
        <x:f>IF(AND(ISNUMBER(F36),ISNUMBER('Reference data'!$B$3)),F36*'Reference data'!$B$3,"Unknown")</x:f>
        <x:v>0.00009399456</x:v>
      </x:c>
      <x:c r="F36" s="11" t="n">
        <x:f>IF(D36=0,0,IF(ISNUMBER('Reference data'!E22),D36*'Reference data'!E22/1000000,"Unknown"))</x:f>
        <x:v>0.000108</x:v>
      </x:c>
      <x:c r="G36" s="33" t="n">
        <x:f>IF(ISNUMBER(E36),ROUND(E36*'Reference data'!$B$2,0),"Unknown")</x:f>
        <x:v>9</x:v>
      </x:c>
      <x:c r="H36" s="33" t="n">
        <x:f>IF(ISNUMBER(F36),ROUND(F36*'Reference data'!$B$2,0),"Unknown")</x:f>
        <x:v>11</x:v>
      </x:c>
      <x:c r="I36" s="14"/>
      <x:c r="J36" s="2"/>
      <x:c r="K36" s="2"/>
      <x:c r="L36" s="33"/>
      <x:c r="M36" s="2"/>
    </x:row>
    <x:row r="37" ht="47" customHeight="1">
      <x:c r="A37" s="2" t="str">
        <x:v>R3</x:v>
      </x:c>
      <x:c r="B37" s="2" t="n">
        <x:v>1</x:v>
      </x:c>
      <x:c r="C37" s="2" t="str">
        <x:v>    Output content</x:v>
      </x:c>
      <x:c r="D37" s="33"/>
      <x:c r="E37" s="11"/>
      <x:c r="F37" s="11"/>
      <x:c r="G37" s="33"/>
      <x:c r="H37" s="33"/>
      <x:c r="I37" s="14" t="str">
        <x:v>{"name":"task","args":{"subagent_type":"workflow-specialist","description":"Explain delegation using workflow_reference, then return a concise summary."},"id":"delegate-0","type":"tool_call"}</x:v>
      </x:c>
      <x:c r="J37" s="2"/>
      <x:c r="K37" s="2"/>
      <x:c r="L37" s="33"/>
      <x:c r="M37" s="2"/>
    </x:row>
    <x:row r="38" ht="24" customHeight="1">
      <x:c r="A38" s="2" t="str">
        <x:v>R3</x:v>
      </x:c>
      <x:c r="B38" s="2" t="n">
        <x:v>1</x:v>
      </x:c>
      <x:c r="C38" s="2" t="str">
        <x:v>Cache write</x:v>
      </x:c>
      <x:c r="D38" s="33" t="n">
        <x:v>90</x:v>
      </x:c>
      <x:c r="E38" s="11"/>
      <x:c r="F38" s="11"/>
      <x:c r="G38" s="33"/>
      <x:c r="H38" s="33"/>
      <x:c r="I38" s="14"/>
      <x:c r="J38" s="2"/>
      <x:c r="K38" s="2"/>
      <x:c r="L38" s="33"/>
      <x:c r="M38" s="2"/>
    </x:row>
    <x:row r="39" ht="24" customHeight="1">
      <x:c r="A39" s="2" t="str">
        <x:v>R3</x:v>
      </x:c>
      <x:c r="B39" s="2" t="n">
        <x:v>1</x:v>
      </x:c>
      <x:c r="C39" s="2" t="str">
        <x:v>Context · added / total</x:v>
      </x:c>
      <x:c r="D39" s="33" t="n">
        <x:v>90</x:v>
      </x:c>
      <x:c r="E39" s="11"/>
      <x:c r="F39" s="11"/>
      <x:c r="G39" s="33"/>
      <x:c r="H39" s="33"/>
      <x:c r="I39" s="14"/>
      <x:c r="J39" s="2"/>
      <x:c r="K39" s="2"/>
      <x:c r="L39" s="33" t="n">
        <x:v>674</x:v>
      </x:c>
      <x:c r="M39" s="2"/>
    </x:row>
    <x:row r="40" ht="24" customHeight="1">
      <x:c r="A40" s="21" t="str">
        <x:v>R3</x:v>
      </x:c>
      <x:c r="B40" s="21" t="n">
        <x:v>1</x:v>
      </x:c>
      <x:c r="C40" s="21" t="str">
        <x:v>Call total</x:v>
      </x:c>
      <x:c r="D40" s="32"/>
      <x:c r="E40" s="29" t="n">
        <x:f>IF(COUNT(E30,E36)=2,SUM(E30,E36),"Unknown")</x:f>
        <x:v>0.000195647936</x:v>
      </x:c>
      <x:c r="F40" s="29" t="n">
        <x:f>IF(COUNT(F30,F36)=2,SUM(F30,F36),"Unknown")</x:f>
        <x:v>0.0002248</x:v>
      </x:c>
      <x:c r="G40" s="32" t="n">
        <x:f>IF(ISNUMBER(E40),ROUND(E40*'Reference data'!$B$2,0),"Unknown")</x:f>
        <x:v>20</x:v>
      </x:c>
      <x:c r="H40" s="32" t="n">
        <x:f>IF(ISNUMBER(F40),ROUND(F40*'Reference data'!$B$2,0),"Unknown")</x:f>
        <x:v>22</x:v>
      </x:c>
      <x:c r="I40" s="26"/>
      <x:c r="J40" s="21"/>
      <x:c r="K40" s="21" t="str">
        <x:v>ok</x:v>
      </x:c>
      <x:c r="L40" s="32"/>
      <x:c r="M40" s="21"/>
    </x:row>
    <x:row r="41" ht="24" customHeight="1">
      <x:c r="A41" s="24"/>
      <x:c r="B41" s="24" t="n">
        <x:v>1</x:v>
      </x:c>
      <x:c r="C41" s="24" t="str">
        <x:v>Tool · task</x:v>
      </x:c>
      <x:c r="D41" s="34"/>
      <x:c r="E41" s="30"/>
      <x:c r="F41" s="30"/>
      <x:c r="G41" s="34"/>
      <x:c r="H41" s="34"/>
      <x:c r="I41" s="27"/>
      <x:c r="J41" s="24"/>
      <x:c r="K41" s="24" t="str">
        <x:v>ok</x:v>
      </x:c>
      <x:c r="L41" s="34"/>
      <x:c r="M41" s="24" t="str">
        <x:v>01a0c6fd-6dac-7bf1-8d52-5d0644d02481</x:v>
      </x:c>
    </x:row>
    <x:row r="42" ht="34" customHeight="1">
      <x:c r="A42" s="2"/>
      <x:c r="B42" s="2" t="n">
        <x:v>1</x:v>
      </x:c>
      <x:c r="C42" s="2" t="str">
        <x:v>    Arguments</x:v>
      </x:c>
      <x:c r="D42" s="33"/>
      <x:c r="E42" s="11"/>
      <x:c r="F42" s="11"/>
      <x:c r="G42" s="33"/>
      <x:c r="H42" s="33"/>
      <x:c r="I42" s="14" t="str">
        <x:v>{'subagent_type': 'workflow-specialist', 'description': 'Explain delegation using workflow_reference, then return a concise summary.'}</x:v>
      </x:c>
      <x:c r="J42" s="2"/>
      <x:c r="K42" s="2"/>
      <x:c r="L42" s="33"/>
      <x:c r="M42" s="2"/>
    </x:row>
    <x:row r="43" ht="34" customHeight="1">
      <x:c r="A43" s="2"/>
      <x:c r="B43" s="2" t="n">
        <x:v>1</x:v>
      </x:c>
      <x:c r="C43" s="2" t="str">
        <x:v>    Result</x:v>
      </x:c>
      <x:c r="D43" s="33"/>
      <x:c r="E43" s="11"/>
      <x:c r="F43" s="11"/>
      <x:c r="G43" s="33"/>
      <x:c r="H43" s="33"/>
      <x:c r="I43" s="14" t="str">
        <x:v>Command(update={'messages': [ToolMessage(content='An agent selects a tool, observes its result, and uses it to answer.', tool_call_id='delegate-0')]})</x:v>
      </x:c>
      <x:c r="J43" s="2"/>
      <x:c r="K43" s="2"/>
      <x:c r="L43" s="33"/>
      <x:c r="M43" s="2"/>
    </x:row>
    <x:row r="44" ht="24" customHeight="1">
      <x:c r="A44" s="21" t="str">
        <x:v>R4</x:v>
      </x:c>
      <x:c r="B44" s="21" t="n">
        <x:v>1</x:v>
      </x:c>
      <x:c r="C44" s="21" t="str">
        <x:v>LLM request</x:v>
      </x:c>
      <x:c r="D44" s="32" t="n">
        <x:v>222</x:v>
      </x:c>
      <x:c r="E44" s="29"/>
      <x:c r="F44" s="29"/>
      <x:c r="G44" s="32"/>
      <x:c r="H44" s="32"/>
      <x:c r="I44" s="26"/>
      <x:c r="J44" s="21" t="str">
        <x:v>scripted-chat</x:v>
      </x:c>
      <x:c r="K44" s="21"/>
      <x:c r="L44" s="32"/>
      <x:c r="M44" s="21" t="str">
        <x:v>01a0c6fd-6db0-7682-8ab1-ce91b6f17aa5</x:v>
      </x:c>
    </x:row>
    <x:row r="45" ht="24" customHeight="1">
      <x:c r="A45" s="2" t="str">
        <x:v>R4</x:v>
      </x:c>
      <x:c r="B45" s="2" t="n">
        <x:v>1</x:v>
      </x:c>
      <x:c r="C45" s="22" t="str">
        <x:v>Fresh input</x:v>
      </x:c>
      <x:c r="D45" s="33" t="n">
        <x:v>222</x:v>
      </x:c>
      <x:c r="E45" s="11" t="n">
        <x:f>IF(AND(ISNUMBER(F45),ISNUMBER('Reference data'!$B$3)),F45*'Reference data'!$B$3,"Unknown")</x:f>
        <x:v>0.00003864220800000001</x:v>
      </x:c>
      <x:c r="F45" s="11" t="n">
        <x:f>IF(D45=0,0,IF(ISNUMBER('Reference data'!B22),D45*'Reference data'!B22/1000000,"Unknown"))</x:f>
        <x:v>0.00004440000000000001</x:v>
      </x:c>
      <x:c r="G45" s="33" t="n">
        <x:f>IF(ISNUMBER(E45),ROUND(E45*'Reference data'!$B$2,0),"Unknown")</x:f>
        <x:v>4</x:v>
      </x:c>
      <x:c r="H45" s="33" t="n">
        <x:f>IF(ISNUMBER(F45),ROUND(F45*'Reference data'!$B$2,0),"Unknown")</x:f>
        <x:v>4</x:v>
      </x:c>
      <x:c r="I45" s="14"/>
      <x:c r="J45" s="2"/>
      <x:c r="K45" s="2"/>
      <x:c r="L45" s="33"/>
      <x:c r="M45" s="2"/>
    </x:row>
    <x:row r="46" ht="24" customHeight="1">
      <x:c r="A46" s="2" t="str">
        <x:v>R4</x:v>
      </x:c>
      <x:c r="B46" s="2" t="n">
        <x:v>1</x:v>
      </x:c>
      <x:c r="C46" s="2" t="str">
        <x:v>    Tool definitions</x:v>
      </x:c>
      <x:c r="D46" s="33" t="n">
        <x:v>122</x:v>
      </x:c>
      <x:c r="E46" s="11"/>
      <x:c r="F46" s="11"/>
      <x:c r="G46" s="33"/>
      <x:c r="H46" s="33"/>
      <x:c r="I46" s="14"/>
      <x:c r="J46" s="2"/>
      <x:c r="K46" s="2"/>
      <x:c r="L46" s="33"/>
      <x:c r="M46" s="2"/>
    </x:row>
    <x:row r="47" ht="47" customHeight="1">
      <x:c r="A47" s="2" t="str">
        <x:v>R4</x:v>
      </x:c>
      <x:c r="B47" s="2" t="n">
        <x:v>1</x:v>
      </x:c>
      <x:c r="C47" s="2" t="str">
        <x:v>    System prompt</x:v>
      </x:c>
      <x:c r="D47" s="33" t="n">
        <x:v>60</x:v>
      </x:c>
      <x:c r="E47" s="11"/>
      <x:c r="F47" s="11"/>
      <x:c r="G47" s="33"/>
      <x:c r="H47" s="33"/>
      <x:c r="I47" s="14" t="str">
        <x:v>You are a workflow reference specialist. Call workflow_reference for evidence about the assigned topic, then return a concise factual summary to the parent. Do not delegate further.</x:v>
      </x:c>
      <x:c r="J47" s="2"/>
      <x:c r="K47" s="2"/>
      <x:c r="L47" s="33"/>
      <x:c r="M47" s="2"/>
    </x:row>
    <x:row r="48" ht="24" customHeight="1">
      <x:c r="A48" s="2" t="str">
        <x:v>R4</x:v>
      </x:c>
      <x:c r="B48" s="2" t="n">
        <x:v>1</x:v>
      </x:c>
      <x:c r="C48" s="2" t="str">
        <x:v>Cache write</x:v>
      </x:c>
      <x:c r="D48" s="33" t="n">
        <x:v>222</x:v>
      </x:c>
      <x:c r="E48" s="11"/>
      <x:c r="F48" s="11"/>
      <x:c r="G48" s="33"/>
      <x:c r="H48" s="33"/>
      <x:c r="I48" s="14"/>
      <x:c r="J48" s="2"/>
      <x:c r="K48" s="2"/>
      <x:c r="L48" s="33"/>
      <x:c r="M48" s="2"/>
    </x:row>
    <x:row r="49" ht="24" customHeight="1">
      <x:c r="A49" s="2" t="str">
        <x:v>R4</x:v>
      </x:c>
      <x:c r="B49" s="2" t="n">
        <x:v>1</x:v>
      </x:c>
      <x:c r="C49" s="2" t="str">
        <x:v>Context · added / total</x:v>
      </x:c>
      <x:c r="D49" s="33" t="n">
        <x:v>222</x:v>
      </x:c>
      <x:c r="E49" s="11"/>
      <x:c r="F49" s="11"/>
      <x:c r="G49" s="33"/>
      <x:c r="H49" s="33"/>
      <x:c r="I49" s="14"/>
      <x:c r="J49" s="2"/>
      <x:c r="K49" s="2"/>
      <x:c r="L49" s="33" t="n">
        <x:v>222</x:v>
      </x:c>
      <x:c r="M49" s="2"/>
    </x:row>
    <x:row r="50" ht="24" customHeight="1">
      <x:c r="A50" s="21" t="str">
        <x:v>R4</x:v>
      </x:c>
      <x:c r="B50" s="21" t="n">
        <x:v>1</x:v>
      </x:c>
      <x:c r="C50" s="21" t="str">
        <x:v>LLM response</x:v>
      </x:c>
      <x:c r="D50" s="32" t="n">
        <x:v>208</x:v>
      </x:c>
      <x:c r="E50" s="29"/>
      <x:c r="F50" s="29"/>
      <x:c r="G50" s="32"/>
      <x:c r="H50" s="32"/>
      <x:c r="I50" s="26"/>
      <x:c r="J50" s="21"/>
      <x:c r="K50" s="21"/>
      <x:c r="L50" s="32"/>
      <x:c r="M50" s="21"/>
    </x:row>
    <x:row r="51" ht="24" customHeight="1">
      <x:c r="A51" s="2" t="str">
        <x:v>R4</x:v>
      </x:c>
      <x:c r="B51" s="2" t="n">
        <x:v>1</x:v>
      </x:c>
      <x:c r="C51" s="22" t="str">
        <x:v>Output</x:v>
      </x:c>
      <x:c r="D51" s="33" t="n">
        <x:v>208</x:v>
      </x:c>
      <x:c r="E51" s="11" t="n">
        <x:f>IF(AND(ISNUMBER(F51),ISNUMBER('Reference data'!$B$3)),F51*'Reference data'!$B$3,"Unknown")</x:f>
        <x:v>0.00021723187199999998</x:v>
      </x:c>
      <x:c r="F51" s="11" t="n">
        <x:f>IF(D51=0,0,IF(ISNUMBER('Reference data'!E22),D51*'Reference data'!E22/1000000,"Unknown"))</x:f>
        <x:v>0.0002496</x:v>
      </x:c>
      <x:c r="G51" s="33" t="n">
        <x:f>IF(ISNUMBER(E51),ROUND(E51*'Reference data'!$B$2,0),"Unknown")</x:f>
        <x:v>22</x:v>
      </x:c>
      <x:c r="H51" s="33" t="n">
        <x:f>IF(ISNUMBER(F51),ROUND(F51*'Reference data'!$B$2,0),"Unknown")</x:f>
        <x:v>25</x:v>
      </x:c>
      <x:c r="I51" s="14"/>
      <x:c r="J51" s="2"/>
      <x:c r="K51" s="2"/>
      <x:c r="L51" s="33"/>
      <x:c r="M51" s="2"/>
    </x:row>
    <x:row r="52" ht="242" customHeight="1">
      <x:c r="A52" s="2" t="str">
        <x:v>R4</x:v>
      </x:c>
      <x:c r="B52" s="2" t="n">
        <x:v>1</x:v>
      </x:c>
      <x:c r="C52" s="2" t="str">
        <x:v>    Output content</x:v>
      </x:c>
      <x:c r="D52" s="33"/>
      <x:c r="E52" s="11"/>
      <x:c r="F52" s="11"/>
      <x:c r="G52" s="33"/>
      <x:c r="H52" s="33"/>
      <x:c r="I52" s="14" t="str">
        <x:v>{"name":"workflow_reference","args":{"topic":"CHILD_ONLY_DETAIL: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"},"id":"lookup-0-0","type":"tool_call"}</x:v>
      </x:c>
      <x:c r="J52" s="2"/>
      <x:c r="K52" s="2"/>
      <x:c r="L52" s="33"/>
      <x:c r="M52" s="2"/>
    </x:row>
    <x:row r="53" ht="24" customHeight="1">
      <x:c r="A53" s="2" t="str">
        <x:v>R4</x:v>
      </x:c>
      <x:c r="B53" s="2" t="n">
        <x:v>1</x:v>
      </x:c>
      <x:c r="C53" s="2" t="str">
        <x:v>Cache write</x:v>
      </x:c>
      <x:c r="D53" s="33" t="n">
        <x:v>208</x:v>
      </x:c>
      <x:c r="E53" s="11"/>
      <x:c r="F53" s="11"/>
      <x:c r="G53" s="33"/>
      <x:c r="H53" s="33"/>
      <x:c r="I53" s="14"/>
      <x:c r="J53" s="2"/>
      <x:c r="K53" s="2"/>
      <x:c r="L53" s="33"/>
      <x:c r="M53" s="2"/>
    </x:row>
    <x:row r="54" ht="24" customHeight="1">
      <x:c r="A54" s="2" t="str">
        <x:v>R4</x:v>
      </x:c>
      <x:c r="B54" s="2" t="n">
        <x:v>1</x:v>
      </x:c>
      <x:c r="C54" s="2" t="str">
        <x:v>Context · added / total</x:v>
      </x:c>
      <x:c r="D54" s="33" t="n">
        <x:v>208</x:v>
      </x:c>
      <x:c r="E54" s="11"/>
      <x:c r="F54" s="11"/>
      <x:c r="G54" s="33"/>
      <x:c r="H54" s="33"/>
      <x:c r="I54" s="14"/>
      <x:c r="J54" s="2"/>
      <x:c r="K54" s="2"/>
      <x:c r="L54" s="33" t="n">
        <x:v>430</x:v>
      </x:c>
      <x:c r="M54" s="2"/>
    </x:row>
    <x:row r="55" ht="24" customHeight="1">
      <x:c r="A55" s="21" t="str">
        <x:v>R4</x:v>
      </x:c>
      <x:c r="B55" s="21" t="n">
        <x:v>1</x:v>
      </x:c>
      <x:c r="C55" s="21" t="str">
        <x:v>Call total</x:v>
      </x:c>
      <x:c r="D55" s="32"/>
      <x:c r="E55" s="29" t="n">
        <x:f>IF(COUNT(E45,E51)=2,SUM(E45,E51),"Unknown")</x:f>
        <x:v>0.00025587408</x:v>
      </x:c>
      <x:c r="F55" s="29" t="n">
        <x:f>IF(COUNT(F45,F51)=2,SUM(F45,F51),"Unknown")</x:f>
        <x:v>0.000294</x:v>
      </x:c>
      <x:c r="G55" s="32" t="n">
        <x:f>IF(ISNUMBER(E55),ROUND(E55*'Reference data'!$B$2,0),"Unknown")</x:f>
        <x:v>26</x:v>
      </x:c>
      <x:c r="H55" s="32" t="n">
        <x:f>IF(ISNUMBER(F55),ROUND(F55*'Reference data'!$B$2,0),"Unknown")</x:f>
        <x:v>29</x:v>
      </x:c>
      <x:c r="I55" s="26"/>
      <x:c r="J55" s="21"/>
      <x:c r="K55" s="21" t="str">
        <x:v>ok</x:v>
      </x:c>
      <x:c r="L55" s="32"/>
      <x:c r="M55" s="21"/>
    </x:row>
    <x:row r="56" ht="24" customHeight="1">
      <x:c r="A56" s="24"/>
      <x:c r="B56" s="24" t="n">
        <x:v>1</x:v>
      </x:c>
      <x:c r="C56" s="24" t="str">
        <x:v>Tool · workflow_reference</x:v>
      </x:c>
      <x:c r="D56" s="34"/>
      <x:c r="E56" s="30"/>
      <x:c r="F56" s="30"/>
      <x:c r="G56" s="34"/>
      <x:c r="H56" s="34"/>
      <x:c r="I56" s="27"/>
      <x:c r="J56" s="24"/>
      <x:c r="K56" s="24" t="str">
        <x:v>ok</x:v>
      </x:c>
      <x:c r="L56" s="34"/>
      <x:c r="M56" s="24" t="str">
        <x:v>01a0c6fd-6db4-7912-9e5e-845447da5342</x:v>
      </x:c>
    </x:row>
    <x:row r="57" ht="229" customHeight="1">
      <x:c r="A57" s="2"/>
      <x:c r="B57" s="2" t="n">
        <x:v>1</x:v>
      </x:c>
      <x:c r="C57" s="2" t="str">
        <x:v>    Arguments</x:v>
      </x:c>
      <x:c r="D57" s="33"/>
      <x:c r="E57" s="11"/>
      <x:c r="F57" s="11"/>
      <x:c r="G57" s="33"/>
      <x:c r="H57" s="33"/>
      <x:c r="I57" s="14" t="str">
        <x:v>{'topic': 'CHILD_ONLY_DETAIL: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x:v>
      </x:c>
      <x:c r="J57" s="2"/>
      <x:c r="K57" s="2"/>
      <x:c r="L57" s="33"/>
      <x:c r="M57" s="2"/>
    </x:row>
    <x:row r="58" ht="242" customHeight="1">
      <x:c r="A58" s="2"/>
      <x:c r="B58" s="2" t="n">
        <x:v>1</x:v>
      </x:c>
      <x:c r="C58" s="2" t="str">
        <x:v>    Result</x:v>
      </x:c>
      <x:c r="D58" s="33"/>
      <x:c r="E58" s="11"/>
      <x:c r="F58" s="11"/>
      <x:c r="G58" s="33"/>
      <x:c r="H58" s="33"/>
      <x:c r="I58" s="14" t="str">
        <x:v>CHILD_ONLY_DETAIL: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 an agent selects a tool, observes its result, and uses it to answer.</x:v>
      </x:c>
      <x:c r="J58" s="2"/>
      <x:c r="K58" s="2"/>
      <x:c r="L58" s="33"/>
      <x:c r="M58" s="2"/>
    </x:row>
    <x:row r="59" ht="24" customHeight="1">
      <x:c r="A59" s="21" t="str">
        <x:v>R5</x:v>
      </x:c>
      <x:c r="B59" s="21" t="n">
        <x:v>1</x:v>
      </x:c>
      <x:c r="C59" s="21" t="str">
        <x:v>LLM request</x:v>
      </x:c>
      <x:c r="D59" s="32" t="n">
        <x:v>624</x:v>
      </x:c>
      <x:c r="E59" s="29"/>
      <x:c r="F59" s="29"/>
      <x:c r="G59" s="32"/>
      <x:c r="H59" s="32"/>
      <x:c r="I59" s="26"/>
      <x:c r="J59" s="21" t="str">
        <x:v>scripted-chat</x:v>
      </x:c>
      <x:c r="K59" s="21"/>
      <x:c r="L59" s="32"/>
      <x:c r="M59" s="21" t="str">
        <x:v>01a0c6fd-6db7-7951-8a5e-b83f3a20e213</x:v>
      </x:c>
    </x:row>
    <x:row r="60" ht="24" customHeight="1">
      <x:c r="A60" s="2" t="str">
        <x:v>R5</x:v>
      </x:c>
      <x:c r="B60" s="2" t="n">
        <x:v>1</x:v>
      </x:c>
      <x:c r="C60" s="22" t="str">
        <x:v>Fresh input</x:v>
      </x:c>
      <x:c r="D60" s="33" t="n">
        <x:v>624</x:v>
      </x:c>
      <x:c r="E60" s="11" t="n">
        <x:f>IF(AND(ISNUMBER(F60),ISNUMBER('Reference data'!$B$3)),F60*'Reference data'!$B$3,"Unknown")</x:f>
        <x:v>0.00010861593600000002</x:v>
      </x:c>
      <x:c r="F60" s="11" t="n">
        <x:f>IF(D60=0,0,IF(ISNUMBER('Reference data'!B22),D60*'Reference data'!B22/1000000,"Unknown"))</x:f>
        <x:v>0.00012480000000000002</x:v>
      </x:c>
      <x:c r="G60" s="33" t="n">
        <x:f>IF(ISNUMBER(E60),ROUND(E60*'Reference data'!$B$2,0),"Unknown")</x:f>
        <x:v>11</x:v>
      </x:c>
      <x:c r="H60" s="33" t="n">
        <x:f>IF(ISNUMBER(F60),ROUND(F60*'Reference data'!$B$2,0),"Unknown")</x:f>
        <x:v>12</x:v>
      </x:c>
      <x:c r="I60" s="14"/>
      <x:c r="J60" s="2"/>
      <x:c r="K60" s="2"/>
      <x:c r="L60" s="33"/>
      <x:c r="M60" s="2"/>
    </x:row>
    <x:row r="61" ht="24" customHeight="1">
      <x:c r="A61" s="2" t="str">
        <x:v>R5</x:v>
      </x:c>
      <x:c r="B61" s="2" t="n">
        <x:v>1</x:v>
      </x:c>
      <x:c r="C61" s="2" t="str">
        <x:v>    Tool definitions</x:v>
      </x:c>
      <x:c r="D61" s="33" t="n">
        <x:v>2</x:v>
      </x:c>
      <x:c r="E61" s="11"/>
      <x:c r="F61" s="11"/>
      <x:c r="G61" s="33"/>
      <x:c r="H61" s="33"/>
      <x:c r="I61" s="14"/>
      <x:c r="J61" s="2"/>
      <x:c r="K61" s="2"/>
      <x:c r="L61" s="33"/>
      <x:c r="M61" s="2"/>
    </x:row>
    <x:row r="62" ht="24" customHeight="1">
      <x:c r="A62" s="2" t="str">
        <x:v>R5</x:v>
      </x:c>
      <x:c r="B62" s="2" t="n">
        <x:v>1</x:v>
      </x:c>
      <x:c r="C62" s="2" t="str">
        <x:v>    System prompt</x:v>
      </x:c>
      <x:c r="D62" s="33"/>
      <x:c r="E62" s="11"/>
      <x:c r="F62" s="11"/>
      <x:c r="G62" s="33"/>
      <x:c r="H62" s="33"/>
      <x:c r="I62" s="14" t="str">
        <x:v>Empty system message (framing only).</x:v>
      </x:c>
      <x:c r="J62" s="2"/>
      <x:c r="K62" s="2"/>
      <x:c r="L62" s="33"/>
      <x:c r="M62" s="2"/>
    </x:row>
    <x:row r="63" ht="24" customHeight="1">
      <x:c r="A63" s="2" t="str">
        <x:v>R5</x:v>
      </x:c>
      <x:c r="B63" s="2" t="n">
        <x:v>1</x:v>
      </x:c>
      <x:c r="C63" s="2" t="str">
        <x:v>Cache write</x:v>
      </x:c>
      <x:c r="D63" s="33" t="n">
        <x:v>624</x:v>
      </x:c>
      <x:c r="E63" s="11"/>
      <x:c r="F63" s="11"/>
      <x:c r="G63" s="33"/>
      <x:c r="H63" s="33"/>
      <x:c r="I63" s="14"/>
      <x:c r="J63" s="2"/>
      <x:c r="K63" s="2"/>
      <x:c r="L63" s="33"/>
      <x:c r="M63" s="2"/>
    </x:row>
    <x:row r="64" ht="24" customHeight="1">
      <x:c r="A64" s="2" t="str">
        <x:v>R5</x:v>
      </x:c>
      <x:c r="B64" s="2" t="n">
        <x:v>1</x:v>
      </x:c>
      <x:c r="C64" s="2" t="str">
        <x:v>Context · added / total</x:v>
      </x:c>
      <x:c r="D64" s="33" t="n">
        <x:v>624</x:v>
      </x:c>
      <x:c r="E64" s="11"/>
      <x:c r="F64" s="11"/>
      <x:c r="G64" s="33"/>
      <x:c r="H64" s="33"/>
      <x:c r="I64" s="14"/>
      <x:c r="J64" s="2"/>
      <x:c r="K64" s="2"/>
      <x:c r="L64" s="33" t="n">
        <x:v>624</x:v>
      </x:c>
      <x:c r="M64" s="2"/>
    </x:row>
    <x:row r="65" ht="24" customHeight="1">
      <x:c r="A65" s="21" t="str">
        <x:v>R5</x:v>
      </x:c>
      <x:c r="B65" s="21" t="n">
        <x:v>1</x:v>
      </x:c>
      <x:c r="C65" s="21" t="str">
        <x:v>LLM response</x:v>
      </x:c>
      <x:c r="D65" s="32" t="n">
        <x:v>46</x:v>
      </x:c>
      <x:c r="E65" s="29"/>
      <x:c r="F65" s="29"/>
      <x:c r="G65" s="32"/>
      <x:c r="H65" s="32"/>
      <x:c r="I65" s="26"/>
      <x:c r="J65" s="21"/>
      <x:c r="K65" s="21"/>
      <x:c r="L65" s="32"/>
      <x:c r="M65" s="21"/>
    </x:row>
    <x:row r="66" ht="24" customHeight="1">
      <x:c r="A66" s="2" t="str">
        <x:v>R5</x:v>
      </x:c>
      <x:c r="B66" s="2" t="n">
        <x:v>1</x:v>
      </x:c>
      <x:c r="C66" s="22" t="str">
        <x:v>Output</x:v>
      </x:c>
      <x:c r="D66" s="33" t="n">
        <x:v>46</x:v>
      </x:c>
      <x:c r="E66" s="11" t="n">
        <x:f>IF(AND(ISNUMBER(F66),ISNUMBER('Reference data'!$B$3)),F66*'Reference data'!$B$3,"Unknown")</x:f>
        <x:v>0.00004804166399999999</x:v>
      </x:c>
      <x:c r="F66" s="11" t="n">
        <x:f>IF(D66=0,0,IF(ISNUMBER('Reference data'!E22),D66*'Reference data'!E22/1000000,"Unknown"))</x:f>
        <x:v>0.00005519999999999999</x:v>
      </x:c>
      <x:c r="G66" s="33" t="n">
        <x:f>IF(ISNUMBER(E66),ROUND(E66*'Reference data'!$B$2,0),"Unknown")</x:f>
        <x:v>5</x:v>
      </x:c>
      <x:c r="H66" s="33" t="n">
        <x:f>IF(ISNUMBER(F66),ROUND(F66*'Reference data'!$B$2,0),"Unknown")</x:f>
        <x:v>6</x:v>
      </x:c>
      <x:c r="I66" s="14"/>
      <x:c r="J66" s="2"/>
      <x:c r="K66" s="2"/>
      <x:c r="L66" s="33"/>
      <x:c r="M66" s="2"/>
    </x:row>
    <x:row r="67" ht="34" customHeight="1">
      <x:c r="A67" s="2" t="str">
        <x:v>R5</x:v>
      </x:c>
      <x:c r="B67" s="2" t="n">
        <x:v>1</x:v>
      </x:c>
      <x:c r="C67" s="2" t="str">
        <x:v>    Output content</x:v>
      </x:c>
      <x:c r="D67" s="33"/>
      <x:c r="E67" s="11"/>
      <x:c r="F67" s="11"/>
      <x:c r="G67" s="33"/>
      <x:c r="H67" s="33"/>
      <x:c r="I67" s="14" t="str">
        <x:v>The assignment is to explain delegation. The reference says agents select tools and use observations.</x:v>
      </x:c>
      <x:c r="J67" s="2"/>
      <x:c r="K67" s="2"/>
      <x:c r="L67" s="33"/>
      <x:c r="M67" s="2"/>
    </x:row>
    <x:row r="68" ht="24" customHeight="1">
      <x:c r="A68" s="2" t="str">
        <x:v>R5</x:v>
      </x:c>
      <x:c r="B68" s="2" t="n">
        <x:v>1</x:v>
      </x:c>
      <x:c r="C68" s="2" t="str">
        <x:v>Cache write</x:v>
      </x:c>
      <x:c r="D68" s="33" t="n">
        <x:v>46</x:v>
      </x:c>
      <x:c r="E68" s="11"/>
      <x:c r="F68" s="11"/>
      <x:c r="G68" s="33"/>
      <x:c r="H68" s="33"/>
      <x:c r="I68" s="14"/>
      <x:c r="J68" s="2"/>
      <x:c r="K68" s="2"/>
      <x:c r="L68" s="33"/>
      <x:c r="M68" s="2"/>
    </x:row>
    <x:row r="69" ht="24" customHeight="1">
      <x:c r="A69" s="2" t="str">
        <x:v>R5</x:v>
      </x:c>
      <x:c r="B69" s="2" t="n">
        <x:v>1</x:v>
      </x:c>
      <x:c r="C69" s="2" t="str">
        <x:v>Context · added / total</x:v>
      </x:c>
      <x:c r="D69" s="33" t="n">
        <x:v>46</x:v>
      </x:c>
      <x:c r="E69" s="11"/>
      <x:c r="F69" s="11"/>
      <x:c r="G69" s="33"/>
      <x:c r="H69" s="33"/>
      <x:c r="I69" s="14"/>
      <x:c r="J69" s="2"/>
      <x:c r="K69" s="2"/>
      <x:c r="L69" s="33" t="n">
        <x:v>670</x:v>
      </x:c>
      <x:c r="M69" s="2"/>
    </x:row>
    <x:row r="70" ht="24" customHeight="1">
      <x:c r="A70" s="21" t="str">
        <x:v>R5</x:v>
      </x:c>
      <x:c r="B70" s="21" t="n">
        <x:v>1</x:v>
      </x:c>
      <x:c r="C70" s="21" t="str">
        <x:v>Call total</x:v>
      </x:c>
      <x:c r="D70" s="32"/>
      <x:c r="E70" s="29" t="n">
        <x:f>IF(COUNT(E60,E66)=2,SUM(E60,E66),"Unknown")</x:f>
        <x:v>0.0001566576</x:v>
      </x:c>
      <x:c r="F70" s="29" t="n">
        <x:f>IF(COUNT(F60,F66)=2,SUM(F60,F66),"Unknown")</x:f>
        <x:v>0.00018</x:v>
      </x:c>
      <x:c r="G70" s="32" t="n">
        <x:f>IF(ISNUMBER(E70),ROUND(E70*'Reference data'!$B$2,0),"Unknown")</x:f>
        <x:v>16</x:v>
      </x:c>
      <x:c r="H70" s="32" t="n">
        <x:f>IF(ISNUMBER(F70),ROUND(F70*'Reference data'!$B$2,0),"Unknown")</x:f>
        <x:v>18</x:v>
      </x:c>
      <x:c r="I70" s="26"/>
      <x:c r="J70" s="21"/>
      <x:c r="K70" s="21" t="str">
        <x:v>ok</x:v>
      </x:c>
      <x:c r="L70" s="32"/>
      <x:c r="M70" s="21"/>
    </x:row>
    <x:row r="71" ht="24" customHeight="1">
      <x:c r="A71" s="21" t="str">
        <x:v>R6</x:v>
      </x:c>
      <x:c r="B71" s="21" t="n">
        <x:v>1</x:v>
      </x:c>
      <x:c r="C71" s="21" t="str">
        <x:v>LLM request</x:v>
      </x:c>
      <x:c r="D71" s="32" t="n">
        <x:v>638</x:v>
      </x:c>
      <x:c r="E71" s="29"/>
      <x:c r="F71" s="29"/>
      <x:c r="G71" s="32"/>
      <x:c r="H71" s="32"/>
      <x:c r="I71" s="26"/>
      <x:c r="J71" s="21" t="str">
        <x:v>scripted-chat</x:v>
      </x:c>
      <x:c r="K71" s="21"/>
      <x:c r="L71" s="32"/>
      <x:c r="M71" s="21" t="str">
        <x:v>01a0c6fd-6dba-7443-95d3-4e5ba2eb4af3</x:v>
      </x:c>
    </x:row>
    <x:row r="72" ht="24" customHeight="1">
      <x:c r="A72" s="2" t="str">
        <x:v>R6</x:v>
      </x:c>
      <x:c r="B72" s="2" t="n">
        <x:v>1</x:v>
      </x:c>
      <x:c r="C72" s="22" t="str">
        <x:v>Conversation history · cache read</x:v>
      </x:c>
      <x:c r="D72" s="33" t="n">
        <x:v>0</x:v>
      </x:c>
      <x:c r="E72" s="11" t="n">
        <x:f>IF(AND(ISNUMBER(F72),ISNUMBER('Reference data'!$B$3)),F72*'Reference data'!$B$3,"Unknown")</x:f>
        <x:v>0</x:v>
      </x:c>
      <x:c r="F72" s="11" t="n">
        <x:f>IF(D72=0,0,IF(ISNUMBER('Reference data'!C22),D72*'Reference data'!C22/1000000,"Unknown"))</x:f>
        <x:v>0</x:v>
      </x:c>
      <x:c r="G72" s="33" t="n">
        <x:f>IF(ISNUMBER(E72),ROUND(E72*'Reference data'!$B$2,0),"Unknown")</x:f>
        <x:v>0</x:v>
      </x:c>
      <x:c r="H72" s="33" t="n">
        <x:f>IF(ISNUMBER(F72),ROUND(F72*'Reference data'!$B$2,0),"Unknown")</x:f>
        <x:v>0</x:v>
      </x:c>
      <x:c r="I72" s="14"/>
      <x:c r="J72" s="2"/>
      <x:c r="K72" s="2"/>
      <x:c r="L72" s="33"/>
      <x:c r="M72" s="2"/>
    </x:row>
    <x:row r="73" ht="24" customHeight="1">
      <x:c r="A73" s="2" t="str">
        <x:v>R6</x:v>
      </x:c>
      <x:c r="B73" s="2" t="n">
        <x:v>1</x:v>
      </x:c>
      <x:c r="C73" s="22" t="str">
        <x:v>Fresh input</x:v>
      </x:c>
      <x:c r="D73" s="33" t="n">
        <x:v>638</x:v>
      </x:c>
      <x:c r="E73" s="11" t="n">
        <x:f>IF(AND(ISNUMBER(F73),ISNUMBER('Reference data'!$B$3)),F73*'Reference data'!$B$3,"Unknown")</x:f>
        <x:v>0.000111052832</x:v>
      </x:c>
      <x:c r="F73" s="11" t="n">
        <x:f>IF(D73=0,0,IF(ISNUMBER('Reference data'!B22),D73*'Reference data'!B22/1000000,"Unknown"))</x:f>
        <x:v>0.0001276</x:v>
      </x:c>
      <x:c r="G73" s="33" t="n">
        <x:f>IF(ISNUMBER(E73),ROUND(E73*'Reference data'!$B$2,0),"Unknown")</x:f>
        <x:v>11</x:v>
      </x:c>
      <x:c r="H73" s="33" t="n">
        <x:f>IF(ISNUMBER(F73),ROUND(F73*'Reference data'!$B$2,0),"Unknown")</x:f>
        <x:v>13</x:v>
      </x:c>
      <x:c r="I73" s="14"/>
      <x:c r="J73" s="2"/>
      <x:c r="K73" s="2"/>
      <x:c r="L73" s="33"/>
      <x:c r="M73" s="2"/>
    </x:row>
    <x:row r="74" ht="242" customHeight="1">
      <x:c r="A74" s="2" t="str">
        <x:v>R6</x:v>
      </x:c>
      <x:c r="B74" s="2" t="n">
        <x:v>1</x:v>
      </x:c>
      <x:c r="C74" s="2" t="str">
        <x:v>    Tool result</x:v>
      </x:c>
      <x:c r="D74" s="33" t="n">
        <x:v>189</x:v>
      </x:c>
      <x:c r="E74" s="11"/>
      <x:c r="F74" s="11"/>
      <x:c r="G74" s="33"/>
      <x:c r="H74" s="33"/>
      <x:c r="I74" s="14" t="str">
        <x:v>CHILD_ONLY_DETAIL: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 an agent selects a tool, observes its result, and uses it to answer.</x:v>
      </x:c>
      <x:c r="J74" s="2"/>
      <x:c r="K74" s="2"/>
      <x:c r="L74" s="33"/>
      <x:c r="M74" s="2"/>
    </x:row>
    <x:row r="75" ht="24" customHeight="1">
      <x:c r="A75" s="2" t="str">
        <x:v>R6</x:v>
      </x:c>
      <x:c r="B75" s="2" t="n">
        <x:v>1</x:v>
      </x:c>
      <x:c r="C75" s="2" t="str">
        <x:v>Cache write</x:v>
      </x:c>
      <x:c r="D75" s="33" t="n">
        <x:v>638</x:v>
      </x:c>
      <x:c r="E75" s="11"/>
      <x:c r="F75" s="11"/>
      <x:c r="G75" s="33"/>
      <x:c r="H75" s="33"/>
      <x:c r="I75" s="14"/>
      <x:c r="J75" s="2"/>
      <x:c r="K75" s="2"/>
      <x:c r="L75" s="33"/>
      <x:c r="M75" s="2"/>
    </x:row>
    <x:row r="76" ht="24" customHeight="1">
      <x:c r="A76" s="2" t="str">
        <x:v>R6</x:v>
      </x:c>
      <x:c r="B76" s="2" t="n">
        <x:v>1</x:v>
      </x:c>
      <x:c r="C76" s="2" t="str">
        <x:v>Context · added / total</x:v>
      </x:c>
      <x:c r="D76" s="33" t="n">
        <x:v>638</x:v>
      </x:c>
      <x:c r="E76" s="11"/>
      <x:c r="F76" s="11"/>
      <x:c r="G76" s="33"/>
      <x:c r="H76" s="33"/>
      <x:c r="I76" s="14"/>
      <x:c r="J76" s="2"/>
      <x:c r="K76" s="2"/>
      <x:c r="L76" s="33" t="n">
        <x:v>638</x:v>
      </x:c>
      <x:c r="M76" s="2"/>
    </x:row>
    <x:row r="77" ht="24" customHeight="1">
      <x:c r="A77" s="21" t="str">
        <x:v>R6</x:v>
      </x:c>
      <x:c r="B77" s="21" t="n">
        <x:v>1</x:v>
      </x:c>
      <x:c r="C77" s="21" t="str">
        <x:v>LLM response</x:v>
      </x:c>
      <x:c r="D77" s="32" t="n">
        <x:v>73</x:v>
      </x:c>
      <x:c r="E77" s="29"/>
      <x:c r="F77" s="29"/>
      <x:c r="G77" s="32"/>
      <x:c r="H77" s="32"/>
      <x:c r="I77" s="26"/>
      <x:c r="J77" s="21"/>
      <x:c r="K77" s="21"/>
      <x:c r="L77" s="32"/>
      <x:c r="M77" s="21"/>
    </x:row>
    <x:row r="78" ht="24" customHeight="1">
      <x:c r="A78" s="2" t="str">
        <x:v>R6</x:v>
      </x:c>
      <x:c r="B78" s="2" t="n">
        <x:v>1</x:v>
      </x:c>
      <x:c r="C78" s="22" t="str">
        <x:v>Output</x:v>
      </x:c>
      <x:c r="D78" s="33" t="n">
        <x:v>73</x:v>
      </x:c>
      <x:c r="E78" s="11" t="n">
        <x:f>IF(AND(ISNUMBER(F78),ISNUMBER('Reference data'!$B$3)),F78*'Reference data'!$B$3,"Unknown")</x:f>
        <x:v>0.00007624003199999998</x:v>
      </x:c>
      <x:c r="F78" s="11" t="n">
        <x:f>IF(D78=0,0,IF(ISNUMBER('Reference data'!E22),D78*'Reference data'!E22/1000000,"Unknown"))</x:f>
        <x:v>0.00008759999999999999</x:v>
      </x:c>
      <x:c r="G78" s="33" t="n">
        <x:f>IF(ISNUMBER(E78),ROUND(E78*'Reference data'!$B$2,0),"Unknown")</x:f>
        <x:v>8</x:v>
      </x:c>
      <x:c r="H78" s="33" t="n">
        <x:f>IF(ISNUMBER(F78),ROUND(F78*'Reference data'!$B$2,0),"Unknown")</x:f>
        <x:v>9</x:v>
      </x:c>
      <x:c r="I78" s="14"/>
      <x:c r="J78" s="2"/>
      <x:c r="K78" s="2"/>
      <x:c r="L78" s="33"/>
      <x:c r="M78" s="2"/>
    </x:row>
    <x:row r="79" ht="34" customHeight="1">
      <x:c r="A79" s="2" t="str">
        <x:v>R6</x:v>
      </x:c>
      <x:c r="B79" s="2" t="n">
        <x:v>1</x:v>
      </x:c>
      <x:c r="C79" s="2" t="str">
        <x:v>    Output content</x:v>
      </x:c>
      <x:c r="D79" s="33"/>
      <x:c r="E79" s="11"/>
      <x:c r="F79" s="11"/>
      <x:c r="G79" s="33"/>
      <x:c r="H79" s="33"/>
      <x:c r="I79" s="14" t="str">
        <x:v>{"name":"workflow_reference","args":{"topic":"tool observations"},"id":"lookup-0-1","type":"tool_call"}</x:v>
      </x:c>
      <x:c r="J79" s="2"/>
      <x:c r="K79" s="2"/>
      <x:c r="L79" s="33"/>
      <x:c r="M79" s="2"/>
    </x:row>
    <x:row r="80" ht="24" customHeight="1">
      <x:c r="A80" s="2" t="str">
        <x:v>R6</x:v>
      </x:c>
      <x:c r="B80" s="2" t="n">
        <x:v>1</x:v>
      </x:c>
      <x:c r="C80" s="2" t="str">
        <x:v>Cache write</x:v>
      </x:c>
      <x:c r="D80" s="33" t="n">
        <x:v>73</x:v>
      </x:c>
      <x:c r="E80" s="11"/>
      <x:c r="F80" s="11"/>
      <x:c r="G80" s="33"/>
      <x:c r="H80" s="33"/>
      <x:c r="I80" s="14"/>
      <x:c r="J80" s="2"/>
      <x:c r="K80" s="2"/>
      <x:c r="L80" s="33"/>
      <x:c r="M80" s="2"/>
    </x:row>
    <x:row r="81" ht="24" customHeight="1">
      <x:c r="A81" s="2" t="str">
        <x:v>R6</x:v>
      </x:c>
      <x:c r="B81" s="2" t="n">
        <x:v>1</x:v>
      </x:c>
      <x:c r="C81" s="2" t="str">
        <x:v>Context · added / total</x:v>
      </x:c>
      <x:c r="D81" s="33" t="n">
        <x:v>73</x:v>
      </x:c>
      <x:c r="E81" s="11"/>
      <x:c r="F81" s="11"/>
      <x:c r="G81" s="33"/>
      <x:c r="H81" s="33"/>
      <x:c r="I81" s="14"/>
      <x:c r="J81" s="2"/>
      <x:c r="K81" s="2"/>
      <x:c r="L81" s="33" t="n">
        <x:v>711</x:v>
      </x:c>
      <x:c r="M81" s="2"/>
    </x:row>
    <x:row r="82" ht="24" customHeight="1">
      <x:c r="A82" s="21" t="str">
        <x:v>R6</x:v>
      </x:c>
      <x:c r="B82" s="21" t="n">
        <x:v>1</x:v>
      </x:c>
      <x:c r="C82" s="21" t="str">
        <x:v>Call total</x:v>
      </x:c>
      <x:c r="D82" s="32"/>
      <x:c r="E82" s="29" t="n">
        <x:f>IF(COUNT(E72,E73,E78)=3,SUM(E72,E73,E78),"Unknown")</x:f>
        <x:v>0.000187292864</x:v>
      </x:c>
      <x:c r="F82" s="29" t="n">
        <x:f>IF(COUNT(F72,F73,F78)=3,SUM(F72,F73,F78),"Unknown")</x:f>
        <x:v>0.0002152</x:v>
      </x:c>
      <x:c r="G82" s="32" t="n">
        <x:f>IF(ISNUMBER(E82),ROUND(E82*'Reference data'!$B$2,0),"Unknown")</x:f>
        <x:v>19</x:v>
      </x:c>
      <x:c r="H82" s="32" t="n">
        <x:f>IF(ISNUMBER(F82),ROUND(F82*'Reference data'!$B$2,0),"Unknown")</x:f>
        <x:v>22</x:v>
      </x:c>
      <x:c r="I82" s="26"/>
      <x:c r="J82" s="21"/>
      <x:c r="K82" s="21" t="str">
        <x:v>ok</x:v>
      </x:c>
      <x:c r="L82" s="32"/>
      <x:c r="M82" s="21"/>
    </x:row>
    <x:row r="83" ht="24" customHeight="1">
      <x:c r="A83" s="24"/>
      <x:c r="B83" s="24" t="n">
        <x:v>1</x:v>
      </x:c>
      <x:c r="C83" s="24" t="str">
        <x:v>Tool · workflow_reference</x:v>
      </x:c>
      <x:c r="D83" s="34"/>
      <x:c r="E83" s="30"/>
      <x:c r="F83" s="30"/>
      <x:c r="G83" s="34"/>
      <x:c r="H83" s="34"/>
      <x:c r="I83" s="27"/>
      <x:c r="J83" s="24"/>
      <x:c r="K83" s="24" t="str">
        <x:v>ok</x:v>
      </x:c>
      <x:c r="L83" s="34"/>
      <x:c r="M83" s="24" t="str">
        <x:v>01a0c6fd-6dbe-72b2-aa6b-b8e7b644b22f</x:v>
      </x:c>
    </x:row>
    <x:row r="84" ht="24" customHeight="1">
      <x:c r="A84" s="2"/>
      <x:c r="B84" s="2" t="n">
        <x:v>1</x:v>
      </x:c>
      <x:c r="C84" s="2" t="str">
        <x:v>    Arguments</x:v>
      </x:c>
      <x:c r="D84" s="33"/>
      <x:c r="E84" s="11"/>
      <x:c r="F84" s="11"/>
      <x:c r="G84" s="33"/>
      <x:c r="H84" s="33"/>
      <x:c r="I84" s="14" t="str">
        <x:v>{'topic': 'tool observations'}</x:v>
      </x:c>
      <x:c r="J84" s="2"/>
      <x:c r="K84" s="2"/>
      <x:c r="L84" s="33"/>
      <x:c r="M84" s="2"/>
    </x:row>
    <x:row r="85" ht="24" customHeight="1">
      <x:c r="A85" s="2"/>
      <x:c r="B85" s="2" t="n">
        <x:v>1</x:v>
      </x:c>
      <x:c r="C85" s="2" t="str">
        <x:v>    Result</x:v>
      </x:c>
      <x:c r="D85" s="33"/>
      <x:c r="E85" s="11"/>
      <x:c r="F85" s="11"/>
      <x:c r="G85" s="33"/>
      <x:c r="H85" s="33"/>
      <x:c r="I85" s="14" t="str">
        <x:v>tool observations: an agent selects a tool, observes its result, and uses it to answer.</x:v>
      </x:c>
      <x:c r="J85" s="2"/>
      <x:c r="K85" s="2"/>
      <x:c r="L85" s="33"/>
      <x:c r="M85" s="2"/>
    </x:row>
    <x:row r="86" ht="24" customHeight="1">
      <x:c r="A86" s="21" t="str">
        <x:v>R7</x:v>
      </x:c>
      <x:c r="B86" s="21" t="n">
        <x:v>1</x:v>
      </x:c>
      <x:c r="C86" s="21" t="str">
        <x:v>LLM request</x:v>
      </x:c>
      <x:c r="D86" s="32" t="n">
        <x:v>1007</x:v>
      </x:c>
      <x:c r="E86" s="29"/>
      <x:c r="F86" s="29"/>
      <x:c r="G86" s="32"/>
      <x:c r="H86" s="32"/>
      <x:c r="I86" s="26"/>
      <x:c r="J86" s="21" t="str">
        <x:v>scripted-chat</x:v>
      </x:c>
      <x:c r="K86" s="21"/>
      <x:c r="L86" s="32"/>
      <x:c r="M86" s="21" t="str">
        <x:v>01a0c6fd-6dc1-7c72-aa4c-8d5c2d4533d4</x:v>
      </x:c>
    </x:row>
    <x:row r="87" ht="24" customHeight="1">
      <x:c r="A87" s="2" t="str">
        <x:v>R7</x:v>
      </x:c>
      <x:c r="B87" s="2" t="n">
        <x:v>1</x:v>
      </x:c>
      <x:c r="C87" s="22" t="str">
        <x:v>Conversation history · cache read</x:v>
      </x:c>
      <x:c r="D87" s="33" t="n">
        <x:v>0</x:v>
      </x:c>
      <x:c r="E87" s="11" t="n">
        <x:f>IF(AND(ISNUMBER(F87),ISNUMBER('Reference data'!$B$3)),F87*'Reference data'!$B$3,"Unknown")</x:f>
        <x:v>0</x:v>
      </x:c>
      <x:c r="F87" s="11" t="n">
        <x:f>IF(D87=0,0,IF(ISNUMBER('Reference data'!C22),D87*'Reference data'!C22/1000000,"Unknown"))</x:f>
        <x:v>0</x:v>
      </x:c>
      <x:c r="G87" s="33" t="n">
        <x:f>IF(ISNUMBER(E87),ROUND(E87*'Reference data'!$B$2,0),"Unknown")</x:f>
        <x:v>0</x:v>
      </x:c>
      <x:c r="H87" s="33" t="n">
        <x:f>IF(ISNUMBER(F87),ROUND(F87*'Reference data'!$B$2,0),"Unknown")</x:f>
        <x:v>0</x:v>
      </x:c>
      <x:c r="I87" s="14"/>
      <x:c r="J87" s="2"/>
      <x:c r="K87" s="2"/>
      <x:c r="L87" s="33"/>
      <x:c r="M87" s="2"/>
    </x:row>
    <x:row r="88" ht="24" customHeight="1">
      <x:c r="A88" s="2" t="str">
        <x:v>R7</x:v>
      </x:c>
      <x:c r="B88" s="2" t="n">
        <x:v>1</x:v>
      </x:c>
      <x:c r="C88" s="22" t="str">
        <x:v>Fresh input</x:v>
      </x:c>
      <x:c r="D88" s="33" t="n">
        <x:v>1007</x:v>
      </x:c>
      <x:c r="E88" s="11" t="n">
        <x:f>IF(AND(ISNUMBER(F88),ISNUMBER('Reference data'!$B$3)),F88*'Reference data'!$B$3,"Unknown")</x:f>
        <x:v>0.00017528244800000002</x:v>
      </x:c>
      <x:c r="F88" s="11" t="n">
        <x:f>IF(D88=0,0,IF(ISNUMBER('Reference data'!B22),D88*'Reference data'!B22/1000000,"Unknown"))</x:f>
        <x:v>0.00020140000000000002</x:v>
      </x:c>
      <x:c r="G88" s="33" t="n">
        <x:f>IF(ISNUMBER(E88),ROUND(E88*'Reference data'!$B$2,0),"Unknown")</x:f>
        <x:v>18</x:v>
      </x:c>
      <x:c r="H88" s="33" t="n">
        <x:f>IF(ISNUMBER(F88),ROUND(F88*'Reference data'!$B$2,0),"Unknown")</x:f>
        <x:v>20</x:v>
      </x:c>
      <x:c r="I88" s="14"/>
      <x:c r="J88" s="2"/>
      <x:c r="K88" s="2"/>
      <x:c r="L88" s="33"/>
      <x:c r="M88" s="2"/>
    </x:row>
    <x:row r="89" ht="24" customHeight="1">
      <x:c r="A89" s="2" t="str">
        <x:v>R7</x:v>
      </x:c>
      <x:c r="B89" s="2" t="n">
        <x:v>1</x:v>
      </x:c>
      <x:c r="C89" s="2" t="str">
        <x:v>Cache write</x:v>
      </x:c>
      <x:c r="D89" s="33" t="n">
        <x:v>1007</x:v>
      </x:c>
      <x:c r="E89" s="11"/>
      <x:c r="F89" s="11"/>
      <x:c r="G89" s="33"/>
      <x:c r="H89" s="33"/>
      <x:c r="I89" s="14"/>
      <x:c r="J89" s="2"/>
      <x:c r="K89" s="2"/>
      <x:c r="L89" s="33"/>
      <x:c r="M89" s="2"/>
    </x:row>
    <x:row r="90" ht="24" customHeight="1">
      <x:c r="A90" s="2" t="str">
        <x:v>R7</x:v>
      </x:c>
      <x:c r="B90" s="2" t="n">
        <x:v>1</x:v>
      </x:c>
      <x:c r="C90" s="2" t="str">
        <x:v>Context · added / total</x:v>
      </x:c>
      <x:c r="D90" s="33" t="n">
        <x:v>1007</x:v>
      </x:c>
      <x:c r="E90" s="11"/>
      <x:c r="F90" s="11"/>
      <x:c r="G90" s="33"/>
      <x:c r="H90" s="33"/>
      <x:c r="I90" s="14"/>
      <x:c r="J90" s="2"/>
      <x:c r="K90" s="2"/>
      <x:c r="L90" s="33" t="n">
        <x:v>1007</x:v>
      </x:c>
      <x:c r="M90" s="2"/>
    </x:row>
    <x:row r="91" ht="24" customHeight="1">
      <x:c r="A91" s="21" t="str">
        <x:v>R7</x:v>
      </x:c>
      <x:c r="B91" s="21" t="n">
        <x:v>1</x:v>
      </x:c>
      <x:c r="C91" s="21" t="str">
        <x:v>LLM response</x:v>
      </x:c>
      <x:c r="D91" s="32" t="n">
        <x:v>46</x:v>
      </x:c>
      <x:c r="E91" s="29"/>
      <x:c r="F91" s="29"/>
      <x:c r="G91" s="32"/>
      <x:c r="H91" s="32"/>
      <x:c r="I91" s="26"/>
      <x:c r="J91" s="21"/>
      <x:c r="K91" s="21"/>
      <x:c r="L91" s="32"/>
      <x:c r="M91" s="21"/>
    </x:row>
    <x:row r="92" ht="24" customHeight="1">
      <x:c r="A92" s="2" t="str">
        <x:v>R7</x:v>
      </x:c>
      <x:c r="B92" s="2" t="n">
        <x:v>1</x:v>
      </x:c>
      <x:c r="C92" s="22" t="str">
        <x:v>Output</x:v>
      </x:c>
      <x:c r="D92" s="33" t="n">
        <x:v>46</x:v>
      </x:c>
      <x:c r="E92" s="11" t="n">
        <x:f>IF(AND(ISNUMBER(F92),ISNUMBER('Reference data'!$B$3)),F92*'Reference data'!$B$3,"Unknown")</x:f>
        <x:v>0.00004804166399999999</x:v>
      </x:c>
      <x:c r="F92" s="11" t="n">
        <x:f>IF(D92=0,0,IF(ISNUMBER('Reference data'!E22),D92*'Reference data'!E22/1000000,"Unknown"))</x:f>
        <x:v>0.00005519999999999999</x:v>
      </x:c>
      <x:c r="G92" s="33" t="n">
        <x:f>IF(ISNUMBER(E92),ROUND(E92*'Reference data'!$B$2,0),"Unknown")</x:f>
        <x:v>5</x:v>
      </x:c>
      <x:c r="H92" s="33" t="n">
        <x:f>IF(ISNUMBER(F92),ROUND(F92*'Reference data'!$B$2,0),"Unknown")</x:f>
        <x:v>6</x:v>
      </x:c>
      <x:c r="I92" s="14"/>
      <x:c r="J92" s="2"/>
      <x:c r="K92" s="2"/>
      <x:c r="L92" s="33"/>
      <x:c r="M92" s="2"/>
    </x:row>
    <x:row r="93" ht="34" customHeight="1">
      <x:c r="A93" s="2" t="str">
        <x:v>R7</x:v>
      </x:c>
      <x:c r="B93" s="2" t="n">
        <x:v>1</x:v>
      </x:c>
      <x:c r="C93" s="2" t="str">
        <x:v>    Output content</x:v>
      </x:c>
      <x:c r="D93" s="33"/>
      <x:c r="E93" s="11"/>
      <x:c r="F93" s="11"/>
      <x:c r="G93" s="33"/>
      <x:c r="H93" s="33"/>
      <x:c r="I93" s="14" t="str">
        <x:v>The assignment is to explain delegation. The reference says agents select tools and use observations.</x:v>
      </x:c>
      <x:c r="J93" s="2"/>
      <x:c r="K93" s="2"/>
      <x:c r="L93" s="33"/>
      <x:c r="M93" s="2"/>
    </x:row>
    <x:row r="94" ht="24" customHeight="1">
      <x:c r="A94" s="2" t="str">
        <x:v>R7</x:v>
      </x:c>
      <x:c r="B94" s="2" t="n">
        <x:v>1</x:v>
      </x:c>
      <x:c r="C94" s="2" t="str">
        <x:v>Cache write</x:v>
      </x:c>
      <x:c r="D94" s="33" t="n">
        <x:v>46</x:v>
      </x:c>
      <x:c r="E94" s="11"/>
      <x:c r="F94" s="11"/>
      <x:c r="G94" s="33"/>
      <x:c r="H94" s="33"/>
      <x:c r="I94" s="14"/>
      <x:c r="J94" s="2"/>
      <x:c r="K94" s="2"/>
      <x:c r="L94" s="33"/>
      <x:c r="M94" s="2"/>
    </x:row>
    <x:row r="95" ht="24" customHeight="1">
      <x:c r="A95" s="2" t="str">
        <x:v>R7</x:v>
      </x:c>
      <x:c r="B95" s="2" t="n">
        <x:v>1</x:v>
      </x:c>
      <x:c r="C95" s="2" t="str">
        <x:v>Context · added / total</x:v>
      </x:c>
      <x:c r="D95" s="33" t="n">
        <x:v>46</x:v>
      </x:c>
      <x:c r="E95" s="11"/>
      <x:c r="F95" s="11"/>
      <x:c r="G95" s="33"/>
      <x:c r="H95" s="33"/>
      <x:c r="I95" s="14"/>
      <x:c r="J95" s="2"/>
      <x:c r="K95" s="2"/>
      <x:c r="L95" s="33" t="n">
        <x:v>1053</x:v>
      </x:c>
      <x:c r="M95" s="2"/>
    </x:row>
    <x:row r="96" ht="24" customHeight="1">
      <x:c r="A96" s="21" t="str">
        <x:v>R7</x:v>
      </x:c>
      <x:c r="B96" s="21" t="n">
        <x:v>1</x:v>
      </x:c>
      <x:c r="C96" s="21" t="str">
        <x:v>Call total</x:v>
      </x:c>
      <x:c r="D96" s="32"/>
      <x:c r="E96" s="29" t="n">
        <x:f>IF(COUNT(E87,E88,E92)=3,SUM(E87,E88,E92),"Unknown")</x:f>
        <x:v>0.00022332411200000002</x:v>
      </x:c>
      <x:c r="F96" s="29" t="n">
        <x:f>IF(COUNT(F87,F88,F92)=3,SUM(F87,F88,F92),"Unknown")</x:f>
        <x:v>0.0002566</x:v>
      </x:c>
      <x:c r="G96" s="32" t="n">
        <x:f>IF(ISNUMBER(E96),ROUND(E96*'Reference data'!$B$2,0),"Unknown")</x:f>
        <x:v>22</x:v>
      </x:c>
      <x:c r="H96" s="32" t="n">
        <x:f>IF(ISNUMBER(F96),ROUND(F96*'Reference data'!$B$2,0),"Unknown")</x:f>
        <x:v>26</x:v>
      </x:c>
      <x:c r="I96" s="26"/>
      <x:c r="J96" s="21"/>
      <x:c r="K96" s="21" t="str">
        <x:v>ok</x:v>
      </x:c>
      <x:c r="L96" s="32"/>
      <x:c r="M96" s="21"/>
    </x:row>
    <x:row r="97" ht="24" customHeight="1">
      <x:c r="A97" s="21" t="str">
        <x:v>R8</x:v>
      </x:c>
      <x:c r="B97" s="21" t="n">
        <x:v>1</x:v>
      </x:c>
      <x:c r="C97" s="21" t="str">
        <x:v>LLM request</x:v>
      </x:c>
      <x:c r="D97" s="32" t="n">
        <x:v>368</x:v>
      </x:c>
      <x:c r="E97" s="29"/>
      <x:c r="F97" s="29"/>
      <x:c r="G97" s="32"/>
      <x:c r="H97" s="32"/>
      <x:c r="I97" s="26"/>
      <x:c r="J97" s="21" t="str">
        <x:v>scripted-chat</x:v>
      </x:c>
      <x:c r="K97" s="21"/>
      <x:c r="L97" s="32"/>
      <x:c r="M97" s="21" t="str">
        <x:v>01a0c6fd-6dc4-7560-889a-788ee96d682f</x:v>
      </x:c>
    </x:row>
    <x:row r="98" ht="24" customHeight="1">
      <x:c r="A98" s="2" t="str">
        <x:v>R8</x:v>
      </x:c>
      <x:c r="B98" s="2" t="n">
        <x:v>1</x:v>
      </x:c>
      <x:c r="C98" s="22" t="str">
        <x:v>Conversation history · cache read</x:v>
      </x:c>
      <x:c r="D98" s="33" t="n">
        <x:v>0</x:v>
      </x:c>
      <x:c r="E98" s="11" t="n">
        <x:f>IF(AND(ISNUMBER(F98),ISNUMBER('Reference data'!$B$3)),F98*'Reference data'!$B$3,"Unknown")</x:f>
        <x:v>0</x:v>
      </x:c>
      <x:c r="F98" s="11" t="n">
        <x:f>IF(D98=0,0,IF(ISNUMBER('Reference data'!C22),D98*'Reference data'!C22/1000000,"Unknown"))</x:f>
        <x:v>0</x:v>
      </x:c>
      <x:c r="G98" s="33" t="n">
        <x:f>IF(ISNUMBER(E98),ROUND(E98*'Reference data'!$B$2,0),"Unknown")</x:f>
        <x:v>0</x:v>
      </x:c>
      <x:c r="H98" s="33" t="n">
        <x:f>IF(ISNUMBER(F98),ROUND(F98*'Reference data'!$B$2,0),"Unknown")</x:f>
        <x:v>0</x:v>
      </x:c>
      <x:c r="I98" s="14"/>
      <x:c r="J98" s="2"/>
      <x:c r="K98" s="2"/>
      <x:c r="L98" s="33"/>
      <x:c r="M98" s="2"/>
    </x:row>
    <x:row r="99" ht="24" customHeight="1">
      <x:c r="A99" s="2" t="str">
        <x:v>R8</x:v>
      </x:c>
      <x:c r="B99" s="2" t="n">
        <x:v>1</x:v>
      </x:c>
      <x:c r="C99" s="22" t="str">
        <x:v>Fresh input</x:v>
      </x:c>
      <x:c r="D99" s="33" t="n">
        <x:v>368</x:v>
      </x:c>
      <x:c r="E99" s="11" t="n">
        <x:f>IF(AND(ISNUMBER(F99),ISNUMBER('Reference data'!$B$3)),F99*'Reference data'!$B$3,"Unknown")</x:f>
        <x:v>0.00006405555200000001</x:v>
      </x:c>
      <x:c r="F99" s="11" t="n">
        <x:f>IF(D99=0,0,IF(ISNUMBER('Reference data'!B22),D99*'Reference data'!B22/1000000,"Unknown"))</x:f>
        <x:v>0.00007360000000000001</x:v>
      </x:c>
      <x:c r="G99" s="33" t="n">
        <x:f>IF(ISNUMBER(E99),ROUND(E99*'Reference data'!$B$2,0),"Unknown")</x:f>
        <x:v>6</x:v>
      </x:c>
      <x:c r="H99" s="33" t="n">
        <x:f>IF(ISNUMBER(F99),ROUND(F99*'Reference data'!$B$2,0),"Unknown")</x:f>
        <x:v>7</x:v>
      </x:c>
      <x:c r="I99" s="14"/>
      <x:c r="J99" s="2"/>
      <x:c r="K99" s="2"/>
      <x:c r="L99" s="33"/>
      <x:c r="M99" s="2"/>
    </x:row>
    <x:row r="100" ht="24" customHeight="1">
      <x:c r="A100" s="2" t="str">
        <x:v>R8</x:v>
      </x:c>
      <x:c r="B100" s="2" t="n">
        <x:v>1</x:v>
      </x:c>
      <x:c r="C100" s="2" t="str">
        <x:v>    Tool result</x:v>
      </x:c>
      <x:c r="D100" s="33" t="n">
        <x:v>54</x:v>
      </x:c>
      <x:c r="E100" s="11"/>
      <x:c r="F100" s="11"/>
      <x:c r="G100" s="33"/>
      <x:c r="H100" s="33"/>
      <x:c r="I100" s="14" t="str">
        <x:v>tool observations: an agent selects a tool, observes its result, and uses it to answer.</x:v>
      </x:c>
      <x:c r="J100" s="2"/>
      <x:c r="K100" s="2"/>
      <x:c r="L100" s="33"/>
      <x:c r="M100" s="2"/>
    </x:row>
    <x:row r="101" ht="24" customHeight="1">
      <x:c r="A101" s="2" t="str">
        <x:v>R8</x:v>
      </x:c>
      <x:c r="B101" s="2" t="n">
        <x:v>1</x:v>
      </x:c>
      <x:c r="C101" s="2" t="str">
        <x:v>Cache write</x:v>
      </x:c>
      <x:c r="D101" s="33" t="n">
        <x:v>368</x:v>
      </x:c>
      <x:c r="E101" s="11"/>
      <x:c r="F101" s="11"/>
      <x:c r="G101" s="33"/>
      <x:c r="H101" s="33"/>
      <x:c r="I101" s="14"/>
      <x:c r="J101" s="2"/>
      <x:c r="K101" s="2"/>
      <x:c r="L101" s="33"/>
      <x:c r="M101" s="2"/>
    </x:row>
    <x:row r="102" ht="24" customHeight="1">
      <x:c r="A102" s="2" t="str">
        <x:v>R8</x:v>
      </x:c>
      <x:c r="B102" s="2" t="n">
        <x:v>1</x:v>
      </x:c>
      <x:c r="C102" s="2" t="str">
        <x:v>Context · added / total</x:v>
      </x:c>
      <x:c r="D102" s="33" t="n">
        <x:v>368</x:v>
      </x:c>
      <x:c r="E102" s="11"/>
      <x:c r="F102" s="11"/>
      <x:c r="G102" s="33"/>
      <x:c r="H102" s="33"/>
      <x:c r="I102" s="14"/>
      <x:c r="J102" s="2"/>
      <x:c r="K102" s="2"/>
      <x:c r="L102" s="33" t="n">
        <x:v>368</x:v>
      </x:c>
      <x:c r="M102" s="2"/>
    </x:row>
    <x:row r="103" ht="24" customHeight="1">
      <x:c r="A103" s="21" t="str">
        <x:v>R8</x:v>
      </x:c>
      <x:c r="B103" s="21" t="n">
        <x:v>1</x:v>
      </x:c>
      <x:c r="C103" s="21" t="str">
        <x:v>LLM response</x:v>
      </x:c>
      <x:c r="D103" s="32" t="n">
        <x:v>45</x:v>
      </x:c>
      <x:c r="E103" s="29"/>
      <x:c r="F103" s="29"/>
      <x:c r="G103" s="32"/>
      <x:c r="H103" s="32"/>
      <x:c r="I103" s="26"/>
      <x:c r="J103" s="21"/>
      <x:c r="K103" s="21"/>
      <x:c r="L103" s="32"/>
      <x:c r="M103" s="21"/>
    </x:row>
    <x:row r="104" ht="24" customHeight="1">
      <x:c r="A104" s="2" t="str">
        <x:v>R8</x:v>
      </x:c>
      <x:c r="B104" s="2" t="n">
        <x:v>1</x:v>
      </x:c>
      <x:c r="C104" s="22" t="str">
        <x:v>Output</x:v>
      </x:c>
      <x:c r="D104" s="33" t="n">
        <x:v>45</x:v>
      </x:c>
      <x:c r="E104" s="11" t="n">
        <x:f>IF(AND(ISNUMBER(F104),ISNUMBER('Reference data'!$B$3)),F104*'Reference data'!$B$3,"Unknown")</x:f>
        <x:v>0.00004699728</x:v>
      </x:c>
      <x:c r="F104" s="11" t="n">
        <x:f>IF(D104=0,0,IF(ISNUMBER('Reference data'!E22),D104*'Reference data'!E22/1000000,"Unknown"))</x:f>
        <x:v>0.000054</x:v>
      </x:c>
      <x:c r="G104" s="33" t="n">
        <x:f>IF(ISNUMBER(E104),ROUND(E104*'Reference data'!$B$2,0),"Unknown")</x:f>
        <x:v>5</x:v>
      </x:c>
      <x:c r="H104" s="33" t="n">
        <x:f>IF(ISNUMBER(F104),ROUND(F104*'Reference data'!$B$2,0),"Unknown")</x:f>
        <x:v>5</x:v>
      </x:c>
      <x:c r="I104" s="14"/>
      <x:c r="J104" s="2"/>
      <x:c r="K104" s="2"/>
      <x:c r="L104" s="33"/>
      <x:c r="M104" s="2"/>
    </x:row>
    <x:row r="105" ht="24" customHeight="1">
      <x:c r="A105" s="2" t="str">
        <x:v>R8</x:v>
      </x:c>
      <x:c r="B105" s="2" t="n">
        <x:v>1</x:v>
      </x:c>
      <x:c r="C105" s="2" t="str">
        <x:v>    Output content</x:v>
      </x:c>
      <x:c r="D105" s="33"/>
      <x:c r="E105" s="11"/>
      <x:c r="F105" s="11"/>
      <x:c r="G105" s="33"/>
      <x:c r="H105" s="33"/>
      <x:c r="I105" s="14" t="str">
        <x:v>An agent selects a tool, observes its result, and uses it to answer.</x:v>
      </x:c>
      <x:c r="J105" s="2"/>
      <x:c r="K105" s="2"/>
      <x:c r="L105" s="33"/>
      <x:c r="M105" s="2"/>
    </x:row>
    <x:row r="106" ht="24" customHeight="1">
      <x:c r="A106" s="2" t="str">
        <x:v>R8</x:v>
      </x:c>
      <x:c r="B106" s="2" t="n">
        <x:v>1</x:v>
      </x:c>
      <x:c r="C106" s="2" t="str">
        <x:v>Cache write</x:v>
      </x:c>
      <x:c r="D106" s="33" t="n">
        <x:v>45</x:v>
      </x:c>
      <x:c r="E106" s="11"/>
      <x:c r="F106" s="11"/>
      <x:c r="G106" s="33"/>
      <x:c r="H106" s="33"/>
      <x:c r="I106" s="14"/>
      <x:c r="J106" s="2"/>
      <x:c r="K106" s="2"/>
      <x:c r="L106" s="33"/>
      <x:c r="M106" s="2"/>
    </x:row>
    <x:row r="107" ht="24" customHeight="1">
      <x:c r="A107" s="2" t="str">
        <x:v>R8</x:v>
      </x:c>
      <x:c r="B107" s="2" t="n">
        <x:v>1</x:v>
      </x:c>
      <x:c r="C107" s="2" t="str">
        <x:v>Context · added / total</x:v>
      </x:c>
      <x:c r="D107" s="33" t="n">
        <x:v>45</x:v>
      </x:c>
      <x:c r="E107" s="11"/>
      <x:c r="F107" s="11"/>
      <x:c r="G107" s="33"/>
      <x:c r="H107" s="33"/>
      <x:c r="I107" s="14"/>
      <x:c r="J107" s="2"/>
      <x:c r="K107" s="2"/>
      <x:c r="L107" s="33" t="n">
        <x:v>413</x:v>
      </x:c>
      <x:c r="M107" s="2"/>
    </x:row>
    <x:row r="108" ht="24" customHeight="1">
      <x:c r="A108" s="21" t="str">
        <x:v>R8</x:v>
      </x:c>
      <x:c r="B108" s="21" t="n">
        <x:v>1</x:v>
      </x:c>
      <x:c r="C108" s="21" t="str">
        <x:v>Call total</x:v>
      </x:c>
      <x:c r="D108" s="32"/>
      <x:c r="E108" s="29" t="n">
        <x:f>IF(COUNT(E98,E99,E104)=3,SUM(E98,E99,E104),"Unknown")</x:f>
        <x:v>0.000111052832</x:v>
      </x:c>
      <x:c r="F108" s="29" t="n">
        <x:f>IF(COUNT(F98,F99,F104)=3,SUM(F98,F99,F104),"Unknown")</x:f>
        <x:v>0.0001276</x:v>
      </x:c>
      <x:c r="G108" s="32" t="n">
        <x:f>IF(ISNUMBER(E108),ROUND(E108*'Reference data'!$B$2,0),"Unknown")</x:f>
        <x:v>11</x:v>
      </x:c>
      <x:c r="H108" s="32" t="n">
        <x:f>IF(ISNUMBER(F108),ROUND(F108*'Reference data'!$B$2,0),"Unknown")</x:f>
        <x:v>13</x:v>
      </x:c>
      <x:c r="I108" s="26"/>
      <x:c r="J108" s="21"/>
      <x:c r="K108" s="21" t="str">
        <x:v>ok</x:v>
      </x:c>
      <x:c r="L108" s="32"/>
      <x:c r="M108" s="21"/>
    </x:row>
    <x:row r="109" ht="24" customHeight="1">
      <x:c r="A109" s="21" t="str">
        <x:v>R9</x:v>
      </x:c>
      <x:c r="B109" s="21" t="n">
        <x:v>1</x:v>
      </x:c>
      <x:c r="C109" s="21" t="str">
        <x:v>LLM request</x:v>
      </x:c>
      <x:c r="D109" s="32" t="n">
        <x:v>723</x:v>
      </x:c>
      <x:c r="E109" s="29"/>
      <x:c r="F109" s="29"/>
      <x:c r="G109" s="32"/>
      <x:c r="H109" s="32"/>
      <x:c r="I109" s="26"/>
      <x:c r="J109" s="21" t="str">
        <x:v>scripted-chat</x:v>
      </x:c>
      <x:c r="K109" s="21"/>
      <x:c r="L109" s="32"/>
      <x:c r="M109" s="21" t="str">
        <x:v>01a0c6fd-6dca-7c93-89f6-dae2f49d52d5</x:v>
      </x:c>
    </x:row>
    <x:row r="110" ht="24" customHeight="1">
      <x:c r="A110" s="2" t="str">
        <x:v>R9</x:v>
      </x:c>
      <x:c r="B110" s="2" t="n">
        <x:v>1</x:v>
      </x:c>
      <x:c r="C110" s="22" t="str">
        <x:v>Conversation history · cache read</x:v>
      </x:c>
      <x:c r="D110" s="33" t="n">
        <x:v>0</x:v>
      </x:c>
      <x:c r="E110" s="11" t="n">
        <x:f>IF(AND(ISNUMBER(F110),ISNUMBER('Reference data'!$B$3)),F110*'Reference data'!$B$3,"Unknown")</x:f>
        <x:v>0</x:v>
      </x:c>
      <x:c r="F110" s="11" t="n">
        <x:f>IF(D110=0,0,IF(ISNUMBER('Reference data'!C22),D110*'Reference data'!C22/1000000,"Unknown"))</x:f>
        <x:v>0</x:v>
      </x:c>
      <x:c r="G110" s="33" t="n">
        <x:f>IF(ISNUMBER(E110),ROUND(E110*'Reference data'!$B$2,0),"Unknown")</x:f>
        <x:v>0</x:v>
      </x:c>
      <x:c r="H110" s="33" t="n">
        <x:f>IF(ISNUMBER(F110),ROUND(F110*'Reference data'!$B$2,0),"Unknown")</x:f>
        <x:v>0</x:v>
      </x:c>
      <x:c r="I110" s="14"/>
      <x:c r="J110" s="2"/>
      <x:c r="K110" s="2"/>
      <x:c r="L110" s="33"/>
      <x:c r="M110" s="2"/>
    </x:row>
    <x:row r="111" ht="24" customHeight="1">
      <x:c r="A111" s="2" t="str">
        <x:v>R9</x:v>
      </x:c>
      <x:c r="B111" s="2" t="n">
        <x:v>1</x:v>
      </x:c>
      <x:c r="C111" s="22" t="str">
        <x:v>Fresh input</x:v>
      </x:c>
      <x:c r="D111" s="33" t="n">
        <x:v>723</x:v>
      </x:c>
      <x:c r="E111" s="11" t="n">
        <x:f>IF(AND(ISNUMBER(F111),ISNUMBER('Reference data'!$B$3)),F111*'Reference data'!$B$3,"Unknown")</x:f>
        <x:v>0.000125848272</x:v>
      </x:c>
      <x:c r="F111" s="11" t="n">
        <x:f>IF(D111=0,0,IF(ISNUMBER('Reference data'!B22),D111*'Reference data'!B22/1000000,"Unknown"))</x:f>
        <x:v>0.0001446</x:v>
      </x:c>
      <x:c r="G111" s="33" t="n">
        <x:f>IF(ISNUMBER(E111),ROUND(E111*'Reference data'!$B$2,0),"Unknown")</x:f>
        <x:v>13</x:v>
      </x:c>
      <x:c r="H111" s="33" t="n">
        <x:f>IF(ISNUMBER(F111),ROUND(F111*'Reference data'!$B$2,0),"Unknown")</x:f>
        <x:v>14</x:v>
      </x:c>
      <x:c r="I111" s="14"/>
      <x:c r="J111" s="2"/>
      <x:c r="K111" s="2"/>
      <x:c r="L111" s="33"/>
      <x:c r="M111" s="2"/>
    </x:row>
    <x:row r="112" ht="24" customHeight="1">
      <x:c r="A112" s="2" t="str">
        <x:v>R9</x:v>
      </x:c>
      <x:c r="B112" s="2" t="n">
        <x:v>1</x:v>
      </x:c>
      <x:c r="C112" s="2" t="str">
        <x:v>    Tool result</x:v>
      </x:c>
      <x:c r="D112" s="33" t="n">
        <x:v>49</x:v>
      </x:c>
      <x:c r="E112" s="11"/>
      <x:c r="F112" s="11"/>
      <x:c r="G112" s="33"/>
      <x:c r="H112" s="33"/>
      <x:c r="I112" s="14" t="str">
        <x:v>An agent selects a tool, observes its result, and uses it to answer.</x:v>
      </x:c>
      <x:c r="J112" s="2"/>
      <x:c r="K112" s="2"/>
      <x:c r="L112" s="33"/>
      <x:c r="M112" s="2"/>
    </x:row>
    <x:row r="113" ht="24" customHeight="1">
      <x:c r="A113" s="2" t="str">
        <x:v>R9</x:v>
      </x:c>
      <x:c r="B113" s="2" t="n">
        <x:v>1</x:v>
      </x:c>
      <x:c r="C113" s="2" t="str">
        <x:v>Cache write</x:v>
      </x:c>
      <x:c r="D113" s="33" t="n">
        <x:v>723</x:v>
      </x:c>
      <x:c r="E113" s="11"/>
      <x:c r="F113" s="11"/>
      <x:c r="G113" s="33"/>
      <x:c r="H113" s="33"/>
      <x:c r="I113" s="14"/>
      <x:c r="J113" s="2"/>
      <x:c r="K113" s="2"/>
      <x:c r="L113" s="33"/>
      <x:c r="M113" s="2"/>
    </x:row>
    <x:row r="114" ht="24" customHeight="1">
      <x:c r="A114" s="2" t="str">
        <x:v>R9</x:v>
      </x:c>
      <x:c r="B114" s="2" t="n">
        <x:v>1</x:v>
      </x:c>
      <x:c r="C114" s="2" t="str">
        <x:v>Context · added / total</x:v>
      </x:c>
      <x:c r="D114" s="33" t="n">
        <x:v>723</x:v>
      </x:c>
      <x:c r="E114" s="11"/>
      <x:c r="F114" s="11"/>
      <x:c r="G114" s="33"/>
      <x:c r="H114" s="33"/>
      <x:c r="I114" s="14"/>
      <x:c r="J114" s="2"/>
      <x:c r="K114" s="2"/>
      <x:c r="L114" s="33" t="n">
        <x:v>723</x:v>
      </x:c>
      <x:c r="M114" s="2"/>
    </x:row>
    <x:row r="115" ht="24" customHeight="1">
      <x:c r="A115" s="21" t="str">
        <x:v>R9</x:v>
      </x:c>
      <x:c r="B115" s="21" t="n">
        <x:v>1</x:v>
      </x:c>
      <x:c r="C115" s="21" t="str">
        <x:v>LLM response</x:v>
      </x:c>
      <x:c r="D115" s="32" t="n">
        <x:v>42</x:v>
      </x:c>
      <x:c r="E115" s="29"/>
      <x:c r="F115" s="29"/>
      <x:c r="G115" s="32"/>
      <x:c r="H115" s="32"/>
      <x:c r="I115" s="26"/>
      <x:c r="J115" s="21"/>
      <x:c r="K115" s="21"/>
      <x:c r="L115" s="32"/>
      <x:c r="M115" s="21"/>
    </x:row>
    <x:row r="116" ht="24" customHeight="1">
      <x:c r="A116" s="2" t="str">
        <x:v>R9</x:v>
      </x:c>
      <x:c r="B116" s="2" t="n">
        <x:v>1</x:v>
      </x:c>
      <x:c r="C116" s="22" t="str">
        <x:v>Output</x:v>
      </x:c>
      <x:c r="D116" s="33" t="n">
        <x:v>42</x:v>
      </x:c>
      <x:c r="E116" s="11" t="n">
        <x:f>IF(AND(ISNUMBER(F116),ISNUMBER('Reference data'!$B$3)),F116*'Reference data'!$B$3,"Unknown")</x:f>
        <x:v>0.000043864127999999996</x:v>
      </x:c>
      <x:c r="F116" s="11" t="n">
        <x:f>IF(D116=0,0,IF(ISNUMBER('Reference data'!E22),D116*'Reference data'!E22/1000000,"Unknown"))</x:f>
        <x:v>0.0000504</x:v>
      </x:c>
      <x:c r="G116" s="33" t="n">
        <x:f>IF(ISNUMBER(E116),ROUND(E116*'Reference data'!$B$2,0),"Unknown")</x:f>
        <x:v>4</x:v>
      </x:c>
      <x:c r="H116" s="33" t="n">
        <x:f>IF(ISNUMBER(F116),ROUND(F116*'Reference data'!$B$2,0),"Unknown")</x:f>
        <x:v>5</x:v>
      </x:c>
      <x:c r="I116" s="14"/>
      <x:c r="J116" s="2"/>
      <x:c r="K116" s="2"/>
      <x:c r="L116" s="33"/>
      <x:c r="M116" s="2"/>
    </x:row>
    <x:row r="117" ht="24" customHeight="1">
      <x:c r="A117" s="2" t="str">
        <x:v>R9</x:v>
      </x:c>
      <x:c r="B117" s="2" t="n">
        <x:v>1</x:v>
      </x:c>
      <x:c r="C117" s="2" t="str">
        <x:v>    Output content</x:v>
      </x:c>
      <x:c r="D117" s="33"/>
      <x:c r="E117" s="11"/>
      <x:c r="F117" s="11"/>
      <x:c r="G117" s="33"/>
      <x:c r="H117" s="33"/>
      <x:c r="I117" s="14" t="str">
        <x:v>Le spécialiste reçoit une mission autonome et renvoie sa réponse au parent.</x:v>
      </x:c>
      <x:c r="J117" s="2"/>
      <x:c r="K117" s="2"/>
      <x:c r="L117" s="33"/>
      <x:c r="M117" s="2"/>
    </x:row>
    <x:row r="118" ht="24" customHeight="1">
      <x:c r="A118" s="2" t="str">
        <x:v>R9</x:v>
      </x:c>
      <x:c r="B118" s="2" t="n">
        <x:v>1</x:v>
      </x:c>
      <x:c r="C118" s="2" t="str">
        <x:v>Cache write</x:v>
      </x:c>
      <x:c r="D118" s="33" t="n">
        <x:v>42</x:v>
      </x:c>
      <x:c r="E118" s="11"/>
      <x:c r="F118" s="11"/>
      <x:c r="G118" s="33"/>
      <x:c r="H118" s="33"/>
      <x:c r="I118" s="14"/>
      <x:c r="J118" s="2"/>
      <x:c r="K118" s="2"/>
      <x:c r="L118" s="33"/>
      <x:c r="M118" s="2"/>
    </x:row>
    <x:row r="119" ht="24" customHeight="1">
      <x:c r="A119" s="2" t="str">
        <x:v>R9</x:v>
      </x:c>
      <x:c r="B119" s="2" t="n">
        <x:v>1</x:v>
      </x:c>
      <x:c r="C119" s="2" t="str">
        <x:v>Context · added / total</x:v>
      </x:c>
      <x:c r="D119" s="33" t="n">
        <x:v>42</x:v>
      </x:c>
      <x:c r="E119" s="11"/>
      <x:c r="F119" s="11"/>
      <x:c r="G119" s="33"/>
      <x:c r="H119" s="33"/>
      <x:c r="I119" s="14"/>
      <x:c r="J119" s="2"/>
      <x:c r="K119" s="2"/>
      <x:c r="L119" s="33" t="n">
        <x:v>765</x:v>
      </x:c>
      <x:c r="M119" s="2"/>
    </x:row>
    <x:row r="120" ht="24" customHeight="1">
      <x:c r="A120" s="21" t="str">
        <x:v>R9</x:v>
      </x:c>
      <x:c r="B120" s="21" t="n">
        <x:v>1</x:v>
      </x:c>
      <x:c r="C120" s="21" t="str">
        <x:v>Call total</x:v>
      </x:c>
      <x:c r="D120" s="32"/>
      <x:c r="E120" s="29" t="n">
        <x:f>IF(COUNT(E110,E111,E116)=3,SUM(E110,E111,E116),"Unknown")</x:f>
        <x:v>0.00016971239999999998</x:v>
      </x:c>
      <x:c r="F120" s="29" t="n">
        <x:f>IF(COUNT(F110,F111,F116)=3,SUM(F110,F111,F116),"Unknown")</x:f>
        <x:v>0.000195</x:v>
      </x:c>
      <x:c r="G120" s="32" t="n">
        <x:f>IF(ISNUMBER(E120),ROUND(E120*'Reference data'!$B$2,0),"Unknown")</x:f>
        <x:v>17</x:v>
      </x:c>
      <x:c r="H120" s="32" t="n">
        <x:f>IF(ISNUMBER(F120),ROUND(F120*'Reference data'!$B$2,0),"Unknown")</x:f>
        <x:v>20</x:v>
      </x:c>
      <x:c r="I120" s="26"/>
      <x:c r="J120" s="21"/>
      <x:c r="K120" s="21" t="str">
        <x:v>ok</x:v>
      </x:c>
      <x:c r="L120" s="32"/>
      <x:c r="M120" s="21"/>
    </x:row>
    <x:row r="121" ht="24" customHeight="1">
      <x:c r="A121" s="19"/>
      <x:c r="B121" s="19" t="n">
        <x:v>2</x:v>
      </x:c>
      <x:c r="C121" s="19" t="str">
        <x:v>Turn 2</x:v>
      </x:c>
      <x:c r="D121" s="31"/>
      <x:c r="E121" s="28" t="n">
        <x:f>IF(COUNT(E134,E145,E159,E173,E185,E199,E211,E223)=8,SUM(E134,E145,E159,E173,E185,E199,E211,E223),"Unknown")</x:f>
        <x:v>0.001503738896</x:v>
      </x:c>
      <x:c r="F121" s="28" t="n">
        <x:f>IF(COUNT(F134,F145,F159,F173,F185,F199,F211,F223)=8,SUM(F134,F145,F159,F173,F185,F199,F211,F223),"Unknown")</x:f>
        <x:v>0.0017278000000000003</x:v>
      </x:c>
      <x:c r="G121" s="31" t="n">
        <x:f>IF(ISNUMBER(E121),ROUND(E121*'Reference data'!$B$2,0),"Unknown")</x:f>
        <x:v>150</x:v>
      </x:c>
      <x:c r="H121" s="31" t="n">
        <x:f>IF(ISNUMBER(F121),ROUND(F121*'Reference data'!$B$2,0),"Unknown")</x:f>
        <x:v>173</x:v>
      </x:c>
      <x:c r="I121" s="25"/>
      <x:c r="J121" s="19"/>
      <x:c r="K121" s="19"/>
      <x:c r="L121" s="31"/>
      <x:c r="M121" s="19"/>
    </x:row>
    <x:row r="122" ht="24" customHeight="1">
      <x:c r="A122" s="21" t="str">
        <x:v>R10</x:v>
      </x:c>
      <x:c r="B122" s="21" t="n">
        <x:v>2</x:v>
      </x:c>
      <x:c r="C122" s="21" t="str">
        <x:v>LLM request</x:v>
      </x:c>
      <x:c r="D122" s="32" t="n">
        <x:v>389</x:v>
      </x:c>
      <x:c r="E122" s="29"/>
      <x:c r="F122" s="29"/>
      <x:c r="G122" s="32"/>
      <x:c r="H122" s="32"/>
      <x:c r="I122" s="26"/>
      <x:c r="J122" s="21" t="str">
        <x:v>scripted-chat</x:v>
      </x:c>
      <x:c r="K122" s="21"/>
      <x:c r="L122" s="32"/>
      <x:c r="M122" s="21" t="str">
        <x:v>01a0c6fd-6de3-7d30-853a-7225958e8a59</x:v>
      </x:c>
    </x:row>
    <x:row r="123" ht="24" customHeight="1">
      <x:c r="A123" s="2" t="str">
        <x:v>R10</x:v>
      </x:c>
      <x:c r="B123" s="2" t="n">
        <x:v>2</x:v>
      </x:c>
      <x:c r="C123" s="22" t="str">
        <x:v>Conversation history · cache read</x:v>
      </x:c>
      <x:c r="D123" s="33" t="n">
        <x:v>0</x:v>
      </x:c>
      <x:c r="E123" s="11" t="n">
        <x:f>IF(AND(ISNUMBER(F123),ISNUMBER('Reference data'!$B$3)),F123*'Reference data'!$B$3,"Unknown")</x:f>
        <x:v>0</x:v>
      </x:c>
      <x:c r="F123" s="11" t="n">
        <x:f>IF(D123=0,0,IF(ISNUMBER('Reference data'!C22),D123*'Reference data'!C22/1000000,"Unknown"))</x:f>
        <x:v>0</x:v>
      </x:c>
      <x:c r="G123" s="33" t="n">
        <x:f>IF(ISNUMBER(E123),ROUND(E123*'Reference data'!$B$2,0),"Unknown")</x:f>
        <x:v>0</x:v>
      </x:c>
      <x:c r="H123" s="33" t="n">
        <x:f>IF(ISNUMBER(F123),ROUND(F123*'Reference data'!$B$2,0),"Unknown")</x:f>
        <x:v>0</x:v>
      </x:c>
      <x:c r="I123" s="14"/>
      <x:c r="J123" s="2"/>
      <x:c r="K123" s="2"/>
      <x:c r="L123" s="33"/>
      <x:c r="M123" s="2"/>
    </x:row>
    <x:row r="124" ht="24" customHeight="1">
      <x:c r="A124" s="2" t="str">
        <x:v>R10</x:v>
      </x:c>
      <x:c r="B124" s="2" t="n">
        <x:v>2</x:v>
      </x:c>
      <x:c r="C124" s="22" t="str">
        <x:v>Fresh input</x:v>
      </x:c>
      <x:c r="D124" s="33" t="n">
        <x:v>389</x:v>
      </x:c>
      <x:c r="E124" s="11" t="n">
        <x:f>IF(AND(ISNUMBER(F124),ISNUMBER('Reference data'!$B$3)),F124*'Reference data'!$B$3,"Unknown")</x:f>
        <x:v>0.00006771089600000001</x:v>
      </x:c>
      <x:c r="F124" s="11" t="n">
        <x:f>IF(D124=0,0,IF(ISNUMBER('Reference data'!B22),D124*'Reference data'!B22/1000000,"Unknown"))</x:f>
        <x:v>0.00007780000000000001</x:v>
      </x:c>
      <x:c r="G124" s="33" t="n">
        <x:f>IF(ISNUMBER(E124),ROUND(E124*'Reference data'!$B$2,0),"Unknown")</x:f>
        <x:v>7</x:v>
      </x:c>
      <x:c r="H124" s="33" t="n">
        <x:f>IF(ISNUMBER(F124),ROUND(F124*'Reference data'!$B$2,0),"Unknown")</x:f>
        <x:v>8</x:v>
      </x:c>
      <x:c r="I124" s="14"/>
      <x:c r="J124" s="2"/>
      <x:c r="K124" s="2"/>
      <x:c r="L124" s="33"/>
      <x:c r="M124" s="2"/>
    </x:row>
    <x:row r="125" ht="24" customHeight="1">
      <x:c r="A125" s="2" t="str">
        <x:v>R10</x:v>
      </x:c>
      <x:c r="B125" s="2" t="n">
        <x:v>2</x:v>
      </x:c>
      <x:c r="C125" s="2" t="str">
        <x:v>    User prompt</x:v>
      </x:c>
      <x:c r="D125" s="33" t="n">
        <x:v>43</x:v>
      </x:c>
      <x:c r="E125" s="11"/>
      <x:c r="F125" s="11"/>
      <x:c r="G125" s="33"/>
      <x:c r="H125" s="33"/>
      <x:c r="I125" s="14" t="str">
        <x:v>Now explain how the specialist's tool observations return to its parent.</x:v>
      </x:c>
      <x:c r="J125" s="2"/>
      <x:c r="K125" s="2"/>
      <x:c r="L125" s="33"/>
      <x:c r="M125" s="2"/>
    </x:row>
    <x:row r="126" ht="24" customHeight="1">
      <x:c r="A126" s="2" t="str">
        <x:v>R10</x:v>
      </x:c>
      <x:c r="B126" s="2" t="n">
        <x:v>2</x:v>
      </x:c>
      <x:c r="C126" s="2" t="str">
        <x:v>    Tool result</x:v>
      </x:c>
      <x:c r="D126" s="33" t="n">
        <x:v>49</x:v>
      </x:c>
      <x:c r="E126" s="11"/>
      <x:c r="F126" s="11"/>
      <x:c r="G126" s="33"/>
      <x:c r="H126" s="33"/>
      <x:c r="I126" s="14" t="str">
        <x:v>An agent selects a tool, observes its result, and uses it to answer.</x:v>
      </x:c>
      <x:c r="J126" s="2"/>
      <x:c r="K126" s="2"/>
      <x:c r="L126" s="33"/>
      <x:c r="M126" s="2"/>
    </x:row>
    <x:row r="127" ht="24" customHeight="1">
      <x:c r="A127" s="2" t="str">
        <x:v>R10</x:v>
      </x:c>
      <x:c r="B127" s="2" t="n">
        <x:v>2</x:v>
      </x:c>
      <x:c r="C127" s="2" t="str">
        <x:v>Cache write</x:v>
      </x:c>
      <x:c r="D127" s="33" t="n">
        <x:v>389</x:v>
      </x:c>
      <x:c r="E127" s="11"/>
      <x:c r="F127" s="11"/>
      <x:c r="G127" s="33"/>
      <x:c r="H127" s="33"/>
      <x:c r="I127" s="14"/>
      <x:c r="J127" s="2"/>
      <x:c r="K127" s="2"/>
      <x:c r="L127" s="33"/>
      <x:c r="M127" s="2"/>
    </x:row>
    <x:row r="128" ht="24" customHeight="1">
      <x:c r="A128" s="2" t="str">
        <x:v>R10</x:v>
      </x:c>
      <x:c r="B128" s="2" t="n">
        <x:v>2</x:v>
      </x:c>
      <x:c r="C128" s="2" t="str">
        <x:v>Context · added / total</x:v>
      </x:c>
      <x:c r="D128" s="33" t="n">
        <x:v>389</x:v>
      </x:c>
      <x:c r="E128" s="11"/>
      <x:c r="F128" s="11"/>
      <x:c r="G128" s="33"/>
      <x:c r="H128" s="33"/>
      <x:c r="I128" s="14"/>
      <x:c r="J128" s="2"/>
      <x:c r="K128" s="2"/>
      <x:c r="L128" s="33" t="n">
        <x:v>389</x:v>
      </x:c>
      <x:c r="M128" s="2"/>
    </x:row>
    <x:row r="129" ht="24" customHeight="1">
      <x:c r="A129" s="21" t="str">
        <x:v>R10</x:v>
      </x:c>
      <x:c r="B129" s="21" t="n">
        <x:v>2</x:v>
      </x:c>
      <x:c r="C129" s="21" t="str">
        <x:v>LLM response</x:v>
      </x:c>
      <x:c r="D129" s="32" t="n">
        <x:v>42</x:v>
      </x:c>
      <x:c r="E129" s="29"/>
      <x:c r="F129" s="29"/>
      <x:c r="G129" s="32"/>
      <x:c r="H129" s="32"/>
      <x:c r="I129" s="26"/>
      <x:c r="J129" s="21"/>
      <x:c r="K129" s="21"/>
      <x:c r="L129" s="32"/>
      <x:c r="M129" s="21"/>
    </x:row>
    <x:row r="130" ht="24" customHeight="1">
      <x:c r="A130" s="2" t="str">
        <x:v>R10</x:v>
      </x:c>
      <x:c r="B130" s="2" t="n">
        <x:v>2</x:v>
      </x:c>
      <x:c r="C130" s="22" t="str">
        <x:v>Output</x:v>
      </x:c>
      <x:c r="D130" s="33" t="n">
        <x:v>42</x:v>
      </x:c>
      <x:c r="E130" s="11" t="n">
        <x:f>IF(AND(ISNUMBER(F130),ISNUMBER('Reference data'!$B$3)),F130*'Reference data'!$B$3,"Unknown")</x:f>
        <x:v>0.000043864127999999996</x:v>
      </x:c>
      <x:c r="F130" s="11" t="n">
        <x:f>IF(D130=0,0,IF(ISNUMBER('Reference data'!E22),D130*'Reference data'!E22/1000000,"Unknown"))</x:f>
        <x:v>0.0000504</x:v>
      </x:c>
      <x:c r="G130" s="33" t="n">
        <x:f>IF(ISNUMBER(E130),ROUND(E130*'Reference data'!$B$2,0),"Unknown")</x:f>
        <x:v>4</x:v>
      </x:c>
      <x:c r="H130" s="33" t="n">
        <x:f>IF(ISNUMBER(F130),ROUND(F130*'Reference data'!$B$2,0),"Unknown")</x:f>
        <x:v>5</x:v>
      </x:c>
      <x:c r="I130" s="14"/>
      <x:c r="J130" s="2"/>
      <x:c r="K130" s="2"/>
      <x:c r="L130" s="33"/>
      <x:c r="M130" s="2"/>
    </x:row>
    <x:row r="131" ht="34" customHeight="1">
      <x:c r="A131" s="2" t="str">
        <x:v>R10</x:v>
      </x:c>
      <x:c r="B131" s="2" t="n">
        <x:v>2</x:v>
      </x:c>
      <x:c r="C131" s="2" t="str">
        <x:v>    Output content</x:v>
      </x:c>
      <x:c r="D131" s="33"/>
      <x:c r="E131" s="11"/>
      <x:c r="F131" s="11"/>
      <x:c r="G131" s="33"/>
      <x:c r="H131" s="33"/>
      <x:c r="I131" s="14" t="str">
        <x:v>Preserve the French language requirement; obtain workflow evidence and explain delegation.</x:v>
      </x:c>
      <x:c r="J131" s="2"/>
      <x:c r="K131" s="2"/>
      <x:c r="L131" s="33"/>
      <x:c r="M131" s="2"/>
    </x:row>
    <x:row r="132" ht="24" customHeight="1">
      <x:c r="A132" s="2" t="str">
        <x:v>R10</x:v>
      </x:c>
      <x:c r="B132" s="2" t="n">
        <x:v>2</x:v>
      </x:c>
      <x:c r="C132" s="2" t="str">
        <x:v>Cache write</x:v>
      </x:c>
      <x:c r="D132" s="33" t="n">
        <x:v>42</x:v>
      </x:c>
      <x:c r="E132" s="11"/>
      <x:c r="F132" s="11"/>
      <x:c r="G132" s="33"/>
      <x:c r="H132" s="33"/>
      <x:c r="I132" s="14"/>
      <x:c r="J132" s="2"/>
      <x:c r="K132" s="2"/>
      <x:c r="L132" s="33"/>
      <x:c r="M132" s="2"/>
    </x:row>
    <x:row r="133" ht="24" customHeight="1">
      <x:c r="A133" s="2" t="str">
        <x:v>R10</x:v>
      </x:c>
      <x:c r="B133" s="2" t="n">
        <x:v>2</x:v>
      </x:c>
      <x:c r="C133" s="2" t="str">
        <x:v>Context · added / total</x:v>
      </x:c>
      <x:c r="D133" s="33" t="n">
        <x:v>42</x:v>
      </x:c>
      <x:c r="E133" s="11"/>
      <x:c r="F133" s="11"/>
      <x:c r="G133" s="33"/>
      <x:c r="H133" s="33"/>
      <x:c r="I133" s="14"/>
      <x:c r="J133" s="2"/>
      <x:c r="K133" s="2"/>
      <x:c r="L133" s="33" t="n">
        <x:v>431</x:v>
      </x:c>
      <x:c r="M133" s="2"/>
    </x:row>
    <x:row r="134" ht="24" customHeight="1">
      <x:c r="A134" s="21" t="str">
        <x:v>R10</x:v>
      </x:c>
      <x:c r="B134" s="21" t="n">
        <x:v>2</x:v>
      </x:c>
      <x:c r="C134" s="21" t="str">
        <x:v>Call total</x:v>
      </x:c>
      <x:c r="D134" s="32"/>
      <x:c r="E134" s="29" t="n">
        <x:f>IF(COUNT(E123,E124,E130)=3,SUM(E123,E124,E130),"Unknown")</x:f>
        <x:v>0.000111575024</x:v>
      </x:c>
      <x:c r="F134" s="29" t="n">
        <x:f>IF(COUNT(F123,F124,F130)=3,SUM(F123,F124,F130),"Unknown")</x:f>
        <x:v>0.0001282</x:v>
      </x:c>
      <x:c r="G134" s="32" t="n">
        <x:f>IF(ISNUMBER(E134),ROUND(E134*'Reference data'!$B$2,0),"Unknown")</x:f>
        <x:v>11</x:v>
      </x:c>
      <x:c r="H134" s="32" t="n">
        <x:f>IF(ISNUMBER(F134),ROUND(F134*'Reference data'!$B$2,0),"Unknown")</x:f>
        <x:v>13</x:v>
      </x:c>
      <x:c r="I134" s="26"/>
      <x:c r="J134" s="21"/>
      <x:c r="K134" s="21" t="str">
        <x:v>ok</x:v>
      </x:c>
      <x:c r="L134" s="32"/>
      <x:c r="M134" s="21"/>
    </x:row>
    <x:row r="135" ht="24" customHeight="1">
      <x:c r="A135" s="21" t="str">
        <x:v>R11</x:v>
      </x:c>
      <x:c r="B135" s="21" t="n">
        <x:v>2</x:v>
      </x:c>
      <x:c r="C135" s="21" t="str">
        <x:v>LLM request</x:v>
      </x:c>
      <x:c r="D135" s="32" t="n">
        <x:v>850</x:v>
      </x:c>
      <x:c r="E135" s="29"/>
      <x:c r="F135" s="29"/>
      <x:c r="G135" s="32"/>
      <x:c r="H135" s="32"/>
      <x:c r="I135" s="26"/>
      <x:c r="J135" s="21" t="str">
        <x:v>scripted-chat</x:v>
      </x:c>
      <x:c r="K135" s="21"/>
      <x:c r="L135" s="32"/>
      <x:c r="M135" s="21" t="str">
        <x:v>01a0c6fd-6dea-7663-97bd-ac29bd7e9ff4</x:v>
      </x:c>
    </x:row>
    <x:row r="136" ht="24" customHeight="1">
      <x:c r="A136" s="2" t="str">
        <x:v>R11</x:v>
      </x:c>
      <x:c r="B136" s="2" t="n">
        <x:v>2</x:v>
      </x:c>
      <x:c r="C136" s="22" t="str">
        <x:v>Conversation history · cache read</x:v>
      </x:c>
      <x:c r="D136" s="33" t="n">
        <x:v>0</x:v>
      </x:c>
      <x:c r="E136" s="11" t="n">
        <x:f>IF(AND(ISNUMBER(F136),ISNUMBER('Reference data'!$B$3)),F136*'Reference data'!$B$3,"Unknown")</x:f>
        <x:v>0</x:v>
      </x:c>
      <x:c r="F136" s="11" t="n">
        <x:f>IF(D136=0,0,IF(ISNUMBER('Reference data'!C22),D136*'Reference data'!C22/1000000,"Unknown"))</x:f>
        <x:v>0</x:v>
      </x:c>
      <x:c r="G136" s="33" t="n">
        <x:f>IF(ISNUMBER(E136),ROUND(E136*'Reference data'!$B$2,0),"Unknown")</x:f>
        <x:v>0</x:v>
      </x:c>
      <x:c r="H136" s="33" t="n">
        <x:f>IF(ISNUMBER(F136),ROUND(F136*'Reference data'!$B$2,0),"Unknown")</x:f>
        <x:v>0</x:v>
      </x:c>
      <x:c r="I136" s="14"/>
      <x:c r="J136" s="2"/>
      <x:c r="K136" s="2"/>
      <x:c r="L136" s="33"/>
      <x:c r="M136" s="2"/>
    </x:row>
    <x:row r="137" ht="24" customHeight="1">
      <x:c r="A137" s="2" t="str">
        <x:v>R11</x:v>
      </x:c>
      <x:c r="B137" s="2" t="n">
        <x:v>2</x:v>
      </x:c>
      <x:c r="C137" s="22" t="str">
        <x:v>Fresh input</x:v>
      </x:c>
      <x:c r="D137" s="33" t="n">
        <x:v>850</x:v>
      </x:c>
      <x:c r="E137" s="11" t="n">
        <x:f>IF(AND(ISNUMBER(F137),ISNUMBER('Reference data'!$B$3)),F137*'Reference data'!$B$3,"Unknown")</x:f>
        <x:v>0.0001479544</x:v>
      </x:c>
      <x:c r="F137" s="11" t="n">
        <x:f>IF(D137=0,0,IF(ISNUMBER('Reference data'!B22),D137*'Reference data'!B22/1000000,"Unknown"))</x:f>
        <x:v>0.00017</x:v>
      </x:c>
      <x:c r="G137" s="33" t="n">
        <x:f>IF(ISNUMBER(E137),ROUND(E137*'Reference data'!$B$2,0),"Unknown")</x:f>
        <x:v>15</x:v>
      </x:c>
      <x:c r="H137" s="33" t="n">
        <x:f>IF(ISNUMBER(F137),ROUND(F137*'Reference data'!$B$2,0),"Unknown")</x:f>
        <x:v>17</x:v>
      </x:c>
      <x:c r="I137" s="14"/>
      <x:c r="J137" s="2"/>
      <x:c r="K137" s="2"/>
      <x:c r="L137" s="33"/>
      <x:c r="M137" s="2"/>
    </x:row>
    <x:row r="138" ht="24" customHeight="1">
      <x:c r="A138" s="2" t="str">
        <x:v>R11</x:v>
      </x:c>
      <x:c r="B138" s="2" t="n">
        <x:v>2</x:v>
      </x:c>
      <x:c r="C138" s="2" t="str">
        <x:v>Cache write</x:v>
      </x:c>
      <x:c r="D138" s="33" t="n">
        <x:v>850</x:v>
      </x:c>
      <x:c r="E138" s="11"/>
      <x:c r="F138" s="11"/>
      <x:c r="G138" s="33"/>
      <x:c r="H138" s="33"/>
      <x:c r="I138" s="14"/>
      <x:c r="J138" s="2"/>
      <x:c r="K138" s="2"/>
      <x:c r="L138" s="33"/>
      <x:c r="M138" s="2"/>
    </x:row>
    <x:row r="139" ht="24" customHeight="1">
      <x:c r="A139" s="2" t="str">
        <x:v>R11</x:v>
      </x:c>
      <x:c r="B139" s="2" t="n">
        <x:v>2</x:v>
      </x:c>
      <x:c r="C139" s="2" t="str">
        <x:v>Context · added / total</x:v>
      </x:c>
      <x:c r="D139" s="33" t="n">
        <x:v>850</x:v>
      </x:c>
      <x:c r="E139" s="11"/>
      <x:c r="F139" s="11"/>
      <x:c r="G139" s="33"/>
      <x:c r="H139" s="33"/>
      <x:c r="I139" s="14"/>
      <x:c r="J139" s="2"/>
      <x:c r="K139" s="2"/>
      <x:c r="L139" s="33" t="n">
        <x:v>850</x:v>
      </x:c>
      <x:c r="M139" s="2"/>
    </x:row>
    <x:row r="140" ht="24" customHeight="1">
      <x:c r="A140" s="21" t="str">
        <x:v>R11</x:v>
      </x:c>
      <x:c r="B140" s="21" t="n">
        <x:v>2</x:v>
      </x:c>
      <x:c r="C140" s="21" t="str">
        <x:v>LLM response</x:v>
      </x:c>
      <x:c r="D140" s="32" t="n">
        <x:v>90</x:v>
      </x:c>
      <x:c r="E140" s="29"/>
      <x:c r="F140" s="29"/>
      <x:c r="G140" s="32"/>
      <x:c r="H140" s="32"/>
      <x:c r="I140" s="26"/>
      <x:c r="J140" s="21"/>
      <x:c r="K140" s="21"/>
      <x:c r="L140" s="32"/>
      <x:c r="M140" s="21"/>
    </x:row>
    <x:row r="141" ht="24" customHeight="1">
      <x:c r="A141" s="2" t="str">
        <x:v>R11</x:v>
      </x:c>
      <x:c r="B141" s="2" t="n">
        <x:v>2</x:v>
      </x:c>
      <x:c r="C141" s="22" t="str">
        <x:v>Output</x:v>
      </x:c>
      <x:c r="D141" s="33" t="n">
        <x:v>90</x:v>
      </x:c>
      <x:c r="E141" s="11" t="n">
        <x:f>IF(AND(ISNUMBER(F141),ISNUMBER('Reference data'!$B$3)),F141*'Reference data'!$B$3,"Unknown")</x:f>
        <x:v>0.00009399456</x:v>
      </x:c>
      <x:c r="F141" s="11" t="n">
        <x:f>IF(D141=0,0,IF(ISNUMBER('Reference data'!E22),D141*'Reference data'!E22/1000000,"Unknown"))</x:f>
        <x:v>0.000108</x:v>
      </x:c>
      <x:c r="G141" s="33" t="n">
        <x:f>IF(ISNUMBER(E141),ROUND(E141*'Reference data'!$B$2,0),"Unknown")</x:f>
        <x:v>9</x:v>
      </x:c>
      <x:c r="H141" s="33" t="n">
        <x:f>IF(ISNUMBER(F141),ROUND(F141*'Reference data'!$B$2,0),"Unknown")</x:f>
        <x:v>11</x:v>
      </x:c>
      <x:c r="I141" s="14"/>
      <x:c r="J141" s="2"/>
      <x:c r="K141" s="2"/>
      <x:c r="L141" s="33"/>
      <x:c r="M141" s="2"/>
    </x:row>
    <x:row r="142" ht="47" customHeight="1">
      <x:c r="A142" s="2" t="str">
        <x:v>R11</x:v>
      </x:c>
      <x:c r="B142" s="2" t="n">
        <x:v>2</x:v>
      </x:c>
      <x:c r="C142" s="2" t="str">
        <x:v>    Output content</x:v>
      </x:c>
      <x:c r="D142" s="33"/>
      <x:c r="E142" s="11"/>
      <x:c r="F142" s="11"/>
      <x:c r="G142" s="33"/>
      <x:c r="H142" s="33"/>
      <x:c r="I142" s="14" t="str">
        <x:v>{"name":"task","args":{"subagent_type":"workflow-specialist","description":"Explain delegation using workflow_reference, then return a concise summary."},"id":"delegate-1","type":"tool_call"}</x:v>
      </x:c>
      <x:c r="J142" s="2"/>
      <x:c r="K142" s="2"/>
      <x:c r="L142" s="33"/>
      <x:c r="M142" s="2"/>
    </x:row>
    <x:row r="143" ht="24" customHeight="1">
      <x:c r="A143" s="2" t="str">
        <x:v>R11</x:v>
      </x:c>
      <x:c r="B143" s="2" t="n">
        <x:v>2</x:v>
      </x:c>
      <x:c r="C143" s="2" t="str">
        <x:v>Cache write</x:v>
      </x:c>
      <x:c r="D143" s="33" t="n">
        <x:v>90</x:v>
      </x:c>
      <x:c r="E143" s="11"/>
      <x:c r="F143" s="11"/>
      <x:c r="G143" s="33"/>
      <x:c r="H143" s="33"/>
      <x:c r="I143" s="14"/>
      <x:c r="J143" s="2"/>
      <x:c r="K143" s="2"/>
      <x:c r="L143" s="33"/>
      <x:c r="M143" s="2"/>
    </x:row>
    <x:row r="144" ht="24" customHeight="1">
      <x:c r="A144" s="2" t="str">
        <x:v>R11</x:v>
      </x:c>
      <x:c r="B144" s="2" t="n">
        <x:v>2</x:v>
      </x:c>
      <x:c r="C144" s="2" t="str">
        <x:v>Context · added / total</x:v>
      </x:c>
      <x:c r="D144" s="33" t="n">
        <x:v>90</x:v>
      </x:c>
      <x:c r="E144" s="11"/>
      <x:c r="F144" s="11"/>
      <x:c r="G144" s="33"/>
      <x:c r="H144" s="33"/>
      <x:c r="I144" s="14"/>
      <x:c r="J144" s="2"/>
      <x:c r="K144" s="2"/>
      <x:c r="L144" s="33" t="n">
        <x:v>940</x:v>
      </x:c>
      <x:c r="M144" s="2"/>
    </x:row>
    <x:row r="145" ht="24" customHeight="1">
      <x:c r="A145" s="21" t="str">
        <x:v>R11</x:v>
      </x:c>
      <x:c r="B145" s="21" t="n">
        <x:v>2</x:v>
      </x:c>
      <x:c r="C145" s="21" t="str">
        <x:v>Call total</x:v>
      </x:c>
      <x:c r="D145" s="32"/>
      <x:c r="E145" s="29" t="n">
        <x:f>IF(COUNT(E136,E137,E141)=3,SUM(E136,E137,E141),"Unknown")</x:f>
        <x:v>0.00024194895999999998</x:v>
      </x:c>
      <x:c r="F145" s="29" t="n">
        <x:f>IF(COUNT(F136,F137,F141)=3,SUM(F136,F137,F141),"Unknown")</x:f>
        <x:v>0.00027800000000000004</x:v>
      </x:c>
      <x:c r="G145" s="32" t="n">
        <x:f>IF(ISNUMBER(E145),ROUND(E145*'Reference data'!$B$2,0),"Unknown")</x:f>
        <x:v>24</x:v>
      </x:c>
      <x:c r="H145" s="32" t="n">
        <x:f>IF(ISNUMBER(F145),ROUND(F145*'Reference data'!$B$2,0),"Unknown")</x:f>
        <x:v>28</x:v>
      </x:c>
      <x:c r="I145" s="26"/>
      <x:c r="J145" s="21"/>
      <x:c r="K145" s="21" t="str">
        <x:v>ok</x:v>
      </x:c>
      <x:c r="L145" s="32"/>
      <x:c r="M145" s="21"/>
    </x:row>
    <x:row r="146" ht="24" customHeight="1">
      <x:c r="A146" s="24"/>
      <x:c r="B146" s="24" t="n">
        <x:v>2</x:v>
      </x:c>
      <x:c r="C146" s="24" t="str">
        <x:v>Tool · task</x:v>
      </x:c>
      <x:c r="D146" s="34"/>
      <x:c r="E146" s="30"/>
      <x:c r="F146" s="30"/>
      <x:c r="G146" s="34"/>
      <x:c r="H146" s="34"/>
      <x:c r="I146" s="27"/>
      <x:c r="J146" s="24"/>
      <x:c r="K146" s="24" t="str">
        <x:v>ok</x:v>
      </x:c>
      <x:c r="L146" s="34"/>
      <x:c r="M146" s="24" t="str">
        <x:v>01a0c6fd-6ded-7f50-b093-190775b91abb</x:v>
      </x:c>
    </x:row>
    <x:row r="147" ht="34" customHeight="1">
      <x:c r="A147" s="2"/>
      <x:c r="B147" s="2" t="n">
        <x:v>2</x:v>
      </x:c>
      <x:c r="C147" s="2" t="str">
        <x:v>    Arguments</x:v>
      </x:c>
      <x:c r="D147" s="33"/>
      <x:c r="E147" s="11"/>
      <x:c r="F147" s="11"/>
      <x:c r="G147" s="33"/>
      <x:c r="H147" s="33"/>
      <x:c r="I147" s="14" t="str">
        <x:v>{'subagent_type': 'workflow-specialist', 'description': 'Explain delegation using workflow_reference, then return a concise summary.'}</x:v>
      </x:c>
      <x:c r="J147" s="2"/>
      <x:c r="K147" s="2"/>
      <x:c r="L147" s="33"/>
      <x:c r="M147" s="2"/>
    </x:row>
    <x:row r="148" ht="34" customHeight="1">
      <x:c r="A148" s="2"/>
      <x:c r="B148" s="2" t="n">
        <x:v>2</x:v>
      </x:c>
      <x:c r="C148" s="2" t="str">
        <x:v>    Result</x:v>
      </x:c>
      <x:c r="D148" s="33"/>
      <x:c r="E148" s="11"/>
      <x:c r="F148" s="11"/>
      <x:c r="G148" s="33"/>
      <x:c r="H148" s="33"/>
      <x:c r="I148" s="14" t="str">
        <x:v>Command(update={'messages': [ToolMessage(content='An agent selects a tool, observes its result, and uses it to answer.', tool_call_id='delegate-1')]})</x:v>
      </x:c>
      <x:c r="J148" s="2"/>
      <x:c r="K148" s="2"/>
      <x:c r="L148" s="33"/>
      <x:c r="M148" s="2"/>
    </x:row>
    <x:row r="149" ht="24" customHeight="1">
      <x:c r="A149" s="21" t="str">
        <x:v>R12</x:v>
      </x:c>
      <x:c r="B149" s="21" t="n">
        <x:v>2</x:v>
      </x:c>
      <x:c r="C149" s="21" t="str">
        <x:v>LLM request</x:v>
      </x:c>
      <x:c r="D149" s="32" t="n">
        <x:v>222</x:v>
      </x:c>
      <x:c r="E149" s="29"/>
      <x:c r="F149" s="29"/>
      <x:c r="G149" s="32"/>
      <x:c r="H149" s="32"/>
      <x:c r="I149" s="26"/>
      <x:c r="J149" s="21" t="str">
        <x:v>scripted-chat</x:v>
      </x:c>
      <x:c r="K149" s="21"/>
      <x:c r="L149" s="32"/>
      <x:c r="M149" s="21" t="str">
        <x:v>01a0c6fd-6df0-74b2-bb05-f6953e38d1c3</x:v>
      </x:c>
    </x:row>
    <x:row r="150" ht="24" customHeight="1">
      <x:c r="A150" s="2" t="str">
        <x:v>R12</x:v>
      </x:c>
      <x:c r="B150" s="2" t="n">
        <x:v>2</x:v>
      </x:c>
      <x:c r="C150" s="22" t="str">
        <x:v>Conversation history · cache read</x:v>
      </x:c>
      <x:c r="D150" s="33" t="n">
        <x:v>0</x:v>
      </x:c>
      <x:c r="E150" s="11" t="n">
        <x:f>IF(AND(ISNUMBER(F150),ISNUMBER('Reference data'!$B$3)),F150*'Reference data'!$B$3,"Unknown")</x:f>
        <x:v>0</x:v>
      </x:c>
      <x:c r="F150" s="11" t="n">
        <x:f>IF(D150=0,0,IF(ISNUMBER('Reference data'!C22),D150*'Reference data'!C22/1000000,"Unknown"))</x:f>
        <x:v>0</x:v>
      </x:c>
      <x:c r="G150" s="33" t="n">
        <x:f>IF(ISNUMBER(E150),ROUND(E150*'Reference data'!$B$2,0),"Unknown")</x:f>
        <x:v>0</x:v>
      </x:c>
      <x:c r="H150" s="33" t="n">
        <x:f>IF(ISNUMBER(F150),ROUND(F150*'Reference data'!$B$2,0),"Unknown")</x:f>
        <x:v>0</x:v>
      </x:c>
      <x:c r="I150" s="14"/>
      <x:c r="J150" s="2"/>
      <x:c r="K150" s="2"/>
      <x:c r="L150" s="33"/>
      <x:c r="M150" s="2"/>
    </x:row>
    <x:row r="151" ht="24" customHeight="1">
      <x:c r="A151" s="2" t="str">
        <x:v>R12</x:v>
      </x:c>
      <x:c r="B151" s="2" t="n">
        <x:v>2</x:v>
      </x:c>
      <x:c r="C151" s="22" t="str">
        <x:v>Fresh input</x:v>
      </x:c>
      <x:c r="D151" s="33" t="n">
        <x:v>222</x:v>
      </x:c>
      <x:c r="E151" s="11" t="n">
        <x:f>IF(AND(ISNUMBER(F151),ISNUMBER('Reference data'!$B$3)),F151*'Reference data'!$B$3,"Unknown")</x:f>
        <x:v>0.00003864220800000001</x:v>
      </x:c>
      <x:c r="F151" s="11" t="n">
        <x:f>IF(D151=0,0,IF(ISNUMBER('Reference data'!B22),D151*'Reference data'!B22/1000000,"Unknown"))</x:f>
        <x:v>0.00004440000000000001</x:v>
      </x:c>
      <x:c r="G151" s="33" t="n">
        <x:f>IF(ISNUMBER(E151),ROUND(E151*'Reference data'!$B$2,0),"Unknown")</x:f>
        <x:v>4</x:v>
      </x:c>
      <x:c r="H151" s="33" t="n">
        <x:f>IF(ISNUMBER(F151),ROUND(F151*'Reference data'!$B$2,0),"Unknown")</x:f>
        <x:v>4</x:v>
      </x:c>
      <x:c r="I151" s="14"/>
      <x:c r="J151" s="2"/>
      <x:c r="K151" s="2"/>
      <x:c r="L151" s="33"/>
      <x:c r="M151" s="2"/>
    </x:row>
    <x:row r="152" ht="24" customHeight="1">
      <x:c r="A152" s="2" t="str">
        <x:v>R12</x:v>
      </x:c>
      <x:c r="B152" s="2" t="n">
        <x:v>2</x:v>
      </x:c>
      <x:c r="C152" s="2" t="str">
        <x:v>Cache write</x:v>
      </x:c>
      <x:c r="D152" s="33" t="n">
        <x:v>222</x:v>
      </x:c>
      <x:c r="E152" s="11"/>
      <x:c r="F152" s="11"/>
      <x:c r="G152" s="33"/>
      <x:c r="H152" s="33"/>
      <x:c r="I152" s="14"/>
      <x:c r="J152" s="2"/>
      <x:c r="K152" s="2"/>
      <x:c r="L152" s="33"/>
      <x:c r="M152" s="2"/>
    </x:row>
    <x:row r="153" ht="24" customHeight="1">
      <x:c r="A153" s="2" t="str">
        <x:v>R12</x:v>
      </x:c>
      <x:c r="B153" s="2" t="n">
        <x:v>2</x:v>
      </x:c>
      <x:c r="C153" s="2" t="str">
        <x:v>Context · added / total</x:v>
      </x:c>
      <x:c r="D153" s="33" t="n">
        <x:v>222</x:v>
      </x:c>
      <x:c r="E153" s="11"/>
      <x:c r="F153" s="11"/>
      <x:c r="G153" s="33"/>
      <x:c r="H153" s="33"/>
      <x:c r="I153" s="14"/>
      <x:c r="J153" s="2"/>
      <x:c r="K153" s="2"/>
      <x:c r="L153" s="33" t="n">
        <x:v>222</x:v>
      </x:c>
      <x:c r="M153" s="2"/>
    </x:row>
    <x:row r="154" ht="24" customHeight="1">
      <x:c r="A154" s="21" t="str">
        <x:v>R12</x:v>
      </x:c>
      <x:c r="B154" s="21" t="n">
        <x:v>2</x:v>
      </x:c>
      <x:c r="C154" s="21" t="str">
        <x:v>LLM response</x:v>
      </x:c>
      <x:c r="D154" s="32" t="n">
        <x:v>208</x:v>
      </x:c>
      <x:c r="E154" s="29"/>
      <x:c r="F154" s="29"/>
      <x:c r="G154" s="32"/>
      <x:c r="H154" s="32"/>
      <x:c r="I154" s="26"/>
      <x:c r="J154" s="21"/>
      <x:c r="K154" s="21"/>
      <x:c r="L154" s="32"/>
      <x:c r="M154" s="21"/>
    </x:row>
    <x:row r="155" ht="24" customHeight="1">
      <x:c r="A155" s="2" t="str">
        <x:v>R12</x:v>
      </x:c>
      <x:c r="B155" s="2" t="n">
        <x:v>2</x:v>
      </x:c>
      <x:c r="C155" s="22" t="str">
        <x:v>Output</x:v>
      </x:c>
      <x:c r="D155" s="33" t="n">
        <x:v>208</x:v>
      </x:c>
      <x:c r="E155" s="11" t="n">
        <x:f>IF(AND(ISNUMBER(F155),ISNUMBER('Reference data'!$B$3)),F155*'Reference data'!$B$3,"Unknown")</x:f>
        <x:v>0.00021723187199999998</x:v>
      </x:c>
      <x:c r="F155" s="11" t="n">
        <x:f>IF(D155=0,0,IF(ISNUMBER('Reference data'!E22),D155*'Reference data'!E22/1000000,"Unknown"))</x:f>
        <x:v>0.0002496</x:v>
      </x:c>
      <x:c r="G155" s="33" t="n">
        <x:f>IF(ISNUMBER(E155),ROUND(E155*'Reference data'!$B$2,0),"Unknown")</x:f>
        <x:v>22</x:v>
      </x:c>
      <x:c r="H155" s="33" t="n">
        <x:f>IF(ISNUMBER(F155),ROUND(F155*'Reference data'!$B$2,0),"Unknown")</x:f>
        <x:v>25</x:v>
      </x:c>
      <x:c r="I155" s="14"/>
      <x:c r="J155" s="2"/>
      <x:c r="K155" s="2"/>
      <x:c r="L155" s="33"/>
      <x:c r="M155" s="2"/>
    </x:row>
    <x:row r="156" ht="242" customHeight="1">
      <x:c r="A156" s="2" t="str">
        <x:v>R12</x:v>
      </x:c>
      <x:c r="B156" s="2" t="n">
        <x:v>2</x:v>
      </x:c>
      <x:c r="C156" s="2" t="str">
        <x:v>    Output content</x:v>
      </x:c>
      <x:c r="D156" s="33"/>
      <x:c r="E156" s="11"/>
      <x:c r="F156" s="11"/>
      <x:c r="G156" s="33"/>
      <x:c r="H156" s="33"/>
      <x:c r="I156" s="14" t="str">
        <x:v>{"name":"workflow_reference","args":{"topic":"CHILD_ONLY_DETAIL: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"},"id":"lookup-1-0","type":"tool_call"}</x:v>
      </x:c>
      <x:c r="J156" s="2"/>
      <x:c r="K156" s="2"/>
      <x:c r="L156" s="33"/>
      <x:c r="M156" s="2"/>
    </x:row>
    <x:row r="157" ht="24" customHeight="1">
      <x:c r="A157" s="2" t="str">
        <x:v>R12</x:v>
      </x:c>
      <x:c r="B157" s="2" t="n">
        <x:v>2</x:v>
      </x:c>
      <x:c r="C157" s="2" t="str">
        <x:v>Cache write</x:v>
      </x:c>
      <x:c r="D157" s="33" t="n">
        <x:v>208</x:v>
      </x:c>
      <x:c r="E157" s="11"/>
      <x:c r="F157" s="11"/>
      <x:c r="G157" s="33"/>
      <x:c r="H157" s="33"/>
      <x:c r="I157" s="14"/>
      <x:c r="J157" s="2"/>
      <x:c r="K157" s="2"/>
      <x:c r="L157" s="33"/>
      <x:c r="M157" s="2"/>
    </x:row>
    <x:row r="158" ht="24" customHeight="1">
      <x:c r="A158" s="2" t="str">
        <x:v>R12</x:v>
      </x:c>
      <x:c r="B158" s="2" t="n">
        <x:v>2</x:v>
      </x:c>
      <x:c r="C158" s="2" t="str">
        <x:v>Context · added / total</x:v>
      </x:c>
      <x:c r="D158" s="33" t="n">
        <x:v>208</x:v>
      </x:c>
      <x:c r="E158" s="11"/>
      <x:c r="F158" s="11"/>
      <x:c r="G158" s="33"/>
      <x:c r="H158" s="33"/>
      <x:c r="I158" s="14"/>
      <x:c r="J158" s="2"/>
      <x:c r="K158" s="2"/>
      <x:c r="L158" s="33" t="n">
        <x:v>430</x:v>
      </x:c>
      <x:c r="M158" s="2"/>
    </x:row>
    <x:row r="159" ht="24" customHeight="1">
      <x:c r="A159" s="21" t="str">
        <x:v>R12</x:v>
      </x:c>
      <x:c r="B159" s="21" t="n">
        <x:v>2</x:v>
      </x:c>
      <x:c r="C159" s="21" t="str">
        <x:v>Call total</x:v>
      </x:c>
      <x:c r="D159" s="32"/>
      <x:c r="E159" s="29" t="n">
        <x:f>IF(COUNT(E150,E151,E155)=3,SUM(E150,E151,E155),"Unknown")</x:f>
        <x:v>0.00025587408</x:v>
      </x:c>
      <x:c r="F159" s="29" t="n">
        <x:f>IF(COUNT(F150,F151,F155)=3,SUM(F150,F151,F155),"Unknown")</x:f>
        <x:v>0.000294</x:v>
      </x:c>
      <x:c r="G159" s="32" t="n">
        <x:f>IF(ISNUMBER(E159),ROUND(E159*'Reference data'!$B$2,0),"Unknown")</x:f>
        <x:v>26</x:v>
      </x:c>
      <x:c r="H159" s="32" t="n">
        <x:f>IF(ISNUMBER(F159),ROUND(F159*'Reference data'!$B$2,0),"Unknown")</x:f>
        <x:v>29</x:v>
      </x:c>
      <x:c r="I159" s="26"/>
      <x:c r="J159" s="21"/>
      <x:c r="K159" s="21" t="str">
        <x:v>ok</x:v>
      </x:c>
      <x:c r="L159" s="32"/>
      <x:c r="M159" s="21"/>
    </x:row>
    <x:row r="160" ht="24" customHeight="1">
      <x:c r="A160" s="24"/>
      <x:c r="B160" s="24" t="n">
        <x:v>2</x:v>
      </x:c>
      <x:c r="C160" s="24" t="str">
        <x:v>Tool · workflow_reference</x:v>
      </x:c>
      <x:c r="D160" s="34"/>
      <x:c r="E160" s="30"/>
      <x:c r="F160" s="30"/>
      <x:c r="G160" s="34"/>
      <x:c r="H160" s="34"/>
      <x:c r="I160" s="27"/>
      <x:c r="J160" s="24"/>
      <x:c r="K160" s="24" t="str">
        <x:v>ok</x:v>
      </x:c>
      <x:c r="L160" s="34"/>
      <x:c r="M160" s="24" t="str">
        <x:v>01a0c6fd-6df4-7571-8f27-8a6e7118ae0e</x:v>
      </x:c>
    </x:row>
    <x:row r="161" ht="229" customHeight="1">
      <x:c r="A161" s="2"/>
      <x:c r="B161" s="2" t="n">
        <x:v>2</x:v>
      </x:c>
      <x:c r="C161" s="2" t="str">
        <x:v>    Arguments</x:v>
      </x:c>
      <x:c r="D161" s="33"/>
      <x:c r="E161" s="11"/>
      <x:c r="F161" s="11"/>
      <x:c r="G161" s="33"/>
      <x:c r="H161" s="33"/>
      <x:c r="I161" s="14" t="str">
        <x:v>{'topic': 'CHILD_ONLY_DETAIL: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x:v>
      </x:c>
      <x:c r="J161" s="2"/>
      <x:c r="K161" s="2"/>
      <x:c r="L161" s="33"/>
      <x:c r="M161" s="2"/>
    </x:row>
    <x:row r="162" ht="242" customHeight="1">
      <x:c r="A162" s="2"/>
      <x:c r="B162" s="2" t="n">
        <x:v>2</x:v>
      </x:c>
      <x:c r="C162" s="2" t="str">
        <x:v>    Result</x:v>
      </x:c>
      <x:c r="D162" s="33"/>
      <x:c r="E162" s="11"/>
      <x:c r="F162" s="11"/>
      <x:c r="G162" s="33"/>
      <x:c r="H162" s="33"/>
      <x:c r="I162" s="14" t="str">
        <x:v>CHILD_ONLY_DETAIL: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 an agent selects a tool, observes its result, and uses it to answer.</x:v>
      </x:c>
      <x:c r="J162" s="2"/>
      <x:c r="K162" s="2"/>
      <x:c r="L162" s="33"/>
      <x:c r="M162" s="2"/>
    </x:row>
    <x:row r="163" ht="24" customHeight="1">
      <x:c r="A163" s="21" t="str">
        <x:v>R13</x:v>
      </x:c>
      <x:c r="B163" s="21" t="n">
        <x:v>2</x:v>
      </x:c>
      <x:c r="C163" s="21" t="str">
        <x:v>LLM request</x:v>
      </x:c>
      <x:c r="D163" s="32" t="n">
        <x:v>624</x:v>
      </x:c>
      <x:c r="E163" s="29"/>
      <x:c r="F163" s="29"/>
      <x:c r="G163" s="32"/>
      <x:c r="H163" s="32"/>
      <x:c r="I163" s="26"/>
      <x:c r="J163" s="21" t="str">
        <x:v>scripted-chat</x:v>
      </x:c>
      <x:c r="K163" s="21"/>
      <x:c r="L163" s="32"/>
      <x:c r="M163" s="21" t="str">
        <x:v>01a0c6fd-6df6-77e1-84bd-7fe8abeb8f7d</x:v>
      </x:c>
    </x:row>
    <x:row r="164" ht="24" customHeight="1">
      <x:c r="A164" s="2" t="str">
        <x:v>R13</x:v>
      </x:c>
      <x:c r="B164" s="2" t="n">
        <x:v>2</x:v>
      </x:c>
      <x:c r="C164" s="22" t="str">
        <x:v>Conversation history · cache read</x:v>
      </x:c>
      <x:c r="D164" s="33" t="n">
        <x:v>0</x:v>
      </x:c>
      <x:c r="E164" s="11" t="n">
        <x:f>IF(AND(ISNUMBER(F164),ISNUMBER('Reference data'!$B$3)),F164*'Reference data'!$B$3,"Unknown")</x:f>
        <x:v>0</x:v>
      </x:c>
      <x:c r="F164" s="11" t="n">
        <x:f>IF(D164=0,0,IF(ISNUMBER('Reference data'!C22),D164*'Reference data'!C22/1000000,"Unknown"))</x:f>
        <x:v>0</x:v>
      </x:c>
      <x:c r="G164" s="33" t="n">
        <x:f>IF(ISNUMBER(E164),ROUND(E164*'Reference data'!$B$2,0),"Unknown")</x:f>
        <x:v>0</x:v>
      </x:c>
      <x:c r="H164" s="33" t="n">
        <x:f>IF(ISNUMBER(F164),ROUND(F164*'Reference data'!$B$2,0),"Unknown")</x:f>
        <x:v>0</x:v>
      </x:c>
      <x:c r="I164" s="14"/>
      <x:c r="J164" s="2"/>
      <x:c r="K164" s="2"/>
      <x:c r="L164" s="33"/>
      <x:c r="M164" s="2"/>
    </x:row>
    <x:row r="165" ht="24" customHeight="1">
      <x:c r="A165" s="2" t="str">
        <x:v>R13</x:v>
      </x:c>
      <x:c r="B165" s="2" t="n">
        <x:v>2</x:v>
      </x:c>
      <x:c r="C165" s="22" t="str">
        <x:v>Fresh input</x:v>
      </x:c>
      <x:c r="D165" s="33" t="n">
        <x:v>624</x:v>
      </x:c>
      <x:c r="E165" s="11" t="n">
        <x:f>IF(AND(ISNUMBER(F165),ISNUMBER('Reference data'!$B$3)),F165*'Reference data'!$B$3,"Unknown")</x:f>
        <x:v>0.00010861593600000002</x:v>
      </x:c>
      <x:c r="F165" s="11" t="n">
        <x:f>IF(D165=0,0,IF(ISNUMBER('Reference data'!B22),D165*'Reference data'!B22/1000000,"Unknown"))</x:f>
        <x:v>0.00012480000000000002</x:v>
      </x:c>
      <x:c r="G165" s="33" t="n">
        <x:f>IF(ISNUMBER(E165),ROUND(E165*'Reference data'!$B$2,0),"Unknown")</x:f>
        <x:v>11</x:v>
      </x:c>
      <x:c r="H165" s="33" t="n">
        <x:f>IF(ISNUMBER(F165),ROUND(F165*'Reference data'!$B$2,0),"Unknown")</x:f>
        <x:v>12</x:v>
      </x:c>
      <x:c r="I165" s="14"/>
      <x:c r="J165" s="2"/>
      <x:c r="K165" s="2"/>
      <x:c r="L165" s="33"/>
      <x:c r="M165" s="2"/>
    </x:row>
    <x:row r="166" ht="24" customHeight="1">
      <x:c r="A166" s="2" t="str">
        <x:v>R13</x:v>
      </x:c>
      <x:c r="B166" s="2" t="n">
        <x:v>2</x:v>
      </x:c>
      <x:c r="C166" s="2" t="str">
        <x:v>Cache write</x:v>
      </x:c>
      <x:c r="D166" s="33" t="n">
        <x:v>624</x:v>
      </x:c>
      <x:c r="E166" s="11"/>
      <x:c r="F166" s="11"/>
      <x:c r="G166" s="33"/>
      <x:c r="H166" s="33"/>
      <x:c r="I166" s="14"/>
      <x:c r="J166" s="2"/>
      <x:c r="K166" s="2"/>
      <x:c r="L166" s="33"/>
      <x:c r="M166" s="2"/>
    </x:row>
    <x:row r="167" ht="24" customHeight="1">
      <x:c r="A167" s="2" t="str">
        <x:v>R13</x:v>
      </x:c>
      <x:c r="B167" s="2" t="n">
        <x:v>2</x:v>
      </x:c>
      <x:c r="C167" s="2" t="str">
        <x:v>Context · added / total</x:v>
      </x:c>
      <x:c r="D167" s="33" t="n">
        <x:v>624</x:v>
      </x:c>
      <x:c r="E167" s="11"/>
      <x:c r="F167" s="11"/>
      <x:c r="G167" s="33"/>
      <x:c r="H167" s="33"/>
      <x:c r="I167" s="14"/>
      <x:c r="J167" s="2"/>
      <x:c r="K167" s="2"/>
      <x:c r="L167" s="33" t="n">
        <x:v>624</x:v>
      </x:c>
      <x:c r="M167" s="2"/>
    </x:row>
    <x:row r="168" ht="24" customHeight="1">
      <x:c r="A168" s="21" t="str">
        <x:v>R13</x:v>
      </x:c>
      <x:c r="B168" s="21" t="n">
        <x:v>2</x:v>
      </x:c>
      <x:c r="C168" s="21" t="str">
        <x:v>LLM response</x:v>
      </x:c>
      <x:c r="D168" s="32" t="n">
        <x:v>46</x:v>
      </x:c>
      <x:c r="E168" s="29"/>
      <x:c r="F168" s="29"/>
      <x:c r="G168" s="32"/>
      <x:c r="H168" s="32"/>
      <x:c r="I168" s="26"/>
      <x:c r="J168" s="21"/>
      <x:c r="K168" s="21"/>
      <x:c r="L168" s="32"/>
      <x:c r="M168" s="21"/>
    </x:row>
    <x:row r="169" ht="24" customHeight="1">
      <x:c r="A169" s="2" t="str">
        <x:v>R13</x:v>
      </x:c>
      <x:c r="B169" s="2" t="n">
        <x:v>2</x:v>
      </x:c>
      <x:c r="C169" s="22" t="str">
        <x:v>Output</x:v>
      </x:c>
      <x:c r="D169" s="33" t="n">
        <x:v>46</x:v>
      </x:c>
      <x:c r="E169" s="11" t="n">
        <x:f>IF(AND(ISNUMBER(F169),ISNUMBER('Reference data'!$B$3)),F169*'Reference data'!$B$3,"Unknown")</x:f>
        <x:v>0.00004804166399999999</x:v>
      </x:c>
      <x:c r="F169" s="11" t="n">
        <x:f>IF(D169=0,0,IF(ISNUMBER('Reference data'!E22),D169*'Reference data'!E22/1000000,"Unknown"))</x:f>
        <x:v>0.00005519999999999999</x:v>
      </x:c>
      <x:c r="G169" s="33" t="n">
        <x:f>IF(ISNUMBER(E169),ROUND(E169*'Reference data'!$B$2,0),"Unknown")</x:f>
        <x:v>5</x:v>
      </x:c>
      <x:c r="H169" s="33" t="n">
        <x:f>IF(ISNUMBER(F169),ROUND(F169*'Reference data'!$B$2,0),"Unknown")</x:f>
        <x:v>6</x:v>
      </x:c>
      <x:c r="I169" s="14"/>
      <x:c r="J169" s="2"/>
      <x:c r="K169" s="2"/>
      <x:c r="L169" s="33"/>
      <x:c r="M169" s="2"/>
    </x:row>
    <x:row r="170" ht="34" customHeight="1">
      <x:c r="A170" s="2" t="str">
        <x:v>R13</x:v>
      </x:c>
      <x:c r="B170" s="2" t="n">
        <x:v>2</x:v>
      </x:c>
      <x:c r="C170" s="2" t="str">
        <x:v>    Output content</x:v>
      </x:c>
      <x:c r="D170" s="33"/>
      <x:c r="E170" s="11"/>
      <x:c r="F170" s="11"/>
      <x:c r="G170" s="33"/>
      <x:c r="H170" s="33"/>
      <x:c r="I170" s="14" t="str">
        <x:v>The assignment is to explain delegation. The reference says agents select tools and use observations.</x:v>
      </x:c>
      <x:c r="J170" s="2"/>
      <x:c r="K170" s="2"/>
      <x:c r="L170" s="33"/>
      <x:c r="M170" s="2"/>
    </x:row>
    <x:row r="171" ht="24" customHeight="1">
      <x:c r="A171" s="2" t="str">
        <x:v>R13</x:v>
      </x:c>
      <x:c r="B171" s="2" t="n">
        <x:v>2</x:v>
      </x:c>
      <x:c r="C171" s="2" t="str">
        <x:v>Cache write</x:v>
      </x:c>
      <x:c r="D171" s="33" t="n">
        <x:v>46</x:v>
      </x:c>
      <x:c r="E171" s="11"/>
      <x:c r="F171" s="11"/>
      <x:c r="G171" s="33"/>
      <x:c r="H171" s="33"/>
      <x:c r="I171" s="14"/>
      <x:c r="J171" s="2"/>
      <x:c r="K171" s="2"/>
      <x:c r="L171" s="33"/>
      <x:c r="M171" s="2"/>
    </x:row>
    <x:row r="172" ht="24" customHeight="1">
      <x:c r="A172" s="2" t="str">
        <x:v>R13</x:v>
      </x:c>
      <x:c r="B172" s="2" t="n">
        <x:v>2</x:v>
      </x:c>
      <x:c r="C172" s="2" t="str">
        <x:v>Context · added / total</x:v>
      </x:c>
      <x:c r="D172" s="33" t="n">
        <x:v>46</x:v>
      </x:c>
      <x:c r="E172" s="11"/>
      <x:c r="F172" s="11"/>
      <x:c r="G172" s="33"/>
      <x:c r="H172" s="33"/>
      <x:c r="I172" s="14"/>
      <x:c r="J172" s="2"/>
      <x:c r="K172" s="2"/>
      <x:c r="L172" s="33" t="n">
        <x:v>670</x:v>
      </x:c>
      <x:c r="M172" s="2"/>
    </x:row>
    <x:row r="173" ht="24" customHeight="1">
      <x:c r="A173" s="21" t="str">
        <x:v>R13</x:v>
      </x:c>
      <x:c r="B173" s="21" t="n">
        <x:v>2</x:v>
      </x:c>
      <x:c r="C173" s="21" t="str">
        <x:v>Call total</x:v>
      </x:c>
      <x:c r="D173" s="32"/>
      <x:c r="E173" s="29" t="n">
        <x:f>IF(COUNT(E164,E165,E169)=3,SUM(E164,E165,E169),"Unknown")</x:f>
        <x:v>0.0001566576</x:v>
      </x:c>
      <x:c r="F173" s="29" t="n">
        <x:f>IF(COUNT(F164,F165,F169)=3,SUM(F164,F165,F169),"Unknown")</x:f>
        <x:v>0.00018</x:v>
      </x:c>
      <x:c r="G173" s="32" t="n">
        <x:f>IF(ISNUMBER(E173),ROUND(E173*'Reference data'!$B$2,0),"Unknown")</x:f>
        <x:v>16</x:v>
      </x:c>
      <x:c r="H173" s="32" t="n">
        <x:f>IF(ISNUMBER(F173),ROUND(F173*'Reference data'!$B$2,0),"Unknown")</x:f>
        <x:v>18</x:v>
      </x:c>
      <x:c r="I173" s="26"/>
      <x:c r="J173" s="21"/>
      <x:c r="K173" s="21" t="str">
        <x:v>ok</x:v>
      </x:c>
      <x:c r="L173" s="32"/>
      <x:c r="M173" s="21"/>
    </x:row>
    <x:row r="174" ht="24" customHeight="1">
      <x:c r="A174" s="21" t="str">
        <x:v>R14</x:v>
      </x:c>
      <x:c r="B174" s="21" t="n">
        <x:v>2</x:v>
      </x:c>
      <x:c r="C174" s="21" t="str">
        <x:v>LLM request</x:v>
      </x:c>
      <x:c r="D174" s="32" t="n">
        <x:v>638</x:v>
      </x:c>
      <x:c r="E174" s="29"/>
      <x:c r="F174" s="29"/>
      <x:c r="G174" s="32"/>
      <x:c r="H174" s="32"/>
      <x:c r="I174" s="26"/>
      <x:c r="J174" s="21" t="str">
        <x:v>scripted-chat</x:v>
      </x:c>
      <x:c r="K174" s="21"/>
      <x:c r="L174" s="32"/>
      <x:c r="M174" s="21" t="str">
        <x:v>01a0c6fd-6df9-72e3-b7f6-f2d07886da47</x:v>
      </x:c>
    </x:row>
    <x:row r="175" ht="24" customHeight="1">
      <x:c r="A175" s="2" t="str">
        <x:v>R14</x:v>
      </x:c>
      <x:c r="B175" s="2" t="n">
        <x:v>2</x:v>
      </x:c>
      <x:c r="C175" s="22" t="str">
        <x:v>Conversation history · cache read</x:v>
      </x:c>
      <x:c r="D175" s="33" t="n">
        <x:v>0</x:v>
      </x:c>
      <x:c r="E175" s="11" t="n">
        <x:f>IF(AND(ISNUMBER(F175),ISNUMBER('Reference data'!$B$3)),F175*'Reference data'!$B$3,"Unknown")</x:f>
        <x:v>0</x:v>
      </x:c>
      <x:c r="F175" s="11" t="n">
        <x:f>IF(D175=0,0,IF(ISNUMBER('Reference data'!C22),D175*'Reference data'!C22/1000000,"Unknown"))</x:f>
        <x:v>0</x:v>
      </x:c>
      <x:c r="G175" s="33" t="n">
        <x:f>IF(ISNUMBER(E175),ROUND(E175*'Reference data'!$B$2,0),"Unknown")</x:f>
        <x:v>0</x:v>
      </x:c>
      <x:c r="H175" s="33" t="n">
        <x:f>IF(ISNUMBER(F175),ROUND(F175*'Reference data'!$B$2,0),"Unknown")</x:f>
        <x:v>0</x:v>
      </x:c>
      <x:c r="I175" s="14"/>
      <x:c r="J175" s="2"/>
      <x:c r="K175" s="2"/>
      <x:c r="L175" s="33"/>
      <x:c r="M175" s="2"/>
    </x:row>
    <x:row r="176" ht="24" customHeight="1">
      <x:c r="A176" s="2" t="str">
        <x:v>R14</x:v>
      </x:c>
      <x:c r="B176" s="2" t="n">
        <x:v>2</x:v>
      </x:c>
      <x:c r="C176" s="22" t="str">
        <x:v>Fresh input</x:v>
      </x:c>
      <x:c r="D176" s="33" t="n">
        <x:v>638</x:v>
      </x:c>
      <x:c r="E176" s="11" t="n">
        <x:f>IF(AND(ISNUMBER(F176),ISNUMBER('Reference data'!$B$3)),F176*'Reference data'!$B$3,"Unknown")</x:f>
        <x:v>0.000111052832</x:v>
      </x:c>
      <x:c r="F176" s="11" t="n">
        <x:f>IF(D176=0,0,IF(ISNUMBER('Reference data'!B22),D176*'Reference data'!B22/1000000,"Unknown"))</x:f>
        <x:v>0.0001276</x:v>
      </x:c>
      <x:c r="G176" s="33" t="n">
        <x:f>IF(ISNUMBER(E176),ROUND(E176*'Reference data'!$B$2,0),"Unknown")</x:f>
        <x:v>11</x:v>
      </x:c>
      <x:c r="H176" s="33" t="n">
        <x:f>IF(ISNUMBER(F176),ROUND(F176*'Reference data'!$B$2,0),"Unknown")</x:f>
        <x:v>13</x:v>
      </x:c>
      <x:c r="I176" s="14"/>
      <x:c r="J176" s="2"/>
      <x:c r="K176" s="2"/>
      <x:c r="L176" s="33"/>
      <x:c r="M176" s="2"/>
    </x:row>
    <x:row r="177" ht="242" customHeight="1">
      <x:c r="A177" s="2" t="str">
        <x:v>R14</x:v>
      </x:c>
      <x:c r="B177" s="2" t="n">
        <x:v>2</x:v>
      </x:c>
      <x:c r="C177" s="2" t="str">
        <x:v>    Tool result</x:v>
      </x:c>
      <x:c r="D177" s="33" t="n">
        <x:v>189</x:v>
      </x:c>
      <x:c r="E177" s="11"/>
      <x:c r="F177" s="11"/>
      <x:c r="G177" s="33"/>
      <x:c r="H177" s="33"/>
      <x:c r="I177" s="14" t="str">
        <x:v>CHILD_ONLY_DETAIL: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delegation reference background : an agent selects a tool, observes its result, and uses it to answer.</x:v>
      </x:c>
      <x:c r="J177" s="2"/>
      <x:c r="K177" s="2"/>
      <x:c r="L177" s="33"/>
      <x:c r="M177" s="2"/>
    </x:row>
    <x:row r="178" ht="24" customHeight="1">
      <x:c r="A178" s="2" t="str">
        <x:v>R14</x:v>
      </x:c>
      <x:c r="B178" s="2" t="n">
        <x:v>2</x:v>
      </x:c>
      <x:c r="C178" s="2" t="str">
        <x:v>Cache write</x:v>
      </x:c>
      <x:c r="D178" s="33" t="n">
        <x:v>638</x:v>
      </x:c>
      <x:c r="E178" s="11"/>
      <x:c r="F178" s="11"/>
      <x:c r="G178" s="33"/>
      <x:c r="H178" s="33"/>
      <x:c r="I178" s="14"/>
      <x:c r="J178" s="2"/>
      <x:c r="K178" s="2"/>
      <x:c r="L178" s="33"/>
      <x:c r="M178" s="2"/>
    </x:row>
    <x:row r="179" ht="24" customHeight="1">
      <x:c r="A179" s="2" t="str">
        <x:v>R14</x:v>
      </x:c>
      <x:c r="B179" s="2" t="n">
        <x:v>2</x:v>
      </x:c>
      <x:c r="C179" s="2" t="str">
        <x:v>Context · added / total</x:v>
      </x:c>
      <x:c r="D179" s="33" t="n">
        <x:v>638</x:v>
      </x:c>
      <x:c r="E179" s="11"/>
      <x:c r="F179" s="11"/>
      <x:c r="G179" s="33"/>
      <x:c r="H179" s="33"/>
      <x:c r="I179" s="14"/>
      <x:c r="J179" s="2"/>
      <x:c r="K179" s="2"/>
      <x:c r="L179" s="33" t="n">
        <x:v>638</x:v>
      </x:c>
      <x:c r="M179" s="2"/>
    </x:row>
    <x:row r="180" ht="24" customHeight="1">
      <x:c r="A180" s="21" t="str">
        <x:v>R14</x:v>
      </x:c>
      <x:c r="B180" s="21" t="n">
        <x:v>2</x:v>
      </x:c>
      <x:c r="C180" s="21" t="str">
        <x:v>LLM response</x:v>
      </x:c>
      <x:c r="D180" s="32" t="n">
        <x:v>73</x:v>
      </x:c>
      <x:c r="E180" s="29"/>
      <x:c r="F180" s="29"/>
      <x:c r="G180" s="32"/>
      <x:c r="H180" s="32"/>
      <x:c r="I180" s="26"/>
      <x:c r="J180" s="21"/>
      <x:c r="K180" s="21"/>
      <x:c r="L180" s="32"/>
      <x:c r="M180" s="21"/>
    </x:row>
    <x:row r="181" ht="24" customHeight="1">
      <x:c r="A181" s="2" t="str">
        <x:v>R14</x:v>
      </x:c>
      <x:c r="B181" s="2" t="n">
        <x:v>2</x:v>
      </x:c>
      <x:c r="C181" s="22" t="str">
        <x:v>Output</x:v>
      </x:c>
      <x:c r="D181" s="33" t="n">
        <x:v>73</x:v>
      </x:c>
      <x:c r="E181" s="11" t="n">
        <x:f>IF(AND(ISNUMBER(F181),ISNUMBER('Reference data'!$B$3)),F181*'Reference data'!$B$3,"Unknown")</x:f>
        <x:v>0.00007624003199999998</x:v>
      </x:c>
      <x:c r="F181" s="11" t="n">
        <x:f>IF(D181=0,0,IF(ISNUMBER('Reference data'!E22),D181*'Reference data'!E22/1000000,"Unknown"))</x:f>
        <x:v>0.00008759999999999999</x:v>
      </x:c>
      <x:c r="G181" s="33" t="n">
        <x:f>IF(ISNUMBER(E181),ROUND(E181*'Reference data'!$B$2,0),"Unknown")</x:f>
        <x:v>8</x:v>
      </x:c>
      <x:c r="H181" s="33" t="n">
        <x:f>IF(ISNUMBER(F181),ROUND(F181*'Reference data'!$B$2,0),"Unknown")</x:f>
        <x:v>9</x:v>
      </x:c>
      <x:c r="I181" s="14"/>
      <x:c r="J181" s="2"/>
      <x:c r="K181" s="2"/>
      <x:c r="L181" s="33"/>
      <x:c r="M181" s="2"/>
    </x:row>
    <x:row r="182" ht="34" customHeight="1">
      <x:c r="A182" s="2" t="str">
        <x:v>R14</x:v>
      </x:c>
      <x:c r="B182" s="2" t="n">
        <x:v>2</x:v>
      </x:c>
      <x:c r="C182" s="2" t="str">
        <x:v>    Output content</x:v>
      </x:c>
      <x:c r="D182" s="33"/>
      <x:c r="E182" s="11"/>
      <x:c r="F182" s="11"/>
      <x:c r="G182" s="33"/>
      <x:c r="H182" s="33"/>
      <x:c r="I182" s="14" t="str">
        <x:v>{"name":"workflow_reference","args":{"topic":"tool observations"},"id":"lookup-1-1","type":"tool_call"}</x:v>
      </x:c>
      <x:c r="J182" s="2"/>
      <x:c r="K182" s="2"/>
      <x:c r="L182" s="33"/>
      <x:c r="M182" s="2"/>
    </x:row>
    <x:row r="183" ht="24" customHeight="1">
      <x:c r="A183" s="2" t="str">
        <x:v>R14</x:v>
      </x:c>
      <x:c r="B183" s="2" t="n">
        <x:v>2</x:v>
      </x:c>
      <x:c r="C183" s="2" t="str">
        <x:v>Cache write</x:v>
      </x:c>
      <x:c r="D183" s="33" t="n">
        <x:v>73</x:v>
      </x:c>
      <x:c r="E183" s="11"/>
      <x:c r="F183" s="11"/>
      <x:c r="G183" s="33"/>
      <x:c r="H183" s="33"/>
      <x:c r="I183" s="14"/>
      <x:c r="J183" s="2"/>
      <x:c r="K183" s="2"/>
      <x:c r="L183" s="33"/>
      <x:c r="M183" s="2"/>
    </x:row>
    <x:row r="184" ht="24" customHeight="1">
      <x:c r="A184" s="2" t="str">
        <x:v>R14</x:v>
      </x:c>
      <x:c r="B184" s="2" t="n">
        <x:v>2</x:v>
      </x:c>
      <x:c r="C184" s="2" t="str">
        <x:v>Context · added / total</x:v>
      </x:c>
      <x:c r="D184" s="33" t="n">
        <x:v>73</x:v>
      </x:c>
      <x:c r="E184" s="11"/>
      <x:c r="F184" s="11"/>
      <x:c r="G184" s="33"/>
      <x:c r="H184" s="33"/>
      <x:c r="I184" s="14"/>
      <x:c r="J184" s="2"/>
      <x:c r="K184" s="2"/>
      <x:c r="L184" s="33" t="n">
        <x:v>711</x:v>
      </x:c>
      <x:c r="M184" s="2"/>
    </x:row>
    <x:row r="185" ht="24" customHeight="1">
      <x:c r="A185" s="21" t="str">
        <x:v>R14</x:v>
      </x:c>
      <x:c r="B185" s="21" t="n">
        <x:v>2</x:v>
      </x:c>
      <x:c r="C185" s="21" t="str">
        <x:v>Call total</x:v>
      </x:c>
      <x:c r="D185" s="32"/>
      <x:c r="E185" s="29" t="n">
        <x:f>IF(COUNT(E175,E176,E181)=3,SUM(E175,E176,E181),"Unknown")</x:f>
        <x:v>0.000187292864</x:v>
      </x:c>
      <x:c r="F185" s="29" t="n">
        <x:f>IF(COUNT(F175,F176,F181)=3,SUM(F175,F176,F181),"Unknown")</x:f>
        <x:v>0.0002152</x:v>
      </x:c>
      <x:c r="G185" s="32" t="n">
        <x:f>IF(ISNUMBER(E185),ROUND(E185*'Reference data'!$B$2,0),"Unknown")</x:f>
        <x:v>19</x:v>
      </x:c>
      <x:c r="H185" s="32" t="n">
        <x:f>IF(ISNUMBER(F185),ROUND(F185*'Reference data'!$B$2,0),"Unknown")</x:f>
        <x:v>22</x:v>
      </x:c>
      <x:c r="I185" s="26"/>
      <x:c r="J185" s="21"/>
      <x:c r="K185" s="21" t="str">
        <x:v>ok</x:v>
      </x:c>
      <x:c r="L185" s="32"/>
      <x:c r="M185" s="21"/>
    </x:row>
    <x:row r="186" ht="24" customHeight="1">
      <x:c r="A186" s="24"/>
      <x:c r="B186" s="24" t="n">
        <x:v>2</x:v>
      </x:c>
      <x:c r="C186" s="24" t="str">
        <x:v>Tool · workflow_reference</x:v>
      </x:c>
      <x:c r="D186" s="34"/>
      <x:c r="E186" s="30"/>
      <x:c r="F186" s="30"/>
      <x:c r="G186" s="34"/>
      <x:c r="H186" s="34"/>
      <x:c r="I186" s="27"/>
      <x:c r="J186" s="24"/>
      <x:c r="K186" s="24" t="str">
        <x:v>ok</x:v>
      </x:c>
      <x:c r="L186" s="34"/>
      <x:c r="M186" s="24" t="str">
        <x:v>01a0c6fd-6dfd-78c2-b17c-13645f49ac38</x:v>
      </x:c>
    </x:row>
    <x:row r="187" ht="24" customHeight="1">
      <x:c r="A187" s="2"/>
      <x:c r="B187" s="2" t="n">
        <x:v>2</x:v>
      </x:c>
      <x:c r="C187" s="2" t="str">
        <x:v>    Arguments</x:v>
      </x:c>
      <x:c r="D187" s="33"/>
      <x:c r="E187" s="11"/>
      <x:c r="F187" s="11"/>
      <x:c r="G187" s="33"/>
      <x:c r="H187" s="33"/>
      <x:c r="I187" s="14" t="str">
        <x:v>{'topic': 'tool observations'}</x:v>
      </x:c>
      <x:c r="J187" s="2"/>
      <x:c r="K187" s="2"/>
      <x:c r="L187" s="33"/>
      <x:c r="M187" s="2"/>
    </x:row>
    <x:row r="188" ht="24" customHeight="1">
      <x:c r="A188" s="2"/>
      <x:c r="B188" s="2" t="n">
        <x:v>2</x:v>
      </x:c>
      <x:c r="C188" s="2" t="str">
        <x:v>    Result</x:v>
      </x:c>
      <x:c r="D188" s="33"/>
      <x:c r="E188" s="11"/>
      <x:c r="F188" s="11"/>
      <x:c r="G188" s="33"/>
      <x:c r="H188" s="33"/>
      <x:c r="I188" s="14" t="str">
        <x:v>tool observations: an agent selects a tool, observes its result, and uses it to answer.</x:v>
      </x:c>
      <x:c r="J188" s="2"/>
      <x:c r="K188" s="2"/>
      <x:c r="L188" s="33"/>
      <x:c r="M188" s="2"/>
    </x:row>
    <x:row r="189" ht="24" customHeight="1">
      <x:c r="A189" s="21" t="str">
        <x:v>R15</x:v>
      </x:c>
      <x:c r="B189" s="21" t="n">
        <x:v>2</x:v>
      </x:c>
      <x:c r="C189" s="21" t="str">
        <x:v>LLM request</x:v>
      </x:c>
      <x:c r="D189" s="32" t="n">
        <x:v>1007</x:v>
      </x:c>
      <x:c r="E189" s="29"/>
      <x:c r="F189" s="29"/>
      <x:c r="G189" s="32"/>
      <x:c r="H189" s="32"/>
      <x:c r="I189" s="26"/>
      <x:c r="J189" s="21" t="str">
        <x:v>scripted-chat</x:v>
      </x:c>
      <x:c r="K189" s="21"/>
      <x:c r="L189" s="32"/>
      <x:c r="M189" s="21" t="str">
        <x:v>01a0c6fd-6dff-7c50-b2cd-4730fc5eaa9c</x:v>
      </x:c>
    </x:row>
    <x:row r="190" ht="24" customHeight="1">
      <x:c r="A190" s="2" t="str">
        <x:v>R15</x:v>
      </x:c>
      <x:c r="B190" s="2" t="n">
        <x:v>2</x:v>
      </x:c>
      <x:c r="C190" s="22" t="str">
        <x:v>Conversation history · cache read</x:v>
      </x:c>
      <x:c r="D190" s="33" t="n">
        <x:v>0</x:v>
      </x:c>
      <x:c r="E190" s="11" t="n">
        <x:f>IF(AND(ISNUMBER(F190),ISNUMBER('Reference data'!$B$3)),F190*'Reference data'!$B$3,"Unknown")</x:f>
        <x:v>0</x:v>
      </x:c>
      <x:c r="F190" s="11" t="n">
        <x:f>IF(D190=0,0,IF(ISNUMBER('Reference data'!C22),D190*'Reference data'!C22/1000000,"Unknown"))</x:f>
        <x:v>0</x:v>
      </x:c>
      <x:c r="G190" s="33" t="n">
        <x:f>IF(ISNUMBER(E190),ROUND(E190*'Reference data'!$B$2,0),"Unknown")</x:f>
        <x:v>0</x:v>
      </x:c>
      <x:c r="H190" s="33" t="n">
        <x:f>IF(ISNUMBER(F190),ROUND(F190*'Reference data'!$B$2,0),"Unknown")</x:f>
        <x:v>0</x:v>
      </x:c>
      <x:c r="I190" s="14"/>
      <x:c r="J190" s="2"/>
      <x:c r="K190" s="2"/>
      <x:c r="L190" s="33"/>
      <x:c r="M190" s="2"/>
    </x:row>
    <x:row r="191" ht="24" customHeight="1">
      <x:c r="A191" s="2" t="str">
        <x:v>R15</x:v>
      </x:c>
      <x:c r="B191" s="2" t="n">
        <x:v>2</x:v>
      </x:c>
      <x:c r="C191" s="22" t="str">
        <x:v>Fresh input</x:v>
      </x:c>
      <x:c r="D191" s="33" t="n">
        <x:v>1007</x:v>
      </x:c>
      <x:c r="E191" s="11" t="n">
        <x:f>IF(AND(ISNUMBER(F191),ISNUMBER('Reference data'!$B$3)),F191*'Reference data'!$B$3,"Unknown")</x:f>
        <x:v>0.00017528244800000002</x:v>
      </x:c>
      <x:c r="F191" s="11" t="n">
        <x:f>IF(D191=0,0,IF(ISNUMBER('Reference data'!B22),D191*'Reference data'!B22/1000000,"Unknown"))</x:f>
        <x:v>0.00020140000000000002</x:v>
      </x:c>
      <x:c r="G191" s="33" t="n">
        <x:f>IF(ISNUMBER(E191),ROUND(E191*'Reference data'!$B$2,0),"Unknown")</x:f>
        <x:v>18</x:v>
      </x:c>
      <x:c r="H191" s="33" t="n">
        <x:f>IF(ISNUMBER(F191),ROUND(F191*'Reference data'!$B$2,0),"Unknown")</x:f>
        <x:v>20</x:v>
      </x:c>
      <x:c r="I191" s="14"/>
      <x:c r="J191" s="2"/>
      <x:c r="K191" s="2"/>
      <x:c r="L191" s="33"/>
      <x:c r="M191" s="2"/>
    </x:row>
    <x:row r="192" ht="24" customHeight="1">
      <x:c r="A192" s="2" t="str">
        <x:v>R15</x:v>
      </x:c>
      <x:c r="B192" s="2" t="n">
        <x:v>2</x:v>
      </x:c>
      <x:c r="C192" s="2" t="str">
        <x:v>Cache write</x:v>
      </x:c>
      <x:c r="D192" s="33" t="n">
        <x:v>1007</x:v>
      </x:c>
      <x:c r="E192" s="11"/>
      <x:c r="F192" s="11"/>
      <x:c r="G192" s="33"/>
      <x:c r="H192" s="33"/>
      <x:c r="I192" s="14"/>
      <x:c r="J192" s="2"/>
      <x:c r="K192" s="2"/>
      <x:c r="L192" s="33"/>
      <x:c r="M192" s="2"/>
    </x:row>
    <x:row r="193" ht="24" customHeight="1">
      <x:c r="A193" s="2" t="str">
        <x:v>R15</x:v>
      </x:c>
      <x:c r="B193" s="2" t="n">
        <x:v>2</x:v>
      </x:c>
      <x:c r="C193" s="2" t="str">
        <x:v>Context · added / total</x:v>
      </x:c>
      <x:c r="D193" s="33" t="n">
        <x:v>1007</x:v>
      </x:c>
      <x:c r="E193" s="11"/>
      <x:c r="F193" s="11"/>
      <x:c r="G193" s="33"/>
      <x:c r="H193" s="33"/>
      <x:c r="I193" s="14"/>
      <x:c r="J193" s="2"/>
      <x:c r="K193" s="2"/>
      <x:c r="L193" s="33" t="n">
        <x:v>1007</x:v>
      </x:c>
      <x:c r="M193" s="2"/>
    </x:row>
    <x:row r="194" ht="24" customHeight="1">
      <x:c r="A194" s="21" t="str">
        <x:v>R15</x:v>
      </x:c>
      <x:c r="B194" s="21" t="n">
        <x:v>2</x:v>
      </x:c>
      <x:c r="C194" s="21" t="str">
        <x:v>LLM response</x:v>
      </x:c>
      <x:c r="D194" s="32" t="n">
        <x:v>46</x:v>
      </x:c>
      <x:c r="E194" s="29"/>
      <x:c r="F194" s="29"/>
      <x:c r="G194" s="32"/>
      <x:c r="H194" s="32"/>
      <x:c r="I194" s="26"/>
      <x:c r="J194" s="21"/>
      <x:c r="K194" s="21"/>
      <x:c r="L194" s="32"/>
      <x:c r="M194" s="21"/>
    </x:row>
    <x:row r="195" ht="24" customHeight="1">
      <x:c r="A195" s="2" t="str">
        <x:v>R15</x:v>
      </x:c>
      <x:c r="B195" s="2" t="n">
        <x:v>2</x:v>
      </x:c>
      <x:c r="C195" s="22" t="str">
        <x:v>Output</x:v>
      </x:c>
      <x:c r="D195" s="33" t="n">
        <x:v>46</x:v>
      </x:c>
      <x:c r="E195" s="11" t="n">
        <x:f>IF(AND(ISNUMBER(F195),ISNUMBER('Reference data'!$B$3)),F195*'Reference data'!$B$3,"Unknown")</x:f>
        <x:v>0.00004804166399999999</x:v>
      </x:c>
      <x:c r="F195" s="11" t="n">
        <x:f>IF(D195=0,0,IF(ISNUMBER('Reference data'!E22),D195*'Reference data'!E22/1000000,"Unknown"))</x:f>
        <x:v>0.00005519999999999999</x:v>
      </x:c>
      <x:c r="G195" s="33" t="n">
        <x:f>IF(ISNUMBER(E195),ROUND(E195*'Reference data'!$B$2,0),"Unknown")</x:f>
        <x:v>5</x:v>
      </x:c>
      <x:c r="H195" s="33" t="n">
        <x:f>IF(ISNUMBER(F195),ROUND(F195*'Reference data'!$B$2,0),"Unknown")</x:f>
        <x:v>6</x:v>
      </x:c>
      <x:c r="I195" s="14"/>
      <x:c r="J195" s="2"/>
      <x:c r="K195" s="2"/>
      <x:c r="L195" s="33"/>
      <x:c r="M195" s="2"/>
    </x:row>
    <x:row r="196" ht="34" customHeight="1">
      <x:c r="A196" s="2" t="str">
        <x:v>R15</x:v>
      </x:c>
      <x:c r="B196" s="2" t="n">
        <x:v>2</x:v>
      </x:c>
      <x:c r="C196" s="2" t="str">
        <x:v>    Output content</x:v>
      </x:c>
      <x:c r="D196" s="33"/>
      <x:c r="E196" s="11"/>
      <x:c r="F196" s="11"/>
      <x:c r="G196" s="33"/>
      <x:c r="H196" s="33"/>
      <x:c r="I196" s="14" t="str">
        <x:v>The assignment is to explain delegation. The reference says agents select tools and use observations.</x:v>
      </x:c>
      <x:c r="J196" s="2"/>
      <x:c r="K196" s="2"/>
      <x:c r="L196" s="33"/>
      <x:c r="M196" s="2"/>
    </x:row>
    <x:row r="197" ht="24" customHeight="1">
      <x:c r="A197" s="2" t="str">
        <x:v>R15</x:v>
      </x:c>
      <x:c r="B197" s="2" t="n">
        <x:v>2</x:v>
      </x:c>
      <x:c r="C197" s="2" t="str">
        <x:v>Cache write</x:v>
      </x:c>
      <x:c r="D197" s="33" t="n">
        <x:v>46</x:v>
      </x:c>
      <x:c r="E197" s="11"/>
      <x:c r="F197" s="11"/>
      <x:c r="G197" s="33"/>
      <x:c r="H197" s="33"/>
      <x:c r="I197" s="14"/>
      <x:c r="J197" s="2"/>
      <x:c r="K197" s="2"/>
      <x:c r="L197" s="33"/>
      <x:c r="M197" s="2"/>
    </x:row>
    <x:row r="198" ht="24" customHeight="1">
      <x:c r="A198" s="2" t="str">
        <x:v>R15</x:v>
      </x:c>
      <x:c r="B198" s="2" t="n">
        <x:v>2</x:v>
      </x:c>
      <x:c r="C198" s="2" t="str">
        <x:v>Context · added / total</x:v>
      </x:c>
      <x:c r="D198" s="33" t="n">
        <x:v>46</x:v>
      </x:c>
      <x:c r="E198" s="11"/>
      <x:c r="F198" s="11"/>
      <x:c r="G198" s="33"/>
      <x:c r="H198" s="33"/>
      <x:c r="I198" s="14"/>
      <x:c r="J198" s="2"/>
      <x:c r="K198" s="2"/>
      <x:c r="L198" s="33" t="n">
        <x:v>1053</x:v>
      </x:c>
      <x:c r="M198" s="2"/>
    </x:row>
    <x:row r="199" ht="24" customHeight="1">
      <x:c r="A199" s="21" t="str">
        <x:v>R15</x:v>
      </x:c>
      <x:c r="B199" s="21" t="n">
        <x:v>2</x:v>
      </x:c>
      <x:c r="C199" s="21" t="str">
        <x:v>Call total</x:v>
      </x:c>
      <x:c r="D199" s="32"/>
      <x:c r="E199" s="29" t="n">
        <x:f>IF(COUNT(E190,E191,E195)=3,SUM(E190,E191,E195),"Unknown")</x:f>
        <x:v>0.00022332411200000002</x:v>
      </x:c>
      <x:c r="F199" s="29" t="n">
        <x:f>IF(COUNT(F190,F191,F195)=3,SUM(F190,F191,F195),"Unknown")</x:f>
        <x:v>0.0002566</x:v>
      </x:c>
      <x:c r="G199" s="32" t="n">
        <x:f>IF(ISNUMBER(E199),ROUND(E199*'Reference data'!$B$2,0),"Unknown")</x:f>
        <x:v>22</x:v>
      </x:c>
      <x:c r="H199" s="32" t="n">
        <x:f>IF(ISNUMBER(F199),ROUND(F199*'Reference data'!$B$2,0),"Unknown")</x:f>
        <x:v>26</x:v>
      </x:c>
      <x:c r="I199" s="26"/>
      <x:c r="J199" s="21"/>
      <x:c r="K199" s="21" t="str">
        <x:v>ok</x:v>
      </x:c>
      <x:c r="L199" s="32"/>
      <x:c r="M199" s="21"/>
    </x:row>
    <x:row r="200" ht="24" customHeight="1">
      <x:c r="A200" s="21" t="str">
        <x:v>R16</x:v>
      </x:c>
      <x:c r="B200" s="21" t="n">
        <x:v>2</x:v>
      </x:c>
      <x:c r="C200" s="21" t="str">
        <x:v>LLM request</x:v>
      </x:c>
      <x:c r="D200" s="32" t="n">
        <x:v>368</x:v>
      </x:c>
      <x:c r="E200" s="29"/>
      <x:c r="F200" s="29"/>
      <x:c r="G200" s="32"/>
      <x:c r="H200" s="32"/>
      <x:c r="I200" s="26"/>
      <x:c r="J200" s="21" t="str">
        <x:v>scripted-chat</x:v>
      </x:c>
      <x:c r="K200" s="21"/>
      <x:c r="L200" s="32"/>
      <x:c r="M200" s="21" t="str">
        <x:v>01a0c6fd-6e03-7aa0-86ee-a1cad6ec41ad</x:v>
      </x:c>
    </x:row>
    <x:row r="201" ht="24" customHeight="1">
      <x:c r="A201" s="2" t="str">
        <x:v>R16</x:v>
      </x:c>
      <x:c r="B201" s="2" t="n">
        <x:v>2</x:v>
      </x:c>
      <x:c r="C201" s="22" t="str">
        <x:v>Conversation history · cache read</x:v>
      </x:c>
      <x:c r="D201" s="33" t="n">
        <x:v>0</x:v>
      </x:c>
      <x:c r="E201" s="11" t="n">
        <x:f>IF(AND(ISNUMBER(F201),ISNUMBER('Reference data'!$B$3)),F201*'Reference data'!$B$3,"Unknown")</x:f>
        <x:v>0</x:v>
      </x:c>
      <x:c r="F201" s="11" t="n">
        <x:f>IF(D201=0,0,IF(ISNUMBER('Reference data'!C22),D201*'Reference data'!C22/1000000,"Unknown"))</x:f>
        <x:v>0</x:v>
      </x:c>
      <x:c r="G201" s="33" t="n">
        <x:f>IF(ISNUMBER(E201),ROUND(E201*'Reference data'!$B$2,0),"Unknown")</x:f>
        <x:v>0</x:v>
      </x:c>
      <x:c r="H201" s="33" t="n">
        <x:f>IF(ISNUMBER(F201),ROUND(F201*'Reference data'!$B$2,0),"Unknown")</x:f>
        <x:v>0</x:v>
      </x:c>
      <x:c r="I201" s="14"/>
      <x:c r="J201" s="2"/>
      <x:c r="K201" s="2"/>
      <x:c r="L201" s="33"/>
      <x:c r="M201" s="2"/>
    </x:row>
    <x:row r="202" ht="24" customHeight="1">
      <x:c r="A202" s="2" t="str">
        <x:v>R16</x:v>
      </x:c>
      <x:c r="B202" s="2" t="n">
        <x:v>2</x:v>
      </x:c>
      <x:c r="C202" s="22" t="str">
        <x:v>Fresh input</x:v>
      </x:c>
      <x:c r="D202" s="33" t="n">
        <x:v>368</x:v>
      </x:c>
      <x:c r="E202" s="11" t="n">
        <x:f>IF(AND(ISNUMBER(F202),ISNUMBER('Reference data'!$B$3)),F202*'Reference data'!$B$3,"Unknown")</x:f>
        <x:v>0.00006405555200000001</x:v>
      </x:c>
      <x:c r="F202" s="11" t="n">
        <x:f>IF(D202=0,0,IF(ISNUMBER('Reference data'!B22),D202*'Reference data'!B22/1000000,"Unknown"))</x:f>
        <x:v>0.00007360000000000001</x:v>
      </x:c>
      <x:c r="G202" s="33" t="n">
        <x:f>IF(ISNUMBER(E202),ROUND(E202*'Reference data'!$B$2,0),"Unknown")</x:f>
        <x:v>6</x:v>
      </x:c>
      <x:c r="H202" s="33" t="n">
        <x:f>IF(ISNUMBER(F202),ROUND(F202*'Reference data'!$B$2,0),"Unknown")</x:f>
        <x:v>7</x:v>
      </x:c>
      <x:c r="I202" s="14"/>
      <x:c r="J202" s="2"/>
      <x:c r="K202" s="2"/>
      <x:c r="L202" s="33"/>
      <x:c r="M202" s="2"/>
    </x:row>
    <x:row r="203" ht="24" customHeight="1">
      <x:c r="A203" s="2" t="str">
        <x:v>R16</x:v>
      </x:c>
      <x:c r="B203" s="2" t="n">
        <x:v>2</x:v>
      </x:c>
      <x:c r="C203" s="2" t="str">
        <x:v>    Tool result</x:v>
      </x:c>
      <x:c r="D203" s="33" t="n">
        <x:v>54</x:v>
      </x:c>
      <x:c r="E203" s="11"/>
      <x:c r="F203" s="11"/>
      <x:c r="G203" s="33"/>
      <x:c r="H203" s="33"/>
      <x:c r="I203" s="14" t="str">
        <x:v>tool observations: an agent selects a tool, observes its result, and uses it to answer.</x:v>
      </x:c>
      <x:c r="J203" s="2"/>
      <x:c r="K203" s="2"/>
      <x:c r="L203" s="33"/>
      <x:c r="M203" s="2"/>
    </x:row>
    <x:row r="204" ht="24" customHeight="1">
      <x:c r="A204" s="2" t="str">
        <x:v>R16</x:v>
      </x:c>
      <x:c r="B204" s="2" t="n">
        <x:v>2</x:v>
      </x:c>
      <x:c r="C204" s="2" t="str">
        <x:v>Cache write</x:v>
      </x:c>
      <x:c r="D204" s="33" t="n">
        <x:v>368</x:v>
      </x:c>
      <x:c r="E204" s="11"/>
      <x:c r="F204" s="11"/>
      <x:c r="G204" s="33"/>
      <x:c r="H204" s="33"/>
      <x:c r="I204" s="14"/>
      <x:c r="J204" s="2"/>
      <x:c r="K204" s="2"/>
      <x:c r="L204" s="33"/>
      <x:c r="M204" s="2"/>
    </x:row>
    <x:row r="205" ht="24" customHeight="1">
      <x:c r="A205" s="2" t="str">
        <x:v>R16</x:v>
      </x:c>
      <x:c r="B205" s="2" t="n">
        <x:v>2</x:v>
      </x:c>
      <x:c r="C205" s="2" t="str">
        <x:v>Context · added / total</x:v>
      </x:c>
      <x:c r="D205" s="33" t="n">
        <x:v>368</x:v>
      </x:c>
      <x:c r="E205" s="11"/>
      <x:c r="F205" s="11"/>
      <x:c r="G205" s="33"/>
      <x:c r="H205" s="33"/>
      <x:c r="I205" s="14"/>
      <x:c r="J205" s="2"/>
      <x:c r="K205" s="2"/>
      <x:c r="L205" s="33" t="n">
        <x:v>368</x:v>
      </x:c>
      <x:c r="M205" s="2"/>
    </x:row>
    <x:row r="206" ht="24" customHeight="1">
      <x:c r="A206" s="21" t="str">
        <x:v>R16</x:v>
      </x:c>
      <x:c r="B206" s="21" t="n">
        <x:v>2</x:v>
      </x:c>
      <x:c r="C206" s="21" t="str">
        <x:v>LLM response</x:v>
      </x:c>
      <x:c r="D206" s="32" t="n">
        <x:v>45</x:v>
      </x:c>
      <x:c r="E206" s="29"/>
      <x:c r="F206" s="29"/>
      <x:c r="G206" s="32"/>
      <x:c r="H206" s="32"/>
      <x:c r="I206" s="26"/>
      <x:c r="J206" s="21"/>
      <x:c r="K206" s="21"/>
      <x:c r="L206" s="32"/>
      <x:c r="M206" s="21"/>
    </x:row>
    <x:row r="207" ht="24" customHeight="1">
      <x:c r="A207" s="2" t="str">
        <x:v>R16</x:v>
      </x:c>
      <x:c r="B207" s="2" t="n">
        <x:v>2</x:v>
      </x:c>
      <x:c r="C207" s="22" t="str">
        <x:v>Output</x:v>
      </x:c>
      <x:c r="D207" s="33" t="n">
        <x:v>45</x:v>
      </x:c>
      <x:c r="E207" s="11" t="n">
        <x:f>IF(AND(ISNUMBER(F207),ISNUMBER('Reference data'!$B$3)),F207*'Reference data'!$B$3,"Unknown")</x:f>
        <x:v>0.00004699728</x:v>
      </x:c>
      <x:c r="F207" s="11" t="n">
        <x:f>IF(D207=0,0,IF(ISNUMBER('Reference data'!E22),D207*'Reference data'!E22/1000000,"Unknown"))</x:f>
        <x:v>0.000054</x:v>
      </x:c>
      <x:c r="G207" s="33" t="n">
        <x:f>IF(ISNUMBER(E207),ROUND(E207*'Reference data'!$B$2,0),"Unknown")</x:f>
        <x:v>5</x:v>
      </x:c>
      <x:c r="H207" s="33" t="n">
        <x:f>IF(ISNUMBER(F207),ROUND(F207*'Reference data'!$B$2,0),"Unknown")</x:f>
        <x:v>5</x:v>
      </x:c>
      <x:c r="I207" s="14"/>
      <x:c r="J207" s="2"/>
      <x:c r="K207" s="2"/>
      <x:c r="L207" s="33"/>
      <x:c r="M207" s="2"/>
    </x:row>
    <x:row r="208" ht="24" customHeight="1">
      <x:c r="A208" s="2" t="str">
        <x:v>R16</x:v>
      </x:c>
      <x:c r="B208" s="2" t="n">
        <x:v>2</x:v>
      </x:c>
      <x:c r="C208" s="2" t="str">
        <x:v>    Output content</x:v>
      </x:c>
      <x:c r="D208" s="33"/>
      <x:c r="E208" s="11"/>
      <x:c r="F208" s="11"/>
      <x:c r="G208" s="33"/>
      <x:c r="H208" s="33"/>
      <x:c r="I208" s="14" t="str">
        <x:v>An agent selects a tool, observes its result, and uses it to answer.</x:v>
      </x:c>
      <x:c r="J208" s="2"/>
      <x:c r="K208" s="2"/>
      <x:c r="L208" s="33"/>
      <x:c r="M208" s="2"/>
    </x:row>
    <x:row r="209" ht="24" customHeight="1">
      <x:c r="A209" s="2" t="str">
        <x:v>R16</x:v>
      </x:c>
      <x:c r="B209" s="2" t="n">
        <x:v>2</x:v>
      </x:c>
      <x:c r="C209" s="2" t="str">
        <x:v>Cache write</x:v>
      </x:c>
      <x:c r="D209" s="33" t="n">
        <x:v>45</x:v>
      </x:c>
      <x:c r="E209" s="11"/>
      <x:c r="F209" s="11"/>
      <x:c r="G209" s="33"/>
      <x:c r="H209" s="33"/>
      <x:c r="I209" s="14"/>
      <x:c r="J209" s="2"/>
      <x:c r="K209" s="2"/>
      <x:c r="L209" s="33"/>
      <x:c r="M209" s="2"/>
    </x:row>
    <x:row r="210" ht="24" customHeight="1">
      <x:c r="A210" s="2" t="str">
        <x:v>R16</x:v>
      </x:c>
      <x:c r="B210" s="2" t="n">
        <x:v>2</x:v>
      </x:c>
      <x:c r="C210" s="2" t="str">
        <x:v>Context · added / total</x:v>
      </x:c>
      <x:c r="D210" s="33" t="n">
        <x:v>45</x:v>
      </x:c>
      <x:c r="E210" s="11"/>
      <x:c r="F210" s="11"/>
      <x:c r="G210" s="33"/>
      <x:c r="H210" s="33"/>
      <x:c r="I210" s="14"/>
      <x:c r="J210" s="2"/>
      <x:c r="K210" s="2"/>
      <x:c r="L210" s="33" t="n">
        <x:v>413</x:v>
      </x:c>
      <x:c r="M210" s="2"/>
    </x:row>
    <x:row r="211" ht="24" customHeight="1">
      <x:c r="A211" s="21" t="str">
        <x:v>R16</x:v>
      </x:c>
      <x:c r="B211" s="21" t="n">
        <x:v>2</x:v>
      </x:c>
      <x:c r="C211" s="21" t="str">
        <x:v>Call total</x:v>
      </x:c>
      <x:c r="D211" s="32"/>
      <x:c r="E211" s="29" t="n">
        <x:f>IF(COUNT(E201,E202,E207)=3,SUM(E201,E202,E207),"Unknown")</x:f>
        <x:v>0.000111052832</x:v>
      </x:c>
      <x:c r="F211" s="29" t="n">
        <x:f>IF(COUNT(F201,F202,F207)=3,SUM(F201,F202,F207),"Unknown")</x:f>
        <x:v>0.0001276</x:v>
      </x:c>
      <x:c r="G211" s="32" t="n">
        <x:f>IF(ISNUMBER(E211),ROUND(E211*'Reference data'!$B$2,0),"Unknown")</x:f>
        <x:v>11</x:v>
      </x:c>
      <x:c r="H211" s="32" t="n">
        <x:f>IF(ISNUMBER(F211),ROUND(F211*'Reference data'!$B$2,0),"Unknown")</x:f>
        <x:v>13</x:v>
      </x:c>
      <x:c r="I211" s="26"/>
      <x:c r="J211" s="21"/>
      <x:c r="K211" s="21" t="str">
        <x:v>ok</x:v>
      </x:c>
      <x:c r="L211" s="32"/>
      <x:c r="M211" s="21"/>
    </x:row>
    <x:row r="212" ht="24" customHeight="1">
      <x:c r="A212" s="21" t="str">
        <x:v>R17</x:v>
      </x:c>
      <x:c r="B212" s="21" t="n">
        <x:v>2</x:v>
      </x:c>
      <x:c r="C212" s="21" t="str">
        <x:v>LLM request</x:v>
      </x:c>
      <x:c r="D212" s="32" t="n">
        <x:v>989</x:v>
      </x:c>
      <x:c r="E212" s="29"/>
      <x:c r="F212" s="29"/>
      <x:c r="G212" s="32"/>
      <x:c r="H212" s="32"/>
      <x:c r="I212" s="26"/>
      <x:c r="J212" s="21" t="str">
        <x:v>scripted-chat</x:v>
      </x:c>
      <x:c r="K212" s="21"/>
      <x:c r="L212" s="32"/>
      <x:c r="M212" s="21" t="str">
        <x:v>01a0c6fd-6e08-7342-a304-2bba6be23724</x:v>
      </x:c>
    </x:row>
    <x:row r="213" ht="24" customHeight="1">
      <x:c r="A213" s="2" t="str">
        <x:v>R17</x:v>
      </x:c>
      <x:c r="B213" s="2" t="n">
        <x:v>2</x:v>
      </x:c>
      <x:c r="C213" s="22" t="str">
        <x:v>Conversation history · cache read</x:v>
      </x:c>
      <x:c r="D213" s="33" t="n">
        <x:v>0</x:v>
      </x:c>
      <x:c r="E213" s="11" t="n">
        <x:f>IF(AND(ISNUMBER(F213),ISNUMBER('Reference data'!$B$3)),F213*'Reference data'!$B$3,"Unknown")</x:f>
        <x:v>0</x:v>
      </x:c>
      <x:c r="F213" s="11" t="n">
        <x:f>IF(D213=0,0,IF(ISNUMBER('Reference data'!C22),D213*'Reference data'!C22/1000000,"Unknown"))</x:f>
        <x:v>0</x:v>
      </x:c>
      <x:c r="G213" s="33" t="n">
        <x:f>IF(ISNUMBER(E213),ROUND(E213*'Reference data'!$B$2,0),"Unknown")</x:f>
        <x:v>0</x:v>
      </x:c>
      <x:c r="H213" s="33" t="n">
        <x:f>IF(ISNUMBER(F213),ROUND(F213*'Reference data'!$B$2,0),"Unknown")</x:f>
        <x:v>0</x:v>
      </x:c>
      <x:c r="I213" s="14"/>
      <x:c r="J213" s="2"/>
      <x:c r="K213" s="2"/>
      <x:c r="L213" s="33"/>
      <x:c r="M213" s="2"/>
    </x:row>
    <x:row r="214" ht="24" customHeight="1">
      <x:c r="A214" s="2" t="str">
        <x:v>R17</x:v>
      </x:c>
      <x:c r="B214" s="2" t="n">
        <x:v>2</x:v>
      </x:c>
      <x:c r="C214" s="22" t="str">
        <x:v>Fresh input</x:v>
      </x:c>
      <x:c r="D214" s="33" t="n">
        <x:v>989</x:v>
      </x:c>
      <x:c r="E214" s="11" t="n">
        <x:f>IF(AND(ISNUMBER(F214),ISNUMBER('Reference data'!$B$3)),F214*'Reference data'!$B$3,"Unknown")</x:f>
        <x:v>0.000172149296</x:v>
      </x:c>
      <x:c r="F214" s="11" t="n">
        <x:f>IF(D214=0,0,IF(ISNUMBER('Reference data'!B22),D214*'Reference data'!B22/1000000,"Unknown"))</x:f>
        <x:v>0.0001978</x:v>
      </x:c>
      <x:c r="G214" s="33" t="n">
        <x:f>IF(ISNUMBER(E214),ROUND(E214*'Reference data'!$B$2,0),"Unknown")</x:f>
        <x:v>17</x:v>
      </x:c>
      <x:c r="H214" s="33" t="n">
        <x:f>IF(ISNUMBER(F214),ROUND(F214*'Reference data'!$B$2,0),"Unknown")</x:f>
        <x:v>20</x:v>
      </x:c>
      <x:c r="I214" s="14"/>
      <x:c r="J214" s="2"/>
      <x:c r="K214" s="2"/>
      <x:c r="L214" s="33"/>
      <x:c r="M214" s="2"/>
    </x:row>
    <x:row r="215" ht="24" customHeight="1">
      <x:c r="A215" s="2" t="str">
        <x:v>R17</x:v>
      </x:c>
      <x:c r="B215" s="2" t="n">
        <x:v>2</x:v>
      </x:c>
      <x:c r="C215" s="2" t="str">
        <x:v>    Tool result</x:v>
      </x:c>
      <x:c r="D215" s="33" t="n">
        <x:v>49</x:v>
      </x:c>
      <x:c r="E215" s="11"/>
      <x:c r="F215" s="11"/>
      <x:c r="G215" s="33"/>
      <x:c r="H215" s="33"/>
      <x:c r="I215" s="14" t="str">
        <x:v>An agent selects a tool, observes its result, and uses it to answer.</x:v>
      </x:c>
      <x:c r="J215" s="2"/>
      <x:c r="K215" s="2"/>
      <x:c r="L215" s="33"/>
      <x:c r="M215" s="2"/>
    </x:row>
    <x:row r="216" ht="24" customHeight="1">
      <x:c r="A216" s="2" t="str">
        <x:v>R17</x:v>
      </x:c>
      <x:c r="B216" s="2" t="n">
        <x:v>2</x:v>
      </x:c>
      <x:c r="C216" s="2" t="str">
        <x:v>Cache write</x:v>
      </x:c>
      <x:c r="D216" s="33" t="n">
        <x:v>989</x:v>
      </x:c>
      <x:c r="E216" s="11"/>
      <x:c r="F216" s="11"/>
      <x:c r="G216" s="33"/>
      <x:c r="H216" s="33"/>
      <x:c r="I216" s="14"/>
      <x:c r="J216" s="2"/>
      <x:c r="K216" s="2"/>
      <x:c r="L216" s="33"/>
      <x:c r="M216" s="2"/>
    </x:row>
    <x:row r="217" ht="24" customHeight="1">
      <x:c r="A217" s="2" t="str">
        <x:v>R17</x:v>
      </x:c>
      <x:c r="B217" s="2" t="n">
        <x:v>2</x:v>
      </x:c>
      <x:c r="C217" s="2" t="str">
        <x:v>Context · added / total</x:v>
      </x:c>
      <x:c r="D217" s="33" t="n">
        <x:v>989</x:v>
      </x:c>
      <x:c r="E217" s="11"/>
      <x:c r="F217" s="11"/>
      <x:c r="G217" s="33"/>
      <x:c r="H217" s="33"/>
      <x:c r="I217" s="14"/>
      <x:c r="J217" s="2"/>
      <x:c r="K217" s="2"/>
      <x:c r="L217" s="33" t="n">
        <x:v>989</x:v>
      </x:c>
      <x:c r="M217" s="2"/>
    </x:row>
    <x:row r="218" ht="24" customHeight="1">
      <x:c r="A218" s="21" t="str">
        <x:v>R17</x:v>
      </x:c>
      <x:c r="B218" s="21" t="n">
        <x:v>2</x:v>
      </x:c>
      <x:c r="C218" s="21" t="str">
        <x:v>LLM response</x:v>
      </x:c>
      <x:c r="D218" s="32" t="n">
        <x:v>42</x:v>
      </x:c>
      <x:c r="E218" s="29"/>
      <x:c r="F218" s="29"/>
      <x:c r="G218" s="32"/>
      <x:c r="H218" s="32"/>
      <x:c r="I218" s="26"/>
      <x:c r="J218" s="21"/>
      <x:c r="K218" s="21"/>
      <x:c r="L218" s="32"/>
      <x:c r="M218" s="21"/>
    </x:row>
    <x:row r="219" ht="24" customHeight="1">
      <x:c r="A219" s="2" t="str">
        <x:v>R17</x:v>
      </x:c>
      <x:c r="B219" s="2" t="n">
        <x:v>2</x:v>
      </x:c>
      <x:c r="C219" s="22" t="str">
        <x:v>Output</x:v>
      </x:c>
      <x:c r="D219" s="33" t="n">
        <x:v>42</x:v>
      </x:c>
      <x:c r="E219" s="11" t="n">
        <x:f>IF(AND(ISNUMBER(F219),ISNUMBER('Reference data'!$B$3)),F219*'Reference data'!$B$3,"Unknown")</x:f>
        <x:v>0.000043864127999999996</x:v>
      </x:c>
      <x:c r="F219" s="11" t="n">
        <x:f>IF(D219=0,0,IF(ISNUMBER('Reference data'!E22),D219*'Reference data'!E22/1000000,"Unknown"))</x:f>
        <x:v>0.0000504</x:v>
      </x:c>
      <x:c r="G219" s="33" t="n">
        <x:f>IF(ISNUMBER(E219),ROUND(E219*'Reference data'!$B$2,0),"Unknown")</x:f>
        <x:v>4</x:v>
      </x:c>
      <x:c r="H219" s="33" t="n">
        <x:f>IF(ISNUMBER(F219),ROUND(F219*'Reference data'!$B$2,0),"Unknown")</x:f>
        <x:v>5</x:v>
      </x:c>
      <x:c r="I219" s="14"/>
      <x:c r="J219" s="2"/>
      <x:c r="K219" s="2"/>
      <x:c r="L219" s="33"/>
      <x:c r="M219" s="2"/>
    </x:row>
    <x:row r="220" ht="24" customHeight="1">
      <x:c r="A220" s="2" t="str">
        <x:v>R17</x:v>
      </x:c>
      <x:c r="B220" s="2" t="n">
        <x:v>2</x:v>
      </x:c>
      <x:c r="C220" s="2" t="str">
        <x:v>    Output content</x:v>
      </x:c>
      <x:c r="D220" s="33"/>
      <x:c r="E220" s="11"/>
      <x:c r="F220" s="11"/>
      <x:c r="G220" s="33"/>
      <x:c r="H220" s="33"/>
      <x:c r="I220" s="14" t="str">
        <x:v>Le spécialiste reçoit une mission autonome et renvoie sa réponse au parent.</x:v>
      </x:c>
      <x:c r="J220" s="2"/>
      <x:c r="K220" s="2"/>
      <x:c r="L220" s="33"/>
      <x:c r="M220" s="2"/>
    </x:row>
    <x:row r="221" ht="24" customHeight="1">
      <x:c r="A221" s="2" t="str">
        <x:v>R17</x:v>
      </x:c>
      <x:c r="B221" s="2" t="n">
        <x:v>2</x:v>
      </x:c>
      <x:c r="C221" s="2" t="str">
        <x:v>Cache write</x:v>
      </x:c>
      <x:c r="D221" s="33" t="n">
        <x:v>42</x:v>
      </x:c>
      <x:c r="E221" s="11"/>
      <x:c r="F221" s="11"/>
      <x:c r="G221" s="33"/>
      <x:c r="H221" s="33"/>
      <x:c r="I221" s="14"/>
      <x:c r="J221" s="2"/>
      <x:c r="K221" s="2"/>
      <x:c r="L221" s="33"/>
      <x:c r="M221" s="2"/>
    </x:row>
    <x:row r="222" ht="24" customHeight="1">
      <x:c r="A222" s="2" t="str">
        <x:v>R17</x:v>
      </x:c>
      <x:c r="B222" s="2" t="n">
        <x:v>2</x:v>
      </x:c>
      <x:c r="C222" s="2" t="str">
        <x:v>Context · added / total</x:v>
      </x:c>
      <x:c r="D222" s="33" t="n">
        <x:v>42</x:v>
      </x:c>
      <x:c r="E222" s="11"/>
      <x:c r="F222" s="11"/>
      <x:c r="G222" s="33"/>
      <x:c r="H222" s="33"/>
      <x:c r="I222" s="14"/>
      <x:c r="J222" s="2"/>
      <x:c r="K222" s="2"/>
      <x:c r="L222" s="33" t="n">
        <x:v>1031</x:v>
      </x:c>
      <x:c r="M222" s="2"/>
    </x:row>
    <x:row r="223" ht="24" customHeight="1">
      <x:c r="A223" s="21" t="str">
        <x:v>R17</x:v>
      </x:c>
      <x:c r="B223" s="21" t="n">
        <x:v>2</x:v>
      </x:c>
      <x:c r="C223" s="21" t="str">
        <x:v>Call total</x:v>
      </x:c>
      <x:c r="D223" s="32"/>
      <x:c r="E223" s="29" t="n">
        <x:f>IF(COUNT(E213,E214,E219)=3,SUM(E213,E214,E219),"Unknown")</x:f>
        <x:v>0.000216013424</x:v>
      </x:c>
      <x:c r="F223" s="29" t="n">
        <x:f>IF(COUNT(F213,F214,F219)=3,SUM(F213,F214,F219),"Unknown")</x:f>
        <x:v>0.0002482</x:v>
      </x:c>
      <x:c r="G223" s="32" t="n">
        <x:f>IF(ISNUMBER(E223),ROUND(E223*'Reference data'!$B$2,0),"Unknown")</x:f>
        <x:v>22</x:v>
      </x:c>
      <x:c r="H223" s="32" t="n">
        <x:f>IF(ISNUMBER(F223),ROUND(F223*'Reference data'!$B$2,0),"Unknown")</x:f>
        <x:v>25</x:v>
      </x:c>
      <x:c r="I223" s="26"/>
      <x:c r="J223" s="21"/>
      <x:c r="K223" s="21" t="str">
        <x:v>ok</x:v>
      </x:c>
      <x:c r="L223" s="32"/>
      <x:c r="M223" s="21"/>
    </x:row>
  </x:sheetData>
  <x:conditionalFormatting sqref="A2:M223">
    <x:cfRule type="expression" dxfId="2" priority="1">
      <x:formula>$K2="error"</x:formula>
    </x:cfRule>
  </x:conditionalFormatting>
  <x:pageMargins left="0.7" right="0.7" top="0.75" bottom="0.75" header="0.3" footer="0.3"/>
</x:worksheet>
</file>

<file path=xl/worksheets/sheet2.xml><?xml version="1.0" encoding="utf-8"?>
<x:worksheet xmlns:x="http://schemas.openxmlformats.org/spreadsheetml/2006/main">
  <x:sheetPr>
    <x:tabColor rgb="FF173B70"/>
  </x:sheetPr>
  <x:sheetViews>
    <x:sheetView showGridLines="0" workbookViewId="0">
      <x:pane xSplit="1" ySplit="1" topLeftCell="B2" activePane="bottomRight" state="frozen"/>
    </x:sheetView>
  </x:sheetViews>
  <x:sheetFormatPr defaultRowHeight="15"/>
  <x:cols>
    <x:col min="1" max="1" width="48" hidden="0" customWidth="1"/>
    <x:col min="2" max="2" width="12" hidden="0" customWidth="1"/>
    <x:col min="3" max="3" width="12" hidden="0" customWidth="1"/>
    <x:col min="4" max="4" width="26" hidden="0" customWidth="1"/>
    <x:col min="5" max="5" width="18" hidden="0" customWidth="1"/>
    <x:col min="6" max="6" width="18" hidden="0" customWidth="1"/>
    <x:col min="7" max="7" width="62" hidden="0" customWidth="1"/>
    <x:col min="8" max="8" width="38" hidden="0" customWidth="1"/>
    <x:col min="9" max="9" width="3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18" hidden="0" customWidth="1"/>
    <x:col min="29" max="29" width="18" hidden="0" customWidth="1"/>
    <x:col min="30" max="30" width="18" hidden="0" customWidth="1"/>
    <x:col min="31" max="31" width="18" hidden="0" customWidth="1"/>
  </x:cols>
  <x:sheetData>
    <x:row r="1" ht="44" customHeight="1">
      <x:c r="A1" s="7" t="str">
        <x:v>Operation</x:v>
      </x:c>
      <x:c r="B1" s="7" t="str">
        <x:v>Depth</x:v>
      </x:c>
      <x:c r="C1" s="7" t="str">
        <x:v>Type</x:v>
      </x:c>
      <x:c r="D1" s="7" t="str">
        <x:v>Model · effort</x:v>
      </x:c>
      <x:c r="E1" s="7" t="str">
        <x:v>Status</x:v>
      </x:c>
      <x:c r="F1" s="7" t="str">
        <x:v>Input context tokens</x:v>
      </x:c>
      <x:c r="G1" s="7" t="str">
        <x:v>Description</x:v>
      </x:c>
      <x:c r="H1" s="7" t="str">
        <x:v>Span ID</x:v>
      </x:c>
      <x:c r="I1" s="7" t="str">
        <x:v>Parent ID</x:v>
      </x:c>
      <x:c r="J1" s="7" t="str">
        <x:v>Fresh input tokens</x:v>
      </x:c>
      <x:c r="K1" s="7" t="str">
        <x:v>Fresh input EUR</x:v>
      </x:c>
      <x:c r="L1" s="7" t="str">
        <x:v>Fresh input USD</x:v>
      </x:c>
      <x:c r="M1" s="7" t="str">
        <x:v>Cache read tokens</x:v>
      </x:c>
      <x:c r="N1" s="7" t="str">
        <x:v>Cache read EUR</x:v>
      </x:c>
      <x:c r="O1" s="7" t="str">
        <x:v>Cache read USD</x:v>
      </x:c>
      <x:c r="P1" s="7" t="str">
        <x:v>Cache write tokens</x:v>
      </x:c>
      <x:c r="Q1" s="7" t="str">
        <x:v>Cache write EUR</x:v>
      </x:c>
      <x:c r="R1" s="7" t="str">
        <x:v>Cache write USD</x:v>
      </x:c>
      <x:c r="S1" s="7" t="str">
        <x:v>Output (non-reasoning) tokens</x:v>
      </x:c>
      <x:c r="T1" s="7" t="str">
        <x:v>Output (non-reasoning) EUR</x:v>
      </x:c>
      <x:c r="U1" s="7" t="str">
        <x:v>Output (non-reasoning) USD</x:v>
      </x:c>
      <x:c r="V1" s="7" t="str">
        <x:v>Reasoning tokens</x:v>
      </x:c>
      <x:c r="W1" s="7" t="str">
        <x:v>Reasoning EUR</x:v>
      </x:c>
      <x:c r="X1" s="7" t="str">
        <x:v>Reasoning USD</x:v>
      </x:c>
      <x:c r="Y1" s="7" t="str">
        <x:v>Total EUR</x:v>
      </x:c>
      <x:c r="Z1" s="7" t="str">
        <x:v>Total USD</x:v>
      </x:c>
      <x:c r="AA1" s="7" t="str">
        <x:v>Projected EUR</x:v>
      </x:c>
      <x:c r="AB1" s="7" t="str">
        <x:v>Projected USD</x:v>
      </x:c>
      <x:c r="AC1" s="7" t="str">
        <x:v>Request</x:v>
      </x:c>
      <x:c r="AD1" s="7" t="str">
        <x:v>Elapsed ms</x:v>
      </x:c>
      <x:c r="AE1" s="7" t="str">
        <x:v>Accounting</x:v>
      </x:c>
    </x:row>
    <x:row r="2" ht="54" customHeight="1">
      <x:c r="A2" s="40" t="str">
        <x:v>context_budget_workflow</x:v>
      </x:c>
      <x:c r="B2" s="35" t="n">
        <x:v>0</x:v>
      </x:c>
      <x:c r="C2" s="35" t="str">
        <x:v>workflow</x:v>
      </x:c>
      <x:c r="D2" s="35" t="str"/>
      <x:c r="E2" s="35" t="str">
        <x:v>ok</x:v>
      </x:c>
      <x:c r="F2" s="37"/>
      <x:c r="G2" s="40" t="str">
        <x:v>Execute the context_budget_workflow workflow operation and pass its result to the next graph step.</x:v>
      </x:c>
      <x:c r="H2" s="35" t="str">
        <x:v>01a0c6fd-6d92-75a1-ab4d-f15a8266314f</x:v>
      </x:c>
      <x:c r="I2" s="35"/>
      <x:c r="J2" s="33" t="n">
        <x:f>IF(COUNT('Turns'!D5,'Turns'!D18,'Turns'!D30,'Turns'!D45,'Turns'!D60,'Turns'!D73,'Turns'!D88,'Turns'!D99,'Turns'!D111)=9,SUM('Turns'!D5,'Turns'!D18,'Turns'!D30,'Turns'!D45,'Turns'!D60,'Turns'!D73,'Turns'!D88,'Turns'!D99,'Turns'!D111),"Unknown")</x:f>
        <x:v>5528</x:v>
      </x:c>
      <x:c r="K2" s="11" t="n">
        <x:f>IF(COUNT('Turns'!E5,'Turns'!E18,'Turns'!E30,'Turns'!E45,'Turns'!E60,'Turns'!E73,'Turns'!E88,'Turns'!E99,'Turns'!E111)=9,SUM('Turns'!E5,'Turns'!E18,'Turns'!E30,'Turns'!E45,'Turns'!E60,'Turns'!E73,'Turns'!E88,'Turns'!E99,'Turns'!E111),"Unknown")</x:f>
        <x:v>0.0009622257920000001</x:v>
      </x:c>
      <x:c r="L2" s="11" t="n">
        <x:f>IF(COUNT('Turns'!F5,'Turns'!F18,'Turns'!F30,'Turns'!F45,'Turns'!F60,'Turns'!F73,'Turns'!F88,'Turns'!F99,'Turns'!F111)=9,SUM('Turns'!F5,'Turns'!F18,'Turns'!F30,'Turns'!F45,'Turns'!F60,'Turns'!F73,'Turns'!F88,'Turns'!F99,'Turns'!F111),"Unknown")</x:f>
        <x:v>0.0011056</x:v>
      </x:c>
      <x:c r="M2" s="33" t="n">
        <x:f>IF(COUNT('Turns'!D72,'Turns'!D87,'Turns'!D98,'Turns'!D110)=4,SUM('Turns'!D72,'Turns'!D87,'Turns'!D98,'Turns'!D110),"Unknown")</x:f>
        <x:v>0</x:v>
      </x:c>
      <x:c r="N2" s="11" t="n">
        <x:f>IF(COUNT('Turns'!E72,'Turns'!E87,'Turns'!E98,'Turns'!E110)=4,SUM('Turns'!E72,'Turns'!E87,'Turns'!E98,'Turns'!E110),"Unknown")</x:f>
        <x:v>0</x:v>
      </x:c>
      <x:c r="O2" s="11" t="n">
        <x:f>IF(COUNT('Turns'!F72,'Turns'!F87,'Turns'!F98,'Turns'!F110)=4,SUM('Turns'!F72,'Turns'!F87,'Turns'!F98,'Turns'!F110),"Unknown")</x:f>
        <x:v>0</x:v>
      </x:c>
      <x:c r="P2" s="33" t="n">
        <x:v>0</x:v>
      </x:c>
      <x:c r="Q2" s="11" t="n">
        <x:v>0</x:v>
      </x:c>
      <x:c r="R2" s="11" t="n">
        <x:v>0</x:v>
      </x:c>
      <x:c r="S2" s="33" t="n">
        <x:f>IF(COUNT('Turns'!D12,'Turns'!D24,'Turns'!D36,'Turns'!D51,'Turns'!D66,'Turns'!D78,'Turns'!D92,'Turns'!D104,'Turns'!D116)=9,SUM('Turns'!D12,'Turns'!D24,'Turns'!D36,'Turns'!D51,'Turns'!D66,'Turns'!D78,'Turns'!D92,'Turns'!D104,'Turns'!D116),"Unknown")</x:f>
        <x:v>634</x:v>
      </x:c>
      <x:c r="T2" s="11" t="n">
        <x:f>IF(COUNT('Turns'!E12,'Turns'!E24,'Turns'!E36,'Turns'!E51,'Turns'!E66,'Turns'!E78,'Turns'!E92,'Turns'!E104,'Turns'!E116)=9,SUM('Turns'!E12,'Turns'!E24,'Turns'!E36,'Turns'!E51,'Turns'!E66,'Turns'!E78,'Turns'!E92,'Turns'!E104,'Turns'!E116),"Unknown")</x:f>
        <x:v>0.000662139456</x:v>
      </x:c>
      <x:c r="U2" s="11" t="n">
        <x:f>IF(COUNT('Turns'!F12,'Turns'!F24,'Turns'!F36,'Turns'!F51,'Turns'!F66,'Turns'!F78,'Turns'!F92,'Turns'!F104,'Turns'!F116)=9,SUM('Turns'!F12,'Turns'!F24,'Turns'!F36,'Turns'!F51,'Turns'!F66,'Turns'!F78,'Turns'!F92,'Turns'!F104,'Turns'!F116),"Unknown")</x:f>
        <x:v>0.0007608000000000001</x:v>
      </x:c>
      <x:c r="V2" s="33" t="n">
        <x:v>0</x:v>
      </x:c>
      <x:c r="W2" s="11" t="n">
        <x:v>0</x:v>
      </x:c>
      <x:c r="X2" s="11" t="n">
        <x:v>0</x:v>
      </x:c>
      <x:c r="Y2" s="11" t="n">
        <x:f>IF(COUNT('Turns'!E16,'Turns'!E28,'Turns'!E40,'Turns'!E55,'Turns'!E70,'Turns'!E82,'Turns'!E96,'Turns'!E108,'Turns'!E120)=9,SUM('Turns'!E16,'Turns'!E28,'Turns'!E40,'Turns'!E55,'Turns'!E70,'Turns'!E82,'Turns'!E96,'Turns'!E108,'Turns'!E120),"Unknown")</x:f>
        <x:v>0.001624365248</x:v>
      </x:c>
      <x:c r="Z2" s="11" t="n">
        <x:f>IF(COUNT('Turns'!F16,'Turns'!F28,'Turns'!F40,'Turns'!F55,'Turns'!F70,'Turns'!F82,'Turns'!F96,'Turns'!F108,'Turns'!F120)=9,SUM('Turns'!F16,'Turns'!F28,'Turns'!F40,'Turns'!F55,'Turns'!F70,'Turns'!F82,'Turns'!F96,'Turns'!F108,'Turns'!F120),"Unknown")</x:f>
        <x:v>0.0018664000000000003</x:v>
      </x:c>
      <x:c r="AA2" s="33" t="n">
        <x:f>IF(ISNUMBER(Y2),ROUND(Y2*'Reference data'!$B$2,0),"Unknown")</x:f>
        <x:v>162</x:v>
      </x:c>
      <x:c r="AB2" s="33" t="n">
        <x:f>IF(ISNUMBER(Z2),ROUND(Z2*'Reference data'!$B$2,0),"Unknown")</x:f>
        <x:v>187</x:v>
      </x:c>
      <x:c r="AC2" s="2"/>
      <x:c r="AD2" s="43" t="n">
        <x:v>54.818048</x:v>
      </x:c>
      <x:c r="AE2" s="2" t="str">
        <x:v>Subtree total</x:v>
      </x:c>
    </x:row>
    <x:row r="3" ht="54" customHeight="1">
      <x:c r="A3" s="41" t="str">
        <x:v>    planning_peer</x:v>
      </x:c>
      <x:c r="B3" s="36" t="n">
        <x:v>1</x:v>
      </x:c>
      <x:c r="C3" s="36" t="str">
        <x:v>workflow</x:v>
      </x:c>
      <x:c r="D3" s="36" t="str"/>
      <x:c r="E3" s="36" t="str">
        <x:v>ok</x:v>
      </x:c>
      <x:c r="F3" s="38"/>
      <x:c r="G3" s="41" t="str">
        <x:v>Execute the planning_peer workflow operation and pass its result to the next graph step.</x:v>
      </x:c>
      <x:c r="H3" s="36" t="str">
        <x:v>01a0c6fd-6d99-7f90-b402-fb0a782cfa0c</x:v>
      </x:c>
      <x:c r="I3" s="36" t="str">
        <x:v>01a0c6fd-6d92-75a1-ab4d-f15a8266314f</x:v>
      </x:c>
      <x:c r="J3" s="33" t="n">
        <x:f>IF(COUNT('Turns'!D5)=1,SUM('Turns'!D5),"Unknown")</x:f>
        <x:v>423</x:v>
      </x:c>
      <x:c r="K3" s="11" t="n">
        <x:f>IF(COUNT('Turns'!E5)=1,SUM('Turns'!E5),"Unknown")</x:f>
        <x:v>0.000073629072</x:v>
      </x:c>
      <x:c r="L3" s="11" t="n">
        <x:f>IF(COUNT('Turns'!F5)=1,SUM('Turns'!F5),"Unknown")</x:f>
        <x:v>0.00008460000000000001</x:v>
      </x:c>
      <x:c r="M3" s="33" t="n">
        <x:v>0</x:v>
      </x:c>
      <x:c r="N3" s="11" t="n">
        <x:v>0</x:v>
      </x:c>
      <x:c r="O3" s="11" t="n">
        <x:v>0</x:v>
      </x:c>
      <x:c r="P3" s="33" t="n">
        <x:v>0</x:v>
      </x:c>
      <x:c r="Q3" s="11" t="n">
        <x:v>0</x:v>
      </x:c>
      <x:c r="R3" s="11" t="n">
        <x:v>0</x:v>
      </x:c>
      <x:c r="S3" s="33" t="n">
        <x:f>IF(COUNT('Turns'!D12)=1,SUM('Turns'!D12),"Unknown")</x:f>
        <x:v>42</x:v>
      </x:c>
      <x:c r="T3" s="11" t="n">
        <x:f>IF(COUNT('Turns'!E12)=1,SUM('Turns'!E12),"Unknown")</x:f>
        <x:v>0.000043864127999999996</x:v>
      </x:c>
      <x:c r="U3" s="11" t="n">
        <x:f>IF(COUNT('Turns'!F12)=1,SUM('Turns'!F12),"Unknown")</x:f>
        <x:v>0.0000504</x:v>
      </x:c>
      <x:c r="V3" s="33" t="n">
        <x:v>0</x:v>
      </x:c>
      <x:c r="W3" s="11" t="n">
        <x:v>0</x:v>
      </x:c>
      <x:c r="X3" s="11" t="n">
        <x:v>0</x:v>
      </x:c>
      <x:c r="Y3" s="11" t="n">
        <x:f>IF(COUNT('Turns'!E16)=1,SUM('Turns'!E16),"Unknown")</x:f>
        <x:v>0.0001174932</x:v>
      </x:c>
      <x:c r="Z3" s="11" t="n">
        <x:f>IF(COUNT('Turns'!F16)=1,SUM('Turns'!F16),"Unknown")</x:f>
        <x:v>0.000135</x:v>
      </x:c>
      <x:c r="AA3" s="33" t="n">
        <x:f>IF(ISNUMBER(Y3),ROUND(Y3*'Reference data'!$B$2,0),"Unknown")</x:f>
        <x:v>12</x:v>
      </x:c>
      <x:c r="AB3" s="33" t="n">
        <x:f>IF(ISNUMBER(Z3),ROUND(Z3*'Reference data'!$B$2,0),"Unknown")</x:f>
        <x:v>14</x:v>
      </x:c>
      <x:c r="AC3" s="2"/>
      <x:c r="AD3" s="43" t="n">
        <x:v>7.609856</x:v>
      </x:c>
      <x:c r="AE3" s="2" t="str">
        <x:v>Subtree total</x:v>
      </x:c>
    </x:row>
    <x:row r="4" ht="54" customHeight="1">
      <x:c r="A4" s="41" t="str">
        <x:v>        run</x:v>
      </x:c>
      <x:c r="B4" s="36" t="n">
        <x:v>2</x:v>
      </x:c>
      <x:c r="C4" s="36" t="str">
        <x:v>workflow</x:v>
      </x:c>
      <x:c r="D4" s="36" t="str"/>
      <x:c r="E4" s="36" t="str">
        <x:v>ok</x:v>
      </x:c>
      <x:c r="F4" s="38"/>
      <x:c r="G4" s="41" t="str">
        <x:v>Execute the run workflow operation and pass its result to the next graph step.</x:v>
      </x:c>
      <x:c r="H4" s="36" t="str">
        <x:v>01a0c6fd-6d9a-7703-bc8e-c54a16b51c7c</x:v>
      </x:c>
      <x:c r="I4" s="36" t="str">
        <x:v>01a0c6fd-6d99-7f90-b402-fb0a782cfa0c</x:v>
      </x:c>
      <x:c r="J4" s="33" t="n">
        <x:f>IF(COUNT('Turns'!D5)=1,SUM('Turns'!D5),"Unknown")</x:f>
        <x:v>423</x:v>
      </x:c>
      <x:c r="K4" s="11" t="n">
        <x:f>IF(COUNT('Turns'!E5)=1,SUM('Turns'!E5),"Unknown")</x:f>
        <x:v>0.000073629072</x:v>
      </x:c>
      <x:c r="L4" s="11" t="n">
        <x:f>IF(COUNT('Turns'!F5)=1,SUM('Turns'!F5),"Unknown")</x:f>
        <x:v>0.00008460000000000001</x:v>
      </x:c>
      <x:c r="M4" s="33" t="n">
        <x:v>0</x:v>
      </x:c>
      <x:c r="N4" s="11" t="n">
        <x:v>0</x:v>
      </x:c>
      <x:c r="O4" s="11" t="n">
        <x:v>0</x:v>
      </x:c>
      <x:c r="P4" s="33" t="n">
        <x:v>0</x:v>
      </x:c>
      <x:c r="Q4" s="11" t="n">
        <x:v>0</x:v>
      </x:c>
      <x:c r="R4" s="11" t="n">
        <x:v>0</x:v>
      </x:c>
      <x:c r="S4" s="33" t="n">
        <x:f>IF(COUNT('Turns'!D12)=1,SUM('Turns'!D12),"Unknown")</x:f>
        <x:v>42</x:v>
      </x:c>
      <x:c r="T4" s="11" t="n">
        <x:f>IF(COUNT('Turns'!E12)=1,SUM('Turns'!E12),"Unknown")</x:f>
        <x:v>0.000043864127999999996</x:v>
      </x:c>
      <x:c r="U4" s="11" t="n">
        <x:f>IF(COUNT('Turns'!F12)=1,SUM('Turns'!F12),"Unknown")</x:f>
        <x:v>0.0000504</x:v>
      </x:c>
      <x:c r="V4" s="33" t="n">
        <x:v>0</x:v>
      </x:c>
      <x:c r="W4" s="11" t="n">
        <x:v>0</x:v>
      </x:c>
      <x:c r="X4" s="11" t="n">
        <x:v>0</x:v>
      </x:c>
      <x:c r="Y4" s="11" t="n">
        <x:f>IF(COUNT('Turns'!E16)=1,SUM('Turns'!E16),"Unknown")</x:f>
        <x:v>0.0001174932</x:v>
      </x:c>
      <x:c r="Z4" s="11" t="n">
        <x:f>IF(COUNT('Turns'!F16)=1,SUM('Turns'!F16),"Unknown")</x:f>
        <x:v>0.000135</x:v>
      </x:c>
      <x:c r="AA4" s="33" t="n">
        <x:f>IF(ISNUMBER(Y4),ROUND(Y4*'Reference data'!$B$2,0),"Unknown")</x:f>
        <x:v>12</x:v>
      </x:c>
      <x:c r="AB4" s="33" t="n">
        <x:f>IF(ISNUMBER(Z4),ROUND(Z4*'Reference data'!$B$2,0),"Unknown")</x:f>
        <x:v>14</x:v>
      </x:c>
      <x:c r="AC4" s="2"/>
      <x:c r="AD4" s="43" t="n">
        <x:v>6.88896</x:v>
      </x:c>
      <x:c r="AE4" s="2" t="str">
        <x:v>Subtree total</x:v>
      </x:c>
    </x:row>
    <x:row r="5" ht="54" customHeight="1">
      <x:c r="A5" s="41" t="str">
        <x:v>            context_planner</x:v>
      </x:c>
      <x:c r="B5" s="36" t="n">
        <x:v>3</x:v>
      </x:c>
      <x:c r="C5" s="36" t="str">
        <x:v>workflow</x:v>
      </x:c>
      <x:c r="D5" s="36" t="str"/>
      <x:c r="E5" s="36" t="str">
        <x:v>ok</x:v>
      </x:c>
      <x:c r="F5" s="38"/>
      <x:c r="G5" s="41" t="str">
        <x:v>Execute the context_planner workflow operation and pass its result to the next graph step.</x:v>
      </x:c>
      <x:c r="H5" s="36" t="str">
        <x:v>01a0c6fd-6d9a-7703-bc8e-c55124488b8f</x:v>
      </x:c>
      <x:c r="I5" s="36" t="str">
        <x:v>01a0c6fd-6d9a-7703-bc8e-c54a16b51c7c</x:v>
      </x:c>
      <x:c r="J5" s="33" t="n">
        <x:f>IF(COUNT('Turns'!D5)=1,SUM('Turns'!D5),"Unknown")</x:f>
        <x:v>423</x:v>
      </x:c>
      <x:c r="K5" s="11" t="n">
        <x:f>IF(COUNT('Turns'!E5)=1,SUM('Turns'!E5),"Unknown")</x:f>
        <x:v>0.000073629072</x:v>
      </x:c>
      <x:c r="L5" s="11" t="n">
        <x:f>IF(COUNT('Turns'!F5)=1,SUM('Turns'!F5),"Unknown")</x:f>
        <x:v>0.00008460000000000001</x:v>
      </x:c>
      <x:c r="M5" s="33" t="n">
        <x:v>0</x:v>
      </x:c>
      <x:c r="N5" s="11" t="n">
        <x:v>0</x:v>
      </x:c>
      <x:c r="O5" s="11" t="n">
        <x:v>0</x:v>
      </x:c>
      <x:c r="P5" s="33" t="n">
        <x:v>0</x:v>
      </x:c>
      <x:c r="Q5" s="11" t="n">
        <x:v>0</x:v>
      </x:c>
      <x:c r="R5" s="11" t="n">
        <x:v>0</x:v>
      </x:c>
      <x:c r="S5" s="33" t="n">
        <x:f>IF(COUNT('Turns'!D12)=1,SUM('Turns'!D12),"Unknown")</x:f>
        <x:v>42</x:v>
      </x:c>
      <x:c r="T5" s="11" t="n">
        <x:f>IF(COUNT('Turns'!E12)=1,SUM('Turns'!E12),"Unknown")</x:f>
        <x:v>0.000043864127999999996</x:v>
      </x:c>
      <x:c r="U5" s="11" t="n">
        <x:f>IF(COUNT('Turns'!F12)=1,SUM('Turns'!F12),"Unknown")</x:f>
        <x:v>0.0000504</x:v>
      </x:c>
      <x:c r="V5" s="33" t="n">
        <x:v>0</x:v>
      </x:c>
      <x:c r="W5" s="11" t="n">
        <x:v>0</x:v>
      </x:c>
      <x:c r="X5" s="11" t="n">
        <x:v>0</x:v>
      </x:c>
      <x:c r="Y5" s="11" t="n">
        <x:f>IF(COUNT('Turns'!E16)=1,SUM('Turns'!E16),"Unknown")</x:f>
        <x:v>0.0001174932</x:v>
      </x:c>
      <x:c r="Z5" s="11" t="n">
        <x:f>IF(COUNT('Turns'!F16)=1,SUM('Turns'!F16),"Unknown")</x:f>
        <x:v>0.000135</x:v>
      </x:c>
      <x:c r="AA5" s="33" t="n">
        <x:f>IF(ISNUMBER(Y5),ROUND(Y5*'Reference data'!$B$2,0),"Unknown")</x:f>
        <x:v>12</x:v>
      </x:c>
      <x:c r="AB5" s="33" t="n">
        <x:f>IF(ISNUMBER(Z5),ROUND(Z5*'Reference data'!$B$2,0),"Unknown")</x:f>
        <x:v>14</x:v>
      </x:c>
      <x:c r="AC5" s="2"/>
      <x:c r="AD5" s="43" t="n">
        <x:v>6.006016</x:v>
      </x:c>
      <x:c r="AE5" s="2" t="str">
        <x:v>Subtree total</x:v>
      </x:c>
    </x:row>
    <x:row r="6" ht="54" customHeight="1">
      <x:c r="A6" s="41" t="str">
        <x:v>                SummarizationMiddleware.before_model</x:v>
      </x:c>
      <x:c r="B6" s="36" t="n">
        <x:v>4</x:v>
      </x:c>
      <x:c r="C6" s="36" t="str">
        <x:v>workflow</x:v>
      </x:c>
      <x:c r="D6" s="36" t="str"/>
      <x:c r="E6" s="36" t="str">
        <x:v>ok</x:v>
      </x:c>
      <x:c r="F6" s="38"/>
      <x:c r="G6" s="41" t="str">
        <x:v>Execute the SummarizationMiddleware.before_model workflow operation and pass its result to the next graph step.</x:v>
      </x:c>
      <x:c r="H6" s="36" t="str">
        <x:v>01a0c6fd-6d9b-71e3-be05-f0cf4de6d58d</x:v>
      </x:c>
      <x:c r="I6" s="36" t="str">
        <x:v>01a0c6fd-6d9a-7703-bc8e-c55124488b8f</x:v>
      </x:c>
      <x:c r="J6" s="33"/>
      <x:c r="K6" s="11"/>
      <x:c r="L6" s="11"/>
      <x:c r="M6" s="33"/>
      <x:c r="N6" s="11"/>
      <x:c r="O6" s="11"/>
      <x:c r="P6" s="33"/>
      <x:c r="Q6" s="11"/>
      <x:c r="R6" s="11"/>
      <x:c r="S6" s="33"/>
      <x:c r="T6" s="11"/>
      <x:c r="U6" s="11"/>
      <x:c r="V6" s="33"/>
      <x:c r="W6" s="11"/>
      <x:c r="X6" s="11"/>
      <x:c r="Y6" s="11"/>
      <x:c r="Z6" s="11"/>
      <x:c r="AA6" s="33"/>
      <x:c r="AB6" s="33"/>
      <x:c r="AC6" s="2"/>
      <x:c r="AD6" s="43" t="n">
        <x:v>0.48896</x:v>
      </x:c>
      <x:c r="AE6" s="2" t="str">
        <x:v>No model charge</x:v>
      </x:c>
    </x:row>
    <x:row r="7" ht="54" customHeight="1">
      <x:c r="A7" s="41" t="str">
        <x:v>                model</x:v>
      </x:c>
      <x:c r="B7" s="36" t="n">
        <x:v>4</x:v>
      </x:c>
      <x:c r="C7" s="36" t="str">
        <x:v>workflow</x:v>
      </x:c>
      <x:c r="D7" s="36" t="str"/>
      <x:c r="E7" s="36" t="str">
        <x:v>ok</x:v>
      </x:c>
      <x:c r="F7" s="38"/>
      <x:c r="G7" s="41" t="str">
        <x:v>Prepare the current conversation, run model middleware, and invoke the chat model.</x:v>
      </x:c>
      <x:c r="H7" s="36" t="str">
        <x:v>01a0c6fd-6d9c-72a1-8e56-2b099078dd39</x:v>
      </x:c>
      <x:c r="I7" s="36" t="str">
        <x:v>01a0c6fd-6d9a-7703-bc8e-c55124488b8f</x:v>
      </x:c>
      <x:c r="J7" s="33" t="n">
        <x:f>IF(COUNT('Turns'!D5)=1,SUM('Turns'!D5),"Unknown")</x:f>
        <x:v>423</x:v>
      </x:c>
      <x:c r="K7" s="11" t="n">
        <x:f>IF(COUNT('Turns'!E5)=1,SUM('Turns'!E5),"Unknown")</x:f>
        <x:v>0.000073629072</x:v>
      </x:c>
      <x:c r="L7" s="11" t="n">
        <x:f>IF(COUNT('Turns'!F5)=1,SUM('Turns'!F5),"Unknown")</x:f>
        <x:v>0.00008460000000000001</x:v>
      </x:c>
      <x:c r="M7" s="33" t="n">
        <x:v>0</x:v>
      </x:c>
      <x:c r="N7" s="11" t="n">
        <x:v>0</x:v>
      </x:c>
      <x:c r="O7" s="11" t="n">
        <x:v>0</x:v>
      </x:c>
      <x:c r="P7" s="33" t="n">
        <x:v>0</x:v>
      </x:c>
      <x:c r="Q7" s="11" t="n">
        <x:v>0</x:v>
      </x:c>
      <x:c r="R7" s="11" t="n">
        <x:v>0</x:v>
      </x:c>
      <x:c r="S7" s="33" t="n">
        <x:f>IF(COUNT('Turns'!D12)=1,SUM('Turns'!D12),"Unknown")</x:f>
        <x:v>42</x:v>
      </x:c>
      <x:c r="T7" s="11" t="n">
        <x:f>IF(COUNT('Turns'!E12)=1,SUM('Turns'!E12),"Unknown")</x:f>
        <x:v>0.000043864127999999996</x:v>
      </x:c>
      <x:c r="U7" s="11" t="n">
        <x:f>IF(COUNT('Turns'!F12)=1,SUM('Turns'!F12),"Unknown")</x:f>
        <x:v>0.0000504</x:v>
      </x:c>
      <x:c r="V7" s="33" t="n">
        <x:v>0</x:v>
      </x:c>
      <x:c r="W7" s="11" t="n">
        <x:v>0</x:v>
      </x:c>
      <x:c r="X7" s="11" t="n">
        <x:v>0</x:v>
      </x:c>
      <x:c r="Y7" s="11" t="n">
        <x:f>IF(COUNT('Turns'!E16)=1,SUM('Turns'!E16),"Unknown")</x:f>
        <x:v>0.0001174932</x:v>
      </x:c>
      <x:c r="Z7" s="11" t="n">
        <x:f>IF(COUNT('Turns'!F16)=1,SUM('Turns'!F16),"Unknown")</x:f>
        <x:v>0.000135</x:v>
      </x:c>
      <x:c r="AA7" s="33" t="n">
        <x:f>IF(ISNUMBER(Y7),ROUND(Y7*'Reference data'!$B$2,0),"Unknown")</x:f>
        <x:v>12</x:v>
      </x:c>
      <x:c r="AB7" s="33" t="n">
        <x:f>IF(ISNUMBER(Z7),ROUND(Z7*'Reference data'!$B$2,0),"Unknown")</x:f>
        <x:v>14</x:v>
      </x:c>
      <x:c r="AC7" s="2"/>
      <x:c r="AD7" s="43" t="n">
        <x:v>3.431936</x:v>
      </x:c>
      <x:c r="AE7" s="2" t="str">
        <x:v>Subtree total</x:v>
      </x:c>
    </x:row>
    <x:row r="8" ht="54" customHeight="1">
      <x:c r="A8" s="42" t="str">
        <x:v>                    CompactingDemoModel</x:v>
      </x:c>
      <x:c r="B8" s="20" t="n">
        <x:v>5</x:v>
      </x:c>
      <x:c r="C8" s="20" t="str">
        <x:v>model</x:v>
      </x:c>
      <x:c r="D8" s="20" t="str">
        <x:v>scripted-chat</x:v>
      </x:c>
      <x:c r="E8" s="20" t="str">
        <x:v>ok</x:v>
      </x:c>
      <x:c r="F8" s="39" t="n">
        <x:v>423</x:v>
      </x:c>
      <x:c r="G8" s="42" t="str">
        <x:v>Plan from shared workflow history.</x:v>
      </x:c>
      <x:c r="H8" s="20" t="str">
        <x:v>01a0c6fd-6d9d-7461-b48c-677a338145c8</x:v>
      </x:c>
      <x:c r="I8" s="20" t="str">
        <x:v>01a0c6fd-6d9c-72a1-8e56-2b099078dd39</x:v>
      </x:c>
      <x:c r="J8" s="33" t="n">
        <x:f>IF(COUNT('Turns'!D5)=1,SUM('Turns'!D5),"Unknown")</x:f>
        <x:v>423</x:v>
      </x:c>
      <x:c r="K8" s="11" t="n">
        <x:f>IF(COUNT('Turns'!E5)=1,SUM('Turns'!E5),"Unknown")</x:f>
        <x:v>0.000073629072</x:v>
      </x:c>
      <x:c r="L8" s="11" t="n">
        <x:f>IF(COUNT('Turns'!F5)=1,SUM('Turns'!F5),"Unknown")</x:f>
        <x:v>0.00008460000000000001</x:v>
      </x:c>
      <x:c r="M8" s="33" t="n">
        <x:v>0</x:v>
      </x:c>
      <x:c r="N8" s="11" t="n">
        <x:v>0</x:v>
      </x:c>
      <x:c r="O8" s="11" t="n">
        <x:v>0</x:v>
      </x:c>
      <x:c r="P8" s="33" t="n">
        <x:v>0</x:v>
      </x:c>
      <x:c r="Q8" s="11" t="n">
        <x:v>0</x:v>
      </x:c>
      <x:c r="R8" s="11" t="n">
        <x:v>0</x:v>
      </x:c>
      <x:c r="S8" s="33" t="n">
        <x:f>IF(COUNT('Turns'!D12)=1,SUM('Turns'!D12),"Unknown")</x:f>
        <x:v>42</x:v>
      </x:c>
      <x:c r="T8" s="11" t="n">
        <x:f>IF(COUNT('Turns'!E12)=1,SUM('Turns'!E12),"Unknown")</x:f>
        <x:v>0.000043864127999999996</x:v>
      </x:c>
      <x:c r="U8" s="11" t="n">
        <x:f>IF(COUNT('Turns'!F12)=1,SUM('Turns'!F12),"Unknown")</x:f>
        <x:v>0.0000504</x:v>
      </x:c>
      <x:c r="V8" s="33" t="n">
        <x:v>0</x:v>
      </x:c>
      <x:c r="W8" s="11" t="n">
        <x:v>0</x:v>
      </x:c>
      <x:c r="X8" s="11" t="n">
        <x:v>0</x:v>
      </x:c>
      <x:c r="Y8" s="11" t="n">
        <x:f>IF(COUNT('Turns'!E16)=1,SUM('Turns'!E16),"Unknown")</x:f>
        <x:v>0.0001174932</x:v>
      </x:c>
      <x:c r="Z8" s="11" t="n">
        <x:f>IF(COUNT('Turns'!F16)=1,SUM('Turns'!F16),"Unknown")</x:f>
        <x:v>0.000135</x:v>
      </x:c>
      <x:c r="AA8" s="33" t="n">
        <x:f>IF(ISNUMBER(Y8),ROUND(Y8*'Reference data'!$B$2,0),"Unknown")</x:f>
        <x:v>12</x:v>
      </x:c>
      <x:c r="AB8" s="33" t="n">
        <x:f>IF(ISNUMBER(Z8),ROUND(Z8*'Reference data'!$B$2,0),"Unknown")</x:f>
        <x:v>14</x:v>
      </x:c>
      <x:c r="AC8" s="2" t="str">
        <x:v>R1</x:v>
      </x:c>
      <x:c r="AD8" s="43" t="n">
        <x:v>2.10688</x:v>
      </x:c>
      <x:c r="AE8" s="2" t="str">
        <x:v>Own call</x:v>
      </x:c>
    </x:row>
    <x:row r="9" ht="54" customHeight="1">
      <x:c r="A9" s="41" t="str">
        <x:v>    responding_peer</x:v>
      </x:c>
      <x:c r="B9" s="36" t="n">
        <x:v>1</x:v>
      </x:c>
      <x:c r="C9" s="36" t="str">
        <x:v>workflow</x:v>
      </x:c>
      <x:c r="D9" s="36" t="str"/>
      <x:c r="E9" s="36" t="str">
        <x:v>ok</x:v>
      </x:c>
      <x:c r="F9" s="38"/>
      <x:c r="G9" s="41" t="str">
        <x:v>Execute the responding_peer workflow operation and pass its result to the next graph step.</x:v>
      </x:c>
      <x:c r="H9" s="36" t="str">
        <x:v>01a0c6fd-6da1-74a0-be0d-e56eb7fb1e08</x:v>
      </x:c>
      <x:c r="I9" s="36" t="str">
        <x:v>01a0c6fd-6d92-75a1-ab4d-f15a8266314f</x:v>
      </x:c>
      <x:c r="J9" s="33" t="n">
        <x:f>IF(COUNT('Turns'!D18,'Turns'!D30,'Turns'!D45,'Turns'!D60,'Turns'!D73,'Turns'!D88,'Turns'!D99,'Turns'!D111)=8,SUM('Turns'!D18,'Turns'!D30,'Turns'!D45,'Turns'!D60,'Turns'!D73,'Turns'!D88,'Turns'!D99,'Turns'!D111),"Unknown")</x:f>
        <x:v>5105</x:v>
      </x:c>
      <x:c r="K9" s="11" t="n">
        <x:f>IF(COUNT('Turns'!E18,'Turns'!E30,'Turns'!E45,'Turns'!E60,'Turns'!E73,'Turns'!E88,'Turns'!E99,'Turns'!E111)=8,SUM('Turns'!E18,'Turns'!E30,'Turns'!E45,'Turns'!E60,'Turns'!E73,'Turns'!E88,'Turns'!E99,'Turns'!E111),"Unknown")</x:f>
        <x:v>0.00088859672</x:v>
      </x:c>
      <x:c r="L9" s="11" t="n">
        <x:f>IF(COUNT('Turns'!F18,'Turns'!F30,'Turns'!F45,'Turns'!F60,'Turns'!F73,'Turns'!F88,'Turns'!F99,'Turns'!F111)=8,SUM('Turns'!F18,'Turns'!F30,'Turns'!F45,'Turns'!F60,'Turns'!F73,'Turns'!F88,'Turns'!F99,'Turns'!F111),"Unknown")</x:f>
        <x:v>0.001021</x:v>
      </x:c>
      <x:c r="M9" s="33" t="n">
        <x:f>IF(COUNT('Turns'!D72,'Turns'!D87,'Turns'!D98,'Turns'!D110)=4,SUM('Turns'!D72,'Turns'!D87,'Turns'!D98,'Turns'!D110),"Unknown")</x:f>
        <x:v>0</x:v>
      </x:c>
      <x:c r="N9" s="11" t="n">
        <x:f>IF(COUNT('Turns'!E72,'Turns'!E87,'Turns'!E98,'Turns'!E110)=4,SUM('Turns'!E72,'Turns'!E87,'Turns'!E98,'Turns'!E110),"Unknown")</x:f>
        <x:v>0</x:v>
      </x:c>
      <x:c r="O9" s="11" t="n">
        <x:f>IF(COUNT('Turns'!F72,'Turns'!F87,'Turns'!F98,'Turns'!F110)=4,SUM('Turns'!F72,'Turns'!F87,'Turns'!F98,'Turns'!F110),"Unknown")</x:f>
        <x:v>0</x:v>
      </x:c>
      <x:c r="P9" s="33" t="n">
        <x:v>0</x:v>
      </x:c>
      <x:c r="Q9" s="11" t="n">
        <x:v>0</x:v>
      </x:c>
      <x:c r="R9" s="11" t="n">
        <x:v>0</x:v>
      </x:c>
      <x:c r="S9" s="33" t="n">
        <x:f>IF(COUNT('Turns'!D24,'Turns'!D36,'Turns'!D51,'Turns'!D66,'Turns'!D78,'Turns'!D92,'Turns'!D104,'Turns'!D116)=8,SUM('Turns'!D24,'Turns'!D36,'Turns'!D51,'Turns'!D66,'Turns'!D78,'Turns'!D92,'Turns'!D104,'Turns'!D116),"Unknown")</x:f>
        <x:v>592</x:v>
      </x:c>
      <x:c r="T9" s="11" t="n">
        <x:f>IF(COUNT('Turns'!E24,'Turns'!E36,'Turns'!E51,'Turns'!E66,'Turns'!E78,'Turns'!E92,'Turns'!E104,'Turns'!E116)=8,SUM('Turns'!E24,'Turns'!E36,'Turns'!E51,'Turns'!E66,'Turns'!E78,'Turns'!E92,'Turns'!E104,'Turns'!E116),"Unknown")</x:f>
        <x:v>0.0006182753279999999</x:v>
      </x:c>
      <x:c r="U9" s="11" t="n">
        <x:f>IF(COUNT('Turns'!F24,'Turns'!F36,'Turns'!F51,'Turns'!F66,'Turns'!F78,'Turns'!F92,'Turns'!F104,'Turns'!F116)=8,SUM('Turns'!F24,'Turns'!F36,'Turns'!F51,'Turns'!F66,'Turns'!F78,'Turns'!F92,'Turns'!F104,'Turns'!F116),"Unknown")</x:f>
        <x:v>0.0007104</x:v>
      </x:c>
      <x:c r="V9" s="33" t="n">
        <x:v>0</x:v>
      </x:c>
      <x:c r="W9" s="11" t="n">
        <x:v>0</x:v>
      </x:c>
      <x:c r="X9" s="11" t="n">
        <x:v>0</x:v>
      </x:c>
      <x:c r="Y9" s="11" t="n">
        <x:f>IF(COUNT('Turns'!E28,'Turns'!E40,'Turns'!E55,'Turns'!E70,'Turns'!E82,'Turns'!E96,'Turns'!E108,'Turns'!E120)=8,SUM('Turns'!E28,'Turns'!E40,'Turns'!E55,'Turns'!E70,'Turns'!E82,'Turns'!E96,'Turns'!E108,'Turns'!E120),"Unknown")</x:f>
        <x:v>0.001506872048</x:v>
      </x:c>
      <x:c r="Z9" s="11" t="n">
        <x:f>IF(COUNT('Turns'!F28,'Turns'!F40,'Turns'!F55,'Turns'!F70,'Turns'!F82,'Turns'!F96,'Turns'!F108,'Turns'!F120)=8,SUM('Turns'!F28,'Turns'!F40,'Turns'!F55,'Turns'!F70,'Turns'!F82,'Turns'!F96,'Turns'!F108,'Turns'!F120),"Unknown")</x:f>
        <x:v>0.0017314000000000001</x:v>
      </x:c>
      <x:c r="AA9" s="33" t="n">
        <x:f>IF(ISNUMBER(Y9),ROUND(Y9*'Reference data'!$B$2,0),"Unknown")</x:f>
        <x:v>151</x:v>
      </x:c>
      <x:c r="AB9" s="33" t="n">
        <x:f>IF(ISNUMBER(Z9),ROUND(Z9*'Reference data'!$B$2,0),"Unknown")</x:f>
        <x:v>173</x:v>
      </x:c>
      <x:c r="AC9" s="2"/>
      <x:c r="AD9" s="43" t="n">
        <x:v>44.541952</x:v>
      </x:c>
      <x:c r="AE9" s="2" t="str">
        <x:v>Subtree total</x:v>
      </x:c>
    </x:row>
    <x:row r="10" ht="54" customHeight="1">
      <x:c r="A10" s="41" t="str">
        <x:v>        run</x:v>
      </x:c>
      <x:c r="B10" s="36" t="n">
        <x:v>2</x:v>
      </x:c>
      <x:c r="C10" s="36" t="str">
        <x:v>workflow</x:v>
      </x:c>
      <x:c r="D10" s="36" t="str"/>
      <x:c r="E10" s="36" t="str">
        <x:v>ok</x:v>
      </x:c>
      <x:c r="F10" s="38"/>
      <x:c r="G10" s="41" t="str">
        <x:v>Execute the run workflow operation and pass its result to the next graph step.</x:v>
      </x:c>
      <x:c r="H10" s="36" t="str">
        <x:v>01a0c6fd-6da2-70c0-9fd4-c6f65da05ede</x:v>
      </x:c>
      <x:c r="I10" s="36" t="str">
        <x:v>01a0c6fd-6da1-74a0-be0d-e56eb7fb1e08</x:v>
      </x:c>
      <x:c r="J10" s="33" t="n">
        <x:f>IF(COUNT('Turns'!D18,'Turns'!D30,'Turns'!D45,'Turns'!D60,'Turns'!D73,'Turns'!D88,'Turns'!D99,'Turns'!D111)=8,SUM('Turns'!D18,'Turns'!D30,'Turns'!D45,'Turns'!D60,'Turns'!D73,'Turns'!D88,'Turns'!D99,'Turns'!D111),"Unknown")</x:f>
        <x:v>5105</x:v>
      </x:c>
      <x:c r="K10" s="11" t="n">
        <x:f>IF(COUNT('Turns'!E18,'Turns'!E30,'Turns'!E45,'Turns'!E60,'Turns'!E73,'Turns'!E88,'Turns'!E99,'Turns'!E111)=8,SUM('Turns'!E18,'Turns'!E30,'Turns'!E45,'Turns'!E60,'Turns'!E73,'Turns'!E88,'Turns'!E99,'Turns'!E111),"Unknown")</x:f>
        <x:v>0.00088859672</x:v>
      </x:c>
      <x:c r="L10" s="11" t="n">
        <x:f>IF(COUNT('Turns'!F18,'Turns'!F30,'Turns'!F45,'Turns'!F60,'Turns'!F73,'Turns'!F88,'Turns'!F99,'Turns'!F111)=8,SUM('Turns'!F18,'Turns'!F30,'Turns'!F45,'Turns'!F60,'Turns'!F73,'Turns'!F88,'Turns'!F99,'Turns'!F111),"Unknown")</x:f>
        <x:v>0.001021</x:v>
      </x:c>
      <x:c r="M10" s="33" t="n">
        <x:f>IF(COUNT('Turns'!D72,'Turns'!D87,'Turns'!D98,'Turns'!D110)=4,SUM('Turns'!D72,'Turns'!D87,'Turns'!D98,'Turns'!D110),"Unknown")</x:f>
        <x:v>0</x:v>
      </x:c>
      <x:c r="N10" s="11" t="n">
        <x:f>IF(COUNT('Turns'!E72,'Turns'!E87,'Turns'!E98,'Turns'!E110)=4,SUM('Turns'!E72,'Turns'!E87,'Turns'!E98,'Turns'!E110),"Unknown")</x:f>
        <x:v>0</x:v>
      </x:c>
      <x:c r="O10" s="11" t="n">
        <x:f>IF(COUNT('Turns'!F72,'Turns'!F87,'Turns'!F98,'Turns'!F110)=4,SUM('Turns'!F72,'Turns'!F87,'Turns'!F98,'Turns'!F110),"Unknown")</x:f>
        <x:v>0</x:v>
      </x:c>
      <x:c r="P10" s="33" t="n">
        <x:v>0</x:v>
      </x:c>
      <x:c r="Q10" s="11" t="n">
        <x:v>0</x:v>
      </x:c>
      <x:c r="R10" s="11" t="n">
        <x:v>0</x:v>
      </x:c>
      <x:c r="S10" s="33" t="n">
        <x:f>IF(COUNT('Turns'!D24,'Turns'!D36,'Turns'!D51,'Turns'!D66,'Turns'!D78,'Turns'!D92,'Turns'!D104,'Turns'!D116)=8,SUM('Turns'!D24,'Turns'!D36,'Turns'!D51,'Turns'!D66,'Turns'!D78,'Turns'!D92,'Turns'!D104,'Turns'!D116),"Unknown")</x:f>
        <x:v>592</x:v>
      </x:c>
      <x:c r="T10" s="11" t="n">
        <x:f>IF(COUNT('Turns'!E24,'Turns'!E36,'Turns'!E51,'Turns'!E66,'Turns'!E78,'Turns'!E92,'Turns'!E104,'Turns'!E116)=8,SUM('Turns'!E24,'Turns'!E36,'Turns'!E51,'Turns'!E66,'Turns'!E78,'Turns'!E92,'Turns'!E104,'Turns'!E116),"Unknown")</x:f>
        <x:v>0.0006182753279999999</x:v>
      </x:c>
      <x:c r="U10" s="11" t="n">
        <x:f>IF(COUNT('Turns'!F24,'Turns'!F36,'Turns'!F51,'Turns'!F66,'Turns'!F78,'Turns'!F92,'Turns'!F104,'Turns'!F116)=8,SUM('Turns'!F24,'Turns'!F36,'Turns'!F51,'Turns'!F66,'Turns'!F78,'Turns'!F92,'Turns'!F104,'Turns'!F116),"Unknown")</x:f>
        <x:v>0.0007104</x:v>
      </x:c>
      <x:c r="V10" s="33" t="n">
        <x:v>0</x:v>
      </x:c>
      <x:c r="W10" s="11" t="n">
        <x:v>0</x:v>
      </x:c>
      <x:c r="X10" s="11" t="n">
        <x:v>0</x:v>
      </x:c>
      <x:c r="Y10" s="11" t="n">
        <x:f>IF(COUNT('Turns'!E28,'Turns'!E40,'Turns'!E55,'Turns'!E70,'Turns'!E82,'Turns'!E96,'Turns'!E108,'Turns'!E120)=8,SUM('Turns'!E28,'Turns'!E40,'Turns'!E55,'Turns'!E70,'Turns'!E82,'Turns'!E96,'Turns'!E108,'Turns'!E120),"Unknown")</x:f>
        <x:v>0.001506872048</x:v>
      </x:c>
      <x:c r="Z10" s="11" t="n">
        <x:f>IF(COUNT('Turns'!F28,'Turns'!F40,'Turns'!F55,'Turns'!F70,'Turns'!F82,'Turns'!F96,'Turns'!F108,'Turns'!F120)=8,SUM('Turns'!F28,'Turns'!F40,'Turns'!F55,'Turns'!F70,'Turns'!F82,'Turns'!F96,'Turns'!F108,'Turns'!F120),"Unknown")</x:f>
        <x:v>0.0017314000000000001</x:v>
      </x:c>
      <x:c r="AA10" s="33" t="n">
        <x:f>IF(ISNUMBER(Y10),ROUND(Y10*'Reference data'!$B$2,0),"Unknown")</x:f>
        <x:v>151</x:v>
      </x:c>
      <x:c r="AB10" s="33" t="n">
        <x:f>IF(ISNUMBER(Z10),ROUND(Z10*'Reference data'!$B$2,0),"Unknown")</x:f>
        <x:v>173</x:v>
      </x:c>
      <x:c r="AC10" s="2"/>
      <x:c r="AD10" s="43" t="n">
        <x:v>43.906048</x:v>
      </x:c>
      <x:c r="AE10" s="2" t="str">
        <x:v>Subtree total</x:v>
      </x:c>
    </x:row>
    <x:row r="11" ht="54" customHeight="1">
      <x:c r="A11" s="41" t="str">
        <x:v>            context_responder</x:v>
      </x:c>
      <x:c r="B11" s="36" t="n">
        <x:v>3</x:v>
      </x:c>
      <x:c r="C11" s="36" t="str">
        <x:v>workflow</x:v>
      </x:c>
      <x:c r="D11" s="36" t="str"/>
      <x:c r="E11" s="36" t="str">
        <x:v>ok</x:v>
      </x:c>
      <x:c r="F11" s="38"/>
      <x:c r="G11" s="41" t="str">
        <x:v>Execute the context_responder workflow operation and pass its result to the next graph step.</x:v>
      </x:c>
      <x:c r="H11" s="36" t="str">
        <x:v>01a0c6fd-6da2-70c0-9fd4-c702e34f7825</x:v>
      </x:c>
      <x:c r="I11" s="36" t="str">
        <x:v>01a0c6fd-6da2-70c0-9fd4-c6f65da05ede</x:v>
      </x:c>
      <x:c r="J11" s="33" t="n">
        <x:f>IF(COUNT('Turns'!D18,'Turns'!D30,'Turns'!D45,'Turns'!D60,'Turns'!D73,'Turns'!D88,'Turns'!D99,'Turns'!D111)=8,SUM('Turns'!D18,'Turns'!D30,'Turns'!D45,'Turns'!D60,'Turns'!D73,'Turns'!D88,'Turns'!D99,'Turns'!D111),"Unknown")</x:f>
        <x:v>5105</x:v>
      </x:c>
      <x:c r="K11" s="11" t="n">
        <x:f>IF(COUNT('Turns'!E18,'Turns'!E30,'Turns'!E45,'Turns'!E60,'Turns'!E73,'Turns'!E88,'Turns'!E99,'Turns'!E111)=8,SUM('Turns'!E18,'Turns'!E30,'Turns'!E45,'Turns'!E60,'Turns'!E73,'Turns'!E88,'Turns'!E99,'Turns'!E111),"Unknown")</x:f>
        <x:v>0.00088859672</x:v>
      </x:c>
      <x:c r="L11" s="11" t="n">
        <x:f>IF(COUNT('Turns'!F18,'Turns'!F30,'Turns'!F45,'Turns'!F60,'Turns'!F73,'Turns'!F88,'Turns'!F99,'Turns'!F111)=8,SUM('Turns'!F18,'Turns'!F30,'Turns'!F45,'Turns'!F60,'Turns'!F73,'Turns'!F88,'Turns'!F99,'Turns'!F111),"Unknown")</x:f>
        <x:v>0.001021</x:v>
      </x:c>
      <x:c r="M11" s="33" t="n">
        <x:f>IF(COUNT('Turns'!D72,'Turns'!D87,'Turns'!D98,'Turns'!D110)=4,SUM('Turns'!D72,'Turns'!D87,'Turns'!D98,'Turns'!D110),"Unknown")</x:f>
        <x:v>0</x:v>
      </x:c>
      <x:c r="N11" s="11" t="n">
        <x:f>IF(COUNT('Turns'!E72,'Turns'!E87,'Turns'!E98,'Turns'!E110)=4,SUM('Turns'!E72,'Turns'!E87,'Turns'!E98,'Turns'!E110),"Unknown")</x:f>
        <x:v>0</x:v>
      </x:c>
      <x:c r="O11" s="11" t="n">
        <x:f>IF(COUNT('Turns'!F72,'Turns'!F87,'Turns'!F98,'Turns'!F110)=4,SUM('Turns'!F72,'Turns'!F87,'Turns'!F98,'Turns'!F110),"Unknown")</x:f>
        <x:v>0</x:v>
      </x:c>
      <x:c r="P11" s="33" t="n">
        <x:v>0</x:v>
      </x:c>
      <x:c r="Q11" s="11" t="n">
        <x:v>0</x:v>
      </x:c>
      <x:c r="R11" s="11" t="n">
        <x:v>0</x:v>
      </x:c>
      <x:c r="S11" s="33" t="n">
        <x:f>IF(COUNT('Turns'!D24,'Turns'!D36,'Turns'!D51,'Turns'!D66,'Turns'!D78,'Turns'!D92,'Turns'!D104,'Turns'!D116)=8,SUM('Turns'!D24,'Turns'!D36,'Turns'!D51,'Turns'!D66,'Turns'!D78,'Turns'!D92,'Turns'!D104,'Turns'!D116),"Unknown")</x:f>
        <x:v>592</x:v>
      </x:c>
      <x:c r="T11" s="11" t="n">
        <x:f>IF(COUNT('Turns'!E24,'Turns'!E36,'Turns'!E51,'Turns'!E66,'Turns'!E78,'Turns'!E92,'Turns'!E104,'Turns'!E116)=8,SUM('Turns'!E24,'Turns'!E36,'Turns'!E51,'Turns'!E66,'Turns'!E78,'Turns'!E92,'Turns'!E104,'Turns'!E116),"Unknown")</x:f>
        <x:v>0.0006182753279999999</x:v>
      </x:c>
      <x:c r="U11" s="11" t="n">
        <x:f>IF(COUNT('Turns'!F24,'Turns'!F36,'Turns'!F51,'Turns'!F66,'Turns'!F78,'Turns'!F92,'Turns'!F104,'Turns'!F116)=8,SUM('Turns'!F24,'Turns'!F36,'Turns'!F51,'Turns'!F66,'Turns'!F78,'Turns'!F92,'Turns'!F104,'Turns'!F116),"Unknown")</x:f>
        <x:v>0.0007104</x:v>
      </x:c>
      <x:c r="V11" s="33" t="n">
        <x:v>0</x:v>
      </x:c>
      <x:c r="W11" s="11" t="n">
        <x:v>0</x:v>
      </x:c>
      <x:c r="X11" s="11" t="n">
        <x:v>0</x:v>
      </x:c>
      <x:c r="Y11" s="11" t="n">
        <x:f>IF(COUNT('Turns'!E28,'Turns'!E40,'Turns'!E55,'Turns'!E70,'Turns'!E82,'Turns'!E96,'Turns'!E108,'Turns'!E120)=8,SUM('Turns'!E28,'Turns'!E40,'Turns'!E55,'Turns'!E70,'Turns'!E82,'Turns'!E96,'Turns'!E108,'Turns'!E120),"Unknown")</x:f>
        <x:v>0.001506872048</x:v>
      </x:c>
      <x:c r="Z11" s="11" t="n">
        <x:f>IF(COUNT('Turns'!F28,'Turns'!F40,'Turns'!F55,'Turns'!F70,'Turns'!F82,'Turns'!F96,'Turns'!F108,'Turns'!F120)=8,SUM('Turns'!F28,'Turns'!F40,'Turns'!F55,'Turns'!F70,'Turns'!F82,'Turns'!F96,'Turns'!F108,'Turns'!F120),"Unknown")</x:f>
        <x:v>0.0017314000000000001</x:v>
      </x:c>
      <x:c r="AA11" s="33" t="n">
        <x:f>IF(ISNUMBER(Y11),ROUND(Y11*'Reference data'!$B$2,0),"Unknown")</x:f>
        <x:v>151</x:v>
      </x:c>
      <x:c r="AB11" s="33" t="n">
        <x:f>IF(ISNUMBER(Z11),ROUND(Z11*'Reference data'!$B$2,0),"Unknown")</x:f>
        <x:v>173</x:v>
      </x:c>
      <x:c r="AC11" s="2"/>
      <x:c r="AD11" s="43" t="n">
        <x:v>43.056128</x:v>
      </x:c>
      <x:c r="AE11" s="2" t="str">
        <x:v>Subtree total</x:v>
      </x:c>
    </x:row>
    <x:row r="12" ht="54" customHeight="1">
      <x:c r="A12" s="41" t="str">
        <x:v>                SummarizationMiddleware.before_model</x:v>
      </x:c>
      <x:c r="B12" s="36" t="n">
        <x:v>4</x:v>
      </x:c>
      <x:c r="C12" s="36" t="str">
        <x:v>workflow</x:v>
      </x:c>
      <x:c r="D12" s="36" t="str"/>
      <x:c r="E12" s="36" t="str">
        <x:v>ok</x:v>
      </x:c>
      <x:c r="F12" s="38"/>
      <x:c r="G12" s="41" t="str">
        <x:v>Execute the SummarizationMiddleware.before_model workflow operation and pass its result to the next graph step.</x:v>
      </x:c>
      <x:c r="H12" s="36" t="str">
        <x:v>01a0c6fd-6da3-7d60-a579-193c053ded42</x:v>
      </x:c>
      <x:c r="I12" s="36" t="str">
        <x:v>01a0c6fd-6da2-70c0-9fd4-c702e34f7825</x:v>
      </x:c>
      <x:c r="J12" s="33" t="n">
        <x:f>IF(COUNT('Turns'!D18)=1,SUM('Turns'!D18),"Unknown")</x:f>
        <x:v>939</x:v>
      </x:c>
      <x:c r="K12" s="11" t="n">
        <x:f>IF(COUNT('Turns'!E18)=1,SUM('Turns'!E18),"Unknown")</x:f>
        <x:v>0.000163446096</x:v>
      </x:c>
      <x:c r="L12" s="11" t="n">
        <x:f>IF(COUNT('Turns'!F18)=1,SUM('Turns'!F18),"Unknown")</x:f>
        <x:v>0.0001878</x:v>
      </x:c>
      <x:c r="M12" s="33" t="n">
        <x:v>0</x:v>
      </x:c>
      <x:c r="N12" s="11" t="n">
        <x:v>0</x:v>
      </x:c>
      <x:c r="O12" s="11" t="n">
        <x:v>0</x:v>
      </x:c>
      <x:c r="P12" s="33" t="n">
        <x:v>0</x:v>
      </x:c>
      <x:c r="Q12" s="11" t="n">
        <x:v>0</x:v>
      </x:c>
      <x:c r="R12" s="11" t="n">
        <x:v>0</x:v>
      </x:c>
      <x:c r="S12" s="33" t="n">
        <x:f>IF(COUNT('Turns'!D24)=1,SUM('Turns'!D24),"Unknown")</x:f>
        <x:v>42</x:v>
      </x:c>
      <x:c r="T12" s="11" t="n">
        <x:f>IF(COUNT('Turns'!E24)=1,SUM('Turns'!E24),"Unknown")</x:f>
        <x:v>0.000043864127999999996</x:v>
      </x:c>
      <x:c r="U12" s="11" t="n">
        <x:f>IF(COUNT('Turns'!F24)=1,SUM('Turns'!F24),"Unknown")</x:f>
        <x:v>0.0000504</x:v>
      </x:c>
      <x:c r="V12" s="33" t="n">
        <x:v>0</x:v>
      </x:c>
      <x:c r="W12" s="11" t="n">
        <x:v>0</x:v>
      </x:c>
      <x:c r="X12" s="11" t="n">
        <x:v>0</x:v>
      </x:c>
      <x:c r="Y12" s="11" t="n">
        <x:f>IF(COUNT('Turns'!E28)=1,SUM('Turns'!E28),"Unknown")</x:f>
        <x:v>0.000207310224</x:v>
      </x:c>
      <x:c r="Z12" s="11" t="n">
        <x:f>IF(COUNT('Turns'!F28)=1,SUM('Turns'!F28),"Unknown")</x:f>
        <x:v>0.00023820000000000002</x:v>
      </x:c>
      <x:c r="AA12" s="33" t="n">
        <x:f>IF(ISNUMBER(Y12),ROUND(Y12*'Reference data'!$B$2,0),"Unknown")</x:f>
        <x:v>21</x:v>
      </x:c>
      <x:c r="AB12" s="33" t="n">
        <x:f>IF(ISNUMBER(Z12),ROUND(Z12*'Reference data'!$B$2,0),"Unknown")</x:f>
        <x:v>24</x:v>
      </x:c>
      <x:c r="AC12" s="2"/>
      <x:c r="AD12" s="43" t="n">
        <x:v>3.707136</x:v>
      </x:c>
      <x:c r="AE12" s="2" t="str">
        <x:v>Subtree total</x:v>
      </x:c>
    </x:row>
    <x:row r="13" ht="54" customHeight="1">
      <x:c r="A13" s="41" t="str">
        <x:v>                    CompactingDemoModel</x:v>
      </x:c>
      <x:c r="B13" s="36" t="n">
        <x:v>5</x:v>
      </x:c>
      <x:c r="C13" s="36" t="str">
        <x:v>workflow</x:v>
      </x:c>
      <x:c r="D13" s="36" t="str"/>
      <x:c r="E13" s="36" t="str">
        <x:v>ok</x:v>
      </x:c>
      <x:c r="F13" s="38"/>
      <x:c r="G13" s="41" t="str">
        <x:v>Execute the CompactingDemoModel workflow operation and pass its result to the next graph step.</x:v>
      </x:c>
      <x:c r="H13" s="36" t="str">
        <x:v>01a0c6fd-6da3-7d60-a579-194216e48cb9</x:v>
      </x:c>
      <x:c r="I13" s="36" t="str">
        <x:v>01a0c6fd-6da3-7d60-a579-193c053ded42</x:v>
      </x:c>
      <x:c r="J13" s="33" t="n">
        <x:f>IF(COUNT('Turns'!D18)=1,SUM('Turns'!D18),"Unknown")</x:f>
        <x:v>939</x:v>
      </x:c>
      <x:c r="K13" s="11" t="n">
        <x:f>IF(COUNT('Turns'!E18)=1,SUM('Turns'!E18),"Unknown")</x:f>
        <x:v>0.000163446096</x:v>
      </x:c>
      <x:c r="L13" s="11" t="n">
        <x:f>IF(COUNT('Turns'!F18)=1,SUM('Turns'!F18),"Unknown")</x:f>
        <x:v>0.0001878</x:v>
      </x:c>
      <x:c r="M13" s="33" t="n">
        <x:v>0</x:v>
      </x:c>
      <x:c r="N13" s="11" t="n">
        <x:v>0</x:v>
      </x:c>
      <x:c r="O13" s="11" t="n">
        <x:v>0</x:v>
      </x:c>
      <x:c r="P13" s="33" t="n">
        <x:v>0</x:v>
      </x:c>
      <x:c r="Q13" s="11" t="n">
        <x:v>0</x:v>
      </x:c>
      <x:c r="R13" s="11" t="n">
        <x:v>0</x:v>
      </x:c>
      <x:c r="S13" s="33" t="n">
        <x:f>IF(COUNT('Turns'!D24)=1,SUM('Turns'!D24),"Unknown")</x:f>
        <x:v>42</x:v>
      </x:c>
      <x:c r="T13" s="11" t="n">
        <x:f>IF(COUNT('Turns'!E24)=1,SUM('Turns'!E24),"Unknown")</x:f>
        <x:v>0.000043864127999999996</x:v>
      </x:c>
      <x:c r="U13" s="11" t="n">
        <x:f>IF(COUNT('Turns'!F24)=1,SUM('Turns'!F24),"Unknown")</x:f>
        <x:v>0.0000504</x:v>
      </x:c>
      <x:c r="V13" s="33" t="n">
        <x:v>0</x:v>
      </x:c>
      <x:c r="W13" s="11" t="n">
        <x:v>0</x:v>
      </x:c>
      <x:c r="X13" s="11" t="n">
        <x:v>0</x:v>
      </x:c>
      <x:c r="Y13" s="11" t="n">
        <x:f>IF(COUNT('Turns'!E28)=1,SUM('Turns'!E28),"Unknown")</x:f>
        <x:v>0.000207310224</x:v>
      </x:c>
      <x:c r="Z13" s="11" t="n">
        <x:f>IF(COUNT('Turns'!F28)=1,SUM('Turns'!F28),"Unknown")</x:f>
        <x:v>0.00023820000000000002</x:v>
      </x:c>
      <x:c r="AA13" s="33" t="n">
        <x:f>IF(ISNUMBER(Y13),ROUND(Y13*'Reference data'!$B$2,0),"Unknown")</x:f>
        <x:v>21</x:v>
      </x:c>
      <x:c r="AB13" s="33" t="n">
        <x:f>IF(ISNUMBER(Z13),ROUND(Z13*'Reference data'!$B$2,0),"Unknown")</x:f>
        <x:v>24</x:v>
      </x:c>
      <x:c r="AC13" s="2"/>
      <x:c r="AD13" s="43" t="n">
        <x:v>3.003136</x:v>
      </x:c>
      <x:c r="AE13" s="2" t="str">
        <x:v>Subtree total</x:v>
      </x:c>
    </x:row>
    <x:row r="14" ht="54" customHeight="1">
      <x:c r="A14" s="42" t="str">
        <x:v>                        CompactingDemoModel</x:v>
      </x:c>
      <x:c r="B14" s="20" t="n">
        <x:v>6</x:v>
      </x:c>
      <x:c r="C14" s="20" t="str">
        <x:v>model</x:v>
      </x:c>
      <x:c r="D14" s="20" t="str">
        <x:v>scripted-chat</x:v>
      </x:c>
      <x:c r="E14" s="20" t="str">
        <x:v>ok</x:v>
      </x:c>
      <x:c r="F14" s="39" t="n">
        <x:v>939</x:v>
      </x:c>
      <x:c r="G14" s="42" t="str">
        <x:v>Summarize shared workflow history.</x:v>
      </x:c>
      <x:c r="H14" s="20" t="str">
        <x:v>01a0c6fd-6da3-7d60-a579-1952a966dd3e</x:v>
      </x:c>
      <x:c r="I14" s="20" t="str">
        <x:v>01a0c6fd-6da3-7d60-a579-194216e48cb9</x:v>
      </x:c>
      <x:c r="J14" s="33" t="n">
        <x:f>IF(COUNT('Turns'!D18)=1,SUM('Turns'!D18),"Unknown")</x:f>
        <x:v>939</x:v>
      </x:c>
      <x:c r="K14" s="11" t="n">
        <x:f>IF(COUNT('Turns'!E18)=1,SUM('Turns'!E18),"Unknown")</x:f>
        <x:v>0.000163446096</x:v>
      </x:c>
      <x:c r="L14" s="11" t="n">
        <x:f>IF(COUNT('Turns'!F18)=1,SUM('Turns'!F18),"Unknown")</x:f>
        <x:v>0.0001878</x:v>
      </x:c>
      <x:c r="M14" s="33" t="n">
        <x:v>0</x:v>
      </x:c>
      <x:c r="N14" s="11" t="n">
        <x:v>0</x:v>
      </x:c>
      <x:c r="O14" s="11" t="n">
        <x:v>0</x:v>
      </x:c>
      <x:c r="P14" s="33" t="n">
        <x:v>0</x:v>
      </x:c>
      <x:c r="Q14" s="11" t="n">
        <x:v>0</x:v>
      </x:c>
      <x:c r="R14" s="11" t="n">
        <x:v>0</x:v>
      </x:c>
      <x:c r="S14" s="33" t="n">
        <x:f>IF(COUNT('Turns'!D24)=1,SUM('Turns'!D24),"Unknown")</x:f>
        <x:v>42</x:v>
      </x:c>
      <x:c r="T14" s="11" t="n">
        <x:f>IF(COUNT('Turns'!E24)=1,SUM('Turns'!E24),"Unknown")</x:f>
        <x:v>0.000043864127999999996</x:v>
      </x:c>
      <x:c r="U14" s="11" t="n">
        <x:f>IF(COUNT('Turns'!F24)=1,SUM('Turns'!F24),"Unknown")</x:f>
        <x:v>0.0000504</x:v>
      </x:c>
      <x:c r="V14" s="33" t="n">
        <x:v>0</x:v>
      </x:c>
      <x:c r="W14" s="11" t="n">
        <x:v>0</x:v>
      </x:c>
      <x:c r="X14" s="11" t="n">
        <x:v>0</x:v>
      </x:c>
      <x:c r="Y14" s="11" t="n">
        <x:f>IF(COUNT('Turns'!E28)=1,SUM('Turns'!E28),"Unknown")</x:f>
        <x:v>0.000207310224</x:v>
      </x:c>
      <x:c r="Z14" s="11" t="n">
        <x:f>IF(COUNT('Turns'!F28)=1,SUM('Turns'!F28),"Unknown")</x:f>
        <x:v>0.00023820000000000002</x:v>
      </x:c>
      <x:c r="AA14" s="33" t="n">
        <x:f>IF(ISNUMBER(Y14),ROUND(Y14*'Reference data'!$B$2,0),"Unknown")</x:f>
        <x:v>21</x:v>
      </x:c>
      <x:c r="AB14" s="33" t="n">
        <x:f>IF(ISNUMBER(Z14),ROUND(Z14*'Reference data'!$B$2,0),"Unknown")</x:f>
        <x:v>24</x:v>
      </x:c>
      <x:c r="AC14" s="2" t="str">
        <x:v>R2</x:v>
      </x:c>
      <x:c r="AD14" s="43" t="n">
        <x:v>1.923072</x:v>
      </x:c>
      <x:c r="AE14" s="2" t="str">
        <x:v>Own call</x:v>
      </x:c>
    </x:row>
    <x:row r="15" ht="54" customHeight="1">
      <x:c r="A15" s="41" t="str">
        <x:v>                model</x:v>
      </x:c>
      <x:c r="B15" s="36" t="n">
        <x:v>4</x:v>
      </x:c>
      <x:c r="C15" s="36" t="str">
        <x:v>workflow</x:v>
      </x:c>
      <x:c r="D15" s="36" t="str"/>
      <x:c r="E15" s="36" t="str">
        <x:v>ok</x:v>
      </x:c>
      <x:c r="F15" s="38"/>
      <x:c r="G15" s="41" t="str">
        <x:v>Prepare the current conversation, run model middleware, and invoke the chat model.</x:v>
      </x:c>
      <x:c r="H15" s="36" t="str">
        <x:v>01a0c6fd-6da7-7813-b5c7-7ca59e4999d1</x:v>
      </x:c>
      <x:c r="I15" s="36" t="str">
        <x:v>01a0c6fd-6da2-70c0-9fd4-c702e34f7825</x:v>
      </x:c>
      <x:c r="J15" s="33" t="n">
        <x:f>IF(COUNT('Turns'!D30)=1,SUM('Turns'!D30),"Unknown")</x:f>
        <x:v>584</x:v>
      </x:c>
      <x:c r="K15" s="11" t="n">
        <x:f>IF(COUNT('Turns'!E30)=1,SUM('Turns'!E30),"Unknown")</x:f>
        <x:v>0.000101653376</x:v>
      </x:c>
      <x:c r="L15" s="11" t="n">
        <x:f>IF(COUNT('Turns'!F30)=1,SUM('Turns'!F30),"Unknown")</x:f>
        <x:v>0.0001168</x:v>
      </x:c>
      <x:c r="M15" s="33" t="n">
        <x:v>0</x:v>
      </x:c>
      <x:c r="N15" s="11" t="n">
        <x:v>0</x:v>
      </x:c>
      <x:c r="O15" s="11" t="n">
        <x:v>0</x:v>
      </x:c>
      <x:c r="P15" s="33" t="n">
        <x:v>0</x:v>
      </x:c>
      <x:c r="Q15" s="11" t="n">
        <x:v>0</x:v>
      </x:c>
      <x:c r="R15" s="11" t="n">
        <x:v>0</x:v>
      </x:c>
      <x:c r="S15" s="33" t="n">
        <x:f>IF(COUNT('Turns'!D36)=1,SUM('Turns'!D36),"Unknown")</x:f>
        <x:v>90</x:v>
      </x:c>
      <x:c r="T15" s="11" t="n">
        <x:f>IF(COUNT('Turns'!E36)=1,SUM('Turns'!E36),"Unknown")</x:f>
        <x:v>0.00009399456</x:v>
      </x:c>
      <x:c r="U15" s="11" t="n">
        <x:f>IF(COUNT('Turns'!F36)=1,SUM('Turns'!F36),"Unknown")</x:f>
        <x:v>0.000108</x:v>
      </x:c>
      <x:c r="V15" s="33" t="n">
        <x:v>0</x:v>
      </x:c>
      <x:c r="W15" s="11" t="n">
        <x:v>0</x:v>
      </x:c>
      <x:c r="X15" s="11" t="n">
        <x:v>0</x:v>
      </x:c>
      <x:c r="Y15" s="11" t="n">
        <x:f>IF(COUNT('Turns'!E40)=1,SUM('Turns'!E40),"Unknown")</x:f>
        <x:v>0.000195647936</x:v>
      </x:c>
      <x:c r="Z15" s="11" t="n">
        <x:f>IF(COUNT('Turns'!F40)=1,SUM('Turns'!F40),"Unknown")</x:f>
        <x:v>0.0002248</x:v>
      </x:c>
      <x:c r="AA15" s="33" t="n">
        <x:f>IF(ISNUMBER(Y15),ROUND(Y15*'Reference data'!$B$2,0),"Unknown")</x:f>
        <x:v>20</x:v>
      </x:c>
      <x:c r="AB15" s="33" t="n">
        <x:f>IF(ISNUMBER(Z15),ROUND(Z15*'Reference data'!$B$2,0),"Unknown")</x:f>
        <x:v>22</x:v>
      </x:c>
      <x:c r="AC15" s="2"/>
      <x:c r="AD15" s="43" t="n">
        <x:v>3.88096</x:v>
      </x:c>
      <x:c r="AE15" s="2" t="str">
        <x:v>Subtree total</x:v>
      </x:c>
    </x:row>
    <x:row r="16" ht="54" customHeight="1">
      <x:c r="A16" s="42" t="str">
        <x:v>                    CompactingDemoModel</x:v>
      </x:c>
      <x:c r="B16" s="20" t="n">
        <x:v>5</x:v>
      </x:c>
      <x:c r="C16" s="20" t="str">
        <x:v>model</x:v>
      </x:c>
      <x:c r="D16" s="20" t="str">
        <x:v>scripted-chat</x:v>
      </x:c>
      <x:c r="E16" s="20" t="str">
        <x:v>ok</x:v>
      </x:c>
      <x:c r="F16" s="39" t="n">
        <x:v>584</x:v>
      </x:c>
      <x:c r="G16" s="42" t="str">
        <x:v>Delegate from shared history and respond.</x:v>
      </x:c>
      <x:c r="H16" s="20" t="str">
        <x:v>01a0c6fd-6da8-7831-b8f1-c1eb79a216e5</x:v>
      </x:c>
      <x:c r="I16" s="20" t="str">
        <x:v>01a0c6fd-6da7-7813-b5c7-7ca59e4999d1</x:v>
      </x:c>
      <x:c r="J16" s="33" t="n">
        <x:f>IF(COUNT('Turns'!D30)=1,SUM('Turns'!D30),"Unknown")</x:f>
        <x:v>584</x:v>
      </x:c>
      <x:c r="K16" s="11" t="n">
        <x:f>IF(COUNT('Turns'!E30)=1,SUM('Turns'!E30),"Unknown")</x:f>
        <x:v>0.000101653376</x:v>
      </x:c>
      <x:c r="L16" s="11" t="n">
        <x:f>IF(COUNT('Turns'!F30)=1,SUM('Turns'!F30),"Unknown")</x:f>
        <x:v>0.0001168</x:v>
      </x:c>
      <x:c r="M16" s="33" t="n">
        <x:v>0</x:v>
      </x:c>
      <x:c r="N16" s="11" t="n">
        <x:v>0</x:v>
      </x:c>
      <x:c r="O16" s="11" t="n">
        <x:v>0</x:v>
      </x:c>
      <x:c r="P16" s="33" t="n">
        <x:v>0</x:v>
      </x:c>
      <x:c r="Q16" s="11" t="n">
        <x:v>0</x:v>
      </x:c>
      <x:c r="R16" s="11" t="n">
        <x:v>0</x:v>
      </x:c>
      <x:c r="S16" s="33" t="n">
        <x:f>IF(COUNT('Turns'!D36)=1,SUM('Turns'!D36),"Unknown")</x:f>
        <x:v>90</x:v>
      </x:c>
      <x:c r="T16" s="11" t="n">
        <x:f>IF(COUNT('Turns'!E36)=1,SUM('Turns'!E36),"Unknown")</x:f>
        <x:v>0.00009399456</x:v>
      </x:c>
      <x:c r="U16" s="11" t="n">
        <x:f>IF(COUNT('Turns'!F36)=1,SUM('Turns'!F36),"Unknown")</x:f>
        <x:v>0.000108</x:v>
      </x:c>
      <x:c r="V16" s="33" t="n">
        <x:v>0</x:v>
      </x:c>
      <x:c r="W16" s="11" t="n">
        <x:v>0</x:v>
      </x:c>
      <x:c r="X16" s="11" t="n">
        <x:v>0</x:v>
      </x:c>
      <x:c r="Y16" s="11" t="n">
        <x:f>IF(COUNT('Turns'!E40)=1,SUM('Turns'!E40),"Unknown")</x:f>
        <x:v>0.000195647936</x:v>
      </x:c>
      <x:c r="Z16" s="11" t="n">
        <x:f>IF(COUNT('Turns'!F40)=1,SUM('Turns'!F40),"Unknown")</x:f>
        <x:v>0.0002248</x:v>
      </x:c>
      <x:c r="AA16" s="33" t="n">
        <x:f>IF(ISNUMBER(Y16),ROUND(Y16*'Reference data'!$B$2,0),"Unknown")</x:f>
        <x:v>20</x:v>
      </x:c>
      <x:c r="AB16" s="33" t="n">
        <x:f>IF(ISNUMBER(Z16),ROUND(Z16*'Reference data'!$B$2,0),"Unknown")</x:f>
        <x:v>22</x:v>
      </x:c>
      <x:c r="AC16" s="2" t="str">
        <x:v>R3</x:v>
      </x:c>
      <x:c r="AD16" s="43" t="n">
        <x:v>1.839104</x:v>
      </x:c>
      <x:c r="AE16" s="2" t="str">
        <x:v>Own call</x:v>
      </x:c>
    </x:row>
    <x:row r="17" ht="54" customHeight="1">
      <x:c r="A17" s="41" t="str">
        <x:v>                tools</x:v>
      </x:c>
      <x:c r="B17" s="36" t="n">
        <x:v>4</x:v>
      </x:c>
      <x:c r="C17" s="36" t="str">
        <x:v>workflow</x:v>
      </x:c>
      <x:c r="D17" s="36" t="str"/>
      <x:c r="E17" s="36" t="str">
        <x:v>ok</x:v>
      </x:c>
      <x:c r="F17" s="38"/>
      <x:c r="G17" s="41" t="str">
        <x:v>Execute tool calls requested by the preceding model response and return their observations.</x:v>
      </x:c>
      <x:c r="H17" s="36" t="str">
        <x:v>01a0c6fd-6dab-7ea3-885c-975996fbe2d5</x:v>
      </x:c>
      <x:c r="I17" s="36" t="str">
        <x:v>01a0c6fd-6da2-70c0-9fd4-c702e34f7825</x:v>
      </x:c>
      <x:c r="J17" s="33" t="n">
        <x:f>IF(COUNT('Turns'!D45,'Turns'!D60,'Turns'!D73,'Turns'!D88,'Turns'!D99)=5,SUM('Turns'!D45,'Turns'!D60,'Turns'!D73,'Turns'!D88,'Turns'!D99),"Unknown")</x:f>
        <x:v>2859</x:v>
      </x:c>
      <x:c r="K17" s="11" t="n">
        <x:f>IF(COUNT('Turns'!E45,'Turns'!E60,'Turns'!E73,'Turns'!E88,'Turns'!E99)=5,SUM('Turns'!E45,'Turns'!E60,'Turns'!E73,'Turns'!E88,'Turns'!E99),"Unknown")</x:f>
        <x:v>0.0004976489760000001</x:v>
      </x:c>
      <x:c r="L17" s="11" t="n">
        <x:f>IF(COUNT('Turns'!F45,'Turns'!F60,'Turns'!F73,'Turns'!F88,'Turns'!F99)=5,SUM('Turns'!F45,'Turns'!F60,'Turns'!F73,'Turns'!F88,'Turns'!F99),"Unknown")</x:f>
        <x:v>0.0005718000000000001</x:v>
      </x:c>
      <x:c r="M17" s="33" t="n">
        <x:f>IF(COUNT('Turns'!D72,'Turns'!D87,'Turns'!D98)=3,SUM('Turns'!D72,'Turns'!D87,'Turns'!D98),"Unknown")</x:f>
        <x:v>0</x:v>
      </x:c>
      <x:c r="N17" s="11" t="n">
        <x:f>IF(COUNT('Turns'!E72,'Turns'!E87,'Turns'!E98)=3,SUM('Turns'!E72,'Turns'!E87,'Turns'!E98),"Unknown")</x:f>
        <x:v>0</x:v>
      </x:c>
      <x:c r="O17" s="11" t="n">
        <x:f>IF(COUNT('Turns'!F72,'Turns'!F87,'Turns'!F98)=3,SUM('Turns'!F72,'Turns'!F87,'Turns'!F98),"Unknown")</x:f>
        <x:v>0</x:v>
      </x:c>
      <x:c r="P17" s="33" t="n">
        <x:v>0</x:v>
      </x:c>
      <x:c r="Q17" s="11" t="n">
        <x:v>0</x:v>
      </x:c>
      <x:c r="R17" s="11" t="n">
        <x:v>0</x:v>
      </x:c>
      <x:c r="S17" s="33" t="n">
        <x:f>IF(COUNT('Turns'!D51,'Turns'!D66,'Turns'!D78,'Turns'!D92,'Turns'!D104)=5,SUM('Turns'!D51,'Turns'!D66,'Turns'!D78,'Turns'!D92,'Turns'!D104),"Unknown")</x:f>
        <x:v>418</x:v>
      </x:c>
      <x:c r="T17" s="11" t="n">
        <x:f>IF(COUNT('Turns'!E51,'Turns'!E66,'Turns'!E78,'Turns'!E92,'Turns'!E104)=5,SUM('Turns'!E51,'Turns'!E66,'Turns'!E78,'Turns'!E92,'Turns'!E104),"Unknown")</x:f>
        <x:v>0.0004365525119999999</x:v>
      </x:c>
      <x:c r="U17" s="11" t="n">
        <x:f>IF(COUNT('Turns'!F51,'Turns'!F66,'Turns'!F78,'Turns'!F92,'Turns'!F104)=5,SUM('Turns'!F51,'Turns'!F66,'Turns'!F78,'Turns'!F92,'Turns'!F104),"Unknown")</x:f>
        <x:v>0.0005015999999999999</x:v>
      </x:c>
      <x:c r="V17" s="33" t="n">
        <x:v>0</x:v>
      </x:c>
      <x:c r="W17" s="11" t="n">
        <x:v>0</x:v>
      </x:c>
      <x:c r="X17" s="11" t="n">
        <x:v>0</x:v>
      </x:c>
      <x:c r="Y17" s="11" t="n">
        <x:f>IF(COUNT('Turns'!E55,'Turns'!E70,'Turns'!E82,'Turns'!E96,'Turns'!E108)=5,SUM('Turns'!E55,'Turns'!E70,'Turns'!E82,'Turns'!E96,'Turns'!E108),"Unknown")</x:f>
        <x:v>0.0009342014880000001</x:v>
      </x:c>
      <x:c r="Z17" s="11" t="n">
        <x:f>IF(COUNT('Turns'!F55,'Turns'!F70,'Turns'!F82,'Turns'!F96,'Turns'!F108)=5,SUM('Turns'!F55,'Turns'!F70,'Turns'!F82,'Turns'!F96,'Turns'!F108),"Unknown")</x:f>
        <x:v>0.0010734000000000002</x:v>
      </x:c>
      <x:c r="AA17" s="33" t="n">
        <x:f>IF(ISNUMBER(Y17),ROUND(Y17*'Reference data'!$B$2,0),"Unknown")</x:f>
        <x:v>93</x:v>
      </x:c>
      <x:c r="AB17" s="33" t="n">
        <x:f>IF(ISNUMBER(Z17),ROUND(Z17*'Reference data'!$B$2,0),"Unknown")</x:f>
        <x:v>107</x:v>
      </x:c>
      <x:c r="AC17" s="2"/>
      <x:c r="AD17" s="43" t="n">
        <x:v>28.260096</x:v>
      </x:c>
      <x:c r="AE17" s="2" t="str">
        <x:v>Subtree total</x:v>
      </x:c>
    </x:row>
    <x:row r="18" ht="54" customHeight="1">
      <x:c r="A18" s="41" t="str">
        <x:v>                    task</x:v>
      </x:c>
      <x:c r="B18" s="36" t="n">
        <x:v>5</x:v>
      </x:c>
      <x:c r="C18" s="36" t="str">
        <x:v>tool</x:v>
      </x:c>
      <x:c r="D18" s="36" t="str"/>
      <x:c r="E18" s="36" t="str">
        <x:v>ok</x:v>
      </x:c>
      <x:c r="F18" s="38"/>
      <x:c r="G18" s="41" t="str">
        <x:v>Launch an ephemeral subagent to handle a complex, multi-step task.
Available agent types and the tools they have access to:
- workflow-specialist: Looks up agent workflow concepts and returns an evidence-based summary.
Specify subagent_type to select the agent. Usage notes:
- Launch multiple agents concurrently when their tasks are independent, using a single message with multiple tool calls.
- Each invocation is stateless by default: the agent sees only the prompt you give it and returns a single final report. Put full detail in the prompt and state exactly what it should return — unless an agent type below says it inherits your conversation instead.
- The agent's report is not shown to the user; relay a summary yourself.
- Tell the agent whether to create content, analyze, or only research, since it can't necessarily see the user's intent unless it inherits your conversation, as noted per agent type below.
- If an agent's description says to use it proactively, do so without waiting to be asked.
- When only general-purpose is available, use it for any complex, context-heavy task; it has the same capabilities as the main agent.</x:v>
      </x:c>
      <x:c r="H18" s="36" t="str">
        <x:v>01a0c6fd-6dac-7bf1-8d52-5d0644d02481</x:v>
      </x:c>
      <x:c r="I18" s="36" t="str">
        <x:v>01a0c6fd-6dab-7ea3-885c-975996fbe2d5</x:v>
      </x:c>
      <x:c r="J18" s="33" t="n">
        <x:f>IF(COUNT('Turns'!D45,'Turns'!D60,'Turns'!D73,'Turns'!D88,'Turns'!D99)=5,SUM('Turns'!D45,'Turns'!D60,'Turns'!D73,'Turns'!D88,'Turns'!D99),"Unknown")</x:f>
        <x:v>2859</x:v>
      </x:c>
      <x:c r="K18" s="11" t="n">
        <x:f>IF(COUNT('Turns'!E45,'Turns'!E60,'Turns'!E73,'Turns'!E88,'Turns'!E99)=5,SUM('Turns'!E45,'Turns'!E60,'Turns'!E73,'Turns'!E88,'Turns'!E99),"Unknown")</x:f>
        <x:v>0.0004976489760000001</x:v>
      </x:c>
      <x:c r="L18" s="11" t="n">
        <x:f>IF(COUNT('Turns'!F45,'Turns'!F60,'Turns'!F73,'Turns'!F88,'Turns'!F99)=5,SUM('Turns'!F45,'Turns'!F60,'Turns'!F73,'Turns'!F88,'Turns'!F99),"Unknown")</x:f>
        <x:v>0.0005718000000000001</x:v>
      </x:c>
      <x:c r="M18" s="33" t="n">
        <x:f>IF(COUNT('Turns'!D72,'Turns'!D87,'Turns'!D98)=3,SUM('Turns'!D72,'Turns'!D87,'Turns'!D98),"Unknown")</x:f>
        <x:v>0</x:v>
      </x:c>
      <x:c r="N18" s="11" t="n">
        <x:f>IF(COUNT('Turns'!E72,'Turns'!E87,'Turns'!E98)=3,SUM('Turns'!E72,'Turns'!E87,'Turns'!E98),"Unknown")</x:f>
        <x:v>0</x:v>
      </x:c>
      <x:c r="O18" s="11" t="n">
        <x:f>IF(COUNT('Turns'!F72,'Turns'!F87,'Turns'!F98)=3,SUM('Turns'!F72,'Turns'!F87,'Turns'!F98),"Unknown")</x:f>
        <x:v>0</x:v>
      </x:c>
      <x:c r="P18" s="33" t="n">
        <x:v>0</x:v>
      </x:c>
      <x:c r="Q18" s="11" t="n">
        <x:v>0</x:v>
      </x:c>
      <x:c r="R18" s="11" t="n">
        <x:v>0</x:v>
      </x:c>
      <x:c r="S18" s="33" t="n">
        <x:f>IF(COUNT('Turns'!D51,'Turns'!D66,'Turns'!D78,'Turns'!D92,'Turns'!D104)=5,SUM('Turns'!D51,'Turns'!D66,'Turns'!D78,'Turns'!D92,'Turns'!D104),"Unknown")</x:f>
        <x:v>418</x:v>
      </x:c>
      <x:c r="T18" s="11" t="n">
        <x:f>IF(COUNT('Turns'!E51,'Turns'!E66,'Turns'!E78,'Turns'!E92,'Turns'!E104)=5,SUM('Turns'!E51,'Turns'!E66,'Turns'!E78,'Turns'!E92,'Turns'!E104),"Unknown")</x:f>
        <x:v>0.0004365525119999999</x:v>
      </x:c>
      <x:c r="U18" s="11" t="n">
        <x:f>IF(COUNT('Turns'!F51,'Turns'!F66,'Turns'!F78,'Turns'!F92,'Turns'!F104)=5,SUM('Turns'!F51,'Turns'!F66,'Turns'!F78,'Turns'!F92,'Turns'!F104),"Unknown")</x:f>
        <x:v>0.0005015999999999999</x:v>
      </x:c>
      <x:c r="V18" s="33" t="n">
        <x:v>0</x:v>
      </x:c>
      <x:c r="W18" s="11" t="n">
        <x:v>0</x:v>
      </x:c>
      <x:c r="X18" s="11" t="n">
        <x:v>0</x:v>
      </x:c>
      <x:c r="Y18" s="11" t="n">
        <x:f>IF(COUNT('Turns'!E55,'Turns'!E70,'Turns'!E82,'Turns'!E96,'Turns'!E108)=5,SUM('Turns'!E55,'Turns'!E70,'Turns'!E82,'Turns'!E96,'Turns'!E108),"Unknown")</x:f>
        <x:v>0.0009342014880000001</x:v>
      </x:c>
      <x:c r="Z18" s="11" t="n">
        <x:f>IF(COUNT('Turns'!F55,'Turns'!F70,'Turns'!F82,'Turns'!F96,'Turns'!F108)=5,SUM('Turns'!F55,'Turns'!F70,'Turns'!F82,'Turns'!F96,'Turns'!F108),"Unknown")</x:f>
        <x:v>0.0010734000000000002</x:v>
      </x:c>
      <x:c r="AA18" s="33" t="n">
        <x:f>IF(ISNUMBER(Y18),ROUND(Y18*'Reference data'!$B$2,0),"Unknown")</x:f>
        <x:v>93</x:v>
      </x:c>
      <x:c r="AB18" s="33" t="n">
        <x:f>IF(ISNUMBER(Z18),ROUND(Z18*'Reference data'!$B$2,0),"Unknown")</x:f>
        <x:v>107</x:v>
      </x:c>
      <x:c r="AC18" s="2"/>
      <x:c r="AD18" s="43" t="n">
        <x:v>26.95296</x:v>
      </x:c>
      <x:c r="AE18" s="2" t="str">
        <x:v>Subtree total</x:v>
      </x:c>
    </x:row>
    <x:row r="19" ht="54" customHeight="1">
      <x:c r="A19" s="41" t="str">
        <x:v>                        workflow-specialist</x:v>
      </x:c>
      <x:c r="B19" s="36" t="n">
        <x:v>6</x:v>
      </x:c>
      <x:c r="C19" s="36" t="str">
        <x:v>workflow</x:v>
      </x:c>
      <x:c r="D19" s="36" t="str"/>
      <x:c r="E19" s="36" t="str">
        <x:v>ok</x:v>
      </x:c>
      <x:c r="F19" s="38"/>
      <x:c r="G19" s="41" t="str">
        <x:v>Execute the workflow-specialist workflow operation and pass its result to the next graph step.</x:v>
      </x:c>
      <x:c r="H19" s="36" t="str">
        <x:v>01a0c6fd-6dad-7011-be60-5fe99d708e93</x:v>
      </x:c>
      <x:c r="I19" s="36" t="str">
        <x:v>01a0c6fd-6dac-7bf1-8d52-5d0644d02481</x:v>
      </x:c>
      <x:c r="J19" s="33" t="n">
        <x:f>IF(COUNT('Turns'!D45,'Turns'!D60,'Turns'!D73,'Turns'!D88,'Turns'!D99)=5,SUM('Turns'!D45,'Turns'!D60,'Turns'!D73,'Turns'!D88,'Turns'!D99),"Unknown")</x:f>
        <x:v>2859</x:v>
      </x:c>
      <x:c r="K19" s="11" t="n">
        <x:f>IF(COUNT('Turns'!E45,'Turns'!E60,'Turns'!E73,'Turns'!E88,'Turns'!E99)=5,SUM('Turns'!E45,'Turns'!E60,'Turns'!E73,'Turns'!E88,'Turns'!E99),"Unknown")</x:f>
        <x:v>0.0004976489760000001</x:v>
      </x:c>
      <x:c r="L19" s="11" t="n">
        <x:f>IF(COUNT('Turns'!F45,'Turns'!F60,'Turns'!F73,'Turns'!F88,'Turns'!F99)=5,SUM('Turns'!F45,'Turns'!F60,'Turns'!F73,'Turns'!F88,'Turns'!F99),"Unknown")</x:f>
        <x:v>0.0005718000000000001</x:v>
      </x:c>
      <x:c r="M19" s="33" t="n">
        <x:f>IF(COUNT('Turns'!D72,'Turns'!D87,'Turns'!D98)=3,SUM('Turns'!D72,'Turns'!D87,'Turns'!D98),"Unknown")</x:f>
        <x:v>0</x:v>
      </x:c>
      <x:c r="N19" s="11" t="n">
        <x:f>IF(COUNT('Turns'!E72,'Turns'!E87,'Turns'!E98)=3,SUM('Turns'!E72,'Turns'!E87,'Turns'!E98),"Unknown")</x:f>
        <x:v>0</x:v>
      </x:c>
      <x:c r="O19" s="11" t="n">
        <x:f>IF(COUNT('Turns'!F72,'Turns'!F87,'Turns'!F98)=3,SUM('Turns'!F72,'Turns'!F87,'Turns'!F98),"Unknown")</x:f>
        <x:v>0</x:v>
      </x:c>
      <x:c r="P19" s="33" t="n">
        <x:v>0</x:v>
      </x:c>
      <x:c r="Q19" s="11" t="n">
        <x:v>0</x:v>
      </x:c>
      <x:c r="R19" s="11" t="n">
        <x:v>0</x:v>
      </x:c>
      <x:c r="S19" s="33" t="n">
        <x:f>IF(COUNT('Turns'!D51,'Turns'!D66,'Turns'!D78,'Turns'!D92,'Turns'!D104)=5,SUM('Turns'!D51,'Turns'!D66,'Turns'!D78,'Turns'!D92,'Turns'!D104),"Unknown")</x:f>
        <x:v>418</x:v>
      </x:c>
      <x:c r="T19" s="11" t="n">
        <x:f>IF(COUNT('Turns'!E51,'Turns'!E66,'Turns'!E78,'Turns'!E92,'Turns'!E104)=5,SUM('Turns'!E51,'Turns'!E66,'Turns'!E78,'Turns'!E92,'Turns'!E104),"Unknown")</x:f>
        <x:v>0.0004365525119999999</x:v>
      </x:c>
      <x:c r="U19" s="11" t="n">
        <x:f>IF(COUNT('Turns'!F51,'Turns'!F66,'Turns'!F78,'Turns'!F92,'Turns'!F104)=5,SUM('Turns'!F51,'Turns'!F66,'Turns'!F78,'Turns'!F92,'Turns'!F104),"Unknown")</x:f>
        <x:v>0.0005015999999999999</x:v>
      </x:c>
      <x:c r="V19" s="33" t="n">
        <x:v>0</x:v>
      </x:c>
      <x:c r="W19" s="11" t="n">
        <x:v>0</x:v>
      </x:c>
      <x:c r="X19" s="11" t="n">
        <x:v>0</x:v>
      </x:c>
      <x:c r="Y19" s="11" t="n">
        <x:f>IF(COUNT('Turns'!E55,'Turns'!E70,'Turns'!E82,'Turns'!E96,'Turns'!E108)=5,SUM('Turns'!E55,'Turns'!E70,'Turns'!E82,'Turns'!E96,'Turns'!E108),"Unknown")</x:f>
        <x:v>0.0009342014880000001</x:v>
      </x:c>
      <x:c r="Z19" s="11" t="n">
        <x:f>IF(COUNT('Turns'!F55,'Turns'!F70,'Turns'!F82,'Turns'!F96,'Turns'!F108)=5,SUM('Turns'!F55,'Turns'!F70,'Turns'!F82,'Turns'!F96,'Turns'!F108),"Unknown")</x:f>
        <x:v>0.0010734000000000002</x:v>
      </x:c>
      <x:c r="AA19" s="33" t="n">
        <x:f>IF(ISNUMBER(Y19),ROUND(Y19*'Reference data'!$B$2,0),"Unknown")</x:f>
        <x:v>93</x:v>
      </x:c>
      <x:c r="AB19" s="33" t="n">
        <x:f>IF(ISNUMBER(Z19),ROUND(Z19*'Reference data'!$B$2,0),"Unknown")</x:f>
        <x:v>107</x:v>
      </x:c>
      <x:c r="AC19" s="2"/>
      <x:c r="AD19" s="43" t="n">
        <x:v>25.646848</x:v>
      </x:c>
      <x:c r="AE19" s="2" t="str">
        <x:v>Subtree total</x:v>
      </x:c>
    </x:row>
    <x:row r="20" ht="54" customHeight="1">
      <x:c r="A20" s="41" t="str">
        <x:v>                            SummarizationMiddleware.before_model</x:v>
      </x:c>
      <x:c r="B20" s="36" t="n">
        <x:v>7</x:v>
      </x:c>
      <x:c r="C20" s="36" t="str">
        <x:v>workflow</x:v>
      </x:c>
      <x:c r="D20" s="36" t="str"/>
      <x:c r="E20" s="36" t="str">
        <x:v>ok</x:v>
      </x:c>
      <x:c r="F20" s="38"/>
      <x:c r="G20" s="41" t="str">
        <x:v>Execute the SummarizationMiddleware.before_model workflow operation and pass its result to the next graph step.</x:v>
      </x:c>
      <x:c r="H20" s="36" t="str">
        <x:v>01a0c6fd-6dae-7df3-a44f-628c5ec37104</x:v>
      </x:c>
      <x:c r="I20" s="36" t="str">
        <x:v>01a0c6fd-6dad-7011-be60-5fe99d708e93</x:v>
      </x:c>
      <x:c r="J20" s="33"/>
      <x:c r="K20" s="11"/>
      <x:c r="L20" s="11"/>
      <x:c r="M20" s="33"/>
      <x:c r="N20" s="11"/>
      <x:c r="O20" s="11"/>
      <x:c r="P20" s="33"/>
      <x:c r="Q20" s="11"/>
      <x:c r="R20" s="11"/>
      <x:c r="S20" s="33"/>
      <x:c r="T20" s="11"/>
      <x:c r="U20" s="11"/>
      <x:c r="V20" s="33"/>
      <x:c r="W20" s="11"/>
      <x:c r="X20" s="11"/>
      <x:c r="Y20" s="11"/>
      <x:c r="Z20" s="11"/>
      <x:c r="AA20" s="33"/>
      <x:c r="AB20" s="33"/>
      <x:c r="AC20" s="2"/>
      <x:c r="AD20" s="43" t="n">
        <x:v>0.528896</x:v>
      </x:c>
      <x:c r="AE20" s="2" t="str">
        <x:v>No model charge</x:v>
      </x:c>
    </x:row>
    <x:row r="21" ht="54" customHeight="1">
      <x:c r="A21" s="41" t="str">
        <x:v>                            model</x:v>
      </x:c>
      <x:c r="B21" s="36" t="n">
        <x:v>7</x:v>
      </x:c>
      <x:c r="C21" s="36" t="str">
        <x:v>workflow</x:v>
      </x:c>
      <x:c r="D21" s="36" t="str"/>
      <x:c r="E21" s="36" t="str">
        <x:v>ok</x:v>
      </x:c>
      <x:c r="F21" s="38"/>
      <x:c r="G21" s="41" t="str">
        <x:v>Prepare the current conversation, run model middleware, and invoke the chat model.</x:v>
      </x:c>
      <x:c r="H21" s="36" t="str">
        <x:v>01a0c6fd-6daf-7391-be14-fbaa27070520</x:v>
      </x:c>
      <x:c r="I21" s="36" t="str">
        <x:v>01a0c6fd-6dad-7011-be60-5fe99d708e93</x:v>
      </x:c>
      <x:c r="J21" s="33" t="n">
        <x:f>IF(COUNT('Turns'!D45)=1,SUM('Turns'!D45),"Unknown")</x:f>
        <x:v>222</x:v>
      </x:c>
      <x:c r="K21" s="11" t="n">
        <x:f>IF(COUNT('Turns'!E45)=1,SUM('Turns'!E45),"Unknown")</x:f>
        <x:v>0.00003864220800000001</x:v>
      </x:c>
      <x:c r="L21" s="11" t="n">
        <x:f>IF(COUNT('Turns'!F45)=1,SUM('Turns'!F45),"Unknown")</x:f>
        <x:v>0.00004440000000000001</x:v>
      </x:c>
      <x:c r="M21" s="33" t="n">
        <x:v>0</x:v>
      </x:c>
      <x:c r="N21" s="11" t="n">
        <x:v>0</x:v>
      </x:c>
      <x:c r="O21" s="11" t="n">
        <x:v>0</x:v>
      </x:c>
      <x:c r="P21" s="33" t="n">
        <x:v>0</x:v>
      </x:c>
      <x:c r="Q21" s="11" t="n">
        <x:v>0</x:v>
      </x:c>
      <x:c r="R21" s="11" t="n">
        <x:v>0</x:v>
      </x:c>
      <x:c r="S21" s="33" t="n">
        <x:f>IF(COUNT('Turns'!D51)=1,SUM('Turns'!D51),"Unknown")</x:f>
        <x:v>208</x:v>
      </x:c>
      <x:c r="T21" s="11" t="n">
        <x:f>IF(COUNT('Turns'!E51)=1,SUM('Turns'!E51),"Unknown")</x:f>
        <x:v>0.00021723187199999998</x:v>
      </x:c>
      <x:c r="U21" s="11" t="n">
        <x:f>IF(COUNT('Turns'!F51)=1,SUM('Turns'!F51),"Unknown")</x:f>
        <x:v>0.0002496</x:v>
      </x:c>
      <x:c r="V21" s="33" t="n">
        <x:v>0</x:v>
      </x:c>
      <x:c r="W21" s="11" t="n">
        <x:v>0</x:v>
      </x:c>
      <x:c r="X21" s="11" t="n">
        <x:v>0</x:v>
      </x:c>
      <x:c r="Y21" s="11" t="n">
        <x:f>IF(COUNT('Turns'!E55)=1,SUM('Turns'!E55),"Unknown")</x:f>
        <x:v>0.00025587408</x:v>
      </x:c>
      <x:c r="Z21" s="11" t="n">
        <x:f>IF(COUNT('Turns'!F55)=1,SUM('Turns'!F55),"Unknown")</x:f>
        <x:v>0.000294</x:v>
      </x:c>
      <x:c r="AA21" s="33" t="n">
        <x:f>IF(ISNUMBER(Y21),ROUND(Y21*'Reference data'!$B$2,0),"Unknown")</x:f>
        <x:v>26</x:v>
      </x:c>
      <x:c r="AB21" s="33" t="n">
        <x:f>IF(ISNUMBER(Z21),ROUND(Z21*'Reference data'!$B$2,0),"Unknown")</x:f>
        <x:v>29</x:v>
      </x:c>
      <x:c r="AC21" s="2"/>
      <x:c r="AD21" s="43" t="n">
        <x:v>4.308992</x:v>
      </x:c>
      <x:c r="AE21" s="2" t="str">
        <x:v>Subtree total</x:v>
      </x:c>
    </x:row>
    <x:row r="22" ht="54" customHeight="1">
      <x:c r="A22" s="42" t="str">
        <x:v>                                CompactingDemoModel</x:v>
      </x:c>
      <x:c r="B22" s="20" t="n">
        <x:v>8</x:v>
      </x:c>
      <x:c r="C22" s="20" t="str">
        <x:v>model</x:v>
      </x:c>
      <x:c r="D22" s="20" t="str">
        <x:v>scripted-chat</x:v>
      </x:c>
      <x:c r="E22" s="20" t="str">
        <x:v>ok</x:v>
      </x:c>
      <x:c r="F22" s="39" t="n">
        <x:v>222</x:v>
      </x:c>
      <x:c r="G22" s="42" t="str">
        <x:v>Research within isolated subagent history.</x:v>
      </x:c>
      <x:c r="H22" s="20" t="str">
        <x:v>01a0c6fd-6db0-7682-8ab1-ce91b6f17aa5</x:v>
      </x:c>
      <x:c r="I22" s="20" t="str">
        <x:v>01a0c6fd-6daf-7391-be14-fbaa27070520</x:v>
      </x:c>
      <x:c r="J22" s="33" t="n">
        <x:f>IF(COUNT('Turns'!D45)=1,SUM('Turns'!D45),"Unknown")</x:f>
        <x:v>222</x:v>
      </x:c>
      <x:c r="K22" s="11" t="n">
        <x:f>IF(COUNT('Turns'!E45)=1,SUM('Turns'!E45),"Unknown")</x:f>
        <x:v>0.00003864220800000001</x:v>
      </x:c>
      <x:c r="L22" s="11" t="n">
        <x:f>IF(COUNT('Turns'!F45)=1,SUM('Turns'!F45),"Unknown")</x:f>
        <x:v>0.00004440000000000001</x:v>
      </x:c>
      <x:c r="M22" s="33" t="n">
        <x:v>0</x:v>
      </x:c>
      <x:c r="N22" s="11" t="n">
        <x:v>0</x:v>
      </x:c>
      <x:c r="O22" s="11" t="n">
        <x:v>0</x:v>
      </x:c>
      <x:c r="P22" s="33" t="n">
        <x:v>0</x:v>
      </x:c>
      <x:c r="Q22" s="11" t="n">
        <x:v>0</x:v>
      </x:c>
      <x:c r="R22" s="11" t="n">
        <x:v>0</x:v>
      </x:c>
      <x:c r="S22" s="33" t="n">
        <x:f>IF(COUNT('Turns'!D51)=1,SUM('Turns'!D51),"Unknown")</x:f>
        <x:v>208</x:v>
      </x:c>
      <x:c r="T22" s="11" t="n">
        <x:f>IF(COUNT('Turns'!E51)=1,SUM('Turns'!E51),"Unknown")</x:f>
        <x:v>0.00021723187199999998</x:v>
      </x:c>
      <x:c r="U22" s="11" t="n">
        <x:f>IF(COUNT('Turns'!F51)=1,SUM('Turns'!F51),"Unknown")</x:f>
        <x:v>0.0002496</x:v>
      </x:c>
      <x:c r="V22" s="33" t="n">
        <x:v>0</x:v>
      </x:c>
      <x:c r="W22" s="11" t="n">
        <x:v>0</x:v>
      </x:c>
      <x:c r="X22" s="11" t="n">
        <x:v>0</x:v>
      </x:c>
      <x:c r="Y22" s="11" t="n">
        <x:f>IF(COUNT('Turns'!E55)=1,SUM('Turns'!E55),"Unknown")</x:f>
        <x:v>0.00025587408</x:v>
      </x:c>
      <x:c r="Z22" s="11" t="n">
        <x:f>IF(COUNT('Turns'!F55)=1,SUM('Turns'!F55),"Unknown")</x:f>
        <x:v>0.000294</x:v>
      </x:c>
      <x:c r="AA22" s="33" t="n">
        <x:f>IF(ISNUMBER(Y22),ROUND(Y22*'Reference data'!$B$2,0),"Unknown")</x:f>
        <x:v>26</x:v>
      </x:c>
      <x:c r="AB22" s="33" t="n">
        <x:f>IF(ISNUMBER(Z22),ROUND(Z22*'Reference data'!$B$2,0),"Unknown")</x:f>
        <x:v>29</x:v>
      </x:c>
      <x:c r="AC22" s="2" t="str">
        <x:v>R4</x:v>
      </x:c>
      <x:c r="AD22" s="43" t="n">
        <x:v>2.46016</x:v>
      </x:c>
      <x:c r="AE22" s="2" t="str">
        <x:v>Own call</x:v>
      </x:c>
    </x:row>
    <x:row r="23" ht="54" customHeight="1">
      <x:c r="A23" s="41" t="str">
        <x:v>                            tools</x:v>
      </x:c>
      <x:c r="B23" s="36" t="n">
        <x:v>7</x:v>
      </x:c>
      <x:c r="C23" s="36" t="str">
        <x:v>workflow</x:v>
      </x:c>
      <x:c r="D23" s="36" t="str"/>
      <x:c r="E23" s="36" t="str">
        <x:v>ok</x:v>
      </x:c>
      <x:c r="F23" s="38"/>
      <x:c r="G23" s="41" t="str">
        <x:v>Execute tool calls requested by the preceding model response and return their observations.</x:v>
      </x:c>
      <x:c r="H23" s="36" t="str">
        <x:v>01a0c6fd-6db4-7912-9e5e-8442387c73c4</x:v>
      </x:c>
      <x:c r="I23" s="36" t="str">
        <x:v>01a0c6fd-6dad-7011-be60-5fe99d708e93</x:v>
      </x:c>
      <x:c r="J23" s="33"/>
      <x:c r="K23" s="11"/>
      <x:c r="L23" s="11"/>
      <x:c r="M23" s="33"/>
      <x:c r="N23" s="11"/>
      <x:c r="O23" s="11"/>
      <x:c r="P23" s="33"/>
      <x:c r="Q23" s="11"/>
      <x:c r="R23" s="11"/>
      <x:c r="S23" s="33"/>
      <x:c r="T23" s="11"/>
      <x:c r="U23" s="11"/>
      <x:c r="V23" s="33"/>
      <x:c r="W23" s="11"/>
      <x:c r="X23" s="11"/>
      <x:c r="Y23" s="11"/>
      <x:c r="Z23" s="11"/>
      <x:c r="AA23" s="33"/>
      <x:c r="AB23" s="33"/>
      <x:c r="AC23" s="2"/>
      <x:c r="AD23" s="43" t="n">
        <x:v>1.630976</x:v>
      </x:c>
      <x:c r="AE23" s="2" t="str">
        <x:v>No model charge</x:v>
      </x:c>
    </x:row>
    <x:row r="24" ht="54" customHeight="1">
      <x:c r="A24" s="41" t="str">
        <x:v>                                workflow_reference</x:v>
      </x:c>
      <x:c r="B24" s="36" t="n">
        <x:v>8</x:v>
      </x:c>
      <x:c r="C24" s="36" t="str">
        <x:v>tool</x:v>
      </x:c>
      <x:c r="D24" s="36" t="str"/>
      <x:c r="E24" s="36" t="str">
        <x:v>ok</x:v>
      </x:c>
      <x:c r="F24" s="38"/>
      <x:c r="G24" s="41" t="str">
        <x:v>Return a fixed explanation from a small local agent-workflow reference.</x:v>
      </x:c>
      <x:c r="H24" s="36" t="str">
        <x:v>01a0c6fd-6db4-7912-9e5e-845447da5342</x:v>
      </x:c>
      <x:c r="I24" s="36" t="str">
        <x:v>01a0c6fd-6db4-7912-9e5e-8442387c73c4</x:v>
      </x:c>
      <x:c r="J24" s="33"/>
      <x:c r="K24" s="11"/>
      <x:c r="L24" s="11"/>
      <x:c r="M24" s="33"/>
      <x:c r="N24" s="11"/>
      <x:c r="O24" s="11"/>
      <x:c r="P24" s="33"/>
      <x:c r="Q24" s="11"/>
      <x:c r="R24" s="11"/>
      <x:c r="S24" s="33"/>
      <x:c r="T24" s="11"/>
      <x:c r="U24" s="11"/>
      <x:c r="V24" s="33"/>
      <x:c r="W24" s="11"/>
      <x:c r="X24" s="11"/>
      <x:c r="Y24" s="11"/>
      <x:c r="Z24" s="11"/>
      <x:c r="AA24" s="33"/>
      <x:c r="AB24" s="33"/>
      <x:c r="AC24" s="2"/>
      <x:c r="AD24" s="43" t="n">
        <x:v>0.508928</x:v>
      </x:c>
      <x:c r="AE24" s="2" t="str">
        <x:v>No model charge</x:v>
      </x:c>
    </x:row>
    <x:row r="25" ht="54" customHeight="1">
      <x:c r="A25" s="41" t="str">
        <x:v>                            SummarizationMiddleware.before_model</x:v>
      </x:c>
      <x:c r="B25" s="36" t="n">
        <x:v>7</x:v>
      </x:c>
      <x:c r="C25" s="36" t="str">
        <x:v>workflow</x:v>
      </x:c>
      <x:c r="D25" s="36" t="str"/>
      <x:c r="E25" s="36" t="str">
        <x:v>ok</x:v>
      </x:c>
      <x:c r="F25" s="38"/>
      <x:c r="G25" s="41" t="str">
        <x:v>Execute the SummarizationMiddleware.before_model workflow operation and pass its result to the next graph step.</x:v>
      </x:c>
      <x:c r="H25" s="36" t="str">
        <x:v>01a0c6fd-6db6-77c0-b4b6-4b921d58854f</x:v>
      </x:c>
      <x:c r="I25" s="36" t="str">
        <x:v>01a0c6fd-6dad-7011-be60-5fe99d708e93</x:v>
      </x:c>
      <x:c r="J25" s="33" t="n">
        <x:f>IF(COUNT('Turns'!D60)=1,SUM('Turns'!D60),"Unknown")</x:f>
        <x:v>624</x:v>
      </x:c>
      <x:c r="K25" s="11" t="n">
        <x:f>IF(COUNT('Turns'!E60)=1,SUM('Turns'!E60),"Unknown")</x:f>
        <x:v>0.00010861593600000002</x:v>
      </x:c>
      <x:c r="L25" s="11" t="n">
        <x:f>IF(COUNT('Turns'!F60)=1,SUM('Turns'!F60),"Unknown")</x:f>
        <x:v>0.00012480000000000002</x:v>
      </x:c>
      <x:c r="M25" s="33" t="n">
        <x:v>0</x:v>
      </x:c>
      <x:c r="N25" s="11" t="n">
        <x:v>0</x:v>
      </x:c>
      <x:c r="O25" s="11" t="n">
        <x:v>0</x:v>
      </x:c>
      <x:c r="P25" s="33" t="n">
        <x:v>0</x:v>
      </x:c>
      <x:c r="Q25" s="11" t="n">
        <x:v>0</x:v>
      </x:c>
      <x:c r="R25" s="11" t="n">
        <x:v>0</x:v>
      </x:c>
      <x:c r="S25" s="33" t="n">
        <x:f>IF(COUNT('Turns'!D66)=1,SUM('Turns'!D66),"Unknown")</x:f>
        <x:v>46</x:v>
      </x:c>
      <x:c r="T25" s="11" t="n">
        <x:f>IF(COUNT('Turns'!E66)=1,SUM('Turns'!E66),"Unknown")</x:f>
        <x:v>0.00004804166399999999</x:v>
      </x:c>
      <x:c r="U25" s="11" t="n">
        <x:f>IF(COUNT('Turns'!F66)=1,SUM('Turns'!F66),"Unknown")</x:f>
        <x:v>0.00005519999999999999</x:v>
      </x:c>
      <x:c r="V25" s="33" t="n">
        <x:v>0</x:v>
      </x:c>
      <x:c r="W25" s="11" t="n">
        <x:v>0</x:v>
      </x:c>
      <x:c r="X25" s="11" t="n">
        <x:v>0</x:v>
      </x:c>
      <x:c r="Y25" s="11" t="n">
        <x:f>IF(COUNT('Turns'!E70)=1,SUM('Turns'!E70),"Unknown")</x:f>
        <x:v>0.0001566576</x:v>
      </x:c>
      <x:c r="Z25" s="11" t="n">
        <x:f>IF(COUNT('Turns'!F70)=1,SUM('Turns'!F70),"Unknown")</x:f>
        <x:v>0.00018</x:v>
      </x:c>
      <x:c r="AA25" s="33" t="n">
        <x:f>IF(ISNUMBER(Y25),ROUND(Y25*'Reference data'!$B$2,0),"Unknown")</x:f>
        <x:v>16</x:v>
      </x:c>
      <x:c r="AB25" s="33" t="n">
        <x:f>IF(ISNUMBER(Z25),ROUND(Z25*'Reference data'!$B$2,0),"Unknown")</x:f>
        <x:v>18</x:v>
      </x:c>
      <x:c r="AC25" s="2"/>
      <x:c r="AD25" s="43" t="n">
        <x:v>3.055104</x:v>
      </x:c>
      <x:c r="AE25" s="2" t="str">
        <x:v>Subtree total</x:v>
      </x:c>
    </x:row>
    <x:row r="26" ht="54" customHeight="1">
      <x:c r="A26" s="41" t="str">
        <x:v>                                CompactingDemoModel</x:v>
      </x:c>
      <x:c r="B26" s="36" t="n">
        <x:v>8</x:v>
      </x:c>
      <x:c r="C26" s="36" t="str">
        <x:v>workflow</x:v>
      </x:c>
      <x:c r="D26" s="36" t="str"/>
      <x:c r="E26" s="36" t="str">
        <x:v>ok</x:v>
      </x:c>
      <x:c r="F26" s="38"/>
      <x:c r="G26" s="41" t="str">
        <x:v>Execute the CompactingDemoModel workflow operation and pass its result to the next graph step.</x:v>
      </x:c>
      <x:c r="H26" s="36" t="str">
        <x:v>01a0c6fd-6db6-77c0-b4b6-4ba9be26651d</x:v>
      </x:c>
      <x:c r="I26" s="36" t="str">
        <x:v>01a0c6fd-6db6-77c0-b4b6-4b921d58854f</x:v>
      </x:c>
      <x:c r="J26" s="33" t="n">
        <x:f>IF(COUNT('Turns'!D60)=1,SUM('Turns'!D60),"Unknown")</x:f>
        <x:v>624</x:v>
      </x:c>
      <x:c r="K26" s="11" t="n">
        <x:f>IF(COUNT('Turns'!E60)=1,SUM('Turns'!E60),"Unknown")</x:f>
        <x:v>0.00010861593600000002</x:v>
      </x:c>
      <x:c r="L26" s="11" t="n">
        <x:f>IF(COUNT('Turns'!F60)=1,SUM('Turns'!F60),"Unknown")</x:f>
        <x:v>0.00012480000000000002</x:v>
      </x:c>
      <x:c r="M26" s="33" t="n">
        <x:v>0</x:v>
      </x:c>
      <x:c r="N26" s="11" t="n">
        <x:v>0</x:v>
      </x:c>
      <x:c r="O26" s="11" t="n">
        <x:v>0</x:v>
      </x:c>
      <x:c r="P26" s="33" t="n">
        <x:v>0</x:v>
      </x:c>
      <x:c r="Q26" s="11" t="n">
        <x:v>0</x:v>
      </x:c>
      <x:c r="R26" s="11" t="n">
        <x:v>0</x:v>
      </x:c>
      <x:c r="S26" s="33" t="n">
        <x:f>IF(COUNT('Turns'!D66)=1,SUM('Turns'!D66),"Unknown")</x:f>
        <x:v>46</x:v>
      </x:c>
      <x:c r="T26" s="11" t="n">
        <x:f>IF(COUNT('Turns'!E66)=1,SUM('Turns'!E66),"Unknown")</x:f>
        <x:v>0.00004804166399999999</x:v>
      </x:c>
      <x:c r="U26" s="11" t="n">
        <x:f>IF(COUNT('Turns'!F66)=1,SUM('Turns'!F66),"Unknown")</x:f>
        <x:v>0.00005519999999999999</x:v>
      </x:c>
      <x:c r="V26" s="33" t="n">
        <x:v>0</x:v>
      </x:c>
      <x:c r="W26" s="11" t="n">
        <x:v>0</x:v>
      </x:c>
      <x:c r="X26" s="11" t="n">
        <x:v>0</x:v>
      </x:c>
      <x:c r="Y26" s="11" t="n">
        <x:f>IF(COUNT('Turns'!E70)=1,SUM('Turns'!E70),"Unknown")</x:f>
        <x:v>0.0001566576</x:v>
      </x:c>
      <x:c r="Z26" s="11" t="n">
        <x:f>IF(COUNT('Turns'!F70)=1,SUM('Turns'!F70),"Unknown")</x:f>
        <x:v>0.00018</x:v>
      </x:c>
      <x:c r="AA26" s="33" t="n">
        <x:f>IF(ISNUMBER(Y26),ROUND(Y26*'Reference data'!$B$2,0),"Unknown")</x:f>
        <x:v>16</x:v>
      </x:c>
      <x:c r="AB26" s="33" t="n">
        <x:f>IF(ISNUMBER(Z26),ROUND(Z26*'Reference data'!$B$2,0),"Unknown")</x:f>
        <x:v>18</x:v>
      </x:c>
      <x:c r="AC26" s="2"/>
      <x:c r="AD26" s="43" t="n">
        <x:v>2.371072</x:v>
      </x:c>
      <x:c r="AE26" s="2" t="str">
        <x:v>Subtree total</x:v>
      </x:c>
    </x:row>
    <x:row r="27" ht="54" customHeight="1">
      <x:c r="A27" s="42" t="str">
        <x:v>                                    CompactingDemoModel</x:v>
      </x:c>
      <x:c r="B27" s="20" t="n">
        <x:v>9</x:v>
      </x:c>
      <x:c r="C27" s="20" t="str">
        <x:v>model</x:v>
      </x:c>
      <x:c r="D27" s="20" t="str">
        <x:v>scripted-chat</x:v>
      </x:c>
      <x:c r="E27" s="20" t="str">
        <x:v>ok</x:v>
      </x:c>
      <x:c r="F27" s="39" t="n">
        <x:v>624</x:v>
      </x:c>
      <x:c r="G27" s="42" t="str">
        <x:v>Summarize isolated subagent history.</x:v>
      </x:c>
      <x:c r="H27" s="20" t="str">
        <x:v>01a0c6fd-6db7-7951-8a5e-b83f3a20e213</x:v>
      </x:c>
      <x:c r="I27" s="20" t="str">
        <x:v>01a0c6fd-6db6-77c0-b4b6-4ba9be26651d</x:v>
      </x:c>
      <x:c r="J27" s="33" t="n">
        <x:f>IF(COUNT('Turns'!D60)=1,SUM('Turns'!D60),"Unknown")</x:f>
        <x:v>624</x:v>
      </x:c>
      <x:c r="K27" s="11" t="n">
        <x:f>IF(COUNT('Turns'!E60)=1,SUM('Turns'!E60),"Unknown")</x:f>
        <x:v>0.00010861593600000002</x:v>
      </x:c>
      <x:c r="L27" s="11" t="n">
        <x:f>IF(COUNT('Turns'!F60)=1,SUM('Turns'!F60),"Unknown")</x:f>
        <x:v>0.00012480000000000002</x:v>
      </x:c>
      <x:c r="M27" s="33" t="n">
        <x:v>0</x:v>
      </x:c>
      <x:c r="N27" s="11" t="n">
        <x:v>0</x:v>
      </x:c>
      <x:c r="O27" s="11" t="n">
        <x:v>0</x:v>
      </x:c>
      <x:c r="P27" s="33" t="n">
        <x:v>0</x:v>
      </x:c>
      <x:c r="Q27" s="11" t="n">
        <x:v>0</x:v>
      </x:c>
      <x:c r="R27" s="11" t="n">
        <x:v>0</x:v>
      </x:c>
      <x:c r="S27" s="33" t="n">
        <x:f>IF(COUNT('Turns'!D66)=1,SUM('Turns'!D66),"Unknown")</x:f>
        <x:v>46</x:v>
      </x:c>
      <x:c r="T27" s="11" t="n">
        <x:f>IF(COUNT('Turns'!E66)=1,SUM('Turns'!E66),"Unknown")</x:f>
        <x:v>0.00004804166399999999</x:v>
      </x:c>
      <x:c r="U27" s="11" t="n">
        <x:f>IF(COUNT('Turns'!F66)=1,SUM('Turns'!F66),"Unknown")</x:f>
        <x:v>0.00005519999999999999</x:v>
      </x:c>
      <x:c r="V27" s="33" t="n">
        <x:v>0</x:v>
      </x:c>
      <x:c r="W27" s="11" t="n">
        <x:v>0</x:v>
      </x:c>
      <x:c r="X27" s="11" t="n">
        <x:v>0</x:v>
      </x:c>
      <x:c r="Y27" s="11" t="n">
        <x:f>IF(COUNT('Turns'!E70)=1,SUM('Turns'!E70),"Unknown")</x:f>
        <x:v>0.0001566576</x:v>
      </x:c>
      <x:c r="Z27" s="11" t="n">
        <x:f>IF(COUNT('Turns'!F70)=1,SUM('Turns'!F70),"Unknown")</x:f>
        <x:v>0.00018</x:v>
      </x:c>
      <x:c r="AA27" s="33" t="n">
        <x:f>IF(ISNUMBER(Y27),ROUND(Y27*'Reference data'!$B$2,0),"Unknown")</x:f>
        <x:v>16</x:v>
      </x:c>
      <x:c r="AB27" s="33" t="n">
        <x:f>IF(ISNUMBER(Z27),ROUND(Z27*'Reference data'!$B$2,0),"Unknown")</x:f>
        <x:v>18</x:v>
      </x:c>
      <x:c r="AC27" s="2" t="str">
        <x:v>R5</x:v>
      </x:c>
      <x:c r="AD27" s="43" t="n">
        <x:v>1.293824</x:v>
      </x:c>
      <x:c r="AE27" s="2" t="str">
        <x:v>Own call</x:v>
      </x:c>
    </x:row>
    <x:row r="28" ht="54" customHeight="1">
      <x:c r="A28" s="41" t="str">
        <x:v>                            model</x:v>
      </x:c>
      <x:c r="B28" s="36" t="n">
        <x:v>7</x:v>
      </x:c>
      <x:c r="C28" s="36" t="str">
        <x:v>workflow</x:v>
      </x:c>
      <x:c r="D28" s="36" t="str"/>
      <x:c r="E28" s="36" t="str">
        <x:v>ok</x:v>
      </x:c>
      <x:c r="F28" s="38"/>
      <x:c r="G28" s="41" t="str">
        <x:v>Prepare the current conversation, run model middleware, and invoke the chat model.</x:v>
      </x:c>
      <x:c r="H28" s="36" t="str">
        <x:v>01a0c6fd-6dba-7443-95d3-4e41b6605524</x:v>
      </x:c>
      <x:c r="I28" s="36" t="str">
        <x:v>01a0c6fd-6dad-7011-be60-5fe99d708e93</x:v>
      </x:c>
      <x:c r="J28" s="33" t="n">
        <x:f>IF(COUNT('Turns'!D73)=1,SUM('Turns'!D73),"Unknown")</x:f>
        <x:v>638</x:v>
      </x:c>
      <x:c r="K28" s="11" t="n">
        <x:f>IF(COUNT('Turns'!E73)=1,SUM('Turns'!E73),"Unknown")</x:f>
        <x:v>0.000111052832</x:v>
      </x:c>
      <x:c r="L28" s="11" t="n">
        <x:f>IF(COUNT('Turns'!F73)=1,SUM('Turns'!F73),"Unknown")</x:f>
        <x:v>0.0001276</x:v>
      </x:c>
      <x:c r="M28" s="33" t="n">
        <x:f>IF(COUNT('Turns'!D72)=1,SUM('Turns'!D72),"Unknown")</x:f>
        <x:v>0</x:v>
      </x:c>
      <x:c r="N28" s="11" t="n">
        <x:f>IF(COUNT('Turns'!E72)=1,SUM('Turns'!E72),"Unknown")</x:f>
        <x:v>0</x:v>
      </x:c>
      <x:c r="O28" s="11" t="n">
        <x:f>IF(COUNT('Turns'!F72)=1,SUM('Turns'!F72),"Unknown")</x:f>
        <x:v>0</x:v>
      </x:c>
      <x:c r="P28" s="33" t="n">
        <x:v>0</x:v>
      </x:c>
      <x:c r="Q28" s="11" t="n">
        <x:v>0</x:v>
      </x:c>
      <x:c r="R28" s="11" t="n">
        <x:v>0</x:v>
      </x:c>
      <x:c r="S28" s="33" t="n">
        <x:f>IF(COUNT('Turns'!D78)=1,SUM('Turns'!D78),"Unknown")</x:f>
        <x:v>73</x:v>
      </x:c>
      <x:c r="T28" s="11" t="n">
        <x:f>IF(COUNT('Turns'!E78)=1,SUM('Turns'!E78),"Unknown")</x:f>
        <x:v>0.00007624003199999998</x:v>
      </x:c>
      <x:c r="U28" s="11" t="n">
        <x:f>IF(COUNT('Turns'!F78)=1,SUM('Turns'!F78),"Unknown")</x:f>
        <x:v>0.00008759999999999999</x:v>
      </x:c>
      <x:c r="V28" s="33" t="n">
        <x:v>0</x:v>
      </x:c>
      <x:c r="W28" s="11" t="n">
        <x:v>0</x:v>
      </x:c>
      <x:c r="X28" s="11" t="n">
        <x:v>0</x:v>
      </x:c>
      <x:c r="Y28" s="11" t="n">
        <x:f>IF(COUNT('Turns'!E82)=1,SUM('Turns'!E82),"Unknown")</x:f>
        <x:v>0.000187292864</x:v>
      </x:c>
      <x:c r="Z28" s="11" t="n">
        <x:f>IF(COUNT('Turns'!F82)=1,SUM('Turns'!F82),"Unknown")</x:f>
        <x:v>0.0002152</x:v>
      </x:c>
      <x:c r="AA28" s="33" t="n">
        <x:f>IF(ISNUMBER(Y28),ROUND(Y28*'Reference data'!$B$2,0),"Unknown")</x:f>
        <x:v>19</x:v>
      </x:c>
      <x:c r="AB28" s="33" t="n">
        <x:f>IF(ISNUMBER(Z28),ROUND(Z28*'Reference data'!$B$2,0),"Unknown")</x:f>
        <x:v>22</x:v>
      </x:c>
      <x:c r="AC28" s="2"/>
      <x:c r="AD28" s="43" t="n">
        <x:v>3.149056</x:v>
      </x:c>
      <x:c r="AE28" s="2" t="str">
        <x:v>Subtree total</x:v>
      </x:c>
    </x:row>
    <x:row r="29" ht="54" customHeight="1">
      <x:c r="A29" s="42" t="str">
        <x:v>                                CompactingDemoModel</x:v>
      </x:c>
      <x:c r="B29" s="20" t="n">
        <x:v>8</x:v>
      </x:c>
      <x:c r="C29" s="20" t="str">
        <x:v>model</x:v>
      </x:c>
      <x:c r="D29" s="20" t="str">
        <x:v>scripted-chat</x:v>
      </x:c>
      <x:c r="E29" s="20" t="str">
        <x:v>ok</x:v>
      </x:c>
      <x:c r="F29" s="39" t="n">
        <x:v>638</x:v>
      </x:c>
      <x:c r="G29" s="42" t="str">
        <x:v>Research within isolated subagent history.</x:v>
      </x:c>
      <x:c r="H29" s="20" t="str">
        <x:v>01a0c6fd-6dba-7443-95d3-4e5ba2eb4af3</x:v>
      </x:c>
      <x:c r="I29" s="20" t="str">
        <x:v>01a0c6fd-6dba-7443-95d3-4e41b6605524</x:v>
      </x:c>
      <x:c r="J29" s="33" t="n">
        <x:f>IF(COUNT('Turns'!D73)=1,SUM('Turns'!D73),"Unknown")</x:f>
        <x:v>638</x:v>
      </x:c>
      <x:c r="K29" s="11" t="n">
        <x:f>IF(COUNT('Turns'!E73)=1,SUM('Turns'!E73),"Unknown")</x:f>
        <x:v>0.000111052832</x:v>
      </x:c>
      <x:c r="L29" s="11" t="n">
        <x:f>IF(COUNT('Turns'!F73)=1,SUM('Turns'!F73),"Unknown")</x:f>
        <x:v>0.0001276</x:v>
      </x:c>
      <x:c r="M29" s="33" t="n">
        <x:f>IF(COUNT('Turns'!D72)=1,SUM('Turns'!D72),"Unknown")</x:f>
        <x:v>0</x:v>
      </x:c>
      <x:c r="N29" s="11" t="n">
        <x:f>IF(COUNT('Turns'!E72)=1,SUM('Turns'!E72),"Unknown")</x:f>
        <x:v>0</x:v>
      </x:c>
      <x:c r="O29" s="11" t="n">
        <x:f>IF(COUNT('Turns'!F72)=1,SUM('Turns'!F72),"Unknown")</x:f>
        <x:v>0</x:v>
      </x:c>
      <x:c r="P29" s="33" t="n">
        <x:v>0</x:v>
      </x:c>
      <x:c r="Q29" s="11" t="n">
        <x:v>0</x:v>
      </x:c>
      <x:c r="R29" s="11" t="n">
        <x:v>0</x:v>
      </x:c>
      <x:c r="S29" s="33" t="n">
        <x:f>IF(COUNT('Turns'!D78)=1,SUM('Turns'!D78),"Unknown")</x:f>
        <x:v>73</x:v>
      </x:c>
      <x:c r="T29" s="11" t="n">
        <x:f>IF(COUNT('Turns'!E78)=1,SUM('Turns'!E78),"Unknown")</x:f>
        <x:v>0.00007624003199999998</x:v>
      </x:c>
      <x:c r="U29" s="11" t="n">
        <x:f>IF(COUNT('Turns'!F78)=1,SUM('Turns'!F78),"Unknown")</x:f>
        <x:v>0.00008759999999999999</x:v>
      </x:c>
      <x:c r="V29" s="33" t="n">
        <x:v>0</x:v>
      </x:c>
      <x:c r="W29" s="11" t="n">
        <x:v>0</x:v>
      </x:c>
      <x:c r="X29" s="11" t="n">
        <x:v>0</x:v>
      </x:c>
      <x:c r="Y29" s="11" t="n">
        <x:f>IF(COUNT('Turns'!E82)=1,SUM('Turns'!E82),"Unknown")</x:f>
        <x:v>0.000187292864</x:v>
      </x:c>
      <x:c r="Z29" s="11" t="n">
        <x:f>IF(COUNT('Turns'!F82)=1,SUM('Turns'!F82),"Unknown")</x:f>
        <x:v>0.0002152</x:v>
      </x:c>
      <x:c r="AA29" s="33" t="n">
        <x:f>IF(ISNUMBER(Y29),ROUND(Y29*'Reference data'!$B$2,0),"Unknown")</x:f>
        <x:v>19</x:v>
      </x:c>
      <x:c r="AB29" s="33" t="n">
        <x:f>IF(ISNUMBER(Z29),ROUND(Z29*'Reference data'!$B$2,0),"Unknown")</x:f>
        <x:v>22</x:v>
      </x:c>
      <x:c r="AC29" s="2" t="str">
        <x:v>R6</x:v>
      </x:c>
      <x:c r="AD29" s="43" t="n">
        <x:v>1.854976</x:v>
      </x:c>
      <x:c r="AE29" s="2" t="str">
        <x:v>Own call</x:v>
      </x:c>
    </x:row>
    <x:row r="30" ht="54" customHeight="1">
      <x:c r="A30" s="41" t="str">
        <x:v>                            tools</x:v>
      </x:c>
      <x:c r="B30" s="36" t="n">
        <x:v>7</x:v>
      </x:c>
      <x:c r="C30" s="36" t="str">
        <x:v>workflow</x:v>
      </x:c>
      <x:c r="D30" s="36" t="str"/>
      <x:c r="E30" s="36" t="str">
        <x:v>ok</x:v>
      </x:c>
      <x:c r="F30" s="38"/>
      <x:c r="G30" s="41" t="str">
        <x:v>Execute tool calls requested by the preceding model response and return their observations.</x:v>
      </x:c>
      <x:c r="H30" s="36" t="str">
        <x:v>01a0c6fd-6dbd-7611-9906-5b8fc7a9c7f6</x:v>
      </x:c>
      <x:c r="I30" s="36" t="str">
        <x:v>01a0c6fd-6dad-7011-be60-5fe99d708e93</x:v>
      </x:c>
      <x:c r="J30" s="33"/>
      <x:c r="K30" s="11"/>
      <x:c r="L30" s="11"/>
      <x:c r="M30" s="33"/>
      <x:c r="N30" s="11"/>
      <x:c r="O30" s="11"/>
      <x:c r="P30" s="33"/>
      <x:c r="Q30" s="11"/>
      <x:c r="R30" s="11"/>
      <x:c r="S30" s="33"/>
      <x:c r="T30" s="11"/>
      <x:c r="U30" s="11"/>
      <x:c r="V30" s="33"/>
      <x:c r="W30" s="11"/>
      <x:c r="X30" s="11"/>
      <x:c r="Y30" s="11"/>
      <x:c r="Z30" s="11"/>
      <x:c r="AA30" s="33"/>
      <x:c r="AB30" s="33"/>
      <x:c r="AC30" s="2"/>
      <x:c r="AD30" s="43" t="n">
        <x:v>1.878016</x:v>
      </x:c>
      <x:c r="AE30" s="2" t="str">
        <x:v>No model charge</x:v>
      </x:c>
    </x:row>
    <x:row r="31" ht="54" customHeight="1">
      <x:c r="A31" s="41" t="str">
        <x:v>                                workflow_reference</x:v>
      </x:c>
      <x:c r="B31" s="36" t="n">
        <x:v>8</x:v>
      </x:c>
      <x:c r="C31" s="36" t="str">
        <x:v>tool</x:v>
      </x:c>
      <x:c r="D31" s="36" t="str"/>
      <x:c r="E31" s="36" t="str">
        <x:v>ok</x:v>
      </x:c>
      <x:c r="F31" s="38"/>
      <x:c r="G31" s="41" t="str">
        <x:v>Return a fixed explanation from a small local agent-workflow reference.</x:v>
      </x:c>
      <x:c r="H31" s="36" t="str">
        <x:v>01a0c6fd-6dbe-72b2-aa6b-b8e7b644b22f</x:v>
      </x:c>
      <x:c r="I31" s="36" t="str">
        <x:v>01a0c6fd-6dbd-7611-9906-5b8fc7a9c7f6</x:v>
      </x:c>
      <x:c r="J31" s="33"/>
      <x:c r="K31" s="11"/>
      <x:c r="L31" s="11"/>
      <x:c r="M31" s="33"/>
      <x:c r="N31" s="11"/>
      <x:c r="O31" s="11"/>
      <x:c r="P31" s="33"/>
      <x:c r="Q31" s="11"/>
      <x:c r="R31" s="11"/>
      <x:c r="S31" s="33"/>
      <x:c r="T31" s="11"/>
      <x:c r="U31" s="11"/>
      <x:c r="V31" s="33"/>
      <x:c r="W31" s="11"/>
      <x:c r="X31" s="11"/>
      <x:c r="Y31" s="11"/>
      <x:c r="Z31" s="11"/>
      <x:c r="AA31" s="33"/>
      <x:c r="AB31" s="33"/>
      <x:c r="AC31" s="2"/>
      <x:c r="AD31" s="43" t="n">
        <x:v>0.706048</x:v>
      </x:c>
      <x:c r="AE31" s="2" t="str">
        <x:v>No model charge</x:v>
      </x:c>
    </x:row>
    <x:row r="32" ht="54" customHeight="1">
      <x:c r="A32" s="41" t="str">
        <x:v>                            SummarizationMiddleware.before_model</x:v>
      </x:c>
      <x:c r="B32" s="36" t="n">
        <x:v>7</x:v>
      </x:c>
      <x:c r="C32" s="36" t="str">
        <x:v>workflow</x:v>
      </x:c>
      <x:c r="D32" s="36" t="str"/>
      <x:c r="E32" s="36" t="str">
        <x:v>ok</x:v>
      </x:c>
      <x:c r="F32" s="38"/>
      <x:c r="G32" s="41" t="str">
        <x:v>Execute the SummarizationMiddleware.before_model workflow operation and pass its result to the next graph step.</x:v>
      </x:c>
      <x:c r="H32" s="36" t="str">
        <x:v>01a0c6fd-6dc0-7522-8c45-7173f06bd711</x:v>
      </x:c>
      <x:c r="I32" s="36" t="str">
        <x:v>01a0c6fd-6dad-7011-be60-5fe99d708e93</x:v>
      </x:c>
      <x:c r="J32" s="33" t="n">
        <x:f>IF(COUNT('Turns'!D88)=1,SUM('Turns'!D88),"Unknown")</x:f>
        <x:v>1007</x:v>
      </x:c>
      <x:c r="K32" s="11" t="n">
        <x:f>IF(COUNT('Turns'!E88)=1,SUM('Turns'!E88),"Unknown")</x:f>
        <x:v>0.00017528244800000002</x:v>
      </x:c>
      <x:c r="L32" s="11" t="n">
        <x:f>IF(COUNT('Turns'!F88)=1,SUM('Turns'!F88),"Unknown")</x:f>
        <x:v>0.00020140000000000002</x:v>
      </x:c>
      <x:c r="M32" s="33" t="n">
        <x:f>IF(COUNT('Turns'!D87)=1,SUM('Turns'!D87),"Unknown")</x:f>
        <x:v>0</x:v>
      </x:c>
      <x:c r="N32" s="11" t="n">
        <x:f>IF(COUNT('Turns'!E87)=1,SUM('Turns'!E87),"Unknown")</x:f>
        <x:v>0</x:v>
      </x:c>
      <x:c r="O32" s="11" t="n">
        <x:f>IF(COUNT('Turns'!F87)=1,SUM('Turns'!F87),"Unknown")</x:f>
        <x:v>0</x:v>
      </x:c>
      <x:c r="P32" s="33" t="n">
        <x:v>0</x:v>
      </x:c>
      <x:c r="Q32" s="11" t="n">
        <x:v>0</x:v>
      </x:c>
      <x:c r="R32" s="11" t="n">
        <x:v>0</x:v>
      </x:c>
      <x:c r="S32" s="33" t="n">
        <x:f>IF(COUNT('Turns'!D92)=1,SUM('Turns'!D92),"Unknown")</x:f>
        <x:v>46</x:v>
      </x:c>
      <x:c r="T32" s="11" t="n">
        <x:f>IF(COUNT('Turns'!E92)=1,SUM('Turns'!E92),"Unknown")</x:f>
        <x:v>0.00004804166399999999</x:v>
      </x:c>
      <x:c r="U32" s="11" t="n">
        <x:f>IF(COUNT('Turns'!F92)=1,SUM('Turns'!F92),"Unknown")</x:f>
        <x:v>0.00005519999999999999</x:v>
      </x:c>
      <x:c r="V32" s="33" t="n">
        <x:v>0</x:v>
      </x:c>
      <x:c r="W32" s="11" t="n">
        <x:v>0</x:v>
      </x:c>
      <x:c r="X32" s="11" t="n">
        <x:v>0</x:v>
      </x:c>
      <x:c r="Y32" s="11" t="n">
        <x:f>IF(COUNT('Turns'!E96)=1,SUM('Turns'!E96),"Unknown")</x:f>
        <x:v>0.00022332411200000002</x:v>
      </x:c>
      <x:c r="Z32" s="11" t="n">
        <x:f>IF(COUNT('Turns'!F96)=1,SUM('Turns'!F96),"Unknown")</x:f>
        <x:v>0.0002566</x:v>
      </x:c>
      <x:c r="AA32" s="33" t="n">
        <x:f>IF(ISNUMBER(Y32),ROUND(Y32*'Reference data'!$B$2,0),"Unknown")</x:f>
        <x:v>22</x:v>
      </x:c>
      <x:c r="AB32" s="33" t="n">
        <x:f>IF(ISNUMBER(Z32),ROUND(Z32*'Reference data'!$B$2,0),"Unknown")</x:f>
        <x:v>26</x:v>
      </x:c>
      <x:c r="AC32" s="2"/>
      <x:c r="AD32" s="43" t="n">
        <x:v>2.83904</x:v>
      </x:c>
      <x:c r="AE32" s="2" t="str">
        <x:v>Subtree total</x:v>
      </x:c>
    </x:row>
    <x:row r="33" ht="54" customHeight="1">
      <x:c r="A33" s="41" t="str">
        <x:v>                                CompactingDemoModel</x:v>
      </x:c>
      <x:c r="B33" s="36" t="n">
        <x:v>8</x:v>
      </x:c>
      <x:c r="C33" s="36" t="str">
        <x:v>workflow</x:v>
      </x:c>
      <x:c r="D33" s="36" t="str"/>
      <x:c r="E33" s="36" t="str">
        <x:v>ok</x:v>
      </x:c>
      <x:c r="F33" s="38"/>
      <x:c r="G33" s="41" t="str">
        <x:v>Execute the CompactingDemoModel workflow operation and pass its result to the next graph step.</x:v>
      </x:c>
      <x:c r="H33" s="36" t="str">
        <x:v>01a0c6fd-6dc0-7522-8c45-71830173bfe3</x:v>
      </x:c>
      <x:c r="I33" s="36" t="str">
        <x:v>01a0c6fd-6dc0-7522-8c45-7173f06bd711</x:v>
      </x:c>
      <x:c r="J33" s="33" t="n">
        <x:f>IF(COUNT('Turns'!D88)=1,SUM('Turns'!D88),"Unknown")</x:f>
        <x:v>1007</x:v>
      </x:c>
      <x:c r="K33" s="11" t="n">
        <x:f>IF(COUNT('Turns'!E88)=1,SUM('Turns'!E88),"Unknown")</x:f>
        <x:v>0.00017528244800000002</x:v>
      </x:c>
      <x:c r="L33" s="11" t="n">
        <x:f>IF(COUNT('Turns'!F88)=1,SUM('Turns'!F88),"Unknown")</x:f>
        <x:v>0.00020140000000000002</x:v>
      </x:c>
      <x:c r="M33" s="33" t="n">
        <x:f>IF(COUNT('Turns'!D87)=1,SUM('Turns'!D87),"Unknown")</x:f>
        <x:v>0</x:v>
      </x:c>
      <x:c r="N33" s="11" t="n">
        <x:f>IF(COUNT('Turns'!E87)=1,SUM('Turns'!E87),"Unknown")</x:f>
        <x:v>0</x:v>
      </x:c>
      <x:c r="O33" s="11" t="n">
        <x:f>IF(COUNT('Turns'!F87)=1,SUM('Turns'!F87),"Unknown")</x:f>
        <x:v>0</x:v>
      </x:c>
      <x:c r="P33" s="33" t="n">
        <x:v>0</x:v>
      </x:c>
      <x:c r="Q33" s="11" t="n">
        <x:v>0</x:v>
      </x:c>
      <x:c r="R33" s="11" t="n">
        <x:v>0</x:v>
      </x:c>
      <x:c r="S33" s="33" t="n">
        <x:f>IF(COUNT('Turns'!D92)=1,SUM('Turns'!D92),"Unknown")</x:f>
        <x:v>46</x:v>
      </x:c>
      <x:c r="T33" s="11" t="n">
        <x:f>IF(COUNT('Turns'!E92)=1,SUM('Turns'!E92),"Unknown")</x:f>
        <x:v>0.00004804166399999999</x:v>
      </x:c>
      <x:c r="U33" s="11" t="n">
        <x:f>IF(COUNT('Turns'!F92)=1,SUM('Turns'!F92),"Unknown")</x:f>
        <x:v>0.00005519999999999999</x:v>
      </x:c>
      <x:c r="V33" s="33" t="n">
        <x:v>0</x:v>
      </x:c>
      <x:c r="W33" s="11" t="n">
        <x:v>0</x:v>
      </x:c>
      <x:c r="X33" s="11" t="n">
        <x:v>0</x:v>
      </x:c>
      <x:c r="Y33" s="11" t="n">
        <x:f>IF(COUNT('Turns'!E96)=1,SUM('Turns'!E96),"Unknown")</x:f>
        <x:v>0.00022332411200000002</x:v>
      </x:c>
      <x:c r="Z33" s="11" t="n">
        <x:f>IF(COUNT('Turns'!F96)=1,SUM('Turns'!F96),"Unknown")</x:f>
        <x:v>0.0002566</x:v>
      </x:c>
      <x:c r="AA33" s="33" t="n">
        <x:f>IF(ISNUMBER(Y33),ROUND(Y33*'Reference data'!$B$2,0),"Unknown")</x:f>
        <x:v>22</x:v>
      </x:c>
      <x:c r="AB33" s="33" t="n">
        <x:f>IF(ISNUMBER(Z33),ROUND(Z33*'Reference data'!$B$2,0),"Unknown")</x:f>
        <x:v>26</x:v>
      </x:c>
      <x:c r="AC33" s="2"/>
      <x:c r="AD33" s="43" t="n">
        <x:v>2.099968</x:v>
      </x:c>
      <x:c r="AE33" s="2" t="str">
        <x:v>Subtree total</x:v>
      </x:c>
    </x:row>
    <x:row r="34" ht="54" customHeight="1">
      <x:c r="A34" s="42" t="str">
        <x:v>                                    CompactingDemoModel</x:v>
      </x:c>
      <x:c r="B34" s="20" t="n">
        <x:v>9</x:v>
      </x:c>
      <x:c r="C34" s="20" t="str">
        <x:v>model</x:v>
      </x:c>
      <x:c r="D34" s="20" t="str">
        <x:v>scripted-chat</x:v>
      </x:c>
      <x:c r="E34" s="20" t="str">
        <x:v>ok</x:v>
      </x:c>
      <x:c r="F34" s="39" t="n">
        <x:v>1007</x:v>
      </x:c>
      <x:c r="G34" s="42" t="str">
        <x:v>Summarize isolated subagent history.</x:v>
      </x:c>
      <x:c r="H34" s="20" t="str">
        <x:v>01a0c6fd-6dc1-7c72-aa4c-8d5c2d4533d4</x:v>
      </x:c>
      <x:c r="I34" s="20" t="str">
        <x:v>01a0c6fd-6dc0-7522-8c45-71830173bfe3</x:v>
      </x:c>
      <x:c r="J34" s="33" t="n">
        <x:f>IF(COUNT('Turns'!D88)=1,SUM('Turns'!D88),"Unknown")</x:f>
        <x:v>1007</x:v>
      </x:c>
      <x:c r="K34" s="11" t="n">
        <x:f>IF(COUNT('Turns'!E88)=1,SUM('Turns'!E88),"Unknown")</x:f>
        <x:v>0.00017528244800000002</x:v>
      </x:c>
      <x:c r="L34" s="11" t="n">
        <x:f>IF(COUNT('Turns'!F88)=1,SUM('Turns'!F88),"Unknown")</x:f>
        <x:v>0.00020140000000000002</x:v>
      </x:c>
      <x:c r="M34" s="33" t="n">
        <x:f>IF(COUNT('Turns'!D87)=1,SUM('Turns'!D87),"Unknown")</x:f>
        <x:v>0</x:v>
      </x:c>
      <x:c r="N34" s="11" t="n">
        <x:f>IF(COUNT('Turns'!E87)=1,SUM('Turns'!E87),"Unknown")</x:f>
        <x:v>0</x:v>
      </x:c>
      <x:c r="O34" s="11" t="n">
        <x:f>IF(COUNT('Turns'!F87)=1,SUM('Turns'!F87),"Unknown")</x:f>
        <x:v>0</x:v>
      </x:c>
      <x:c r="P34" s="33" t="n">
        <x:v>0</x:v>
      </x:c>
      <x:c r="Q34" s="11" t="n">
        <x:v>0</x:v>
      </x:c>
      <x:c r="R34" s="11" t="n">
        <x:v>0</x:v>
      </x:c>
      <x:c r="S34" s="33" t="n">
        <x:f>IF(COUNT('Turns'!D92)=1,SUM('Turns'!D92),"Unknown")</x:f>
        <x:v>46</x:v>
      </x:c>
      <x:c r="T34" s="11" t="n">
        <x:f>IF(COUNT('Turns'!E92)=1,SUM('Turns'!E92),"Unknown")</x:f>
        <x:v>0.00004804166399999999</x:v>
      </x:c>
      <x:c r="U34" s="11" t="n">
        <x:f>IF(COUNT('Turns'!F92)=1,SUM('Turns'!F92),"Unknown")</x:f>
        <x:v>0.00005519999999999999</x:v>
      </x:c>
      <x:c r="V34" s="33" t="n">
        <x:v>0</x:v>
      </x:c>
      <x:c r="W34" s="11" t="n">
        <x:v>0</x:v>
      </x:c>
      <x:c r="X34" s="11" t="n">
        <x:v>0</x:v>
      </x:c>
      <x:c r="Y34" s="11" t="n">
        <x:f>IF(COUNT('Turns'!E96)=1,SUM('Turns'!E96),"Unknown")</x:f>
        <x:v>0.00022332411200000002</x:v>
      </x:c>
      <x:c r="Z34" s="11" t="n">
        <x:f>IF(COUNT('Turns'!F96)=1,SUM('Turns'!F96),"Unknown")</x:f>
        <x:v>0.0002566</x:v>
      </x:c>
      <x:c r="AA34" s="33" t="n">
        <x:f>IF(ISNUMBER(Y34),ROUND(Y34*'Reference data'!$B$2,0),"Unknown")</x:f>
        <x:v>22</x:v>
      </x:c>
      <x:c r="AB34" s="33" t="n">
        <x:f>IF(ISNUMBER(Z34),ROUND(Z34*'Reference data'!$B$2,0),"Unknown")</x:f>
        <x:v>26</x:v>
      </x:c>
      <x:c r="AC34" s="2" t="str">
        <x:v>R7</x:v>
      </x:c>
      <x:c r="AD34" s="43" t="n">
        <x:v>1.300992</x:v>
      </x:c>
      <x:c r="AE34" s="2" t="str">
        <x:v>Own call</x:v>
      </x:c>
    </x:row>
    <x:row r="35" ht="54" customHeight="1">
      <x:c r="A35" s="41" t="str">
        <x:v>                            model</x:v>
      </x:c>
      <x:c r="B35" s="36" t="n">
        <x:v>7</x:v>
      </x:c>
      <x:c r="C35" s="36" t="str">
        <x:v>workflow</x:v>
      </x:c>
      <x:c r="D35" s="36" t="str"/>
      <x:c r="E35" s="36" t="str">
        <x:v>ok</x:v>
      </x:c>
      <x:c r="F35" s="38"/>
      <x:c r="G35" s="41" t="str">
        <x:v>Prepare the current conversation, run model middleware, and invoke the chat model.</x:v>
      </x:c>
      <x:c r="H35" s="36" t="str">
        <x:v>01a0c6fd-6dc3-7d22-945a-cb6583688eeb</x:v>
      </x:c>
      <x:c r="I35" s="36" t="str">
        <x:v>01a0c6fd-6dad-7011-be60-5fe99d708e93</x:v>
      </x:c>
      <x:c r="J35" s="33" t="n">
        <x:f>IF(COUNT('Turns'!D99)=1,SUM('Turns'!D99),"Unknown")</x:f>
        <x:v>368</x:v>
      </x:c>
      <x:c r="K35" s="11" t="n">
        <x:f>IF(COUNT('Turns'!E99)=1,SUM('Turns'!E99),"Unknown")</x:f>
        <x:v>0.00006405555200000001</x:v>
      </x:c>
      <x:c r="L35" s="11" t="n">
        <x:f>IF(COUNT('Turns'!F99)=1,SUM('Turns'!F99),"Unknown")</x:f>
        <x:v>0.00007360000000000001</x:v>
      </x:c>
      <x:c r="M35" s="33" t="n">
        <x:f>IF(COUNT('Turns'!D98)=1,SUM('Turns'!D98),"Unknown")</x:f>
        <x:v>0</x:v>
      </x:c>
      <x:c r="N35" s="11" t="n">
        <x:f>IF(COUNT('Turns'!E98)=1,SUM('Turns'!E98),"Unknown")</x:f>
        <x:v>0</x:v>
      </x:c>
      <x:c r="O35" s="11" t="n">
        <x:f>IF(COUNT('Turns'!F98)=1,SUM('Turns'!F98),"Unknown")</x:f>
        <x:v>0</x:v>
      </x:c>
      <x:c r="P35" s="33" t="n">
        <x:v>0</x:v>
      </x:c>
      <x:c r="Q35" s="11" t="n">
        <x:v>0</x:v>
      </x:c>
      <x:c r="R35" s="11" t="n">
        <x:v>0</x:v>
      </x:c>
      <x:c r="S35" s="33" t="n">
        <x:f>IF(COUNT('Turns'!D104)=1,SUM('Turns'!D104),"Unknown")</x:f>
        <x:v>45</x:v>
      </x:c>
      <x:c r="T35" s="11" t="n">
        <x:f>IF(COUNT('Turns'!E104)=1,SUM('Turns'!E104),"Unknown")</x:f>
        <x:v>0.00004699728</x:v>
      </x:c>
      <x:c r="U35" s="11" t="n">
        <x:f>IF(COUNT('Turns'!F104)=1,SUM('Turns'!F104),"Unknown")</x:f>
        <x:v>0.000054</x:v>
      </x:c>
      <x:c r="V35" s="33" t="n">
        <x:v>0</x:v>
      </x:c>
      <x:c r="W35" s="11" t="n">
        <x:v>0</x:v>
      </x:c>
      <x:c r="X35" s="11" t="n">
        <x:v>0</x:v>
      </x:c>
      <x:c r="Y35" s="11" t="n">
        <x:f>IF(COUNT('Turns'!E108)=1,SUM('Turns'!E108),"Unknown")</x:f>
        <x:v>0.000111052832</x:v>
      </x:c>
      <x:c r="Z35" s="11" t="n">
        <x:f>IF(COUNT('Turns'!F108)=1,SUM('Turns'!F108),"Unknown")</x:f>
        <x:v>0.0001276</x:v>
      </x:c>
      <x:c r="AA35" s="33" t="n">
        <x:f>IF(ISNUMBER(Y35),ROUND(Y35*'Reference data'!$B$2,0),"Unknown")</x:f>
        <x:v>11</x:v>
      </x:c>
      <x:c r="AB35" s="33" t="n">
        <x:f>IF(ISNUMBER(Z35),ROUND(Z35*'Reference data'!$B$2,0),"Unknown")</x:f>
        <x:v>13</x:v>
      </x:c>
      <x:c r="AC35" s="2"/>
      <x:c r="AD35" s="43" t="n">
        <x:v>2.585088</x:v>
      </x:c>
      <x:c r="AE35" s="2" t="str">
        <x:v>Subtree total</x:v>
      </x:c>
    </x:row>
    <x:row r="36" ht="54" customHeight="1">
      <x:c r="A36" s="42" t="str">
        <x:v>                                CompactingDemoModel</x:v>
      </x:c>
      <x:c r="B36" s="20" t="n">
        <x:v>8</x:v>
      </x:c>
      <x:c r="C36" s="20" t="str">
        <x:v>model</x:v>
      </x:c>
      <x:c r="D36" s="20" t="str">
        <x:v>scripted-chat</x:v>
      </x:c>
      <x:c r="E36" s="20" t="str">
        <x:v>ok</x:v>
      </x:c>
      <x:c r="F36" s="39" t="n">
        <x:v>368</x:v>
      </x:c>
      <x:c r="G36" s="42" t="str">
        <x:v>Research within isolated subagent history.</x:v>
      </x:c>
      <x:c r="H36" s="20" t="str">
        <x:v>01a0c6fd-6dc4-7560-889a-788ee96d682f</x:v>
      </x:c>
      <x:c r="I36" s="20" t="str">
        <x:v>01a0c6fd-6dc3-7d22-945a-cb6583688eeb</x:v>
      </x:c>
      <x:c r="J36" s="33" t="n">
        <x:f>IF(COUNT('Turns'!D99)=1,SUM('Turns'!D99),"Unknown")</x:f>
        <x:v>368</x:v>
      </x:c>
      <x:c r="K36" s="11" t="n">
        <x:f>IF(COUNT('Turns'!E99)=1,SUM('Turns'!E99),"Unknown")</x:f>
        <x:v>0.00006405555200000001</x:v>
      </x:c>
      <x:c r="L36" s="11" t="n">
        <x:f>IF(COUNT('Turns'!F99)=1,SUM('Turns'!F99),"Unknown")</x:f>
        <x:v>0.00007360000000000001</x:v>
      </x:c>
      <x:c r="M36" s="33" t="n">
        <x:f>IF(COUNT('Turns'!D98)=1,SUM('Turns'!D98),"Unknown")</x:f>
        <x:v>0</x:v>
      </x:c>
      <x:c r="N36" s="11" t="n">
        <x:f>IF(COUNT('Turns'!E98)=1,SUM('Turns'!E98),"Unknown")</x:f>
        <x:v>0</x:v>
      </x:c>
      <x:c r="O36" s="11" t="n">
        <x:f>IF(COUNT('Turns'!F98)=1,SUM('Turns'!F98),"Unknown")</x:f>
        <x:v>0</x:v>
      </x:c>
      <x:c r="P36" s="33" t="n">
        <x:v>0</x:v>
      </x:c>
      <x:c r="Q36" s="11" t="n">
        <x:v>0</x:v>
      </x:c>
      <x:c r="R36" s="11" t="n">
        <x:v>0</x:v>
      </x:c>
      <x:c r="S36" s="33" t="n">
        <x:f>IF(COUNT('Turns'!D104)=1,SUM('Turns'!D104),"Unknown")</x:f>
        <x:v>45</x:v>
      </x:c>
      <x:c r="T36" s="11" t="n">
        <x:f>IF(COUNT('Turns'!E104)=1,SUM('Turns'!E104),"Unknown")</x:f>
        <x:v>0.00004699728</x:v>
      </x:c>
      <x:c r="U36" s="11" t="n">
        <x:f>IF(COUNT('Turns'!F104)=1,SUM('Turns'!F104),"Unknown")</x:f>
        <x:v>0.000054</x:v>
      </x:c>
      <x:c r="V36" s="33" t="n">
        <x:v>0</x:v>
      </x:c>
      <x:c r="W36" s="11" t="n">
        <x:v>0</x:v>
      </x:c>
      <x:c r="X36" s="11" t="n">
        <x:v>0</x:v>
      </x:c>
      <x:c r="Y36" s="11" t="n">
        <x:f>IF(COUNT('Turns'!E108)=1,SUM('Turns'!E108),"Unknown")</x:f>
        <x:v>0.000111052832</x:v>
      </x:c>
      <x:c r="Z36" s="11" t="n">
        <x:f>IF(COUNT('Turns'!F108)=1,SUM('Turns'!F108),"Unknown")</x:f>
        <x:v>0.0001276</x:v>
      </x:c>
      <x:c r="AA36" s="33" t="n">
        <x:f>IF(ISNUMBER(Y36),ROUND(Y36*'Reference data'!$B$2,0),"Unknown")</x:f>
        <x:v>11</x:v>
      </x:c>
      <x:c r="AB36" s="33" t="n">
        <x:f>IF(ISNUMBER(Z36),ROUND(Z36*'Reference data'!$B$2,0),"Unknown")</x:f>
        <x:v>13</x:v>
      </x:c>
      <x:c r="AC36" s="2" t="str">
        <x:v>R8</x:v>
      </x:c>
      <x:c r="AD36" s="43" t="n">
        <x:v>1.274112</x:v>
      </x:c>
      <x:c r="AE36" s="2" t="str">
        <x:v>Own call</x:v>
      </x:c>
    </x:row>
    <x:row r="37" ht="54" customHeight="1">
      <x:c r="A37" s="41" t="str">
        <x:v>                SummarizationMiddleware.before_model</x:v>
      </x:c>
      <x:c r="B37" s="36" t="n">
        <x:v>4</x:v>
      </x:c>
      <x:c r="C37" s="36" t="str">
        <x:v>workflow</x:v>
      </x:c>
      <x:c r="D37" s="36" t="str"/>
      <x:c r="E37" s="36" t="str">
        <x:v>ok</x:v>
      </x:c>
      <x:c r="F37" s="38"/>
      <x:c r="G37" s="41" t="str">
        <x:v>Execute the SummarizationMiddleware.before_model workflow operation and pass its result to the next graph step.</x:v>
      </x:c>
      <x:c r="H37" s="36" t="str">
        <x:v>01a0c6fd-6dc8-77f1-95f2-b3381df3ace9</x:v>
      </x:c>
      <x:c r="I37" s="36" t="str">
        <x:v>01a0c6fd-6da2-70c0-9fd4-c702e34f7825</x:v>
      </x:c>
      <x:c r="J37" s="33"/>
      <x:c r="K37" s="11"/>
      <x:c r="L37" s="11"/>
      <x:c r="M37" s="33"/>
      <x:c r="N37" s="11"/>
      <x:c r="O37" s="11"/>
      <x:c r="P37" s="33"/>
      <x:c r="Q37" s="11"/>
      <x:c r="R37" s="11"/>
      <x:c r="S37" s="33"/>
      <x:c r="T37" s="11"/>
      <x:c r="U37" s="11"/>
      <x:c r="V37" s="33"/>
      <x:c r="W37" s="11"/>
      <x:c r="X37" s="11"/>
      <x:c r="Y37" s="11"/>
      <x:c r="Z37" s="11"/>
      <x:c r="AA37" s="33"/>
      <x:c r="AB37" s="33"/>
      <x:c r="AC37" s="2"/>
      <x:c r="AD37" s="43" t="n">
        <x:v>0.357888</x:v>
      </x:c>
      <x:c r="AE37" s="2" t="str">
        <x:v>No model charge</x:v>
      </x:c>
    </x:row>
    <x:row r="38" ht="54" customHeight="1">
      <x:c r="A38" s="41" t="str">
        <x:v>                model</x:v>
      </x:c>
      <x:c r="B38" s="36" t="n">
        <x:v>4</x:v>
      </x:c>
      <x:c r="C38" s="36" t="str">
        <x:v>workflow</x:v>
      </x:c>
      <x:c r="D38" s="36" t="str"/>
      <x:c r="E38" s="36" t="str">
        <x:v>ok</x:v>
      </x:c>
      <x:c r="F38" s="38"/>
      <x:c r="G38" s="41" t="str">
        <x:v>Prepare the current conversation, run model middleware, and invoke the chat model.</x:v>
      </x:c>
      <x:c r="H38" s="36" t="str">
        <x:v>01a0c6fd-6dc9-7b00-ad3e-bcaef2b37994</x:v>
      </x:c>
      <x:c r="I38" s="36" t="str">
        <x:v>01a0c6fd-6da2-70c0-9fd4-c702e34f7825</x:v>
      </x:c>
      <x:c r="J38" s="33" t="n">
        <x:f>IF(COUNT('Turns'!D111)=1,SUM('Turns'!D111),"Unknown")</x:f>
        <x:v>723</x:v>
      </x:c>
      <x:c r="K38" s="11" t="n">
        <x:f>IF(COUNT('Turns'!E111)=1,SUM('Turns'!E111),"Unknown")</x:f>
        <x:v>0.000125848272</x:v>
      </x:c>
      <x:c r="L38" s="11" t="n">
        <x:f>IF(COUNT('Turns'!F111)=1,SUM('Turns'!F111),"Unknown")</x:f>
        <x:v>0.0001446</x:v>
      </x:c>
      <x:c r="M38" s="33" t="n">
        <x:f>IF(COUNT('Turns'!D110)=1,SUM('Turns'!D110),"Unknown")</x:f>
        <x:v>0</x:v>
      </x:c>
      <x:c r="N38" s="11" t="n">
        <x:f>IF(COUNT('Turns'!E110)=1,SUM('Turns'!E110),"Unknown")</x:f>
        <x:v>0</x:v>
      </x:c>
      <x:c r="O38" s="11" t="n">
        <x:f>IF(COUNT('Turns'!F110)=1,SUM('Turns'!F110),"Unknown")</x:f>
        <x:v>0</x:v>
      </x:c>
      <x:c r="P38" s="33" t="n">
        <x:v>0</x:v>
      </x:c>
      <x:c r="Q38" s="11" t="n">
        <x:v>0</x:v>
      </x:c>
      <x:c r="R38" s="11" t="n">
        <x:v>0</x:v>
      </x:c>
      <x:c r="S38" s="33" t="n">
        <x:f>IF(COUNT('Turns'!D116)=1,SUM('Turns'!D116),"Unknown")</x:f>
        <x:v>42</x:v>
      </x:c>
      <x:c r="T38" s="11" t="n">
        <x:f>IF(COUNT('Turns'!E116)=1,SUM('Turns'!E116),"Unknown")</x:f>
        <x:v>0.000043864127999999996</x:v>
      </x:c>
      <x:c r="U38" s="11" t="n">
        <x:f>IF(COUNT('Turns'!F116)=1,SUM('Turns'!F116),"Unknown")</x:f>
        <x:v>0.0000504</x:v>
      </x:c>
      <x:c r="V38" s="33" t="n">
        <x:v>0</x:v>
      </x:c>
      <x:c r="W38" s="11" t="n">
        <x:v>0</x:v>
      </x:c>
      <x:c r="X38" s="11" t="n">
        <x:v>0</x:v>
      </x:c>
      <x:c r="Y38" s="11" t="n">
        <x:f>IF(COUNT('Turns'!E120)=1,SUM('Turns'!E120),"Unknown")</x:f>
        <x:v>0.00016971239999999998</x:v>
      </x:c>
      <x:c r="Z38" s="11" t="n">
        <x:f>IF(COUNT('Turns'!F120)=1,SUM('Turns'!F120),"Unknown")</x:f>
        <x:v>0.000195</x:v>
      </x:c>
      <x:c r="AA38" s="33" t="n">
        <x:f>IF(ISNUMBER(Y38),ROUND(Y38*'Reference data'!$B$2,0),"Unknown")</x:f>
        <x:v>17</x:v>
      </x:c>
      <x:c r="AB38" s="33" t="n">
        <x:f>IF(ISNUMBER(Z38),ROUND(Z38*'Reference data'!$B$2,0),"Unknown")</x:f>
        <x:v>20</x:v>
      </x:c>
      <x:c r="AC38" s="2"/>
      <x:c r="AD38" s="43" t="n">
        <x:v>2.932992</x:v>
      </x:c>
      <x:c r="AE38" s="2" t="str">
        <x:v>Subtree total</x:v>
      </x:c>
    </x:row>
    <x:row r="39" ht="54" customHeight="1">
      <x:c r="A39" s="42" t="str">
        <x:v>                    CompactingDemoModel</x:v>
      </x:c>
      <x:c r="B39" s="20" t="n">
        <x:v>5</x:v>
      </x:c>
      <x:c r="C39" s="20" t="str">
        <x:v>model</x:v>
      </x:c>
      <x:c r="D39" s="20" t="str">
        <x:v>scripted-chat</x:v>
      </x:c>
      <x:c r="E39" s="20" t="str">
        <x:v>ok</x:v>
      </x:c>
      <x:c r="F39" s="39" t="n">
        <x:v>723</x:v>
      </x:c>
      <x:c r="G39" s="42" t="str">
        <x:v>Delegate from shared history and respond.</x:v>
      </x:c>
      <x:c r="H39" s="20" t="str">
        <x:v>01a0c6fd-6dca-7c93-89f6-dae2f49d52d5</x:v>
      </x:c>
      <x:c r="I39" s="20" t="str">
        <x:v>01a0c6fd-6dc9-7b00-ad3e-bcaef2b37994</x:v>
      </x:c>
      <x:c r="J39" s="33" t="n">
        <x:f>IF(COUNT('Turns'!D111)=1,SUM('Turns'!D111),"Unknown")</x:f>
        <x:v>723</x:v>
      </x:c>
      <x:c r="K39" s="11" t="n">
        <x:f>IF(COUNT('Turns'!E111)=1,SUM('Turns'!E111),"Unknown")</x:f>
        <x:v>0.000125848272</x:v>
      </x:c>
      <x:c r="L39" s="11" t="n">
        <x:f>IF(COUNT('Turns'!F111)=1,SUM('Turns'!F111),"Unknown")</x:f>
        <x:v>0.0001446</x:v>
      </x:c>
      <x:c r="M39" s="33" t="n">
        <x:f>IF(COUNT('Turns'!D110)=1,SUM('Turns'!D110),"Unknown")</x:f>
        <x:v>0</x:v>
      </x:c>
      <x:c r="N39" s="11" t="n">
        <x:f>IF(COUNT('Turns'!E110)=1,SUM('Turns'!E110),"Unknown")</x:f>
        <x:v>0</x:v>
      </x:c>
      <x:c r="O39" s="11" t="n">
        <x:f>IF(COUNT('Turns'!F110)=1,SUM('Turns'!F110),"Unknown")</x:f>
        <x:v>0</x:v>
      </x:c>
      <x:c r="P39" s="33" t="n">
        <x:v>0</x:v>
      </x:c>
      <x:c r="Q39" s="11" t="n">
        <x:v>0</x:v>
      </x:c>
      <x:c r="R39" s="11" t="n">
        <x:v>0</x:v>
      </x:c>
      <x:c r="S39" s="33" t="n">
        <x:f>IF(COUNT('Turns'!D116)=1,SUM('Turns'!D116),"Unknown")</x:f>
        <x:v>42</x:v>
      </x:c>
      <x:c r="T39" s="11" t="n">
        <x:f>IF(COUNT('Turns'!E116)=1,SUM('Turns'!E116),"Unknown")</x:f>
        <x:v>0.000043864127999999996</x:v>
      </x:c>
      <x:c r="U39" s="11" t="n">
        <x:f>IF(COUNT('Turns'!F116)=1,SUM('Turns'!F116),"Unknown")</x:f>
        <x:v>0.0000504</x:v>
      </x:c>
      <x:c r="V39" s="33" t="n">
        <x:v>0</x:v>
      </x:c>
      <x:c r="W39" s="11" t="n">
        <x:v>0</x:v>
      </x:c>
      <x:c r="X39" s="11" t="n">
        <x:v>0</x:v>
      </x:c>
      <x:c r="Y39" s="11" t="n">
        <x:f>IF(COUNT('Turns'!E120)=1,SUM('Turns'!E120),"Unknown")</x:f>
        <x:v>0.00016971239999999998</x:v>
      </x:c>
      <x:c r="Z39" s="11" t="n">
        <x:f>IF(COUNT('Turns'!F120)=1,SUM('Turns'!F120),"Unknown")</x:f>
        <x:v>0.000195</x:v>
      </x:c>
      <x:c r="AA39" s="33" t="n">
        <x:f>IF(ISNUMBER(Y39),ROUND(Y39*'Reference data'!$B$2,0),"Unknown")</x:f>
        <x:v>17</x:v>
      </x:c>
      <x:c r="AB39" s="33" t="n">
        <x:f>IF(ISNUMBER(Z39),ROUND(Z39*'Reference data'!$B$2,0),"Unknown")</x:f>
        <x:v>20</x:v>
      </x:c>
      <x:c r="AC39" s="2" t="str">
        <x:v>R9</x:v>
      </x:c>
      <x:c r="AD39" s="43" t="n">
        <x:v>1.408</x:v>
      </x:c>
      <x:c r="AE39" s="2" t="str">
        <x:v>Own call</x:v>
      </x:c>
    </x:row>
    <x:row r="40" ht="54" customHeight="1">
      <x:c r="A40" s="40" t="str">
        <x:v>context_budget_workflow</x:v>
      </x:c>
      <x:c r="B40" s="35" t="n">
        <x:v>0</x:v>
      </x:c>
      <x:c r="C40" s="35" t="str">
        <x:v>workflow</x:v>
      </x:c>
      <x:c r="D40" s="35" t="str"/>
      <x:c r="E40" s="35" t="str">
        <x:v>ok</x:v>
      </x:c>
      <x:c r="F40" s="37"/>
      <x:c r="G40" s="40" t="str">
        <x:v>Execute the context_budget_workflow workflow operation and pass its result to the next graph step.</x:v>
      </x:c>
      <x:c r="H40" s="35" t="str">
        <x:v>01a0c6fd-6ddf-7ff3-a9b3-b543084473dc</x:v>
      </x:c>
      <x:c r="I40" s="35"/>
      <x:c r="J40" s="33" t="n">
        <x:f>IF(COUNT('Turns'!D124,'Turns'!D137,'Turns'!D151,'Turns'!D165,'Turns'!D176,'Turns'!D191,'Turns'!D202,'Turns'!D214)=8,SUM('Turns'!D124,'Turns'!D137,'Turns'!D151,'Turns'!D165,'Turns'!D176,'Turns'!D191,'Turns'!D202,'Turns'!D214),"Unknown")</x:f>
        <x:v>5087</x:v>
      </x:c>
      <x:c r="K40" s="11" t="n">
        <x:f>IF(COUNT('Turns'!E124,'Turns'!E137,'Turns'!E151,'Turns'!E165,'Turns'!E176,'Turns'!E191,'Turns'!E202,'Turns'!E214)=8,SUM('Turns'!E124,'Turns'!E137,'Turns'!E151,'Turns'!E165,'Turns'!E176,'Turns'!E191,'Turns'!E202,'Turns'!E214),"Unknown")</x:f>
        <x:v>0.000885463568</x:v>
      </x:c>
      <x:c r="L40" s="11" t="n">
        <x:f>IF(COUNT('Turns'!F124,'Turns'!F137,'Turns'!F151,'Turns'!F165,'Turns'!F176,'Turns'!F191,'Turns'!F202,'Turns'!F214)=8,SUM('Turns'!F124,'Turns'!F137,'Turns'!F151,'Turns'!F165,'Turns'!F176,'Turns'!F191,'Turns'!F202,'Turns'!F214),"Unknown")</x:f>
        <x:v>0.0010174000000000001</x:v>
      </x:c>
      <x:c r="M40" s="33" t="n">
        <x:f>IF(COUNT('Turns'!D123,'Turns'!D136,'Turns'!D150,'Turns'!D164,'Turns'!D175,'Turns'!D190,'Turns'!D201,'Turns'!D213)=8,SUM('Turns'!D123,'Turns'!D136,'Turns'!D150,'Turns'!D164,'Turns'!D175,'Turns'!D190,'Turns'!D201,'Turns'!D213),"Unknown")</x:f>
        <x:v>0</x:v>
      </x:c>
      <x:c r="N40" s="11" t="n">
        <x:f>IF(COUNT('Turns'!E123,'Turns'!E136,'Turns'!E150,'Turns'!E164,'Turns'!E175,'Turns'!E190,'Turns'!E201,'Turns'!E213)=8,SUM('Turns'!E123,'Turns'!E136,'Turns'!E150,'Turns'!E164,'Turns'!E175,'Turns'!E190,'Turns'!E201,'Turns'!E213),"Unknown")</x:f>
        <x:v>0</x:v>
      </x:c>
      <x:c r="O40" s="11" t="n">
        <x:f>IF(COUNT('Turns'!F123,'Turns'!F136,'Turns'!F150,'Turns'!F164,'Turns'!F175,'Turns'!F190,'Turns'!F201,'Turns'!F213)=8,SUM('Turns'!F123,'Turns'!F136,'Turns'!F150,'Turns'!F164,'Turns'!F175,'Turns'!F190,'Turns'!F201,'Turns'!F213),"Unknown")</x:f>
        <x:v>0</x:v>
      </x:c>
      <x:c r="P40" s="33" t="n">
        <x:v>0</x:v>
      </x:c>
      <x:c r="Q40" s="11" t="n">
        <x:v>0</x:v>
      </x:c>
      <x:c r="R40" s="11" t="n">
        <x:v>0</x:v>
      </x:c>
      <x:c r="S40" s="33" t="n">
        <x:f>IF(COUNT('Turns'!D130,'Turns'!D141,'Turns'!D155,'Turns'!D169,'Turns'!D181,'Turns'!D195,'Turns'!D207,'Turns'!D219)=8,SUM('Turns'!D130,'Turns'!D141,'Turns'!D155,'Turns'!D169,'Turns'!D181,'Turns'!D195,'Turns'!D207,'Turns'!D219),"Unknown")</x:f>
        <x:v>592</x:v>
      </x:c>
      <x:c r="T40" s="11" t="n">
        <x:f>IF(COUNT('Turns'!E130,'Turns'!E141,'Turns'!E155,'Turns'!E169,'Turns'!E181,'Turns'!E195,'Turns'!E207,'Turns'!E219)=8,SUM('Turns'!E130,'Turns'!E141,'Turns'!E155,'Turns'!E169,'Turns'!E181,'Turns'!E195,'Turns'!E207,'Turns'!E219),"Unknown")</x:f>
        <x:v>0.0006182753279999999</x:v>
      </x:c>
      <x:c r="U40" s="11" t="n">
        <x:f>IF(COUNT('Turns'!F130,'Turns'!F141,'Turns'!F155,'Turns'!F169,'Turns'!F181,'Turns'!F195,'Turns'!F207,'Turns'!F219)=8,SUM('Turns'!F130,'Turns'!F141,'Turns'!F155,'Turns'!F169,'Turns'!F181,'Turns'!F195,'Turns'!F207,'Turns'!F219),"Unknown")</x:f>
        <x:v>0.0007104</x:v>
      </x:c>
      <x:c r="V40" s="33" t="n">
        <x:v>0</x:v>
      </x:c>
      <x:c r="W40" s="11" t="n">
        <x:v>0</x:v>
      </x:c>
      <x:c r="X40" s="11" t="n">
        <x:v>0</x:v>
      </x:c>
      <x:c r="Y40" s="11" t="n">
        <x:f>IF(COUNT('Turns'!E134,'Turns'!E145,'Turns'!E159,'Turns'!E173,'Turns'!E185,'Turns'!E199,'Turns'!E211,'Turns'!E223)=8,SUM('Turns'!E134,'Turns'!E145,'Turns'!E159,'Turns'!E173,'Turns'!E185,'Turns'!E199,'Turns'!E211,'Turns'!E223),"Unknown")</x:f>
        <x:v>0.001503738896</x:v>
      </x:c>
      <x:c r="Z40" s="11" t="n">
        <x:f>IF(COUNT('Turns'!F134,'Turns'!F145,'Turns'!F159,'Turns'!F173,'Turns'!F185,'Turns'!F199,'Turns'!F211,'Turns'!F223)=8,SUM('Turns'!F134,'Turns'!F145,'Turns'!F159,'Turns'!F173,'Turns'!F185,'Turns'!F199,'Turns'!F211,'Turns'!F223),"Unknown")</x:f>
        <x:v>0.0017278000000000003</x:v>
      </x:c>
      <x:c r="AA40" s="33" t="n">
        <x:f>IF(ISNUMBER(Y40),ROUND(Y40*'Reference data'!$B$2,0),"Unknown")</x:f>
        <x:v>150</x:v>
      </x:c>
      <x:c r="AB40" s="33" t="n">
        <x:f>IF(ISNUMBER(Z40),ROUND(Z40*'Reference data'!$B$2,0),"Unknown")</x:f>
        <x:v>173</x:v>
      </x:c>
      <x:c r="AC40" s="2"/>
      <x:c r="AD40" s="43" t="n">
        <x:v>44.381952</x:v>
      </x:c>
      <x:c r="AE40" s="2" t="str">
        <x:v>Subtree total</x:v>
      </x:c>
    </x:row>
    <x:row r="41" ht="54" customHeight="1">
      <x:c r="A41" s="41" t="str">
        <x:v>    planning_peer</x:v>
      </x:c>
      <x:c r="B41" s="36" t="n">
        <x:v>1</x:v>
      </x:c>
      <x:c r="C41" s="36" t="str">
        <x:v>workflow</x:v>
      </x:c>
      <x:c r="D41" s="36" t="str"/>
      <x:c r="E41" s="36" t="str">
        <x:v>ok</x:v>
      </x:c>
      <x:c r="F41" s="38"/>
      <x:c r="G41" s="41" t="str">
        <x:v>Execute the planning_peer workflow operation and pass its result to the next graph step.</x:v>
      </x:c>
      <x:c r="H41" s="36" t="str">
        <x:v>01a0c6fd-6de0-7e21-b0c7-19c4fa4be33a</x:v>
      </x:c>
      <x:c r="I41" s="36" t="str">
        <x:v>01a0c6fd-6ddf-7ff3-a9b3-b543084473dc</x:v>
      </x:c>
      <x:c r="J41" s="33" t="n">
        <x:f>IF(COUNT('Turns'!D124)=1,SUM('Turns'!D124),"Unknown")</x:f>
        <x:v>389</x:v>
      </x:c>
      <x:c r="K41" s="11" t="n">
        <x:f>IF(COUNT('Turns'!E124)=1,SUM('Turns'!E124),"Unknown")</x:f>
        <x:v>0.00006771089600000001</x:v>
      </x:c>
      <x:c r="L41" s="11" t="n">
        <x:f>IF(COUNT('Turns'!F124)=1,SUM('Turns'!F124),"Unknown")</x:f>
        <x:v>0.00007780000000000001</x:v>
      </x:c>
      <x:c r="M41" s="33" t="n">
        <x:f>IF(COUNT('Turns'!D123)=1,SUM('Turns'!D123),"Unknown")</x:f>
        <x:v>0</x:v>
      </x:c>
      <x:c r="N41" s="11" t="n">
        <x:f>IF(COUNT('Turns'!E123)=1,SUM('Turns'!E123),"Unknown")</x:f>
        <x:v>0</x:v>
      </x:c>
      <x:c r="O41" s="11" t="n">
        <x:f>IF(COUNT('Turns'!F123)=1,SUM('Turns'!F123),"Unknown")</x:f>
        <x:v>0</x:v>
      </x:c>
      <x:c r="P41" s="33" t="n">
        <x:v>0</x:v>
      </x:c>
      <x:c r="Q41" s="11" t="n">
        <x:v>0</x:v>
      </x:c>
      <x:c r="R41" s="11" t="n">
        <x:v>0</x:v>
      </x:c>
      <x:c r="S41" s="33" t="n">
        <x:f>IF(COUNT('Turns'!D130)=1,SUM('Turns'!D130),"Unknown")</x:f>
        <x:v>42</x:v>
      </x:c>
      <x:c r="T41" s="11" t="n">
        <x:f>IF(COUNT('Turns'!E130)=1,SUM('Turns'!E130),"Unknown")</x:f>
        <x:v>0.000043864127999999996</x:v>
      </x:c>
      <x:c r="U41" s="11" t="n">
        <x:f>IF(COUNT('Turns'!F130)=1,SUM('Turns'!F130),"Unknown")</x:f>
        <x:v>0.0000504</x:v>
      </x:c>
      <x:c r="V41" s="33" t="n">
        <x:v>0</x:v>
      </x:c>
      <x:c r="W41" s="11" t="n">
        <x:v>0</x:v>
      </x:c>
      <x:c r="X41" s="11" t="n">
        <x:v>0</x:v>
      </x:c>
      <x:c r="Y41" s="11" t="n">
        <x:f>IF(COUNT('Turns'!E134)=1,SUM('Turns'!E134),"Unknown")</x:f>
        <x:v>0.000111575024</x:v>
      </x:c>
      <x:c r="Z41" s="11" t="n">
        <x:f>IF(COUNT('Turns'!F134)=1,SUM('Turns'!F134),"Unknown")</x:f>
        <x:v>0.0001282</x:v>
      </x:c>
      <x:c r="AA41" s="33" t="n">
        <x:f>IF(ISNUMBER(Y41),ROUND(Y41*'Reference data'!$B$2,0),"Unknown")</x:f>
        <x:v>11</x:v>
      </x:c>
      <x:c r="AB41" s="33" t="n">
        <x:f>IF(ISNUMBER(Z41),ROUND(Z41*'Reference data'!$B$2,0),"Unknown")</x:f>
        <x:v>13</x:v>
      </x:c>
      <x:c r="AC41" s="2"/>
      <x:c r="AD41" s="43" t="n">
        <x:v>6.016</x:v>
      </x:c>
      <x:c r="AE41" s="2" t="str">
        <x:v>Subtree total</x:v>
      </x:c>
    </x:row>
    <x:row r="42" ht="54" customHeight="1">
      <x:c r="A42" s="41" t="str">
        <x:v>        run</x:v>
      </x:c>
      <x:c r="B42" s="36" t="n">
        <x:v>2</x:v>
      </x:c>
      <x:c r="C42" s="36" t="str">
        <x:v>workflow</x:v>
      </x:c>
      <x:c r="D42" s="36" t="str"/>
      <x:c r="E42" s="36" t="str">
        <x:v>ok</x:v>
      </x:c>
      <x:c r="F42" s="38"/>
      <x:c r="G42" s="41" t="str">
        <x:v>Execute the run workflow operation and pass its result to the next graph step.</x:v>
      </x:c>
      <x:c r="H42" s="36" t="str">
        <x:v>01a0c6fd-6de1-7253-8c03-a3592aab94a5</x:v>
      </x:c>
      <x:c r="I42" s="36" t="str">
        <x:v>01a0c6fd-6de0-7e21-b0c7-19c4fa4be33a</x:v>
      </x:c>
      <x:c r="J42" s="33" t="n">
        <x:f>IF(COUNT('Turns'!D124)=1,SUM('Turns'!D124),"Unknown")</x:f>
        <x:v>389</x:v>
      </x:c>
      <x:c r="K42" s="11" t="n">
        <x:f>IF(COUNT('Turns'!E124)=1,SUM('Turns'!E124),"Unknown")</x:f>
        <x:v>0.00006771089600000001</x:v>
      </x:c>
      <x:c r="L42" s="11" t="n">
        <x:f>IF(COUNT('Turns'!F124)=1,SUM('Turns'!F124),"Unknown")</x:f>
        <x:v>0.00007780000000000001</x:v>
      </x:c>
      <x:c r="M42" s="33" t="n">
        <x:f>IF(COUNT('Turns'!D123)=1,SUM('Turns'!D123),"Unknown")</x:f>
        <x:v>0</x:v>
      </x:c>
      <x:c r="N42" s="11" t="n">
        <x:f>IF(COUNT('Turns'!E123)=1,SUM('Turns'!E123),"Unknown")</x:f>
        <x:v>0</x:v>
      </x:c>
      <x:c r="O42" s="11" t="n">
        <x:f>IF(COUNT('Turns'!F123)=1,SUM('Turns'!F123),"Unknown")</x:f>
        <x:v>0</x:v>
      </x:c>
      <x:c r="P42" s="33" t="n">
        <x:v>0</x:v>
      </x:c>
      <x:c r="Q42" s="11" t="n">
        <x:v>0</x:v>
      </x:c>
      <x:c r="R42" s="11" t="n">
        <x:v>0</x:v>
      </x:c>
      <x:c r="S42" s="33" t="n">
        <x:f>IF(COUNT('Turns'!D130)=1,SUM('Turns'!D130),"Unknown")</x:f>
        <x:v>42</x:v>
      </x:c>
      <x:c r="T42" s="11" t="n">
        <x:f>IF(COUNT('Turns'!E130)=1,SUM('Turns'!E130),"Unknown")</x:f>
        <x:v>0.000043864127999999996</x:v>
      </x:c>
      <x:c r="U42" s="11" t="n">
        <x:f>IF(COUNT('Turns'!F130)=1,SUM('Turns'!F130),"Unknown")</x:f>
        <x:v>0.0000504</x:v>
      </x:c>
      <x:c r="V42" s="33" t="n">
        <x:v>0</x:v>
      </x:c>
      <x:c r="W42" s="11" t="n">
        <x:v>0</x:v>
      </x:c>
      <x:c r="X42" s="11" t="n">
        <x:v>0</x:v>
      </x:c>
      <x:c r="Y42" s="11" t="n">
        <x:f>IF(COUNT('Turns'!E134)=1,SUM('Turns'!E134),"Unknown")</x:f>
        <x:v>0.000111575024</x:v>
      </x:c>
      <x:c r="Z42" s="11" t="n">
        <x:f>IF(COUNT('Turns'!F134)=1,SUM('Turns'!F134),"Unknown")</x:f>
        <x:v>0.0001282</x:v>
      </x:c>
      <x:c r="AA42" s="33" t="n">
        <x:f>IF(ISNUMBER(Y42),ROUND(Y42*'Reference data'!$B$2,0),"Unknown")</x:f>
        <x:v>11</x:v>
      </x:c>
      <x:c r="AB42" s="33" t="n">
        <x:f>IF(ISNUMBER(Z42),ROUND(Z42*'Reference data'!$B$2,0),"Unknown")</x:f>
        <x:v>13</x:v>
      </x:c>
      <x:c r="AC42" s="2"/>
      <x:c r="AD42" s="43" t="n">
        <x:v>5.376</x:v>
      </x:c>
      <x:c r="AE42" s="2" t="str">
        <x:v>Subtree total</x:v>
      </x:c>
    </x:row>
    <x:row r="43" ht="54" customHeight="1">
      <x:c r="A43" s="41" t="str">
        <x:v>            context_planner</x:v>
      </x:c>
      <x:c r="B43" s="36" t="n">
        <x:v>3</x:v>
      </x:c>
      <x:c r="C43" s="36" t="str">
        <x:v>workflow</x:v>
      </x:c>
      <x:c r="D43" s="36" t="str"/>
      <x:c r="E43" s="36" t="str">
        <x:v>ok</x:v>
      </x:c>
      <x:c r="F43" s="38"/>
      <x:c r="G43" s="41" t="str">
        <x:v>Execute the context_planner workflow operation and pass its result to the next graph step.</x:v>
      </x:c>
      <x:c r="H43" s="36" t="str">
        <x:v>01a0c6fd-6de1-7253-8c03-a366075ba1d3</x:v>
      </x:c>
      <x:c r="I43" s="36" t="str">
        <x:v>01a0c6fd-6de1-7253-8c03-a3592aab94a5</x:v>
      </x:c>
      <x:c r="J43" s="33" t="n">
        <x:f>IF(COUNT('Turns'!D124)=1,SUM('Turns'!D124),"Unknown")</x:f>
        <x:v>389</x:v>
      </x:c>
      <x:c r="K43" s="11" t="n">
        <x:f>IF(COUNT('Turns'!E124)=1,SUM('Turns'!E124),"Unknown")</x:f>
        <x:v>0.00006771089600000001</x:v>
      </x:c>
      <x:c r="L43" s="11" t="n">
        <x:f>IF(COUNT('Turns'!F124)=1,SUM('Turns'!F124),"Unknown")</x:f>
        <x:v>0.00007780000000000001</x:v>
      </x:c>
      <x:c r="M43" s="33" t="n">
        <x:f>IF(COUNT('Turns'!D123)=1,SUM('Turns'!D123),"Unknown")</x:f>
        <x:v>0</x:v>
      </x:c>
      <x:c r="N43" s="11" t="n">
        <x:f>IF(COUNT('Turns'!E123)=1,SUM('Turns'!E123),"Unknown")</x:f>
        <x:v>0</x:v>
      </x:c>
      <x:c r="O43" s="11" t="n">
        <x:f>IF(COUNT('Turns'!F123)=1,SUM('Turns'!F123),"Unknown")</x:f>
        <x:v>0</x:v>
      </x:c>
      <x:c r="P43" s="33" t="n">
        <x:v>0</x:v>
      </x:c>
      <x:c r="Q43" s="11" t="n">
        <x:v>0</x:v>
      </x:c>
      <x:c r="R43" s="11" t="n">
        <x:v>0</x:v>
      </x:c>
      <x:c r="S43" s="33" t="n">
        <x:f>IF(COUNT('Turns'!D130)=1,SUM('Turns'!D130),"Unknown")</x:f>
        <x:v>42</x:v>
      </x:c>
      <x:c r="T43" s="11" t="n">
        <x:f>IF(COUNT('Turns'!E130)=1,SUM('Turns'!E130),"Unknown")</x:f>
        <x:v>0.000043864127999999996</x:v>
      </x:c>
      <x:c r="U43" s="11" t="n">
        <x:f>IF(COUNT('Turns'!F130)=1,SUM('Turns'!F130),"Unknown")</x:f>
        <x:v>0.0000504</x:v>
      </x:c>
      <x:c r="V43" s="33" t="n">
        <x:v>0</x:v>
      </x:c>
      <x:c r="W43" s="11" t="n">
        <x:v>0</x:v>
      </x:c>
      <x:c r="X43" s="11" t="n">
        <x:v>0</x:v>
      </x:c>
      <x:c r="Y43" s="11" t="n">
        <x:f>IF(COUNT('Turns'!E134)=1,SUM('Turns'!E134),"Unknown")</x:f>
        <x:v>0.000111575024</x:v>
      </x:c>
      <x:c r="Z43" s="11" t="n">
        <x:f>IF(COUNT('Turns'!F134)=1,SUM('Turns'!F134),"Unknown")</x:f>
        <x:v>0.0001282</x:v>
      </x:c>
      <x:c r="AA43" s="33" t="n">
        <x:f>IF(ISNUMBER(Y43),ROUND(Y43*'Reference data'!$B$2,0),"Unknown")</x:f>
        <x:v>11</x:v>
      </x:c>
      <x:c r="AB43" s="33" t="n">
        <x:f>IF(ISNUMBER(Z43),ROUND(Z43*'Reference data'!$B$2,0),"Unknown")</x:f>
        <x:v>13</x:v>
      </x:c>
      <x:c r="AC43" s="2"/>
      <x:c r="AD43" s="43" t="n">
        <x:v>4.722944</x:v>
      </x:c>
      <x:c r="AE43" s="2" t="str">
        <x:v>Subtree total</x:v>
      </x:c>
    </x:row>
    <x:row r="44" ht="54" customHeight="1">
      <x:c r="A44" s="41" t="str">
        <x:v>                SummarizationMiddleware.before_model</x:v>
      </x:c>
      <x:c r="B44" s="36" t="n">
        <x:v>4</x:v>
      </x:c>
      <x:c r="C44" s="36" t="str">
        <x:v>workflow</x:v>
      </x:c>
      <x:c r="D44" s="36" t="str"/>
      <x:c r="E44" s="36" t="str">
        <x:v>ok</x:v>
      </x:c>
      <x:c r="F44" s="38"/>
      <x:c r="G44" s="41" t="str">
        <x:v>Execute the SummarizationMiddleware.before_model workflow operation and pass its result to the next graph step.</x:v>
      </x:c>
      <x:c r="H44" s="36" t="str">
        <x:v>01a0c6fd-6de1-7253-8c03-a375ca409245</x:v>
      </x:c>
      <x:c r="I44" s="36" t="str">
        <x:v>01a0c6fd-6de1-7253-8c03-a366075ba1d3</x:v>
      </x:c>
      <x:c r="J44" s="33"/>
      <x:c r="K44" s="11"/>
      <x:c r="L44" s="11"/>
      <x:c r="M44" s="33"/>
      <x:c r="N44" s="11"/>
      <x:c r="O44" s="11"/>
      <x:c r="P44" s="33"/>
      <x:c r="Q44" s="11"/>
      <x:c r="R44" s="11"/>
      <x:c r="S44" s="33"/>
      <x:c r="T44" s="11"/>
      <x:c r="U44" s="11"/>
      <x:c r="V44" s="33"/>
      <x:c r="W44" s="11"/>
      <x:c r="X44" s="11"/>
      <x:c r="Y44" s="11"/>
      <x:c r="Z44" s="11"/>
      <x:c r="AA44" s="33"/>
      <x:c r="AB44" s="33"/>
      <x:c r="AC44" s="2"/>
      <x:c r="AD44" s="43" t="n">
        <x:v>0.71296</x:v>
      </x:c>
      <x:c r="AE44" s="2" t="str">
        <x:v>No model charge</x:v>
      </x:c>
    </x:row>
    <x:row r="45" ht="54" customHeight="1">
      <x:c r="A45" s="41" t="str">
        <x:v>                model</x:v>
      </x:c>
      <x:c r="B45" s="36" t="n">
        <x:v>4</x:v>
      </x:c>
      <x:c r="C45" s="36" t="str">
        <x:v>workflow</x:v>
      </x:c>
      <x:c r="D45" s="36" t="str"/>
      <x:c r="E45" s="36" t="str">
        <x:v>ok</x:v>
      </x:c>
      <x:c r="F45" s="38"/>
      <x:c r="G45" s="41" t="str">
        <x:v>Prepare the current conversation, run model middleware, and invoke the chat model.</x:v>
      </x:c>
      <x:c r="H45" s="36" t="str">
        <x:v>01a0c6fd-6de3-7d30-853a-72139947bf17</x:v>
      </x:c>
      <x:c r="I45" s="36" t="str">
        <x:v>01a0c6fd-6de1-7253-8c03-a366075ba1d3</x:v>
      </x:c>
      <x:c r="J45" s="33" t="n">
        <x:f>IF(COUNT('Turns'!D124)=1,SUM('Turns'!D124),"Unknown")</x:f>
        <x:v>389</x:v>
      </x:c>
      <x:c r="K45" s="11" t="n">
        <x:f>IF(COUNT('Turns'!E124)=1,SUM('Turns'!E124),"Unknown")</x:f>
        <x:v>0.00006771089600000001</x:v>
      </x:c>
      <x:c r="L45" s="11" t="n">
        <x:f>IF(COUNT('Turns'!F124)=1,SUM('Turns'!F124),"Unknown")</x:f>
        <x:v>0.00007780000000000001</x:v>
      </x:c>
      <x:c r="M45" s="33" t="n">
        <x:f>IF(COUNT('Turns'!D123)=1,SUM('Turns'!D123),"Unknown")</x:f>
        <x:v>0</x:v>
      </x:c>
      <x:c r="N45" s="11" t="n">
        <x:f>IF(COUNT('Turns'!E123)=1,SUM('Turns'!E123),"Unknown")</x:f>
        <x:v>0</x:v>
      </x:c>
      <x:c r="O45" s="11" t="n">
        <x:f>IF(COUNT('Turns'!F123)=1,SUM('Turns'!F123),"Unknown")</x:f>
        <x:v>0</x:v>
      </x:c>
      <x:c r="P45" s="33" t="n">
        <x:v>0</x:v>
      </x:c>
      <x:c r="Q45" s="11" t="n">
        <x:v>0</x:v>
      </x:c>
      <x:c r="R45" s="11" t="n">
        <x:v>0</x:v>
      </x:c>
      <x:c r="S45" s="33" t="n">
        <x:f>IF(COUNT('Turns'!D130)=1,SUM('Turns'!D130),"Unknown")</x:f>
        <x:v>42</x:v>
      </x:c>
      <x:c r="T45" s="11" t="n">
        <x:f>IF(COUNT('Turns'!E130)=1,SUM('Turns'!E130),"Unknown")</x:f>
        <x:v>0.000043864127999999996</x:v>
      </x:c>
      <x:c r="U45" s="11" t="n">
        <x:f>IF(COUNT('Turns'!F130)=1,SUM('Turns'!F130),"Unknown")</x:f>
        <x:v>0.0000504</x:v>
      </x:c>
      <x:c r="V45" s="33" t="n">
        <x:v>0</x:v>
      </x:c>
      <x:c r="W45" s="11" t="n">
        <x:v>0</x:v>
      </x:c>
      <x:c r="X45" s="11" t="n">
        <x:v>0</x:v>
      </x:c>
      <x:c r="Y45" s="11" t="n">
        <x:f>IF(COUNT('Turns'!E134)=1,SUM('Turns'!E134),"Unknown")</x:f>
        <x:v>0.000111575024</x:v>
      </x:c>
      <x:c r="Z45" s="11" t="n">
        <x:f>IF(COUNT('Turns'!F134)=1,SUM('Turns'!F134),"Unknown")</x:f>
        <x:v>0.0001282</x:v>
      </x:c>
      <x:c r="AA45" s="33" t="n">
        <x:f>IF(ISNUMBER(Y45),ROUND(Y45*'Reference data'!$B$2,0),"Unknown")</x:f>
        <x:v>11</x:v>
      </x:c>
      <x:c r="AB45" s="33" t="n">
        <x:f>IF(ISNUMBER(Z45),ROUND(Z45*'Reference data'!$B$2,0),"Unknown")</x:f>
        <x:v>13</x:v>
      </x:c>
      <x:c r="AC45" s="2"/>
      <x:c r="AD45" s="43" t="n">
        <x:v>2.368768</x:v>
      </x:c>
      <x:c r="AE45" s="2" t="str">
        <x:v>Subtree total</x:v>
      </x:c>
    </x:row>
    <x:row r="46" ht="54" customHeight="1">
      <x:c r="A46" s="42" t="str">
        <x:v>                    CompactingDemoModel</x:v>
      </x:c>
      <x:c r="B46" s="20" t="n">
        <x:v>5</x:v>
      </x:c>
      <x:c r="C46" s="20" t="str">
        <x:v>model</x:v>
      </x:c>
      <x:c r="D46" s="20" t="str">
        <x:v>scripted-chat</x:v>
      </x:c>
      <x:c r="E46" s="20" t="str">
        <x:v>ok</x:v>
      </x:c>
      <x:c r="F46" s="39" t="n">
        <x:v>389</x:v>
      </x:c>
      <x:c r="G46" s="42" t="str">
        <x:v>Plan from shared workflow history.</x:v>
      </x:c>
      <x:c r="H46" s="20" t="str">
        <x:v>01a0c6fd-6de3-7d30-853a-7225958e8a59</x:v>
      </x:c>
      <x:c r="I46" s="20" t="str">
        <x:v>01a0c6fd-6de3-7d30-853a-72139947bf17</x:v>
      </x:c>
      <x:c r="J46" s="33" t="n">
        <x:f>IF(COUNT('Turns'!D124)=1,SUM('Turns'!D124),"Unknown")</x:f>
        <x:v>389</x:v>
      </x:c>
      <x:c r="K46" s="11" t="n">
        <x:f>IF(COUNT('Turns'!E124)=1,SUM('Turns'!E124),"Unknown")</x:f>
        <x:v>0.00006771089600000001</x:v>
      </x:c>
      <x:c r="L46" s="11" t="n">
        <x:f>IF(COUNT('Turns'!F124)=1,SUM('Turns'!F124),"Unknown")</x:f>
        <x:v>0.00007780000000000001</x:v>
      </x:c>
      <x:c r="M46" s="33" t="n">
        <x:f>IF(COUNT('Turns'!D123)=1,SUM('Turns'!D123),"Unknown")</x:f>
        <x:v>0</x:v>
      </x:c>
      <x:c r="N46" s="11" t="n">
        <x:f>IF(COUNT('Turns'!E123)=1,SUM('Turns'!E123),"Unknown")</x:f>
        <x:v>0</x:v>
      </x:c>
      <x:c r="O46" s="11" t="n">
        <x:f>IF(COUNT('Turns'!F123)=1,SUM('Turns'!F123),"Unknown")</x:f>
        <x:v>0</x:v>
      </x:c>
      <x:c r="P46" s="33" t="n">
        <x:v>0</x:v>
      </x:c>
      <x:c r="Q46" s="11" t="n">
        <x:v>0</x:v>
      </x:c>
      <x:c r="R46" s="11" t="n">
        <x:v>0</x:v>
      </x:c>
      <x:c r="S46" s="33" t="n">
        <x:f>IF(COUNT('Turns'!D130)=1,SUM('Turns'!D130),"Unknown")</x:f>
        <x:v>42</x:v>
      </x:c>
      <x:c r="T46" s="11" t="n">
        <x:f>IF(COUNT('Turns'!E130)=1,SUM('Turns'!E130),"Unknown")</x:f>
        <x:v>0.000043864127999999996</x:v>
      </x:c>
      <x:c r="U46" s="11" t="n">
        <x:f>IF(COUNT('Turns'!F130)=1,SUM('Turns'!F130),"Unknown")</x:f>
        <x:v>0.0000504</x:v>
      </x:c>
      <x:c r="V46" s="33" t="n">
        <x:v>0</x:v>
      </x:c>
      <x:c r="W46" s="11" t="n">
        <x:v>0</x:v>
      </x:c>
      <x:c r="X46" s="11" t="n">
        <x:v>0</x:v>
      </x:c>
      <x:c r="Y46" s="11" t="n">
        <x:f>IF(COUNT('Turns'!E134)=1,SUM('Turns'!E134),"Unknown")</x:f>
        <x:v>0.000111575024</x:v>
      </x:c>
      <x:c r="Z46" s="11" t="n">
        <x:f>IF(COUNT('Turns'!F134)=1,SUM('Turns'!F134),"Unknown")</x:f>
        <x:v>0.0001282</x:v>
      </x:c>
      <x:c r="AA46" s="33" t="n">
        <x:f>IF(ISNUMBER(Y46),ROUND(Y46*'Reference data'!$B$2,0),"Unknown")</x:f>
        <x:v>11</x:v>
      </x:c>
      <x:c r="AB46" s="33" t="n">
        <x:f>IF(ISNUMBER(Z46),ROUND(Z46*'Reference data'!$B$2,0),"Unknown")</x:f>
        <x:v>13</x:v>
      </x:c>
      <x:c r="AC46" s="2" t="str">
        <x:v>R10</x:v>
      </x:c>
      <x:c r="AD46" s="43" t="n">
        <x:v>1.350912</x:v>
      </x:c>
      <x:c r="AE46" s="2" t="str">
        <x:v>Own call</x:v>
      </x:c>
    </x:row>
    <x:row r="47" ht="54" customHeight="1">
      <x:c r="A47" s="41" t="str">
        <x:v>    responding_peer</x:v>
      </x:c>
      <x:c r="B47" s="36" t="n">
        <x:v>1</x:v>
      </x:c>
      <x:c r="C47" s="36" t="str">
        <x:v>workflow</x:v>
      </x:c>
      <x:c r="D47" s="36" t="str"/>
      <x:c r="E47" s="36" t="str">
        <x:v>ok</x:v>
      </x:c>
      <x:c r="F47" s="38"/>
      <x:c r="G47" s="41" t="str">
        <x:v>Execute the responding_peer workflow operation and pass its result to the next graph step.</x:v>
      </x:c>
      <x:c r="H47" s="36" t="str">
        <x:v>01a0c6fd-6de7-7532-a988-9dc144ff4c07</x:v>
      </x:c>
      <x:c r="I47" s="36" t="str">
        <x:v>01a0c6fd-6ddf-7ff3-a9b3-b543084473dc</x:v>
      </x:c>
      <x:c r="J47" s="33" t="n">
        <x:f>IF(COUNT('Turns'!D137,'Turns'!D151,'Turns'!D165,'Turns'!D176,'Turns'!D191,'Turns'!D202,'Turns'!D214)=7,SUM('Turns'!D137,'Turns'!D151,'Turns'!D165,'Turns'!D176,'Turns'!D191,'Turns'!D202,'Turns'!D214),"Unknown")</x:f>
        <x:v>4698</x:v>
      </x:c>
      <x:c r="K47" s="11" t="n">
        <x:f>IF(COUNT('Turns'!E137,'Turns'!E151,'Turns'!E165,'Turns'!E176,'Turns'!E191,'Turns'!E202,'Turns'!E214)=7,SUM('Turns'!E137,'Turns'!E151,'Turns'!E165,'Turns'!E176,'Turns'!E191,'Turns'!E202,'Turns'!E214),"Unknown")</x:f>
        <x:v>0.0008177526720000002</x:v>
      </x:c>
      <x:c r="L47" s="11" t="n">
        <x:f>IF(COUNT('Turns'!F137,'Turns'!F151,'Turns'!F165,'Turns'!F176,'Turns'!F191,'Turns'!F202,'Turns'!F214)=7,SUM('Turns'!F137,'Turns'!F151,'Turns'!F165,'Turns'!F176,'Turns'!F191,'Turns'!F202,'Turns'!F214),"Unknown")</x:f>
        <x:v>0.0009396000000000002</x:v>
      </x:c>
      <x:c r="M47" s="33" t="n">
        <x:f>IF(COUNT('Turns'!D136,'Turns'!D150,'Turns'!D164,'Turns'!D175,'Turns'!D190,'Turns'!D201,'Turns'!D213)=7,SUM('Turns'!D136,'Turns'!D150,'Turns'!D164,'Turns'!D175,'Turns'!D190,'Turns'!D201,'Turns'!D213),"Unknown")</x:f>
        <x:v>0</x:v>
      </x:c>
      <x:c r="N47" s="11" t="n">
        <x:f>IF(COUNT('Turns'!E136,'Turns'!E150,'Turns'!E164,'Turns'!E175,'Turns'!E190,'Turns'!E201,'Turns'!E213)=7,SUM('Turns'!E136,'Turns'!E150,'Turns'!E164,'Turns'!E175,'Turns'!E190,'Turns'!E201,'Turns'!E213),"Unknown")</x:f>
        <x:v>0</x:v>
      </x:c>
      <x:c r="O47" s="11" t="n">
        <x:f>IF(COUNT('Turns'!F136,'Turns'!F150,'Turns'!F164,'Turns'!F175,'Turns'!F190,'Turns'!F201,'Turns'!F213)=7,SUM('Turns'!F136,'Turns'!F150,'Turns'!F164,'Turns'!F175,'Turns'!F190,'Turns'!F201,'Turns'!F213),"Unknown")</x:f>
        <x:v>0</x:v>
      </x:c>
      <x:c r="P47" s="33" t="n">
        <x:v>0</x:v>
      </x:c>
      <x:c r="Q47" s="11" t="n">
        <x:v>0</x:v>
      </x:c>
      <x:c r="R47" s="11" t="n">
        <x:v>0</x:v>
      </x:c>
      <x:c r="S47" s="33" t="n">
        <x:f>IF(COUNT('Turns'!D141,'Turns'!D155,'Turns'!D169,'Turns'!D181,'Turns'!D195,'Turns'!D207,'Turns'!D219)=7,SUM('Turns'!D141,'Turns'!D155,'Turns'!D169,'Turns'!D181,'Turns'!D195,'Turns'!D207,'Turns'!D219),"Unknown")</x:f>
        <x:v>550</x:v>
      </x:c>
      <x:c r="T47" s="11" t="n">
        <x:f>IF(COUNT('Turns'!E141,'Turns'!E155,'Turns'!E169,'Turns'!E181,'Turns'!E195,'Turns'!E207,'Turns'!E219)=7,SUM('Turns'!E141,'Turns'!E155,'Turns'!E169,'Turns'!E181,'Turns'!E195,'Turns'!E207,'Turns'!E219),"Unknown")</x:f>
        <x:v>0.0005744111999999999</x:v>
      </x:c>
      <x:c r="U47" s="11" t="n">
        <x:f>IF(COUNT('Turns'!F141,'Turns'!F155,'Turns'!F169,'Turns'!F181,'Turns'!F195,'Turns'!F207,'Turns'!F219)=7,SUM('Turns'!F141,'Turns'!F155,'Turns'!F169,'Turns'!F181,'Turns'!F195,'Turns'!F207,'Turns'!F219),"Unknown")</x:f>
        <x:v>0.0006600000000000001</x:v>
      </x:c>
      <x:c r="V47" s="33" t="n">
        <x:v>0</x:v>
      </x:c>
      <x:c r="W47" s="11" t="n">
        <x:v>0</x:v>
      </x:c>
      <x:c r="X47" s="11" t="n">
        <x:v>0</x:v>
      </x:c>
      <x:c r="Y47" s="11" t="n">
        <x:f>IF(COUNT('Turns'!E145,'Turns'!E159,'Turns'!E173,'Turns'!E185,'Turns'!E199,'Turns'!E211,'Turns'!E223)=7,SUM('Turns'!E145,'Turns'!E159,'Turns'!E173,'Turns'!E185,'Turns'!E199,'Turns'!E211,'Turns'!E223),"Unknown")</x:f>
        <x:v>0.001392163872</x:v>
      </x:c>
      <x:c r="Z47" s="11" t="n">
        <x:f>IF(COUNT('Turns'!F145,'Turns'!F159,'Turns'!F173,'Turns'!F185,'Turns'!F199,'Turns'!F211,'Turns'!F223)=7,SUM('Turns'!F145,'Turns'!F159,'Turns'!F173,'Turns'!F185,'Turns'!F199,'Turns'!F211,'Turns'!F223),"Unknown")</x:f>
        <x:v>0.0015996000000000003</x:v>
      </x:c>
      <x:c r="AA47" s="33" t="n">
        <x:f>IF(ISNUMBER(Y47),ROUND(Y47*'Reference data'!$B$2,0),"Unknown")</x:f>
        <x:v>139</x:v>
      </x:c>
      <x:c r="AB47" s="33" t="n">
        <x:f>IF(ISNUMBER(Z47),ROUND(Z47*'Reference data'!$B$2,0),"Unknown")</x:f>
        <x:v>160</x:v>
      </x:c>
      <x:c r="AC47" s="2"/>
      <x:c r="AD47" s="43" t="n">
        <x:v>35.94496</x:v>
      </x:c>
      <x:c r="AE47" s="2" t="str">
        <x:v>Subtree total</x:v>
      </x:c>
    </x:row>
    <x:row r="48" ht="54" customHeight="1">
      <x:c r="A48" s="41" t="str">
        <x:v>        run</x:v>
      </x:c>
      <x:c r="B48" s="36" t="n">
        <x:v>2</x:v>
      </x:c>
      <x:c r="C48" s="36" t="str">
        <x:v>workflow</x:v>
      </x:c>
      <x:c r="D48" s="36" t="str"/>
      <x:c r="E48" s="36" t="str">
        <x:v>ok</x:v>
      </x:c>
      <x:c r="F48" s="38"/>
      <x:c r="G48" s="41" t="str">
        <x:v>Execute the run workflow operation and pass its result to the next graph step.</x:v>
      </x:c>
      <x:c r="H48" s="36" t="str">
        <x:v>01a0c6fd-6de8-73e2-8dba-68d030dab63f</x:v>
      </x:c>
      <x:c r="I48" s="36" t="str">
        <x:v>01a0c6fd-6de7-7532-a988-9dc144ff4c07</x:v>
      </x:c>
      <x:c r="J48" s="33" t="n">
        <x:f>IF(COUNT('Turns'!D137,'Turns'!D151,'Turns'!D165,'Turns'!D176,'Turns'!D191,'Turns'!D202,'Turns'!D214)=7,SUM('Turns'!D137,'Turns'!D151,'Turns'!D165,'Turns'!D176,'Turns'!D191,'Turns'!D202,'Turns'!D214),"Unknown")</x:f>
        <x:v>4698</x:v>
      </x:c>
      <x:c r="K48" s="11" t="n">
        <x:f>IF(COUNT('Turns'!E137,'Turns'!E151,'Turns'!E165,'Turns'!E176,'Turns'!E191,'Turns'!E202,'Turns'!E214)=7,SUM('Turns'!E137,'Turns'!E151,'Turns'!E165,'Turns'!E176,'Turns'!E191,'Turns'!E202,'Turns'!E214),"Unknown")</x:f>
        <x:v>0.0008177526720000002</x:v>
      </x:c>
      <x:c r="L48" s="11" t="n">
        <x:f>IF(COUNT('Turns'!F137,'Turns'!F151,'Turns'!F165,'Turns'!F176,'Turns'!F191,'Turns'!F202,'Turns'!F214)=7,SUM('Turns'!F137,'Turns'!F151,'Turns'!F165,'Turns'!F176,'Turns'!F191,'Turns'!F202,'Turns'!F214),"Unknown")</x:f>
        <x:v>0.0009396000000000002</x:v>
      </x:c>
      <x:c r="M48" s="33" t="n">
        <x:f>IF(COUNT('Turns'!D136,'Turns'!D150,'Turns'!D164,'Turns'!D175,'Turns'!D190,'Turns'!D201,'Turns'!D213)=7,SUM('Turns'!D136,'Turns'!D150,'Turns'!D164,'Turns'!D175,'Turns'!D190,'Turns'!D201,'Turns'!D213),"Unknown")</x:f>
        <x:v>0</x:v>
      </x:c>
      <x:c r="N48" s="11" t="n">
        <x:f>IF(COUNT('Turns'!E136,'Turns'!E150,'Turns'!E164,'Turns'!E175,'Turns'!E190,'Turns'!E201,'Turns'!E213)=7,SUM('Turns'!E136,'Turns'!E150,'Turns'!E164,'Turns'!E175,'Turns'!E190,'Turns'!E201,'Turns'!E213),"Unknown")</x:f>
        <x:v>0</x:v>
      </x:c>
      <x:c r="O48" s="11" t="n">
        <x:f>IF(COUNT('Turns'!F136,'Turns'!F150,'Turns'!F164,'Turns'!F175,'Turns'!F190,'Turns'!F201,'Turns'!F213)=7,SUM('Turns'!F136,'Turns'!F150,'Turns'!F164,'Turns'!F175,'Turns'!F190,'Turns'!F201,'Turns'!F213),"Unknown")</x:f>
        <x:v>0</x:v>
      </x:c>
      <x:c r="P48" s="33" t="n">
        <x:v>0</x:v>
      </x:c>
      <x:c r="Q48" s="11" t="n">
        <x:v>0</x:v>
      </x:c>
      <x:c r="R48" s="11" t="n">
        <x:v>0</x:v>
      </x:c>
      <x:c r="S48" s="33" t="n">
        <x:f>IF(COUNT('Turns'!D141,'Turns'!D155,'Turns'!D169,'Turns'!D181,'Turns'!D195,'Turns'!D207,'Turns'!D219)=7,SUM('Turns'!D141,'Turns'!D155,'Turns'!D169,'Turns'!D181,'Turns'!D195,'Turns'!D207,'Turns'!D219),"Unknown")</x:f>
        <x:v>550</x:v>
      </x:c>
      <x:c r="T48" s="11" t="n">
        <x:f>IF(COUNT('Turns'!E141,'Turns'!E155,'Turns'!E169,'Turns'!E181,'Turns'!E195,'Turns'!E207,'Turns'!E219)=7,SUM('Turns'!E141,'Turns'!E155,'Turns'!E169,'Turns'!E181,'Turns'!E195,'Turns'!E207,'Turns'!E219),"Unknown")</x:f>
        <x:v>0.0005744111999999999</x:v>
      </x:c>
      <x:c r="U48" s="11" t="n">
        <x:f>IF(COUNT('Turns'!F141,'Turns'!F155,'Turns'!F169,'Turns'!F181,'Turns'!F195,'Turns'!F207,'Turns'!F219)=7,SUM('Turns'!F141,'Turns'!F155,'Turns'!F169,'Turns'!F181,'Turns'!F195,'Turns'!F207,'Turns'!F219),"Unknown")</x:f>
        <x:v>0.0006600000000000001</x:v>
      </x:c>
      <x:c r="V48" s="33" t="n">
        <x:v>0</x:v>
      </x:c>
      <x:c r="W48" s="11" t="n">
        <x:v>0</x:v>
      </x:c>
      <x:c r="X48" s="11" t="n">
        <x:v>0</x:v>
      </x:c>
      <x:c r="Y48" s="11" t="n">
        <x:f>IF(COUNT('Turns'!E145,'Turns'!E159,'Turns'!E173,'Turns'!E185,'Turns'!E199,'Turns'!E211,'Turns'!E223)=7,SUM('Turns'!E145,'Turns'!E159,'Turns'!E173,'Turns'!E185,'Turns'!E199,'Turns'!E211,'Turns'!E223),"Unknown")</x:f>
        <x:v>0.001392163872</x:v>
      </x:c>
      <x:c r="Z48" s="11" t="n">
        <x:f>IF(COUNT('Turns'!F145,'Turns'!F159,'Turns'!F173,'Turns'!F185,'Turns'!F199,'Turns'!F211,'Turns'!F223)=7,SUM('Turns'!F145,'Turns'!F159,'Turns'!F173,'Turns'!F185,'Turns'!F199,'Turns'!F211,'Turns'!F223),"Unknown")</x:f>
        <x:v>0.0015996000000000003</x:v>
      </x:c>
      <x:c r="AA48" s="33" t="n">
        <x:f>IF(ISNUMBER(Y48),ROUND(Y48*'Reference data'!$B$2,0),"Unknown")</x:f>
        <x:v>139</x:v>
      </x:c>
      <x:c r="AB48" s="33" t="n">
        <x:f>IF(ISNUMBER(Z48),ROUND(Z48*'Reference data'!$B$2,0),"Unknown")</x:f>
        <x:v>160</x:v>
      </x:c>
      <x:c r="AC48" s="2"/>
      <x:c r="AD48" s="43" t="n">
        <x:v>35.225856</x:v>
      </x:c>
      <x:c r="AE48" s="2" t="str">
        <x:v>Subtree total</x:v>
      </x:c>
    </x:row>
    <x:row r="49" ht="54" customHeight="1">
      <x:c r="A49" s="41" t="str">
        <x:v>            context_responder</x:v>
      </x:c>
      <x:c r="B49" s="36" t="n">
        <x:v>3</x:v>
      </x:c>
      <x:c r="C49" s="36" t="str">
        <x:v>workflow</x:v>
      </x:c>
      <x:c r="D49" s="36" t="str"/>
      <x:c r="E49" s="36" t="str">
        <x:v>ok</x:v>
      </x:c>
      <x:c r="F49" s="38"/>
      <x:c r="G49" s="41" t="str">
        <x:v>Execute the context_responder workflow operation and pass its result to the next graph step.</x:v>
      </x:c>
      <x:c r="H49" s="36" t="str">
        <x:v>01a0c6fd-6de8-73e2-8dba-68eeb7e24a9e</x:v>
      </x:c>
      <x:c r="I49" s="36" t="str">
        <x:v>01a0c6fd-6de8-73e2-8dba-68d030dab63f</x:v>
      </x:c>
      <x:c r="J49" s="33" t="n">
        <x:f>IF(COUNT('Turns'!D137,'Turns'!D151,'Turns'!D165,'Turns'!D176,'Turns'!D191,'Turns'!D202,'Turns'!D214)=7,SUM('Turns'!D137,'Turns'!D151,'Turns'!D165,'Turns'!D176,'Turns'!D191,'Turns'!D202,'Turns'!D214),"Unknown")</x:f>
        <x:v>4698</x:v>
      </x:c>
      <x:c r="K49" s="11" t="n">
        <x:f>IF(COUNT('Turns'!E137,'Turns'!E151,'Turns'!E165,'Turns'!E176,'Turns'!E191,'Turns'!E202,'Turns'!E214)=7,SUM('Turns'!E137,'Turns'!E151,'Turns'!E165,'Turns'!E176,'Turns'!E191,'Turns'!E202,'Turns'!E214),"Unknown")</x:f>
        <x:v>0.0008177526720000002</x:v>
      </x:c>
      <x:c r="L49" s="11" t="n">
        <x:f>IF(COUNT('Turns'!F137,'Turns'!F151,'Turns'!F165,'Turns'!F176,'Turns'!F191,'Turns'!F202,'Turns'!F214)=7,SUM('Turns'!F137,'Turns'!F151,'Turns'!F165,'Turns'!F176,'Turns'!F191,'Turns'!F202,'Turns'!F214),"Unknown")</x:f>
        <x:v>0.0009396000000000002</x:v>
      </x:c>
      <x:c r="M49" s="33" t="n">
        <x:f>IF(COUNT('Turns'!D136,'Turns'!D150,'Turns'!D164,'Turns'!D175,'Turns'!D190,'Turns'!D201,'Turns'!D213)=7,SUM('Turns'!D136,'Turns'!D150,'Turns'!D164,'Turns'!D175,'Turns'!D190,'Turns'!D201,'Turns'!D213),"Unknown")</x:f>
        <x:v>0</x:v>
      </x:c>
      <x:c r="N49" s="11" t="n">
        <x:f>IF(COUNT('Turns'!E136,'Turns'!E150,'Turns'!E164,'Turns'!E175,'Turns'!E190,'Turns'!E201,'Turns'!E213)=7,SUM('Turns'!E136,'Turns'!E150,'Turns'!E164,'Turns'!E175,'Turns'!E190,'Turns'!E201,'Turns'!E213),"Unknown")</x:f>
        <x:v>0</x:v>
      </x:c>
      <x:c r="O49" s="11" t="n">
        <x:f>IF(COUNT('Turns'!F136,'Turns'!F150,'Turns'!F164,'Turns'!F175,'Turns'!F190,'Turns'!F201,'Turns'!F213)=7,SUM('Turns'!F136,'Turns'!F150,'Turns'!F164,'Turns'!F175,'Turns'!F190,'Turns'!F201,'Turns'!F213),"Unknown")</x:f>
        <x:v>0</x:v>
      </x:c>
      <x:c r="P49" s="33" t="n">
        <x:v>0</x:v>
      </x:c>
      <x:c r="Q49" s="11" t="n">
        <x:v>0</x:v>
      </x:c>
      <x:c r="R49" s="11" t="n">
        <x:v>0</x:v>
      </x:c>
      <x:c r="S49" s="33" t="n">
        <x:f>IF(COUNT('Turns'!D141,'Turns'!D155,'Turns'!D169,'Turns'!D181,'Turns'!D195,'Turns'!D207,'Turns'!D219)=7,SUM('Turns'!D141,'Turns'!D155,'Turns'!D169,'Turns'!D181,'Turns'!D195,'Turns'!D207,'Turns'!D219),"Unknown")</x:f>
        <x:v>550</x:v>
      </x:c>
      <x:c r="T49" s="11" t="n">
        <x:f>IF(COUNT('Turns'!E141,'Turns'!E155,'Turns'!E169,'Turns'!E181,'Turns'!E195,'Turns'!E207,'Turns'!E219)=7,SUM('Turns'!E141,'Turns'!E155,'Turns'!E169,'Turns'!E181,'Turns'!E195,'Turns'!E207,'Turns'!E219),"Unknown")</x:f>
        <x:v>0.0005744111999999999</x:v>
      </x:c>
      <x:c r="U49" s="11" t="n">
        <x:f>IF(COUNT('Turns'!F141,'Turns'!F155,'Turns'!F169,'Turns'!F181,'Turns'!F195,'Turns'!F207,'Turns'!F219)=7,SUM('Turns'!F141,'Turns'!F155,'Turns'!F169,'Turns'!F181,'Turns'!F195,'Turns'!F207,'Turns'!F219),"Unknown")</x:f>
        <x:v>0.0006600000000000001</x:v>
      </x:c>
      <x:c r="V49" s="33" t="n">
        <x:v>0</x:v>
      </x:c>
      <x:c r="W49" s="11" t="n">
        <x:v>0</x:v>
      </x:c>
      <x:c r="X49" s="11" t="n">
        <x:v>0</x:v>
      </x:c>
      <x:c r="Y49" s="11" t="n">
        <x:f>IF(COUNT('Turns'!E145,'Turns'!E159,'Turns'!E173,'Turns'!E185,'Turns'!E199,'Turns'!E211,'Turns'!E223)=7,SUM('Turns'!E145,'Turns'!E159,'Turns'!E173,'Turns'!E185,'Turns'!E199,'Turns'!E211,'Turns'!E223),"Unknown")</x:f>
        <x:v>0.001392163872</x:v>
      </x:c>
      <x:c r="Z49" s="11" t="n">
        <x:f>IF(COUNT('Turns'!F145,'Turns'!F159,'Turns'!F173,'Turns'!F185,'Turns'!F199,'Turns'!F211,'Turns'!F223)=7,SUM('Turns'!F145,'Turns'!F159,'Turns'!F173,'Turns'!F185,'Turns'!F199,'Turns'!F211,'Turns'!F223),"Unknown")</x:f>
        <x:v>0.0015996000000000003</x:v>
      </x:c>
      <x:c r="AA49" s="33" t="n">
        <x:f>IF(ISNUMBER(Y49),ROUND(Y49*'Reference data'!$B$2,0),"Unknown")</x:f>
        <x:v>139</x:v>
      </x:c>
      <x:c r="AB49" s="33" t="n">
        <x:f>IF(ISNUMBER(Z49),ROUND(Z49*'Reference data'!$B$2,0),"Unknown")</x:f>
        <x:v>160</x:v>
      </x:c>
      <x:c r="AC49" s="2"/>
      <x:c r="AD49" s="43" t="n">
        <x:v>34.523136</x:v>
      </x:c>
      <x:c r="AE49" s="2" t="str">
        <x:v>Subtree total</x:v>
      </x:c>
    </x:row>
    <x:row r="50" ht="54" customHeight="1">
      <x:c r="A50" s="41" t="str">
        <x:v>                SummarizationMiddleware.before_model</x:v>
      </x:c>
      <x:c r="B50" s="36" t="n">
        <x:v>4</x:v>
      </x:c>
      <x:c r="C50" s="36" t="str">
        <x:v>workflow</x:v>
      </x:c>
      <x:c r="D50" s="36" t="str"/>
      <x:c r="E50" s="36" t="str">
        <x:v>ok</x:v>
      </x:c>
      <x:c r="F50" s="38"/>
      <x:c r="G50" s="41" t="str">
        <x:v>Execute the SummarizationMiddleware.before_model workflow operation and pass its result to the next graph step.</x:v>
      </x:c>
      <x:c r="H50" s="36" t="str">
        <x:v>01a0c6fd-6de8-73e2-8dba-68fbf627b22e</x:v>
      </x:c>
      <x:c r="I50" s="36" t="str">
        <x:v>01a0c6fd-6de8-73e2-8dba-68eeb7e24a9e</x:v>
      </x:c>
      <x:c r="J50" s="33"/>
      <x:c r="K50" s="11"/>
      <x:c r="L50" s="11"/>
      <x:c r="M50" s="33"/>
      <x:c r="N50" s="11"/>
      <x:c r="O50" s="11"/>
      <x:c r="P50" s="33"/>
      <x:c r="Q50" s="11"/>
      <x:c r="R50" s="11"/>
      <x:c r="S50" s="33"/>
      <x:c r="T50" s="11"/>
      <x:c r="U50" s="11"/>
      <x:c r="V50" s="33"/>
      <x:c r="W50" s="11"/>
      <x:c r="X50" s="11"/>
      <x:c r="Y50" s="11"/>
      <x:c r="Z50" s="11"/>
      <x:c r="AA50" s="33"/>
      <x:c r="AB50" s="33"/>
      <x:c r="AC50" s="2"/>
      <x:c r="AD50" s="43" t="n">
        <x:v>0.278016</x:v>
      </x:c>
      <x:c r="AE50" s="2" t="str">
        <x:v>No model charge</x:v>
      </x:c>
    </x:row>
    <x:row r="51" ht="54" customHeight="1">
      <x:c r="A51" s="41" t="str">
        <x:v>                model</x:v>
      </x:c>
      <x:c r="B51" s="36" t="n">
        <x:v>4</x:v>
      </x:c>
      <x:c r="C51" s="36" t="str">
        <x:v>workflow</x:v>
      </x:c>
      <x:c r="D51" s="36" t="str"/>
      <x:c r="E51" s="36" t="str">
        <x:v>ok</x:v>
      </x:c>
      <x:c r="F51" s="38"/>
      <x:c r="G51" s="41" t="str">
        <x:v>Prepare the current conversation, run model middleware, and invoke the chat model.</x:v>
      </x:c>
      <x:c r="H51" s="36" t="str">
        <x:v>01a0c6fd-6de9-7640-8145-3a1be23bcb24</x:v>
      </x:c>
      <x:c r="I51" s="36" t="str">
        <x:v>01a0c6fd-6de8-73e2-8dba-68eeb7e24a9e</x:v>
      </x:c>
      <x:c r="J51" s="33" t="n">
        <x:f>IF(COUNT('Turns'!D137)=1,SUM('Turns'!D137),"Unknown")</x:f>
        <x:v>850</x:v>
      </x:c>
      <x:c r="K51" s="11" t="n">
        <x:f>IF(COUNT('Turns'!E137)=1,SUM('Turns'!E137),"Unknown")</x:f>
        <x:v>0.0001479544</x:v>
      </x:c>
      <x:c r="L51" s="11" t="n">
        <x:f>IF(COUNT('Turns'!F137)=1,SUM('Turns'!F137),"Unknown")</x:f>
        <x:v>0.00017</x:v>
      </x:c>
      <x:c r="M51" s="33" t="n">
        <x:f>IF(COUNT('Turns'!D136)=1,SUM('Turns'!D136),"Unknown")</x:f>
        <x:v>0</x:v>
      </x:c>
      <x:c r="N51" s="11" t="n">
        <x:f>IF(COUNT('Turns'!E136)=1,SUM('Turns'!E136),"Unknown")</x:f>
        <x:v>0</x:v>
      </x:c>
      <x:c r="O51" s="11" t="n">
        <x:f>IF(COUNT('Turns'!F136)=1,SUM('Turns'!F136),"Unknown")</x:f>
        <x:v>0</x:v>
      </x:c>
      <x:c r="P51" s="33" t="n">
        <x:v>0</x:v>
      </x:c>
      <x:c r="Q51" s="11" t="n">
        <x:v>0</x:v>
      </x:c>
      <x:c r="R51" s="11" t="n">
        <x:v>0</x:v>
      </x:c>
      <x:c r="S51" s="33" t="n">
        <x:f>IF(COUNT('Turns'!D141)=1,SUM('Turns'!D141),"Unknown")</x:f>
        <x:v>90</x:v>
      </x:c>
      <x:c r="T51" s="11" t="n">
        <x:f>IF(COUNT('Turns'!E141)=1,SUM('Turns'!E141),"Unknown")</x:f>
        <x:v>0.00009399456</x:v>
      </x:c>
      <x:c r="U51" s="11" t="n">
        <x:f>IF(COUNT('Turns'!F141)=1,SUM('Turns'!F141),"Unknown")</x:f>
        <x:v>0.000108</x:v>
      </x:c>
      <x:c r="V51" s="33" t="n">
        <x:v>0</x:v>
      </x:c>
      <x:c r="W51" s="11" t="n">
        <x:v>0</x:v>
      </x:c>
      <x:c r="X51" s="11" t="n">
        <x:v>0</x:v>
      </x:c>
      <x:c r="Y51" s="11" t="n">
        <x:f>IF(COUNT('Turns'!E145)=1,SUM('Turns'!E145),"Unknown")</x:f>
        <x:v>0.00024194895999999998</x:v>
      </x:c>
      <x:c r="Z51" s="11" t="n">
        <x:f>IF(COUNT('Turns'!F145)=1,SUM('Turns'!F145),"Unknown")</x:f>
        <x:v>0.00027800000000000004</x:v>
      </x:c>
      <x:c r="AA51" s="33" t="n">
        <x:f>IF(ISNUMBER(Y51),ROUND(Y51*'Reference data'!$B$2,0),"Unknown")</x:f>
        <x:v>24</x:v>
      </x:c>
      <x:c r="AB51" s="33" t="n">
        <x:f>IF(ISNUMBER(Z51),ROUND(Z51*'Reference data'!$B$2,0),"Unknown")</x:f>
        <x:v>28</x:v>
      </x:c>
      <x:c r="AC51" s="2"/>
      <x:c r="AD51" s="43" t="n">
        <x:v>3.201024</x:v>
      </x:c>
      <x:c r="AE51" s="2" t="str">
        <x:v>Subtree total</x:v>
      </x:c>
    </x:row>
    <x:row r="52" ht="54" customHeight="1">
      <x:c r="A52" s="42" t="str">
        <x:v>                    CompactingDemoModel</x:v>
      </x:c>
      <x:c r="B52" s="20" t="n">
        <x:v>5</x:v>
      </x:c>
      <x:c r="C52" s="20" t="str">
        <x:v>model</x:v>
      </x:c>
      <x:c r="D52" s="20" t="str">
        <x:v>scripted-chat</x:v>
      </x:c>
      <x:c r="E52" s="20" t="str">
        <x:v>ok</x:v>
      </x:c>
      <x:c r="F52" s="39" t="n">
        <x:v>850</x:v>
      </x:c>
      <x:c r="G52" s="42" t="str">
        <x:v>Delegate from shared history and respond.</x:v>
      </x:c>
      <x:c r="H52" s="20" t="str">
        <x:v>01a0c6fd-6dea-7663-97bd-ac29bd7e9ff4</x:v>
      </x:c>
      <x:c r="I52" s="20" t="str">
        <x:v>01a0c6fd-6de9-7640-8145-3a1be23bcb24</x:v>
      </x:c>
      <x:c r="J52" s="33" t="n">
        <x:f>IF(COUNT('Turns'!D137)=1,SUM('Turns'!D137),"Unknown")</x:f>
        <x:v>850</x:v>
      </x:c>
      <x:c r="K52" s="11" t="n">
        <x:f>IF(COUNT('Turns'!E137)=1,SUM('Turns'!E137),"Unknown")</x:f>
        <x:v>0.0001479544</x:v>
      </x:c>
      <x:c r="L52" s="11" t="n">
        <x:f>IF(COUNT('Turns'!F137)=1,SUM('Turns'!F137),"Unknown")</x:f>
        <x:v>0.00017</x:v>
      </x:c>
      <x:c r="M52" s="33" t="n">
        <x:f>IF(COUNT('Turns'!D136)=1,SUM('Turns'!D136),"Unknown")</x:f>
        <x:v>0</x:v>
      </x:c>
      <x:c r="N52" s="11" t="n">
        <x:f>IF(COUNT('Turns'!E136)=1,SUM('Turns'!E136),"Unknown")</x:f>
        <x:v>0</x:v>
      </x:c>
      <x:c r="O52" s="11" t="n">
        <x:f>IF(COUNT('Turns'!F136)=1,SUM('Turns'!F136),"Unknown")</x:f>
        <x:v>0</x:v>
      </x:c>
      <x:c r="P52" s="33" t="n">
        <x:v>0</x:v>
      </x:c>
      <x:c r="Q52" s="11" t="n">
        <x:v>0</x:v>
      </x:c>
      <x:c r="R52" s="11" t="n">
        <x:v>0</x:v>
      </x:c>
      <x:c r="S52" s="33" t="n">
        <x:f>IF(COUNT('Turns'!D141)=1,SUM('Turns'!D141),"Unknown")</x:f>
        <x:v>90</x:v>
      </x:c>
      <x:c r="T52" s="11" t="n">
        <x:f>IF(COUNT('Turns'!E141)=1,SUM('Turns'!E141),"Unknown")</x:f>
        <x:v>0.00009399456</x:v>
      </x:c>
      <x:c r="U52" s="11" t="n">
        <x:f>IF(COUNT('Turns'!F141)=1,SUM('Turns'!F141),"Unknown")</x:f>
        <x:v>0.000108</x:v>
      </x:c>
      <x:c r="V52" s="33" t="n">
        <x:v>0</x:v>
      </x:c>
      <x:c r="W52" s="11" t="n">
        <x:v>0</x:v>
      </x:c>
      <x:c r="X52" s="11" t="n">
        <x:v>0</x:v>
      </x:c>
      <x:c r="Y52" s="11" t="n">
        <x:f>IF(COUNT('Turns'!E145)=1,SUM('Turns'!E145),"Unknown")</x:f>
        <x:v>0.00024194895999999998</x:v>
      </x:c>
      <x:c r="Z52" s="11" t="n">
        <x:f>IF(COUNT('Turns'!F145)=1,SUM('Turns'!F145),"Unknown")</x:f>
        <x:v>0.00027800000000000004</x:v>
      </x:c>
      <x:c r="AA52" s="33" t="n">
        <x:f>IF(ISNUMBER(Y52),ROUND(Y52*'Reference data'!$B$2,0),"Unknown")</x:f>
        <x:v>24</x:v>
      </x:c>
      <x:c r="AB52" s="33" t="n">
        <x:f>IF(ISNUMBER(Z52),ROUND(Z52*'Reference data'!$B$2,0),"Unknown")</x:f>
        <x:v>28</x:v>
      </x:c>
      <x:c r="AC52" s="2" t="str">
        <x:v>R11</x:v>
      </x:c>
      <x:c r="AD52" s="43" t="n">
        <x:v>2.017024</x:v>
      </x:c>
      <x:c r="AE52" s="2" t="str">
        <x:v>Own call</x:v>
      </x:c>
    </x:row>
    <x:row r="53" ht="54" customHeight="1">
      <x:c r="A53" s="41" t="str">
        <x:v>                tools</x:v>
      </x:c>
      <x:c r="B53" s="36" t="n">
        <x:v>4</x:v>
      </x:c>
      <x:c r="C53" s="36" t="str">
        <x:v>workflow</x:v>
      </x:c>
      <x:c r="D53" s="36" t="str"/>
      <x:c r="E53" s="36" t="str">
        <x:v>ok</x:v>
      </x:c>
      <x:c r="F53" s="38"/>
      <x:c r="G53" s="41" t="str">
        <x:v>Execute tool calls requested by the preceding model response and return their observations.</x:v>
      </x:c>
      <x:c r="H53" s="36" t="str">
        <x:v>01a0c6fd-6ded-7f50-b093-18f30d339635</x:v>
      </x:c>
      <x:c r="I53" s="36" t="str">
        <x:v>01a0c6fd-6de8-73e2-8dba-68eeb7e24a9e</x:v>
      </x:c>
      <x:c r="J53" s="33" t="n">
        <x:f>IF(COUNT('Turns'!D151,'Turns'!D165,'Turns'!D176,'Turns'!D191,'Turns'!D202)=5,SUM('Turns'!D151,'Turns'!D165,'Turns'!D176,'Turns'!D191,'Turns'!D202),"Unknown")</x:f>
        <x:v>2859</x:v>
      </x:c>
      <x:c r="K53" s="11" t="n">
        <x:f>IF(COUNT('Turns'!E151,'Turns'!E165,'Turns'!E176,'Turns'!E191,'Turns'!E202)=5,SUM('Turns'!E151,'Turns'!E165,'Turns'!E176,'Turns'!E191,'Turns'!E202),"Unknown")</x:f>
        <x:v>0.0004976489760000001</x:v>
      </x:c>
      <x:c r="L53" s="11" t="n">
        <x:f>IF(COUNT('Turns'!F151,'Turns'!F165,'Turns'!F176,'Turns'!F191,'Turns'!F202)=5,SUM('Turns'!F151,'Turns'!F165,'Turns'!F176,'Turns'!F191,'Turns'!F202),"Unknown")</x:f>
        <x:v>0.0005718000000000001</x:v>
      </x:c>
      <x:c r="M53" s="33" t="n">
        <x:f>IF(COUNT('Turns'!D150,'Turns'!D164,'Turns'!D175,'Turns'!D190,'Turns'!D201)=5,SUM('Turns'!D150,'Turns'!D164,'Turns'!D175,'Turns'!D190,'Turns'!D201),"Unknown")</x:f>
        <x:v>0</x:v>
      </x:c>
      <x:c r="N53" s="11" t="n">
        <x:f>IF(COUNT('Turns'!E150,'Turns'!E164,'Turns'!E175,'Turns'!E190,'Turns'!E201)=5,SUM('Turns'!E150,'Turns'!E164,'Turns'!E175,'Turns'!E190,'Turns'!E201),"Unknown")</x:f>
        <x:v>0</x:v>
      </x:c>
      <x:c r="O53" s="11" t="n">
        <x:f>IF(COUNT('Turns'!F150,'Turns'!F164,'Turns'!F175,'Turns'!F190,'Turns'!F201)=5,SUM('Turns'!F150,'Turns'!F164,'Turns'!F175,'Turns'!F190,'Turns'!F201),"Unknown")</x:f>
        <x:v>0</x:v>
      </x:c>
      <x:c r="P53" s="33" t="n">
        <x:v>0</x:v>
      </x:c>
      <x:c r="Q53" s="11" t="n">
        <x:v>0</x:v>
      </x:c>
      <x:c r="R53" s="11" t="n">
        <x:v>0</x:v>
      </x:c>
      <x:c r="S53" s="33" t="n">
        <x:f>IF(COUNT('Turns'!D155,'Turns'!D169,'Turns'!D181,'Turns'!D195,'Turns'!D207)=5,SUM('Turns'!D155,'Turns'!D169,'Turns'!D181,'Turns'!D195,'Turns'!D207),"Unknown")</x:f>
        <x:v>418</x:v>
      </x:c>
      <x:c r="T53" s="11" t="n">
        <x:f>IF(COUNT('Turns'!E155,'Turns'!E169,'Turns'!E181,'Turns'!E195,'Turns'!E207)=5,SUM('Turns'!E155,'Turns'!E169,'Turns'!E181,'Turns'!E195,'Turns'!E207),"Unknown")</x:f>
        <x:v>0.0004365525119999999</x:v>
      </x:c>
      <x:c r="U53" s="11" t="n">
        <x:f>IF(COUNT('Turns'!F155,'Turns'!F169,'Turns'!F181,'Turns'!F195,'Turns'!F207)=5,SUM('Turns'!F155,'Turns'!F169,'Turns'!F181,'Turns'!F195,'Turns'!F207),"Unknown")</x:f>
        <x:v>0.0005015999999999999</x:v>
      </x:c>
      <x:c r="V53" s="33" t="n">
        <x:v>0</x:v>
      </x:c>
      <x:c r="W53" s="11" t="n">
        <x:v>0</x:v>
      </x:c>
      <x:c r="X53" s="11" t="n">
        <x:v>0</x:v>
      </x:c>
      <x:c r="Y53" s="11" t="n">
        <x:f>IF(COUNT('Turns'!E159,'Turns'!E173,'Turns'!E185,'Turns'!E199,'Turns'!E211)=5,SUM('Turns'!E159,'Turns'!E173,'Turns'!E185,'Turns'!E199,'Turns'!E211),"Unknown")</x:f>
        <x:v>0.0009342014880000001</x:v>
      </x:c>
      <x:c r="Z53" s="11" t="n">
        <x:f>IF(COUNT('Turns'!F159,'Turns'!F173,'Turns'!F185,'Turns'!F199,'Turns'!F211)=5,SUM('Turns'!F159,'Turns'!F173,'Turns'!F185,'Turns'!F199,'Turns'!F211),"Unknown")</x:f>
        <x:v>0.0010734000000000002</x:v>
      </x:c>
      <x:c r="AA53" s="33" t="n">
        <x:f>IF(ISNUMBER(Y53),ROUND(Y53*'Reference data'!$B$2,0),"Unknown")</x:f>
        <x:v>93</x:v>
      </x:c>
      <x:c r="AB53" s="33" t="n">
        <x:f>IF(ISNUMBER(Z53),ROUND(Z53*'Reference data'!$B$2,0),"Unknown")</x:f>
        <x:v>107</x:v>
      </x:c>
      <x:c r="AC53" s="2"/>
      <x:c r="AD53" s="43" t="n">
        <x:v>24.726016</x:v>
      </x:c>
      <x:c r="AE53" s="2" t="str">
        <x:v>Subtree total</x:v>
      </x:c>
    </x:row>
    <x:row r="54" ht="54" customHeight="1">
      <x:c r="A54" s="41" t="str">
        <x:v>                    task</x:v>
      </x:c>
      <x:c r="B54" s="36" t="n">
        <x:v>5</x:v>
      </x:c>
      <x:c r="C54" s="36" t="str">
        <x:v>tool</x:v>
      </x:c>
      <x:c r="D54" s="36" t="str"/>
      <x:c r="E54" s="36" t="str">
        <x:v>ok</x:v>
      </x:c>
      <x:c r="F54" s="38"/>
      <x:c r="G54" s="41" t="str">
        <x:v>Launch an ephemeral subagent to handle a complex, multi-step task.
Available agent types and the tools they have access to:
- workflow-specialist: Looks up agent workflow concepts and returns an evidence-based summary.
Specify subagent_type to select the agent. Usage notes:
- Launch multiple agents concurrently when their tasks are independent, using a single message with multiple tool calls.
- Each invocation is stateless by default: the agent sees only the prompt you give it and returns a single final report. Put full detail in the prompt and state exactly what it should return — unless an agent type below says it inherits your conversation instead.
- The agent's report is not shown to the user; relay a summary yourself.
- Tell the agent whether to create content, analyze, or only research, since it can't necessarily see the user's intent unless it inherits your conversation, as noted per agent type below.
- If an agent's description says to use it proactively, do so without waiting to be asked.
- When only general-purpose is available, use it for any complex, context-heavy task; it has the same capabilities as the main agent.</x:v>
      </x:c>
      <x:c r="H54" s="36" t="str">
        <x:v>01a0c6fd-6ded-7f50-b093-190775b91abb</x:v>
      </x:c>
      <x:c r="I54" s="36" t="str">
        <x:v>01a0c6fd-6ded-7f50-b093-18f30d339635</x:v>
      </x:c>
      <x:c r="J54" s="33" t="n">
        <x:f>IF(COUNT('Turns'!D151,'Turns'!D165,'Turns'!D176,'Turns'!D191,'Turns'!D202)=5,SUM('Turns'!D151,'Turns'!D165,'Turns'!D176,'Turns'!D191,'Turns'!D202),"Unknown")</x:f>
        <x:v>2859</x:v>
      </x:c>
      <x:c r="K54" s="11" t="n">
        <x:f>IF(COUNT('Turns'!E151,'Turns'!E165,'Turns'!E176,'Turns'!E191,'Turns'!E202)=5,SUM('Turns'!E151,'Turns'!E165,'Turns'!E176,'Turns'!E191,'Turns'!E202),"Unknown")</x:f>
        <x:v>0.0004976489760000001</x:v>
      </x:c>
      <x:c r="L54" s="11" t="n">
        <x:f>IF(COUNT('Turns'!F151,'Turns'!F165,'Turns'!F176,'Turns'!F191,'Turns'!F202)=5,SUM('Turns'!F151,'Turns'!F165,'Turns'!F176,'Turns'!F191,'Turns'!F202),"Unknown")</x:f>
        <x:v>0.0005718000000000001</x:v>
      </x:c>
      <x:c r="M54" s="33" t="n">
        <x:f>IF(COUNT('Turns'!D150,'Turns'!D164,'Turns'!D175,'Turns'!D190,'Turns'!D201)=5,SUM('Turns'!D150,'Turns'!D164,'Turns'!D175,'Turns'!D190,'Turns'!D201),"Unknown")</x:f>
        <x:v>0</x:v>
      </x:c>
      <x:c r="N54" s="11" t="n">
        <x:f>IF(COUNT('Turns'!E150,'Turns'!E164,'Turns'!E175,'Turns'!E190,'Turns'!E201)=5,SUM('Turns'!E150,'Turns'!E164,'Turns'!E175,'Turns'!E190,'Turns'!E201),"Unknown")</x:f>
        <x:v>0</x:v>
      </x:c>
      <x:c r="O54" s="11" t="n">
        <x:f>IF(COUNT('Turns'!F150,'Turns'!F164,'Turns'!F175,'Turns'!F190,'Turns'!F201)=5,SUM('Turns'!F150,'Turns'!F164,'Turns'!F175,'Turns'!F190,'Turns'!F201),"Unknown")</x:f>
        <x:v>0</x:v>
      </x:c>
      <x:c r="P54" s="33" t="n">
        <x:v>0</x:v>
      </x:c>
      <x:c r="Q54" s="11" t="n">
        <x:v>0</x:v>
      </x:c>
      <x:c r="R54" s="11" t="n">
        <x:v>0</x:v>
      </x:c>
      <x:c r="S54" s="33" t="n">
        <x:f>IF(COUNT('Turns'!D155,'Turns'!D169,'Turns'!D181,'Turns'!D195,'Turns'!D207)=5,SUM('Turns'!D155,'Turns'!D169,'Turns'!D181,'Turns'!D195,'Turns'!D207),"Unknown")</x:f>
        <x:v>418</x:v>
      </x:c>
      <x:c r="T54" s="11" t="n">
        <x:f>IF(COUNT('Turns'!E155,'Turns'!E169,'Turns'!E181,'Turns'!E195,'Turns'!E207)=5,SUM('Turns'!E155,'Turns'!E169,'Turns'!E181,'Turns'!E195,'Turns'!E207),"Unknown")</x:f>
        <x:v>0.0004365525119999999</x:v>
      </x:c>
      <x:c r="U54" s="11" t="n">
        <x:f>IF(COUNT('Turns'!F155,'Turns'!F169,'Turns'!F181,'Turns'!F195,'Turns'!F207)=5,SUM('Turns'!F155,'Turns'!F169,'Turns'!F181,'Turns'!F195,'Turns'!F207),"Unknown")</x:f>
        <x:v>0.0005015999999999999</x:v>
      </x:c>
      <x:c r="V54" s="33" t="n">
        <x:v>0</x:v>
      </x:c>
      <x:c r="W54" s="11" t="n">
        <x:v>0</x:v>
      </x:c>
      <x:c r="X54" s="11" t="n">
        <x:v>0</x:v>
      </x:c>
      <x:c r="Y54" s="11" t="n">
        <x:f>IF(COUNT('Turns'!E159,'Turns'!E173,'Turns'!E185,'Turns'!E199,'Turns'!E211)=5,SUM('Turns'!E159,'Turns'!E173,'Turns'!E185,'Turns'!E199,'Turns'!E211),"Unknown")</x:f>
        <x:v>0.0009342014880000001</x:v>
      </x:c>
      <x:c r="Z54" s="11" t="n">
        <x:f>IF(COUNT('Turns'!F159,'Turns'!F173,'Turns'!F185,'Turns'!F199,'Turns'!F211)=5,SUM('Turns'!F159,'Turns'!F173,'Turns'!F185,'Turns'!F199,'Turns'!F211),"Unknown")</x:f>
        <x:v>0.0010734000000000002</x:v>
      </x:c>
      <x:c r="AA54" s="33" t="n">
        <x:f>IF(ISNUMBER(Y54),ROUND(Y54*'Reference data'!$B$2,0),"Unknown")</x:f>
        <x:v>93</x:v>
      </x:c>
      <x:c r="AB54" s="33" t="n">
        <x:f>IF(ISNUMBER(Z54),ROUND(Z54*'Reference data'!$B$2,0),"Unknown")</x:f>
        <x:v>107</x:v>
      </x:c>
      <x:c r="AC54" s="2"/>
      <x:c r="AD54" s="43" t="n">
        <x:v>23.885056</x:v>
      </x:c>
      <x:c r="AE54" s="2" t="str">
        <x:v>Subtree total</x:v>
      </x:c>
    </x:row>
    <x:row r="55" ht="54" customHeight="1">
      <x:c r="A55" s="41" t="str">
        <x:v>                        workflow-specialist</x:v>
      </x:c>
      <x:c r="B55" s="36" t="n">
        <x:v>6</x:v>
      </x:c>
      <x:c r="C55" s="36" t="str">
        <x:v>workflow</x:v>
      </x:c>
      <x:c r="D55" s="36" t="str"/>
      <x:c r="E55" s="36" t="str">
        <x:v>ok</x:v>
      </x:c>
      <x:c r="F55" s="38"/>
      <x:c r="G55" s="41" t="str">
        <x:v>Execute the workflow-specialist workflow operation and pass its result to the next graph step.</x:v>
      </x:c>
      <x:c r="H55" s="36" t="str">
        <x:v>01a0c6fd-6dee-7360-8064-72764dedf044</x:v>
      </x:c>
      <x:c r="I55" s="36" t="str">
        <x:v>01a0c6fd-6ded-7f50-b093-190775b91abb</x:v>
      </x:c>
      <x:c r="J55" s="33" t="n">
        <x:f>IF(COUNT('Turns'!D151,'Turns'!D165,'Turns'!D176,'Turns'!D191,'Turns'!D202)=5,SUM('Turns'!D151,'Turns'!D165,'Turns'!D176,'Turns'!D191,'Turns'!D202),"Unknown")</x:f>
        <x:v>2859</x:v>
      </x:c>
      <x:c r="K55" s="11" t="n">
        <x:f>IF(COUNT('Turns'!E151,'Turns'!E165,'Turns'!E176,'Turns'!E191,'Turns'!E202)=5,SUM('Turns'!E151,'Turns'!E165,'Turns'!E176,'Turns'!E191,'Turns'!E202),"Unknown")</x:f>
        <x:v>0.0004976489760000001</x:v>
      </x:c>
      <x:c r="L55" s="11" t="n">
        <x:f>IF(COUNT('Turns'!F151,'Turns'!F165,'Turns'!F176,'Turns'!F191,'Turns'!F202)=5,SUM('Turns'!F151,'Turns'!F165,'Turns'!F176,'Turns'!F191,'Turns'!F202),"Unknown")</x:f>
        <x:v>0.0005718000000000001</x:v>
      </x:c>
      <x:c r="M55" s="33" t="n">
        <x:f>IF(COUNT('Turns'!D150,'Turns'!D164,'Turns'!D175,'Turns'!D190,'Turns'!D201)=5,SUM('Turns'!D150,'Turns'!D164,'Turns'!D175,'Turns'!D190,'Turns'!D201),"Unknown")</x:f>
        <x:v>0</x:v>
      </x:c>
      <x:c r="N55" s="11" t="n">
        <x:f>IF(COUNT('Turns'!E150,'Turns'!E164,'Turns'!E175,'Turns'!E190,'Turns'!E201)=5,SUM('Turns'!E150,'Turns'!E164,'Turns'!E175,'Turns'!E190,'Turns'!E201),"Unknown")</x:f>
        <x:v>0</x:v>
      </x:c>
      <x:c r="O55" s="11" t="n">
        <x:f>IF(COUNT('Turns'!F150,'Turns'!F164,'Turns'!F175,'Turns'!F190,'Turns'!F201)=5,SUM('Turns'!F150,'Turns'!F164,'Turns'!F175,'Turns'!F190,'Turns'!F201),"Unknown")</x:f>
        <x:v>0</x:v>
      </x:c>
      <x:c r="P55" s="33" t="n">
        <x:v>0</x:v>
      </x:c>
      <x:c r="Q55" s="11" t="n">
        <x:v>0</x:v>
      </x:c>
      <x:c r="R55" s="11" t="n">
        <x:v>0</x:v>
      </x:c>
      <x:c r="S55" s="33" t="n">
        <x:f>IF(COUNT('Turns'!D155,'Turns'!D169,'Turns'!D181,'Turns'!D195,'Turns'!D207)=5,SUM('Turns'!D155,'Turns'!D169,'Turns'!D181,'Turns'!D195,'Turns'!D207),"Unknown")</x:f>
        <x:v>418</x:v>
      </x:c>
      <x:c r="T55" s="11" t="n">
        <x:f>IF(COUNT('Turns'!E155,'Turns'!E169,'Turns'!E181,'Turns'!E195,'Turns'!E207)=5,SUM('Turns'!E155,'Turns'!E169,'Turns'!E181,'Turns'!E195,'Turns'!E207),"Unknown")</x:f>
        <x:v>0.0004365525119999999</x:v>
      </x:c>
      <x:c r="U55" s="11" t="n">
        <x:f>IF(COUNT('Turns'!F155,'Turns'!F169,'Turns'!F181,'Turns'!F195,'Turns'!F207)=5,SUM('Turns'!F155,'Turns'!F169,'Turns'!F181,'Turns'!F195,'Turns'!F207),"Unknown")</x:f>
        <x:v>0.0005015999999999999</x:v>
      </x:c>
      <x:c r="V55" s="33" t="n">
        <x:v>0</x:v>
      </x:c>
      <x:c r="W55" s="11" t="n">
        <x:v>0</x:v>
      </x:c>
      <x:c r="X55" s="11" t="n">
        <x:v>0</x:v>
      </x:c>
      <x:c r="Y55" s="11" t="n">
        <x:f>IF(COUNT('Turns'!E159,'Turns'!E173,'Turns'!E185,'Turns'!E199,'Turns'!E211)=5,SUM('Turns'!E159,'Turns'!E173,'Turns'!E185,'Turns'!E199,'Turns'!E211),"Unknown")</x:f>
        <x:v>0.0009342014880000001</x:v>
      </x:c>
      <x:c r="Z55" s="11" t="n">
        <x:f>IF(COUNT('Turns'!F159,'Turns'!F173,'Turns'!F185,'Turns'!F199,'Turns'!F211)=5,SUM('Turns'!F159,'Turns'!F173,'Turns'!F185,'Turns'!F199,'Turns'!F211),"Unknown")</x:f>
        <x:v>0.0010734000000000002</x:v>
      </x:c>
      <x:c r="AA55" s="33" t="n">
        <x:f>IF(ISNUMBER(Y55),ROUND(Y55*'Reference data'!$B$2,0),"Unknown")</x:f>
        <x:v>93</x:v>
      </x:c>
      <x:c r="AB55" s="33" t="n">
        <x:f>IF(ISNUMBER(Z55),ROUND(Z55*'Reference data'!$B$2,0),"Unknown")</x:f>
        <x:v>107</x:v>
      </x:c>
      <x:c r="AC55" s="2"/>
      <x:c r="AD55" s="43" t="n">
        <x:v>23.115008</x:v>
      </x:c>
      <x:c r="AE55" s="2" t="str">
        <x:v>Subtree total</x:v>
      </x:c>
    </x:row>
    <x:row r="56" ht="54" customHeight="1">
      <x:c r="A56" s="41" t="str">
        <x:v>                            SummarizationMiddleware.before_model</x:v>
      </x:c>
      <x:c r="B56" s="36" t="n">
        <x:v>7</x:v>
      </x:c>
      <x:c r="C56" s="36" t="str">
        <x:v>workflow</x:v>
      </x:c>
      <x:c r="D56" s="36" t="str"/>
      <x:c r="E56" s="36" t="str">
        <x:v>ok</x:v>
      </x:c>
      <x:c r="F56" s="38"/>
      <x:c r="G56" s="41" t="str">
        <x:v>Execute the SummarizationMiddleware.before_model workflow operation and pass its result to the next graph step.</x:v>
      </x:c>
      <x:c r="H56" s="36" t="str">
        <x:v>01a0c6fd-6dee-7360-8064-72822eab7aa8</x:v>
      </x:c>
      <x:c r="I56" s="36" t="str">
        <x:v>01a0c6fd-6dee-7360-8064-72764dedf044</x:v>
      </x:c>
      <x:c r="J56" s="33"/>
      <x:c r="K56" s="11"/>
      <x:c r="L56" s="11"/>
      <x:c r="M56" s="33"/>
      <x:c r="N56" s="11"/>
      <x:c r="O56" s="11"/>
      <x:c r="P56" s="33"/>
      <x:c r="Q56" s="11"/>
      <x:c r="R56" s="11"/>
      <x:c r="S56" s="33"/>
      <x:c r="T56" s="11"/>
      <x:c r="U56" s="11"/>
      <x:c r="V56" s="33"/>
      <x:c r="W56" s="11"/>
      <x:c r="X56" s="11"/>
      <x:c r="Y56" s="11"/>
      <x:c r="Z56" s="11"/>
      <x:c r="AA56" s="33"/>
      <x:c r="AB56" s="33"/>
      <x:c r="AC56" s="2"/>
      <x:c r="AD56" s="43" t="n">
        <x:v>0.434176</x:v>
      </x:c>
      <x:c r="AE56" s="2" t="str">
        <x:v>No model charge</x:v>
      </x:c>
    </x:row>
    <x:row r="57" ht="54" customHeight="1">
      <x:c r="A57" s="41" t="str">
        <x:v>                            model</x:v>
      </x:c>
      <x:c r="B57" s="36" t="n">
        <x:v>7</x:v>
      </x:c>
      <x:c r="C57" s="36" t="str">
        <x:v>workflow</x:v>
      </x:c>
      <x:c r="D57" s="36" t="str"/>
      <x:c r="E57" s="36" t="str">
        <x:v>ok</x:v>
      </x:c>
      <x:c r="F57" s="38"/>
      <x:c r="G57" s="41" t="str">
        <x:v>Prepare the current conversation, run model middleware, and invoke the chat model.</x:v>
      </x:c>
      <x:c r="H57" s="36" t="str">
        <x:v>01a0c6fd-6df0-74b2-bb05-f686105d816f</x:v>
      </x:c>
      <x:c r="I57" s="36" t="str">
        <x:v>01a0c6fd-6dee-7360-8064-72764dedf044</x:v>
      </x:c>
      <x:c r="J57" s="33" t="n">
        <x:f>IF(COUNT('Turns'!D151)=1,SUM('Turns'!D151),"Unknown")</x:f>
        <x:v>222</x:v>
      </x:c>
      <x:c r="K57" s="11" t="n">
        <x:f>IF(COUNT('Turns'!E151)=1,SUM('Turns'!E151),"Unknown")</x:f>
        <x:v>0.00003864220800000001</x:v>
      </x:c>
      <x:c r="L57" s="11" t="n">
        <x:f>IF(COUNT('Turns'!F151)=1,SUM('Turns'!F151),"Unknown")</x:f>
        <x:v>0.00004440000000000001</x:v>
      </x:c>
      <x:c r="M57" s="33" t="n">
        <x:f>IF(COUNT('Turns'!D150)=1,SUM('Turns'!D150),"Unknown")</x:f>
        <x:v>0</x:v>
      </x:c>
      <x:c r="N57" s="11" t="n">
        <x:f>IF(COUNT('Turns'!E150)=1,SUM('Turns'!E150),"Unknown")</x:f>
        <x:v>0</x:v>
      </x:c>
      <x:c r="O57" s="11" t="n">
        <x:f>IF(COUNT('Turns'!F150)=1,SUM('Turns'!F150),"Unknown")</x:f>
        <x:v>0</x:v>
      </x:c>
      <x:c r="P57" s="33" t="n">
        <x:v>0</x:v>
      </x:c>
      <x:c r="Q57" s="11" t="n">
        <x:v>0</x:v>
      </x:c>
      <x:c r="R57" s="11" t="n">
        <x:v>0</x:v>
      </x:c>
      <x:c r="S57" s="33" t="n">
        <x:f>IF(COUNT('Turns'!D155)=1,SUM('Turns'!D155),"Unknown")</x:f>
        <x:v>208</x:v>
      </x:c>
      <x:c r="T57" s="11" t="n">
        <x:f>IF(COUNT('Turns'!E155)=1,SUM('Turns'!E155),"Unknown")</x:f>
        <x:v>0.00021723187199999998</x:v>
      </x:c>
      <x:c r="U57" s="11" t="n">
        <x:f>IF(COUNT('Turns'!F155)=1,SUM('Turns'!F155),"Unknown")</x:f>
        <x:v>0.0002496</x:v>
      </x:c>
      <x:c r="V57" s="33" t="n">
        <x:v>0</x:v>
      </x:c>
      <x:c r="W57" s="11" t="n">
        <x:v>0</x:v>
      </x:c>
      <x:c r="X57" s="11" t="n">
        <x:v>0</x:v>
      </x:c>
      <x:c r="Y57" s="11" t="n">
        <x:f>IF(COUNT('Turns'!E159)=1,SUM('Turns'!E159),"Unknown")</x:f>
        <x:v>0.00025587408</x:v>
      </x:c>
      <x:c r="Z57" s="11" t="n">
        <x:f>IF(COUNT('Turns'!F159)=1,SUM('Turns'!F159),"Unknown")</x:f>
        <x:v>0.000294</x:v>
      </x:c>
      <x:c r="AA57" s="33" t="n">
        <x:f>IF(ISNUMBER(Y57),ROUND(Y57*'Reference data'!$B$2,0),"Unknown")</x:f>
        <x:v>26</x:v>
      </x:c>
      <x:c r="AB57" s="33" t="n">
        <x:f>IF(ISNUMBER(Z57),ROUND(Z57*'Reference data'!$B$2,0),"Unknown")</x:f>
        <x:v>29</x:v>
      </x:c>
      <x:c r="AC57" s="2"/>
      <x:c r="AD57" s="43" t="n">
        <x:v>3.267072</x:v>
      </x:c>
      <x:c r="AE57" s="2" t="str">
        <x:v>Subtree total</x:v>
      </x:c>
    </x:row>
    <x:row r="58" ht="54" customHeight="1">
      <x:c r="A58" s="42" t="str">
        <x:v>                                CompactingDemoModel</x:v>
      </x:c>
      <x:c r="B58" s="20" t="n">
        <x:v>8</x:v>
      </x:c>
      <x:c r="C58" s="20" t="str">
        <x:v>model</x:v>
      </x:c>
      <x:c r="D58" s="20" t="str">
        <x:v>scripted-chat</x:v>
      </x:c>
      <x:c r="E58" s="20" t="str">
        <x:v>ok</x:v>
      </x:c>
      <x:c r="F58" s="39" t="n">
        <x:v>222</x:v>
      </x:c>
      <x:c r="G58" s="42" t="str">
        <x:v>Research within isolated subagent history.</x:v>
      </x:c>
      <x:c r="H58" s="20" t="str">
        <x:v>01a0c6fd-6df0-74b2-bb05-f6953e38d1c3</x:v>
      </x:c>
      <x:c r="I58" s="20" t="str">
        <x:v>01a0c6fd-6df0-74b2-bb05-f686105d816f</x:v>
      </x:c>
      <x:c r="J58" s="33" t="n">
        <x:f>IF(COUNT('Turns'!D151)=1,SUM('Turns'!D151),"Unknown")</x:f>
        <x:v>222</x:v>
      </x:c>
      <x:c r="K58" s="11" t="n">
        <x:f>IF(COUNT('Turns'!E151)=1,SUM('Turns'!E151),"Unknown")</x:f>
        <x:v>0.00003864220800000001</x:v>
      </x:c>
      <x:c r="L58" s="11" t="n">
        <x:f>IF(COUNT('Turns'!F151)=1,SUM('Turns'!F151),"Unknown")</x:f>
        <x:v>0.00004440000000000001</x:v>
      </x:c>
      <x:c r="M58" s="33" t="n">
        <x:f>IF(COUNT('Turns'!D150)=1,SUM('Turns'!D150),"Unknown")</x:f>
        <x:v>0</x:v>
      </x:c>
      <x:c r="N58" s="11" t="n">
        <x:f>IF(COUNT('Turns'!E150)=1,SUM('Turns'!E150),"Unknown")</x:f>
        <x:v>0</x:v>
      </x:c>
      <x:c r="O58" s="11" t="n">
        <x:f>IF(COUNT('Turns'!F150)=1,SUM('Turns'!F150),"Unknown")</x:f>
        <x:v>0</x:v>
      </x:c>
      <x:c r="P58" s="33" t="n">
        <x:v>0</x:v>
      </x:c>
      <x:c r="Q58" s="11" t="n">
        <x:v>0</x:v>
      </x:c>
      <x:c r="R58" s="11" t="n">
        <x:v>0</x:v>
      </x:c>
      <x:c r="S58" s="33" t="n">
        <x:f>IF(COUNT('Turns'!D155)=1,SUM('Turns'!D155),"Unknown")</x:f>
        <x:v>208</x:v>
      </x:c>
      <x:c r="T58" s="11" t="n">
        <x:f>IF(COUNT('Turns'!E155)=1,SUM('Turns'!E155),"Unknown")</x:f>
        <x:v>0.00021723187199999998</x:v>
      </x:c>
      <x:c r="U58" s="11" t="n">
        <x:f>IF(COUNT('Turns'!F155)=1,SUM('Turns'!F155),"Unknown")</x:f>
        <x:v>0.0002496</x:v>
      </x:c>
      <x:c r="V58" s="33" t="n">
        <x:v>0</x:v>
      </x:c>
      <x:c r="W58" s="11" t="n">
        <x:v>0</x:v>
      </x:c>
      <x:c r="X58" s="11" t="n">
        <x:v>0</x:v>
      </x:c>
      <x:c r="Y58" s="11" t="n">
        <x:f>IF(COUNT('Turns'!E159)=1,SUM('Turns'!E159),"Unknown")</x:f>
        <x:v>0.00025587408</x:v>
      </x:c>
      <x:c r="Z58" s="11" t="n">
        <x:f>IF(COUNT('Turns'!F159)=1,SUM('Turns'!F159),"Unknown")</x:f>
        <x:v>0.000294</x:v>
      </x:c>
      <x:c r="AA58" s="33" t="n">
        <x:f>IF(ISNUMBER(Y58),ROUND(Y58*'Reference data'!$B$2,0),"Unknown")</x:f>
        <x:v>26</x:v>
      </x:c>
      <x:c r="AB58" s="33" t="n">
        <x:f>IF(ISNUMBER(Z58),ROUND(Z58*'Reference data'!$B$2,0),"Unknown")</x:f>
        <x:v>29</x:v>
      </x:c>
      <x:c r="AC58" s="2" t="str">
        <x:v>R12</x:v>
      </x:c>
      <x:c r="AD58" s="43" t="n">
        <x:v>2.013184</x:v>
      </x:c>
      <x:c r="AE58" s="2" t="str">
        <x:v>Own call</x:v>
      </x:c>
    </x:row>
    <x:row r="59" ht="54" customHeight="1">
      <x:c r="A59" s="41" t="str">
        <x:v>                            tools</x:v>
      </x:c>
      <x:c r="B59" s="36" t="n">
        <x:v>7</x:v>
      </x:c>
      <x:c r="C59" s="36" t="str">
        <x:v>workflow</x:v>
      </x:c>
      <x:c r="D59" s="36" t="str"/>
      <x:c r="E59" s="36" t="str">
        <x:v>ok</x:v>
      </x:c>
      <x:c r="F59" s="38"/>
      <x:c r="G59" s="41" t="str">
        <x:v>Execute tool calls requested by the preceding model response and return their observations.</x:v>
      </x:c>
      <x:c r="H59" s="36" t="str">
        <x:v>01a0c6fd-6df4-7571-8f27-8a5ae0fcf792</x:v>
      </x:c>
      <x:c r="I59" s="36" t="str">
        <x:v>01a0c6fd-6dee-7360-8064-72764dedf044</x:v>
      </x:c>
      <x:c r="J59" s="33"/>
      <x:c r="K59" s="11"/>
      <x:c r="L59" s="11"/>
      <x:c r="M59" s="33"/>
      <x:c r="N59" s="11"/>
      <x:c r="O59" s="11"/>
      <x:c r="P59" s="33"/>
      <x:c r="Q59" s="11"/>
      <x:c r="R59" s="11"/>
      <x:c r="S59" s="33"/>
      <x:c r="T59" s="11"/>
      <x:c r="U59" s="11"/>
      <x:c r="V59" s="33"/>
      <x:c r="W59" s="11"/>
      <x:c r="X59" s="11"/>
      <x:c r="Y59" s="11"/>
      <x:c r="Z59" s="11"/>
      <x:c r="AA59" s="33"/>
      <x:c r="AB59" s="33"/>
      <x:c r="AC59" s="2"/>
      <x:c r="AD59" s="43" t="n">
        <x:v>1.5168</x:v>
      </x:c>
      <x:c r="AE59" s="2" t="str">
        <x:v>No model charge</x:v>
      </x:c>
    </x:row>
    <x:row r="60" ht="54" customHeight="1">
      <x:c r="A60" s="41" t="str">
        <x:v>                                workflow_reference</x:v>
      </x:c>
      <x:c r="B60" s="36" t="n">
        <x:v>8</x:v>
      </x:c>
      <x:c r="C60" s="36" t="str">
        <x:v>tool</x:v>
      </x:c>
      <x:c r="D60" s="36" t="str"/>
      <x:c r="E60" s="36" t="str">
        <x:v>ok</x:v>
      </x:c>
      <x:c r="F60" s="38"/>
      <x:c r="G60" s="41" t="str">
        <x:v>Return a fixed explanation from a small local agent-workflow reference.</x:v>
      </x:c>
      <x:c r="H60" s="36" t="str">
        <x:v>01a0c6fd-6df4-7571-8f27-8a6e7118ae0e</x:v>
      </x:c>
      <x:c r="I60" s="36" t="str">
        <x:v>01a0c6fd-6df4-7571-8f27-8a5ae0fcf792</x:v>
      </x:c>
      <x:c r="J60" s="33"/>
      <x:c r="K60" s="11"/>
      <x:c r="L60" s="11"/>
      <x:c r="M60" s="33"/>
      <x:c r="N60" s="11"/>
      <x:c r="O60" s="11"/>
      <x:c r="P60" s="33"/>
      <x:c r="Q60" s="11"/>
      <x:c r="R60" s="11"/>
      <x:c r="S60" s="33"/>
      <x:c r="T60" s="11"/>
      <x:c r="U60" s="11"/>
      <x:c r="V60" s="33"/>
      <x:c r="W60" s="11"/>
      <x:c r="X60" s="11"/>
      <x:c r="Y60" s="11"/>
      <x:c r="Z60" s="11"/>
      <x:c r="AA60" s="33"/>
      <x:c r="AB60" s="33"/>
      <x:c r="AC60" s="2"/>
      <x:c r="AD60" s="43" t="n">
        <x:v>0.441856</x:v>
      </x:c>
      <x:c r="AE60" s="2" t="str">
        <x:v>No model charge</x:v>
      </x:c>
    </x:row>
    <x:row r="61" ht="54" customHeight="1">
      <x:c r="A61" s="41" t="str">
        <x:v>                            SummarizationMiddleware.before_model</x:v>
      </x:c>
      <x:c r="B61" s="36" t="n">
        <x:v>7</x:v>
      </x:c>
      <x:c r="C61" s="36" t="str">
        <x:v>workflow</x:v>
      </x:c>
      <x:c r="D61" s="36" t="str"/>
      <x:c r="E61" s="36" t="str">
        <x:v>ok</x:v>
      </x:c>
      <x:c r="F61" s="38"/>
      <x:c r="G61" s="41" t="str">
        <x:v>Execute the SummarizationMiddleware.before_model workflow operation and pass its result to the next graph step.</x:v>
      </x:c>
      <x:c r="H61" s="36" t="str">
        <x:v>01a0c6fd-6df6-77e1-84bd-7fc35b64d190</x:v>
      </x:c>
      <x:c r="I61" s="36" t="str">
        <x:v>01a0c6fd-6dee-7360-8064-72764dedf044</x:v>
      </x:c>
      <x:c r="J61" s="33" t="n">
        <x:f>IF(COUNT('Turns'!D165)=1,SUM('Turns'!D165),"Unknown")</x:f>
        <x:v>624</x:v>
      </x:c>
      <x:c r="K61" s="11" t="n">
        <x:f>IF(COUNT('Turns'!E165)=1,SUM('Turns'!E165),"Unknown")</x:f>
        <x:v>0.00010861593600000002</x:v>
      </x:c>
      <x:c r="L61" s="11" t="n">
        <x:f>IF(COUNT('Turns'!F165)=1,SUM('Turns'!F165),"Unknown")</x:f>
        <x:v>0.00012480000000000002</x:v>
      </x:c>
      <x:c r="M61" s="33" t="n">
        <x:f>IF(COUNT('Turns'!D164)=1,SUM('Turns'!D164),"Unknown")</x:f>
        <x:v>0</x:v>
      </x:c>
      <x:c r="N61" s="11" t="n">
        <x:f>IF(COUNT('Turns'!E164)=1,SUM('Turns'!E164),"Unknown")</x:f>
        <x:v>0</x:v>
      </x:c>
      <x:c r="O61" s="11" t="n">
        <x:f>IF(COUNT('Turns'!F164)=1,SUM('Turns'!F164),"Unknown")</x:f>
        <x:v>0</x:v>
      </x:c>
      <x:c r="P61" s="33" t="n">
        <x:v>0</x:v>
      </x:c>
      <x:c r="Q61" s="11" t="n">
        <x:v>0</x:v>
      </x:c>
      <x:c r="R61" s="11" t="n">
        <x:v>0</x:v>
      </x:c>
      <x:c r="S61" s="33" t="n">
        <x:f>IF(COUNT('Turns'!D169)=1,SUM('Turns'!D169),"Unknown")</x:f>
        <x:v>46</x:v>
      </x:c>
      <x:c r="T61" s="11" t="n">
        <x:f>IF(COUNT('Turns'!E169)=1,SUM('Turns'!E169),"Unknown")</x:f>
        <x:v>0.00004804166399999999</x:v>
      </x:c>
      <x:c r="U61" s="11" t="n">
        <x:f>IF(COUNT('Turns'!F169)=1,SUM('Turns'!F169),"Unknown")</x:f>
        <x:v>0.00005519999999999999</x:v>
      </x:c>
      <x:c r="V61" s="33" t="n">
        <x:v>0</x:v>
      </x:c>
      <x:c r="W61" s="11" t="n">
        <x:v>0</x:v>
      </x:c>
      <x:c r="X61" s="11" t="n">
        <x:v>0</x:v>
      </x:c>
      <x:c r="Y61" s="11" t="n">
        <x:f>IF(COUNT('Turns'!E173)=1,SUM('Turns'!E173),"Unknown")</x:f>
        <x:v>0.0001566576</x:v>
      </x:c>
      <x:c r="Z61" s="11" t="n">
        <x:f>IF(COUNT('Turns'!F173)=1,SUM('Turns'!F173),"Unknown")</x:f>
        <x:v>0.00018</x:v>
      </x:c>
      <x:c r="AA61" s="33" t="n">
        <x:f>IF(ISNUMBER(Y61),ROUND(Y61*'Reference data'!$B$2,0),"Unknown")</x:f>
        <x:v>16</x:v>
      </x:c>
      <x:c r="AB61" s="33" t="n">
        <x:f>IF(ISNUMBER(Z61),ROUND(Z61*'Reference data'!$B$2,0),"Unknown")</x:f>
        <x:v>18</x:v>
      </x:c>
      <x:c r="AC61" s="2"/>
      <x:c r="AD61" s="43" t="n">
        <x:v>2.680832</x:v>
      </x:c>
      <x:c r="AE61" s="2" t="str">
        <x:v>Subtree total</x:v>
      </x:c>
    </x:row>
    <x:row r="62" ht="54" customHeight="1">
      <x:c r="A62" s="41" t="str">
        <x:v>                                CompactingDemoModel</x:v>
      </x:c>
      <x:c r="B62" s="36" t="n">
        <x:v>8</x:v>
      </x:c>
      <x:c r="C62" s="36" t="str">
        <x:v>workflow</x:v>
      </x:c>
      <x:c r="D62" s="36" t="str"/>
      <x:c r="E62" s="36" t="str">
        <x:v>ok</x:v>
      </x:c>
      <x:c r="F62" s="38"/>
      <x:c r="G62" s="41" t="str">
        <x:v>Execute the CompactingDemoModel workflow operation and pass its result to the next graph step.</x:v>
      </x:c>
      <x:c r="H62" s="36" t="str">
        <x:v>01a0c6fd-6df6-77e1-84bd-7fd7e52df8bf</x:v>
      </x:c>
      <x:c r="I62" s="36" t="str">
        <x:v>01a0c6fd-6df6-77e1-84bd-7fc35b64d190</x:v>
      </x:c>
      <x:c r="J62" s="33" t="n">
        <x:f>IF(COUNT('Turns'!D165)=1,SUM('Turns'!D165),"Unknown")</x:f>
        <x:v>624</x:v>
      </x:c>
      <x:c r="K62" s="11" t="n">
        <x:f>IF(COUNT('Turns'!E165)=1,SUM('Turns'!E165),"Unknown")</x:f>
        <x:v>0.00010861593600000002</x:v>
      </x:c>
      <x:c r="L62" s="11" t="n">
        <x:f>IF(COUNT('Turns'!F165)=1,SUM('Turns'!F165),"Unknown")</x:f>
        <x:v>0.00012480000000000002</x:v>
      </x:c>
      <x:c r="M62" s="33" t="n">
        <x:f>IF(COUNT('Turns'!D164)=1,SUM('Turns'!D164),"Unknown")</x:f>
        <x:v>0</x:v>
      </x:c>
      <x:c r="N62" s="11" t="n">
        <x:f>IF(COUNT('Turns'!E164)=1,SUM('Turns'!E164),"Unknown")</x:f>
        <x:v>0</x:v>
      </x:c>
      <x:c r="O62" s="11" t="n">
        <x:f>IF(COUNT('Turns'!F164)=1,SUM('Turns'!F164),"Unknown")</x:f>
        <x:v>0</x:v>
      </x:c>
      <x:c r="P62" s="33" t="n">
        <x:v>0</x:v>
      </x:c>
      <x:c r="Q62" s="11" t="n">
        <x:v>0</x:v>
      </x:c>
      <x:c r="R62" s="11" t="n">
        <x:v>0</x:v>
      </x:c>
      <x:c r="S62" s="33" t="n">
        <x:f>IF(COUNT('Turns'!D169)=1,SUM('Turns'!D169),"Unknown")</x:f>
        <x:v>46</x:v>
      </x:c>
      <x:c r="T62" s="11" t="n">
        <x:f>IF(COUNT('Turns'!E169)=1,SUM('Turns'!E169),"Unknown")</x:f>
        <x:v>0.00004804166399999999</x:v>
      </x:c>
      <x:c r="U62" s="11" t="n">
        <x:f>IF(COUNT('Turns'!F169)=1,SUM('Turns'!F169),"Unknown")</x:f>
        <x:v>0.00005519999999999999</x:v>
      </x:c>
      <x:c r="V62" s="33" t="n">
        <x:v>0</x:v>
      </x:c>
      <x:c r="W62" s="11" t="n">
        <x:v>0</x:v>
      </x:c>
      <x:c r="X62" s="11" t="n">
        <x:v>0</x:v>
      </x:c>
      <x:c r="Y62" s="11" t="n">
        <x:f>IF(COUNT('Turns'!E173)=1,SUM('Turns'!E173),"Unknown")</x:f>
        <x:v>0.0001566576</x:v>
      </x:c>
      <x:c r="Z62" s="11" t="n">
        <x:f>IF(COUNT('Turns'!F173)=1,SUM('Turns'!F173),"Unknown")</x:f>
        <x:v>0.00018</x:v>
      </x:c>
      <x:c r="AA62" s="33" t="n">
        <x:f>IF(ISNUMBER(Y62),ROUND(Y62*'Reference data'!$B$2,0),"Unknown")</x:f>
        <x:v>16</x:v>
      </x:c>
      <x:c r="AB62" s="33" t="n">
        <x:f>IF(ISNUMBER(Z62),ROUND(Z62*'Reference data'!$B$2,0),"Unknown")</x:f>
        <x:v>18</x:v>
      </x:c>
      <x:c r="AC62" s="2"/>
      <x:c r="AD62" s="43" t="n">
        <x:v>2.028032</x:v>
      </x:c>
      <x:c r="AE62" s="2" t="str">
        <x:v>Subtree total</x:v>
      </x:c>
    </x:row>
    <x:row r="63" ht="54" customHeight="1">
      <x:c r="A63" s="42" t="str">
        <x:v>                                    CompactingDemoModel</x:v>
      </x:c>
      <x:c r="B63" s="20" t="n">
        <x:v>9</x:v>
      </x:c>
      <x:c r="C63" s="20" t="str">
        <x:v>model</x:v>
      </x:c>
      <x:c r="D63" s="20" t="str">
        <x:v>scripted-chat</x:v>
      </x:c>
      <x:c r="E63" s="20" t="str">
        <x:v>ok</x:v>
      </x:c>
      <x:c r="F63" s="39" t="n">
        <x:v>624</x:v>
      </x:c>
      <x:c r="G63" s="42" t="str">
        <x:v>Summarize isolated subagent history.</x:v>
      </x:c>
      <x:c r="H63" s="20" t="str">
        <x:v>01a0c6fd-6df6-77e1-84bd-7fe8abeb8f7d</x:v>
      </x:c>
      <x:c r="I63" s="20" t="str">
        <x:v>01a0c6fd-6df6-77e1-84bd-7fd7e52df8bf</x:v>
      </x:c>
      <x:c r="J63" s="33" t="n">
        <x:f>IF(COUNT('Turns'!D165)=1,SUM('Turns'!D165),"Unknown")</x:f>
        <x:v>624</x:v>
      </x:c>
      <x:c r="K63" s="11" t="n">
        <x:f>IF(COUNT('Turns'!E165)=1,SUM('Turns'!E165),"Unknown")</x:f>
        <x:v>0.00010861593600000002</x:v>
      </x:c>
      <x:c r="L63" s="11" t="n">
        <x:f>IF(COUNT('Turns'!F165)=1,SUM('Turns'!F165),"Unknown")</x:f>
        <x:v>0.00012480000000000002</x:v>
      </x:c>
      <x:c r="M63" s="33" t="n">
        <x:f>IF(COUNT('Turns'!D164)=1,SUM('Turns'!D164),"Unknown")</x:f>
        <x:v>0</x:v>
      </x:c>
      <x:c r="N63" s="11" t="n">
        <x:f>IF(COUNT('Turns'!E164)=1,SUM('Turns'!E164),"Unknown")</x:f>
        <x:v>0</x:v>
      </x:c>
      <x:c r="O63" s="11" t="n">
        <x:f>IF(COUNT('Turns'!F164)=1,SUM('Turns'!F164),"Unknown")</x:f>
        <x:v>0</x:v>
      </x:c>
      <x:c r="P63" s="33" t="n">
        <x:v>0</x:v>
      </x:c>
      <x:c r="Q63" s="11" t="n">
        <x:v>0</x:v>
      </x:c>
      <x:c r="R63" s="11" t="n">
        <x:v>0</x:v>
      </x:c>
      <x:c r="S63" s="33" t="n">
        <x:f>IF(COUNT('Turns'!D169)=1,SUM('Turns'!D169),"Unknown")</x:f>
        <x:v>46</x:v>
      </x:c>
      <x:c r="T63" s="11" t="n">
        <x:f>IF(COUNT('Turns'!E169)=1,SUM('Turns'!E169),"Unknown")</x:f>
        <x:v>0.00004804166399999999</x:v>
      </x:c>
      <x:c r="U63" s="11" t="n">
        <x:f>IF(COUNT('Turns'!F169)=1,SUM('Turns'!F169),"Unknown")</x:f>
        <x:v>0.00005519999999999999</x:v>
      </x:c>
      <x:c r="V63" s="33" t="n">
        <x:v>0</x:v>
      </x:c>
      <x:c r="W63" s="11" t="n">
        <x:v>0</x:v>
      </x:c>
      <x:c r="X63" s="11" t="n">
        <x:v>0</x:v>
      </x:c>
      <x:c r="Y63" s="11" t="n">
        <x:f>IF(COUNT('Turns'!E173)=1,SUM('Turns'!E173),"Unknown")</x:f>
        <x:v>0.0001566576</x:v>
      </x:c>
      <x:c r="Z63" s="11" t="n">
        <x:f>IF(COUNT('Turns'!F173)=1,SUM('Turns'!F173),"Unknown")</x:f>
        <x:v>0.00018</x:v>
      </x:c>
      <x:c r="AA63" s="33" t="n">
        <x:f>IF(ISNUMBER(Y63),ROUND(Y63*'Reference data'!$B$2,0),"Unknown")</x:f>
        <x:v>16</x:v>
      </x:c>
      <x:c r="AB63" s="33" t="n">
        <x:f>IF(ISNUMBER(Z63),ROUND(Z63*'Reference data'!$B$2,0),"Unknown")</x:f>
        <x:v>18</x:v>
      </x:c>
      <x:c r="AC63" s="2" t="str">
        <x:v>R13</x:v>
      </x:c>
      <x:c r="AD63" s="43" t="n">
        <x:v>1.255936</x:v>
      </x:c>
      <x:c r="AE63" s="2" t="str">
        <x:v>Own call</x:v>
      </x:c>
    </x:row>
    <x:row r="64" ht="54" customHeight="1">
      <x:c r="A64" s="41" t="str">
        <x:v>                            model</x:v>
      </x:c>
      <x:c r="B64" s="36" t="n">
        <x:v>7</x:v>
      </x:c>
      <x:c r="C64" s="36" t="str">
        <x:v>workflow</x:v>
      </x:c>
      <x:c r="D64" s="36" t="str"/>
      <x:c r="E64" s="36" t="str">
        <x:v>ok</x:v>
      </x:c>
      <x:c r="F64" s="38"/>
      <x:c r="G64" s="41" t="str">
        <x:v>Prepare the current conversation, run model middleware, and invoke the chat model.</x:v>
      </x:c>
      <x:c r="H64" s="36" t="str">
        <x:v>01a0c6fd-6df9-72e3-b7f6-f2c34a41d733</x:v>
      </x:c>
      <x:c r="I64" s="36" t="str">
        <x:v>01a0c6fd-6dee-7360-8064-72764dedf044</x:v>
      </x:c>
      <x:c r="J64" s="33" t="n">
        <x:f>IF(COUNT('Turns'!D176)=1,SUM('Turns'!D176),"Unknown")</x:f>
        <x:v>638</x:v>
      </x:c>
      <x:c r="K64" s="11" t="n">
        <x:f>IF(COUNT('Turns'!E176)=1,SUM('Turns'!E176),"Unknown")</x:f>
        <x:v>0.000111052832</x:v>
      </x:c>
      <x:c r="L64" s="11" t="n">
        <x:f>IF(COUNT('Turns'!F176)=1,SUM('Turns'!F176),"Unknown")</x:f>
        <x:v>0.0001276</x:v>
      </x:c>
      <x:c r="M64" s="33" t="n">
        <x:f>IF(COUNT('Turns'!D175)=1,SUM('Turns'!D175),"Unknown")</x:f>
        <x:v>0</x:v>
      </x:c>
      <x:c r="N64" s="11" t="n">
        <x:f>IF(COUNT('Turns'!E175)=1,SUM('Turns'!E175),"Unknown")</x:f>
        <x:v>0</x:v>
      </x:c>
      <x:c r="O64" s="11" t="n">
        <x:f>IF(COUNT('Turns'!F175)=1,SUM('Turns'!F175),"Unknown")</x:f>
        <x:v>0</x:v>
      </x:c>
      <x:c r="P64" s="33" t="n">
        <x:v>0</x:v>
      </x:c>
      <x:c r="Q64" s="11" t="n">
        <x:v>0</x:v>
      </x:c>
      <x:c r="R64" s="11" t="n">
        <x:v>0</x:v>
      </x:c>
      <x:c r="S64" s="33" t="n">
        <x:f>IF(COUNT('Turns'!D181)=1,SUM('Turns'!D181),"Unknown")</x:f>
        <x:v>73</x:v>
      </x:c>
      <x:c r="T64" s="11" t="n">
        <x:f>IF(COUNT('Turns'!E181)=1,SUM('Turns'!E181),"Unknown")</x:f>
        <x:v>0.00007624003199999998</x:v>
      </x:c>
      <x:c r="U64" s="11" t="n">
        <x:f>IF(COUNT('Turns'!F181)=1,SUM('Turns'!F181),"Unknown")</x:f>
        <x:v>0.00008759999999999999</x:v>
      </x:c>
      <x:c r="V64" s="33" t="n">
        <x:v>0</x:v>
      </x:c>
      <x:c r="W64" s="11" t="n">
        <x:v>0</x:v>
      </x:c>
      <x:c r="X64" s="11" t="n">
        <x:v>0</x:v>
      </x:c>
      <x:c r="Y64" s="11" t="n">
        <x:f>IF(COUNT('Turns'!E185)=1,SUM('Turns'!E185),"Unknown")</x:f>
        <x:v>0.000187292864</x:v>
      </x:c>
      <x:c r="Z64" s="11" t="n">
        <x:f>IF(COUNT('Turns'!F185)=1,SUM('Turns'!F185),"Unknown")</x:f>
        <x:v>0.0002152</x:v>
      </x:c>
      <x:c r="AA64" s="33" t="n">
        <x:f>IF(ISNUMBER(Y64),ROUND(Y64*'Reference data'!$B$2,0),"Unknown")</x:f>
        <x:v>19</x:v>
      </x:c>
      <x:c r="AB64" s="33" t="n">
        <x:f>IF(ISNUMBER(Z64),ROUND(Z64*'Reference data'!$B$2,0),"Unknown")</x:f>
        <x:v>22</x:v>
      </x:c>
      <x:c r="AC64" s="2"/>
      <x:c r="AD64" s="43" t="n">
        <x:v>2.867968</x:v>
      </x:c>
      <x:c r="AE64" s="2" t="str">
        <x:v>Subtree total</x:v>
      </x:c>
    </x:row>
    <x:row r="65" ht="54" customHeight="1">
      <x:c r="A65" s="42" t="str">
        <x:v>                                CompactingDemoModel</x:v>
      </x:c>
      <x:c r="B65" s="20" t="n">
        <x:v>8</x:v>
      </x:c>
      <x:c r="C65" s="20" t="str">
        <x:v>model</x:v>
      </x:c>
      <x:c r="D65" s="20" t="str">
        <x:v>scripted-chat</x:v>
      </x:c>
      <x:c r="E65" s="20" t="str">
        <x:v>ok</x:v>
      </x:c>
      <x:c r="F65" s="39" t="n">
        <x:v>638</x:v>
      </x:c>
      <x:c r="G65" s="42" t="str">
        <x:v>Research within isolated subagent history.</x:v>
      </x:c>
      <x:c r="H65" s="20" t="str">
        <x:v>01a0c6fd-6df9-72e3-b7f6-f2d07886da47</x:v>
      </x:c>
      <x:c r="I65" s="20" t="str">
        <x:v>01a0c6fd-6df9-72e3-b7f6-f2c34a41d733</x:v>
      </x:c>
      <x:c r="J65" s="33" t="n">
        <x:f>IF(COUNT('Turns'!D176)=1,SUM('Turns'!D176),"Unknown")</x:f>
        <x:v>638</x:v>
      </x:c>
      <x:c r="K65" s="11" t="n">
        <x:f>IF(COUNT('Turns'!E176)=1,SUM('Turns'!E176),"Unknown")</x:f>
        <x:v>0.000111052832</x:v>
      </x:c>
      <x:c r="L65" s="11" t="n">
        <x:f>IF(COUNT('Turns'!F176)=1,SUM('Turns'!F176),"Unknown")</x:f>
        <x:v>0.0001276</x:v>
      </x:c>
      <x:c r="M65" s="33" t="n">
        <x:f>IF(COUNT('Turns'!D175)=1,SUM('Turns'!D175),"Unknown")</x:f>
        <x:v>0</x:v>
      </x:c>
      <x:c r="N65" s="11" t="n">
        <x:f>IF(COUNT('Turns'!E175)=1,SUM('Turns'!E175),"Unknown")</x:f>
        <x:v>0</x:v>
      </x:c>
      <x:c r="O65" s="11" t="n">
        <x:f>IF(COUNT('Turns'!F175)=1,SUM('Turns'!F175),"Unknown")</x:f>
        <x:v>0</x:v>
      </x:c>
      <x:c r="P65" s="33" t="n">
        <x:v>0</x:v>
      </x:c>
      <x:c r="Q65" s="11" t="n">
        <x:v>0</x:v>
      </x:c>
      <x:c r="R65" s="11" t="n">
        <x:v>0</x:v>
      </x:c>
      <x:c r="S65" s="33" t="n">
        <x:f>IF(COUNT('Turns'!D181)=1,SUM('Turns'!D181),"Unknown")</x:f>
        <x:v>73</x:v>
      </x:c>
      <x:c r="T65" s="11" t="n">
        <x:f>IF(COUNT('Turns'!E181)=1,SUM('Turns'!E181),"Unknown")</x:f>
        <x:v>0.00007624003199999998</x:v>
      </x:c>
      <x:c r="U65" s="11" t="n">
        <x:f>IF(COUNT('Turns'!F181)=1,SUM('Turns'!F181),"Unknown")</x:f>
        <x:v>0.00008759999999999999</x:v>
      </x:c>
      <x:c r="V65" s="33" t="n">
        <x:v>0</x:v>
      </x:c>
      <x:c r="W65" s="11" t="n">
        <x:v>0</x:v>
      </x:c>
      <x:c r="X65" s="11" t="n">
        <x:v>0</x:v>
      </x:c>
      <x:c r="Y65" s="11" t="n">
        <x:f>IF(COUNT('Turns'!E185)=1,SUM('Turns'!E185),"Unknown")</x:f>
        <x:v>0.000187292864</x:v>
      </x:c>
      <x:c r="Z65" s="11" t="n">
        <x:f>IF(COUNT('Turns'!F185)=1,SUM('Turns'!F185),"Unknown")</x:f>
        <x:v>0.0002152</x:v>
      </x:c>
      <x:c r="AA65" s="33" t="n">
        <x:f>IF(ISNUMBER(Y65),ROUND(Y65*'Reference data'!$B$2,0),"Unknown")</x:f>
        <x:v>19</x:v>
      </x:c>
      <x:c r="AB65" s="33" t="n">
        <x:f>IF(ISNUMBER(Z65),ROUND(Z65*'Reference data'!$B$2,0),"Unknown")</x:f>
        <x:v>22</x:v>
      </x:c>
      <x:c r="AC65" s="2" t="str">
        <x:v>R14</x:v>
      </x:c>
      <x:c r="AD65" s="43" t="n">
        <x:v>1.787904</x:v>
      </x:c>
      <x:c r="AE65" s="2" t="str">
        <x:v>Own call</x:v>
      </x:c>
    </x:row>
    <x:row r="66" ht="54" customHeight="1">
      <x:c r="A66" s="41" t="str">
        <x:v>                            tools</x:v>
      </x:c>
      <x:c r="B66" s="36" t="n">
        <x:v>7</x:v>
      </x:c>
      <x:c r="C66" s="36" t="str">
        <x:v>workflow</x:v>
      </x:c>
      <x:c r="D66" s="36" t="str"/>
      <x:c r="E66" s="36" t="str">
        <x:v>ok</x:v>
      </x:c>
      <x:c r="F66" s="38"/>
      <x:c r="G66" s="41" t="str">
        <x:v>Execute tool calls requested by the preceding model response and return their observations.</x:v>
      </x:c>
      <x:c r="H66" s="36" t="str">
        <x:v>01a0c6fd-6dfc-7883-a799-ccb1357cc1a2</x:v>
      </x:c>
      <x:c r="I66" s="36" t="str">
        <x:v>01a0c6fd-6dee-7360-8064-72764dedf044</x:v>
      </x:c>
      <x:c r="J66" s="33"/>
      <x:c r="K66" s="11"/>
      <x:c r="L66" s="11"/>
      <x:c r="M66" s="33"/>
      <x:c r="N66" s="11"/>
      <x:c r="O66" s="11"/>
      <x:c r="P66" s="33"/>
      <x:c r="Q66" s="11"/>
      <x:c r="R66" s="11"/>
      <x:c r="S66" s="33"/>
      <x:c r="T66" s="11"/>
      <x:c r="U66" s="11"/>
      <x:c r="V66" s="33"/>
      <x:c r="W66" s="11"/>
      <x:c r="X66" s="11"/>
      <x:c r="Y66" s="11"/>
      <x:c r="Z66" s="11"/>
      <x:c r="AA66" s="33"/>
      <x:c r="AB66" s="33"/>
      <x:c r="AC66" s="2"/>
      <x:c r="AD66" s="43" t="n">
        <x:v>1.654016</x:v>
      </x:c>
      <x:c r="AE66" s="2" t="str">
        <x:v>No model charge</x:v>
      </x:c>
    </x:row>
    <x:row r="67" ht="54" customHeight="1">
      <x:c r="A67" s="41" t="str">
        <x:v>                                workflow_reference</x:v>
      </x:c>
      <x:c r="B67" s="36" t="n">
        <x:v>8</x:v>
      </x:c>
      <x:c r="C67" s="36" t="str">
        <x:v>tool</x:v>
      </x:c>
      <x:c r="D67" s="36" t="str"/>
      <x:c r="E67" s="36" t="str">
        <x:v>ok</x:v>
      </x:c>
      <x:c r="F67" s="38"/>
      <x:c r="G67" s="41" t="str">
        <x:v>Return a fixed explanation from a small local agent-workflow reference.</x:v>
      </x:c>
      <x:c r="H67" s="36" t="str">
        <x:v>01a0c6fd-6dfd-78c2-b17c-13645f49ac38</x:v>
      </x:c>
      <x:c r="I67" s="36" t="str">
        <x:v>01a0c6fd-6dfc-7883-a799-ccb1357cc1a2</x:v>
      </x:c>
      <x:c r="J67" s="33"/>
      <x:c r="K67" s="11"/>
      <x:c r="L67" s="11"/>
      <x:c r="M67" s="33"/>
      <x:c r="N67" s="11"/>
      <x:c r="O67" s="11"/>
      <x:c r="P67" s="33"/>
      <x:c r="Q67" s="11"/>
      <x:c r="R67" s="11"/>
      <x:c r="S67" s="33"/>
      <x:c r="T67" s="11"/>
      <x:c r="U67" s="11"/>
      <x:c r="V67" s="33"/>
      <x:c r="W67" s="11"/>
      <x:c r="X67" s="11"/>
      <x:c r="Y67" s="11"/>
      <x:c r="Z67" s="11"/>
      <x:c r="AA67" s="33"/>
      <x:c r="AB67" s="33"/>
      <x:c r="AC67" s="2"/>
      <x:c r="AD67" s="43" t="n">
        <x:v>0.478976</x:v>
      </x:c>
      <x:c r="AE67" s="2" t="str">
        <x:v>No model charge</x:v>
      </x:c>
    </x:row>
    <x:row r="68" ht="54" customHeight="1">
      <x:c r="A68" s="41" t="str">
        <x:v>                            SummarizationMiddleware.before_model</x:v>
      </x:c>
      <x:c r="B68" s="36" t="n">
        <x:v>7</x:v>
      </x:c>
      <x:c r="C68" s="36" t="str">
        <x:v>workflow</x:v>
      </x:c>
      <x:c r="D68" s="36" t="str"/>
      <x:c r="E68" s="36" t="str">
        <x:v>ok</x:v>
      </x:c>
      <x:c r="F68" s="38"/>
      <x:c r="G68" s="41" t="str">
        <x:v>Execute the SummarizationMiddleware.before_model workflow operation and pass its result to the next graph step.</x:v>
      </x:c>
      <x:c r="H68" s="36" t="str">
        <x:v>01a0c6fd-6dfe-7e12-98c2-c407d5e8d506</x:v>
      </x:c>
      <x:c r="I68" s="36" t="str">
        <x:v>01a0c6fd-6dee-7360-8064-72764dedf044</x:v>
      </x:c>
      <x:c r="J68" s="33" t="n">
        <x:f>IF(COUNT('Turns'!D191)=1,SUM('Turns'!D191),"Unknown")</x:f>
        <x:v>1007</x:v>
      </x:c>
      <x:c r="K68" s="11" t="n">
        <x:f>IF(COUNT('Turns'!E191)=1,SUM('Turns'!E191),"Unknown")</x:f>
        <x:v>0.00017528244800000002</x:v>
      </x:c>
      <x:c r="L68" s="11" t="n">
        <x:f>IF(COUNT('Turns'!F191)=1,SUM('Turns'!F191),"Unknown")</x:f>
        <x:v>0.00020140000000000002</x:v>
      </x:c>
      <x:c r="M68" s="33" t="n">
        <x:f>IF(COUNT('Turns'!D190)=1,SUM('Turns'!D190),"Unknown")</x:f>
        <x:v>0</x:v>
      </x:c>
      <x:c r="N68" s="11" t="n">
        <x:f>IF(COUNT('Turns'!E190)=1,SUM('Turns'!E190),"Unknown")</x:f>
        <x:v>0</x:v>
      </x:c>
      <x:c r="O68" s="11" t="n">
        <x:f>IF(COUNT('Turns'!F190)=1,SUM('Turns'!F190),"Unknown")</x:f>
        <x:v>0</x:v>
      </x:c>
      <x:c r="P68" s="33" t="n">
        <x:v>0</x:v>
      </x:c>
      <x:c r="Q68" s="11" t="n">
        <x:v>0</x:v>
      </x:c>
      <x:c r="R68" s="11" t="n">
        <x:v>0</x:v>
      </x:c>
      <x:c r="S68" s="33" t="n">
        <x:f>IF(COUNT('Turns'!D195)=1,SUM('Turns'!D195),"Unknown")</x:f>
        <x:v>46</x:v>
      </x:c>
      <x:c r="T68" s="11" t="n">
        <x:f>IF(COUNT('Turns'!E195)=1,SUM('Turns'!E195),"Unknown")</x:f>
        <x:v>0.00004804166399999999</x:v>
      </x:c>
      <x:c r="U68" s="11" t="n">
        <x:f>IF(COUNT('Turns'!F195)=1,SUM('Turns'!F195),"Unknown")</x:f>
        <x:v>0.00005519999999999999</x:v>
      </x:c>
      <x:c r="V68" s="33" t="n">
        <x:v>0</x:v>
      </x:c>
      <x:c r="W68" s="11" t="n">
        <x:v>0</x:v>
      </x:c>
      <x:c r="X68" s="11" t="n">
        <x:v>0</x:v>
      </x:c>
      <x:c r="Y68" s="11" t="n">
        <x:f>IF(COUNT('Turns'!E199)=1,SUM('Turns'!E199),"Unknown")</x:f>
        <x:v>0.00022332411200000002</x:v>
      </x:c>
      <x:c r="Z68" s="11" t="n">
        <x:f>IF(COUNT('Turns'!F199)=1,SUM('Turns'!F199),"Unknown")</x:f>
        <x:v>0.0002566</x:v>
      </x:c>
      <x:c r="AA68" s="33" t="n">
        <x:f>IF(ISNUMBER(Y68),ROUND(Y68*'Reference data'!$B$2,0),"Unknown")</x:f>
        <x:v>22</x:v>
      </x:c>
      <x:c r="AB68" s="33" t="n">
        <x:f>IF(ISNUMBER(Z68),ROUND(Z68*'Reference data'!$B$2,0),"Unknown")</x:f>
        <x:v>26</x:v>
      </x:c>
      <x:c r="AC68" s="2"/>
      <x:c r="AD68" s="43" t="n">
        <x:v>2.973952</x:v>
      </x:c>
      <x:c r="AE68" s="2" t="str">
        <x:v>Subtree total</x:v>
      </x:c>
    </x:row>
    <x:row r="69" ht="54" customHeight="1">
      <x:c r="A69" s="41" t="str">
        <x:v>                                CompactingDemoModel</x:v>
      </x:c>
      <x:c r="B69" s="36" t="n">
        <x:v>8</x:v>
      </x:c>
      <x:c r="C69" s="36" t="str">
        <x:v>workflow</x:v>
      </x:c>
      <x:c r="D69" s="36" t="str"/>
      <x:c r="E69" s="36" t="str">
        <x:v>ok</x:v>
      </x:c>
      <x:c r="F69" s="38"/>
      <x:c r="G69" s="41" t="str">
        <x:v>Execute the CompactingDemoModel workflow operation and pass its result to the next graph step.</x:v>
      </x:c>
      <x:c r="H69" s="36" t="str">
        <x:v>01a0c6fd-6dff-7c50-b2cd-47267ed14c80</x:v>
      </x:c>
      <x:c r="I69" s="36" t="str">
        <x:v>01a0c6fd-6dfe-7e12-98c2-c407d5e8d506</x:v>
      </x:c>
      <x:c r="J69" s="33" t="n">
        <x:f>IF(COUNT('Turns'!D191)=1,SUM('Turns'!D191),"Unknown")</x:f>
        <x:v>1007</x:v>
      </x:c>
      <x:c r="K69" s="11" t="n">
        <x:f>IF(COUNT('Turns'!E191)=1,SUM('Turns'!E191),"Unknown")</x:f>
        <x:v>0.00017528244800000002</x:v>
      </x:c>
      <x:c r="L69" s="11" t="n">
        <x:f>IF(COUNT('Turns'!F191)=1,SUM('Turns'!F191),"Unknown")</x:f>
        <x:v>0.00020140000000000002</x:v>
      </x:c>
      <x:c r="M69" s="33" t="n">
        <x:f>IF(COUNT('Turns'!D190)=1,SUM('Turns'!D190),"Unknown")</x:f>
        <x:v>0</x:v>
      </x:c>
      <x:c r="N69" s="11" t="n">
        <x:f>IF(COUNT('Turns'!E190)=1,SUM('Turns'!E190),"Unknown")</x:f>
        <x:v>0</x:v>
      </x:c>
      <x:c r="O69" s="11" t="n">
        <x:f>IF(COUNT('Turns'!F190)=1,SUM('Turns'!F190),"Unknown")</x:f>
        <x:v>0</x:v>
      </x:c>
      <x:c r="P69" s="33" t="n">
        <x:v>0</x:v>
      </x:c>
      <x:c r="Q69" s="11" t="n">
        <x:v>0</x:v>
      </x:c>
      <x:c r="R69" s="11" t="n">
        <x:v>0</x:v>
      </x:c>
      <x:c r="S69" s="33" t="n">
        <x:f>IF(COUNT('Turns'!D195)=1,SUM('Turns'!D195),"Unknown")</x:f>
        <x:v>46</x:v>
      </x:c>
      <x:c r="T69" s="11" t="n">
        <x:f>IF(COUNT('Turns'!E195)=1,SUM('Turns'!E195),"Unknown")</x:f>
        <x:v>0.00004804166399999999</x:v>
      </x:c>
      <x:c r="U69" s="11" t="n">
        <x:f>IF(COUNT('Turns'!F195)=1,SUM('Turns'!F195),"Unknown")</x:f>
        <x:v>0.00005519999999999999</x:v>
      </x:c>
      <x:c r="V69" s="33" t="n">
        <x:v>0</x:v>
      </x:c>
      <x:c r="W69" s="11" t="n">
        <x:v>0</x:v>
      </x:c>
      <x:c r="X69" s="11" t="n">
        <x:v>0</x:v>
      </x:c>
      <x:c r="Y69" s="11" t="n">
        <x:f>IF(COUNT('Turns'!E199)=1,SUM('Turns'!E199),"Unknown")</x:f>
        <x:v>0.00022332411200000002</x:v>
      </x:c>
      <x:c r="Z69" s="11" t="n">
        <x:f>IF(COUNT('Turns'!F199)=1,SUM('Turns'!F199),"Unknown")</x:f>
        <x:v>0.0002566</x:v>
      </x:c>
      <x:c r="AA69" s="33" t="n">
        <x:f>IF(ISNUMBER(Y69),ROUND(Y69*'Reference data'!$B$2,0),"Unknown")</x:f>
        <x:v>22</x:v>
      </x:c>
      <x:c r="AB69" s="33" t="n">
        <x:f>IF(ISNUMBER(Z69),ROUND(Z69*'Reference data'!$B$2,0),"Unknown")</x:f>
        <x:v>26</x:v>
      </x:c>
      <x:c r="AC69" s="2"/>
      <x:c r="AD69" s="43" t="n">
        <x:v>2.24384</x:v>
      </x:c>
      <x:c r="AE69" s="2" t="str">
        <x:v>Subtree total</x:v>
      </x:c>
    </x:row>
    <x:row r="70" ht="54" customHeight="1">
      <x:c r="A70" s="42" t="str">
        <x:v>                                    CompactingDemoModel</x:v>
      </x:c>
      <x:c r="B70" s="20" t="n">
        <x:v>9</x:v>
      </x:c>
      <x:c r="C70" s="20" t="str">
        <x:v>model</x:v>
      </x:c>
      <x:c r="D70" s="20" t="str">
        <x:v>scripted-chat</x:v>
      </x:c>
      <x:c r="E70" s="20" t="str">
        <x:v>ok</x:v>
      </x:c>
      <x:c r="F70" s="39" t="n">
        <x:v>1007</x:v>
      </x:c>
      <x:c r="G70" s="42" t="str">
        <x:v>Summarize isolated subagent history.</x:v>
      </x:c>
      <x:c r="H70" s="20" t="str">
        <x:v>01a0c6fd-6dff-7c50-b2cd-4730fc5eaa9c</x:v>
      </x:c>
      <x:c r="I70" s="20" t="str">
        <x:v>01a0c6fd-6dff-7c50-b2cd-47267ed14c80</x:v>
      </x:c>
      <x:c r="J70" s="33" t="n">
        <x:f>IF(COUNT('Turns'!D191)=1,SUM('Turns'!D191),"Unknown")</x:f>
        <x:v>1007</x:v>
      </x:c>
      <x:c r="K70" s="11" t="n">
        <x:f>IF(COUNT('Turns'!E191)=1,SUM('Turns'!E191),"Unknown")</x:f>
        <x:v>0.00017528244800000002</x:v>
      </x:c>
      <x:c r="L70" s="11" t="n">
        <x:f>IF(COUNT('Turns'!F191)=1,SUM('Turns'!F191),"Unknown")</x:f>
        <x:v>0.00020140000000000002</x:v>
      </x:c>
      <x:c r="M70" s="33" t="n">
        <x:f>IF(COUNT('Turns'!D190)=1,SUM('Turns'!D190),"Unknown")</x:f>
        <x:v>0</x:v>
      </x:c>
      <x:c r="N70" s="11" t="n">
        <x:f>IF(COUNT('Turns'!E190)=1,SUM('Turns'!E190),"Unknown")</x:f>
        <x:v>0</x:v>
      </x:c>
      <x:c r="O70" s="11" t="n">
        <x:f>IF(COUNT('Turns'!F190)=1,SUM('Turns'!F190),"Unknown")</x:f>
        <x:v>0</x:v>
      </x:c>
      <x:c r="P70" s="33" t="n">
        <x:v>0</x:v>
      </x:c>
      <x:c r="Q70" s="11" t="n">
        <x:v>0</x:v>
      </x:c>
      <x:c r="R70" s="11" t="n">
        <x:v>0</x:v>
      </x:c>
      <x:c r="S70" s="33" t="n">
        <x:f>IF(COUNT('Turns'!D195)=1,SUM('Turns'!D195),"Unknown")</x:f>
        <x:v>46</x:v>
      </x:c>
      <x:c r="T70" s="11" t="n">
        <x:f>IF(COUNT('Turns'!E195)=1,SUM('Turns'!E195),"Unknown")</x:f>
        <x:v>0.00004804166399999999</x:v>
      </x:c>
      <x:c r="U70" s="11" t="n">
        <x:f>IF(COUNT('Turns'!F195)=1,SUM('Turns'!F195),"Unknown")</x:f>
        <x:v>0.00005519999999999999</x:v>
      </x:c>
      <x:c r="V70" s="33" t="n">
        <x:v>0</x:v>
      </x:c>
      <x:c r="W70" s="11" t="n">
        <x:v>0</x:v>
      </x:c>
      <x:c r="X70" s="11" t="n">
        <x:v>0</x:v>
      </x:c>
      <x:c r="Y70" s="11" t="n">
        <x:f>IF(COUNT('Turns'!E199)=1,SUM('Turns'!E199),"Unknown")</x:f>
        <x:v>0.00022332411200000002</x:v>
      </x:c>
      <x:c r="Z70" s="11" t="n">
        <x:f>IF(COUNT('Turns'!F199)=1,SUM('Turns'!F199),"Unknown")</x:f>
        <x:v>0.0002566</x:v>
      </x:c>
      <x:c r="AA70" s="33" t="n">
        <x:f>IF(ISNUMBER(Y70),ROUND(Y70*'Reference data'!$B$2,0),"Unknown")</x:f>
        <x:v>22</x:v>
      </x:c>
      <x:c r="AB70" s="33" t="n">
        <x:f>IF(ISNUMBER(Z70),ROUND(Z70*'Reference data'!$B$2,0),"Unknown")</x:f>
        <x:v>26</x:v>
      </x:c>
      <x:c r="AC70" s="2" t="str">
        <x:v>R15</x:v>
      </x:c>
      <x:c r="AD70" s="43" t="n">
        <x:v>1.357056</x:v>
      </x:c>
      <x:c r="AE70" s="2" t="str">
        <x:v>Own call</x:v>
      </x:c>
    </x:row>
    <x:row r="71" ht="54" customHeight="1">
      <x:c r="A71" s="41" t="str">
        <x:v>                            model</x:v>
      </x:c>
      <x:c r="B71" s="36" t="n">
        <x:v>7</x:v>
      </x:c>
      <x:c r="C71" s="36" t="str">
        <x:v>workflow</x:v>
      </x:c>
      <x:c r="D71" s="36" t="str"/>
      <x:c r="E71" s="36" t="str">
        <x:v>ok</x:v>
      </x:c>
      <x:c r="F71" s="38"/>
      <x:c r="G71" s="41" t="str">
        <x:v>Prepare the current conversation, run model middleware, and invoke the chat model.</x:v>
      </x:c>
      <x:c r="H71" s="36" t="str">
        <x:v>01a0c6fd-6e02-7681-b6e6-4759685ce343</x:v>
      </x:c>
      <x:c r="I71" s="36" t="str">
        <x:v>01a0c6fd-6dee-7360-8064-72764dedf044</x:v>
      </x:c>
      <x:c r="J71" s="33" t="n">
        <x:f>IF(COUNT('Turns'!D202)=1,SUM('Turns'!D202),"Unknown")</x:f>
        <x:v>368</x:v>
      </x:c>
      <x:c r="K71" s="11" t="n">
        <x:f>IF(COUNT('Turns'!E202)=1,SUM('Turns'!E202),"Unknown")</x:f>
        <x:v>0.00006405555200000001</x:v>
      </x:c>
      <x:c r="L71" s="11" t="n">
        <x:f>IF(COUNT('Turns'!F202)=1,SUM('Turns'!F202),"Unknown")</x:f>
        <x:v>0.00007360000000000001</x:v>
      </x:c>
      <x:c r="M71" s="33" t="n">
        <x:f>IF(COUNT('Turns'!D201)=1,SUM('Turns'!D201),"Unknown")</x:f>
        <x:v>0</x:v>
      </x:c>
      <x:c r="N71" s="11" t="n">
        <x:f>IF(COUNT('Turns'!E201)=1,SUM('Turns'!E201),"Unknown")</x:f>
        <x:v>0</x:v>
      </x:c>
      <x:c r="O71" s="11" t="n">
        <x:f>IF(COUNT('Turns'!F201)=1,SUM('Turns'!F201),"Unknown")</x:f>
        <x:v>0</x:v>
      </x:c>
      <x:c r="P71" s="33" t="n">
        <x:v>0</x:v>
      </x:c>
      <x:c r="Q71" s="11" t="n">
        <x:v>0</x:v>
      </x:c>
      <x:c r="R71" s="11" t="n">
        <x:v>0</x:v>
      </x:c>
      <x:c r="S71" s="33" t="n">
        <x:f>IF(COUNT('Turns'!D207)=1,SUM('Turns'!D207),"Unknown")</x:f>
        <x:v>45</x:v>
      </x:c>
      <x:c r="T71" s="11" t="n">
        <x:f>IF(COUNT('Turns'!E207)=1,SUM('Turns'!E207),"Unknown")</x:f>
        <x:v>0.00004699728</x:v>
      </x:c>
      <x:c r="U71" s="11" t="n">
        <x:f>IF(COUNT('Turns'!F207)=1,SUM('Turns'!F207),"Unknown")</x:f>
        <x:v>0.000054</x:v>
      </x:c>
      <x:c r="V71" s="33" t="n">
        <x:v>0</x:v>
      </x:c>
      <x:c r="W71" s="11" t="n">
        <x:v>0</x:v>
      </x:c>
      <x:c r="X71" s="11" t="n">
        <x:v>0</x:v>
      </x:c>
      <x:c r="Y71" s="11" t="n">
        <x:f>IF(COUNT('Turns'!E211)=1,SUM('Turns'!E211),"Unknown")</x:f>
        <x:v>0.000111052832</x:v>
      </x:c>
      <x:c r="Z71" s="11" t="n">
        <x:f>IF(COUNT('Turns'!F211)=1,SUM('Turns'!F211),"Unknown")</x:f>
        <x:v>0.0001276</x:v>
      </x:c>
      <x:c r="AA71" s="33" t="n">
        <x:f>IF(ISNUMBER(Y71),ROUND(Y71*'Reference data'!$B$2,0),"Unknown")</x:f>
        <x:v>11</x:v>
      </x:c>
      <x:c r="AB71" s="33" t="n">
        <x:f>IF(ISNUMBER(Z71),ROUND(Z71*'Reference data'!$B$2,0),"Unknown")</x:f>
        <x:v>13</x:v>
      </x:c>
      <x:c r="AC71" s="2"/>
      <x:c r="AD71" s="43" t="n">
        <x:v>2.373888</x:v>
      </x:c>
      <x:c r="AE71" s="2" t="str">
        <x:v>Subtree total</x:v>
      </x:c>
    </x:row>
    <x:row r="72" ht="54" customHeight="1">
      <x:c r="A72" s="42" t="str">
        <x:v>                                CompactingDemoModel</x:v>
      </x:c>
      <x:c r="B72" s="20" t="n">
        <x:v>8</x:v>
      </x:c>
      <x:c r="C72" s="20" t="str">
        <x:v>model</x:v>
      </x:c>
      <x:c r="D72" s="20" t="str">
        <x:v>scripted-chat</x:v>
      </x:c>
      <x:c r="E72" s="20" t="str">
        <x:v>ok</x:v>
      </x:c>
      <x:c r="F72" s="39" t="n">
        <x:v>368</x:v>
      </x:c>
      <x:c r="G72" s="42" t="str">
        <x:v>Research within isolated subagent history.</x:v>
      </x:c>
      <x:c r="H72" s="20" t="str">
        <x:v>01a0c6fd-6e03-7aa0-86ee-a1cad6ec41ad</x:v>
      </x:c>
      <x:c r="I72" s="20" t="str">
        <x:v>01a0c6fd-6e02-7681-b6e6-4759685ce343</x:v>
      </x:c>
      <x:c r="J72" s="33" t="n">
        <x:f>IF(COUNT('Turns'!D202)=1,SUM('Turns'!D202),"Unknown")</x:f>
        <x:v>368</x:v>
      </x:c>
      <x:c r="K72" s="11" t="n">
        <x:f>IF(COUNT('Turns'!E202)=1,SUM('Turns'!E202),"Unknown")</x:f>
        <x:v>0.00006405555200000001</x:v>
      </x:c>
      <x:c r="L72" s="11" t="n">
        <x:f>IF(COUNT('Turns'!F202)=1,SUM('Turns'!F202),"Unknown")</x:f>
        <x:v>0.00007360000000000001</x:v>
      </x:c>
      <x:c r="M72" s="33" t="n">
        <x:f>IF(COUNT('Turns'!D201)=1,SUM('Turns'!D201),"Unknown")</x:f>
        <x:v>0</x:v>
      </x:c>
      <x:c r="N72" s="11" t="n">
        <x:f>IF(COUNT('Turns'!E201)=1,SUM('Turns'!E201),"Unknown")</x:f>
        <x:v>0</x:v>
      </x:c>
      <x:c r="O72" s="11" t="n">
        <x:f>IF(COUNT('Turns'!F201)=1,SUM('Turns'!F201),"Unknown")</x:f>
        <x:v>0</x:v>
      </x:c>
      <x:c r="P72" s="33" t="n">
        <x:v>0</x:v>
      </x:c>
      <x:c r="Q72" s="11" t="n">
        <x:v>0</x:v>
      </x:c>
      <x:c r="R72" s="11" t="n">
        <x:v>0</x:v>
      </x:c>
      <x:c r="S72" s="33" t="n">
        <x:f>IF(COUNT('Turns'!D207)=1,SUM('Turns'!D207),"Unknown")</x:f>
        <x:v>45</x:v>
      </x:c>
      <x:c r="T72" s="11" t="n">
        <x:f>IF(COUNT('Turns'!E207)=1,SUM('Turns'!E207),"Unknown")</x:f>
        <x:v>0.00004699728</x:v>
      </x:c>
      <x:c r="U72" s="11" t="n">
        <x:f>IF(COUNT('Turns'!F207)=1,SUM('Turns'!F207),"Unknown")</x:f>
        <x:v>0.000054</x:v>
      </x:c>
      <x:c r="V72" s="33" t="n">
        <x:v>0</x:v>
      </x:c>
      <x:c r="W72" s="11" t="n">
        <x:v>0</x:v>
      </x:c>
      <x:c r="X72" s="11" t="n">
        <x:v>0</x:v>
      </x:c>
      <x:c r="Y72" s="11" t="n">
        <x:f>IF(COUNT('Turns'!E211)=1,SUM('Turns'!E211),"Unknown")</x:f>
        <x:v>0.000111052832</x:v>
      </x:c>
      <x:c r="Z72" s="11" t="n">
        <x:f>IF(COUNT('Turns'!F211)=1,SUM('Turns'!F211),"Unknown")</x:f>
        <x:v>0.0001276</x:v>
      </x:c>
      <x:c r="AA72" s="33" t="n">
        <x:f>IF(ISNUMBER(Y72),ROUND(Y72*'Reference data'!$B$2,0),"Unknown")</x:f>
        <x:v>11</x:v>
      </x:c>
      <x:c r="AB72" s="33" t="n">
        <x:f>IF(ISNUMBER(Z72),ROUND(Z72*'Reference data'!$B$2,0),"Unknown")</x:f>
        <x:v>13</x:v>
      </x:c>
      <x:c r="AC72" s="2" t="str">
        <x:v>R16</x:v>
      </x:c>
      <x:c r="AD72" s="43" t="n">
        <x:v>1.246976</x:v>
      </x:c>
      <x:c r="AE72" s="2" t="str">
        <x:v>Own call</x:v>
      </x:c>
    </x:row>
    <x:row r="73" ht="54" customHeight="1">
      <x:c r="A73" s="41" t="str">
        <x:v>                SummarizationMiddleware.before_model</x:v>
      </x:c>
      <x:c r="B73" s="36" t="n">
        <x:v>4</x:v>
      </x:c>
      <x:c r="C73" s="36" t="str">
        <x:v>workflow</x:v>
      </x:c>
      <x:c r="D73" s="36" t="str"/>
      <x:c r="E73" s="36" t="str">
        <x:v>ok</x:v>
      </x:c>
      <x:c r="F73" s="38"/>
      <x:c r="G73" s="41" t="str">
        <x:v>Execute the SummarizationMiddleware.before_model workflow operation and pass its result to the next graph step.</x:v>
      </x:c>
      <x:c r="H73" s="36" t="str">
        <x:v>01a0c6fd-6e06-75d3-b3c9-904e329419cc</x:v>
      </x:c>
      <x:c r="I73" s="36" t="str">
        <x:v>01a0c6fd-6de8-73e2-8dba-68eeb7e24a9e</x:v>
      </x:c>
      <x:c r="J73" s="33"/>
      <x:c r="K73" s="11"/>
      <x:c r="L73" s="11"/>
      <x:c r="M73" s="33"/>
      <x:c r="N73" s="11"/>
      <x:c r="O73" s="11"/>
      <x:c r="P73" s="33"/>
      <x:c r="Q73" s="11"/>
      <x:c r="R73" s="11"/>
      <x:c r="S73" s="33"/>
      <x:c r="T73" s="11"/>
      <x:c r="U73" s="11"/>
      <x:c r="V73" s="33"/>
      <x:c r="W73" s="11"/>
      <x:c r="X73" s="11"/>
      <x:c r="Y73" s="11"/>
      <x:c r="Z73" s="11"/>
      <x:c r="AA73" s="33"/>
      <x:c r="AB73" s="33"/>
      <x:c r="AC73" s="2"/>
      <x:c r="AD73" s="43" t="n">
        <x:v>0.327168</x:v>
      </x:c>
      <x:c r="AE73" s="2" t="str">
        <x:v>No model charge</x:v>
      </x:c>
    </x:row>
    <x:row r="74" ht="54" customHeight="1">
      <x:c r="A74" s="41" t="str">
        <x:v>                model</x:v>
      </x:c>
      <x:c r="B74" s="36" t="n">
        <x:v>4</x:v>
      </x:c>
      <x:c r="C74" s="36" t="str">
        <x:v>workflow</x:v>
      </x:c>
      <x:c r="D74" s="36" t="str"/>
      <x:c r="E74" s="36" t="str">
        <x:v>ok</x:v>
      </x:c>
      <x:c r="F74" s="38"/>
      <x:c r="G74" s="41" t="str">
        <x:v>Prepare the current conversation, run model middleware, and invoke the chat model.</x:v>
      </x:c>
      <x:c r="H74" s="36" t="str">
        <x:v>01a0c6fd-6e07-77a3-8b60-c3db5b2a757f</x:v>
      </x:c>
      <x:c r="I74" s="36" t="str">
        <x:v>01a0c6fd-6de8-73e2-8dba-68eeb7e24a9e</x:v>
      </x:c>
      <x:c r="J74" s="33" t="n">
        <x:f>IF(COUNT('Turns'!D214)=1,SUM('Turns'!D214),"Unknown")</x:f>
        <x:v>989</x:v>
      </x:c>
      <x:c r="K74" s="11" t="n">
        <x:f>IF(COUNT('Turns'!E214)=1,SUM('Turns'!E214),"Unknown")</x:f>
        <x:v>0.000172149296</x:v>
      </x:c>
      <x:c r="L74" s="11" t="n">
        <x:f>IF(COUNT('Turns'!F214)=1,SUM('Turns'!F214),"Unknown")</x:f>
        <x:v>0.0001978</x:v>
      </x:c>
      <x:c r="M74" s="33" t="n">
        <x:f>IF(COUNT('Turns'!D213)=1,SUM('Turns'!D213),"Unknown")</x:f>
        <x:v>0</x:v>
      </x:c>
      <x:c r="N74" s="11" t="n">
        <x:f>IF(COUNT('Turns'!E213)=1,SUM('Turns'!E213),"Unknown")</x:f>
        <x:v>0</x:v>
      </x:c>
      <x:c r="O74" s="11" t="n">
        <x:f>IF(COUNT('Turns'!F213)=1,SUM('Turns'!F213),"Unknown")</x:f>
        <x:v>0</x:v>
      </x:c>
      <x:c r="P74" s="33" t="n">
        <x:v>0</x:v>
      </x:c>
      <x:c r="Q74" s="11" t="n">
        <x:v>0</x:v>
      </x:c>
      <x:c r="R74" s="11" t="n">
        <x:v>0</x:v>
      </x:c>
      <x:c r="S74" s="33" t="n">
        <x:f>IF(COUNT('Turns'!D219)=1,SUM('Turns'!D219),"Unknown")</x:f>
        <x:v>42</x:v>
      </x:c>
      <x:c r="T74" s="11" t="n">
        <x:f>IF(COUNT('Turns'!E219)=1,SUM('Turns'!E219),"Unknown")</x:f>
        <x:v>0.000043864127999999996</x:v>
      </x:c>
      <x:c r="U74" s="11" t="n">
        <x:f>IF(COUNT('Turns'!F219)=1,SUM('Turns'!F219),"Unknown")</x:f>
        <x:v>0.0000504</x:v>
      </x:c>
      <x:c r="V74" s="33" t="n">
        <x:v>0</x:v>
      </x:c>
      <x:c r="W74" s="11" t="n">
        <x:v>0</x:v>
      </x:c>
      <x:c r="X74" s="11" t="n">
        <x:v>0</x:v>
      </x:c>
      <x:c r="Y74" s="11" t="n">
        <x:f>IF(COUNT('Turns'!E223)=1,SUM('Turns'!E223),"Unknown")</x:f>
        <x:v>0.000216013424</x:v>
      </x:c>
      <x:c r="Z74" s="11" t="n">
        <x:f>IF(COUNT('Turns'!F223)=1,SUM('Turns'!F223),"Unknown")</x:f>
        <x:v>0.0002482</x:v>
      </x:c>
      <x:c r="AA74" s="33" t="n">
        <x:f>IF(ISNUMBER(Y74),ROUND(Y74*'Reference data'!$B$2,0),"Unknown")</x:f>
        <x:v>22</x:v>
      </x:c>
      <x:c r="AB74" s="33" t="n">
        <x:f>IF(ISNUMBER(Z74),ROUND(Z74*'Reference data'!$B$2,0),"Unknown")</x:f>
        <x:v>25</x:v>
      </x:c>
      <x:c r="AC74" s="2"/>
      <x:c r="AD74" s="43" t="n">
        <x:v>2.957056</x:v>
      </x:c>
      <x:c r="AE74" s="2" t="str">
        <x:v>Subtree total</x:v>
      </x:c>
    </x:row>
    <x:row r="75" ht="54" customHeight="1">
      <x:c r="A75" s="42" t="str">
        <x:v>                    CompactingDemoModel</x:v>
      </x:c>
      <x:c r="B75" s="20" t="n">
        <x:v>5</x:v>
      </x:c>
      <x:c r="C75" s="20" t="str">
        <x:v>model</x:v>
      </x:c>
      <x:c r="D75" s="20" t="str">
        <x:v>scripted-chat</x:v>
      </x:c>
      <x:c r="E75" s="20" t="str">
        <x:v>ok</x:v>
      </x:c>
      <x:c r="F75" s="39" t="n">
        <x:v>989</x:v>
      </x:c>
      <x:c r="G75" s="42" t="str">
        <x:v>Delegate from shared history and respond.</x:v>
      </x:c>
      <x:c r="H75" s="20" t="str">
        <x:v>01a0c6fd-6e08-7342-a304-2bba6be23724</x:v>
      </x:c>
      <x:c r="I75" s="20" t="str">
        <x:v>01a0c6fd-6e07-77a3-8b60-c3db5b2a757f</x:v>
      </x:c>
      <x:c r="J75" s="33" t="n">
        <x:f>IF(COUNT('Turns'!D214)=1,SUM('Turns'!D214),"Unknown")</x:f>
        <x:v>989</x:v>
      </x:c>
      <x:c r="K75" s="11" t="n">
        <x:f>IF(COUNT('Turns'!E214)=1,SUM('Turns'!E214),"Unknown")</x:f>
        <x:v>0.000172149296</x:v>
      </x:c>
      <x:c r="L75" s="11" t="n">
        <x:f>IF(COUNT('Turns'!F214)=1,SUM('Turns'!F214),"Unknown")</x:f>
        <x:v>0.0001978</x:v>
      </x:c>
      <x:c r="M75" s="33" t="n">
        <x:f>IF(COUNT('Turns'!D213)=1,SUM('Turns'!D213),"Unknown")</x:f>
        <x:v>0</x:v>
      </x:c>
      <x:c r="N75" s="11" t="n">
        <x:f>IF(COUNT('Turns'!E213)=1,SUM('Turns'!E213),"Unknown")</x:f>
        <x:v>0</x:v>
      </x:c>
      <x:c r="O75" s="11" t="n">
        <x:f>IF(COUNT('Turns'!F213)=1,SUM('Turns'!F213),"Unknown")</x:f>
        <x:v>0</x:v>
      </x:c>
      <x:c r="P75" s="33" t="n">
        <x:v>0</x:v>
      </x:c>
      <x:c r="Q75" s="11" t="n">
        <x:v>0</x:v>
      </x:c>
      <x:c r="R75" s="11" t="n">
        <x:v>0</x:v>
      </x:c>
      <x:c r="S75" s="33" t="n">
        <x:f>IF(COUNT('Turns'!D219)=1,SUM('Turns'!D219),"Unknown")</x:f>
        <x:v>42</x:v>
      </x:c>
      <x:c r="T75" s="11" t="n">
        <x:f>IF(COUNT('Turns'!E219)=1,SUM('Turns'!E219),"Unknown")</x:f>
        <x:v>0.000043864127999999996</x:v>
      </x:c>
      <x:c r="U75" s="11" t="n">
        <x:f>IF(COUNT('Turns'!F219)=1,SUM('Turns'!F219),"Unknown")</x:f>
        <x:v>0.0000504</x:v>
      </x:c>
      <x:c r="V75" s="33" t="n">
        <x:v>0</x:v>
      </x:c>
      <x:c r="W75" s="11" t="n">
        <x:v>0</x:v>
      </x:c>
      <x:c r="X75" s="11" t="n">
        <x:v>0</x:v>
      </x:c>
      <x:c r="Y75" s="11" t="n">
        <x:f>IF(COUNT('Turns'!E223)=1,SUM('Turns'!E223),"Unknown")</x:f>
        <x:v>0.000216013424</x:v>
      </x:c>
      <x:c r="Z75" s="11" t="n">
        <x:f>IF(COUNT('Turns'!F223)=1,SUM('Turns'!F223),"Unknown")</x:f>
        <x:v>0.0002482</x:v>
      </x:c>
      <x:c r="AA75" s="33" t="n">
        <x:f>IF(ISNUMBER(Y75),ROUND(Y75*'Reference data'!$B$2,0),"Unknown")</x:f>
        <x:v>22</x:v>
      </x:c>
      <x:c r="AB75" s="33" t="n">
        <x:f>IF(ISNUMBER(Z75),ROUND(Z75*'Reference data'!$B$2,0),"Unknown")</x:f>
        <x:v>25</x:v>
      </x:c>
      <x:c r="AC75" s="2" t="str">
        <x:v>R17</x:v>
      </x:c>
      <x:c r="AD75" s="43" t="n">
        <x:v>1.641984</x:v>
      </x:c>
      <x:c r="AE75" s="2" t="str">
        <x:v>Own call</x:v>
      </x:c>
    </x:row>
  </x:sheetData>
  <x:conditionalFormatting sqref="A2:AE75">
    <x:cfRule type="expression" dxfId="3" priority="1">
      <x:formula>$E2="error"</x:formula>
    </x:cfRule>
  </x:conditionalFormatting>
  <x:pageMargins left="0.7" right="0.7" top="0.75" bottom="0.75" header="0.3" footer="0.3"/>
</x:worksheet>
</file>

<file path=xl/worksheets/sheet3.xml><?xml version="1.0" encoding="utf-8"?>
<x:worksheet xmlns:x="http://schemas.openxmlformats.org/spreadsheetml/2006/main">
  <x:sheetPr>
    <x:tabColor rgb="FF173B70"/>
  </x:sheetPr>
  <x:sheetViews>
    <x:sheetView showGridLines="0" workbookViewId="0">
      <x:pane xSplit="1" ySplit="1" topLeftCell="B2" activePane="bottomRight" state="frozen"/>
    </x:sheetView>
  </x:sheetViews>
  <x:sheetFormatPr defaultRowHeight="15"/>
  <x:cols>
    <x:col min="1" max="1" width="34" hidden="0" customWidth="1"/>
    <x:col min="2" max="2" width="52" hidden="0" customWidth="1"/>
    <x:col min="3" max="3" width="18" hidden="0" customWidth="1"/>
    <x:col min="4" max="4" width="18" hidden="0" customWidth="1"/>
    <x:col min="5" max="5" width="18" hidden="0" customWidth="1"/>
    <x:col min="6" max="6" width="18" hidden="0" customWidth="1"/>
    <x:col min="7" max="7" width="18" hidden="0" customWidth="1"/>
    <x:col min="8" max="8" width="65" hidden="0" customWidth="1"/>
    <x:col min="9" max="9" width="40" hidden="0" customWidth="1"/>
  </x:cols>
  <x:sheetData>
    <x:row r="1" ht="44" customHeight="1">
      <x:c r="A1" s="7" t="str">
        <x:v>Parameter</x:v>
      </x:c>
      <x:c r="B1" s="7" t="str">
        <x:v>Value</x:v>
      </x:c>
      <x:c r="C1" s="7" t="str">
        <x:v>Unit</x:v>
      </x:c>
      <x:c r="D1" s="7" t="str"/>
      <x:c r="E1" s="7" t="str"/>
      <x:c r="F1" s="7" t="str"/>
      <x:c r="G1" s="7" t="str"/>
      <x:c r="H1" s="7" t="str"/>
      <x:c r="I1" s="7" t="str"/>
    </x:row>
    <x:row r="2" ht="24" customHeight="1">
      <x:c r="A2" s="2" t="str">
        <x:v>Number of executions</x:v>
      </x:c>
      <x:c r="B2" s="10" t="n">
        <x:v>100000</x:v>
      </x:c>
      <x:c r="C2" s="2" t="str">
        <x:v>executions</x:v>
      </x:c>
      <x:c r="D2" s="2"/>
      <x:c r="E2" s="2"/>
      <x:c r="F2" s="2"/>
      <x:c r="G2" s="2"/>
      <x:c r="H2" s="2"/>
      <x:c r="I2" s="2"/>
    </x:row>
    <x:row r="3" ht="24" customHeight="1">
      <x:c r="A3" s="2" t="str">
        <x:v>USD → EUR</x:v>
      </x:c>
      <x:c r="B3" s="11" t="n">
        <x:v>0.87032</x:v>
      </x:c>
      <x:c r="C3" s="2" t="str">
        <x:v>EUR per USD</x:v>
      </x:c>
      <x:c r="D3" s="2"/>
      <x:c r="E3" s="2"/>
      <x:c r="F3" s="2"/>
      <x:c r="G3" s="2"/>
      <x:c r="H3" s="2"/>
      <x:c r="I3" s="2"/>
    </x:row>
    <x:row r="4" ht="24" customHeight="1">
      <x:c r="A4" s="2" t="str">
        <x:v>Cache duration</x:v>
      </x:c>
      <x:c r="B4" s="2" t="str">
        <x:v>5m</x:v>
      </x:c>
      <x:c r="C4" s="2" t="str"/>
      <x:c r="D4" s="2"/>
      <x:c r="E4" s="2"/>
      <x:c r="F4" s="2"/>
      <x:c r="G4" s="2"/>
      <x:c r="H4" s="2"/>
      <x:c r="I4" s="2"/>
    </x:row>
    <x:row r="5" ht="28" customHeight="1">
      <x:c r="A5" s="2" t="str">
        <x:v>Run ID</x:v>
      </x:c>
      <x:c r="B5" s="14" t="str">
        <x:v>01a0c6fd-6d92-75a1-ab4d-f15a8266314f</x:v>
      </x:c>
      <x:c r="C5" s="2" t="str"/>
      <x:c r="D5" s="2"/>
      <x:c r="E5" s="2"/>
      <x:c r="F5" s="2"/>
      <x:c r="G5" s="2"/>
      <x:c r="H5" s="2"/>
      <x:c r="I5" s="2"/>
    </x:row>
    <x:row r="6" ht="28" customHeight="1">
      <x:c r="A6" s="2" t="str">
        <x:v>Recording</x:v>
      </x:c>
      <x:c r="B6" s="14" t="str">
        <x:v>Offline simulation</x:v>
      </x:c>
      <x:c r="C6" s="2" t="str"/>
      <x:c r="D6" s="2"/>
      <x:c r="E6" s="2"/>
      <x:c r="F6" s="2"/>
      <x:c r="G6" s="2"/>
      <x:c r="H6" s="2"/>
      <x:c r="I6" s="2"/>
    </x:row>
    <x:row r="7" ht="28" customHeight="1">
      <x:c r="A7" s="2" t="str">
        <x:v>FX reference date</x:v>
      </x:c>
      <x:c r="B7" s="15" t="n">
        <x:v>46286</x:v>
      </x:c>
      <x:c r="C7" s="2" t="str"/>
      <x:c r="D7" s="2"/>
      <x:c r="E7" s="2"/>
      <x:c r="F7" s="2"/>
      <x:c r="G7" s="2"/>
      <x:c r="H7" s="2"/>
      <x:c r="I7" s="2"/>
    </x:row>
    <x:row r="8" ht="28" customHeight="1">
      <x:c r="A8" s="2" t="str">
        <x:v>FX fetched at</x:v>
      </x:c>
      <x:c r="B8" s="16" t="n">
        <x:v>46286.90369258102</x:v>
      </x:c>
      <x:c r="C8" s="2" t="str">
        <x:v>UTC</x:v>
      </x:c>
      <x:c r="D8" s="2"/>
      <x:c r="E8" s="2"/>
      <x:c r="F8" s="2"/>
      <x:c r="G8" s="2"/>
      <x:c r="H8" s="2"/>
      <x:c r="I8" s="2"/>
    </x:row>
    <x:row r="9" ht="56" customHeight="1">
      <x:c r="A9" s="2" t="str">
        <x:v>FX source</x:v>
      </x:c>
      <x:c r="B9" s="14" t="str">
        <x:v>https://api.frankfurter.dev/v2/rate/usd/eur?providers=ecb</x:v>
      </x:c>
      <x:c r="C9" s="2" t="str"/>
      <x:c r="D9" s="2"/>
      <x:c r="E9" s="2"/>
      <x:c r="F9" s="2"/>
      <x:c r="G9" s="2"/>
      <x:c r="H9" s="2"/>
      <x:c r="I9" s="2"/>
    </x:row>
    <x:row r="10" ht="56" customHeight="1">
      <x:c r="A10" s="2" t="str">
        <x:v>Rounding</x:v>
      </x:c>
      <x:c r="B10" s="14" t="str">
        <x:v>Only projected costs: ROUND(cost × executions, 0)</x:v>
      </x:c>
      <x:c r="C10" s="2" t="str"/>
      <x:c r="D10" s="2"/>
      <x:c r="E10" s="2"/>
      <x:c r="F10" s="2"/>
      <x:c r="G10" s="2"/>
      <x:c r="H10" s="2"/>
      <x:c r="I10" s="2"/>
    </x:row>
    <x:row r="11" ht="56" customHeight="1">
      <x:c r="A11" s="2" t="str">
        <x:v>Tree totals</x:v>
      </x:c>
      <x:c r="B11" s="14" t="str">
        <x:v>Parent rows include descendants; do not sum all tree rows.</x:v>
      </x:c>
      <x:c r="C11" s="2" t="str"/>
      <x:c r="D11" s="2"/>
      <x:c r="E11" s="2"/>
      <x:c r="F11" s="2"/>
      <x:c r="G11" s="2"/>
      <x:c r="H11" s="2"/>
      <x:c r="I11" s="2"/>
    </x:row>
    <x:row r="12" ht="56" customHeight="1">
      <x:c r="A12" s="2" t="str">
        <x:v>Cache writes</x:v>
      </x:c>
      <x:c r="B12" s="14" t="str">
        <x:v>Simulation cache movements are shown separately from provider-billed writes.</x:v>
      </x:c>
      <x:c r="C12" s="2" t="str"/>
      <x:c r="D12" s="2"/>
      <x:c r="E12" s="2"/>
      <x:c r="F12" s="2"/>
      <x:c r="G12" s="2"/>
      <x:c r="H12" s="2"/>
      <x:c r="I12" s="2"/>
    </x:row>
    <x:row r="13" ht="56" customHeight="1">
      <x:c r="A13" s="2" t="str">
        <x:v>Pricing scope</x:v>
      </x:c>
      <x:c r="B13" s="14" t="str">
        <x:v>Standard online token rates. Verify rates and model access before use. Cache writes with unspecified lifetime use the 5-minute rate unless an explicit cache_write rate is configured. No batch, regional, long-context, tool, or negotiated pricing adjustments are applied.</x:v>
      </x:c>
      <x:c r="C13" s="2" t="str"/>
      <x:c r="D13" s="2"/>
      <x:c r="E13" s="2"/>
      <x:c r="F13" s="2"/>
      <x:c r="G13" s="2"/>
      <x:c r="H13" s="2"/>
      <x:c r="I13" s="2"/>
    </x:row>
    <x:row r="14" ht="24" customHeight="1">
      <x:c r="A14" s="2"/>
      <x:c r="B14" s="2"/>
      <x:c r="C14" s="2"/>
      <x:c r="D14" s="2"/>
      <x:c r="E14" s="2"/>
      <x:c r="F14" s="2"/>
      <x:c r="G14" s="2"/>
      <x:c r="H14" s="2"/>
      <x:c r="I14" s="2"/>
    </x:row>
    <x:row r="15" ht="44" customHeight="1">
      <x:c r="A15" s="5" t="str">
        <x:v>Model</x:v>
      </x:c>
      <x:c r="B15" s="5" t="str">
        <x:v>Input USD / 1M tokens</x:v>
      </x:c>
      <x:c r="C15" s="5" t="str">
        <x:v>Cache read USD / 1M tokens</x:v>
      </x:c>
      <x:c r="D15" s="5" t="str">
        <x:v>Cache write USD / 1M tokens</x:v>
      </x:c>
      <x:c r="E15" s="5" t="str">
        <x:v>Output USD / 1M tokens</x:v>
      </x:c>
      <x:c r="F15" s="5" t="str">
        <x:v>Reasoning USD / 1M tokens</x:v>
      </x:c>
      <x:c r="G15" s="5" t="str">
        <x:v>Verified date</x:v>
      </x:c>
      <x:c r="H15" s="5" t="str">
        <x:v>Source</x:v>
      </x:c>
      <x:c r="I15" s="5" t="str">
        <x:v>Notes</x:v>
      </x:c>
    </x:row>
    <x:row r="16" ht="72" customHeight="1">
      <x:c r="A16" s="14" t="str">
        <x:v>openai:gpt-5.5</x:v>
      </x:c>
      <x:c r="B16" s="17" t="n">
        <x:v>5</x:v>
      </x:c>
      <x:c r="C16" s="17" t="n">
        <x:v>0.5</x:v>
      </x:c>
      <x:c r="D16" s="17"/>
      <x:c r="E16" s="17" t="n">
        <x:v>30</x:v>
      </x:c>
      <x:c r="F16" s="17" t="n">
        <x:v>30</x:v>
      </x:c>
      <x:c r="G16" s="15" t="n">
        <x:v>46283</x:v>
      </x:c>
      <x:c r="H16" s="14" t="str">
        <x:v>https://developers.openai.com/api/docs/models/gpt-5.5.md</x:v>
      </x:c>
      <x:c r="I16" s="14" t="str">
        <x:v>Cache write assumes 5m when unspecified</x:v>
      </x:c>
    </x:row>
    <x:row r="17" ht="72" customHeight="1">
      <x:c r="A17" s="14" t="str">
        <x:v>openai:gpt-5.6-luna</x:v>
      </x:c>
      <x:c r="B17" s="17" t="n">
        <x:v>0.2</x:v>
      </x:c>
      <x:c r="C17" s="17" t="n">
        <x:v>0.02</x:v>
      </x:c>
      <x:c r="D17" s="17" t="n">
        <x:v>0.25</x:v>
      </x:c>
      <x:c r="E17" s="17" t="n">
        <x:v>1.2</x:v>
      </x:c>
      <x:c r="F17" s="17" t="n">
        <x:v>1.2</x:v>
      </x:c>
      <x:c r="G17" s="15" t="n">
        <x:v>46283</x:v>
      </x:c>
      <x:c r="H17" s="14" t="str">
        <x:v>https://developers.openai.com/api/docs/models/gpt-5.6-luna.md</x:v>
      </x:c>
      <x:c r="I17" s="14" t="str">
        <x:v>Cache write assumes 5m when unspecified</x:v>
      </x:c>
    </x:row>
    <x:row r="18" ht="72" customHeight="1">
      <x:c r="A18" s="14" t="str">
        <x:v>openai:gpt-5.6-sol</x:v>
      </x:c>
      <x:c r="B18" s="17" t="n">
        <x:v>4</x:v>
      </x:c>
      <x:c r="C18" s="17" t="n">
        <x:v>0.4</x:v>
      </x:c>
      <x:c r="D18" s="17" t="n">
        <x:v>5</x:v>
      </x:c>
      <x:c r="E18" s="17" t="n">
        <x:v>20</x:v>
      </x:c>
      <x:c r="F18" s="17" t="n">
        <x:v>20</x:v>
      </x:c>
      <x:c r="G18" s="15" t="n">
        <x:v>46283</x:v>
      </x:c>
      <x:c r="H18" s="14" t="str">
        <x:v>https://developers.openai.com/api/docs/models/gpt-5.6-sol.md</x:v>
      </x:c>
      <x:c r="I18" s="14" t="str">
        <x:v>Cache write assumes 5m when unspecified</x:v>
      </x:c>
    </x:row>
    <x:row r="19" ht="72" customHeight="1">
      <x:c r="A19" s="14" t="str">
        <x:v>anthropic:claude-sonnet-5</x:v>
      </x:c>
      <x:c r="B19" s="17" t="n">
        <x:v>2</x:v>
      </x:c>
      <x:c r="C19" s="17" t="n">
        <x:v>0.2</x:v>
      </x:c>
      <x:c r="D19" s="17" t="n">
        <x:v>2.5</x:v>
      </x:c>
      <x:c r="E19" s="17" t="n">
        <x:v>10</x:v>
      </x:c>
      <x:c r="F19" s="17" t="n">
        <x:v>10</x:v>
      </x:c>
      <x:c r="G19" s="15" t="n">
        <x:v>46283</x:v>
      </x:c>
      <x:c r="H19" s="14" t="str">
        <x:v>https://platform.claude.com/docs/en/about-claude/pricing</x:v>
      </x:c>
      <x:c r="I19" s="14" t="str">
        <x:v>Cache write assumes 5m when unspecified</x:v>
      </x:c>
    </x:row>
    <x:row r="20" ht="72" customHeight="1">
      <x:c r="A20" s="14" t="str">
        <x:v>anthropic:claude-opus-4-8</x:v>
      </x:c>
      <x:c r="B20" s="17" t="n">
        <x:v>5</x:v>
      </x:c>
      <x:c r="C20" s="17" t="n">
        <x:v>0.5</x:v>
      </x:c>
      <x:c r="D20" s="17" t="n">
        <x:v>6.25</x:v>
      </x:c>
      <x:c r="E20" s="17" t="n">
        <x:v>25</x:v>
      </x:c>
      <x:c r="F20" s="17" t="n">
        <x:v>25</x:v>
      </x:c>
      <x:c r="G20" s="15" t="n">
        <x:v>46283</x:v>
      </x:c>
      <x:c r="H20" s="14" t="str">
        <x:v>https://platform.claude.com/docs/en/about-claude/pricing</x:v>
      </x:c>
      <x:c r="I20" s="14" t="str">
        <x:v>Cache write assumes 5m when unspecified</x:v>
      </x:c>
    </x:row>
    <x:row r="21" ht="72" customHeight="1">
      <x:c r="A21" s="14" t="str">
        <x:v>anthropic:claude-fable-5-1</x:v>
      </x:c>
      <x:c r="B21" s="17" t="n">
        <x:v>10</x:v>
      </x:c>
      <x:c r="C21" s="17" t="n">
        <x:v>0.25</x:v>
      </x:c>
      <x:c r="D21" s="17" t="n">
        <x:v>12.5</x:v>
      </x:c>
      <x:c r="E21" s="17" t="n">
        <x:v>50</x:v>
      </x:c>
      <x:c r="F21" s="17" t="n">
        <x:v>50</x:v>
      </x:c>
      <x:c r="G21" s="15" t="n">
        <x:v>46283</x:v>
      </x:c>
      <x:c r="H21" s="14" t="str">
        <x:v>https://platform.claude.com/docs/en/about-claude/pricing</x:v>
      </x:c>
      <x:c r="I21" s="14" t="str">
        <x:v>Cache write assumes 5m when unspecified</x:v>
      </x:c>
    </x:row>
    <x:row r="22" ht="72" customHeight="1">
      <x:c r="A22" s="14" t="str">
        <x:v>demo:scripted-chat</x:v>
      </x:c>
      <x:c r="B22" s="17" t="n">
        <x:v>0.2</x:v>
      </x:c>
      <x:c r="C22" s="17" t="n">
        <x:v>0.02</x:v>
      </x:c>
      <x:c r="D22" s="17" t="n">
        <x:v>0.25</x:v>
      </x:c>
      <x:c r="E22" s="17" t="n">
        <x:v>1.2</x:v>
      </x:c>
      <x:c r="F22" s="17" t="n">
        <x:v>1.2</x:v>
      </x:c>
      <x:c r="G22" s="15" t="n">
        <x:v>46283</x:v>
      </x:c>
      <x:c r="H22" s="14" t="str">
        <x:v>Illustrative demo rates based on openai:gpt-5.6-luna; no provider billing</x:v>
      </x:c>
      <x:c r="I22" s="14" t="str">
        <x:v>Cache write assumes 5m when unspecified</x:v>
      </x:c>
    </x:row>
    <x:row r="23" ht="24" customHeight="1">
      <x:c r="A23" s="2"/>
      <x:c r="B23" s="2"/>
      <x:c r="C23" s="2"/>
      <x:c r="D23" s="2"/>
      <x:c r="E23" s="2"/>
      <x:c r="F23" s="2"/>
      <x:c r="G23" s="2"/>
      <x:c r="H23" s="2"/>
      <x:c r="I23" s="2"/>
    </x:row>
    <x:row r="24" ht="24" customHeight="1">
      <x:c r="A24" s="2"/>
      <x:c r="B24" s="2"/>
      <x:c r="C24" s="2"/>
      <x:c r="D24" s="2"/>
      <x:c r="E24" s="2"/>
      <x:c r="F24" s="2"/>
      <x:c r="G24" s="2"/>
      <x:c r="H24" s="2"/>
      <x:c r="I24" s="2"/>
    </x:row>
    <x:row r="25" ht="24" customHeight="1">
      <x:c r="A25" s="2"/>
      <x:c r="B25" s="2"/>
      <x:c r="C25" s="2"/>
      <x:c r="D25" s="2"/>
      <x:c r="E25" s="2"/>
      <x:c r="F25" s="2"/>
      <x:c r="G25" s="2"/>
      <x:c r="H25" s="2"/>
      <x:c r="I25" s="2"/>
    </x:row>
    <x:row r="26" ht="24" customHeight="1">
      <x:c r="A26" s="2"/>
      <x:c r="B26" s="2"/>
      <x:c r="C26" s="2"/>
      <x:c r="D26" s="2"/>
      <x:c r="E26" s="2"/>
      <x:c r="F26" s="2"/>
      <x:c r="G26" s="2"/>
      <x:c r="H26" s="2"/>
      <x:c r="I26" s="2"/>
    </x:row>
    <x:row r="27" ht="24" customHeight="1">
      <x:c r="A27" s="2"/>
      <x:c r="B27" s="2"/>
      <x:c r="C27" s="2"/>
      <x:c r="D27" s="2"/>
      <x:c r="E27" s="2"/>
      <x:c r="F27" s="2"/>
      <x:c r="G27" s="2"/>
      <x:c r="H27" s="2"/>
      <x:c r="I27" s="2"/>
    </x:row>
    <x:row r="28" ht="24" customHeight="1">
      <x:c r="A28" s="2"/>
      <x:c r="B28" s="2"/>
      <x:c r="C28" s="2"/>
      <x:c r="D28" s="2"/>
      <x:c r="E28" s="2"/>
      <x:c r="F28" s="2"/>
      <x:c r="G28" s="2"/>
      <x:c r="H28" s="2"/>
      <x:c r="I28" s="2"/>
    </x:row>
    <x:row r="29" ht="24" customHeight="1">
      <x:c r="A29" s="2"/>
      <x:c r="B29" s="2"/>
      <x:c r="C29" s="2"/>
      <x:c r="D29" s="2"/>
      <x:c r="E29" s="2"/>
      <x:c r="F29" s="2"/>
      <x:c r="G29" s="2"/>
      <x:c r="H29" s="2"/>
      <x:c r="I29" s="2"/>
    </x:row>
    <x:row r="30" ht="24" customHeight="1">
      <x:c r="A30" s="2"/>
      <x:c r="B30" s="2"/>
      <x:c r="C30" s="2"/>
      <x:c r="D30" s="2"/>
      <x:c r="E30" s="2"/>
      <x:c r="F30" s="2"/>
      <x:c r="G30" s="2"/>
      <x:c r="H30" s="2"/>
      <x:c r="I30" s="2"/>
    </x:row>
  </x:sheetData>
  <x:conditionalFormatting sqref="G16:G22">
    <x:cfRule type="expression" dxfId="0" priority="1">
      <x:formula>G16&lt;TODAY()</x:formula>
    </x:cfRule>
  </x:conditionalFormatting>
  <x:conditionalFormatting sqref="B7:B7">
    <x:cfRule type="expression" dxfId="1" priority="2">
      <x:formula>B7&lt;TODAY()</x:formula>
    </x:cfRule>
  </x:conditionalFormatting>
  <x:dataValidations count="1">
    <x:dataValidation type="whole" operator="greaterThanOrEqual" sqref="B2">
      <x:formula1>0</x:formula1>
    </x:dataValidation>
  </x:dataValidations>
  <x:pageMargins left="0.7" right="0.7" top="0.75" bottom="0.75" header="0.3" footer="0.3"/>
</x:worksheet>
</file>
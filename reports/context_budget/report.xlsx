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<sst xmlns="http://schemas.openxmlformats.org/spreadsheetml/2006/main" count="1213" uniqueCount="270">
  <si>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</si>
  <si>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</si>
  <si>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</si>
  <si>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</si>
  <si>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</si>
  <si>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</si>
  <si>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</si>
  <si>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</si>
  <si>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</si>
  <si>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</si>
  <si>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</si>
  <si>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</si>
  <si>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</si>
  <si>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</si>
  <si>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</si>
  <si>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</si>
  <si>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</si>
  <si>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</si>
  <si>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</si>
  <si>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</si>
  <si>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</si>
  <si>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</si>
  <si>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</si>
  <si>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</si>
  <si>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</si>
  <si>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</si>
  <si>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</si>
  <si>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</si>
  <si>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</si>
  <si>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</si>
  <si>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</si>
  <si>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</si>
  <si>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</si>
  <si>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</si>
  <si>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</si>
  <si>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</si>
  <si>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</si>
  <si>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</si>
  <si>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</si>
  <si>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</si>
  <si>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</si>
  <si>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</si>
  <si>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</si>
  <si>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</si>
  <si>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</si>
  <si>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</si>
  <si>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</si>
  <si>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</si>
  <si>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</si>
  <si>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01a0cc56-550e-7530-91f4-dd285fe6636d</t>
  </si>
  <si>
    <t>Recording</t>
  </si>
  <si>
    <t>Provider trace</t>
  </si>
  <si>
    <t>FX reference date</t>
  </si>
  <si>
    <t>2026-09-22</t>
  </si>
  <si>
    <t>FX fetched at</t>
  </si>
  <si>
    <t>2026-09-23T03:35:56.284466Z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</si>
  <si>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</si>
  <si>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</si>
  <si>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</si>
  <si>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</si>
  <si>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</si>
  <si>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</si>
  <si>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</si>
  <si>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</si>
  <si>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</si>
  <si>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</si>
  <si>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</si>
  <si>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</si>
  <si>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</si>
  <si>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</si>
  <si>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</si>
  <si>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</si>
  <si>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</si>
  <si>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</si>
  <si>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</si>
  <si>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</si>
  <si>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</si>
  <si>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</si>
  <si>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</si>
  <si>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</si>
  <si>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</si>
  <si>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</si>
  <si>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</si>
  <si>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</si>
  <si>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</si>
  <si>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</si>
  <si>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</si>
  <si>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</si>
  <si>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</si>
  <si>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</si>
  <si>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</si>
  <si>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</si>
  <si>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</si>
  <si>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</si>
  <si>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</si>
  <si>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</si>
  <si>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01a0cc56-5516-7303-9d22-da3614856b03</t>
  </si>
  <si>
    <t>Fresh input</t>
  </si>
  <si>
    <t xml:space="preserve">    Tool definitions</t>
  </si>
  <si>
    <t xml:space="preserve">    System prompt</t>
  </si>
  <si>
    <t>You are the planning peer. Read the latest user request and earlier context. Write a short brief for the responding peer, preserving user constraints. Do not answer the user or call tools.</t>
  </si>
  <si>
    <t xml:space="preserve">    User prompt</t>
  </si>
  <si>
    <t xml:space="preserve">PARENT_ONLY_DETAIL: Answer in French. Explain agent workflow delegation.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This is repeated background for the compaction demonstration. </t>
  </si>
  <si>
    <t>Cache write</t>
  </si>
  <si>
    <t>Context · added / total</t>
  </si>
  <si>
    <t>LLM response</t>
  </si>
  <si>
    <t>Reasoning</t>
  </si>
  <si>
    <t>Output</t>
  </si>
  <si>
    <t xml:space="preserve">    Output content</t>
  </si>
  <si>
    <t>[{"id": "rs_01e353553aba5d52006ab3494dd8f487d288f0cd28a23d4df5", "summary": [], "type": "reasoning", "content": [], "index": 0, "encrypted_content": "gAAAAABqs0lO-csEQMa4MbP7y2Rr22GFhGzSmlMH-c0BbNPsxUaTglYfA2x6kycEi6e2VukGLw2oXY3mg4J-x_ga6hqEIIlGFL6eeCtGeEx3uv4RWRCb1bz4U21KmtEh2K-fUv4ny4Q6Z7DlO8IaF6PyudlLSLRR0A83yZkBCFMFA8vg32dHMV6UNRlQWnci6Hf589-qv4c-WMesx-vQ613vmC_uXYawpYzA8MCDzB3qx0mg0K3QGETNF4BjuXHTFGfEpgPS82n_O55duVbZAl4CYiPAHOCrbeEGxHa0EsmelF0UB7mfQH-LuxH6ZJW1Hgzey5_uaB8Z1FruL_-cB3UdPX9_G01mhW07xxnOiD9s3hjzVQGktFdMj1qRpjmAQQ_tCd9tsLjrGHaZ4xoER2pNzY61YxRY41G1meZxBJD7OPmA6WmtMZXNh1zOkAz9auCgLQFlOWdxi0UhaXM5lA_vYlptnuPElozMS1KcmdZBnB00Tv1gTBVj32fz2v2ozaK1w6zpMeu5Gw_YhO-T1bk7LgAMYpzaYM2ZEDjydz2JUM09JroqFd_z19_CrS7NvgzuOf-5YxwXBdLtgNEgwkg4EUtTQdcTPDwwf9LJVqSH70cv-8P6_xNJOTZM1eOkag6VWUwIwe7vVA7-vpBW0aD7NcpdK9DgbX4AdXBLBh0hzB-_jMbOXuc3WVbLgCWGgE089-GLSpkYbEKjaxqf9qjDJVMhU8pVq7s7DvdylXt4T3VCo03QADLfPKU6Ncy-dnrQCwSu9F-3ouUPLZxNlrnl49pqao6KZn83YgXYSy1H2ynqTEUlMdz0A7eaw4SOt-h_8i52OsJg7ApJWvRgnZMczGgXVLQFz2jROhpyjjf7ptC-Nsnw4U2KkNraMGy-SytXwgJSU4ZI0mRp7HAt8QQ6YNl9iQ6SRknFCwb5CnZWM946sqsXLECTij8Q09V0EU0wq8_umrIDgpv7f2hAUSJFb4pYFJ24LoQxyMMiAdbUi2zJ4iBski01hTl68cgKgYnaC2xcnPf5AP2lKnoZLQlnvJ_JElIQHo2NAJFbCV8gSN9bXnvy1nrBwVMLhH3Dnpb-6SXTqsMNiNA_JLwm0g_GtkFhw9Z3PHAAHnFBrNTztGcL2z5vXpXnAhW22p8vlIDI-xAqHJJ7PKSCJWLWZrC7-uTCjgQDwDBEsVtJGqYYACmeIZjRX6qFW3K8fQJnFW7jQA6S0t35_C6XAMrB5mJVbf-onODpzl5Mt-Vmx1FbX6oC9OzZ3c0f5-e3GNhHNfVJkHjOU0ctRvtJVzJDW-rXS8GWqC5wP0IAPt_IXjqWvVa4AFgjkxTeMrQ4Fes586FjCAYNchLPKKzQEJv5BJ-IU7g78EKRPJUjfF6woXwyU0rE0qTHR_DBDO9xvGl_sS-cY6Vrv1A9"}, {"type": "text", "text": "R\u00e9pondre en fran\u00e7ais et expliquer clairement le fonctionnement de la d\u00e9l\u00e9gation dans un workflow d\u2019agents : l\u2019agent principal analyse la demande, attribue les sous-t\u00e2ches aux agents sp\u00e9cialis\u00e9s, puis rassemble, v\u00e9rifie et synth\u00e9tise leurs r\u00e9sultats. Pr\u00e9ciser les r\u00f4les, le passage de contexte, la coordination et la validation finale. Omettre le texte r\u00e9p\u00e9titif d\u2019arri\u00e8re-plan, qui sert uniquement \u00e0 la d\u00e9monstration de compaction.", "phase": "final_answer", "index": 1, "id": "msg_01e353553aba5d52006ab3494e3be887d28f648041d5d2ab61"}]</t>
  </si>
  <si>
    <t>Call total</t>
  </si>
  <si>
    <t>ok</t>
  </si>
  <si>
    <t>R2</t>
  </si>
  <si>
    <t>01a0cc56-5ec9-7f02-91d0-f509b3d47b71</t>
  </si>
  <si>
    <t>Empty system message (framing only).</t>
  </si>
  <si>
    <t>[{"type": "text", "text": "## SESSION INTENT\n\nR\u00e9pondre en fran\u00e7ais et expliquer le workflow de d\u00e9l\u00e9gation entre agents.\n\n## SUMMARY\n\nLa demande utilisateur est de fournir une explication en fran\u00e7ais du fonctionnement de la d\u00e9l\u00e9gation entre agents. Le reste du message r\u00e9p\u00e8te cette consigne \u00e0 de nombreuses reprises \u00e0 des fins de d\u00e9monstration de compaction et n\u2019ajoute aucun d\u00e9tail op\u00e9rationnel.\n\n## ARTIFACTS\n\nAucun.\n\n## NEXT STEPS\n\nR\u00e9diger une explication claire en fran\u00e7ais du workflow de d\u00e9l\u00e9gation entre agents.", "phase": "final_answer", "index": 0, "id": "msg_069dc51ea0753e5e006ab34950a3d487d29f5adc1d8c5c4be5"}]</t>
  </si>
  <si>
    <t>R3</t>
  </si>
  <si>
    <t>01a0cc56-66ed-7cd3-adba-51ecf5a9a2de</t>
  </si>
  <si>
    <t>You are the responding peer. Read the user's request and the planning brief. Delegate an echo demonstration to workflow-specialist using task with a self-contained assignment. Then answer concisely using the returned summary. Preserve user constraints from the shared conversation or its summary.</t>
  </si>
  <si>
    <t>[{"id": "rs_01e353553aba5d52006ab3495254ec87d28de61a5b28755fd2", "summary": [], "type": "reasoning", "content": [], "index": 0, "encrypted_content": "gAAAAABqs0lS1CgPdCBd42V5mGhIld4NAbtvOH2F2tl9eY02rMvvK_weSd6KCDnvnpzOeSNVcMhXxhPlVtpeVsEDfYvdLambVmNBXccFp9f7LHAdswt5kNc2nzWyp6Yr4P0lqUjX5S7nnAa7RZqe5GEfKExrvsNCARMezPgGHOTEDXGbi89AJF6b8YDFYzv2fh-9F5NAENhPxzJQLcWkjI3N-heraD3vUJmqkhy_st6gZ-LEcFCiyTws4pJtW6jBa-6KvwpX9h4i0S03hOiSc7-U3ZX6sNLmo5o1zvHMMvH5n5V3icQXrZ8vqObsO49FCHivsW-Yr62tA7RSkDVlkzkmKeAxC9P6L_RL_mGuWDwnOCaTG0kEhptcw-UFl3aqAXCGZRvtK3JGHtQSWHdpLPm1CaxNXL-87nPox7xdYPhzG1QOHksEvLwOktm8-4dlvwcVROQPmZ7oMaSdbq810z7L3a5B0VqnQ7bcIfDKoyayQjmJPeNWrytbp6uL_4cYO3R6SxsuDg3Lhq7e6-H9pHU9NmkBPHGVQZDOeWi7pEi4tEOi31kyX7KR77XoX3NHkZaqZbThe9wC9g9nGRHNu6ijCDvtsWEwzhLrsL0ngedUWQwvcXtMFtfAf154RFSfPr-xCDJWf4h-bIGBe-wSpZbVKfU-BFJ1lUp76MOG9yL3ea_dlLMojQAzq3f0OU0AW_RKudxCwcl4iG1LY-Oepen4AzEOcj1TeBXw0osEAxn0za8Wd--44Ykv8b2yDZ9Yd0v_MDI_BG8Twp3Vyh3J7RoEG3kkjXhJopSxEIDUuTDAvLe6fWW_HRd_H32aNfM8jysK03u1-BinfS2Q-qyWTmweIba0IQeiB6lcdqUn5vIWlg0-AZ3z1ljT0P4IeQIj_klv0FVRd0hDPfCdM1-euAfTHG1MfhYm4ucbnhsSJxx3qi-zB7hdcsHXIUlDISqCwiImXxeAmHEnzaxkQP9okdHOFQJX8cJvP_2jBl8_CLcbxm7RDc-sENPYFzPLplhGb_DM6QHz-U-aRcr-xWDKaG8nRK0VWm08tmPu2WLBRD3ctUoXZJDKyC4_65ihNyeBY07hTzd5cS7NDcxvPyXoRyOSjvOaqcMuv1YK3kn_dPM0JuFllKjmL6Qtezf6uEVYIbUgKHhXOUoWK6ALGrZ0oBzxgl7DDwZnU_wUdbgpmHrhL7KCIixM8hKnZQ7Vz6_-S6frTIDjQO2dfQAWOUG1jyVKmc9J0bgwLuecLk7X0WqkUig7oTGmlahPQSG5GaWxz700DzOb59H_7WVd9kan83mkxqPEWVTvPRNDT7rbin1XaCsxMNbOjExv17xL_SEFfG-JOWDwES3E"}, {"type": "function_call", "name": "task", "arguments": "{\"description\":\"Effectue une d\u00e9monstration d\u2019\u00e9cho pour illustrer la d\u00e9l\u00e9gation entre agents. Reprends exactement le texte suivant, puis ajoute une courte phrase en fran\u00e7ais indiquant que l\u2019agent principal peut utiliser ce r\u00e9sultat pour pr\u00e9parer sa r\u00e9ponse finale : \u00ab La d\u00e9l\u00e9gation consiste \u00e0 confier une sous-t\u00e2che pr\u00e9cise \u00e0 un agent sp\u00e9cialis\u00e9, puis \u00e0 int\u00e9grer son r\u00e9sultat. \u00bb Retourne uniquement le texte \u00e9cho et la phrase explicative.\",\"subagent_type\":\"workflow-specialist\"}", "call_id": "call_s6ZhHcNcdRAggPMaE5UAMiuk", "id": "fc_01e353553aba5d52006ab349528a7c87d2bcfa2eb32efb06c1", "index": 1}]
{"name": "task", "args": {"description": "Effectue une d\u00e9monstration d\u2019\u00e9cho pour illustrer la d\u00e9l\u00e9gation entre agents. Reprends exactement le texte suivant, puis ajoute une courte phrase en fran\u00e7ais indiquant que l\u2019agent principal peut utiliser ce r\u00e9sultat pour pr\u00e9parer sa r\u00e9ponse finale : \u00ab La d\u00e9l\u00e9gation consiste \u00e0 confier une sous-t\u00e2che pr\u00e9cise \u00e0 un agent sp\u00e9cialis\u00e9, puis \u00e0 int\u00e9grer son r\u00e9sultat. \u00bb Retourne uniquement le texte \u00e9cho et la phrase explicative.", "subagent_type": "workflow-specialist"}, "id": "call_s6ZhHcNcdRAggPMaE5UAMiuk", "type": "tool_call"}</t>
  </si>
  <si>
    <t>Tool · task</t>
  </si>
  <si>
    <t>01a0cc56-6ed0-7851-a2ab-97506cd12931</t>
  </si>
  <si>
    <t xml:space="preserve">    Arguments</t>
  </si>
  <si>
    <t>{'description': 'Effectue une démonstration d’écho pour illustrer la délégation entre agents. Reprends exactement le texte suivant, puis ajoute une courte phrase en français indiquant que l’agent principal peut utiliser ce résultat pour préparer sa réponse finale : « La délégation consiste à confier une sous-tâche précise à un agent spécialisé, puis à intégrer son résultat. » Retourne uniquement le texte écho et la phrase explicative.', 'subagent_type': 'workflow-specialist'}</t>
  </si>
  <si>
    <t xml:space="preserve">    Result</t>
  </si>
  <si>
    <t>Command(update={'messages': [ToolMessage(content='« La délégation consiste à confier une sous-tâche précise à un agent spécialisé, puis à intégrer son résultat. »  \nL’agent principal peut utiliser ce résultat pour préparer sa réponse finale.', tool_call_id='call_s6ZhHcNcdRAggPMaE5UAMiuk')]})</t>
  </si>
  <si>
    <t>R4</t>
  </si>
  <si>
    <t>01a0cc56-6ed3-7700-93da-b5b76cc639eb</t>
  </si>
  <si>
    <t>You are a workflow teaching specialist. Call echo_tool with the assigned text, then summarize the returned echo for the parent. The echo repeats supplied input and provides no independent factual evidence. Do not delegate further.</t>
  </si>
  <si>
    <t>[{"id": "rs_086e9cd2f79be613006ab349544be087d2b47a561bd491e3b1", "summary": [], "type": "reasoning", "content": [], "index": 0, "encrypted_content": "gAAAAABqs0lVzM2R5d2UWI1BTNF0tUR5fpsiwTXYL7baqNq5w2nRwQJ_Gn0Pe3BhLFOGKpcOKxT9zjtTbsBK8fkXoH6QKoE2Ik2s2oXQ5CxGnUy3Lw7rcf7BqQX4R0n6XSdwcg7X1QL-LiT1vg3C4eo4A63KFRl_zMMr06Eoq0HQtgYoZoJ8Zln8ZdZlsPMtycy9M7zBiojOl9cpPm8NQzlCCfvevV6q79HMCoa3c9X2WIAHsZ1K956NvTsG2mrL4kkJuSokNmI0yqgGA5pHXmaJnaAHsCHJULjamKnpilpTqVLLMsUwm_Cd_-4oZOi3Jz86uUPi4TLd1eie4OjBy47nbbXg2VbcHfSI9FeFtEiAOwKoj7CL16Sc6ed0KH6Y6YZqNnR-r3_6eTBT0qRnSfITJGtwvLzCLsV_76pHwis74cKcb6E5TiDuxHgmx6fWb3BeogwP3XYcyOkUMIkF8llKZMT1ubd9NPPIblXmkleq6SToqZz0gOMSZv6vbZ_Yma6J-zA_1sA2mAp0Si2-XUYF8GZevdHMGREiSvn1K7nWlE_ZFDKI4e-z3tBFFHOpFMgmAtCCcwZyArY32DvIhu6kW1K_oZlyMfC0p8ZWQogChti1IC5varAMVqGp8TdTK2nfD-p0xp9_rKOl-8VGmXhppSOWQiLn4KqjKvp8cyxCfLuoiTVT3NjQ35N2j17EucjIQ0zcx7sIhavmMG8AUYDp86dFQXMXsYcCZDeusWb4wBxpUYb5kva4zbM0u815Pne15OgMWmsg25dQgyxbCo4oqJ12__LQ4NogVFskTIXa5RLZ0xk2Pk28oKQGY4InotxGsCqh-ZdVTKxnO9Mpfz55LWmLpoZWJ7qF38RP7J_932RQg93VTWhy3KM088PAVzrBJx7kpjg0lZSRONleNBQZ_2qNB61LcjnTa7N8UZi2U-n6pYdv-91atNPLd4f2nOmMzB5ftY-Jpg3EXjABZKaLGZtLdeoS_qnIC0zribpVoeZ-hL0a0rnA5zHhX5LHy4CwPyytw55AaLWU-qXWEziqxM0AcqMhWvVysiboj-L12VY7Nmiv9mSgLk0RrAVxg3CvJuZRjqpdJ9mJTJqjERKscOy8d8Ck5tD4uB-JayeA18BLu2i1rOmwKZqSTJafzkkAlKw2POd-gsXwnuwfrFNtLOqECJbYKdS8ihI19ko1zrXpCuDcTqdWnI4h8oDBqLnuN49oRvd6lvrnHlud8unvmbIpWnyJKEM9SMPr-skmEAQqGaveUR7bhgqYhdFIutbcPNltlvkcD9FAN4ERF3-rRts4r_PI1y3KX_QY53GNLSdiibTveXhRKpMUMiuDHGqHy7h9KH_WprSgOpZi56RFBr5_apgN3nz8S1txfh57gDXy4pHMCnxTnt5G2qDT7HzQ9Kd-VpMvRgHqZCFC3NT-JdAU1RLZFB9MOaFdzDYCV3VmdNI7AR5u6ogaJl_ef_PqAbXLCXWt0bjcQ3xyr-hjhqIwCzlhcS1z5dhWglvY7_0HV8TElJ0olu5A04PmU4VRxZO8bA2LKvb-ltLQu_t-RxGAtMgprtqqAuhgjFE_dWw6HSQW7zpnD3oht_CIwUMpzYo4jSTWzaXfIuZmS8LMcFBVFzh_SsCFrfg685RoaFPuLQ-jFIg="}, {"type": "function_call", "name": "echo_tool", "arguments": "{\"text\":\"\u00ab La d\u00e9l\u00e9gation consiste \u00e0 confier une sous-t\u00e2che pr\u00e9cise \u00e0 un agent sp\u00e9cialis\u00e9, puis \u00e0 int\u00e9grer son r\u00e9sultat. \u00bb\"}", "call_id": "call_GpjcLxjINAMZdPKEvlh2Xacv", "id": "fc_086e9cd2f79be613006ab34955002087d28c1574c801cbdb0a", "index": 1}]
{"name": "echo_tool", "args": {"text": "\u00ab La d\u00e9l\u00e9gation consiste \u00e0 confier une sous-t\u00e2che pr\u00e9cise \u00e0 un agent sp\u00e9cialis\u00e9, puis \u00e0 int\u00e9grer son r\u00e9sultat. \u00bb"}, "id": "call_GpjcLxjINAMZdPKEvlh2Xacv", "type": "tool_call"}</t>
  </si>
  <si>
    <t>Tool · echo_tool</t>
  </si>
  <si>
    <t>01a0cc56-75c1-7870-b241-e5cb82cc3047</t>
  </si>
  <si>
    <t>{'text': '« La délégation consiste à confier une sous-tâche précise à un agent spécialisé, puis à intégrer son résultat. »'}</t>
  </si>
  <si>
    <t>Your input was: « La délégation consiste à confier une sous-tâche précise à un agent spécialisé, puis à intégrer son résultat. »</t>
  </si>
  <si>
    <t>R5</t>
  </si>
  <si>
    <t>01a0cc56-75c4-71a3-8d47-1201268eceeb</t>
  </si>
  <si>
    <t>[{"id": "rs_01ce16f53eb0672e006ab3495608bc87d2a71d580282ea8723", "summary": [], "type": "reasoning", "content": [], "index": 0, "encrypted_content": "gAAAAABqs0lWcVUpRcDppV_QWNAcz4HIVo6UnQaXdssQN5JhSC9Ck1NUODJdzjEhLqAZ97RpcP90PmBnSrfNoEC3nypxjBHq9ZYcfr_ST6946S4tYJTIQU-ypSahN-yJI_NvMihHQD6P5gQ99GggOoCKi6xO8wvZ01DvGsFmyQMvLUythSYoLfitcHgB6hi1AeldsC-qQeITpDBGHqizVjxKnnH6cc0tJt2RrmfgJsGAU9Mt6HeFeAypjQSfMdfJhjkEZujtJrdPE-iMYpZep9CHOGIxVMUb8l0I8DF7XPucSmxeKojeLf-VcGP-6gYVDB0srg6dowvFIYTGmVpy_glfN_pKrGi-NLbFyx4H-LOBy9iXQ2vvh5NfIt7CYzF1r_O2D7-gehCarhmjGlrifhhQAq0oFpdc20rEhht1QQCWB9h2vpr0HpOSlEjEKfOduNW-7-6PjXP1BMkK_c9wjQCLxO3j9wcYP6RrsrnYQMmE6MTH9sAG5z60YNCTrwGNUMzrl_1wh3tr7-MS-5b8QCFjj2DaRnF7_foRlK0qqv6vX1ekpuj06cN4fuK2yL0x7RXM5yiBAHLs30DTgCuUfAxajDUgIQyreak0d_Vqjx-xJXqHWi5kNL3k2muq2jN_sW2bspRp1ReuBe-vD4qAuLQ5pZCbJB2gHTS_HE6kZ9BGyltJJ4AVn0iqgzhN0aQflqXzNNPFMcVjKviUNuEvGMG9j4jExgWy2MqgB-fimnoIYL2Ia1ztwp_yldEokMHqeUyZVnfFDZgEzkKZoNzRp9fu2HOC75VnvVOrTgmtlKze2iDhcCV7h6satkvCXUgA1NQNG3_A5zHRT1tcfDLGBw6sxTPDGZS_VMDakJtINcmuzADEV_aOnZ9IKEUH_eZmUTujeXV_gPR4n8OXbpewk3jNtlrjIxSGXlFJNQVcDMqJZNMEXdugaRGknEZk6GHbFzBKbzp6IPLeixZD4YEY1QoGVNhMMWgIEejh5APFgPx8xJuniZ_A2yK3u_r1-CiaB4Bk6Q1b1C3E4Y4V5B3peAdeH5ZBjVW33Nku9vvbYNYE3I0Onc2-5vG0Kg15M-1F12D-hpxp-idQdj6OXKsT65ni9Y7Nq489XYP6W3y3K5k81NoeY4Rtqk1U3ocpaSo5Awh8jaxBummBw0_2XmUCLtswbhCJF8ufYpbTcpoVLL9qSB0gDuDIcukuJixrsfUAmvY2HMhE-XAGkkl2kZTvZvXKqH88IJZrMNUT99uP0IAiBKzxUvEsvHsmzPArzVlVs6_9f4300W6QAL7NrApdW3EAdp5QnPS6lr2RgmF75gl2SyP5QrUsWKzEPTx2h9la8BKEtJD-c7B8"}, {"type": "text", "text": "## SESSION INTENT\n\nEffectuer une d\u00e9monstration d\u2019\u00e9cho pour illustrer la d\u00e9l\u00e9gation entre agents.\n\n## SUMMARY\n\nL\u2019utilisateur demande de :\n1. Reprendre exactement le texte suivant : \u00ab La d\u00e9l\u00e9gation consiste \u00e0 confier une sous-t\u00e2che pr\u00e9cise \u00e0 un agent sp\u00e9cialis\u00e9, puis \u00e0 int\u00e9grer son r\u00e9sultat. \u00bb\n2. Ajouter ensuite une courte phrase en fran\u00e7ais indiquant que l\u2019agent principal peut utiliser ce r\u00e9sultat pour pr\u00e9parer sa r\u00e9ponse finale.\n3. Retourner uniquement le texte \u00e9cho et la phrase explicative, sans autre contenu.\n\n## ARTIFACTS\n\nAucun fichier ou autre artefact cr\u00e9\u00e9.\n\n## NEXT STEPS\n\nR\u00e9pondre uniquement avec le texte exact demand\u00e9, suivi d\u2019une phrase explicative courte en fran\u00e7ais.", "phase": "final_answer", "index": 1, "id": "msg_01ce16f53eb0672e006ab349565bec87d29a0329764cbc68c3"}]</t>
  </si>
  <si>
    <t>R6</t>
  </si>
  <si>
    <t>01a0cc56-7dfd-7462-8ed9-f212d9f39ef6</t>
  </si>
  <si>
    <t>Conversation history · cache read</t>
  </si>
  <si>
    <t xml:space="preserve">    Tool result</t>
  </si>
  <si>
    <t>[{"id": "rs_086e9cd2f79be613006ab34958eee487d290a117b976e7d020", "summary": [], "type": "reasoning", "content": [], "index": 0, "encrypted_content": "gAAAAABqs0lazB2TQKtuM-Fv-OcTQUCN9AgRmq-Yo44o3CdTcMpukunswIqXf58B7qu50RiYujwsJInAKBpNtr7QCC_Xev26XljMdGRVJ1QfZo0P3PtgjBZKRfP0Pp34k5cNsTPahAMf55HBEPIGKrspUZNBNSV61jtNi5aiSWCggu4DoQhIf9keWTxsZbvPGebVbMYRDVESWbDmvyOxpnTlu44IIt4N0VHyKO-Fo9QRV3SRhD3f2poO0nTx17PpSIbMs-MfDKjVVB1fnUH1HD-rAQ18namxaj4kB5vQMiTOjLQVM9uhr97FmrtsAxgFGhNYQKf6EiMocQfLHqU2zlXlMEDtkKdQk5CNv5kQ1iQlZtN8vCApGkRhHCH8I6Fb7eyTkqPRYyCwY49RnjhiTrNh2oNSOk6-3OMqibZiC8wDCqQLOkeH9wMdhROALpTz51jGbYHPTZHM32E6IfHsTE4Vo9tE3VXzUVv-a2ANiEUDuGmUDNFTDp61qftB6MihoTe2eIJssbpd99Da29flF8BMxD99iZjoKVb2uP6yNVdct4XXAMEt7BCpcpHUZkz1qxyFyDZDkCuiPdHHJq_8uRyZ7MrmWlgpcSmeHvheiK4k96x078yOnBuuSt0BRvIlevzpHaiqNDdhvPoMbpFZLF-mUaFdqC5mE6vv8iqLNDTDfUjap8frh3uJVJQ0aqDPK3zBCi9ri8lJnVQsdlDXj279gMl9VrY0C7I46L3Nn7d35yCcfVFxc1iQVSC4aJUimeavVFOxdReuv46IokJPwkDIYMJwxeNMH8msnjbUganAipEFRxqYvKd7W1sExQ1Ez3qqX-mOXmW8cZu66GU7GTp8uJ-lp5uJdzuLYUnvATtaGKQ7J2tDNcYOJwgZZiGdouz-fetWr4Fos2OO7UgVrSVQd0rqee-kTDpQaYhK9MDaKEoXudTg-BalAUZCIkmwwdueuQrhGe9f6U8sbUK4SCOXXute6JJaijHZfgZa4QECZCiFSR-oFdDWZJLzt6hedhVVxz5dzab3Tx7kFzKEv5reMJSkAngLXZaZaCxihj6_LCinbv1asDvDqOy_Q4oFKukJfa7tSMFhZJe00FQcbWJT2Z-AJVsG2P_BTGNhLQRzOiQ2OG-WOoAq3WWImfAs0V5YXdtS-8RlO1TXFEUcmgEC2u0BwHhfNR2wZFXV2-jiC9GCwholY5sFXGc1atC5FAJO1faztXeh9V48Fe5hYTIgMhTbwBb7vZJWPnQFnOkfZ6yKy9jj9J3raxiCHBpcFDb78dMiO6r64WJtJnjwRsNIwcfCQ_PgZO23sJw8EhflPv--RtSpd5G3IqSa65XXa_fn5uxmYKjS8PbBmuq8_R36KjRpo1xidmPOFlCy-2oBNHwGVGM44Q1a0713NArUuLtCAR9i80JNlSZ6wGRm0Kx-z8cdDjgrvD30UyTmhqroCpZIdEsOYjnAuvuLlQLGw_IC8SJ1f0zzTCzuaZLX8QMR9zXzX774QO0kC1AkYX2rDrDMfLWWmc8tnHdeTdv6lUJ4KJrNr-JyuYGACMRyEbqx_wlif3hCVlNL_AQGIhw95of_SDiqnBGYmGOqSizG1_wWzUvOrEa7GBI-Nu7lr4CQo7DTlYoYZdRiLljkVnukxlaWvoanQFyxMbkR4VqhOsE_gl_Aw28MC3-T43PpkswUdzVTPdR-_NapjBIkhJdR93l7r3mxOTa7oukMEXsrOiy990qLeh_6Q2InPuq5uQA6w2p__5xLkjKf65x7gZyfByc0G37QGKmZEKnacjdpoURNrEn7fOVgVkbklIf_T51m2mW1TZgpxzOMd9Kn3229PxnMGoJ_58q65h1z2L4fXiDqiUwMSNjHuzGjyYviAn2bsD7_HaTMW0AAHSAXu03QCDJgNx2Gf3FmaXUUJ-wHiLHyYRXp11CmrULtYlkfkI44Qi89Gulzo7_FwpcmRHXmUQMP4q0z5YCxlnQ_aEdKd7lCJnrkYjeff-YKnkzjOd_6Cpp2-6jCPBDzmQnUhn43CnpQgWOdRlgLV2BT9CGSVvAxrUjZAZ0z5yWsbea6Qa_1QgyRdjTK2tFHY0O7xaGlcHn7FLxxNALQrEj-pF0tZYnKhonyDBei"}, {"type": "text", "text": "\u00ab La d\u00e9l\u00e9gation consiste \u00e0 confier une sous-t\u00e2che pr\u00e9cise \u00e0 un agent sp\u00e9cialis\u00e9, puis \u00e0 int\u00e9grer son r\u00e9sultat. \u00bb  \nL\u2019agent principal peut utiliser ce r\u00e9sultat pour pr\u00e9parer sa r\u00e9ponse finale.", "phase": "final_answer", "index": 1, "id": "msg_086e9cd2f79be613006ab3495a524887d2ba8bd7dc0dcf8503"}]</t>
  </si>
  <si>
    <t>R7</t>
  </si>
  <si>
    <t>01a0cc56-8b22-7e83-9b17-0e122dcb09c1</t>
  </si>
  <si>
    <t>[{"type": "text", "text": "## SESSION INTENT\n\nExpliquer en fran\u00e7ais, de mani\u00e8re claire et structur\u00e9e, le workflow de d\u00e9l\u00e9gation entre agents.\n\n## SUMMARY\n\n- L\u2019agent principal re\u00e7oit et analyse la demande globale.\n- Il d\u00e9compose cette demande en sous-t\u00e2ches coh\u00e9rentes.\n- Il attribue chaque sous-t\u00e2che \u00e0 un agent sp\u00e9cialis\u00e9 selon ses comp\u00e9tences.\n- Il transmet aux agents d\u00e9l\u00e9gu\u00e9s le contexte, les objectifs, les contraintes et le format de sortie attendus.\n- Les agents sp\u00e9cialis\u00e9s ex\u00e9cutent leurs t\u00e2ches et renvoient leurs r\u00e9sultats.\n- L\u2019agent principal coordonne les travaux, compare et v\u00e9rifie les r\u00e9ponses, r\u00e9sout les incoh\u00e9rences si n\u00e9cessaire, puis synth\u00e9tise le tout dans une r\u00e9ponse finale coh\u00e9rente.\n- La validation finale reste sous la responsabilit\u00e9 de l\u2019agent principal.\n- Le texte r\u00e9p\u00e9titif pr\u00e9sent dans l\u2019historique est sans valeur op\u00e9rationnelle et doit \u00eatre ignor\u00e9.\n\n## ARTIFACTS\n\nAucun fichier, ressource ou autre artefact cr\u00e9\u00e9 ou modifi\u00e9.\n\n## NEXT STEPS\n\nR\u00e9diger directement l\u2019explication en fran\u00e7ais du workflow de d\u00e9l\u00e9gation entre agents, en couvrant les r\u00f4les, la transmission du contexte, la coordination, la v\u00e9rification et la synth\u00e8se finale.", "phase": "final_answer", "index": 0, "id": "msg_07d1af7d276c25a3006ab3495b7e1087d2a6ee8491def861f4"}]</t>
  </si>
  <si>
    <t>R8</t>
  </si>
  <si>
    <t>01a0cc56-97a7-7d60-9ed6-ecc9d6fc9233</t>
  </si>
  <si>
    <t>« La délégation consiste à confier une sous-tâche précise à un agent spécialisé, puis à intégrer son résultat. »  
L’agent principal peut utiliser ce résultat pour préparer sa réponse finale.</t>
  </si>
  <si>
    <t>[{"id": "rs_01e353553aba5d52006ab3495ee9f487d2adf7d9552ff72c0f", "summary": [], "type": "reasoning", "content": [], "index": 0, "encrypted_content": "gAAAAABqs0lfaEQU33Jq_b1diqtkjPh3beatEWFt4F-T7jfNT-w9E-XeJjmZ8GWgPpIfYTQ4P0bmK_VATLAZ3XBrtWVQI37beJUdO2hvZHdWS5HK4farGn7rq0NUkgrvQnj7gHyTG4i58djkIhPx7I2d0CZYJWuWd9REYh20CTVJa05s-S1E16O1O8S7TjCz7DZrQvoNHZcmZiScdL8QVzbaybrKk63akcjQjr-3zosrrRKKQeKnN60biGyT6M5SP3cZ69TajqsD_bk0w5yuNtz5xl-UDXVRQY0tX9daRe5SfKwXbeU-YlC90ltNZ-3VuPQlXLC01tLXdGAQ0oYdysbrZ5FBVqxzr7eu0ISE6WeukjcsU4EdWV6ZKcbjutQNbtNK8dpr7yVRR6I84qO7lcpOxwUN8brkH-p3_akiidZhxEeaju1_GJhrPMLCQSUeIWNdMOQVAMFW6-4C6m8a1V1rjSDOs_nkJpqVPoh5DHCc-yO4ciYzioGlNSLtIR_2NkZZuvgrdJ9YPx0_6-7yds5Ene1X7FnBIyo9d3lSQh-27XXX2GwFtWruP438LOSHxF-6csUs9wj0duoqTDjo4QKK6oEwY6mI1VZjx6dhKjTbCCG07sQWlABVVXs3rpjpCfbT3yCGcKsHqMWj0KkNl8kU6DND0ySYe02aWv7EFGM-SRSUchwEdHkwCLhgyQqogyCPA1EavVMKCrlx9iMYANzwybqpXBff52PcGXj24DbdIK--iSrTIBQObm4aWQQcCkNwW-sOWPYfTtxZM77gpDhIFOT5h9u3MuoVgJP8ih0VLHu7sJwkDtCUtNH946flpiOzYQ-Snrx9jTd31CYt4v7jQYgaQsFwrfQpS6vggkAzAE6lP7Tib7pHVGymy4i5-SxtA_c1IqlOByjpmTDczKRWj6WUUFWhIRAupDdPdMHR3TOJUHhKZOyQbAKzM0-4kf2OQCReim9qrcWz4avUZ5XiS0utmvIE9GMDSJdwXaC8-UTfCpPqt7q473W2F43zRDOvmL-knHYPtRR3PYpJFgsK902LOxgQz89xf2ztIdUqa_6Pf_B8zJm0m7ts41fLeJ1M3mEDcsBvBK6h8E-uZRRCSB61iK_J4CDoTMjxF-AXpQkV5nx8AyZULQQq3AD5dZGgY0Bxnvriw9ZssmIflAgWVhcXkXCgl6ylJh61LxZFfguO-RkscPSi0p1bNJOyuknuEGp6E7Tlq4eqbj9yCYHVegq0PdeI-eW0YTUdt3yGc6MXSY9ee_8emBA4DvG57F-HEBlg2Q5Lvt54SQcwGmcXMzpL5iZsFs12LRqCDx1aGa18o3Wb-e5gh4glBLPAZXmq7cqSl65HWAF_UGESwX61wxkST13jhw=="}, {"type": "text", "text": "## Workflow de d\u00e9l\u00e9gation entre agents\n\n1. **Analyse de la demande**  \n   L\u2019agent principal re\u00e7oit la demande globale, en identifie l\u2019objectif et les contraintes.\n\n2. **D\u00e9composition en sous-t\u00e2ches**  \n   Il divise le travail en t\u00e2ches coh\u00e9rentes et ind\u00e9pendantes lorsque cela est possible.\n\n3. **Attribution aux agents sp\u00e9cialis\u00e9s**  \n   Chaque sous-t\u00e2che est confi\u00e9e \u00e0 l\u2019agent dont les comp\u00e9tences sont les mieux adapt\u00e9es. La consigne transmise pr\u00e9cise le contexte, l\u2019objectif, les contraintes et le format attendu.\n\n4. **Ex\u00e9cution et retour des r\u00e9sultats**  \n   Les agents d\u00e9l\u00e9gu\u00e9s r\u00e9alisent leur t\u00e2che puis renvoient leurs conclusions \u00e0 l\u2019agent principal.  \n   *Exemple d\u2019\u00e9cho : \u00ab La d\u00e9l\u00e9gation consiste \u00e0 confier une sous-t\u00e2che pr\u00e9cise \u00e0 un agent sp\u00e9cialis\u00e9, puis \u00e0 int\u00e9grer son r\u00e9sultat. \u00bb*\n\n5. **Coordination et v\u00e9rification**  \n   L\u2019agent principal compare les r\u00e9sultats, contr\u00f4le leur coh\u00e9rence et r\u00e9sout les \u00e9ventuelles contradictions ou lacunes.\n\n6. **Synth\u00e8se finale**  \n   Il assemble les \u00e9l\u00e9ments valid\u00e9s en une r\u00e9ponse claire, structur\u00e9e et conforme \u00e0 la demande. La validation finale reste sous sa responsabilit\u00e9.", "phase": "final_answer", "index": 1, "id": "msg_01e353553aba5d52006ab3495f3adc87d2b632a641dc5b06fd"}]</t>
  </si>
  <si>
    <t>Turn 2</t>
  </si>
  <si>
    <t>R9</t>
  </si>
  <si>
    <t>01a0cc56-a50a-7c61-8cac-eb0a1ec4d8bf</t>
  </si>
  <si>
    <t>&lt;role&gt;
Context Extraction Assistant
&lt;/role&gt;
&lt;primary_objective&gt;
Your sole objective in this task is to extract the highest quality/most relevant context from the conversation history below.
&lt;/primary_objective&gt;
&lt;objective_information&gt;
You're nearing the total number of input tokens you can accept, so you must extract the highest quality/most relevant pieces of information from your conversation history.
This context will then overwrite the conversation history presented below. Because of this, ensure the context you extract is only the most important information to continue working toward your overall goal.
&lt;/objective_information&gt;
&lt;instructions&gt;
The conversation history below will be replaced with the context you extract in this step.
You want to ensure that you don't repeat any actions you've already completed, so the context you extract from the conversation history should be focused on the most important information to your overall goal.
You should structure your summary using the following sections. Each section acts as a checklist - you must populate it with relevant information or explicitly state "None" if there is nothing to report for that section:
## SESSION INTENT
What is the user's primary goal or request? What overall task are you trying to accomplish? This should be concise but complete enough to understand the purpose of the entire session.
## SUMMARY
Extract and record all of the most important context from the conversation history. Include important choices, conclusions, or strategies determined during this conversation. Include the reasoning behind key decisions. Document any rejected options and why they were not pursued.
## ARTIFACTS
What artifacts, files, or resources were created, modified, or accessed during this conversation? For file modifications, list specific file paths and briefly describe the changes made to each. This section prevents silent loss of artifact information.
## NEXT STEPS
What specific tasks remain to be completed to achieve the session intent? What should you do next?
&lt;/instructions&gt;
The user will message you with the full message history from which you'll extract context to create a replacement. Carefully read through it all and think deeply about what information is most important to your overall goal and should be saved:
With all of this in mind, please carefully read over the entire conversation history, and extract the most important and relevant context to replace it so that you can free up space in the conversation history.
Respond ONLY with the extracted context. Do not include any additional information, or text before or after the extracted context.
&lt;messages&gt;
Messages to summarize:
&lt;message type="human"&gt;Here is a summary of the conversation to date:
## SESSION INTENT
Expliquer en français, de manière claire et structurée, le workflow de délégation entre agents.
## SUMMARY
- L’agent principal reçoit et analyse la demande globale.
- Il décompose cette demande en sous-tâches cohérentes.
- Il attribue chaque sous-tâche à un agent spécialisé selon ses compétences.
- Il transmet aux agents délégués le contexte, les objectifs, les contraintes et le format de sortie attendus.
- Les agents spécialisés exécutent leurs tâches et renvoient leurs résultats.
- L’agent principal coordonne les travaux, compare et vérifie les réponses, résout les incohérences si nécessaire, puis synthétise le tout dans une réponse finale cohérente.
- La validation finale reste sous la responsabilité de l’agent principal.
- Le texte répétitif présent dans l’historique est sans valeur opérationnelle et doit être ignoré.
## ARTIFACTS
Aucun fichier, ressource ou autre artefact créé ou modifié.
## NEXT STEPS
Rédiger directement l’explication en français du workflow de délégation entre agents, en couvrant les rôles, la transmission du contexte, la coordination, la vérification et la synthèse finale.&lt;/message&gt;
&lt;message type="ai"&gt;
  &lt;tool_call id="call_s6ZhHcNcdRAggPMaE5UAMiuk" name="task"&gt;{"description": "Effectue une démonstration d’écho pour illustrer la délégation entre agents. Reprends exactement le texte suivant, puis ajoute une courte phrase en français indiquant que l’agent principal peut utiliser ce résultat pour préparer sa réponse finale : « La délégation consiste à confier une sous-tâche précise à un agent spécialisé, puis à intégrer son résultat. » Retourne uniquement le texte écho et la phrase explicative.", "subagent_type": "workflow-specialist"}&lt;/tool_call&gt;
&lt;/message&gt;
&lt;message type="tool"&gt;« La délégation consiste à confier une sous-tâche précise à un agent spécialisé, puis à intégrer son résultat. »  
L’agent principal peut utiliser ce résultat pour préparer sa réponse finale.&lt;/message&gt;
&lt;message type="ai"&gt;## Workflow de délégation entre agents
1. **Analyse de la demande**  
   L’agent principal reçoit la demande globale, en identifie l’objectif et les contraintes.
2. **Décomposition en sous-tâches**  
   Il divise le travail en tâches cohérentes et indépendantes lorsque cela est possible.
3. **Attribution aux agents spécialisés**  
   Chaque sous-tâche est confiée à l’agent dont les compétences sont les mieux adaptées. La consigne transmise précise le contexte, l’objectif, les contraintes et le format attendu.
4. **Exécution et retour des résultats**  
   Les agents délégués réalisent leur tâche puis renvoient leurs conclusions à l’agent principal.  
   *Exemple d’écho : « La délégation consiste à confier une sous-tâche précise à un agent spécialisé, puis à intégrer son résultat. »*
5. **Coordination et vérification**  
   L’agent principal compare les résultats, contrôle leur cohérence et résout les éventuelles contradictions ou lacunes.
6. **Synthèse finale**  
   Il assemble les éléments validés en une réponse claire, structurée et conforme à la demande. La validation finale reste sous sa responsabilité.&lt;/message&gt;
&lt;/messages&gt;</t>
  </si>
  <si>
    <t>[{"id": "rs_0d946dc58ab0a768006ab349621ce887d2b545acf2a4251cc1", "summary": [], "type": "reasoning", "content": [], "index": 0, "encrypted_content": "gAAAAABqs0li1jkziWwadpE_OJq4o_aIeeJXxppO-qurBklXdEPvmQVfa9tf4uiomLN-jInJKaS5RKMcDjokwJhQZ0EH7pbJ6tnqUHXtluRwWlmvyQgbb5lmPzpoKn1-_suyICC5yT6PwQQsa4RpzwxzYwKDi-gU7X1gd5b6idyJW266-rF9NyczvefEIu02ioKXScs6D2TwMXhInwWJW2Ev_g_C2fZMrSzJ8-jntMpHTjB5YUP8c6BLrlQqtqZVZNYMJhbuNOPgMUFwpPZuHTOndi2U0-AdvFjV--vUCqeF4dhtt8YF8dE8cOc2tFDfnuWfqtXVaMRae2ttQAoUgdWBbDxErUoIOFsMiKf1OoPolK9dH4Yy6tYMSNvuiM3F73dz7pGGf5BoJJHl83y2jxIvDWV7zq0seD1j99bw6g7yb2VWaKLXZoE7xcVaOurEiDzt6_xfe0QqQfRHsaqdbA4g896qMKp81OsR6nibu5W_X13oGRM9SsrCWW1NN5c54aDid6DCyD6GvMvGTOChxS2lzexPgPAGGBk_YmA8ORq-1cyef5I8mfrW8U34gxFX0TfXv1thGhrgaUyS7zTnyy-AKYS0CYtubO7WdWPmSxwLa3zQktvl1dAu_4HLqoJ3yfhpy5X8_kg_SPYZOO0EEI8KaOQgiWx7K7QEZFsVzdDJ4MSViouclPgxtrPVVn7-wn-FNJ0tilbM8NnC9kJfk-SYQJ-06Xaul8Dz2o7sePvZEPvb0sxfBijWlgHxbSSAp_JQwWF8qGfXt1yJusPPK67hH1Z1jR4Iy6-sGlce3Z_PczET5YsyzwIdxSOWCpPPg5Y_F4Yn_cdzgudXXtsf1958Qsf9Ox3CTFn69a5Ir-t5DNJN12cYgI2ETUrVR7thExcRZk4888n_tiWmgZQ23fdiRhUlsskVsDbR992wnbwPVvhrzXB2xUX7tYM8-2ji-UvjlSsUGV32DUkQ691yvDT-jWOGhUenNBHdlMkJOeI4-pqGqk120AOP149yKHwh8LZBYJWE-nqLtfyzt-5yEPr_GPQe3iJo-pwao9KmnJUvc5qH-ZdOV6Ufg06z_5SDRZeF34UOgcYCDePcxwWa4ONKLAPvcbxyLq84tJxNtZ-B4bEca9qnxssZFlpUwOthc33hSxndbSe3S8IW1BFquLv6OUplne1z8snNTGTn2hKHWLNXdKFgGlLswbVYtC0hdHMOMGk_Tjl4nOAX7lnLFcpFbwA2W0lRoTCh23kPp3_EZ4rLjuWFKmnfUCJnkZUGwn7ssYmIAIX1r1ToFabJ8dWJRlEX9Dri97IiMjdMsMpmAT7br8N7mvGPhuqNWlri6-qDtNgoWFQXbwQqXHHySQtqfgc7wVo_0Q=="}, {"type": "text", "text": "## SESSION INTENT\n\nExpliquer en fran\u00e7ais, de mani\u00e8re claire et structur\u00e9e, le workflow de d\u00e9l\u00e9gation entre agents.\n\n## SUMMARY\n\n- L\u2019agent principal re\u00e7oit et analyse la demande globale, en identifie l\u2019objectif et les contraintes.\n- Il d\u00e9compose la demande en sous-t\u00e2ches coh\u00e9rentes, id\u00e9alement ind\u00e9pendantes.\n- Il attribue chaque sous-t\u00e2che \u00e0 l\u2019agent sp\u00e9cialis\u00e9 le plus comp\u00e9tent.\n- La consigne de d\u00e9l\u00e9gation doit inclure le contexte, l\u2019objectif, les contraintes et le format de sortie attendu.\n- Les agents d\u00e9l\u00e9gu\u00e9s ex\u00e9cutent leurs t\u00e2ches et renvoient leurs r\u00e9sultats \u00e0 l\u2019agent principal.\n- L\u2019agent principal coordonne les r\u00e9ponses, v\u00e9rifie leur coh\u00e9rence, compare les r\u00e9sultats et r\u00e9sout les contradictions ou lacunes.\n- Il synth\u00e9tise ensuite les \u00e9l\u00e9ments valid\u00e9s en une r\u00e9ponse finale claire et conforme \u00e0 la demande.\n- La validation finale reste sous la responsabilit\u00e9 de l\u2019agent principal.\n- Une d\u00e9monstration d\u2019\u00e9cho a \u00e9t\u00e9 effectu\u00e9e avec la phrase : \u00ab La d\u00e9l\u00e9gation consiste \u00e0 confier une sous-t\u00e2che pr\u00e9cise \u00e0 un agent sp\u00e9cialis\u00e9, puis \u00e0 int\u00e9grer son r\u00e9sultat. \u00bb\n- L\u2019explication finale en six \u00e9tapes a d\u00e9j\u00e0 \u00e9t\u00e9 r\u00e9dig\u00e9e : analyse, d\u00e9composition, attribution, ex\u00e9cution, coordination/v\u00e9rification et synth\u00e8se.\n- Le texte r\u00e9p\u00e9titif de l\u2019historique est sans valeur op\u00e9rationnelle et doit \u00eatre ignor\u00e9.\n\n## ARTIFACTS\n\nAucun fichier, ressource ou artefact persistant cr\u00e9\u00e9 ou modifi\u00e9. Une r\u00e9ponse explicative en fran\u00e7ais a \u00e9t\u00e9 produite dans la conversation.\n\n## NEXT STEPS\n\nAucune t\u00e2che restante : l\u2019explication demand\u00e9e a d\u00e9j\u00e0 \u00e9t\u00e9 fournie.", "phase": "final_answer", "index": 1, "id": "msg_0d946dc58ab0a768006ab3496265f887d28c6b5906a98d283c"}]</t>
  </si>
  <si>
    <t>R10</t>
  </si>
  <si>
    <t>01a0cc56-b1cc-71d1-916f-8073f5278eb2</t>
  </si>
  <si>
    <t>[{"id": "rs_08879017c2ec7330006ab34965dd1887d2b5768c72ec8df99d", "summary": [], "type": "reasoning", "content": [], "index": 0, "encrypted_content": "gAAAAABqs0lnnNep53ie1fppWSPJW1G3TkFTRNcjNzd8ThsTCPLlSsHuOkaDWpWVWOyA5BGQrpQ_kJPWKJ-uN9AU-ExQ0SikRGYAF5tPGtMBjlaKe0roxgpclsHkwuwsw-KH2eCQGkCDYSr2KX5fhsgydyY2zmDXTGhD9MnoBc7IZkcW6B8gOXw4deJbOOH2LUlGEa6K8phkkYhgn5sMz3zsnPVwJQzU5aIEsikcdXt3R8YnhfLi2qtfHn9xknr0dBya5ZhkMP6LOBsA0H_GTCeG2VvWafQrq5Y0ZcAZNTaFajWWcSc9K9Chg6hKLNvBC2jgPhYk96rSdCusUcA3rPy2dJHeQ-uaZy_JtpoJIKUrxa9sEFRNfBPib4B1GT9tzqiW6Wm3doQJO3H1Ib0fHePQ_mMEoYugs1ML38sD4DAcEhcP2GvUhEIpJKEnO6Dq0dfaVIXsvafLHLbEc2D4bGHFE-8Skftpu1SNtben0-0JjnljtmBh8hFniVvDVUHNejS4gYgGF0Yv0fARe5N0Yn9zLaPJeY2PCUaCAgcHaU6wteuE9p3MG0g6ZKz-UJQ_og4vd9LpKLaapsSgEjC8mVvQ8ZH9CtdqmUmxlxrHSwucD7PXiiX_HrrZnjSLuKsafLoWtsaOzL5mEIHt62Du0-t_KVxvUogi9zGwbM773XEi0qxsW0jNlAxTlunQau9oTV6ChR6Ej8jEoDcrP2qZOsKPHfn0CyEE7KIVCuPsVhAW5Ca2S-AaYbmQejraT6vjwdu1oIUFuCgT7RIJbTSFf6gSEOSX0rEUNASsCDLpasNw2EjpsX0lxlIv3Wh_yi98KeSiUngGWYC1L_DRDbjPqBO1KlHcuCHPPwRgr7VyGVGyflkhXbbmktTvQ1-_Z5SUGNukX37hO29C_FU9nkP9J_hnDsB4tJvEP_dqNKK-Sbfw_Cw95YIriDaqYzhIlDBQCCFGUuhVVdpHEgj9-8GE422EdG8DIAYEqH6QnyKvp3H8WCvWlxn0ej2AxmbOw9ZY1Jmw7Iu_Z3nbhwMD_BBvD_XLDgVqiccwWmgz2aap4dys7SkM3ZU5o6am628n5hezWNyHfpvrCwKkvtez28mLGP3mhfZYPCUHZVktnLn7qaXmPr3GAKykCNgDONv7fcvOLmgCcRRV16WW_MSuiAvCpl2-dyKc9T_ATFBM4DsPuq1rSBPyadW14cuBurmQvwGE9DFMoQtCdHmlipkf7EHnBWhNiZTmKTKDpaz4x6R4BrBmQnTwavfJoBwD3MXNgW_oR85fMNQzT8mzYV0h2ti82s3fMDbS-ZLllQll1aocF33wPEm4AgGP-CxDgy2yT5Ar14O7ng9zTUmA6kU4lYjzO3ITnGtrcN2rwr5SDb0-x-E20eZi0E9AxLyMmOCARHEAJ8-Tqq6nEH27a87RnmfMU7wI9_Hrjs0R3mDIG4nRU0mfmgLfmY0b15eCA0ktxiMZIJO30fDCLT0MMxN-HojihKjwiLNrTw7a3LBMFLinScHRrxBXXAn38UynbWELaSaLFtY7yuWjNTM-OHFjexh_D4050FD3krFePCtWhmwwDLtVaJPTges_KExuDF64YJdqrxNx_6CSpTvLXt37F-S9cMSW_nVkD-g6xe-Mh3RunGhwh8igE0UdUziLi3k45aOfYCSBP9hclYaqrc6fAZD4KYpGEuBoV91GeVEKcu14RYj0HS__fJ8iAHHcFVMnHYu89K_knPSzhQuba45lrB2787dX3N0UnDoJLfaCaCyIO2qJB5mrC_oQlGSgTWaCzQ9PA799FJ6ry1m8TI-pwQKBqthaoLUMjtbDrVdMfN1M898dIy03ELMQiCh0u5FoAl90H7N_3uV4KznOMLstzQKtFUqATDjzIlh-96LtHKLBi4h83-fvgGf7v7laI3w-uXRPJz9y7CdNYPzVuzRKIdIoQXRFw0a4xjSAFKX54jXe642vA7PlmY4J_2TzTYxpu9bY-AYDf_2-6MeZwE16f1LR_eTCrBEWu_28r3Bb2KHflQGmM_QXcESPCNo="}, {"type": "text", "text": "R\u00e9pondre en fran\u00e7ais, de fa\u00e7on claire et structur\u00e9e, \u00e0 la question sur le retour des observations d\u2019outils d\u2019un agent sp\u00e9cialiste vers son agent parent.\n\nExpliquer le flux :\n\n1. Le sp\u00e9cialiste appelle son outil.\n2. L\u2019outil renvoie une observation dans le contexte du sp\u00e9cialiste.\n3. Le sp\u00e9cialiste interpr\u00e8te et v\u00e9rifie cette observation.\n4. Il transmet au parent un r\u00e9sultat structur\u00e9, incluant les faits utiles, les incertitudes, erreurs \u00e9ventuelles et, si n\u00e9cessaire, les r\u00e9f\u00e9rences ou donn\u00e9es brutes.\n5. Le parent re\u00e7oit ce retour dans le cadre de la d\u00e9l\u00e9gation, l\u2019int\u00e8gre aux r\u00e9sultats des autres agents et reste responsable de la validation et de la synth\u00e8se finale.\n\nPr\u00e9ciser que l\u2019observation ne contourne pas le sp\u00e9cialiste pour atteindre directement l\u2019utilisateur : elle remonte d\u2019abord au sp\u00e9cialiste, puis au parent, qui d\u00e9cide de son usage.", "phase": "final_answer", "index": 1, "id": "msg_08879017c2ec7330006ab3496736b487d289e916beb6a62d2c"}]</t>
  </si>
  <si>
    <t>R11</t>
  </si>
  <si>
    <t>01a0cc56-c7b2-7b51-bcb5-21ba15458c34</t>
  </si>
  <si>
    <t>[{"id": "rs_0ad2668b82f15e4d006ab3496aff6c87d28a3d2e45251385af", "summary": [], "type": "reasoning", "content": [], "index": 0, "encrypted_content": "gAAAAABqs0lr-HnTknbishJzbRAHTyPIqc3gOR9Q5el-99m4XJfSuvGt62G5ndbbT771HcZBm6ZN5-8_wfMP0NdzOF6sYIxWAzMzUvkwN6EeSgDuiCrF-7IRALlhi875pPtX61zPt5KOdqyfCSFTHcz2cw31iQoz5oz9nLnKROgjYQzC-tSzTsLVVg5h8-X4IoMSQOseF0wl3oJ4tHfaOT2uZIflIi0yn_TsevvhkmRsXc8lKwPapKBL1O4ICWLdrQuV1Kr_StX4EiGM4ewuj2Ndf6buVSqok7ekS0ZdFU94JNVlpqtvIQmDKBcj4EgLJfXIcaxg5At9vXwzX6gq33nlTeSQQ3QMTzXiJSvIZiYEPIqMFW8esRULbZvN6yyFeTfGmXjXMPPo6FvL7e43a0QpYsJy1UvSP4xb6mqrbz1JivIM1QOTRwf8pf_vVyKHSMIoqpchOOnsLi0LPNjjkUNNjKA4yUIUuGogaEJ1YRemXBtqvYtuPAbgdvIxrdwHb9oYOpOx0b_8WN2dbt2xQPMNEQQkF2ULV7b2EYWi3TFzfAZtHG9HCB5iGIyKkifCv_KkUubJzsgJkFDnzpkXCbl0LFBZpCVzzXdXaTAlLypNzA1TNFNA3Z0AaJaR7ZoNcPqkzsYoLDjPfscspk7z6oUOfjZ3X3Sl7RlYGRx2Y507_SUV7-0x8ylmeYE60z0JgS3KYjhpVelgEw-2XBprexCXxhYtBaP1aUrHNIo7TAJ6XxOv5XnIJg_w3IBRzwvqUlxQfdmo_O8PYjNlgJcG1mG0M5O391zABAvO0KgR9DVaskp97Wu6l29G7NaqMH3D79Ev5mtH1me0iIMzaHtUFJFsRZqQD8wmIJeD0cIrug-OSTGceUvgTKDxI-orhzrewtrs0GPFK7UQmiIvOPUKRTJIj1iOCTNlCaSPgIdK8jXIt4DfYxR7FzG0mGIVc2-74cWNPOP7DRYa25M0OcpEuNzml0B5SARIkaTaHm4jstaFackt8HA4Lj9e3HsPKD6WIQ1GLveSW5DxJJxAAlDDp61gRn2v-8P9IY0Z0P0jWY5lZv-gDyi-H3FepGcRLCBT4WGkJrcl7rT3U70dXBtmgADWe7YO28xD6pPp927_PoYhyrAFXcWvCZjeBSPpZbbk6luqNJ1d1gZ6ueeTiVJ-Leas5CmGLJvLnfXLJngMPpVUmYYKC2iGrKe4lA_rSAuTvIYgdtKQ-Zc7RC57K8h4E5jAl4wmj6ZMZ8lhMHKmoMVRzgRlMzwVepbP-J0SBdZlmhYaH93eceWIA7GieQhE6MaT_PZWcjBLLRj-1v584NosgjC967w3lOpltcvNYOwn_7M12NdfT0wMlts_Hkwo0myYoBOCjLVMy1hLEMDBDcJx-cTTqF7YNWIorR--_J4qpq4zkmylFYT67wkGOcWRojPdg-akkQT0e2NDLJMiMyEcg5Qs-im0vXVVJmcpghLc_U7ZP_5hQvw-kHTugmf3xbRR4drd_TmJ3A=="}, {"type": "text", "text": "## SESSION INTENT\n\nExpliquer en fran\u00e7ais, de mani\u00e8re claire et structur\u00e9e, comment les observations produites par les outils d\u2019un agent sp\u00e9cialis\u00e9 sont transmises \u00e0 son agent parent, puis int\u00e9gr\u00e9es dans la r\u00e9ponse finale.\n\n## SUMMARY\n\n- Le workflow g\u00e9n\u00e9ral \u00e9tabli pr\u00e9c\u00e9demment comprend : analyse de la demande, d\u00e9composition en sous-t\u00e2ches, attribution \u00e0 des agents sp\u00e9cialis\u00e9s, ex\u00e9cution, coordination/v\u00e9rification et synth\u00e8se.\n- Le sp\u00e9cialiste utilise ses outils pour recueillir des informations ou effectuer une action.\n- Il transforme ensuite les observations brutes des outils en un r\u00e9sultat exploitable : faits pertinents, donn\u00e9es obtenues, statut de l\u2019action, erreurs \u00e9ventuelles, limites et recommandations.\n- Le sp\u00e9cialiste renvoie ce r\u00e9sultat \u00e0 l\u2019agent parent via le m\u00e9canisme de d\u00e9l\u00e9gation pr\u00e9vu. Le retour doit id\u00e9alement respecter le format demand\u00e9 par le parent et distinguer clairement :\n  - les observations directement constat\u00e9es ;\n  - les interpr\u00e9tations ou conclusions ;\n  - les incertitudes, erreurs ou informations manquantes.\n- L\u2019agent parent re\u00e7oit le rapport, v\u00e9rifie sa coh\u00e9rence avec la sous-t\u00e2che et le contexte global, et peut demander des pr\u00e9cisions ou une nouvelle action si le r\u00e9sultat est incomplet ou ambigu.\n- Le parent ne transmet pas n\u00e9cessairement toutes les observations brutes \u00e0 l\u2019utilisateur : il les \u00e9value, les compare aux r\u00e9sultats d\u2019autres sp\u00e9cialistes et n\u2019int\u00e8gre dans la r\u00e9ponse finale que les \u00e9l\u00e9ments pertinents et valid\u00e9s.\n- La responsabilit\u00e9 de la v\u00e9rification et de la synth\u00e8se finale reste celle de l\u2019agent parent.\n\n## ARTIFACTS\n\nAucun fichier, ressource ou artefact persistant cr\u00e9\u00e9 ou modifi\u00e9. Les \u00e9l\u00e9ments disponibles sont uniquement des explications textuelles dans la conversation.\n\n## NEXT STEPS\n\nFournir l\u2019explication demand\u00e9e en fran\u00e7ais, id\u00e9alement sous forme d\u2019un flux simple :\n\n1. le sp\u00e9cialiste appelle un outil ;\n2. l\u2019outil renvoie une observation ;\n3. le sp\u00e9cialiste l\u2019interpr\u00e8te et la structure ;\n4. il transmet un rapport au parent ;\n5. le parent v\u00e9rifie et exploite ce rapport dans sa synth\u00e8se finale.", "phase": "final_answer", "index": 1, "id": "msg_0ad2668b82f15e4d006ab3496b8b8087d2af51ad07d13f63ad"}]</t>
  </si>
  <si>
    <t>R12</t>
  </si>
  <si>
    <t>01a0cc56-dc64-7522-a36f-994cb2b0f82a</t>
  </si>
  <si>
    <t>[{"id": "rs_08879017c2ec7330006ab3497049d087d2bb054b8391ecdb65", "summary": [], "type": "reasoning", "content": [], "index": 0, "encrypted_content": "gAAAAABqs0lwoC5QX_678MCf-BUvAxFMY3cjsxpor4aGTGir6wL3NrTGTJjJUZZaT8ig-vZjxPx_ZSHK3LYLu8n8wnxBpd8Dkq8Nftc158fqZVDEpjg8DSWNCmBNH7ulHKUsTIUkxxU7dkat6UY5A2l17LSqUxYs8aehDgRBDxeqiG88pYKKqWngsVFec95vIkCZSkggecdKZfpTJ4mgDLrQYOELdF4kgTj7W5RyPZk85vDPZpNMURhMr3jAQog08hsvpY96o5mJa7Omh4LOJ4FIrRRJqp3AYuKJ8JhHfQzB2B703CuuLKEzJfNJz06p__QI4_2snexyMQC2p3bhTM6HeH1i4JDP2qxVOgXYTWmRYF7CnEMwBGcsRcD9Fx8taFGq9bTWPXuXRdLpEACpxe-ZR-dmKNtSenpwMqKaht2GmpzaTg2Minq_II4lExRdCvH70rgcjkGi6yDEq5L70n6LRKMNlfkXCUVq-DD6hkHvGtyhuPibBGNzZ6uGH8uv7LUaGKEBUvQnMhG7ZRXCQIRlemOhI6U5_oKwhJAROtJQ6Y0141Gd-nzniQk2tMkhGuCZBMEQBW9RGt-EcGC000n3226sSVeN9rj_BPJPh8suPNMjn3rOcpfgBejy7VcxmDddyT_bt1fIq1s5c73M9qX8c4c22uciocwoPDfpo3CuA-U37CfPr2w9RZyNTNDgkkBqyjTv-onbqjL1UjK4RKh3MAy6flq3tAgeayXlbl7HTPE5x9KWLgQU6On5HtiM5jbCWIN7dZRlOv3oEu-scXBYImmR0qUmtQ3MsNnQ5nlChxz9L9Zs8HeRCsxoXk7niEsHAeXtdVjkn6U6zgRgK0QgiKVqF5A_kxq-z2R-ib_GPWCv3EkgJcdLaPDA0-IQJfL2ZrfC4WKtE94puD_yRC1LpwFrUCxWozlf74mHtCLdGSfDtKrcfNpfIXg5pVsrfZBhWWMHqtZ_ZcacsMEiH4xXi9bv2HH6iAbLDIzOjgv8cixt7wuuMq2WCva4477Uqv5qwBCV_NpLZxm33HjVOSV1K8uUpyehfePEaQnw-rFy5xSW3m4i6pKJICEJNjWKEZ8wWDc3PloJkxJC1WGaT808JQ1K5fh4xUwaA_9g7TeXuKayPr-Rk68NRi8xqK5JiQT0KOTaJ1ud8CKXg7ThAYwuhZOZdQktMEYPZrlvZjgN6-K2xjEDqQ-OaPUjJ-mahlYzMWW9I0h2OaxVqGoQytVlO7sTPjXgoDfRzrUKJ4tEpp_75ZcXkC3dHeVKVRDp7nMhcQFsVGUYgRCDBnA0O2hpEF3S0UfXNKR44b5oMGRSsyKXogcX83ZryCJXNqlt_8v3ZEl6xhVqIwOUh1Hux2zO_Eyu1jCSZA=="}, {"type": "function_call", "name": "task", "arguments": "{\"description\":\"Pr\u00e9pare une d\u00e9monstration tr\u00e8s concise, en fran\u00e7ais, du flux suivant : un agent sp\u00e9cialiste appelle un outil, re\u00e7oit une observation, l\u2019interpr\u00e8te et la structure, transmet un rapport \u00e0 l\u2019agent parent, puis le parent v\u00e9rifie et int\u00e8gre les \u00e9l\u00e9ments pertinents dans la r\u00e9ponse finale. Distingue observation brute, interpr\u00e9tation, incertitudes/erreurs et responsabilit\u00e9 de synth\u00e8se du parent. Retourne uniquement un r\u00e9sum\u00e9 exploitable en 5 \u00e0 8 phrases ou \u00e9tapes num\u00e9rot\u00e9es.\",\"subagent_type\":\"workflow-specialist\"}", "call_id": "call_rGu4ypwJR9O5dhpTcRRUTzFT", "id": "fc_08879017c2ec7330006ab34970a06487d29fc528644104578b", "index": 1}]
{"name": "task", "args": {"description": "Pr\u00e9pare une d\u00e9monstration tr\u00e8s concise, en fran\u00e7ais, du flux suivant : un agent sp\u00e9cialiste appelle un outil, re\u00e7oit une observation, l\u2019interpr\u00e8te et la structure, transmet un rapport \u00e0 l\u2019agent parent, puis le parent v\u00e9rifie et int\u00e8gre les \u00e9l\u00e9ments pertinents dans la r\u00e9ponse finale. Distingue observation brute, interpr\u00e9tation, incertitudes/erreurs et responsabilit\u00e9 de synth\u00e8se du parent. Retourne uniquement un r\u00e9sum\u00e9 exploitable en 5 \u00e0 8 phrases ou \u00e9tapes num\u00e9rot\u00e9es.", "subagent_type": "workflow-specialist"}, "id": "call_rGu4ypwJR9O5dhpTcRRUTzFT", "type": "tool_call"}</t>
  </si>
  <si>
    <t>01a0cc56-e473-7753-8d8c-d835bf421297</t>
  </si>
  <si>
    <t>{'description': 'Prépare une démonstration très concise, en français, du flux suivant : un agent spécialiste appelle un outil, reçoit une observation, l’interprète et la structure, transmet un rapport à l’agent parent, puis le parent vérifie et intègre les éléments pertinents dans la réponse finale. Distingue observation brute, interprétation, incertitudes/erreurs et responsabilité de synthèse du parent. Retourne uniquement un résumé exploitable en 5 à 8 phrases ou étapes numérotées.', 'subagent_type': 'workflow-specialist'}</t>
  </si>
  <si>
    <t>Command(update={'messages': [ToolMessage(content='1. L’agent spécialiste appelle l’outil et reçoit l’observation brute : le texte renvoyé est exactement celui fourni, précédé de « Your input was: ».\n2. Il distingue cette observation directe de toute analyse ultérieure.\n3. Il interprète et structure le contenu en séparant les faits, les conclusions et les éléments pertinents.\n4. Il signale les incertitudes, ambiguïtés, données manquantes ou erreurs éventuelles, sans les masquer.\n5. Il transmet au parent un rapport clairement organisé, en précisant que l’outil n’apporte aucune preuve factuelle indépendante.\n6. Le parent vérifie critiquement le rapport, résout les contradictions si possible, sélectionne les éléments utiles et réalise la synthèse finale.', tool_call_id='call_rGu4ypwJR9O5dhpTcRRUTzFT')]})</t>
  </si>
  <si>
    <t>R13</t>
  </si>
  <si>
    <t>01a0cc56-e476-7893-a6f4-3947df725156</t>
  </si>
  <si>
    <t>[{"id": "rs_00c873142e797f8f006ab34972ad8c87d2b2240cac9e421dfc", "summary": [], "type": "reasoning", "content": [], "index": 0, "encrypted_content": "gAAAAABqs0lzzXVDgZpMRftMOkDWnFlRAAR7KYu79dQf8PEcomXKy7IMCg1Xg40mkf4heYEUjmOIrrrJzi8kjR8V9O-sJ4eWZIAuOtCeq2SJSmZ2Ke8CXIIdWKXsfg70_iwEBEUkLCXapEc0BwWPPb73C7LCqfV7nKViGfrF1esn9ePJAwyjaMyLlXgJ7fPvbcyC1ixgM9sMFz0h8FJkCWvH6RJRLdvqWYnCjtkDsU7sI-DmY6lGzHnDPcU6SZAdfpcn0BCkLubZbH6Z7SPyoxuUjVu_No-Un0bEhCFqc1mECHbeAwePa57N65NhqHQLlH6qdLuWJ8Y7afW5yV3ty0EJMbRrrSTwbsmdb8ZpbudtP7EdkNiLq-jOklWLaWm7fTYn6Z1iLchpEoc7DoIF6zlWSz7BelRytHGPZpp2Hd0zqEdjk2zFrPAxvI_AkygSortd1iZ1CgSLYzqg7cdnVaLRMfhZhZJ_UfNICeOJH8rHaRc25NYxm7ADughAJtAKpiXSpezOFskBgRh5Nggc5KA1VWoqf70E8KyzHwfwZOhP1LKYzYx9PjEsY2ZsqaQdBH-itqkupy6E9h_8o4C_OW_KGrTLs5wmaUUlO3POmsd7lDiwLLxPHcSiCNVm8X2sXm6zwY-4C7Klx8etlIc2UZv8MtBEcw0vg_iUxhjm8ON4wg2KCaFPxQ_MnUnXrEjfTKV8cOGfkwmchF3o321P3Cbc5NkzMtYglFmveAwkwCSHgQHftDxeAhdP8zYgVwFyA2qAoL4QMTivUvq7Zf8c6gkHvGSXtWZynkZMT5ilITUvAU9qPWEZLXci5H93bQQMLqXMrilId5bSATjkPKHgWAlrtPS308g27Q6lNEMMmIBdmln4iwamJKLsmv89bvdFD2trRxG05FiGhABWwDjG2zAerNfeniWgHIUyYPn5qaCrPRFE9x3IBwcma8oudEyLB9uYJzawWyIW8r5CaC24BrkcS9DwmNuoL1H12WefAGhOXuimmxp-Z4vcUP7et5ccOLfyoyihGrmcpoXOGI3NEJqok8IwmmX2DSThxysr1pDAVIWloL9-5nlE10W7G2P3ICK7azh5LijE5JMwa6_VvfQcAVU_pEsKzO0PTEZwlCCLyHjHoAuQ7xmb3L97aZCQ4XuPXkw6mK6k8NvuAmUfJoeBe-UhGH5NiRJSd9gDK-ioQCawrHPb63AXh36kNDeQG2OH7yb34hhblTwprMGxSOjgC3jrWW8-OWYcYvbuss_719fSfgTbseFp1uDwisGfwMqKUdXPxobzl-5h9Nl-nCgWBvLkvNT97BuBVTPanezInZw1imPTsAONTUL1_SwzWg55a8KetMdQwBAaCSG7k8C1bSnxiUGJZuksHJJjmotC6zwppck-Wn6vGdx0HIetpfBMDrf7kqtYAvxPAw3THtTOUxb3X6i9fO1jaLY4jESfqAEq2XMiPd4xTiL77WqT-E2tHnb6uoV6z9bccQxMdHjXZm9sp64c7sseBlTNxKP9HU4plt8juxkKOsnwUpVrYV487Y1qSfw2sr6fCDaaAqdJ_JOZQGqGRMSRUS-434UWXDi6wsameL2Ot8lyXqQcrIw7tecNoyDHcyDXOOWunTUg-sSHzTXd9MpMH4dztNdsfK0zvEe6PIC9Xlbj6Sff2tNH_Y_-o4av6FTwXBxXrnDKgbN0K2wvb1zeZyqBmk8L48eIMMq_xod_Ixs9l6dk3MLFpu7Lh4iScGAVONwYFQlnLSIrODsP8w=="}, {"type": "function_call", "name": "echo_tool", "arguments": "{\"text\":\"D\u00e9monstration : l\u2019agent sp\u00e9cialiste appelle un outil, re\u00e7oit une observation brute, l\u2019interpr\u00e8te et la structure, puis transmet un rapport au parent. Le rapport s\u00e9pare les faits observ\u00e9s, l\u2019interpr\u00e9tation, les incertitudes ou erreurs possibles, et les \u00e9l\u00e9ments \u00e0 retenir. Le parent v\u00e9rifie le rapport, \u00e9value sa coh\u00e9rence et int\u00e8gre seulement les \u00e9l\u00e9ments pertinents dans la r\u00e9ponse finale. La responsabilit\u00e9 de la synth\u00e8se et de la formulation finale revient au parent.\"}", "call_id": "call_K4zGwlvKIEzN6xHhGrZEQ1HA", "id": "fc_00c873142e797f8f006ab34973c56487d29206b7457aed533f", "index": 1}]
{"name": "echo_tool", "args": {"text": "D\u00e9monstration : l\u2019agent sp\u00e9cialiste appelle un outil, re\u00e7oit une observation brute, l\u2019interpr\u00e8te et la structure, puis transmet un rapport au parent. Le rapport s\u00e9pare les faits observ\u00e9s, l\u2019interpr\u00e9tation, les incertitudes ou erreurs possibles, et les \u00e9l\u00e9ments \u00e0 retenir. Le parent v\u00e9rifie le rapport, \u00e9value sa coh\u00e9rence et int\u00e8gre seulement les \u00e9l\u00e9ments pertinents dans la r\u00e9ponse finale. La responsabilit\u00e9 de la synth\u00e8se et de la formulation finale revient au parent."}, "id": "call_K4zGwlvKIEzN6xHhGrZEQ1HA", "type": "tool_call"}</t>
  </si>
  <si>
    <t>01a0cc56-f0ea-7303-874e-9b455703d4a1</t>
  </si>
  <si>
    <t>{'text': 'Démonstration : l’agent spécialiste appelle un outil, reçoit une observation brute, l’interprète et la structure, puis transmet un rapport au parent. Le rapport sépare les faits observés, l’interprétation, les incertitudes ou erreurs possibles, et les éléments à retenir. Le parent vérifie le rapport, évalue sa cohérence et intègre seulement les éléments pertinents dans la réponse finale. La responsabilité de la synthèse et de la formulation finale revient au parent.'}</t>
  </si>
  <si>
    <t>Your input was: Démonstration : l’agent spécialiste appelle un outil, reçoit une observation brute, l’interprète et la structure, puis transmet un rapport au parent. Le rapport sépare les faits observés, l’interprétation, les incertitudes ou erreurs possibles, et les éléments à retenir. Le parent vérifie le rapport, évalue sa cohérence et intègre seulement les éléments pertinents dans la réponse finale. La responsabilité de la synthèse et de la formulation finale revient au parent.</t>
  </si>
  <si>
    <t>R14</t>
  </si>
  <si>
    <t>01a0cc56-f0ec-7662-a324-e7f793cf0fe8</t>
  </si>
  <si>
    <t>[{"type": "text", "text": "## SESSION INTENT\n\nPr\u00e9parer une d\u00e9monstration tr\u00e8s concise, en fran\u00e7ais, du flux de collaboration entre un agent sp\u00e9cialiste et un agent parent : appel d\u2019un outil, r\u00e9ception d\u2019une observation, interpr\u00e9tation et structuration, transmission d\u2019un rapport, puis v\u00e9rification et int\u00e9gration par le parent dans la r\u00e9ponse finale.\n\n## SUMMARY\n\n- La sortie doit \u00eatre uniquement un r\u00e9sum\u00e9 exploitable de **5 \u00e0 8 phrases ou \u00e9tapes num\u00e9rot\u00e9es**.\n- Le flux doit distinguer explicitement :\n  - **Observation brute** : r\u00e9sultat directement renvoy\u00e9 par l\u2019outil, sans interpr\u00e9tation.\n  - **Interpr\u00e9tation** : analyse et structuration de l\u2019observation par l\u2019agent sp\u00e9cialiste.\n  - **Incertitudes/erreurs** : limites, ambigu\u00eft\u00e9s, donn\u00e9es manquantes ou \u00e9checs \u00e9ventuels, qui doivent \u00eatre signal\u00e9s plut\u00f4t que masqu\u00e9s.\n  - **Responsabilit\u00e9 du parent** : v\u00e9rification critique du rapport, s\u00e9lection des \u00e9l\u00e9ments pertinents, r\u00e9solution des contradictions si possible, et synth\u00e8se finale.\n- Aucun autre format, commentaire ou texte introductif ne doit \u00eatre ajout\u00e9.\n\n## ARTIFACTS\n\nNone.\n\n## NEXT STEPS\n\nProduire directement en fran\u00e7ais une d\u00e9monstration num\u00e9rot\u00e9e en 5 \u00e0 8 \u00e9tapes, concise, respectant les distinctions et la r\u00e9partition des responsabilit\u00e9s demand\u00e9es.", "phase": "final_answer", "index": 0, "id": "msg_05c1317963387f75006ab34975d23c87d2b362daec02c40f2f"}]</t>
  </si>
  <si>
    <t>R15</t>
  </si>
  <si>
    <t>01a0cc56-fcee-78c2-af96-84e8f8f7e4ea</t>
  </si>
  <si>
    <t>[{"id": "rs_00c873142e797f8f006ab34978b4c087d28330cd6e0f11c934", "summary": [], "type": "reasoning", "content": [], "index": 0, "encrypted_content": "gAAAAABqs0l5Jnj784ZNFE-jcrRMxe3yXybzrFxdgS3FB2b1ma-u-EQBKitioy8Q9iJs-_LDB6Ckf6dSHCgHtq5A3G0fXyhY_LJE9UR6tgDYjpWvlKA4o3UY0KOlOj5uySZ_z_apRcYRu-FwGXo3f4-uZ03orfe655YLuUBwZ8rYq1rZ1nC4U8BmXuZmqsIMLkWaFA0NC3k2sBvOhaHyowIdF0AdVNnL_Y_I0Yr5zrb7har4jltXPZYe2muVm6ia1WSeIxEm-M95jVnFqc0TRllnIa7FVn68_ztKjBXZ7rOJuLEg9EmdaHTK8wQKhLdJTpslPwXdJUYyHr6FwyIZZDG5_jQcPndTHpNuCZeAerLOQqhCi46Mmtu3yHuncOQZFJmkXkEHxhucv5Zxflzufo75kxw9FHRwbeqxNz-2gucoMhk_uCtpsd8lL90IHva7Y2mRf90eVU9F7gVR2NDOE3kpemCpd21nQQHDTPJfrvSSaWbAKkqvUJEhhKMuOBbSrFQjrHgCvORA9xGl_O2qhOtoQgwy1ZBwQSftSKUR2RSMvsOmjShfRYXrfb3IMiPrfR4qHNlFMZ67kUcTMeKYacUOfm7zaZGYqSiI4QAA7cTz7qAF-AK1FSYvN6cwWavpEDOt5k6WAa2GndS7t-A0jMqpDXANZd8iSPtRypK16uqGJ-OEepGKWFCFMAcFy9NxxtX0Qodl0xwY25SpraTe32gfsj2dzAO6Q--WKCCJX9rUcOFBDrSpKbtmPIi0RE-9uBPItBwe18APFtwtlfUKE4RS2nHBeQVKf27FxUS32IO0p37fl0HiunM_OdhwB98JjWZjpdOn0ZCAozAJxuqekjZ9g5rTJhZ0o5XLbzvfJJKDl7u6J2N2Gg5xIFM7eCUuF6t9XvrEDlvUfW6NXHXPPzhv35EaCl_8R5HVAikjFQPz4Go_-4QzNmIeN5YI5c4-R-8gp7VUUwOhi1RAc9-LCHdYF8F4bR0Ie0MYDDfWXmC7gQyYD475gq6TKdWSVVJmAATU5wMfNynybYTRazARaL6IFjBJXnFU2tkKvM28uly-YeOWKxOrb-9JtwDDBSgTwz23IyZtj58EmUG1s665HSAc_AfUk8EgV-duL9enQnmfNUVH9fssEgLC4rr6IBtRAcV8IPloZZ2ALYBh_poyvc1JbcE8xDuoFlmaR6v3AmemStYZDMqkHXxC6ZrA_9R8PYkTeG5u4_iMlDOG6focrGGbLp-HMXvnezgzrZpTdyHkJIv3orUVCFLKyfz67omxw2dvo8FiuR4M5fpgpmlwEQFWTx2xMxlMMmostxXfAzfklAseIi_qFGMHsoD7IJZaaSTycFnQ4cbir8wdyfPUABrsKiS98V0hDQ=="}, {"type": "text", "text": "1. L\u2019agent sp\u00e9cialiste appelle l\u2019outil et re\u00e7oit l\u2019observation brute : le texte renvoy\u00e9 est exactement celui fourni, pr\u00e9c\u00e9d\u00e9 de \u00ab Your input was: \u00bb.\n2. Il distingue cette observation directe de toute analyse ult\u00e9rieure.\n3. Il interpr\u00e8te et structure le contenu en s\u00e9parant les faits, les conclusions et les \u00e9l\u00e9ments pertinents.\n4. Il signale les incertitudes, ambigu\u00eft\u00e9s, donn\u00e9es manquantes ou erreurs \u00e9ventuelles, sans les masquer.\n5. Il transmet au parent un rapport clairement organis\u00e9, en pr\u00e9cisant que l\u2019outil n\u2019apporte aucune preuve factuelle ind\u00e9pendante.\n6. Le parent v\u00e9rifie critiquement le rapport, r\u00e9sout les contradictions si possible, s\u00e9lectionne les \u00e9l\u00e9ments utiles et r\u00e9alise la synth\u00e8se finale.", "phase": "final_answer", "index": 1, "id": "msg_00c873142e797f8f006ab349792e6887d2927360bbb07703ea"}]</t>
  </si>
  <si>
    <t>R16</t>
  </si>
  <si>
    <t>01a0cc57-07a3-7d43-b1d9-4eef4d1a9838</t>
  </si>
  <si>
    <t>[{"type": "text", "text": "## SESSION INTENT\n\nExpliquer en fran\u00e7ais, clairement et de fa\u00e7on structur\u00e9e, comment les observations produites par les outils d\u2019un agent sp\u00e9cialis\u00e9 remontent vers son agent parent, puis sont valid\u00e9es et int\u00e9gr\u00e9es \u00e0 la r\u00e9ponse finale.\n\n## SUMMARY\n\n- Le workflow g\u00e9n\u00e9ral est : analyse de la demande, d\u00e9composition en sous-t\u00e2ches, attribution \u00e0 des agents sp\u00e9cialis\u00e9s, ex\u00e9cution des outils, transmission des r\u00e9sultats, v\u00e9rification/coordination et synth\u00e8se finale.\n- Flux \u00e0 expliquer :\n  1. L\u2019agent sp\u00e9cialiste appelle un outil.\n  2. L\u2019outil renvoie une observation dans le contexte du sp\u00e9cialiste.\n  3. Le sp\u00e9cialiste interpr\u00e8te et v\u00e9rifie cette observation.\n  4. Il transforme les donn\u00e9es brutes en rapport exploitable.\n  5. Il transmet ce rapport \u00e0 l\u2019agent parent via le m\u00e9canisme de d\u00e9l\u00e9gation.\n  6. Le parent v\u00e9rifie, compare avec les autres r\u00e9sultats et l\u2019int\u00e8gre \u00e9ventuellement \u00e0 la r\u00e9ponse finale.\n- Le rapport du sp\u00e9cialiste devrait distinguer :\n  - les faits ou observations directement constat\u00e9s ;\n  - les interpr\u00e9tations et conclusions ;\n  - les incertitudes, erreurs, limites ou donn\u00e9es manquantes ;\n  - si n\u00e9cessaire, les donn\u00e9es brutes ou r\u00e9f\u00e9rences.\n- Le parent peut demander des pr\u00e9cisions ou une nouvelle action si le rapport est incomplet ou ambigu.\n- L\u2019observation ne contourne pas le sp\u00e9cialiste pour atteindre directement l\u2019utilisateur : elle remonte d\u2019abord au sp\u00e9cialiste, puis au parent.\n- L\u2019agent parent conserve la responsabilit\u00e9 de la validation, de la coordination et de la synth\u00e8se finale. Il ne transmet \u00e0 l\u2019utilisateur que les \u00e9l\u00e9ments pertinents et valid\u00e9s, pas n\u00e9cessairement toutes les observations brutes.\n\n## ARTIFACTS\n\nAucun fichier, ressource ou artefact persistant cr\u00e9\u00e9 ou modifi\u00e9. Seules des explications textuelles sont disponibles.\n\n## NEXT STEPS\n\nR\u00e9diger la r\u00e9ponse finale en fran\u00e7ais, id\u00e9alement avec un sch\u00e9ma de flux simple et une courte pr\u00e9cision sur le r\u00f4le de validation de l\u2019agent parent.", "phase": "final_answer", "index": 0, "id": "msg_0dea8e2176e34a7b006ab3497b5b5887d28768d627a0d546cb"}]</t>
  </si>
  <si>
    <t>R17</t>
  </si>
  <si>
    <t>01a0cc57-15bf-7a40-bfcb-19420988fb95</t>
  </si>
  <si>
    <t>1. L’agent spécialiste appelle l’outil et reçoit l’observation brute : le texte renvoyé est exactement celui fourni, précédé de « Your input was: ».
2. Il distingue cette observation directe de toute analyse ultérieure.
3. Il interprète et structure le contenu en séparant les faits, les conclusions et les éléments pertinents.
4. Il signale les incertitudes, ambiguïtés, données manquantes ou erreurs éventuelles, sans les masquer.
5. Il transmet au parent un rapport clairement organisé, en précisant que l’outil n’apporte aucune preuve factuelle indépendante.
6. Le parent vérifie critiquement le rapport, résout les contradictions si possible, sélectionne les éléments utiles et réalise la synthèse finale.</t>
  </si>
  <si>
    <t>[{"id": "rs_08879017c2ec7330006ab3497ef21887d2aab6744a9d6506c2", "summary": [], "type": "reasoning", "content": [], "index": 0, "encrypted_content": "gAAAAABqs0l_ngONxs46qclGo5bwYWiwbs5TNMNgWzy4Lt6GpNgEVV1_sgK8RujpKJMZ3hCYaPqveJkU4yLS3AGI5dDRvx1h7gEFBBhdsnK-tEW3LFQ2b16MBFk8yWYxIJLul4yeKWwqqbh31c4PvxJceXAqTB8GNhA6ZZyVBRPD_Tj3irYq9dWG35uv6rSP1Sl9d1yyEtx2-UT4TULC0wRqFIAPKuQubBVJ4EHIRfZmPm-xdSPlInq1kjhaFnT9wvMcrsPWThrEiFneHr6F5nNmOobnJpLm9l4MlZC0ZajmX_IxYWJe0rNM6XlEdov9TS2c6_I_e9g12q5g4FH9QW9AAuCyi6pfeCqitj7JvTa5Tg3vv-MQqHjACEFNWg0YLoYFUAvFw6MftXVNtE8dVZArUVu-_uxti-Yjym7QOu6hqyJOTT23hbdvymGJK-SGg9IOkJYCD3MBV2jsTyS50u8Jc4N7-UWnwpy4y1gK_DSLhBlzZ2lGpzAihSMNgPbQtjvecuPzVhtwYIhqpMdattK1EStnLQfOBjIRZSU735uXkttCP8ZfpPOQ2VGVH9_6Tr3iCfZbnhvGxHB_9aaG9pMedql3OlbPMFRjCO1QrjvtFP8s0MvxCE7CESKOXxvHpuMfMkT4AoWCzFDeetahLPhwHfeIMDpmJzTqP8btAAbQYUPdiDfEyN2kUIz1s5gnHibr89QR6xTGDUd_4ZHLnf9PfGTM4wN0rVhXPGb5wxEA2QkXENPEmReTg9NA1-EiWhVAidOwixgkwhMnsndJld-CKZDFW0YuBp_vDlEJc-osrjoqXD704wSLnCsfn4RR-uo6boIwKoOQa0cyj99Olc8JykkbE_wguJqf4k06icMAgbc1YaWo-i7utCAe0BoedmtF07YW4R17bWPNM8ijGGgehI-sOtmrsgpxVt7vb679qRad6mtdmeHFN_jotTjmxkzL6c7fZIxqGiK2bkFRkL6430eXRtn5dE_UuXaprXVXrF7rT4Y3k5SoKliSaiJAAj8uZPXBMFMU_5Mq70GrMPbtyh7XNfpoeGqsnm1HasOCGHawL54IQiKDn4h49vN8y5rRmyriDyhITgILLBSmVU-7bu--wB79M7L8pHV1tcHDmW0ujYKljk_cAV31LAdLWnnhqa1ZWh1Wk_430vh7vXytAQjXAAWgPEX-Cb6FCT-3j8TLsxFPYNxbQjMmfzDZ2KOjk-2DZb-fBbWbVnvVbjavD-H1kGJETUIPYeHspTDnWGN-G2BIED6eXIfYRFiXazYq8ZYSydgTlgDIc6DFv3jk5KTvxvBeW8PHwTGIVIhP49CoT9UK5zk="}, {"type": "text", "text": "Le flux peut \u00eatre repr\u00e9sent\u00e9 ainsi :\n\n```text\nAgent parent\n    \u2502\n    \u251c\u2500\u2500 d\u00e9l\u00e8gue une sous-t\u00e2che\n    \u25bc\nAgent sp\u00e9cialiste\n    \u2502\n    \u251c\u2500\u2500 appelle un outil\n    \u25bc\nOutil\n    \u2502\n    \u2514\u2500\u2500 renvoie une observation brute au sp\u00e9cialiste\n              \u2502\n              \u25bc\n    Le sp\u00e9cialiste :\n    \u2022 distingue les faits observ\u00e9s de ses interpr\u00e9tations ;\n    \u2022 v\u00e9rifie et structure les r\u00e9sultats ;\n    \u2022 signale les incertitudes, erreurs ou donn\u00e9es manquantes ;\n    \u2022 r\u00e9dige un rapport exploitable.\n              \u2502\n              \u25bc\nAgent parent\n    \u2502\n    \u251c\u2500\u2500 examine et compare le rapport avec les autres r\u00e9sultats ;\n    \u251c\u2500\u2500 demande \u00e9ventuellement des pr\u00e9cisions ou une nouvelle action ;\n    \u2514\u2500\u2500 int\u00e8gre uniquement les \u00e9l\u00e9ments pertinents et valid\u00e9s\n        dans la r\u00e9ponse finale.\n```\n\nL\u2019observation de l\u2019outil ne remonte donc pas directement \u00e0 l\u2019utilisateur : elle reste d\u2019abord dans le contexte de l\u2019agent sp\u00e9cialiste. Celui-ci la transforme en rapport, en distinguant notamment les donn\u00e9es brutes, les conclusions et les limites. L\u2019agent parent conserve la responsabilit\u00e9 de la validation, de la coordination et de la synth\u00e8se finale ; il n\u2019est pas oblig\u00e9 de transmettre toutes les observations brutes.", "phase": "final_answer", "index": 1, "id": "msg_08879017c2ec7330006ab3497f2dd487d2b43221c4cbac8bfb"}]</t>
  </si>
  <si>
    <t>context_budget_workflow</t>
  </si>
  <si>
    <t>workflow</t>
  </si>
  <si>
    <t>Execute the context_budget_workflow workflow operation and pass its result to the next graph step.</t>
  </si>
  <si>
    <t>Subtree total</t>
  </si>
  <si>
    <t xml:space="preserve">    planning_peer</t>
  </si>
  <si>
    <t>Execute the planning_peer workflow operation and pass its result to the next graph step.</t>
  </si>
  <si>
    <t>01a0cc56-5512-7c63-9e06-e6c412ec5989</t>
  </si>
  <si>
    <t xml:space="preserve">        run</t>
  </si>
  <si>
    <t>Execute the run workflow operation and pass its result to the next graph step.</t>
  </si>
  <si>
    <t>01a0cc56-5513-7532-a8fe-ac842b9f483c</t>
  </si>
  <si>
    <t xml:space="preserve">            context_planner</t>
  </si>
  <si>
    <t>Execute the context_planner workflow operation and pass its result to the next graph step.</t>
  </si>
  <si>
    <t>01a0cc56-5513-7532-a8fe-ac9161a2682b</t>
  </si>
  <si>
    <t xml:space="preserve">                SummarizationMiddleware.before_model</t>
  </si>
  <si>
    <t>Execute the SummarizationMiddleware.before_model workflow operation and pass its result to the next graph step.</t>
  </si>
  <si>
    <t>01a0cc56-5514-7691-9d99-af14aabe3e5e</t>
  </si>
  <si>
    <t>No model charge</t>
  </si>
  <si>
    <t xml:space="preserve">                model</t>
  </si>
  <si>
    <t>Prepare the current conversation, run model middleware, and invoke the chat model.</t>
  </si>
  <si>
    <t>01a0cc56-5515-7a82-9955-2f96778c50cc</t>
  </si>
  <si>
    <t xml:space="preserve">                    ChatOpenAI</t>
  </si>
  <si>
    <t>model</t>
  </si>
  <si>
    <t>Generate the next assistant message or tool request from the current conversation.</t>
  </si>
  <si>
    <t>Own call</t>
  </si>
  <si>
    <t xml:space="preserve">    responding_peer</t>
  </si>
  <si>
    <t>Execute the responding_peer workflow operation and pass its result to the next graph step.</t>
  </si>
  <si>
    <t>01a0cc56-5ec6-75b0-9baa-76d1949ff6b2</t>
  </si>
  <si>
    <t>01a0cc56-5ec7-7a60-8b74-43743555adf7</t>
  </si>
  <si>
    <t xml:space="preserve">            context_responder</t>
  </si>
  <si>
    <t>Execute the context_responder workflow operation and pass its result to the next graph step.</t>
  </si>
  <si>
    <t>01a0cc56-5ec7-7a60-8b74-438cfabdac7b</t>
  </si>
  <si>
    <t>01a0cc56-5ec8-7d60-9ff0-36993b9aed98</t>
  </si>
  <si>
    <t>Execute the ChatOpenAI workflow operation and pass its result to the next graph step.</t>
  </si>
  <si>
    <t>01a0cc56-5ec9-7f02-91d0-f4fb7bab44e6</t>
  </si>
  <si>
    <t xml:space="preserve">                        ChatOpenAI</t>
  </si>
  <si>
    <t>01a0cc56-66e8-78a0-98e5-9bc7249541a9</t>
  </si>
  <si>
    <t xml:space="preserve">                tools</t>
  </si>
  <si>
    <t>Execute tool calls requested by the preceding model response and return their observations.</t>
  </si>
  <si>
    <t>01a0cc56-6ecf-7582-b406-9f09ca16fdb1</t>
  </si>
  <si>
    <t xml:space="preserve">                    task</t>
  </si>
  <si>
    <t>tool</t>
  </si>
  <si>
    <t>Launch an ephemeral subagent to handle a complex, multi-step task.
Available agent types and the tools they have access to:
- workflow-specialist: Echoes assigned text with a local tool and summarizes its result.
Specify subagent_type to select the agent. Usage notes:
- Launch multiple agents concurrently when their tasks are independent, using a single message with multiple tool calls.
- Each invocation is stateless by default: the agent sees only the prompt you give it and returns a single final report. Put full detail in the prompt and state exactly what it should return — unless an agent type below says it inherits your conversation instead.
- The agent's report is not shown to the user; relay a summary yourself.
- Tell the agent whether to create content, analyze, or only research, since it can't necessarily see the user's intent unless it inherits your conversation, as noted per agent type below.
- If an agent's description says to use it proactively, do so without waiting to be asked.
- When only general-purpose is available, use it for any complex, context-heavy task; it has the same capabilities as the main agent.</t>
  </si>
  <si>
    <t xml:space="preserve">                        workflow-specialist</t>
  </si>
  <si>
    <t>Execute the workflow-specialist workflow operation and pass its result to the next graph step.</t>
  </si>
  <si>
    <t>01a0cc56-6ed0-7851-a2ab-9762f534bc4f</t>
  </si>
  <si>
    <t xml:space="preserve">                            SummarizationMiddleware.before_model</t>
  </si>
  <si>
    <t>01a0cc56-6ed1-7150-bc15-139149611eac</t>
  </si>
  <si>
    <t xml:space="preserve">                            model</t>
  </si>
  <si>
    <t>01a0cc56-6ed2-7fb2-86a1-0c2c65f3e226</t>
  </si>
  <si>
    <t xml:space="preserve">                                ChatOpenAI</t>
  </si>
  <si>
    <t xml:space="preserve">                            tools</t>
  </si>
  <si>
    <t>01a0cc56-75c0-73a0-bcd4-bd5c9ce0a3ef</t>
  </si>
  <si>
    <t xml:space="preserve">                                echo_tool</t>
  </si>
  <si>
    <t>Return the provided text prefixed with "Your input was: ".</t>
  </si>
  <si>
    <t>01a0cc56-75c3-7be1-820a-fb3200025ee5</t>
  </si>
  <si>
    <t>01a0cc56-75c3-7be1-820a-fb4b6d852b6d</t>
  </si>
  <si>
    <t xml:space="preserve">                                    ChatOpenAI</t>
  </si>
  <si>
    <t>01a0cc56-7dfb-73b2-9603-8805872ee07d</t>
  </si>
  <si>
    <t>01a0cc56-8b21-7a13-a151-bd0ee60f1d21</t>
  </si>
  <si>
    <t>01a0cc56-8b21-7a13-a151-bd1f6506a68b</t>
  </si>
  <si>
    <t>01a0cc56-97a6-71d2-a5eb-052ce096c48c</t>
  </si>
  <si>
    <t>01a0cc56-a504-7ba2-80bb-11a326514040</t>
  </si>
  <si>
    <t>01a0cc56-a506-7813-9168-577e8a425878</t>
  </si>
  <si>
    <t>01a0cc56-a507-7fd0-82c3-a7c9c8cd51bc</t>
  </si>
  <si>
    <t>01a0cc56-a507-7fd0-82c3-a7dc2d7ff901</t>
  </si>
  <si>
    <t>01a0cc56-a508-7ff3-8954-05ee1b773ac4</t>
  </si>
  <si>
    <t>01a0cc56-a509-74a1-b8c1-6a3b66b09f96</t>
  </si>
  <si>
    <t>01a0cc56-b1cb-76b1-a85e-d1bca5b37d25</t>
  </si>
  <si>
    <t>01a0cc56-c7b0-75c3-9f09-6bc0c545785f</t>
  </si>
  <si>
    <t>01a0cc56-c7b0-75c3-9f09-6bd91ec0a343</t>
  </si>
  <si>
    <t>01a0cc56-c7b1-7682-90d7-ccc1b5c72dca</t>
  </si>
  <si>
    <t>01a0cc56-c7b1-7682-90d7-ccdab0800ebf</t>
  </si>
  <si>
    <t>01a0cc56-c7b2-7b51-bcb5-21a611e0ecb3</t>
  </si>
  <si>
    <t>01a0cc56-dc62-72c2-b0f4-32aea0e191d0</t>
  </si>
  <si>
    <t>01a0cc56-e472-74d0-b114-0eccb6f7ba22</t>
  </si>
  <si>
    <t>01a0cc56-e473-7753-8d8c-d846564423f4</t>
  </si>
  <si>
    <t>01a0cc56-e474-7310-b412-9be2e829aa4f</t>
  </si>
  <si>
    <t>01a0cc56-e475-7b11-b498-f7d1c9e331dd</t>
  </si>
  <si>
    <t>01a0cc56-f0e9-71e2-8fb4-fcd31637139a</t>
  </si>
  <si>
    <t>01a0cc56-f0eb-7491-b161-4eae6ba0a7ba</t>
  </si>
  <si>
    <t>01a0cc56-f0ec-7662-a324-e7e63efdc330</t>
  </si>
  <si>
    <t>01a0cc56-fced-7860-90b4-0210cfe33316</t>
  </si>
  <si>
    <t>01a0cc57-07a2-7e63-a192-285989c4b6a1</t>
  </si>
  <si>
    <t>01a0cc57-07a2-7e63-a192-2866e52afbdb</t>
  </si>
  <si>
    <t>01a0cc57-15bc-7e83-9046-25726e712a04</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</si>
</sst>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228"/>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29,'Turns'!E42,'Turns'!E58,'Turns'!E74,'Turns'!E87,'Turns'!E98,'Turns'!E111,'Turns'!E126,'Turns'!E138,'Turns'!E150,'Turns'!E162,'Turns'!E177,'Turns'!E191,'Turns'!E204,'Turns'!E215,'Turns'!E228)=17,SUM('Turns'!E17,'Turns'!E29,'Turns'!E42,'Turns'!E58,'Turns'!E74,'Turns'!E87,'Turns'!E98,'Turns'!E111,'Turns'!E126,'Turns'!E138,'Turns'!E150,'Turns'!E162,'Turns'!E177,'Turns'!E191,'Turns'!E204,'Turns'!E215,'Turns'!E228),"Unknown")</f>
        <v>0.0066323237805</v>
      </c>
      <c r="F2" s="2">
        <f>IF(COUNT('Turns'!F17,'Turns'!F29,'Turns'!F42,'Turns'!F58,'Turns'!F74,'Turns'!F87,'Turns'!F98,'Turns'!F111,'Turns'!F126,'Turns'!F138,'Turns'!F150,'Turns'!F162,'Turns'!F177,'Turns'!F191,'Turns'!F204,'Turns'!F215,'Turns'!F228)=17,SUM('Turns'!F17,'Turns'!F29,'Turns'!F42,'Turns'!F58,'Turns'!F74,'Turns'!F87,'Turns'!F98,'Turns'!F111,'Turns'!F126,'Turns'!F138,'Turns'!F150,'Turns'!F162,'Turns'!F177,'Turns'!F191,'Turns'!F204,'Turns'!F215,'Turns'!F228),"Unknown")</f>
        <v>0.00760265</v>
      </c>
      <c r="G2" s="5">
        <f>IF(ISNUMBER(E2),ROUND(E2*'Reference data'!$B$2,0),"Unknown")</f>
        <v>663.0</v>
      </c>
      <c r="H2" s="5">
        <f>IF(ISNUMBER(F2),ROUND(F2*'Reference data'!$B$2,0),"Unknown")</f>
        <v>760.0</v>
      </c>
    </row>
    <row r="3" spans="1:13" s="4" customFormat="1" ht="24" customHeight="1">
      <c r="B3" s="4">
        <v>1</v>
      </c>
      <c r="C3" s="4" t="s">
        <v>92</v>
      </c>
      <c r="E3" s="2">
        <f>IF(COUNT('Turns'!E17,'Turns'!E29,'Turns'!E42,'Turns'!E58,'Turns'!E74,'Turns'!E87,'Turns'!E98,'Turns'!E111)=8,SUM('Turns'!E17,'Turns'!E29,'Turns'!E42,'Turns'!E58,'Turns'!E74,'Turns'!E87,'Turns'!E98,'Turns'!E111),"Unknown")</f>
        <v>0.002286307296</v>
      </c>
      <c r="F3" s="2">
        <f>IF(COUNT('Turns'!F17,'Turns'!F29,'Turns'!F42,'Turns'!F58,'Turns'!F74,'Turns'!F87,'Turns'!F98,'Turns'!F111)=8,SUM('Turns'!F17,'Turns'!F29,'Turns'!F42,'Turns'!F58,'Turns'!F74,'Turns'!F87,'Turns'!F98,'Turns'!F111),"Unknown")</f>
        <v>0.0026208</v>
      </c>
      <c r="G3" s="5">
        <f>IF(ISNUMBER(E3),ROUND(E3*'Reference data'!$B$2,0),"Unknown")</f>
        <v>229.0</v>
      </c>
      <c r="H3" s="5">
        <f>IF(ISNUMBER(F3),ROUND(F3*'Reference data'!$B$2,0),"Unknown")</f>
        <v>262.0</v>
      </c>
    </row>
    <row r="4" spans="1:13" s="4" customFormat="1" ht="24" customHeight="1">
      <c r="A4" s="4" t="s">
        <v>93</v>
      </c>
      <c r="B4" s="4">
        <v>1</v>
      </c>
      <c r="C4" s="4" t="s">
        <v>94</v>
      </c>
      <c r="D4" s="4">
        <v>412</v>
      </c>
      <c r="J4" s="4" t="s">
        <v>95</v>
      </c>
      <c r="M4" s="4" t="s">
        <v>96</v>
      </c>
    </row>
    <row r="5" spans="1:13" ht="24" customHeight="1">
      <c r="A5" t="s">
        <v>93</v>
      </c>
      <c r="B5">
        <v>1</v>
      </c>
      <c r="C5" t="s">
        <v>97</v>
      </c>
      <c r="D5" s="5">
        <v>412</v>
      </c>
      <c r="E5" s="2">
        <f>IF(AND(ISNUMBER(F5),ISNUMBER('Reference data'!$B$3)),F5*'Reference data'!$B$3,"Unknown")</f>
        <v>7.1883288e-05</v>
      </c>
      <c r="F5" s="2">
        <f>IF(D5=0,0,IF(ISNUMBER('Reference data'!B17),D5*'Reference data'!B17/1000000,"Unknown"))</f>
        <v>8.24e-05</v>
      </c>
      <c r="G5" s="5">
        <f>IF(ISNUMBER(E5),ROUND(E5*'Reference data'!$B$2,0),"Unknown")</f>
        <v>7.0</v>
      </c>
      <c r="H5" s="5">
        <f>IF(ISNUMBER(F5),ROUND(F5*'Reference data'!$B$2,0),"Unknown")</f>
        <v>8.0</v>
      </c>
    </row>
    <row r="6" spans="1:13" ht="24" customHeight="1">
      <c r="A6" t="s">
        <v>93</v>
      </c>
      <c r="B6">
        <v>1</v>
      </c>
      <c r="C6" t="s">
        <v>98</v>
      </c>
    </row>
    <row r="7" spans="1:13" ht="47" customHeight="1">
      <c r="A7" t="s">
        <v>93</v>
      </c>
      <c r="B7">
        <v>1</v>
      </c>
      <c r="C7" t="s">
        <v>99</v>
      </c>
      <c r="I7" s="6" t="s">
        <v>100</v>
      </c>
    </row>
    <row r="8" spans="1:13" ht="346"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134</v>
      </c>
    </row>
    <row r="12" spans="1:13" ht="24" customHeight="1">
      <c r="A12" t="s">
        <v>93</v>
      </c>
      <c r="B12">
        <v>1</v>
      </c>
      <c r="C12" t="s">
        <v>106</v>
      </c>
      <c r="D12" s="5">
        <v>34</v>
      </c>
      <c r="E12" s="2">
        <f>IF(AND(ISNUMBER(F12),ISNUMBER('Reference data'!$B$3)),F12*'Reference data'!$B$3,"Unknown")</f>
        <v>3.5592696e-05</v>
      </c>
      <c r="F12" s="2">
        <f>IF(D12=0,0,IF(ISNUMBER('Reference data'!F17),D12*'Reference data'!F17/1000000,"Unknown"))</f>
        <v>4.08e-05</v>
      </c>
      <c r="G12" s="5">
        <f>IF(ISNUMBER(E12),ROUND(E12*'Reference data'!$B$2,0),"Unknown")</f>
        <v>4.0</v>
      </c>
      <c r="H12" s="5">
        <f>IF(ISNUMBER(F12),ROUND(F12*'Reference data'!$B$2,0),"Unknown")</f>
        <v>4.0</v>
      </c>
    </row>
    <row r="13" spans="1:13" ht="24" customHeight="1">
      <c r="A13" t="s">
        <v>93</v>
      </c>
      <c r="B13">
        <v>1</v>
      </c>
      <c r="C13" t="s">
        <v>107</v>
      </c>
      <c r="D13" s="5">
        <v>100</v>
      </c>
      <c r="E13" s="2">
        <f>IF(AND(ISNUMBER(F13),ISNUMBER('Reference data'!$B$3)),F13*'Reference data'!$B$3,"Unknown")</f>
        <v>0.0001046844</v>
      </c>
      <c r="F13" s="2">
        <f>IF(D13=0,0,IF(ISNUMBER('Reference data'!E17),D13*'Reference data'!E17/1000000,"Unknown"))</f>
        <v>0.00012</v>
      </c>
      <c r="G13" s="5">
        <f>IF(ISNUMBER(E13),ROUND(E13*'Reference data'!$B$2,0),"Unknown")</f>
        <v>10.0</v>
      </c>
      <c r="H13" s="5">
        <f>IF(ISNUMBER(F13),ROUND(F13*'Reference data'!$B$2,0),"Unknown")</f>
        <v>12.0</v>
      </c>
    </row>
    <row r="14" spans="1:13" ht="346"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0.000212160384</v>
      </c>
      <c r="F17" s="2">
        <f>IF(COUNT('Turns'!F5,'Turns'!F12,'Turns'!F13)=3,SUM('Turns'!F5,'Turns'!F12,'Turns'!F13),"Unknown")</f>
        <v>0.0002432</v>
      </c>
      <c r="G17" s="5">
        <f>IF(ISNUMBER(E17),ROUND(E17*'Reference data'!$B$2,0),"Unknown")</f>
        <v>21.0</v>
      </c>
      <c r="H17" s="5">
        <f>IF(ISNUMBER(F17),ROUND(F17*'Reference data'!$B$2,0),"Unknown")</f>
        <v>24.0</v>
      </c>
      <c r="K17" s="4" t="s">
        <v>111</v>
      </c>
    </row>
    <row r="18" spans="1:13" s="4" customFormat="1" ht="24" customHeight="1">
      <c r="A18" s="4" t="s">
        <v>112</v>
      </c>
      <c r="B18" s="4">
        <v>1</v>
      </c>
      <c r="C18" s="4" t="s">
        <v>94</v>
      </c>
      <c r="D18" s="4">
        <v>867</v>
      </c>
      <c r="J18" s="4" t="s">
        <v>95</v>
      </c>
      <c r="M18" s="4" t="s">
        <v>113</v>
      </c>
    </row>
    <row r="19" spans="1:13" ht="24" customHeight="1">
      <c r="A19" t="s">
        <v>112</v>
      </c>
      <c r="B19">
        <v>1</v>
      </c>
      <c r="C19" t="s">
        <v>97</v>
      </c>
      <c r="D19" s="5">
        <v>867</v>
      </c>
      <c r="E19" s="2">
        <f>IF(AND(ISNUMBER(F19),ISNUMBER('Reference data'!$B$3)),F19*'Reference data'!$B$3,"Unknown")</f>
        <v>0.000151268958</v>
      </c>
      <c r="F19" s="2">
        <f>IF(D19=0,0,IF(ISNUMBER('Reference data'!B17),D19*'Reference data'!B17/1000000,"Unknown"))</f>
        <v>0.0001734</v>
      </c>
      <c r="G19" s="5">
        <f>IF(ISNUMBER(E19),ROUND(E19*'Reference data'!$B$2,0),"Unknown")</f>
        <v>15.0</v>
      </c>
      <c r="H19" s="5">
        <f>IF(ISNUMBER(F19),ROUND(F19*'Reference data'!$B$2,0),"Unknown")</f>
        <v>17.0</v>
      </c>
    </row>
    <row r="20" spans="1:13" ht="24" customHeight="1">
      <c r="A20" t="s">
        <v>112</v>
      </c>
      <c r="B20">
        <v>1</v>
      </c>
      <c r="C20" t="s">
        <v>98</v>
      </c>
    </row>
    <row r="21" spans="1:13" ht="24" customHeight="1">
      <c r="A21" t="s">
        <v>112</v>
      </c>
      <c r="B21">
        <v>1</v>
      </c>
      <c r="C21" t="s">
        <v>99</v>
      </c>
      <c r="I21" s="6" t="s">
        <v>114</v>
      </c>
    </row>
    <row r="22" spans="1:13" ht="24" customHeight="1">
      <c r="A22" t="s">
        <v>112</v>
      </c>
      <c r="B22">
        <v>1</v>
      </c>
      <c r="C22" t="s">
        <v>103</v>
      </c>
    </row>
    <row r="23" spans="1:13" ht="24" customHeight="1">
      <c r="A23" t="s">
        <v>112</v>
      </c>
      <c r="B23">
        <v>1</v>
      </c>
      <c r="C23" t="s">
        <v>104</v>
      </c>
    </row>
    <row r="24" spans="1:13" s="4" customFormat="1" ht="24" customHeight="1">
      <c r="A24" s="4" t="s">
        <v>112</v>
      </c>
      <c r="B24" s="4">
        <v>1</v>
      </c>
      <c r="C24" s="4" t="s">
        <v>105</v>
      </c>
      <c r="D24" s="4">
        <v>110</v>
      </c>
    </row>
    <row r="25" spans="1:13" ht="24" customHeight="1">
      <c r="A25" t="s">
        <v>112</v>
      </c>
      <c r="B25">
        <v>1</v>
      </c>
      <c r="C25" t="s">
        <v>107</v>
      </c>
      <c r="D25" s="5">
        <v>110</v>
      </c>
      <c r="E25" s="2">
        <f>IF(AND(ISNUMBER(F25),ISNUMBER('Reference data'!$B$3)),F25*'Reference data'!$B$3,"Unknown")</f>
        <v>0.00011515284</v>
      </c>
      <c r="F25" s="2">
        <f>IF(D25=0,0,IF(ISNUMBER('Reference data'!E17),D25*'Reference data'!E17/1000000,"Unknown"))</f>
        <v>0.000132</v>
      </c>
      <c r="G25" s="5">
        <f>IF(ISNUMBER(E25),ROUND(E25*'Reference data'!$B$2,0),"Unknown")</f>
        <v>12.0</v>
      </c>
      <c r="H25" s="5">
        <f>IF(ISNUMBER(F25),ROUND(F25*'Reference data'!$B$2,0),"Unknown")</f>
        <v>13.0</v>
      </c>
    </row>
    <row r="26" spans="1:13" ht="125" customHeight="1">
      <c r="A26" t="s">
        <v>112</v>
      </c>
      <c r="B26">
        <v>1</v>
      </c>
      <c r="C26" t="s">
        <v>108</v>
      </c>
      <c r="I26" s="6" t="s">
        <v>115</v>
      </c>
    </row>
    <row r="27" spans="1:13" ht="24" customHeight="1">
      <c r="A27" t="s">
        <v>112</v>
      </c>
      <c r="B27">
        <v>1</v>
      </c>
      <c r="C27" t="s">
        <v>103</v>
      </c>
    </row>
    <row r="28" spans="1:13" ht="24" customHeight="1">
      <c r="A28" t="s">
        <v>112</v>
      </c>
      <c r="B28">
        <v>1</v>
      </c>
      <c r="C28" t="s">
        <v>104</v>
      </c>
    </row>
    <row r="29" spans="1:13" s="4" customFormat="1" ht="24" customHeight="1">
      <c r="A29" s="4" t="s">
        <v>112</v>
      </c>
      <c r="B29" s="4">
        <v>1</v>
      </c>
      <c r="C29" s="4" t="s">
        <v>110</v>
      </c>
      <c r="E29" s="2">
        <f>IF(COUNT('Turns'!E19,'Turns'!E25)=2,SUM('Turns'!E19,'Turns'!E25),"Unknown")</f>
        <v>0.000266421798</v>
      </c>
      <c r="F29" s="2">
        <f>IF(COUNT('Turns'!F19,'Turns'!F25)=2,SUM('Turns'!F19,'Turns'!F25),"Unknown")</f>
        <v>0.0003054</v>
      </c>
      <c r="G29" s="5">
        <f>IF(ISNUMBER(E29),ROUND(E29*'Reference data'!$B$2,0),"Unknown")</f>
        <v>27.0</v>
      </c>
      <c r="H29" s="5">
        <f>IF(ISNUMBER(F29),ROUND(F29*'Reference data'!$B$2,0),"Unknown")</f>
        <v>31.0</v>
      </c>
      <c r="K29" s="4" t="s">
        <v>111</v>
      </c>
    </row>
    <row r="30" spans="1:13" s="4" customFormat="1" ht="24" customHeight="1">
      <c r="A30" s="4" t="s">
        <v>116</v>
      </c>
      <c r="B30" s="4">
        <v>1</v>
      </c>
      <c r="C30" s="4" t="s">
        <v>94</v>
      </c>
      <c r="D30" s="4">
        <v>625</v>
      </c>
      <c r="J30" s="4" t="s">
        <v>95</v>
      </c>
      <c r="M30" s="4" t="s">
        <v>117</v>
      </c>
    </row>
    <row r="31" spans="1:13" ht="24" customHeight="1">
      <c r="A31" t="s">
        <v>116</v>
      </c>
      <c r="B31">
        <v>1</v>
      </c>
      <c r="C31" t="s">
        <v>97</v>
      </c>
      <c r="D31" s="5">
        <v>625</v>
      </c>
      <c r="E31" s="2">
        <f>IF(AND(ISNUMBER(F31),ISNUMBER('Reference data'!$B$3)),F31*'Reference data'!$B$3,"Unknown")</f>
        <v>0.00010904625</v>
      </c>
      <c r="F31" s="2">
        <f>IF(D31=0,0,IF(ISNUMBER('Reference data'!B17),D31*'Reference data'!B17/1000000,"Unknown"))</f>
        <v>0.000125</v>
      </c>
      <c r="G31" s="5">
        <f>IF(ISNUMBER(E31),ROUND(E31*'Reference data'!$B$2,0),"Unknown")</f>
        <v>11.0</v>
      </c>
      <c r="H31" s="5">
        <f>IF(ISNUMBER(F31),ROUND(F31*'Reference data'!$B$2,0),"Unknown")</f>
        <v>13.0</v>
      </c>
    </row>
    <row r="32" spans="1:13" ht="24" customHeight="1">
      <c r="A32" t="s">
        <v>116</v>
      </c>
      <c r="B32">
        <v>1</v>
      </c>
      <c r="C32" t="s">
        <v>98</v>
      </c>
    </row>
    <row r="33" spans="1:13" ht="60" customHeight="1">
      <c r="A33" t="s">
        <v>116</v>
      </c>
      <c r="B33">
        <v>1</v>
      </c>
      <c r="C33" t="s">
        <v>99</v>
      </c>
      <c r="I33" s="6" t="s">
        <v>118</v>
      </c>
    </row>
    <row r="34" spans="1:13" ht="24" customHeight="1">
      <c r="A34" t="s">
        <v>116</v>
      </c>
      <c r="B34">
        <v>1</v>
      </c>
      <c r="C34" t="s">
        <v>103</v>
      </c>
    </row>
    <row r="35" spans="1:13" ht="24" customHeight="1">
      <c r="A35" t="s">
        <v>116</v>
      </c>
      <c r="B35">
        <v>1</v>
      </c>
      <c r="C35" t="s">
        <v>104</v>
      </c>
    </row>
    <row r="36" spans="1:13" s="4" customFormat="1" ht="24" customHeight="1">
      <c r="A36" s="4" t="s">
        <v>116</v>
      </c>
      <c r="B36" s="4">
        <v>1</v>
      </c>
      <c r="C36" s="4" t="s">
        <v>105</v>
      </c>
      <c r="D36" s="4">
        <v>140</v>
      </c>
    </row>
    <row r="37" spans="1:13" ht="24" customHeight="1">
      <c r="A37" t="s">
        <v>116</v>
      </c>
      <c r="B37">
        <v>1</v>
      </c>
      <c r="C37" t="s">
        <v>106</v>
      </c>
      <c r="D37" s="5">
        <v>26</v>
      </c>
      <c r="E37" s="2">
        <f>IF(AND(ISNUMBER(F37),ISNUMBER('Reference data'!$B$3)),F37*'Reference data'!$B$3,"Unknown")</f>
        <v>2.7217944e-05</v>
      </c>
      <c r="F37" s="2">
        <f>IF(D37=0,0,IF(ISNUMBER('Reference data'!F17),D37*'Reference data'!F17/1000000,"Unknown"))</f>
        <v>3.12e-05</v>
      </c>
      <c r="G37" s="5">
        <f>IF(ISNUMBER(E37),ROUND(E37*'Reference data'!$B$2,0),"Unknown")</f>
        <v>3.0</v>
      </c>
      <c r="H37" s="5">
        <f>IF(ISNUMBER(F37),ROUND(F37*'Reference data'!$B$2,0),"Unknown")</f>
        <v>3.0</v>
      </c>
    </row>
    <row r="38" spans="1:13" ht="24" customHeight="1">
      <c r="A38" t="s">
        <v>116</v>
      </c>
      <c r="B38">
        <v>1</v>
      </c>
      <c r="C38" t="s">
        <v>107</v>
      </c>
      <c r="D38" s="5">
        <v>114</v>
      </c>
      <c r="E38" s="2">
        <f>IF(AND(ISNUMBER(F38),ISNUMBER('Reference data'!$B$3)),F38*'Reference data'!$B$3,"Unknown")</f>
        <v>0.000119340216</v>
      </c>
      <c r="F38" s="2">
        <f>IF(D38=0,0,IF(ISNUMBER('Reference data'!E17),D38*'Reference data'!E17/1000000,"Unknown"))</f>
        <v>0.0001368</v>
      </c>
      <c r="G38" s="5">
        <f>IF(ISNUMBER(E38),ROUND(E38*'Reference data'!$B$2,0),"Unknown")</f>
        <v>12.0</v>
      </c>
      <c r="H38" s="5">
        <f>IF(ISNUMBER(F38),ROUND(F38*'Reference data'!$B$2,0),"Unknown")</f>
        <v>14.0</v>
      </c>
    </row>
    <row r="39" spans="1:13" ht="409" customHeight="1">
      <c r="A39" t="s">
        <v>116</v>
      </c>
      <c r="B39">
        <v>1</v>
      </c>
      <c r="C39" t="s">
        <v>108</v>
      </c>
      <c r="I39" s="6" t="s">
        <v>119</v>
      </c>
    </row>
    <row r="40" spans="1:13" ht="24" customHeight="1">
      <c r="A40" t="s">
        <v>116</v>
      </c>
      <c r="B40">
        <v>1</v>
      </c>
      <c r="C40" t="s">
        <v>103</v>
      </c>
    </row>
    <row r="41" spans="1:13" ht="24" customHeight="1">
      <c r="A41" t="s">
        <v>116</v>
      </c>
      <c r="B41">
        <v>1</v>
      </c>
      <c r="C41" t="s">
        <v>104</v>
      </c>
    </row>
    <row r="42" spans="1:13" s="4" customFormat="1" ht="24" customHeight="1">
      <c r="A42" s="4" t="s">
        <v>116</v>
      </c>
      <c r="B42" s="4">
        <v>1</v>
      </c>
      <c r="C42" s="4" t="s">
        <v>110</v>
      </c>
      <c r="E42" s="2">
        <f>IF(COUNT('Turns'!E31,'Turns'!E37,'Turns'!E38)=3,SUM('Turns'!E31,'Turns'!E37,'Turns'!E38),"Unknown")</f>
        <v>0.00025560441</v>
      </c>
      <c r="F42" s="2">
        <f>IF(COUNT('Turns'!F31,'Turns'!F37,'Turns'!F38)=3,SUM('Turns'!F31,'Turns'!F37,'Turns'!F38),"Unknown")</f>
        <v>0.000293</v>
      </c>
      <c r="G42" s="5">
        <f>IF(ISNUMBER(E42),ROUND(E42*'Reference data'!$B$2,0),"Unknown")</f>
        <v>26.0</v>
      </c>
      <c r="H42" s="5">
        <f>IF(ISNUMBER(F42),ROUND(F42*'Reference data'!$B$2,0),"Unknown")</f>
        <v>29.0</v>
      </c>
      <c r="K42" s="4" t="s">
        <v>111</v>
      </c>
    </row>
    <row r="43" spans="1:13" s="4" customFormat="1" ht="24" customHeight="1">
      <c r="B43" s="4">
        <v>1</v>
      </c>
      <c r="C43" s="4" t="s">
        <v>120</v>
      </c>
      <c r="K43" s="4" t="s">
        <v>111</v>
      </c>
      <c r="M43" s="4" t="s">
        <v>121</v>
      </c>
    </row>
    <row r="44" spans="1:13" ht="86" customHeight="1">
      <c r="B44">
        <v>1</v>
      </c>
      <c r="C44" t="s">
        <v>122</v>
      </c>
      <c r="I44" s="6" t="s">
        <v>123</v>
      </c>
    </row>
    <row r="45" spans="1:13" ht="60" customHeight="1">
      <c r="B45">
        <v>1</v>
      </c>
      <c r="C45" t="s">
        <v>124</v>
      </c>
      <c r="I45" s="6" t="s">
        <v>125</v>
      </c>
    </row>
    <row r="46" spans="1:13" s="4" customFormat="1" ht="24" customHeight="1">
      <c r="A46" s="4" t="s">
        <v>126</v>
      </c>
      <c r="B46" s="4">
        <v>1</v>
      </c>
      <c r="C46" s="4" t="s">
        <v>94</v>
      </c>
      <c r="D46" s="4">
        <v>193</v>
      </c>
      <c r="J46" s="4" t="s">
        <v>95</v>
      </c>
      <c r="M46" s="4" t="s">
        <v>127</v>
      </c>
    </row>
    <row r="47" spans="1:13" ht="24" customHeight="1">
      <c r="A47" t="s">
        <v>126</v>
      </c>
      <c r="B47">
        <v>1</v>
      </c>
      <c r="C47" t="s">
        <v>97</v>
      </c>
      <c r="D47" s="5">
        <v>193</v>
      </c>
      <c r="E47" s="2">
        <f>IF(AND(ISNUMBER(F47),ISNUMBER('Reference data'!$B$3)),F47*'Reference data'!$B$3,"Unknown")</f>
        <v>3.3673482e-05</v>
      </c>
      <c r="F47" s="2">
        <f>IF(D47=0,0,IF(ISNUMBER('Reference data'!B17),D47*'Reference data'!B17/1000000,"Unknown"))</f>
        <v>3.86e-05</v>
      </c>
      <c r="G47" s="5">
        <f>IF(ISNUMBER(E47),ROUND(E47*'Reference data'!$B$2,0),"Unknown")</f>
        <v>3.0</v>
      </c>
      <c r="H47" s="5">
        <f>IF(ISNUMBER(F47),ROUND(F47*'Reference data'!$B$2,0),"Unknown")</f>
        <v>4.0</v>
      </c>
    </row>
    <row r="48" spans="1:13" ht="24" customHeight="1">
      <c r="A48" t="s">
        <v>126</v>
      </c>
      <c r="B48">
        <v>1</v>
      </c>
      <c r="C48" t="s">
        <v>98</v>
      </c>
    </row>
    <row r="49" spans="1:13" ht="47" customHeight="1">
      <c r="A49" t="s">
        <v>126</v>
      </c>
      <c r="B49">
        <v>1</v>
      </c>
      <c r="C49" t="s">
        <v>99</v>
      </c>
      <c r="I49" s="6" t="s">
        <v>128</v>
      </c>
    </row>
    <row r="50" spans="1:13" ht="24" customHeight="1">
      <c r="A50" t="s">
        <v>126</v>
      </c>
      <c r="B50">
        <v>1</v>
      </c>
      <c r="C50" t="s">
        <v>103</v>
      </c>
    </row>
    <row r="51" spans="1:13" ht="24" customHeight="1">
      <c r="A51" t="s">
        <v>126</v>
      </c>
      <c r="B51">
        <v>1</v>
      </c>
      <c r="C51" t="s">
        <v>104</v>
      </c>
    </row>
    <row r="52" spans="1:13" s="4" customFormat="1" ht="24" customHeight="1">
      <c r="A52" s="4" t="s">
        <v>126</v>
      </c>
      <c r="B52" s="4">
        <v>1</v>
      </c>
      <c r="C52" s="4" t="s">
        <v>105</v>
      </c>
      <c r="D52" s="4">
        <v>113</v>
      </c>
    </row>
    <row r="53" spans="1:13" ht="24" customHeight="1">
      <c r="A53" t="s">
        <v>126</v>
      </c>
      <c r="B53">
        <v>1</v>
      </c>
      <c r="C53" t="s">
        <v>106</v>
      </c>
      <c r="D53" s="5">
        <v>68</v>
      </c>
      <c r="E53" s="2">
        <f>IF(AND(ISNUMBER(F53),ISNUMBER('Reference data'!$B$3)),F53*'Reference data'!$B$3,"Unknown")</f>
        <v>7.1185392e-05</v>
      </c>
      <c r="F53" s="2">
        <f>IF(D53=0,0,IF(ISNUMBER('Reference data'!F17),D53*'Reference data'!F17/1000000,"Unknown"))</f>
        <v>8.16e-05</v>
      </c>
      <c r="G53" s="5">
        <f>IF(ISNUMBER(E53),ROUND(E53*'Reference data'!$B$2,0),"Unknown")</f>
        <v>7.0</v>
      </c>
      <c r="H53" s="5">
        <f>IF(ISNUMBER(F53),ROUND(F53*'Reference data'!$B$2,0),"Unknown")</f>
        <v>8.0</v>
      </c>
    </row>
    <row r="54" spans="1:13" ht="24" customHeight="1">
      <c r="A54" t="s">
        <v>126</v>
      </c>
      <c r="B54">
        <v>1</v>
      </c>
      <c r="C54" t="s">
        <v>107</v>
      </c>
      <c r="D54" s="5">
        <v>45</v>
      </c>
      <c r="E54" s="2">
        <f>IF(AND(ISNUMBER(F54),ISNUMBER('Reference data'!$B$3)),F54*'Reference data'!$B$3,"Unknown")</f>
        <v>4.710798e-05</v>
      </c>
      <c r="F54" s="2">
        <f>IF(D54=0,0,IF(ISNUMBER('Reference data'!E17),D54*'Reference data'!E17/1000000,"Unknown"))</f>
        <v>5.4e-05</v>
      </c>
      <c r="G54" s="5">
        <f>IF(ISNUMBER(E54),ROUND(E54*'Reference data'!$B$2,0),"Unknown")</f>
        <v>5.0</v>
      </c>
      <c r="H54" s="5">
        <f>IF(ISNUMBER(F54),ROUND(F54*'Reference data'!$B$2,0),"Unknown")</f>
        <v>5.0</v>
      </c>
    </row>
    <row r="55" spans="1:13" ht="385" customHeight="1">
      <c r="A55" t="s">
        <v>126</v>
      </c>
      <c r="B55">
        <v>1</v>
      </c>
      <c r="C55" t="s">
        <v>108</v>
      </c>
      <c r="I55" s="6" t="s">
        <v>129</v>
      </c>
    </row>
    <row r="56" spans="1:13" ht="24" customHeight="1">
      <c r="A56" t="s">
        <v>126</v>
      </c>
      <c r="B56">
        <v>1</v>
      </c>
      <c r="C56" t="s">
        <v>103</v>
      </c>
    </row>
    <row r="57" spans="1:13" ht="24" customHeight="1">
      <c r="A57" t="s">
        <v>126</v>
      </c>
      <c r="B57">
        <v>1</v>
      </c>
      <c r="C57" t="s">
        <v>104</v>
      </c>
    </row>
    <row r="58" spans="1:13" s="4" customFormat="1" ht="24" customHeight="1">
      <c r="A58" s="4" t="s">
        <v>126</v>
      </c>
      <c r="B58" s="4">
        <v>1</v>
      </c>
      <c r="C58" s="4" t="s">
        <v>110</v>
      </c>
      <c r="E58" s="2">
        <f>IF(COUNT('Turns'!E47,'Turns'!E53,'Turns'!E54)=3,SUM('Turns'!E47,'Turns'!E53,'Turns'!E54),"Unknown")</f>
        <v>0.000151966854</v>
      </c>
      <c r="F58" s="2">
        <f>IF(COUNT('Turns'!F47,'Turns'!F53,'Turns'!F54)=3,SUM('Turns'!F47,'Turns'!F53,'Turns'!F54),"Unknown")</f>
        <v>0.0001742</v>
      </c>
      <c r="G58" s="5">
        <f>IF(ISNUMBER(E58),ROUND(E58*'Reference data'!$B$2,0),"Unknown")</f>
        <v>15.0</v>
      </c>
      <c r="H58" s="5">
        <f>IF(ISNUMBER(F58),ROUND(F58*'Reference data'!$B$2,0),"Unknown")</f>
        <v>17.0</v>
      </c>
      <c r="K58" s="4" t="s">
        <v>111</v>
      </c>
    </row>
    <row r="59" spans="1:13" s="4" customFormat="1" ht="24" customHeight="1">
      <c r="B59" s="4">
        <v>1</v>
      </c>
      <c r="C59" s="4" t="s">
        <v>130</v>
      </c>
      <c r="K59" s="4" t="s">
        <v>111</v>
      </c>
      <c r="M59" s="4" t="s">
        <v>131</v>
      </c>
    </row>
    <row r="60" spans="1:13" ht="34" customHeight="1">
      <c r="B60">
        <v>1</v>
      </c>
      <c r="C60" t="s">
        <v>122</v>
      </c>
      <c r="I60" s="6" t="s">
        <v>132</v>
      </c>
    </row>
    <row r="61" spans="1:13" ht="34" customHeight="1">
      <c r="B61">
        <v>1</v>
      </c>
      <c r="C61" t="s">
        <v>124</v>
      </c>
      <c r="I61" s="6" t="s">
        <v>133</v>
      </c>
    </row>
    <row r="62" spans="1:13" s="4" customFormat="1" ht="24" customHeight="1">
      <c r="A62" s="4" t="s">
        <v>134</v>
      </c>
      <c r="B62" s="4">
        <v>1</v>
      </c>
      <c r="C62" s="4" t="s">
        <v>94</v>
      </c>
      <c r="D62" s="4">
        <v>591</v>
      </c>
      <c r="J62" s="4" t="s">
        <v>95</v>
      </c>
      <c r="M62" s="4" t="s">
        <v>135</v>
      </c>
    </row>
    <row r="63" spans="1:13" ht="24" customHeight="1">
      <c r="A63" t="s">
        <v>134</v>
      </c>
      <c r="B63">
        <v>1</v>
      </c>
      <c r="C63" t="s">
        <v>97</v>
      </c>
      <c r="D63" s="5">
        <v>591</v>
      </c>
      <c r="E63" s="2">
        <f>IF(AND(ISNUMBER(F63),ISNUMBER('Reference data'!$B$3)),F63*'Reference data'!$B$3,"Unknown")</f>
        <v>0.000103114134</v>
      </c>
      <c r="F63" s="2">
        <f>IF(D63=0,0,IF(ISNUMBER('Reference data'!B17),D63*'Reference data'!B17/1000000,"Unknown"))</f>
        <v>0.0001182</v>
      </c>
      <c r="G63" s="5">
        <f>IF(ISNUMBER(E63),ROUND(E63*'Reference data'!$B$2,0),"Unknown")</f>
        <v>10.0</v>
      </c>
      <c r="H63" s="5">
        <f>IF(ISNUMBER(F63),ROUND(F63*'Reference data'!$B$2,0),"Unknown")</f>
        <v>12.0</v>
      </c>
    </row>
    <row r="64" spans="1:13" ht="24" customHeight="1">
      <c r="A64" t="s">
        <v>134</v>
      </c>
      <c r="B64">
        <v>1</v>
      </c>
      <c r="C64" t="s">
        <v>98</v>
      </c>
    </row>
    <row r="65" spans="1:13" ht="24" customHeight="1">
      <c r="A65" t="s">
        <v>134</v>
      </c>
      <c r="B65">
        <v>1</v>
      </c>
      <c r="C65" t="s">
        <v>99</v>
      </c>
      <c r="I65" s="6" t="s">
        <v>114</v>
      </c>
    </row>
    <row r="66" spans="1:13" ht="24" customHeight="1">
      <c r="A66" t="s">
        <v>134</v>
      </c>
      <c r="B66">
        <v>1</v>
      </c>
      <c r="C66" t="s">
        <v>103</v>
      </c>
    </row>
    <row r="67" spans="1:13" ht="24" customHeight="1">
      <c r="A67" t="s">
        <v>134</v>
      </c>
      <c r="B67">
        <v>1</v>
      </c>
      <c r="C67" t="s">
        <v>104</v>
      </c>
    </row>
    <row r="68" spans="1:13" s="4" customFormat="1" ht="24" customHeight="1">
      <c r="A68" s="4" t="s">
        <v>134</v>
      </c>
      <c r="B68" s="4">
        <v>1</v>
      </c>
      <c r="C68" s="4" t="s">
        <v>105</v>
      </c>
      <c r="D68" s="4">
        <v>184</v>
      </c>
    </row>
    <row r="69" spans="1:13" ht="24" customHeight="1">
      <c r="A69" t="s">
        <v>134</v>
      </c>
      <c r="B69">
        <v>1</v>
      </c>
      <c r="C69" t="s">
        <v>106</v>
      </c>
      <c r="D69" s="5">
        <v>27</v>
      </c>
      <c r="E69" s="2">
        <f>IF(AND(ISNUMBER(F69),ISNUMBER('Reference data'!$B$3)),F69*'Reference data'!$B$3,"Unknown")</f>
        <v>2.8264788e-05</v>
      </c>
      <c r="F69" s="2">
        <f>IF(D69=0,0,IF(ISNUMBER('Reference data'!F17),D69*'Reference data'!F17/1000000,"Unknown"))</f>
        <v>3.24e-05</v>
      </c>
      <c r="G69" s="5">
        <f>IF(ISNUMBER(E69),ROUND(E69*'Reference data'!$B$2,0),"Unknown")</f>
        <v>3.0</v>
      </c>
      <c r="H69" s="5">
        <f>IF(ISNUMBER(F69),ROUND(F69*'Reference data'!$B$2,0),"Unknown")</f>
        <v>3.0</v>
      </c>
    </row>
    <row r="70" spans="1:13" ht="24" customHeight="1">
      <c r="A70" t="s">
        <v>134</v>
      </c>
      <c r="B70">
        <v>1</v>
      </c>
      <c r="C70" t="s">
        <v>107</v>
      </c>
      <c r="D70" s="5">
        <v>157</v>
      </c>
      <c r="E70" s="2">
        <f>IF(AND(ISNUMBER(F70),ISNUMBER('Reference data'!$B$3)),F70*'Reference data'!$B$3,"Unknown")</f>
        <v>0.000164354508</v>
      </c>
      <c r="F70" s="2">
        <f>IF(D70=0,0,IF(ISNUMBER('Reference data'!E17),D70*'Reference data'!E17/1000000,"Unknown"))</f>
        <v>0.0001884</v>
      </c>
      <c r="G70" s="5">
        <f>IF(ISNUMBER(E70),ROUND(E70*'Reference data'!$B$2,0),"Unknown")</f>
        <v>16.0</v>
      </c>
      <c r="H70" s="5">
        <f>IF(ISNUMBER(F70),ROUND(F70*'Reference data'!$B$2,0),"Unknown")</f>
        <v>19.0</v>
      </c>
    </row>
    <row r="71" spans="1:13" ht="385" customHeight="1">
      <c r="A71" t="s">
        <v>134</v>
      </c>
      <c r="B71">
        <v>1</v>
      </c>
      <c r="C71" t="s">
        <v>108</v>
      </c>
      <c r="I71" s="6" t="s">
        <v>136</v>
      </c>
    </row>
    <row r="72" spans="1:13" ht="24" customHeight="1">
      <c r="A72" t="s">
        <v>134</v>
      </c>
      <c r="B72">
        <v>1</v>
      </c>
      <c r="C72" t="s">
        <v>103</v>
      </c>
    </row>
    <row r="73" spans="1:13" ht="24" customHeight="1">
      <c r="A73" t="s">
        <v>134</v>
      </c>
      <c r="B73">
        <v>1</v>
      </c>
      <c r="C73" t="s">
        <v>104</v>
      </c>
    </row>
    <row r="74" spans="1:13" s="4" customFormat="1" ht="24" customHeight="1">
      <c r="A74" s="4" t="s">
        <v>134</v>
      </c>
      <c r="B74" s="4">
        <v>1</v>
      </c>
      <c r="C74" s="4" t="s">
        <v>110</v>
      </c>
      <c r="E74" s="2">
        <f>IF(COUNT('Turns'!E63,'Turns'!E69,'Turns'!E70)=3,SUM('Turns'!E63,'Turns'!E69,'Turns'!E70),"Unknown")</f>
        <v>0.00029573343</v>
      </c>
      <c r="F74" s="2">
        <f>IF(COUNT('Turns'!F63,'Turns'!F69,'Turns'!F70)=3,SUM('Turns'!F63,'Turns'!F69,'Turns'!F70),"Unknown")</f>
        <v>0.000339</v>
      </c>
      <c r="G74" s="5">
        <f>IF(ISNUMBER(E74),ROUND(E74*'Reference data'!$B$2,0),"Unknown")</f>
        <v>30.0</v>
      </c>
      <c r="H74" s="5">
        <f>IF(ISNUMBER(F74),ROUND(F74*'Reference data'!$B$2,0),"Unknown")</f>
        <v>34.0</v>
      </c>
      <c r="K74" s="4" t="s">
        <v>111</v>
      </c>
    </row>
    <row r="75" spans="1:13" s="4" customFormat="1" ht="24" customHeight="1">
      <c r="A75" s="4" t="s">
        <v>137</v>
      </c>
      <c r="B75" s="4">
        <v>1</v>
      </c>
      <c r="C75" s="4" t="s">
        <v>94</v>
      </c>
      <c r="D75" s="4">
        <v>419</v>
      </c>
      <c r="J75" s="4" t="s">
        <v>95</v>
      </c>
      <c r="M75" s="4" t="s">
        <v>138</v>
      </c>
    </row>
    <row r="76" spans="1:13" ht="24" customHeight="1">
      <c r="A76" t="s">
        <v>137</v>
      </c>
      <c r="B76">
        <v>1</v>
      </c>
      <c r="C76" t="s">
        <v>139</v>
      </c>
      <c r="D76" s="5">
        <v>0</v>
      </c>
      <c r="E76" s="2">
        <f>IF(AND(ISNUMBER(F76),ISNUMBER('Reference data'!$B$3)),F76*'Reference data'!$B$3,"Unknown")</f>
        <v>0.0</v>
      </c>
      <c r="F76" s="2">
        <f>IF(D76=0,0,IF(ISNUMBER('Reference data'!C17),D76*'Reference data'!C17/1000000,"Unknown"))</f>
        <v>0.0</v>
      </c>
      <c r="G76" s="5">
        <f>IF(ISNUMBER(E76),ROUND(E76*'Reference data'!$B$2,0),"Unknown")</f>
        <v>0.0</v>
      </c>
      <c r="H76" s="5">
        <f>IF(ISNUMBER(F76),ROUND(F76*'Reference data'!$B$2,0),"Unknown")</f>
        <v>0.0</v>
      </c>
    </row>
    <row r="77" spans="1:13" ht="24" customHeight="1">
      <c r="A77" t="s">
        <v>137</v>
      </c>
      <c r="B77">
        <v>1</v>
      </c>
      <c r="C77" t="s">
        <v>97</v>
      </c>
      <c r="D77" s="5">
        <v>419</v>
      </c>
      <c r="E77" s="2">
        <f>IF(AND(ISNUMBER(F77),ISNUMBER('Reference data'!$B$3)),F77*'Reference data'!$B$3,"Unknown")</f>
        <v>7.3104606e-05</v>
      </c>
      <c r="F77" s="2">
        <f>IF(D77=0,0,IF(ISNUMBER('Reference data'!B17),D77*'Reference data'!B17/1000000,"Unknown"))</f>
        <v>8.38e-05</v>
      </c>
      <c r="G77" s="5">
        <f>IF(ISNUMBER(E77),ROUND(E77*'Reference data'!$B$2,0),"Unknown")</f>
        <v>7.0</v>
      </c>
      <c r="H77" s="5">
        <f>IF(ISNUMBER(F77),ROUND(F77*'Reference data'!$B$2,0),"Unknown")</f>
        <v>8.0</v>
      </c>
    </row>
    <row r="78" spans="1:13" ht="34" customHeight="1">
      <c r="A78" t="s">
        <v>137</v>
      </c>
      <c r="B78">
        <v>1</v>
      </c>
      <c r="C78" t="s">
        <v>140</v>
      </c>
      <c r="I78" s="6" t="s">
        <v>133</v>
      </c>
    </row>
    <row r="79" spans="1:13" ht="24" customHeight="1">
      <c r="A79" t="s">
        <v>137</v>
      </c>
      <c r="B79">
        <v>1</v>
      </c>
      <c r="C79" t="s">
        <v>103</v>
      </c>
    </row>
    <row r="80" spans="1:13" ht="24" customHeight="1">
      <c r="A80" t="s">
        <v>137</v>
      </c>
      <c r="B80">
        <v>1</v>
      </c>
      <c r="C80" t="s">
        <v>104</v>
      </c>
    </row>
    <row r="81" spans="1:13" s="4" customFormat="1" ht="24" customHeight="1">
      <c r="A81" s="4" t="s">
        <v>137</v>
      </c>
      <c r="B81" s="4">
        <v>1</v>
      </c>
      <c r="C81" s="4" t="s">
        <v>105</v>
      </c>
      <c r="D81" s="4">
        <v>180</v>
      </c>
    </row>
    <row r="82" spans="1:13" ht="24" customHeight="1">
      <c r="A82" t="s">
        <v>137</v>
      </c>
      <c r="B82">
        <v>1</v>
      </c>
      <c r="C82" t="s">
        <v>106</v>
      </c>
      <c r="D82" s="5">
        <v>133</v>
      </c>
      <c r="E82" s="2">
        <f>IF(AND(ISNUMBER(F82),ISNUMBER('Reference data'!$B$3)),F82*'Reference data'!$B$3,"Unknown")</f>
        <v>0.000139230252</v>
      </c>
      <c r="F82" s="2">
        <f>IF(D82=0,0,IF(ISNUMBER('Reference data'!F17),D82*'Reference data'!F17/1000000,"Unknown"))</f>
        <v>0.0001596</v>
      </c>
      <c r="G82" s="5">
        <f>IF(ISNUMBER(E82),ROUND(E82*'Reference data'!$B$2,0),"Unknown")</f>
        <v>14.0</v>
      </c>
      <c r="H82" s="5">
        <f>IF(ISNUMBER(F82),ROUND(F82*'Reference data'!$B$2,0),"Unknown")</f>
        <v>16.0</v>
      </c>
    </row>
    <row r="83" spans="1:13" ht="24" customHeight="1">
      <c r="A83" t="s">
        <v>137</v>
      </c>
      <c r="B83">
        <v>1</v>
      </c>
      <c r="C83" t="s">
        <v>107</v>
      </c>
      <c r="D83" s="5">
        <v>47</v>
      </c>
      <c r="E83" s="2">
        <f>IF(AND(ISNUMBER(F83),ISNUMBER('Reference data'!$B$3)),F83*'Reference data'!$B$3,"Unknown")</f>
        <v>4.9201668e-05</v>
      </c>
      <c r="F83" s="2">
        <f>IF(D83=0,0,IF(ISNUMBER('Reference data'!E17),D83*'Reference data'!E17/1000000,"Unknown"))</f>
        <v>5.64e-05</v>
      </c>
      <c r="G83" s="5">
        <f>IF(ISNUMBER(E83),ROUND(E83*'Reference data'!$B$2,0),"Unknown")</f>
        <v>5.0</v>
      </c>
      <c r="H83" s="5">
        <f>IF(ISNUMBER(F83),ROUND(F83*'Reference data'!$B$2,0),"Unknown")</f>
        <v>6.0</v>
      </c>
    </row>
    <row r="84" spans="1:13" ht="409" customHeight="1">
      <c r="A84" t="s">
        <v>137</v>
      </c>
      <c r="B84">
        <v>1</v>
      </c>
      <c r="C84" t="s">
        <v>108</v>
      </c>
      <c r="I84" s="6" t="s">
        <v>141</v>
      </c>
    </row>
    <row r="85" spans="1:13" ht="24" customHeight="1">
      <c r="A85" t="s">
        <v>137</v>
      </c>
      <c r="B85">
        <v>1</v>
      </c>
      <c r="C85" t="s">
        <v>103</v>
      </c>
    </row>
    <row r="86" spans="1:13" ht="24" customHeight="1">
      <c r="A86" t="s">
        <v>137</v>
      </c>
      <c r="B86">
        <v>1</v>
      </c>
      <c r="C86" t="s">
        <v>104</v>
      </c>
    </row>
    <row r="87" spans="1:13" s="4" customFormat="1" ht="24" customHeight="1">
      <c r="A87" s="4" t="s">
        <v>137</v>
      </c>
      <c r="B87" s="4">
        <v>1</v>
      </c>
      <c r="C87" s="4" t="s">
        <v>110</v>
      </c>
      <c r="E87" s="2">
        <f>IF(COUNT('Turns'!E76,'Turns'!E77,'Turns'!E82,'Turns'!E83)=4,SUM('Turns'!E76,'Turns'!E77,'Turns'!E82,'Turns'!E83),"Unknown")</f>
        <v>0.000261536526</v>
      </c>
      <c r="F87" s="2">
        <f>IF(COUNT('Turns'!F76,'Turns'!F77,'Turns'!F82,'Turns'!F83)=4,SUM('Turns'!F76,'Turns'!F77,'Turns'!F82,'Turns'!F83),"Unknown")</f>
        <v>0.0002998</v>
      </c>
      <c r="G87" s="5">
        <f>IF(ISNUMBER(E87),ROUND(E87*'Reference data'!$B$2,0),"Unknown")</f>
        <v>26.0</v>
      </c>
      <c r="H87" s="5">
        <f>IF(ISNUMBER(F87),ROUND(F87*'Reference data'!$B$2,0),"Unknown")</f>
        <v>30.0</v>
      </c>
      <c r="K87" s="4" t="s">
        <v>111</v>
      </c>
    </row>
    <row r="88" spans="1:13" s="4" customFormat="1" ht="24" customHeight="1">
      <c r="A88" s="4" t="s">
        <v>142</v>
      </c>
      <c r="B88" s="4">
        <v>1</v>
      </c>
      <c r="C88" s="4" t="s">
        <v>94</v>
      </c>
      <c r="D88" s="4">
        <v>720</v>
      </c>
      <c r="J88" s="4" t="s">
        <v>95</v>
      </c>
      <c r="M88" s="4" t="s">
        <v>143</v>
      </c>
    </row>
    <row r="89" spans="1:13" ht="24" customHeight="1">
      <c r="A89" t="s">
        <v>142</v>
      </c>
      <c r="B89">
        <v>1</v>
      </c>
      <c r="C89" t="s">
        <v>139</v>
      </c>
      <c r="D89" s="5">
        <v>0</v>
      </c>
      <c r="E89" s="2">
        <f>IF(AND(ISNUMBER(F89),ISNUMBER('Reference data'!$B$3)),F89*'Reference data'!$B$3,"Unknown")</f>
        <v>0.0</v>
      </c>
      <c r="F89" s="2">
        <f>IF(D89=0,0,IF(ISNUMBER('Reference data'!C17),D89*'Reference data'!C17/1000000,"Unknown"))</f>
        <v>0.0</v>
      </c>
      <c r="G89" s="5">
        <f>IF(ISNUMBER(E89),ROUND(E89*'Reference data'!$B$2,0),"Unknown")</f>
        <v>0.0</v>
      </c>
      <c r="H89" s="5">
        <f>IF(ISNUMBER(F89),ROUND(F89*'Reference data'!$B$2,0),"Unknown")</f>
        <v>0.0</v>
      </c>
    </row>
    <row r="90" spans="1:13" ht="24" customHeight="1">
      <c r="A90" t="s">
        <v>142</v>
      </c>
      <c r="B90">
        <v>1</v>
      </c>
      <c r="C90" t="s">
        <v>97</v>
      </c>
      <c r="D90" s="5">
        <v>720</v>
      </c>
      <c r="E90" s="2">
        <f>IF(AND(ISNUMBER(F90),ISNUMBER('Reference data'!$B$3)),F90*'Reference data'!$B$3,"Unknown")</f>
        <v>0.00012562128</v>
      </c>
      <c r="F90" s="2">
        <f>IF(D90=0,0,IF(ISNUMBER('Reference data'!B17),D90*'Reference data'!B17/1000000,"Unknown"))</f>
        <v>0.000144</v>
      </c>
      <c r="G90" s="5">
        <f>IF(ISNUMBER(E90),ROUND(E90*'Reference data'!$B$2,0),"Unknown")</f>
        <v>13.0</v>
      </c>
      <c r="H90" s="5">
        <f>IF(ISNUMBER(F90),ROUND(F90*'Reference data'!$B$2,0),"Unknown")</f>
        <v>14.0</v>
      </c>
    </row>
    <row r="91" spans="1:13" ht="24" customHeight="1">
      <c r="A91" t="s">
        <v>142</v>
      </c>
      <c r="B91">
        <v>1</v>
      </c>
      <c r="C91" t="s">
        <v>103</v>
      </c>
    </row>
    <row r="92" spans="1:13" ht="24" customHeight="1">
      <c r="A92" t="s">
        <v>142</v>
      </c>
      <c r="B92">
        <v>1</v>
      </c>
      <c r="C92" t="s">
        <v>104</v>
      </c>
    </row>
    <row r="93" spans="1:13" s="4" customFormat="1" ht="24" customHeight="1">
      <c r="A93" s="4" t="s">
        <v>142</v>
      </c>
      <c r="B93" s="4">
        <v>1</v>
      </c>
      <c r="C93" s="4" t="s">
        <v>105</v>
      </c>
      <c r="D93" s="4">
        <v>259</v>
      </c>
    </row>
    <row r="94" spans="1:13" ht="24" customHeight="1">
      <c r="A94" t="s">
        <v>142</v>
      </c>
      <c r="B94">
        <v>1</v>
      </c>
      <c r="C94" t="s">
        <v>107</v>
      </c>
      <c r="D94" s="5">
        <v>259</v>
      </c>
      <c r="E94" s="2">
        <f>IF(AND(ISNUMBER(F94),ISNUMBER('Reference data'!$B$3)),F94*'Reference data'!$B$3,"Unknown")</f>
        <v>0.000271132596</v>
      </c>
      <c r="F94" s="2">
        <f>IF(D94=0,0,IF(ISNUMBER('Reference data'!E17),D94*'Reference data'!E17/1000000,"Unknown"))</f>
        <v>0.0003108</v>
      </c>
      <c r="G94" s="5">
        <f>IF(ISNUMBER(E94),ROUND(E94*'Reference data'!$B$2,0),"Unknown")</f>
        <v>27.0</v>
      </c>
      <c r="H94" s="5">
        <f>IF(ISNUMBER(F94),ROUND(F94*'Reference data'!$B$2,0),"Unknown")</f>
        <v>31.0</v>
      </c>
    </row>
    <row r="95" spans="1:13" ht="242" customHeight="1">
      <c r="A95" t="s">
        <v>142</v>
      </c>
      <c r="B95">
        <v>1</v>
      </c>
      <c r="C95" t="s">
        <v>108</v>
      </c>
      <c r="I95" s="6" t="s">
        <v>144</v>
      </c>
    </row>
    <row r="96" spans="1:13" ht="24" customHeight="1">
      <c r="A96" t="s">
        <v>142</v>
      </c>
      <c r="B96">
        <v>1</v>
      </c>
      <c r="C96" t="s">
        <v>103</v>
      </c>
    </row>
    <row r="97" spans="1:13" ht="24" customHeight="1">
      <c r="A97" t="s">
        <v>142</v>
      </c>
      <c r="B97">
        <v>1</v>
      </c>
      <c r="C97" t="s">
        <v>104</v>
      </c>
    </row>
    <row r="98" spans="1:13" s="4" customFormat="1" ht="24" customHeight="1">
      <c r="A98" s="4" t="s">
        <v>142</v>
      </c>
      <c r="B98" s="4">
        <v>1</v>
      </c>
      <c r="C98" s="4" t="s">
        <v>110</v>
      </c>
      <c r="E98" s="2">
        <f>IF(COUNT('Turns'!E89,'Turns'!E90,'Turns'!E94)=3,SUM('Turns'!E89,'Turns'!E90,'Turns'!E94),"Unknown")</f>
        <v>0.000396753876</v>
      </c>
      <c r="F98" s="2">
        <f>IF(COUNT('Turns'!F89,'Turns'!F90,'Turns'!F94)=3,SUM('Turns'!F89,'Turns'!F90,'Turns'!F94),"Unknown")</f>
        <v>0.0004548</v>
      </c>
      <c r="G98" s="5">
        <f>IF(ISNUMBER(E98),ROUND(E98*'Reference data'!$B$2,0),"Unknown")</f>
        <v>40.0</v>
      </c>
      <c r="H98" s="5">
        <f>IF(ISNUMBER(F98),ROUND(F98*'Reference data'!$B$2,0),"Unknown")</f>
        <v>45.0</v>
      </c>
      <c r="K98" s="4" t="s">
        <v>111</v>
      </c>
    </row>
    <row r="99" spans="1:13" s="4" customFormat="1" ht="24" customHeight="1">
      <c r="A99" s="4" t="s">
        <v>145</v>
      </c>
      <c r="B99" s="4">
        <v>1</v>
      </c>
      <c r="C99" s="4" t="s">
        <v>94</v>
      </c>
      <c r="D99" s="4">
        <v>829</v>
      </c>
      <c r="J99" s="4" t="s">
        <v>95</v>
      </c>
      <c r="M99" s="4" t="s">
        <v>146</v>
      </c>
    </row>
    <row r="100" spans="1:13" ht="24" customHeight="1">
      <c r="A100" t="s">
        <v>145</v>
      </c>
      <c r="B100">
        <v>1</v>
      </c>
      <c r="C100" t="s">
        <v>139</v>
      </c>
      <c r="D100" s="5">
        <v>0</v>
      </c>
      <c r="E100" s="2">
        <f>IF(AND(ISNUMBER(F100),ISNUMBER('Reference data'!$B$3)),F100*'Reference data'!$B$3,"Unknown")</f>
        <v>0.0</v>
      </c>
      <c r="F100" s="2">
        <f>IF(D100=0,0,IF(ISNUMBER('Reference data'!C17),D100*'Reference data'!C17/1000000,"Unknown"))</f>
        <v>0.0</v>
      </c>
      <c r="G100" s="5">
        <f>IF(ISNUMBER(E100),ROUND(E100*'Reference data'!$B$2,0),"Unknown")</f>
        <v>0.0</v>
      </c>
      <c r="H100" s="5">
        <f>IF(ISNUMBER(F100),ROUND(F100*'Reference data'!$B$2,0),"Unknown")</f>
        <v>0.0</v>
      </c>
    </row>
    <row r="101" spans="1:13" ht="24" customHeight="1">
      <c r="A101" t="s">
        <v>145</v>
      </c>
      <c r="B101">
        <v>1</v>
      </c>
      <c r="C101" t="s">
        <v>97</v>
      </c>
      <c r="D101" s="5">
        <v>829</v>
      </c>
      <c r="E101" s="2">
        <f>IF(AND(ISNUMBER(F101),ISNUMBER('Reference data'!$B$3)),F101*'Reference data'!$B$3,"Unknown")</f>
        <v>0.000144638946</v>
      </c>
      <c r="F101" s="2">
        <f>IF(D101=0,0,IF(ISNUMBER('Reference data'!B17),D101*'Reference data'!B17/1000000,"Unknown"))</f>
        <v>0.0001658</v>
      </c>
      <c r="G101" s="5">
        <f>IF(ISNUMBER(E101),ROUND(E101*'Reference data'!$B$2,0),"Unknown")</f>
        <v>14.0</v>
      </c>
      <c r="H101" s="5">
        <f>IF(ISNUMBER(F101),ROUND(F101*'Reference data'!$B$2,0),"Unknown")</f>
        <v>17.0</v>
      </c>
    </row>
    <row r="102" spans="1:13" ht="47" customHeight="1">
      <c r="A102" t="s">
        <v>145</v>
      </c>
      <c r="B102">
        <v>1</v>
      </c>
      <c r="C102" t="s">
        <v>140</v>
      </c>
      <c r="I102" s="6" t="s">
        <v>147</v>
      </c>
    </row>
    <row r="103" spans="1:13" ht="24" customHeight="1">
      <c r="A103" t="s">
        <v>145</v>
      </c>
      <c r="B103">
        <v>1</v>
      </c>
      <c r="C103" t="s">
        <v>103</v>
      </c>
    </row>
    <row r="104" spans="1:13" ht="24" customHeight="1">
      <c r="A104" t="s">
        <v>145</v>
      </c>
      <c r="B104">
        <v>1</v>
      </c>
      <c r="C104" t="s">
        <v>104</v>
      </c>
    </row>
    <row r="105" spans="1:13" s="4" customFormat="1" ht="24" customHeight="1">
      <c r="A105" s="4" t="s">
        <v>145</v>
      </c>
      <c r="B105" s="4">
        <v>1</v>
      </c>
      <c r="C105" s="4" t="s">
        <v>105</v>
      </c>
      <c r="D105" s="4">
        <v>288</v>
      </c>
    </row>
    <row r="106" spans="1:13" ht="24" customHeight="1">
      <c r="A106" t="s">
        <v>145</v>
      </c>
      <c r="B106">
        <v>1</v>
      </c>
      <c r="C106" t="s">
        <v>106</v>
      </c>
      <c r="D106" s="5">
        <v>25</v>
      </c>
      <c r="E106" s="2">
        <f>IF(AND(ISNUMBER(F106),ISNUMBER('Reference data'!$B$3)),F106*'Reference data'!$B$3,"Unknown")</f>
        <v>2.61711e-05</v>
      </c>
      <c r="F106" s="2">
        <f>IF(D106=0,0,IF(ISNUMBER('Reference data'!F17),D106*'Reference data'!F17/1000000,"Unknown"))</f>
        <v>3e-05</v>
      </c>
      <c r="G106" s="5">
        <f>IF(ISNUMBER(E106),ROUND(E106*'Reference data'!$B$2,0),"Unknown")</f>
        <v>3.0</v>
      </c>
      <c r="H106" s="5">
        <f>IF(ISNUMBER(F106),ROUND(F106*'Reference data'!$B$2,0),"Unknown")</f>
        <v>3.0</v>
      </c>
    </row>
    <row r="107" spans="1:13" ht="24" customHeight="1">
      <c r="A107" t="s">
        <v>145</v>
      </c>
      <c r="B107">
        <v>1</v>
      </c>
      <c r="C107" t="s">
        <v>107</v>
      </c>
      <c r="D107" s="5">
        <v>263</v>
      </c>
      <c r="E107" s="2">
        <f>IF(AND(ISNUMBER(F107),ISNUMBER('Reference data'!$B$3)),F107*'Reference data'!$B$3,"Unknown")</f>
        <v>0.000275319972</v>
      </c>
      <c r="F107" s="2">
        <f>IF(D107=0,0,IF(ISNUMBER('Reference data'!E17),D107*'Reference data'!E17/1000000,"Unknown"))</f>
        <v>0.0003156</v>
      </c>
      <c r="G107" s="5">
        <f>IF(ISNUMBER(E107),ROUND(E107*'Reference data'!$B$2,0),"Unknown")</f>
        <v>28.0</v>
      </c>
      <c r="H107" s="5">
        <f>IF(ISNUMBER(F107),ROUND(F107*'Reference data'!$B$2,0),"Unknown")</f>
        <v>32.0</v>
      </c>
    </row>
    <row r="108" spans="1:13" ht="409" customHeight="1">
      <c r="A108" t="s">
        <v>145</v>
      </c>
      <c r="B108">
        <v>1</v>
      </c>
      <c r="C108" t="s">
        <v>108</v>
      </c>
      <c r="I108" s="6" t="s">
        <v>148</v>
      </c>
    </row>
    <row r="109" spans="1:13" ht="24" customHeight="1">
      <c r="A109" t="s">
        <v>145</v>
      </c>
      <c r="B109">
        <v>1</v>
      </c>
      <c r="C109" t="s">
        <v>103</v>
      </c>
    </row>
    <row r="110" spans="1:13" ht="24" customHeight="1">
      <c r="A110" t="s">
        <v>145</v>
      </c>
      <c r="B110">
        <v>1</v>
      </c>
      <c r="C110" t="s">
        <v>104</v>
      </c>
    </row>
    <row r="111" spans="1:13" s="4" customFormat="1" ht="24" customHeight="1">
      <c r="A111" s="4" t="s">
        <v>145</v>
      </c>
      <c r="B111" s="4">
        <v>1</v>
      </c>
      <c r="C111" s="4" t="s">
        <v>110</v>
      </c>
      <c r="E111" s="2">
        <f>IF(COUNT('Turns'!E100,'Turns'!E101,'Turns'!E106,'Turns'!E107)=4,SUM('Turns'!E100,'Turns'!E101,'Turns'!E106,'Turns'!E107),"Unknown")</f>
        <v>0.000446130018</v>
      </c>
      <c r="F111" s="2">
        <f>IF(COUNT('Turns'!F100,'Turns'!F101,'Turns'!F106,'Turns'!F107)=4,SUM('Turns'!F100,'Turns'!F101,'Turns'!F106,'Turns'!F107),"Unknown")</f>
        <v>0.0005114</v>
      </c>
      <c r="G111" s="5">
        <f>IF(ISNUMBER(E111),ROUND(E111*'Reference data'!$B$2,0),"Unknown")</f>
        <v>45.0</v>
      </c>
      <c r="H111" s="5">
        <f>IF(ISNUMBER(F111),ROUND(F111*'Reference data'!$B$2,0),"Unknown")</f>
        <v>51.0</v>
      </c>
      <c r="K111" s="4" t="s">
        <v>111</v>
      </c>
    </row>
    <row r="112" spans="1:13" s="4" customFormat="1" ht="24" customHeight="1">
      <c r="B112" s="4">
        <v>2</v>
      </c>
      <c r="C112" s="4" t="s">
        <v>149</v>
      </c>
      <c r="E112" s="2">
        <f>IF(COUNT('Turns'!E126,'Turns'!E138,'Turns'!E150,'Turns'!E162,'Turns'!E177,'Turns'!E191,'Turns'!E204,'Turns'!E215,'Turns'!E228)=9,SUM('Turns'!E126,'Turns'!E138,'Turns'!E150,'Turns'!E162,'Turns'!E177,'Turns'!E191,'Turns'!E204,'Turns'!E215,'Turns'!E228),"Unknown")</f>
        <v>0.0043460164845</v>
      </c>
      <c r="F112" s="2">
        <f>IF(COUNT('Turns'!F126,'Turns'!F138,'Turns'!F150,'Turns'!F162,'Turns'!F177,'Turns'!F191,'Turns'!F204,'Turns'!F215,'Turns'!F228)=9,SUM('Turns'!F126,'Turns'!F138,'Turns'!F150,'Turns'!F162,'Turns'!F177,'Turns'!F191,'Turns'!F204,'Turns'!F215,'Turns'!F228),"Unknown")</f>
        <v>0.00498185</v>
      </c>
      <c r="G112" s="5">
        <f>IF(ISNUMBER(E112),ROUND(E112*'Reference data'!$B$2,0),"Unknown")</f>
        <v>435.0</v>
      </c>
      <c r="H112" s="5">
        <f>IF(ISNUMBER(F112),ROUND(F112*'Reference data'!$B$2,0),"Unknown")</f>
        <v>498.0</v>
      </c>
    </row>
    <row r="113" spans="1:13" s="4" customFormat="1" ht="24" customHeight="1">
      <c r="A113" s="4" t="s">
        <v>150</v>
      </c>
      <c r="B113" s="4">
        <v>2</v>
      </c>
      <c r="C113" s="4" t="s">
        <v>94</v>
      </c>
      <c r="D113" s="4">
        <v>1226</v>
      </c>
      <c r="J113" s="4" t="s">
        <v>95</v>
      </c>
      <c r="M113" s="4" t="s">
        <v>151</v>
      </c>
    </row>
    <row r="114" spans="1:13" ht="24" customHeight="1">
      <c r="A114" t="s">
        <v>150</v>
      </c>
      <c r="B114">
        <v>2</v>
      </c>
      <c r="C114" t="s">
        <v>97</v>
      </c>
      <c r="D114" s="5">
        <v>3</v>
      </c>
      <c r="E114" s="2">
        <f>IF(AND(ISNUMBER(F114),ISNUMBER('Reference data'!$B$3)),F114*'Reference data'!$B$3,"Unknown")</f>
        <v>5.23422e-07</v>
      </c>
      <c r="F114" s="2">
        <f>IF(D114=0,0,IF(ISNUMBER('Reference data'!B17),D114*'Reference data'!B17/1000000,"Unknown"))</f>
        <v>6e-07</v>
      </c>
      <c r="G114" s="5">
        <f>IF(ISNUMBER(E114),ROUND(E114*'Reference data'!$B$2,0),"Unknown")</f>
        <v>0.0</v>
      </c>
      <c r="H114" s="5">
        <f>IF(ISNUMBER(F114),ROUND(F114*'Reference data'!$B$2,0),"Unknown")</f>
        <v>0.0</v>
      </c>
    </row>
    <row r="115" spans="1:13" ht="24" customHeight="1">
      <c r="A115" t="s">
        <v>150</v>
      </c>
      <c r="B115">
        <v>2</v>
      </c>
      <c r="C115" t="s">
        <v>98</v>
      </c>
    </row>
    <row r="116" spans="1:13" ht="24" customHeight="1">
      <c r="A116" t="s">
        <v>150</v>
      </c>
      <c r="B116">
        <v>2</v>
      </c>
      <c r="C116" t="s">
        <v>99</v>
      </c>
      <c r="I116" s="6" t="s">
        <v>114</v>
      </c>
    </row>
    <row r="117" spans="1:13" ht="409" customHeight="1">
      <c r="A117" t="s">
        <v>150</v>
      </c>
      <c r="B117">
        <v>2</v>
      </c>
      <c r="C117" t="s">
        <v>101</v>
      </c>
      <c r="I117" s="6" t="s">
        <v>152</v>
      </c>
    </row>
    <row r="118" spans="1:13" ht="24" customHeight="1">
      <c r="A118" t="s">
        <v>150</v>
      </c>
      <c r="B118">
        <v>2</v>
      </c>
      <c r="C118" t="s">
        <v>103</v>
      </c>
      <c r="D118" s="5">
        <v>1223</v>
      </c>
      <c r="E118" s="2">
        <f>IF(AND(ISNUMBER(F118),ISNUMBER('Reference data'!$B$3)),F118*'Reference data'!$B$3,"Unknown")</f>
        <v>0.0002667271275</v>
      </c>
      <c r="F118" s="2">
        <f>IF(D118=0,0,IF(ISNUMBER('Reference data'!D17),D118*'Reference data'!D17/1000000,"Unknown"))</f>
        <v>0.00030575</v>
      </c>
      <c r="G118" s="5">
        <f>IF(ISNUMBER(E118),ROUND(E118*'Reference data'!$B$2,0),"Unknown")</f>
        <v>27.0</v>
      </c>
      <c r="H118" s="5">
        <f>IF(ISNUMBER(F118),ROUND(F118*'Reference data'!$B$2,0),"Unknown")</f>
        <v>31.0</v>
      </c>
    </row>
    <row r="119" spans="1:13" ht="24" customHeight="1">
      <c r="A119" t="s">
        <v>150</v>
      </c>
      <c r="B119">
        <v>2</v>
      </c>
      <c r="C119" t="s">
        <v>104</v>
      </c>
    </row>
    <row r="120" spans="1:13" s="4" customFormat="1" ht="24" customHeight="1">
      <c r="A120" s="4" t="s">
        <v>150</v>
      </c>
      <c r="B120" s="4">
        <v>2</v>
      </c>
      <c r="C120" s="4" t="s">
        <v>105</v>
      </c>
      <c r="D120" s="4">
        <v>387</v>
      </c>
    </row>
    <row r="121" spans="1:13" ht="24" customHeight="1">
      <c r="A121" t="s">
        <v>150</v>
      </c>
      <c r="B121">
        <v>2</v>
      </c>
      <c r="C121" t="s">
        <v>106</v>
      </c>
      <c r="D121" s="5">
        <v>29</v>
      </c>
      <c r="E121" s="2">
        <f>IF(AND(ISNUMBER(F121),ISNUMBER('Reference data'!$B$3)),F121*'Reference data'!$B$3,"Unknown")</f>
        <v>3.0358476e-05</v>
      </c>
      <c r="F121" s="2">
        <f>IF(D121=0,0,IF(ISNUMBER('Reference data'!F17),D121*'Reference data'!F17/1000000,"Unknown"))</f>
        <v>3.48e-05</v>
      </c>
      <c r="G121" s="5">
        <f>IF(ISNUMBER(E121),ROUND(E121*'Reference data'!$B$2,0),"Unknown")</f>
        <v>3.0</v>
      </c>
      <c r="H121" s="5">
        <f>IF(ISNUMBER(F121),ROUND(F121*'Reference data'!$B$2,0),"Unknown")</f>
        <v>3.0</v>
      </c>
    </row>
    <row r="122" spans="1:13" ht="24" customHeight="1">
      <c r="A122" t="s">
        <v>150</v>
      </c>
      <c r="B122">
        <v>2</v>
      </c>
      <c r="C122" t="s">
        <v>107</v>
      </c>
      <c r="D122" s="5">
        <v>358</v>
      </c>
      <c r="E122" s="2">
        <f>IF(AND(ISNUMBER(F122),ISNUMBER('Reference data'!$B$3)),F122*'Reference data'!$B$3,"Unknown")</f>
        <v>0.000374770152</v>
      </c>
      <c r="F122" s="2">
        <f>IF(D122=0,0,IF(ISNUMBER('Reference data'!E17),D122*'Reference data'!E17/1000000,"Unknown"))</f>
        <v>0.0004296</v>
      </c>
      <c r="G122" s="5">
        <f>IF(ISNUMBER(E122),ROUND(E122*'Reference data'!$B$2,0),"Unknown")</f>
        <v>37.0</v>
      </c>
      <c r="H122" s="5">
        <f>IF(ISNUMBER(F122),ROUND(F122*'Reference data'!$B$2,0),"Unknown")</f>
        <v>43.0</v>
      </c>
    </row>
    <row r="123" spans="1:13" ht="409" customHeight="1">
      <c r="A123" t="s">
        <v>150</v>
      </c>
      <c r="B123">
        <v>2</v>
      </c>
      <c r="C123" t="s">
        <v>108</v>
      </c>
      <c r="I123" s="6" t="s">
        <v>153</v>
      </c>
    </row>
    <row r="124" spans="1:13" ht="24" customHeight="1">
      <c r="A124" t="s">
        <v>150</v>
      </c>
      <c r="B124">
        <v>2</v>
      </c>
      <c r="C124" t="s">
        <v>103</v>
      </c>
    </row>
    <row r="125" spans="1:13" ht="24" customHeight="1">
      <c r="A125" t="s">
        <v>150</v>
      </c>
      <c r="B125">
        <v>2</v>
      </c>
      <c r="C125" t="s">
        <v>104</v>
      </c>
    </row>
    <row r="126" spans="1:13" s="4" customFormat="1" ht="24" customHeight="1">
      <c r="A126" s="4" t="s">
        <v>150</v>
      </c>
      <c r="B126" s="4">
        <v>2</v>
      </c>
      <c r="C126" s="4" t="s">
        <v>110</v>
      </c>
      <c r="E126" s="2">
        <f>IF(COUNT('Turns'!E114,'Turns'!E118,'Turns'!E121,'Turns'!E122)=4,SUM('Turns'!E114,'Turns'!E118,'Turns'!E121,'Turns'!E122),"Unknown")</f>
        <v>0.0006723791775</v>
      </c>
      <c r="F126" s="2">
        <f>IF(COUNT('Turns'!F114,'Turns'!F118,'Turns'!F121,'Turns'!F122)=4,SUM('Turns'!F114,'Turns'!F118,'Turns'!F121,'Turns'!F122),"Unknown")</f>
        <v>0.00077075</v>
      </c>
      <c r="G126" s="5">
        <f>IF(ISNUMBER(E126),ROUND(E126*'Reference data'!$B$2,0),"Unknown")</f>
        <v>67.0</v>
      </c>
      <c r="H126" s="5">
        <f>IF(ISNUMBER(F126),ROUND(F126*'Reference data'!$B$2,0),"Unknown")</f>
        <v>77.0</v>
      </c>
      <c r="K126" s="4" t="s">
        <v>111</v>
      </c>
    </row>
    <row r="127" spans="1:13" s="4" customFormat="1" ht="24" customHeight="1">
      <c r="A127" s="4" t="s">
        <v>154</v>
      </c>
      <c r="B127" s="4">
        <v>2</v>
      </c>
      <c r="C127" s="4" t="s">
        <v>94</v>
      </c>
      <c r="D127" s="4">
        <v>426</v>
      </c>
      <c r="J127" s="4" t="s">
        <v>95</v>
      </c>
      <c r="M127" s="4" t="s">
        <v>155</v>
      </c>
    </row>
    <row r="128" spans="1:13" ht="24" customHeight="1">
      <c r="A128" t="s">
        <v>154</v>
      </c>
      <c r="B128">
        <v>2</v>
      </c>
      <c r="C128" t="s">
        <v>139</v>
      </c>
      <c r="D128" s="5">
        <v>0</v>
      </c>
      <c r="E128" s="2">
        <f>IF(AND(ISNUMBER(F128),ISNUMBER('Reference data'!$B$3)),F128*'Reference data'!$B$3,"Unknown")</f>
        <v>0.0</v>
      </c>
      <c r="F128" s="2">
        <f>IF(D128=0,0,IF(ISNUMBER('Reference data'!C17),D128*'Reference data'!C17/1000000,"Unknown"))</f>
        <v>0.0</v>
      </c>
      <c r="G128" s="5">
        <f>IF(ISNUMBER(E128),ROUND(E128*'Reference data'!$B$2,0),"Unknown")</f>
        <v>0.0</v>
      </c>
      <c r="H128" s="5">
        <f>IF(ISNUMBER(F128),ROUND(F128*'Reference data'!$B$2,0),"Unknown")</f>
        <v>0.0</v>
      </c>
    </row>
    <row r="129" spans="1:13" ht="24" customHeight="1">
      <c r="A129" t="s">
        <v>154</v>
      </c>
      <c r="B129">
        <v>2</v>
      </c>
      <c r="C129" t="s">
        <v>97</v>
      </c>
      <c r="D129" s="5">
        <v>426</v>
      </c>
      <c r="E129" s="2">
        <f>IF(AND(ISNUMBER(F129),ISNUMBER('Reference data'!$B$3)),F129*'Reference data'!$B$3,"Unknown")</f>
        <v>7.4325924e-05</v>
      </c>
      <c r="F129" s="2">
        <f>IF(D129=0,0,IF(ISNUMBER('Reference data'!B17),D129*'Reference data'!B17/1000000,"Unknown"))</f>
        <v>8.52e-05</v>
      </c>
      <c r="G129" s="5">
        <f>IF(ISNUMBER(E129),ROUND(E129*'Reference data'!$B$2,0),"Unknown")</f>
        <v>7.0</v>
      </c>
      <c r="H129" s="5">
        <f>IF(ISNUMBER(F129),ROUND(F129*'Reference data'!$B$2,0),"Unknown")</f>
        <v>9.0</v>
      </c>
    </row>
    <row r="130" spans="1:13" ht="24" customHeight="1">
      <c r="A130" t="s">
        <v>154</v>
      </c>
      <c r="B130">
        <v>2</v>
      </c>
      <c r="C130" t="s">
        <v>103</v>
      </c>
    </row>
    <row r="131" spans="1:13" ht="24" customHeight="1">
      <c r="A131" t="s">
        <v>154</v>
      </c>
      <c r="B131">
        <v>2</v>
      </c>
      <c r="C131" t="s">
        <v>104</v>
      </c>
    </row>
    <row r="132" spans="1:13" s="4" customFormat="1" ht="24" customHeight="1">
      <c r="A132" s="4" t="s">
        <v>154</v>
      </c>
      <c r="B132" s="4">
        <v>2</v>
      </c>
      <c r="C132" s="4" t="s">
        <v>105</v>
      </c>
      <c r="D132" s="4">
        <v>303</v>
      </c>
    </row>
    <row r="133" spans="1:13" ht="24" customHeight="1">
      <c r="A133" t="s">
        <v>154</v>
      </c>
      <c r="B133">
        <v>2</v>
      </c>
      <c r="C133" t="s">
        <v>106</v>
      </c>
      <c r="D133" s="5">
        <v>113</v>
      </c>
      <c r="E133" s="2">
        <f>IF(AND(ISNUMBER(F133),ISNUMBER('Reference data'!$B$3)),F133*'Reference data'!$B$3,"Unknown")</f>
        <v>0.000118293372</v>
      </c>
      <c r="F133" s="2">
        <f>IF(D133=0,0,IF(ISNUMBER('Reference data'!F17),D133*'Reference data'!F17/1000000,"Unknown"))</f>
        <v>0.0001356</v>
      </c>
      <c r="G133" s="5">
        <f>IF(ISNUMBER(E133),ROUND(E133*'Reference data'!$B$2,0),"Unknown")</f>
        <v>12.0</v>
      </c>
      <c r="H133" s="5">
        <f>IF(ISNUMBER(F133),ROUND(F133*'Reference data'!$B$2,0),"Unknown")</f>
        <v>14.0</v>
      </c>
    </row>
    <row r="134" spans="1:13" ht="24" customHeight="1">
      <c r="A134" t="s">
        <v>154</v>
      </c>
      <c r="B134">
        <v>2</v>
      </c>
      <c r="C134" t="s">
        <v>107</v>
      </c>
      <c r="D134" s="5">
        <v>190</v>
      </c>
      <c r="E134" s="2">
        <f>IF(AND(ISNUMBER(F134),ISNUMBER('Reference data'!$B$3)),F134*'Reference data'!$B$3,"Unknown")</f>
        <v>0.00019890036</v>
      </c>
      <c r="F134" s="2">
        <f>IF(D134=0,0,IF(ISNUMBER('Reference data'!E17),D134*'Reference data'!E17/1000000,"Unknown"))</f>
        <v>0.000228</v>
      </c>
      <c r="G134" s="5">
        <f>IF(ISNUMBER(E134),ROUND(E134*'Reference data'!$B$2,0),"Unknown")</f>
        <v>20.0</v>
      </c>
      <c r="H134" s="5">
        <f>IF(ISNUMBER(F134),ROUND(F134*'Reference data'!$B$2,0),"Unknown")</f>
        <v>23.0</v>
      </c>
    </row>
    <row r="135" spans="1:13" ht="409" customHeight="1">
      <c r="A135" t="s">
        <v>154</v>
      </c>
      <c r="B135">
        <v>2</v>
      </c>
      <c r="C135" t="s">
        <v>108</v>
      </c>
      <c r="I135" s="6" t="s">
        <v>156</v>
      </c>
    </row>
    <row r="136" spans="1:13" ht="24" customHeight="1">
      <c r="A136" t="s">
        <v>154</v>
      </c>
      <c r="B136">
        <v>2</v>
      </c>
      <c r="C136" t="s">
        <v>103</v>
      </c>
    </row>
    <row r="137" spans="1:13" ht="24" customHeight="1">
      <c r="A137" t="s">
        <v>154</v>
      </c>
      <c r="B137">
        <v>2</v>
      </c>
      <c r="C137" t="s">
        <v>104</v>
      </c>
    </row>
    <row r="138" spans="1:13" s="4" customFormat="1" ht="24" customHeight="1">
      <c r="A138" s="4" t="s">
        <v>154</v>
      </c>
      <c r="B138" s="4">
        <v>2</v>
      </c>
      <c r="C138" s="4" t="s">
        <v>110</v>
      </c>
      <c r="E138" s="2">
        <f>IF(COUNT('Turns'!E128,'Turns'!E129,'Turns'!E133,'Turns'!E134)=4,SUM('Turns'!E128,'Turns'!E129,'Turns'!E133,'Turns'!E134),"Unknown")</f>
        <v>0.000391519656</v>
      </c>
      <c r="F138" s="2">
        <f>IF(COUNT('Turns'!F128,'Turns'!F129,'Turns'!F133,'Turns'!F134)=4,SUM('Turns'!F128,'Turns'!F129,'Turns'!F133,'Turns'!F134),"Unknown")</f>
        <v>0.0004488</v>
      </c>
      <c r="G138" s="5">
        <f>IF(ISNUMBER(E138),ROUND(E138*'Reference data'!$B$2,0),"Unknown")</f>
        <v>39.0</v>
      </c>
      <c r="H138" s="5">
        <f>IF(ISNUMBER(F138),ROUND(F138*'Reference data'!$B$2,0),"Unknown")</f>
        <v>45.0</v>
      </c>
      <c r="K138" s="4" t="s">
        <v>111</v>
      </c>
    </row>
    <row r="139" spans="1:13" s="4" customFormat="1" ht="24" customHeight="1">
      <c r="A139" s="4" t="s">
        <v>157</v>
      </c>
      <c r="B139" s="4">
        <v>2</v>
      </c>
      <c r="C139" s="4" t="s">
        <v>94</v>
      </c>
      <c r="D139" s="4">
        <v>885</v>
      </c>
      <c r="J139" s="4" t="s">
        <v>95</v>
      </c>
      <c r="M139" s="4" t="s">
        <v>158</v>
      </c>
    </row>
    <row r="140" spans="1:13" ht="24" customHeight="1">
      <c r="A140" t="s">
        <v>157</v>
      </c>
      <c r="B140">
        <v>2</v>
      </c>
      <c r="C140" t="s">
        <v>139</v>
      </c>
      <c r="D140" s="5">
        <v>0</v>
      </c>
      <c r="E140" s="2">
        <f>IF(AND(ISNUMBER(F140),ISNUMBER('Reference data'!$B$3)),F140*'Reference data'!$B$3,"Unknown")</f>
        <v>0.0</v>
      </c>
      <c r="F140" s="2">
        <f>IF(D140=0,0,IF(ISNUMBER('Reference data'!C17),D140*'Reference data'!C17/1000000,"Unknown"))</f>
        <v>0.0</v>
      </c>
      <c r="G140" s="5">
        <f>IF(ISNUMBER(E140),ROUND(E140*'Reference data'!$B$2,0),"Unknown")</f>
        <v>0.0</v>
      </c>
      <c r="H140" s="5">
        <f>IF(ISNUMBER(F140),ROUND(F140*'Reference data'!$B$2,0),"Unknown")</f>
        <v>0.0</v>
      </c>
    </row>
    <row r="141" spans="1:13" ht="24" customHeight="1">
      <c r="A141" t="s">
        <v>157</v>
      </c>
      <c r="B141">
        <v>2</v>
      </c>
      <c r="C141" t="s">
        <v>97</v>
      </c>
      <c r="D141" s="5">
        <v>885</v>
      </c>
      <c r="E141" s="2">
        <f>IF(AND(ISNUMBER(F141),ISNUMBER('Reference data'!$B$3)),F141*'Reference data'!$B$3,"Unknown")</f>
        <v>0.00015440949</v>
      </c>
      <c r="F141" s="2">
        <f>IF(D141=0,0,IF(ISNUMBER('Reference data'!B17),D141*'Reference data'!B17/1000000,"Unknown"))</f>
        <v>0.000177</v>
      </c>
      <c r="G141" s="5">
        <f>IF(ISNUMBER(E141),ROUND(E141*'Reference data'!$B$2,0),"Unknown")</f>
        <v>15.0</v>
      </c>
      <c r="H141" s="5">
        <f>IF(ISNUMBER(F141),ROUND(F141*'Reference data'!$B$2,0),"Unknown")</f>
        <v>18.0</v>
      </c>
    </row>
    <row r="142" spans="1:13" ht="24" customHeight="1">
      <c r="A142" t="s">
        <v>157</v>
      </c>
      <c r="B142">
        <v>2</v>
      </c>
      <c r="C142" t="s">
        <v>103</v>
      </c>
    </row>
    <row r="143" spans="1:13" ht="24" customHeight="1">
      <c r="A143" t="s">
        <v>157</v>
      </c>
      <c r="B143">
        <v>2</v>
      </c>
      <c r="C143" t="s">
        <v>104</v>
      </c>
    </row>
    <row r="144" spans="1:13" s="4" customFormat="1" ht="24" customHeight="1">
      <c r="A144" s="4" t="s">
        <v>157</v>
      </c>
      <c r="B144" s="4">
        <v>2</v>
      </c>
      <c r="C144" s="4" t="s">
        <v>105</v>
      </c>
      <c r="D144" s="4">
        <v>487</v>
      </c>
    </row>
    <row r="145" spans="1:13" ht="24" customHeight="1">
      <c r="A145" t="s">
        <v>157</v>
      </c>
      <c r="B145">
        <v>2</v>
      </c>
      <c r="C145" t="s">
        <v>106</v>
      </c>
      <c r="D145" s="5">
        <v>44</v>
      </c>
      <c r="E145" s="2">
        <f>IF(AND(ISNUMBER(F145),ISNUMBER('Reference data'!$B$3)),F145*'Reference data'!$B$3,"Unknown")</f>
        <v>4.6061136e-05</v>
      </c>
      <c r="F145" s="2">
        <f>IF(D145=0,0,IF(ISNUMBER('Reference data'!F17),D145*'Reference data'!F17/1000000,"Unknown"))</f>
        <v>5.28e-05</v>
      </c>
      <c r="G145" s="5">
        <f>IF(ISNUMBER(E145),ROUND(E145*'Reference data'!$B$2,0),"Unknown")</f>
        <v>5.0</v>
      </c>
      <c r="H145" s="5">
        <f>IF(ISNUMBER(F145),ROUND(F145*'Reference data'!$B$2,0),"Unknown")</f>
        <v>5.0</v>
      </c>
    </row>
    <row r="146" spans="1:13" ht="24" customHeight="1">
      <c r="A146" t="s">
        <v>157</v>
      </c>
      <c r="B146">
        <v>2</v>
      </c>
      <c r="C146" t="s">
        <v>107</v>
      </c>
      <c r="D146" s="5">
        <v>443</v>
      </c>
      <c r="E146" s="2">
        <f>IF(AND(ISNUMBER(F146),ISNUMBER('Reference data'!$B$3)),F146*'Reference data'!$B$3,"Unknown")</f>
        <v>0.000463751892</v>
      </c>
      <c r="F146" s="2">
        <f>IF(D146=0,0,IF(ISNUMBER('Reference data'!E17),D146*'Reference data'!E17/1000000,"Unknown"))</f>
        <v>0.0005316</v>
      </c>
      <c r="G146" s="5">
        <f>IF(ISNUMBER(E146),ROUND(E146*'Reference data'!$B$2,0),"Unknown")</f>
        <v>46.0</v>
      </c>
      <c r="H146" s="5">
        <f>IF(ISNUMBER(F146),ROUND(F146*'Reference data'!$B$2,0),"Unknown")</f>
        <v>53.0</v>
      </c>
    </row>
    <row r="147" spans="1:13" ht="409" customHeight="1">
      <c r="A147" t="s">
        <v>157</v>
      </c>
      <c r="B147">
        <v>2</v>
      </c>
      <c r="C147" t="s">
        <v>108</v>
      </c>
      <c r="I147" s="6" t="s">
        <v>159</v>
      </c>
    </row>
    <row r="148" spans="1:13" ht="24" customHeight="1">
      <c r="A148" t="s">
        <v>157</v>
      </c>
      <c r="B148">
        <v>2</v>
      </c>
      <c r="C148" t="s">
        <v>103</v>
      </c>
    </row>
    <row r="149" spans="1:13" ht="24" customHeight="1">
      <c r="A149" t="s">
        <v>157</v>
      </c>
      <c r="B149">
        <v>2</v>
      </c>
      <c r="C149" t="s">
        <v>104</v>
      </c>
    </row>
    <row r="150" spans="1:13" s="4" customFormat="1" ht="24" customHeight="1">
      <c r="A150" s="4" t="s">
        <v>157</v>
      </c>
      <c r="B150" s="4">
        <v>2</v>
      </c>
      <c r="C150" s="4" t="s">
        <v>110</v>
      </c>
      <c r="E150" s="2">
        <f>IF(COUNT('Turns'!E140,'Turns'!E141,'Turns'!E145,'Turns'!E146)=4,SUM('Turns'!E140,'Turns'!E141,'Turns'!E145,'Turns'!E146),"Unknown")</f>
        <v>0.000664222518</v>
      </c>
      <c r="F150" s="2">
        <f>IF(COUNT('Turns'!F140,'Turns'!F141,'Turns'!F145,'Turns'!F146)=4,SUM('Turns'!F140,'Turns'!F141,'Turns'!F145,'Turns'!F146),"Unknown")</f>
        <v>0.0007614</v>
      </c>
      <c r="G150" s="5">
        <f>IF(ISNUMBER(E150),ROUND(E150*'Reference data'!$B$2,0),"Unknown")</f>
        <v>66.0</v>
      </c>
      <c r="H150" s="5">
        <f>IF(ISNUMBER(F150),ROUND(F150*'Reference data'!$B$2,0),"Unknown")</f>
        <v>76.0</v>
      </c>
      <c r="K150" s="4" t="s">
        <v>111</v>
      </c>
    </row>
    <row r="151" spans="1:13" s="4" customFormat="1" ht="24" customHeight="1">
      <c r="A151" s="4" t="s">
        <v>160</v>
      </c>
      <c r="B151" s="4">
        <v>2</v>
      </c>
      <c r="C151" s="4" t="s">
        <v>94</v>
      </c>
      <c r="D151" s="4">
        <v>1125</v>
      </c>
      <c r="J151" s="4" t="s">
        <v>95</v>
      </c>
      <c r="M151" s="4" t="s">
        <v>161</v>
      </c>
    </row>
    <row r="152" spans="1:13" ht="24" customHeight="1">
      <c r="A152" t="s">
        <v>160</v>
      </c>
      <c r="B152">
        <v>2</v>
      </c>
      <c r="C152" t="s">
        <v>139</v>
      </c>
      <c r="D152" s="5">
        <v>0</v>
      </c>
      <c r="E152" s="2">
        <f>IF(AND(ISNUMBER(F152),ISNUMBER('Reference data'!$B$3)),F152*'Reference data'!$B$3,"Unknown")</f>
        <v>0.0</v>
      </c>
      <c r="F152" s="2">
        <f>IF(D152=0,0,IF(ISNUMBER('Reference data'!C17),D152*'Reference data'!C17/1000000,"Unknown"))</f>
        <v>0.0</v>
      </c>
      <c r="G152" s="5">
        <f>IF(ISNUMBER(E152),ROUND(E152*'Reference data'!$B$2,0),"Unknown")</f>
        <v>0.0</v>
      </c>
      <c r="H152" s="5">
        <f>IF(ISNUMBER(F152),ROUND(F152*'Reference data'!$B$2,0),"Unknown")</f>
        <v>0.0</v>
      </c>
    </row>
    <row r="153" spans="1:13" ht="24" customHeight="1">
      <c r="A153" t="s">
        <v>160</v>
      </c>
      <c r="B153">
        <v>2</v>
      </c>
      <c r="C153" t="s">
        <v>97</v>
      </c>
      <c r="D153" s="5">
        <v>1125</v>
      </c>
      <c r="E153" s="2">
        <f>IF(AND(ISNUMBER(F153),ISNUMBER('Reference data'!$B$3)),F153*'Reference data'!$B$3,"Unknown")</f>
        <v>0.00019628325</v>
      </c>
      <c r="F153" s="2">
        <f>IF(D153=0,0,IF(ISNUMBER('Reference data'!B17),D153*'Reference data'!B17/1000000,"Unknown"))</f>
        <v>0.000225</v>
      </c>
      <c r="G153" s="5">
        <f>IF(ISNUMBER(E153),ROUND(E153*'Reference data'!$B$2,0),"Unknown")</f>
        <v>20.0</v>
      </c>
      <c r="H153" s="5">
        <f>IF(ISNUMBER(F153),ROUND(F153*'Reference data'!$B$2,0),"Unknown")</f>
        <v>23.0</v>
      </c>
    </row>
    <row r="154" spans="1:13" ht="24" customHeight="1">
      <c r="A154" t="s">
        <v>160</v>
      </c>
      <c r="B154">
        <v>2</v>
      </c>
      <c r="C154" t="s">
        <v>103</v>
      </c>
    </row>
    <row r="155" spans="1:13" ht="24" customHeight="1">
      <c r="A155" t="s">
        <v>160</v>
      </c>
      <c r="B155">
        <v>2</v>
      </c>
      <c r="C155" t="s">
        <v>104</v>
      </c>
    </row>
    <row r="156" spans="1:13" s="4" customFormat="1" ht="24" customHeight="1">
      <c r="A156" s="4" t="s">
        <v>160</v>
      </c>
      <c r="B156" s="4">
        <v>2</v>
      </c>
      <c r="C156" s="4" t="s">
        <v>105</v>
      </c>
      <c r="D156" s="4">
        <v>157</v>
      </c>
    </row>
    <row r="157" spans="1:13" ht="24" customHeight="1">
      <c r="A157" t="s">
        <v>160</v>
      </c>
      <c r="B157">
        <v>2</v>
      </c>
      <c r="C157" t="s">
        <v>106</v>
      </c>
      <c r="D157" s="5">
        <v>27</v>
      </c>
      <c r="E157" s="2">
        <f>IF(AND(ISNUMBER(F157),ISNUMBER('Reference data'!$B$3)),F157*'Reference data'!$B$3,"Unknown")</f>
        <v>2.8264788e-05</v>
      </c>
      <c r="F157" s="2">
        <f>IF(D157=0,0,IF(ISNUMBER('Reference data'!F17),D157*'Reference data'!F17/1000000,"Unknown"))</f>
        <v>3.24e-05</v>
      </c>
      <c r="G157" s="5">
        <f>IF(ISNUMBER(E157),ROUND(E157*'Reference data'!$B$2,0),"Unknown")</f>
        <v>3.0</v>
      </c>
      <c r="H157" s="5">
        <f>IF(ISNUMBER(F157),ROUND(F157*'Reference data'!$B$2,0),"Unknown")</f>
        <v>3.0</v>
      </c>
    </row>
    <row r="158" spans="1:13" ht="24" customHeight="1">
      <c r="A158" t="s">
        <v>160</v>
      </c>
      <c r="B158">
        <v>2</v>
      </c>
      <c r="C158" t="s">
        <v>107</v>
      </c>
      <c r="D158" s="5">
        <v>130</v>
      </c>
      <c r="E158" s="2">
        <f>IF(AND(ISNUMBER(F158),ISNUMBER('Reference data'!$B$3)),F158*'Reference data'!$B$3,"Unknown")</f>
        <v>0.00013608972</v>
      </c>
      <c r="F158" s="2">
        <f>IF(D158=0,0,IF(ISNUMBER('Reference data'!E17),D158*'Reference data'!E17/1000000,"Unknown"))</f>
        <v>0.000156</v>
      </c>
      <c r="G158" s="5">
        <f>IF(ISNUMBER(E158),ROUND(E158*'Reference data'!$B$2,0),"Unknown")</f>
        <v>14.0</v>
      </c>
      <c r="H158" s="5">
        <f>IF(ISNUMBER(F158),ROUND(F158*'Reference data'!$B$2,0),"Unknown")</f>
        <v>16.0</v>
      </c>
    </row>
    <row r="159" spans="1:13" ht="409" customHeight="1">
      <c r="A159" t="s">
        <v>160</v>
      </c>
      <c r="B159">
        <v>2</v>
      </c>
      <c r="C159" t="s">
        <v>108</v>
      </c>
      <c r="I159" s="6" t="s">
        <v>162</v>
      </c>
    </row>
    <row r="160" spans="1:13" ht="24" customHeight="1">
      <c r="A160" t="s">
        <v>160</v>
      </c>
      <c r="B160">
        <v>2</v>
      </c>
      <c r="C160" t="s">
        <v>103</v>
      </c>
    </row>
    <row r="161" spans="1:13" ht="24" customHeight="1">
      <c r="A161" t="s">
        <v>160</v>
      </c>
      <c r="B161">
        <v>2</v>
      </c>
      <c r="C161" t="s">
        <v>104</v>
      </c>
    </row>
    <row r="162" spans="1:13" s="4" customFormat="1" ht="24" customHeight="1">
      <c r="A162" s="4" t="s">
        <v>160</v>
      </c>
      <c r="B162" s="4">
        <v>2</v>
      </c>
      <c r="C162" s="4" t="s">
        <v>110</v>
      </c>
      <c r="E162" s="2">
        <f>IF(COUNT('Turns'!E152,'Turns'!E153,'Turns'!E157,'Turns'!E158)=4,SUM('Turns'!E152,'Turns'!E153,'Turns'!E157,'Turns'!E158),"Unknown")</f>
        <v>0.000360637758</v>
      </c>
      <c r="F162" s="2">
        <f>IF(COUNT('Turns'!F152,'Turns'!F153,'Turns'!F157,'Turns'!F158)=4,SUM('Turns'!F152,'Turns'!F153,'Turns'!F157,'Turns'!F158),"Unknown")</f>
        <v>0.0004134</v>
      </c>
      <c r="G162" s="5">
        <f>IF(ISNUMBER(E162),ROUND(E162*'Reference data'!$B$2,0),"Unknown")</f>
        <v>36.0</v>
      </c>
      <c r="H162" s="5">
        <f>IF(ISNUMBER(F162),ROUND(F162*'Reference data'!$B$2,0),"Unknown")</f>
        <v>41.0</v>
      </c>
      <c r="K162" s="4" t="s">
        <v>111</v>
      </c>
    </row>
    <row r="163" spans="1:13" s="4" customFormat="1" ht="24" customHeight="1">
      <c r="B163" s="4">
        <v>2</v>
      </c>
      <c r="C163" s="4" t="s">
        <v>120</v>
      </c>
      <c r="K163" s="4" t="s">
        <v>111</v>
      </c>
      <c r="M163" s="4" t="s">
        <v>163</v>
      </c>
    </row>
    <row r="164" spans="1:13" ht="99" customHeight="1">
      <c r="B164">
        <v>2</v>
      </c>
      <c r="C164" t="s">
        <v>122</v>
      </c>
      <c r="I164" s="6" t="s">
        <v>164</v>
      </c>
    </row>
    <row r="165" spans="1:13" ht="138" customHeight="1">
      <c r="B165">
        <v>2</v>
      </c>
      <c r="C165" t="s">
        <v>124</v>
      </c>
      <c r="I165" s="6" t="s">
        <v>165</v>
      </c>
    </row>
    <row r="166" spans="1:13" s="4" customFormat="1" ht="24" customHeight="1">
      <c r="A166" s="4" t="s">
        <v>166</v>
      </c>
      <c r="B166" s="4">
        <v>2</v>
      </c>
      <c r="C166" s="4" t="s">
        <v>94</v>
      </c>
      <c r="D166" s="4">
        <v>209</v>
      </c>
      <c r="J166" s="4" t="s">
        <v>95</v>
      </c>
      <c r="M166" s="4" t="s">
        <v>167</v>
      </c>
    </row>
    <row r="167" spans="1:13" ht="24" customHeight="1">
      <c r="A167" t="s">
        <v>166</v>
      </c>
      <c r="B167">
        <v>2</v>
      </c>
      <c r="C167" t="s">
        <v>139</v>
      </c>
      <c r="D167" s="5">
        <v>0</v>
      </c>
      <c r="E167" s="2">
        <f>IF(AND(ISNUMBER(F167),ISNUMBER('Reference data'!$B$3)),F167*'Reference data'!$B$3,"Unknown")</f>
        <v>0.0</v>
      </c>
      <c r="F167" s="2">
        <f>IF(D167=0,0,IF(ISNUMBER('Reference data'!C17),D167*'Reference data'!C17/1000000,"Unknown"))</f>
        <v>0.0</v>
      </c>
      <c r="G167" s="5">
        <f>IF(ISNUMBER(E167),ROUND(E167*'Reference data'!$B$2,0),"Unknown")</f>
        <v>0.0</v>
      </c>
      <c r="H167" s="5">
        <f>IF(ISNUMBER(F167),ROUND(F167*'Reference data'!$B$2,0),"Unknown")</f>
        <v>0.0</v>
      </c>
    </row>
    <row r="168" spans="1:13" ht="24" customHeight="1">
      <c r="A168" t="s">
        <v>166</v>
      </c>
      <c r="B168">
        <v>2</v>
      </c>
      <c r="C168" t="s">
        <v>97</v>
      </c>
      <c r="D168" s="5">
        <v>209</v>
      </c>
      <c r="E168" s="2">
        <f>IF(AND(ISNUMBER(F168),ISNUMBER('Reference data'!$B$3)),F168*'Reference data'!$B$3,"Unknown")</f>
        <v>3.6465066e-05</v>
      </c>
      <c r="F168" s="2">
        <f>IF(D168=0,0,IF(ISNUMBER('Reference data'!B17),D168*'Reference data'!B17/1000000,"Unknown"))</f>
        <v>4.18e-05</v>
      </c>
      <c r="G168" s="5">
        <f>IF(ISNUMBER(E168),ROUND(E168*'Reference data'!$B$2,0),"Unknown")</f>
        <v>4.0</v>
      </c>
      <c r="H168" s="5">
        <f>IF(ISNUMBER(F168),ROUND(F168*'Reference data'!$B$2,0),"Unknown")</f>
        <v>4.0</v>
      </c>
    </row>
    <row r="169" spans="1:13" ht="24" customHeight="1">
      <c r="A169" t="s">
        <v>166</v>
      </c>
      <c r="B169">
        <v>2</v>
      </c>
      <c r="C169" t="s">
        <v>103</v>
      </c>
    </row>
    <row r="170" spans="1:13" ht="24" customHeight="1">
      <c r="A170" t="s">
        <v>166</v>
      </c>
      <c r="B170">
        <v>2</v>
      </c>
      <c r="C170" t="s">
        <v>104</v>
      </c>
    </row>
    <row r="171" spans="1:13" s="4" customFormat="1" ht="24" customHeight="1">
      <c r="A171" s="4" t="s">
        <v>166</v>
      </c>
      <c r="B171" s="4">
        <v>2</v>
      </c>
      <c r="C171" s="4" t="s">
        <v>105</v>
      </c>
      <c r="D171" s="4">
        <v>212</v>
      </c>
    </row>
    <row r="172" spans="1:13" ht="24" customHeight="1">
      <c r="A172" t="s">
        <v>166</v>
      </c>
      <c r="B172">
        <v>2</v>
      </c>
      <c r="C172" t="s">
        <v>106</v>
      </c>
      <c r="D172" s="5">
        <v>92</v>
      </c>
      <c r="E172" s="2">
        <f>IF(AND(ISNUMBER(F172),ISNUMBER('Reference data'!$B$3)),F172*'Reference data'!$B$3,"Unknown")</f>
        <v>9.6309648e-05</v>
      </c>
      <c r="F172" s="2">
        <f>IF(D172=0,0,IF(ISNUMBER('Reference data'!F17),D172*'Reference data'!F17/1000000,"Unknown"))</f>
        <v>0.0001104</v>
      </c>
      <c r="G172" s="5">
        <f>IF(ISNUMBER(E172),ROUND(E172*'Reference data'!$B$2,0),"Unknown")</f>
        <v>10.0</v>
      </c>
      <c r="H172" s="5">
        <f>IF(ISNUMBER(F172),ROUND(F172*'Reference data'!$B$2,0),"Unknown")</f>
        <v>11.0</v>
      </c>
    </row>
    <row r="173" spans="1:13" ht="24" customHeight="1">
      <c r="A173" t="s">
        <v>166</v>
      </c>
      <c r="B173">
        <v>2</v>
      </c>
      <c r="C173" t="s">
        <v>107</v>
      </c>
      <c r="D173" s="5">
        <v>120</v>
      </c>
      <c r="E173" s="2">
        <f>IF(AND(ISNUMBER(F173),ISNUMBER('Reference data'!$B$3)),F173*'Reference data'!$B$3,"Unknown")</f>
        <v>0.00012562128</v>
      </c>
      <c r="F173" s="2">
        <f>IF(D173=0,0,IF(ISNUMBER('Reference data'!E17),D173*'Reference data'!E17/1000000,"Unknown"))</f>
        <v>0.000144</v>
      </c>
      <c r="G173" s="5">
        <f>IF(ISNUMBER(E173),ROUND(E173*'Reference data'!$B$2,0),"Unknown")</f>
        <v>13.0</v>
      </c>
      <c r="H173" s="5">
        <f>IF(ISNUMBER(F173),ROUND(F173*'Reference data'!$B$2,0),"Unknown")</f>
        <v>14.0</v>
      </c>
    </row>
    <row r="174" spans="1:13" ht="409" customHeight="1">
      <c r="A174" t="s">
        <v>166</v>
      </c>
      <c r="B174">
        <v>2</v>
      </c>
      <c r="C174" t="s">
        <v>108</v>
      </c>
      <c r="I174" s="6" t="s">
        <v>168</v>
      </c>
    </row>
    <row r="175" spans="1:13" ht="24" customHeight="1">
      <c r="A175" t="s">
        <v>166</v>
      </c>
      <c r="B175">
        <v>2</v>
      </c>
      <c r="C175" t="s">
        <v>103</v>
      </c>
    </row>
    <row r="176" spans="1:13" ht="24" customHeight="1">
      <c r="A176" t="s">
        <v>166</v>
      </c>
      <c r="B176">
        <v>2</v>
      </c>
      <c r="C176" t="s">
        <v>104</v>
      </c>
    </row>
    <row r="177" spans="1:13" s="4" customFormat="1" ht="24" customHeight="1">
      <c r="A177" s="4" t="s">
        <v>166</v>
      </c>
      <c r="B177" s="4">
        <v>2</v>
      </c>
      <c r="C177" s="4" t="s">
        <v>110</v>
      </c>
      <c r="E177" s="2">
        <f>IF(COUNT('Turns'!E167,'Turns'!E168,'Turns'!E172,'Turns'!E173)=4,SUM('Turns'!E167,'Turns'!E168,'Turns'!E172,'Turns'!E173),"Unknown")</f>
        <v>0.000258395994</v>
      </c>
      <c r="F177" s="2">
        <f>IF(COUNT('Turns'!F167,'Turns'!F168,'Turns'!F172,'Turns'!F173)=4,SUM('Turns'!F167,'Turns'!F168,'Turns'!F172,'Turns'!F173),"Unknown")</f>
        <v>0.0002962</v>
      </c>
      <c r="G177" s="5">
        <f>IF(ISNUMBER(E177),ROUND(E177*'Reference data'!$B$2,0),"Unknown")</f>
        <v>26.0</v>
      </c>
      <c r="H177" s="5">
        <f>IF(ISNUMBER(F177),ROUND(F177*'Reference data'!$B$2,0),"Unknown")</f>
        <v>30.0</v>
      </c>
      <c r="K177" s="4" t="s">
        <v>111</v>
      </c>
    </row>
    <row r="178" spans="1:13" s="4" customFormat="1" ht="24" customHeight="1">
      <c r="B178" s="4">
        <v>2</v>
      </c>
      <c r="C178" s="4" t="s">
        <v>130</v>
      </c>
      <c r="K178" s="4" t="s">
        <v>111</v>
      </c>
      <c r="M178" s="4" t="s">
        <v>169</v>
      </c>
    </row>
    <row r="179" spans="1:13" ht="86" customHeight="1">
      <c r="B179">
        <v>2</v>
      </c>
      <c r="C179" t="s">
        <v>122</v>
      </c>
      <c r="I179" s="6" t="s">
        <v>170</v>
      </c>
    </row>
    <row r="180" spans="1:13" ht="86" customHeight="1">
      <c r="B180">
        <v>2</v>
      </c>
      <c r="C180" t="s">
        <v>124</v>
      </c>
      <c r="I180" s="6" t="s">
        <v>171</v>
      </c>
    </row>
    <row r="181" spans="1:13" s="4" customFormat="1" ht="24" customHeight="1">
      <c r="A181" s="4" t="s">
        <v>172</v>
      </c>
      <c r="B181" s="4">
        <v>2</v>
      </c>
      <c r="C181" s="4" t="s">
        <v>94</v>
      </c>
      <c r="D181" s="4">
        <v>607</v>
      </c>
      <c r="J181" s="4" t="s">
        <v>95</v>
      </c>
      <c r="M181" s="4" t="s">
        <v>173</v>
      </c>
    </row>
    <row r="182" spans="1:13" ht="24" customHeight="1">
      <c r="A182" t="s">
        <v>172</v>
      </c>
      <c r="B182">
        <v>2</v>
      </c>
      <c r="C182" t="s">
        <v>139</v>
      </c>
      <c r="D182" s="5">
        <v>0</v>
      </c>
      <c r="E182" s="2">
        <f>IF(AND(ISNUMBER(F182),ISNUMBER('Reference data'!$B$3)),F182*'Reference data'!$B$3,"Unknown")</f>
        <v>0.0</v>
      </c>
      <c r="F182" s="2">
        <f>IF(D182=0,0,IF(ISNUMBER('Reference data'!C17),D182*'Reference data'!C17/1000000,"Unknown"))</f>
        <v>0.0</v>
      </c>
      <c r="G182" s="5">
        <f>IF(ISNUMBER(E182),ROUND(E182*'Reference data'!$B$2,0),"Unknown")</f>
        <v>0.0</v>
      </c>
      <c r="H182" s="5">
        <f>IF(ISNUMBER(F182),ROUND(F182*'Reference data'!$B$2,0),"Unknown")</f>
        <v>0.0</v>
      </c>
    </row>
    <row r="183" spans="1:13" ht="24" customHeight="1">
      <c r="A183" t="s">
        <v>172</v>
      </c>
      <c r="B183">
        <v>2</v>
      </c>
      <c r="C183" t="s">
        <v>97</v>
      </c>
      <c r="D183" s="5">
        <v>607</v>
      </c>
      <c r="E183" s="2">
        <f>IF(AND(ISNUMBER(F183),ISNUMBER('Reference data'!$B$3)),F183*'Reference data'!$B$3,"Unknown")</f>
        <v>0.000105905718</v>
      </c>
      <c r="F183" s="2">
        <f>IF(D183=0,0,IF(ISNUMBER('Reference data'!B17),D183*'Reference data'!B17/1000000,"Unknown"))</f>
        <v>0.0001214</v>
      </c>
      <c r="G183" s="5">
        <f>IF(ISNUMBER(E183),ROUND(E183*'Reference data'!$B$2,0),"Unknown")</f>
        <v>11.0</v>
      </c>
      <c r="H183" s="5">
        <f>IF(ISNUMBER(F183),ROUND(F183*'Reference data'!$B$2,0),"Unknown")</f>
        <v>12.0</v>
      </c>
    </row>
    <row r="184" spans="1:13" ht="24" customHeight="1">
      <c r="A184" t="s">
        <v>172</v>
      </c>
      <c r="B184">
        <v>2</v>
      </c>
      <c r="C184" t="s">
        <v>103</v>
      </c>
    </row>
    <row r="185" spans="1:13" ht="24" customHeight="1">
      <c r="A185" t="s">
        <v>172</v>
      </c>
      <c r="B185">
        <v>2</v>
      </c>
      <c r="C185" t="s">
        <v>104</v>
      </c>
    </row>
    <row r="186" spans="1:13" s="4" customFormat="1" ht="24" customHeight="1">
      <c r="A186" s="4" t="s">
        <v>172</v>
      </c>
      <c r="B186" s="4">
        <v>2</v>
      </c>
      <c r="C186" s="4" t="s">
        <v>105</v>
      </c>
      <c r="D186" s="4">
        <v>283</v>
      </c>
    </row>
    <row r="187" spans="1:13" ht="24" customHeight="1">
      <c r="A187" t="s">
        <v>172</v>
      </c>
      <c r="B187">
        <v>2</v>
      </c>
      <c r="C187" t="s">
        <v>107</v>
      </c>
      <c r="D187" s="5">
        <v>283</v>
      </c>
      <c r="E187" s="2">
        <f>IF(AND(ISNUMBER(F187),ISNUMBER('Reference data'!$B$3)),F187*'Reference data'!$B$3,"Unknown")</f>
        <v>0.000296256852</v>
      </c>
      <c r="F187" s="2">
        <f>IF(D187=0,0,IF(ISNUMBER('Reference data'!E17),D187*'Reference data'!E17/1000000,"Unknown"))</f>
        <v>0.0003396</v>
      </c>
      <c r="G187" s="5">
        <f>IF(ISNUMBER(E187),ROUND(E187*'Reference data'!$B$2,0),"Unknown")</f>
        <v>30.0</v>
      </c>
      <c r="H187" s="5">
        <f>IF(ISNUMBER(F187),ROUND(F187*'Reference data'!$B$2,0),"Unknown")</f>
        <v>34.0</v>
      </c>
    </row>
    <row r="188" spans="1:13" ht="255" customHeight="1">
      <c r="A188" t="s">
        <v>172</v>
      </c>
      <c r="B188">
        <v>2</v>
      </c>
      <c r="C188" t="s">
        <v>108</v>
      </c>
      <c r="I188" s="6" t="s">
        <v>174</v>
      </c>
    </row>
    <row r="189" spans="1:13" ht="24" customHeight="1">
      <c r="A189" t="s">
        <v>172</v>
      </c>
      <c r="B189">
        <v>2</v>
      </c>
      <c r="C189" t="s">
        <v>103</v>
      </c>
    </row>
    <row r="190" spans="1:13" ht="24" customHeight="1">
      <c r="A190" t="s">
        <v>172</v>
      </c>
      <c r="B190">
        <v>2</v>
      </c>
      <c r="C190" t="s">
        <v>104</v>
      </c>
    </row>
    <row r="191" spans="1:13" s="4" customFormat="1" ht="24" customHeight="1">
      <c r="A191" s="4" t="s">
        <v>172</v>
      </c>
      <c r="B191" s="4">
        <v>2</v>
      </c>
      <c r="C191" s="4" t="s">
        <v>110</v>
      </c>
      <c r="E191" s="2">
        <f>IF(COUNT('Turns'!E182,'Turns'!E183,'Turns'!E187)=3,SUM('Turns'!E182,'Turns'!E183,'Turns'!E187),"Unknown")</f>
        <v>0.00040216257</v>
      </c>
      <c r="F191" s="2">
        <f>IF(COUNT('Turns'!F182,'Turns'!F183,'Turns'!F187)=3,SUM('Turns'!F182,'Turns'!F183,'Turns'!F187),"Unknown")</f>
        <v>0.000461</v>
      </c>
      <c r="G191" s="5">
        <f>IF(ISNUMBER(E191),ROUND(E191*'Reference data'!$B$2,0),"Unknown")</f>
        <v>40.0</v>
      </c>
      <c r="H191" s="5">
        <f>IF(ISNUMBER(F191),ROUND(F191*'Reference data'!$B$2,0),"Unknown")</f>
        <v>46.0</v>
      </c>
      <c r="K191" s="4" t="s">
        <v>111</v>
      </c>
    </row>
    <row r="192" spans="1:13" s="4" customFormat="1" ht="24" customHeight="1">
      <c r="A192" s="4" t="s">
        <v>175</v>
      </c>
      <c r="B192" s="4">
        <v>2</v>
      </c>
      <c r="C192" s="4" t="s">
        <v>94</v>
      </c>
      <c r="D192" s="4">
        <v>721</v>
      </c>
      <c r="J192" s="4" t="s">
        <v>95</v>
      </c>
      <c r="M192" s="4" t="s">
        <v>176</v>
      </c>
    </row>
    <row r="193" spans="1:13" ht="24" customHeight="1">
      <c r="A193" t="s">
        <v>175</v>
      </c>
      <c r="B193">
        <v>2</v>
      </c>
      <c r="C193" t="s">
        <v>139</v>
      </c>
      <c r="D193" s="5">
        <v>0</v>
      </c>
      <c r="E193" s="2">
        <f>IF(AND(ISNUMBER(F193),ISNUMBER('Reference data'!$B$3)),F193*'Reference data'!$B$3,"Unknown")</f>
        <v>0.0</v>
      </c>
      <c r="F193" s="2">
        <f>IF(D193=0,0,IF(ISNUMBER('Reference data'!C17),D193*'Reference data'!C17/1000000,"Unknown"))</f>
        <v>0.0</v>
      </c>
      <c r="G193" s="5">
        <f>IF(ISNUMBER(E193),ROUND(E193*'Reference data'!$B$2,0),"Unknown")</f>
        <v>0.0</v>
      </c>
      <c r="H193" s="5">
        <f>IF(ISNUMBER(F193),ROUND(F193*'Reference data'!$B$2,0),"Unknown")</f>
        <v>0.0</v>
      </c>
    </row>
    <row r="194" spans="1:13" ht="24" customHeight="1">
      <c r="A194" t="s">
        <v>175</v>
      </c>
      <c r="B194">
        <v>2</v>
      </c>
      <c r="C194" t="s">
        <v>97</v>
      </c>
      <c r="D194" s="5">
        <v>721</v>
      </c>
      <c r="E194" s="2">
        <f>IF(AND(ISNUMBER(F194),ISNUMBER('Reference data'!$B$3)),F194*'Reference data'!$B$3,"Unknown")</f>
        <v>0.000125795754</v>
      </c>
      <c r="F194" s="2">
        <f>IF(D194=0,0,IF(ISNUMBER('Reference data'!B17),D194*'Reference data'!B17/1000000,"Unknown"))</f>
        <v>0.0001442</v>
      </c>
      <c r="G194" s="5">
        <f>IF(ISNUMBER(E194),ROUND(E194*'Reference data'!$B$2,0),"Unknown")</f>
        <v>13.0</v>
      </c>
      <c r="H194" s="5">
        <f>IF(ISNUMBER(F194),ROUND(F194*'Reference data'!$B$2,0),"Unknown")</f>
        <v>14.0</v>
      </c>
    </row>
    <row r="195" spans="1:13" ht="86" customHeight="1">
      <c r="A195" t="s">
        <v>175</v>
      </c>
      <c r="B195">
        <v>2</v>
      </c>
      <c r="C195" t="s">
        <v>140</v>
      </c>
      <c r="I195" s="6" t="s">
        <v>171</v>
      </c>
    </row>
    <row r="196" spans="1:13" ht="24" customHeight="1">
      <c r="A196" t="s">
        <v>175</v>
      </c>
      <c r="B196">
        <v>2</v>
      </c>
      <c r="C196" t="s">
        <v>103</v>
      </c>
    </row>
    <row r="197" spans="1:13" ht="24" customHeight="1">
      <c r="A197" t="s">
        <v>175</v>
      </c>
      <c r="B197">
        <v>2</v>
      </c>
      <c r="C197" t="s">
        <v>104</v>
      </c>
    </row>
    <row r="198" spans="1:13" s="4" customFormat="1" ht="24" customHeight="1">
      <c r="A198" s="4" t="s">
        <v>175</v>
      </c>
      <c r="B198" s="4">
        <v>2</v>
      </c>
      <c r="C198" s="4" t="s">
        <v>105</v>
      </c>
      <c r="D198" s="4">
        <v>199</v>
      </c>
    </row>
    <row r="199" spans="1:13" ht="24" customHeight="1">
      <c r="A199" t="s">
        <v>175</v>
      </c>
      <c r="B199">
        <v>2</v>
      </c>
      <c r="C199" t="s">
        <v>106</v>
      </c>
      <c r="D199" s="5">
        <v>36</v>
      </c>
      <c r="E199" s="2">
        <f>IF(AND(ISNUMBER(F199),ISNUMBER('Reference data'!$B$3)),F199*'Reference data'!$B$3,"Unknown")</f>
        <v>3.7686384e-05</v>
      </c>
      <c r="F199" s="2">
        <f>IF(D199=0,0,IF(ISNUMBER('Reference data'!F17),D199*'Reference data'!F17/1000000,"Unknown"))</f>
        <v>4.32e-05</v>
      </c>
      <c r="G199" s="5">
        <f>IF(ISNUMBER(E199),ROUND(E199*'Reference data'!$B$2,0),"Unknown")</f>
        <v>4.0</v>
      </c>
      <c r="H199" s="5">
        <f>IF(ISNUMBER(F199),ROUND(F199*'Reference data'!$B$2,0),"Unknown")</f>
        <v>4.0</v>
      </c>
    </row>
    <row r="200" spans="1:13" ht="24" customHeight="1">
      <c r="A200" t="s">
        <v>175</v>
      </c>
      <c r="B200">
        <v>2</v>
      </c>
      <c r="C200" t="s">
        <v>107</v>
      </c>
      <c r="D200" s="5">
        <v>163</v>
      </c>
      <c r="E200" s="2">
        <f>IF(AND(ISNUMBER(F200),ISNUMBER('Reference data'!$B$3)),F200*'Reference data'!$B$3,"Unknown")</f>
        <v>0.000170635572</v>
      </c>
      <c r="F200" s="2">
        <f>IF(D200=0,0,IF(ISNUMBER('Reference data'!E17),D200*'Reference data'!E17/1000000,"Unknown"))</f>
        <v>0.0001956</v>
      </c>
      <c r="G200" s="5">
        <f>IF(ISNUMBER(E200),ROUND(E200*'Reference data'!$B$2,0),"Unknown")</f>
        <v>17.0</v>
      </c>
      <c r="H200" s="5">
        <f>IF(ISNUMBER(F200),ROUND(F200*'Reference data'!$B$2,0),"Unknown")</f>
        <v>20.0</v>
      </c>
    </row>
    <row r="201" spans="1:13" ht="385" customHeight="1">
      <c r="A201" t="s">
        <v>175</v>
      </c>
      <c r="B201">
        <v>2</v>
      </c>
      <c r="C201" t="s">
        <v>108</v>
      </c>
      <c r="I201" s="6" t="s">
        <v>177</v>
      </c>
    </row>
    <row r="202" spans="1:13" ht="24" customHeight="1">
      <c r="A202" t="s">
        <v>175</v>
      </c>
      <c r="B202">
        <v>2</v>
      </c>
      <c r="C202" t="s">
        <v>103</v>
      </c>
    </row>
    <row r="203" spans="1:13" ht="24" customHeight="1">
      <c r="A203" t="s">
        <v>175</v>
      </c>
      <c r="B203">
        <v>2</v>
      </c>
      <c r="C203" t="s">
        <v>104</v>
      </c>
    </row>
    <row r="204" spans="1:13" s="4" customFormat="1" ht="24" customHeight="1">
      <c r="A204" s="4" t="s">
        <v>175</v>
      </c>
      <c r="B204" s="4">
        <v>2</v>
      </c>
      <c r="C204" s="4" t="s">
        <v>110</v>
      </c>
      <c r="E204" s="2">
        <f>IF(COUNT('Turns'!E193,'Turns'!E194,'Turns'!E199,'Turns'!E200)=4,SUM('Turns'!E193,'Turns'!E194,'Turns'!E199,'Turns'!E200),"Unknown")</f>
        <v>0.00033411771</v>
      </c>
      <c r="F204" s="2">
        <f>IF(COUNT('Turns'!F193,'Turns'!F194,'Turns'!F199,'Turns'!F200)=4,SUM('Turns'!F193,'Turns'!F194,'Turns'!F199,'Turns'!F200),"Unknown")</f>
        <v>0.000383</v>
      </c>
      <c r="G204" s="5">
        <f>IF(ISNUMBER(E204),ROUND(E204*'Reference data'!$B$2,0),"Unknown")</f>
        <v>33.0</v>
      </c>
      <c r="H204" s="5">
        <f>IF(ISNUMBER(F204),ROUND(F204*'Reference data'!$B$2,0),"Unknown")</f>
        <v>38.0</v>
      </c>
      <c r="K204" s="4" t="s">
        <v>111</v>
      </c>
    </row>
    <row r="205" spans="1:13" s="4" customFormat="1" ht="24" customHeight="1">
      <c r="A205" s="4" t="s">
        <v>178</v>
      </c>
      <c r="B205" s="4">
        <v>2</v>
      </c>
      <c r="C205" s="4" t="s">
        <v>94</v>
      </c>
      <c r="D205" s="4">
        <v>1141</v>
      </c>
      <c r="J205" s="4" t="s">
        <v>95</v>
      </c>
      <c r="M205" s="4" t="s">
        <v>179</v>
      </c>
    </row>
    <row r="206" spans="1:13" ht="24" customHeight="1">
      <c r="A206" t="s">
        <v>178</v>
      </c>
      <c r="B206">
        <v>2</v>
      </c>
      <c r="C206" t="s">
        <v>139</v>
      </c>
      <c r="D206" s="5">
        <v>0</v>
      </c>
      <c r="E206" s="2">
        <f>IF(AND(ISNUMBER(F206),ISNUMBER('Reference data'!$B$3)),F206*'Reference data'!$B$3,"Unknown")</f>
        <v>0.0</v>
      </c>
      <c r="F206" s="2">
        <f>IF(D206=0,0,IF(ISNUMBER('Reference data'!C17),D206*'Reference data'!C17/1000000,"Unknown"))</f>
        <v>0.0</v>
      </c>
      <c r="G206" s="5">
        <f>IF(ISNUMBER(E206),ROUND(E206*'Reference data'!$B$2,0),"Unknown")</f>
        <v>0.0</v>
      </c>
      <c r="H206" s="5">
        <f>IF(ISNUMBER(F206),ROUND(F206*'Reference data'!$B$2,0),"Unknown")</f>
        <v>0.0</v>
      </c>
    </row>
    <row r="207" spans="1:13" ht="24" customHeight="1">
      <c r="A207" t="s">
        <v>178</v>
      </c>
      <c r="B207">
        <v>2</v>
      </c>
      <c r="C207" t="s">
        <v>97</v>
      </c>
      <c r="D207" s="5">
        <v>3</v>
      </c>
      <c r="E207" s="2">
        <f>IF(AND(ISNUMBER(F207),ISNUMBER('Reference data'!$B$3)),F207*'Reference data'!$B$3,"Unknown")</f>
        <v>5.23422e-07</v>
      </c>
      <c r="F207" s="2">
        <f>IF(D207=0,0,IF(ISNUMBER('Reference data'!B17),D207*'Reference data'!B17/1000000,"Unknown"))</f>
        <v>6e-07</v>
      </c>
      <c r="G207" s="5">
        <f>IF(ISNUMBER(E207),ROUND(E207*'Reference data'!$B$2,0),"Unknown")</f>
        <v>0.0</v>
      </c>
      <c r="H207" s="5">
        <f>IF(ISNUMBER(F207),ROUND(F207*'Reference data'!$B$2,0),"Unknown")</f>
        <v>0.0</v>
      </c>
    </row>
    <row r="208" spans="1:13" ht="24" customHeight="1">
      <c r="A208" t="s">
        <v>178</v>
      </c>
      <c r="B208">
        <v>2</v>
      </c>
      <c r="C208" t="s">
        <v>103</v>
      </c>
      <c r="D208" s="5">
        <v>1138</v>
      </c>
      <c r="E208" s="2">
        <f>IF(AND(ISNUMBER(F208),ISNUMBER('Reference data'!$B$3)),F208*'Reference data'!$B$3,"Unknown")</f>
        <v>0.000248189265</v>
      </c>
      <c r="F208" s="2">
        <f>IF(D208=0,0,IF(ISNUMBER('Reference data'!D17),D208*'Reference data'!D17/1000000,"Unknown"))</f>
        <v>0.0002845</v>
      </c>
      <c r="G208" s="5">
        <f>IF(ISNUMBER(E208),ROUND(E208*'Reference data'!$B$2,0),"Unknown")</f>
        <v>25.0</v>
      </c>
      <c r="H208" s="5">
        <f>IF(ISNUMBER(F208),ROUND(F208*'Reference data'!$B$2,0),"Unknown")</f>
        <v>28.0</v>
      </c>
    </row>
    <row r="209" spans="1:13" ht="24" customHeight="1">
      <c r="A209" t="s">
        <v>178</v>
      </c>
      <c r="B209">
        <v>2</v>
      </c>
      <c r="C209" t="s">
        <v>104</v>
      </c>
    </row>
    <row r="210" spans="1:13" s="4" customFormat="1" ht="24" customHeight="1">
      <c r="A210" s="4" t="s">
        <v>178</v>
      </c>
      <c r="B210" s="4">
        <v>2</v>
      </c>
      <c r="C210" s="4" t="s">
        <v>105</v>
      </c>
      <c r="D210" s="4">
        <v>428</v>
      </c>
    </row>
    <row r="211" spans="1:13" ht="24" customHeight="1">
      <c r="A211" t="s">
        <v>178</v>
      </c>
      <c r="B211">
        <v>2</v>
      </c>
      <c r="C211" t="s">
        <v>107</v>
      </c>
      <c r="D211" s="5">
        <v>428</v>
      </c>
      <c r="E211" s="2">
        <f>IF(AND(ISNUMBER(F211),ISNUMBER('Reference data'!$B$3)),F211*'Reference data'!$B$3,"Unknown")</f>
        <v>0.000448049232</v>
      </c>
      <c r="F211" s="2">
        <f>IF(D211=0,0,IF(ISNUMBER('Reference data'!E17),D211*'Reference data'!E17/1000000,"Unknown"))</f>
        <v>0.0005136</v>
      </c>
      <c r="G211" s="5">
        <f>IF(ISNUMBER(E211),ROUND(E211*'Reference data'!$B$2,0),"Unknown")</f>
        <v>45.0</v>
      </c>
      <c r="H211" s="5">
        <f>IF(ISNUMBER(F211),ROUND(F211*'Reference data'!$B$2,0),"Unknown")</f>
        <v>51.0</v>
      </c>
    </row>
    <row r="212" spans="1:13" ht="385" customHeight="1">
      <c r="A212" t="s">
        <v>178</v>
      </c>
      <c r="B212">
        <v>2</v>
      </c>
      <c r="C212" t="s">
        <v>108</v>
      </c>
      <c r="I212" s="6" t="s">
        <v>180</v>
      </c>
    </row>
    <row r="213" spans="1:13" ht="24" customHeight="1">
      <c r="A213" t="s">
        <v>178</v>
      </c>
      <c r="B213">
        <v>2</v>
      </c>
      <c r="C213" t="s">
        <v>103</v>
      </c>
    </row>
    <row r="214" spans="1:13" ht="24" customHeight="1">
      <c r="A214" t="s">
        <v>178</v>
      </c>
      <c r="B214">
        <v>2</v>
      </c>
      <c r="C214" t="s">
        <v>104</v>
      </c>
    </row>
    <row r="215" spans="1:13" s="4" customFormat="1" ht="24" customHeight="1">
      <c r="A215" s="4" t="s">
        <v>178</v>
      </c>
      <c r="B215" s="4">
        <v>2</v>
      </c>
      <c r="C215" s="4" t="s">
        <v>110</v>
      </c>
      <c r="E215" s="2">
        <f>IF(COUNT('Turns'!E206,'Turns'!E207,'Turns'!E208,'Turns'!E211)=4,SUM('Turns'!E206,'Turns'!E207,'Turns'!E208,'Turns'!E211),"Unknown")</f>
        <v>0.000696761919</v>
      </c>
      <c r="F215" s="2">
        <f>IF(COUNT('Turns'!F206,'Turns'!F207,'Turns'!F208,'Turns'!F211)=4,SUM('Turns'!F206,'Turns'!F207,'Turns'!F208,'Turns'!F211),"Unknown")</f>
        <v>0.0007987</v>
      </c>
      <c r="G215" s="5">
        <f>IF(ISNUMBER(E215),ROUND(E215*'Reference data'!$B$2,0),"Unknown")</f>
        <v>70.0</v>
      </c>
      <c r="H215" s="5">
        <f>IF(ISNUMBER(F215),ROUND(F215*'Reference data'!$B$2,0),"Unknown")</f>
        <v>80.0</v>
      </c>
      <c r="K215" s="4" t="s">
        <v>111</v>
      </c>
    </row>
    <row r="216" spans="1:13" s="4" customFormat="1" ht="24" customHeight="1">
      <c r="A216" s="4" t="s">
        <v>181</v>
      </c>
      <c r="B216" s="4">
        <v>2</v>
      </c>
      <c r="C216" s="4" t="s">
        <v>94</v>
      </c>
      <c r="D216" s="4">
        <v>1131</v>
      </c>
      <c r="J216" s="4" t="s">
        <v>95</v>
      </c>
      <c r="M216" s="4" t="s">
        <v>182</v>
      </c>
    </row>
    <row r="217" spans="1:13" ht="24" customHeight="1">
      <c r="A217" t="s">
        <v>181</v>
      </c>
      <c r="B217">
        <v>2</v>
      </c>
      <c r="C217" t="s">
        <v>139</v>
      </c>
      <c r="D217" s="5">
        <v>0</v>
      </c>
      <c r="E217" s="2">
        <f>IF(AND(ISNUMBER(F217),ISNUMBER('Reference data'!$B$3)),F217*'Reference data'!$B$3,"Unknown")</f>
        <v>0.0</v>
      </c>
      <c r="F217" s="2">
        <f>IF(D217=0,0,IF(ISNUMBER('Reference data'!C17),D217*'Reference data'!C17/1000000,"Unknown"))</f>
        <v>0.0</v>
      </c>
      <c r="G217" s="5">
        <f>IF(ISNUMBER(E217),ROUND(E217*'Reference data'!$B$2,0),"Unknown")</f>
        <v>0.0</v>
      </c>
      <c r="H217" s="5">
        <f>IF(ISNUMBER(F217),ROUND(F217*'Reference data'!$B$2,0),"Unknown")</f>
        <v>0.0</v>
      </c>
    </row>
    <row r="218" spans="1:13" ht="24" customHeight="1">
      <c r="A218" t="s">
        <v>181</v>
      </c>
      <c r="B218">
        <v>2</v>
      </c>
      <c r="C218" t="s">
        <v>97</v>
      </c>
      <c r="D218" s="5">
        <v>3</v>
      </c>
      <c r="E218" s="2">
        <f>IF(AND(ISNUMBER(F218),ISNUMBER('Reference data'!$B$3)),F218*'Reference data'!$B$3,"Unknown")</f>
        <v>5.23422e-07</v>
      </c>
      <c r="F218" s="2">
        <f>IF(D218=0,0,IF(ISNUMBER('Reference data'!B17),D218*'Reference data'!B17/1000000,"Unknown"))</f>
        <v>6e-07</v>
      </c>
      <c r="G218" s="5">
        <f>IF(ISNUMBER(E218),ROUND(E218*'Reference data'!$B$2,0),"Unknown")</f>
        <v>0.0</v>
      </c>
      <c r="H218" s="5">
        <f>IF(ISNUMBER(F218),ROUND(F218*'Reference data'!$B$2,0),"Unknown")</f>
        <v>0.0</v>
      </c>
    </row>
    <row r="219" spans="1:13" ht="151" customHeight="1">
      <c r="A219" t="s">
        <v>181</v>
      </c>
      <c r="B219">
        <v>2</v>
      </c>
      <c r="C219" t="s">
        <v>140</v>
      </c>
      <c r="I219" s="6" t="s">
        <v>183</v>
      </c>
    </row>
    <row r="220" spans="1:13" ht="24" customHeight="1">
      <c r="A220" t="s">
        <v>181</v>
      </c>
      <c r="B220">
        <v>2</v>
      </c>
      <c r="C220" t="s">
        <v>103</v>
      </c>
      <c r="D220" s="5">
        <v>1128</v>
      </c>
      <c r="E220" s="2">
        <f>IF(AND(ISNUMBER(F220),ISNUMBER('Reference data'!$B$3)),F220*'Reference data'!$B$3,"Unknown")</f>
        <v>0.00024600834</v>
      </c>
      <c r="F220" s="2">
        <f>IF(D220=0,0,IF(ISNUMBER('Reference data'!D17),D220*'Reference data'!D17/1000000,"Unknown"))</f>
        <v>0.000282</v>
      </c>
      <c r="G220" s="5">
        <f>IF(ISNUMBER(E220),ROUND(E220*'Reference data'!$B$2,0),"Unknown")</f>
        <v>25.0</v>
      </c>
      <c r="H220" s="5">
        <f>IF(ISNUMBER(F220),ROUND(F220*'Reference data'!$B$2,0),"Unknown")</f>
        <v>28.0</v>
      </c>
    </row>
    <row r="221" spans="1:13" ht="24" customHeight="1">
      <c r="A221" t="s">
        <v>181</v>
      </c>
      <c r="B221">
        <v>2</v>
      </c>
      <c r="C221" t="s">
        <v>104</v>
      </c>
    </row>
    <row r="222" spans="1:13" s="4" customFormat="1" ht="24" customHeight="1">
      <c r="A222" s="4" t="s">
        <v>181</v>
      </c>
      <c r="B222" s="4">
        <v>2</v>
      </c>
      <c r="C222" s="4" t="s">
        <v>105</v>
      </c>
      <c r="D222" s="4">
        <v>305</v>
      </c>
    </row>
    <row r="223" spans="1:13" ht="24" customHeight="1">
      <c r="A223" t="s">
        <v>181</v>
      </c>
      <c r="B223">
        <v>2</v>
      </c>
      <c r="C223" t="s">
        <v>106</v>
      </c>
      <c r="D223" s="5">
        <v>25</v>
      </c>
      <c r="E223" s="2">
        <f>IF(AND(ISNUMBER(F223),ISNUMBER('Reference data'!$B$3)),F223*'Reference data'!$B$3,"Unknown")</f>
        <v>2.61711e-05</v>
      </c>
      <c r="F223" s="2">
        <f>IF(D223=0,0,IF(ISNUMBER('Reference data'!F17),D223*'Reference data'!F17/1000000,"Unknown"))</f>
        <v>3e-05</v>
      </c>
      <c r="G223" s="5">
        <f>IF(ISNUMBER(E223),ROUND(E223*'Reference data'!$B$2,0),"Unknown")</f>
        <v>3.0</v>
      </c>
      <c r="H223" s="5">
        <f>IF(ISNUMBER(F223),ROUND(F223*'Reference data'!$B$2,0),"Unknown")</f>
        <v>3.0</v>
      </c>
    </row>
    <row r="224" spans="1:13" ht="24" customHeight="1">
      <c r="A224" t="s">
        <v>181</v>
      </c>
      <c r="B224">
        <v>2</v>
      </c>
      <c r="C224" t="s">
        <v>107</v>
      </c>
      <c r="D224" s="5">
        <v>280</v>
      </c>
      <c r="E224" s="2">
        <f>IF(AND(ISNUMBER(F224),ISNUMBER('Reference data'!$B$3)),F224*'Reference data'!$B$3,"Unknown")</f>
        <v>0.00029311632</v>
      </c>
      <c r="F224" s="2">
        <f>IF(D224=0,0,IF(ISNUMBER('Reference data'!E17),D224*'Reference data'!E17/1000000,"Unknown"))</f>
        <v>0.000336</v>
      </c>
      <c r="G224" s="5">
        <f>IF(ISNUMBER(E224),ROUND(E224*'Reference data'!$B$2,0),"Unknown")</f>
        <v>29.0</v>
      </c>
      <c r="H224" s="5">
        <f>IF(ISNUMBER(F224),ROUND(F224*'Reference data'!$B$2,0),"Unknown")</f>
        <v>34.0</v>
      </c>
    </row>
    <row r="225" spans="1:11" ht="409" customHeight="1">
      <c r="A225" t="s">
        <v>181</v>
      </c>
      <c r="B225">
        <v>2</v>
      </c>
      <c r="C225" t="s">
        <v>108</v>
      </c>
      <c r="I225" s="6" t="s">
        <v>184</v>
      </c>
    </row>
    <row r="226" spans="1:11" ht="24" customHeight="1">
      <c r="A226" t="s">
        <v>181</v>
      </c>
      <c r="B226">
        <v>2</v>
      </c>
      <c r="C226" t="s">
        <v>103</v>
      </c>
    </row>
    <row r="227" spans="1:11" ht="24" customHeight="1">
      <c r="A227" t="s">
        <v>181</v>
      </c>
      <c r="B227">
        <v>2</v>
      </c>
      <c r="C227" t="s">
        <v>104</v>
      </c>
    </row>
    <row r="228" spans="1:11" s="4" customFormat="1" ht="24" customHeight="1">
      <c r="A228" s="4" t="s">
        <v>181</v>
      </c>
      <c r="B228" s="4">
        <v>2</v>
      </c>
      <c r="C228" s="4" t="s">
        <v>110</v>
      </c>
      <c r="E228" s="2">
        <f>IF(COUNT('Turns'!E217,'Turns'!E218,'Turns'!E220,'Turns'!E223,'Turns'!E224)=5,SUM('Turns'!E217,'Turns'!E218,'Turns'!E220,'Turns'!E223,'Turns'!E224),"Unknown")</f>
        <v>0.000565819182</v>
      </c>
      <c r="F228" s="2">
        <f>IF(COUNT('Turns'!F217,'Turns'!F218,'Turns'!F220,'Turns'!F223,'Turns'!F224)=5,SUM('Turns'!F217,'Turns'!F218,'Turns'!F220,'Turns'!F223,'Turns'!F224),"Unknown")</f>
        <v>0.0006486</v>
      </c>
      <c r="G228" s="5">
        <f>IF(ISNUMBER(E228),ROUND(E228*'Reference data'!$B$2,0),"Unknown")</f>
        <v>57.0</v>
      </c>
      <c r="H228" s="5">
        <f>IF(ISNUMBER(F228),ROUND(F228*'Reference data'!$B$2,0),"Unknown")</f>
        <v>65.0</v>
      </c>
      <c r="K228" s="4" t="s">
        <v>111</v>
      </c>
    </row>
  </sheetData>
  <conditionalFormatting sqref="A2:AE228">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69"/>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185</v>
      </c>
      <c r="B2" s="1">
        <v>0</v>
      </c>
      <c r="C2" s="1" t="s">
        <v>186</v>
      </c>
      <c r="D2" s="1" t="s">
        <v>47</v>
      </c>
      <c r="E2" s="1" t="s">
        <v>111</v>
      </c>
      <c r="G2" s="6" t="s">
        <v>187</v>
      </c>
      <c r="H2" t="s">
        <v>49</v>
      </c>
      <c r="J2" s="2">
        <f>IF(COUNT('Turns'!D5,'Turns'!D19,'Turns'!D31,'Turns'!D47,'Turns'!D63,'Turns'!D77,'Turns'!D90,'Turns'!D101)=8,SUM('Turns'!D5,'Turns'!D19,'Turns'!D31,'Turns'!D47,'Turns'!D63,'Turns'!D77,'Turns'!D90,'Turns'!D101),"Unknown")</f>
        <v>4656.0</v>
      </c>
      <c r="K2" s="2">
        <f>IF(COUNT('Turns'!E5,'Turns'!E19,'Turns'!E31,'Turns'!E47,'Turns'!E63,'Turns'!E77,'Turns'!E90,'Turns'!E101)=8,SUM('Turns'!E5,'Turns'!E19,'Turns'!E31,'Turns'!E47,'Turns'!E63,'Turns'!E77,'Turns'!E90,'Turns'!E101),"Unknown")</f>
        <v>0.000812350944</v>
      </c>
      <c r="L2" s="2">
        <f>IF(COUNT('Turns'!F5,'Turns'!F19,'Turns'!F31,'Turns'!F47,'Turns'!F63,'Turns'!F77,'Turns'!F90,'Turns'!F101)=8,SUM('Turns'!F5,'Turns'!F19,'Turns'!F31,'Turns'!F47,'Turns'!F63,'Turns'!F77,'Turns'!F90,'Turns'!F101),"Unknown")</f>
        <v>0.0009312</v>
      </c>
      <c r="M2" s="2">
        <f>IF(COUNT('Turns'!D76,'Turns'!D89,'Turns'!D100)=3,SUM('Turns'!D76,'Turns'!D89,'Turns'!D100),"Unknown")</f>
        <v>0.0</v>
      </c>
      <c r="N2" s="2">
        <f>IF(COUNT('Turns'!E76,'Turns'!E89,'Turns'!E100)=3,SUM('Turns'!E76,'Turns'!E89,'Turns'!E100),"Unknown")</f>
        <v>0.0</v>
      </c>
      <c r="O2" s="2">
        <f>IF(COUNT('Turns'!F76,'Turns'!F89,'Turns'!F100)=3,SUM('Turns'!F76,'Turns'!F89,'Turns'!F100),"Unknown")</f>
        <v>0.0</v>
      </c>
      <c r="P2" s="2">
        <v>0</v>
      </c>
      <c r="Q2" s="2">
        <v>0</v>
      </c>
      <c r="R2" s="2">
        <v>0</v>
      </c>
      <c r="S2" s="2">
        <f>IF(COUNT('Turns'!D13,'Turns'!D25,'Turns'!D38,'Turns'!D54,'Turns'!D70,'Turns'!D83,'Turns'!D94,'Turns'!D107)=8,SUM('Turns'!D13,'Turns'!D25,'Turns'!D38,'Turns'!D54,'Turns'!D70,'Turns'!D83,'Turns'!D94,'Turns'!D107),"Unknown")</f>
        <v>1095.0</v>
      </c>
      <c r="T2" s="2">
        <f>IF(COUNT('Turns'!E13,'Turns'!E25,'Turns'!E38,'Turns'!E54,'Turns'!E70,'Turns'!E83,'Turns'!E94,'Turns'!E107)=8,SUM('Turns'!E13,'Turns'!E25,'Turns'!E38,'Turns'!E54,'Turns'!E70,'Turns'!E83,'Turns'!E94,'Turns'!E107),"Unknown")</f>
        <v>0.00114629418</v>
      </c>
      <c r="U2" s="2">
        <f>IF(COUNT('Turns'!F13,'Turns'!F25,'Turns'!F38,'Turns'!F54,'Turns'!F70,'Turns'!F83,'Turns'!F94,'Turns'!F107)=8,SUM('Turns'!F13,'Turns'!F25,'Turns'!F38,'Turns'!F54,'Turns'!F70,'Turns'!F83,'Turns'!F94,'Turns'!F107),"Unknown")</f>
        <v>0.001314</v>
      </c>
      <c r="V2" s="2">
        <f>IF(COUNT('Turns'!D12,'Turns'!D37,'Turns'!D53,'Turns'!D69,'Turns'!D82,'Turns'!D106)=6,SUM('Turns'!D12,'Turns'!D37,'Turns'!D53,'Turns'!D69,'Turns'!D82,'Turns'!D106),"Unknown")</f>
        <v>313.0</v>
      </c>
      <c r="W2" s="2">
        <f>IF(COUNT('Turns'!E12,'Turns'!E37,'Turns'!E53,'Turns'!E69,'Turns'!E82,'Turns'!E106)=6,SUM('Turns'!E12,'Turns'!E37,'Turns'!E53,'Turns'!E69,'Turns'!E82,'Turns'!E106),"Unknown")</f>
        <v>0.000327662172</v>
      </c>
      <c r="X2" s="2">
        <f>IF(COUNT('Turns'!F12,'Turns'!F37,'Turns'!F53,'Turns'!F69,'Turns'!F82,'Turns'!F106)=6,SUM('Turns'!F12,'Turns'!F37,'Turns'!F53,'Turns'!F69,'Turns'!F82,'Turns'!F106),"Unknown")</f>
        <v>0.0003756</v>
      </c>
      <c r="Y2" s="2">
        <f>IF(COUNT('Turns'!E17,'Turns'!E29,'Turns'!E42,'Turns'!E58,'Turns'!E74,'Turns'!E87,'Turns'!E98,'Turns'!E111)=8,SUM('Turns'!E17,'Turns'!E29,'Turns'!E42,'Turns'!E58,'Turns'!E74,'Turns'!E87,'Turns'!E98,'Turns'!E111),"Unknown")</f>
        <v>0.002286307296</v>
      </c>
      <c r="Z2" s="2">
        <f>IF(COUNT('Turns'!F17,'Turns'!F29,'Turns'!F42,'Turns'!F58,'Turns'!F74,'Turns'!F87,'Turns'!F98,'Turns'!F111)=8,SUM('Turns'!F17,'Turns'!F29,'Turns'!F42,'Turns'!F58,'Turns'!F74,'Turns'!F87,'Turns'!F98,'Turns'!F111),"Unknown")</f>
        <v>0.0026208</v>
      </c>
      <c r="AA2" s="5">
        <f>IF(ISNUMBER(Y2),ROUND(Y2*'Reference data'!$B$2,0),"Unknown")</f>
        <v>229.0</v>
      </c>
      <c r="AB2" s="5">
        <f>IF(ISNUMBER(Z2),ROUND(Z2*'Reference data'!$B$2,0),"Unknown")</f>
        <v>262.0</v>
      </c>
      <c r="AD2" s="1">
        <v>20432.327</v>
      </c>
      <c r="AE2" s="1" t="s">
        <v>188</v>
      </c>
    </row>
    <row r="3" spans="1:31" ht="54" customHeight="1">
      <c r="A3" s="6" t="s">
        <v>189</v>
      </c>
      <c r="B3" s="1">
        <v>1</v>
      </c>
      <c r="C3" s="1" t="s">
        <v>186</v>
      </c>
      <c r="D3" s="1" t="s">
        <v>47</v>
      </c>
      <c r="E3" s="1" t="s">
        <v>111</v>
      </c>
      <c r="G3" s="6" t="s">
        <v>190</v>
      </c>
      <c r="H3" t="s">
        <v>191</v>
      </c>
      <c r="I3" t="s">
        <v>49</v>
      </c>
      <c r="J3" s="2">
        <f>IF(COUNT('Turns'!D5)=1,SUM('Turns'!D5),"Unknown")</f>
        <v>412.0</v>
      </c>
      <c r="K3" s="2">
        <f>IF(COUNT('Turns'!E5)=1,SUM('Turns'!E5),"Unknown")</f>
        <v>7.1883288e-05</v>
      </c>
      <c r="L3" s="2">
        <f>IF(COUNT('Turns'!F5)=1,SUM('Turns'!F5),"Unknown")</f>
        <v>8.24e-05</v>
      </c>
      <c r="M3" s="2">
        <v>0</v>
      </c>
      <c r="N3" s="2">
        <v>0</v>
      </c>
      <c r="O3" s="2">
        <v>0</v>
      </c>
      <c r="P3" s="2">
        <v>0</v>
      </c>
      <c r="Q3" s="2">
        <v>0</v>
      </c>
      <c r="R3" s="2">
        <v>0</v>
      </c>
      <c r="S3" s="2">
        <f>IF(COUNT('Turns'!D13)=1,SUM('Turns'!D13),"Unknown")</f>
        <v>100.0</v>
      </c>
      <c r="T3" s="2">
        <f>IF(COUNT('Turns'!E13)=1,SUM('Turns'!E13),"Unknown")</f>
        <v>0.0001046844</v>
      </c>
      <c r="U3" s="2">
        <f>IF(COUNT('Turns'!F13)=1,SUM('Turns'!F13),"Unknown")</f>
        <v>0.00012</v>
      </c>
      <c r="V3" s="2">
        <f>IF(COUNT('Turns'!D12)=1,SUM('Turns'!D12),"Unknown")</f>
        <v>34.0</v>
      </c>
      <c r="W3" s="2">
        <f>IF(COUNT('Turns'!E12)=1,SUM('Turns'!E12),"Unknown")</f>
        <v>3.5592696e-05</v>
      </c>
      <c r="X3" s="2">
        <f>IF(COUNT('Turns'!F12)=1,SUM('Turns'!F12),"Unknown")</f>
        <v>4.08e-05</v>
      </c>
      <c r="Y3" s="2">
        <f>IF(COUNT('Turns'!E17)=1,SUM('Turns'!E17),"Unknown")</f>
        <v>0.000212160384</v>
      </c>
      <c r="Z3" s="2">
        <f>IF(COUNT('Turns'!F17)=1,SUM('Turns'!F17),"Unknown")</f>
        <v>0.0002432</v>
      </c>
      <c r="AA3" s="5">
        <f>IF(ISNUMBER(Y3),ROUND(Y3*'Reference data'!$B$2,0),"Unknown")</f>
        <v>21.0</v>
      </c>
      <c r="AB3" s="5">
        <f>IF(ISNUMBER(Z3),ROUND(Z3*'Reference data'!$B$2,0),"Unknown")</f>
        <v>24.0</v>
      </c>
      <c r="AD3" s="1">
        <v>2483.114</v>
      </c>
      <c r="AE3" s="1" t="s">
        <v>188</v>
      </c>
    </row>
    <row r="4" spans="1:31" ht="54" customHeight="1">
      <c r="A4" s="6" t="s">
        <v>192</v>
      </c>
      <c r="B4" s="1">
        <v>2</v>
      </c>
      <c r="C4" s="1" t="s">
        <v>186</v>
      </c>
      <c r="D4" s="1" t="s">
        <v>47</v>
      </c>
      <c r="E4" s="1" t="s">
        <v>111</v>
      </c>
      <c r="G4" s="6" t="s">
        <v>193</v>
      </c>
      <c r="H4" t="s">
        <v>194</v>
      </c>
      <c r="I4" t="s">
        <v>191</v>
      </c>
      <c r="J4" s="2">
        <f>IF(COUNT('Turns'!D5)=1,SUM('Turns'!D5),"Unknown")</f>
        <v>412.0</v>
      </c>
      <c r="K4" s="2">
        <f>IF(COUNT('Turns'!E5)=1,SUM('Turns'!E5),"Unknown")</f>
        <v>7.1883288e-05</v>
      </c>
      <c r="L4" s="2">
        <f>IF(COUNT('Turns'!F5)=1,SUM('Turns'!F5),"Unknown")</f>
        <v>8.24e-05</v>
      </c>
      <c r="M4" s="2">
        <v>0</v>
      </c>
      <c r="N4" s="2">
        <v>0</v>
      </c>
      <c r="O4" s="2">
        <v>0</v>
      </c>
      <c r="P4" s="2">
        <v>0</v>
      </c>
      <c r="Q4" s="2">
        <v>0</v>
      </c>
      <c r="R4" s="2">
        <v>0</v>
      </c>
      <c r="S4" s="2">
        <f>IF(COUNT('Turns'!D13)=1,SUM('Turns'!D13),"Unknown")</f>
        <v>100.0</v>
      </c>
      <c r="T4" s="2">
        <f>IF(COUNT('Turns'!E13)=1,SUM('Turns'!E13),"Unknown")</f>
        <v>0.0001046844</v>
      </c>
      <c r="U4" s="2">
        <f>IF(COUNT('Turns'!F13)=1,SUM('Turns'!F13),"Unknown")</f>
        <v>0.00012</v>
      </c>
      <c r="V4" s="2">
        <f>IF(COUNT('Turns'!D12)=1,SUM('Turns'!D12),"Unknown")</f>
        <v>34.0</v>
      </c>
      <c r="W4" s="2">
        <f>IF(COUNT('Turns'!E12)=1,SUM('Turns'!E12),"Unknown")</f>
        <v>3.5592696e-05</v>
      </c>
      <c r="X4" s="2">
        <f>IF(COUNT('Turns'!F12)=1,SUM('Turns'!F12),"Unknown")</f>
        <v>4.08e-05</v>
      </c>
      <c r="Y4" s="2">
        <f>IF(COUNT('Turns'!E17)=1,SUM('Turns'!E17),"Unknown")</f>
        <v>0.000212160384</v>
      </c>
      <c r="Z4" s="2">
        <f>IF(COUNT('Turns'!F17)=1,SUM('Turns'!F17),"Unknown")</f>
        <v>0.0002432</v>
      </c>
      <c r="AA4" s="5">
        <f>IF(ISNUMBER(Y4),ROUND(Y4*'Reference data'!$B$2,0),"Unknown")</f>
        <v>21.0</v>
      </c>
      <c r="AB4" s="5">
        <f>IF(ISNUMBER(Z4),ROUND(Z4*'Reference data'!$B$2,0),"Unknown")</f>
        <v>24.0</v>
      </c>
      <c r="AD4" s="1">
        <v>2482.439</v>
      </c>
      <c r="AE4" s="1" t="s">
        <v>188</v>
      </c>
    </row>
    <row r="5" spans="1:31" ht="54" customHeight="1">
      <c r="A5" s="6" t="s">
        <v>195</v>
      </c>
      <c r="B5" s="1">
        <v>3</v>
      </c>
      <c r="C5" s="1" t="s">
        <v>186</v>
      </c>
      <c r="D5" s="1" t="s">
        <v>47</v>
      </c>
      <c r="E5" s="1" t="s">
        <v>111</v>
      </c>
      <c r="G5" s="6" t="s">
        <v>196</v>
      </c>
      <c r="H5" t="s">
        <v>197</v>
      </c>
      <c r="I5" t="s">
        <v>194</v>
      </c>
      <c r="J5" s="2">
        <f>IF(COUNT('Turns'!D5)=1,SUM('Turns'!D5),"Unknown")</f>
        <v>412.0</v>
      </c>
      <c r="K5" s="2">
        <f>IF(COUNT('Turns'!E5)=1,SUM('Turns'!E5),"Unknown")</f>
        <v>7.1883288e-05</v>
      </c>
      <c r="L5" s="2">
        <f>IF(COUNT('Turns'!F5)=1,SUM('Turns'!F5),"Unknown")</f>
        <v>8.24e-05</v>
      </c>
      <c r="M5" s="2">
        <v>0</v>
      </c>
      <c r="N5" s="2">
        <v>0</v>
      </c>
      <c r="O5" s="2">
        <v>0</v>
      </c>
      <c r="P5" s="2">
        <v>0</v>
      </c>
      <c r="Q5" s="2">
        <v>0</v>
      </c>
      <c r="R5" s="2">
        <v>0</v>
      </c>
      <c r="S5" s="2">
        <f>IF(COUNT('Turns'!D13)=1,SUM('Turns'!D13),"Unknown")</f>
        <v>100.0</v>
      </c>
      <c r="T5" s="2">
        <f>IF(COUNT('Turns'!E13)=1,SUM('Turns'!E13),"Unknown")</f>
        <v>0.0001046844</v>
      </c>
      <c r="U5" s="2">
        <f>IF(COUNT('Turns'!F13)=1,SUM('Turns'!F13),"Unknown")</f>
        <v>0.00012</v>
      </c>
      <c r="V5" s="2">
        <f>IF(COUNT('Turns'!D12)=1,SUM('Turns'!D12),"Unknown")</f>
        <v>34.0</v>
      </c>
      <c r="W5" s="2">
        <f>IF(COUNT('Turns'!E12)=1,SUM('Turns'!E12),"Unknown")</f>
        <v>3.5592696e-05</v>
      </c>
      <c r="X5" s="2">
        <f>IF(COUNT('Turns'!F12)=1,SUM('Turns'!F12),"Unknown")</f>
        <v>4.08e-05</v>
      </c>
      <c r="Y5" s="2">
        <f>IF(COUNT('Turns'!E17)=1,SUM('Turns'!E17),"Unknown")</f>
        <v>0.000212160384</v>
      </c>
      <c r="Z5" s="2">
        <f>IF(COUNT('Turns'!F17)=1,SUM('Turns'!F17),"Unknown")</f>
        <v>0.0002432</v>
      </c>
      <c r="AA5" s="5">
        <f>IF(ISNUMBER(Y5),ROUND(Y5*'Reference data'!$B$2,0),"Unknown")</f>
        <v>21.0</v>
      </c>
      <c r="AB5" s="5">
        <f>IF(ISNUMBER(Z5),ROUND(Z5*'Reference data'!$B$2,0),"Unknown")</f>
        <v>24.0</v>
      </c>
      <c r="AD5" s="1">
        <v>2481.403</v>
      </c>
      <c r="AE5" s="1" t="s">
        <v>188</v>
      </c>
    </row>
    <row r="6" spans="1:31" ht="54" customHeight="1">
      <c r="A6" s="6" t="s">
        <v>198</v>
      </c>
      <c r="B6" s="1">
        <v>4</v>
      </c>
      <c r="C6" s="1" t="s">
        <v>186</v>
      </c>
      <c r="D6" s="1" t="s">
        <v>47</v>
      </c>
      <c r="E6" s="1" t="s">
        <v>111</v>
      </c>
      <c r="G6" s="6" t="s">
        <v>199</v>
      </c>
      <c r="H6" t="s">
        <v>200</v>
      </c>
      <c r="I6" t="s">
        <v>197</v>
      </c>
      <c r="AD6" s="1">
        <v>0.484</v>
      </c>
      <c r="AE6" s="1" t="s">
        <v>201</v>
      </c>
    </row>
    <row r="7" spans="1:31" ht="54" customHeight="1">
      <c r="A7" s="6" t="s">
        <v>202</v>
      </c>
      <c r="B7" s="1">
        <v>4</v>
      </c>
      <c r="C7" s="1" t="s">
        <v>186</v>
      </c>
      <c r="D7" s="1" t="s">
        <v>47</v>
      </c>
      <c r="E7" s="1" t="s">
        <v>111</v>
      </c>
      <c r="G7" s="6" t="s">
        <v>203</v>
      </c>
      <c r="H7" t="s">
        <v>204</v>
      </c>
      <c r="I7" t="s">
        <v>197</v>
      </c>
      <c r="J7" s="2">
        <f>IF(COUNT('Turns'!D5)=1,SUM('Turns'!D5),"Unknown")</f>
        <v>412.0</v>
      </c>
      <c r="K7" s="2">
        <f>IF(COUNT('Turns'!E5)=1,SUM('Turns'!E5),"Unknown")</f>
        <v>7.1883288e-05</v>
      </c>
      <c r="L7" s="2">
        <f>IF(COUNT('Turns'!F5)=1,SUM('Turns'!F5),"Unknown")</f>
        <v>8.24e-05</v>
      </c>
      <c r="M7" s="2">
        <v>0</v>
      </c>
      <c r="N7" s="2">
        <v>0</v>
      </c>
      <c r="O7" s="2">
        <v>0</v>
      </c>
      <c r="P7" s="2">
        <v>0</v>
      </c>
      <c r="Q7" s="2">
        <v>0</v>
      </c>
      <c r="R7" s="2">
        <v>0</v>
      </c>
      <c r="S7" s="2">
        <f>IF(COUNT('Turns'!D13)=1,SUM('Turns'!D13),"Unknown")</f>
        <v>100.0</v>
      </c>
      <c r="T7" s="2">
        <f>IF(COUNT('Turns'!E13)=1,SUM('Turns'!E13),"Unknown")</f>
        <v>0.0001046844</v>
      </c>
      <c r="U7" s="2">
        <f>IF(COUNT('Turns'!F13)=1,SUM('Turns'!F13),"Unknown")</f>
        <v>0.00012</v>
      </c>
      <c r="V7" s="2">
        <f>IF(COUNT('Turns'!D12)=1,SUM('Turns'!D12),"Unknown")</f>
        <v>34.0</v>
      </c>
      <c r="W7" s="2">
        <f>IF(COUNT('Turns'!E12)=1,SUM('Turns'!E12),"Unknown")</f>
        <v>3.5592696e-05</v>
      </c>
      <c r="X7" s="2">
        <f>IF(COUNT('Turns'!F12)=1,SUM('Turns'!F12),"Unknown")</f>
        <v>4.08e-05</v>
      </c>
      <c r="Y7" s="2">
        <f>IF(COUNT('Turns'!E17)=1,SUM('Turns'!E17),"Unknown")</f>
        <v>0.000212160384</v>
      </c>
      <c r="Z7" s="2">
        <f>IF(COUNT('Turns'!F17)=1,SUM('Turns'!F17),"Unknown")</f>
        <v>0.0002432</v>
      </c>
      <c r="AA7" s="5">
        <f>IF(ISNUMBER(Y7),ROUND(Y7*'Reference data'!$B$2,0),"Unknown")</f>
        <v>21.0</v>
      </c>
      <c r="AB7" s="5">
        <f>IF(ISNUMBER(Z7),ROUND(Z7*'Reference data'!$B$2,0),"Unknown")</f>
        <v>24.0</v>
      </c>
      <c r="AD7" s="1">
        <v>2478.067</v>
      </c>
      <c r="AE7" s="1" t="s">
        <v>188</v>
      </c>
    </row>
    <row r="8" spans="1:31" ht="54" customHeight="1">
      <c r="A8" s="6" t="s">
        <v>205</v>
      </c>
      <c r="B8" s="1">
        <v>5</v>
      </c>
      <c r="C8" s="1" t="s">
        <v>206</v>
      </c>
      <c r="D8" s="1" t="s">
        <v>95</v>
      </c>
      <c r="E8" s="1" t="s">
        <v>111</v>
      </c>
      <c r="F8" s="1">
        <v>412</v>
      </c>
      <c r="G8" s="6" t="s">
        <v>207</v>
      </c>
      <c r="H8" t="s">
        <v>96</v>
      </c>
      <c r="I8" t="s">
        <v>204</v>
      </c>
      <c r="J8" s="2">
        <f>IF(COUNT('Turns'!D5)=1,SUM('Turns'!D5),"Unknown")</f>
        <v>412.0</v>
      </c>
      <c r="K8" s="2">
        <f>IF(COUNT('Turns'!E5)=1,SUM('Turns'!E5),"Unknown")</f>
        <v>7.1883288e-05</v>
      </c>
      <c r="L8" s="2">
        <f>IF(COUNT('Turns'!F5)=1,SUM('Turns'!F5),"Unknown")</f>
        <v>8.24e-05</v>
      </c>
      <c r="M8" s="2">
        <v>0</v>
      </c>
      <c r="N8" s="2">
        <v>0</v>
      </c>
      <c r="O8" s="2">
        <v>0</v>
      </c>
      <c r="P8" s="2">
        <v>0</v>
      </c>
      <c r="Q8" s="2">
        <v>0</v>
      </c>
      <c r="R8" s="2">
        <v>0</v>
      </c>
      <c r="S8" s="2">
        <f>IF(COUNT('Turns'!D13)=1,SUM('Turns'!D13),"Unknown")</f>
        <v>100.0</v>
      </c>
      <c r="T8" s="2">
        <f>IF(COUNT('Turns'!E13)=1,SUM('Turns'!E13),"Unknown")</f>
        <v>0.0001046844</v>
      </c>
      <c r="U8" s="2">
        <f>IF(COUNT('Turns'!F13)=1,SUM('Turns'!F13),"Unknown")</f>
        <v>0.00012</v>
      </c>
      <c r="V8" s="2">
        <f>IF(COUNT('Turns'!D12)=1,SUM('Turns'!D12),"Unknown")</f>
        <v>34.0</v>
      </c>
      <c r="W8" s="2">
        <f>IF(COUNT('Turns'!E12)=1,SUM('Turns'!E12),"Unknown")</f>
        <v>3.5592696e-05</v>
      </c>
      <c r="X8" s="2">
        <f>IF(COUNT('Turns'!F12)=1,SUM('Turns'!F12),"Unknown")</f>
        <v>4.08e-05</v>
      </c>
      <c r="Y8" s="2">
        <f>IF(COUNT('Turns'!E17)=1,SUM('Turns'!E17),"Unknown")</f>
        <v>0.000212160384</v>
      </c>
      <c r="Z8" s="2">
        <f>IF(COUNT('Turns'!F17)=1,SUM('Turns'!F17),"Unknown")</f>
        <v>0.0002432</v>
      </c>
      <c r="AA8" s="5">
        <f>IF(ISNUMBER(Y8),ROUND(Y8*'Reference data'!$B$2,0),"Unknown")</f>
        <v>21.0</v>
      </c>
      <c r="AB8" s="5">
        <f>IF(ISNUMBER(Z8),ROUND(Z8*'Reference data'!$B$2,0),"Unknown")</f>
        <v>24.0</v>
      </c>
      <c r="AC8" s="1" t="s">
        <v>93</v>
      </c>
      <c r="AD8" s="1">
        <v>2475.708</v>
      </c>
      <c r="AE8" s="1" t="s">
        <v>208</v>
      </c>
    </row>
    <row r="9" spans="1:31" ht="54" customHeight="1">
      <c r="A9" s="6" t="s">
        <v>209</v>
      </c>
      <c r="B9" s="1">
        <v>1</v>
      </c>
      <c r="C9" s="1" t="s">
        <v>186</v>
      </c>
      <c r="D9" s="1" t="s">
        <v>47</v>
      </c>
      <c r="E9" s="1" t="s">
        <v>111</v>
      </c>
      <c r="G9" s="6" t="s">
        <v>210</v>
      </c>
      <c r="H9" t="s">
        <v>211</v>
      </c>
      <c r="I9" t="s">
        <v>49</v>
      </c>
      <c r="J9" s="2">
        <f>IF(COUNT('Turns'!D19,'Turns'!D31,'Turns'!D47,'Turns'!D63,'Turns'!D77,'Turns'!D90,'Turns'!D101)=7,SUM('Turns'!D19,'Turns'!D31,'Turns'!D47,'Turns'!D63,'Turns'!D77,'Turns'!D90,'Turns'!D101),"Unknown")</f>
        <v>4244.0</v>
      </c>
      <c r="K9" s="2">
        <f>IF(COUNT('Turns'!E19,'Turns'!E31,'Turns'!E47,'Turns'!E63,'Turns'!E77,'Turns'!E90,'Turns'!E101)=7,SUM('Turns'!E19,'Turns'!E31,'Turns'!E47,'Turns'!E63,'Turns'!E77,'Turns'!E90,'Turns'!E101),"Unknown")</f>
        <v>0.000740467656</v>
      </c>
      <c r="L9" s="2">
        <f>IF(COUNT('Turns'!F19,'Turns'!F31,'Turns'!F47,'Turns'!F63,'Turns'!F77,'Turns'!F90,'Turns'!F101)=7,SUM('Turns'!F19,'Turns'!F31,'Turns'!F47,'Turns'!F63,'Turns'!F77,'Turns'!F90,'Turns'!F101),"Unknown")</f>
        <v>0.0008488</v>
      </c>
      <c r="M9" s="2">
        <f>IF(COUNT('Turns'!D76,'Turns'!D89,'Turns'!D100)=3,SUM('Turns'!D76,'Turns'!D89,'Turns'!D100),"Unknown")</f>
        <v>0.0</v>
      </c>
      <c r="N9" s="2">
        <f>IF(COUNT('Turns'!E76,'Turns'!E89,'Turns'!E100)=3,SUM('Turns'!E76,'Turns'!E89,'Turns'!E100),"Unknown")</f>
        <v>0.0</v>
      </c>
      <c r="O9" s="2">
        <f>IF(COUNT('Turns'!F76,'Turns'!F89,'Turns'!F100)=3,SUM('Turns'!F76,'Turns'!F89,'Turns'!F100),"Unknown")</f>
        <v>0.0</v>
      </c>
      <c r="P9" s="2">
        <v>0</v>
      </c>
      <c r="Q9" s="2">
        <v>0</v>
      </c>
      <c r="R9" s="2">
        <v>0</v>
      </c>
      <c r="S9" s="2">
        <f>IF(COUNT('Turns'!D25,'Turns'!D38,'Turns'!D54,'Turns'!D70,'Turns'!D83,'Turns'!D94,'Turns'!D107)=7,SUM('Turns'!D25,'Turns'!D38,'Turns'!D54,'Turns'!D70,'Turns'!D83,'Turns'!D94,'Turns'!D107),"Unknown")</f>
        <v>995.0</v>
      </c>
      <c r="T9" s="2">
        <f>IF(COUNT('Turns'!E25,'Turns'!E38,'Turns'!E54,'Turns'!E70,'Turns'!E83,'Turns'!E94,'Turns'!E107)=7,SUM('Turns'!E25,'Turns'!E38,'Turns'!E54,'Turns'!E70,'Turns'!E83,'Turns'!E94,'Turns'!E107),"Unknown")</f>
        <v>0.00104160978</v>
      </c>
      <c r="U9" s="2">
        <f>IF(COUNT('Turns'!F25,'Turns'!F38,'Turns'!F54,'Turns'!F70,'Turns'!F83,'Turns'!F94,'Turns'!F107)=7,SUM('Turns'!F25,'Turns'!F38,'Turns'!F54,'Turns'!F70,'Turns'!F83,'Turns'!F94,'Turns'!F107),"Unknown")</f>
        <v>0.001194</v>
      </c>
      <c r="V9" s="2">
        <f>IF(COUNT('Turns'!D37,'Turns'!D53,'Turns'!D69,'Turns'!D82,'Turns'!D106)=5,SUM('Turns'!D37,'Turns'!D53,'Turns'!D69,'Turns'!D82,'Turns'!D106),"Unknown")</f>
        <v>279.0</v>
      </c>
      <c r="W9" s="2">
        <f>IF(COUNT('Turns'!E37,'Turns'!E53,'Turns'!E69,'Turns'!E82,'Turns'!E106)=5,SUM('Turns'!E37,'Turns'!E53,'Turns'!E69,'Turns'!E82,'Turns'!E106),"Unknown")</f>
        <v>0.000292069476</v>
      </c>
      <c r="X9" s="2">
        <f>IF(COUNT('Turns'!F37,'Turns'!F53,'Turns'!F69,'Turns'!F82,'Turns'!F106)=5,SUM('Turns'!F37,'Turns'!F53,'Turns'!F69,'Turns'!F82,'Turns'!F106),"Unknown")</f>
        <v>0.0003348</v>
      </c>
      <c r="Y9" s="2">
        <f>IF(COUNT('Turns'!E29,'Turns'!E42,'Turns'!E58,'Turns'!E74,'Turns'!E87,'Turns'!E98,'Turns'!E111)=7,SUM('Turns'!E29,'Turns'!E42,'Turns'!E58,'Turns'!E74,'Turns'!E87,'Turns'!E98,'Turns'!E111),"Unknown")</f>
        <v>0.002074146912</v>
      </c>
      <c r="Z9" s="2">
        <f>IF(COUNT('Turns'!F29,'Turns'!F42,'Turns'!F58,'Turns'!F74,'Turns'!F87,'Turns'!F98,'Turns'!F111)=7,SUM('Turns'!F29,'Turns'!F42,'Turns'!F58,'Turns'!F74,'Turns'!F87,'Turns'!F98,'Turns'!F111),"Unknown")</f>
        <v>0.0023776</v>
      </c>
      <c r="AA9" s="5">
        <f>IF(ISNUMBER(Y9),ROUND(Y9*'Reference data'!$B$2,0),"Unknown")</f>
        <v>207.0</v>
      </c>
      <c r="AB9" s="5">
        <f>IF(ISNUMBER(Z9),ROUND(Z9*'Reference data'!$B$2,0),"Unknown")</f>
        <v>238.0</v>
      </c>
      <c r="AD9" s="1">
        <v>17945.246</v>
      </c>
      <c r="AE9" s="1" t="s">
        <v>188</v>
      </c>
    </row>
    <row r="10" spans="1:31" ht="54" customHeight="1">
      <c r="A10" s="6" t="s">
        <v>192</v>
      </c>
      <c r="B10" s="1">
        <v>2</v>
      </c>
      <c r="C10" s="1" t="s">
        <v>186</v>
      </c>
      <c r="D10" s="1" t="s">
        <v>47</v>
      </c>
      <c r="E10" s="1" t="s">
        <v>111</v>
      </c>
      <c r="G10" s="6" t="s">
        <v>193</v>
      </c>
      <c r="H10" t="s">
        <v>212</v>
      </c>
      <c r="I10" t="s">
        <v>211</v>
      </c>
      <c r="J10" s="2">
        <f>IF(COUNT('Turns'!D19,'Turns'!D31,'Turns'!D47,'Turns'!D63,'Turns'!D77,'Turns'!D90,'Turns'!D101)=7,SUM('Turns'!D19,'Turns'!D31,'Turns'!D47,'Turns'!D63,'Turns'!D77,'Turns'!D90,'Turns'!D101),"Unknown")</f>
        <v>4244.0</v>
      </c>
      <c r="K10" s="2">
        <f>IF(COUNT('Turns'!E19,'Turns'!E31,'Turns'!E47,'Turns'!E63,'Turns'!E77,'Turns'!E90,'Turns'!E101)=7,SUM('Turns'!E19,'Turns'!E31,'Turns'!E47,'Turns'!E63,'Turns'!E77,'Turns'!E90,'Turns'!E101),"Unknown")</f>
        <v>0.000740467656</v>
      </c>
      <c r="L10" s="2">
        <f>IF(COUNT('Turns'!F19,'Turns'!F31,'Turns'!F47,'Turns'!F63,'Turns'!F77,'Turns'!F90,'Turns'!F101)=7,SUM('Turns'!F19,'Turns'!F31,'Turns'!F47,'Turns'!F63,'Turns'!F77,'Turns'!F90,'Turns'!F101),"Unknown")</f>
        <v>0.0008488</v>
      </c>
      <c r="M10" s="2">
        <f>IF(COUNT('Turns'!D76,'Turns'!D89,'Turns'!D100)=3,SUM('Turns'!D76,'Turns'!D89,'Turns'!D100),"Unknown")</f>
        <v>0.0</v>
      </c>
      <c r="N10" s="2">
        <f>IF(COUNT('Turns'!E76,'Turns'!E89,'Turns'!E100)=3,SUM('Turns'!E76,'Turns'!E89,'Turns'!E100),"Unknown")</f>
        <v>0.0</v>
      </c>
      <c r="O10" s="2">
        <f>IF(COUNT('Turns'!F76,'Turns'!F89,'Turns'!F100)=3,SUM('Turns'!F76,'Turns'!F89,'Turns'!F100),"Unknown")</f>
        <v>0.0</v>
      </c>
      <c r="P10" s="2">
        <v>0</v>
      </c>
      <c r="Q10" s="2">
        <v>0</v>
      </c>
      <c r="R10" s="2">
        <v>0</v>
      </c>
      <c r="S10" s="2">
        <f>IF(COUNT('Turns'!D25,'Turns'!D38,'Turns'!D54,'Turns'!D70,'Turns'!D83,'Turns'!D94,'Turns'!D107)=7,SUM('Turns'!D25,'Turns'!D38,'Turns'!D54,'Turns'!D70,'Turns'!D83,'Turns'!D94,'Turns'!D107),"Unknown")</f>
        <v>995.0</v>
      </c>
      <c r="T10" s="2">
        <f>IF(COUNT('Turns'!E25,'Turns'!E38,'Turns'!E54,'Turns'!E70,'Turns'!E83,'Turns'!E94,'Turns'!E107)=7,SUM('Turns'!E25,'Turns'!E38,'Turns'!E54,'Turns'!E70,'Turns'!E83,'Turns'!E94,'Turns'!E107),"Unknown")</f>
        <v>0.00104160978</v>
      </c>
      <c r="U10" s="2">
        <f>IF(COUNT('Turns'!F25,'Turns'!F38,'Turns'!F54,'Turns'!F70,'Turns'!F83,'Turns'!F94,'Turns'!F107)=7,SUM('Turns'!F25,'Turns'!F38,'Turns'!F54,'Turns'!F70,'Turns'!F83,'Turns'!F94,'Turns'!F107),"Unknown")</f>
        <v>0.001194</v>
      </c>
      <c r="V10" s="2">
        <f>IF(COUNT('Turns'!D37,'Turns'!D53,'Turns'!D69,'Turns'!D82,'Turns'!D106)=5,SUM('Turns'!D37,'Turns'!D53,'Turns'!D69,'Turns'!D82,'Turns'!D106),"Unknown")</f>
        <v>279.0</v>
      </c>
      <c r="W10" s="2">
        <f>IF(COUNT('Turns'!E37,'Turns'!E53,'Turns'!E69,'Turns'!E82,'Turns'!E106)=5,SUM('Turns'!E37,'Turns'!E53,'Turns'!E69,'Turns'!E82,'Turns'!E106),"Unknown")</f>
        <v>0.000292069476</v>
      </c>
      <c r="X10" s="2">
        <f>IF(COUNT('Turns'!F37,'Turns'!F53,'Turns'!F69,'Turns'!F82,'Turns'!F106)=5,SUM('Turns'!F37,'Turns'!F53,'Turns'!F69,'Turns'!F82,'Turns'!F106),"Unknown")</f>
        <v>0.0003348</v>
      </c>
      <c r="Y10" s="2">
        <f>IF(COUNT('Turns'!E29,'Turns'!E42,'Turns'!E58,'Turns'!E74,'Turns'!E87,'Turns'!E98,'Turns'!E111)=7,SUM('Turns'!E29,'Turns'!E42,'Turns'!E58,'Turns'!E74,'Turns'!E87,'Turns'!E98,'Turns'!E111),"Unknown")</f>
        <v>0.002074146912</v>
      </c>
      <c r="Z10" s="2">
        <f>IF(COUNT('Turns'!F29,'Turns'!F42,'Turns'!F58,'Turns'!F74,'Turns'!F87,'Turns'!F98,'Turns'!F111)=7,SUM('Turns'!F29,'Turns'!F42,'Turns'!F58,'Turns'!F74,'Turns'!F87,'Turns'!F98,'Turns'!F111),"Unknown")</f>
        <v>0.0023776</v>
      </c>
      <c r="AA10" s="5">
        <f>IF(ISNUMBER(Y10),ROUND(Y10*'Reference data'!$B$2,0),"Unknown")</f>
        <v>207.0</v>
      </c>
      <c r="AB10" s="5">
        <f>IF(ISNUMBER(Z10),ROUND(Z10*'Reference data'!$B$2,0),"Unknown")</f>
        <v>238.0</v>
      </c>
      <c r="AD10" s="1">
        <v>17943.641</v>
      </c>
      <c r="AE10" s="1" t="s">
        <v>188</v>
      </c>
    </row>
    <row r="11" spans="1:31" ht="54" customHeight="1">
      <c r="A11" s="6" t="s">
        <v>213</v>
      </c>
      <c r="B11" s="1">
        <v>3</v>
      </c>
      <c r="C11" s="1" t="s">
        <v>186</v>
      </c>
      <c r="D11" s="1" t="s">
        <v>47</v>
      </c>
      <c r="E11" s="1" t="s">
        <v>111</v>
      </c>
      <c r="G11" s="6" t="s">
        <v>214</v>
      </c>
      <c r="H11" t="s">
        <v>215</v>
      </c>
      <c r="I11" t="s">
        <v>212</v>
      </c>
      <c r="J11" s="2">
        <f>IF(COUNT('Turns'!D19,'Turns'!D31,'Turns'!D47,'Turns'!D63,'Turns'!D77,'Turns'!D90,'Turns'!D101)=7,SUM('Turns'!D19,'Turns'!D31,'Turns'!D47,'Turns'!D63,'Turns'!D77,'Turns'!D90,'Turns'!D101),"Unknown")</f>
        <v>4244.0</v>
      </c>
      <c r="K11" s="2">
        <f>IF(COUNT('Turns'!E19,'Turns'!E31,'Turns'!E47,'Turns'!E63,'Turns'!E77,'Turns'!E90,'Turns'!E101)=7,SUM('Turns'!E19,'Turns'!E31,'Turns'!E47,'Turns'!E63,'Turns'!E77,'Turns'!E90,'Turns'!E101),"Unknown")</f>
        <v>0.000740467656</v>
      </c>
      <c r="L11" s="2">
        <f>IF(COUNT('Turns'!F19,'Turns'!F31,'Turns'!F47,'Turns'!F63,'Turns'!F77,'Turns'!F90,'Turns'!F101)=7,SUM('Turns'!F19,'Turns'!F31,'Turns'!F47,'Turns'!F63,'Turns'!F77,'Turns'!F90,'Turns'!F101),"Unknown")</f>
        <v>0.0008488</v>
      </c>
      <c r="M11" s="2">
        <f>IF(COUNT('Turns'!D76,'Turns'!D89,'Turns'!D100)=3,SUM('Turns'!D76,'Turns'!D89,'Turns'!D100),"Unknown")</f>
        <v>0.0</v>
      </c>
      <c r="N11" s="2">
        <f>IF(COUNT('Turns'!E76,'Turns'!E89,'Turns'!E100)=3,SUM('Turns'!E76,'Turns'!E89,'Turns'!E100),"Unknown")</f>
        <v>0.0</v>
      </c>
      <c r="O11" s="2">
        <f>IF(COUNT('Turns'!F76,'Turns'!F89,'Turns'!F100)=3,SUM('Turns'!F76,'Turns'!F89,'Turns'!F100),"Unknown")</f>
        <v>0.0</v>
      </c>
      <c r="P11" s="2">
        <v>0</v>
      </c>
      <c r="Q11" s="2">
        <v>0</v>
      </c>
      <c r="R11" s="2">
        <v>0</v>
      </c>
      <c r="S11" s="2">
        <f>IF(COUNT('Turns'!D25,'Turns'!D38,'Turns'!D54,'Turns'!D70,'Turns'!D83,'Turns'!D94,'Turns'!D107)=7,SUM('Turns'!D25,'Turns'!D38,'Turns'!D54,'Turns'!D70,'Turns'!D83,'Turns'!D94,'Turns'!D107),"Unknown")</f>
        <v>995.0</v>
      </c>
      <c r="T11" s="2">
        <f>IF(COUNT('Turns'!E25,'Turns'!E38,'Turns'!E54,'Turns'!E70,'Turns'!E83,'Turns'!E94,'Turns'!E107)=7,SUM('Turns'!E25,'Turns'!E38,'Turns'!E54,'Turns'!E70,'Turns'!E83,'Turns'!E94,'Turns'!E107),"Unknown")</f>
        <v>0.00104160978</v>
      </c>
      <c r="U11" s="2">
        <f>IF(COUNT('Turns'!F25,'Turns'!F38,'Turns'!F54,'Turns'!F70,'Turns'!F83,'Turns'!F94,'Turns'!F107)=7,SUM('Turns'!F25,'Turns'!F38,'Turns'!F54,'Turns'!F70,'Turns'!F83,'Turns'!F94,'Turns'!F107),"Unknown")</f>
        <v>0.001194</v>
      </c>
      <c r="V11" s="2">
        <f>IF(COUNT('Turns'!D37,'Turns'!D53,'Turns'!D69,'Turns'!D82,'Turns'!D106)=5,SUM('Turns'!D37,'Turns'!D53,'Turns'!D69,'Turns'!D82,'Turns'!D106),"Unknown")</f>
        <v>279.0</v>
      </c>
      <c r="W11" s="2">
        <f>IF(COUNT('Turns'!E37,'Turns'!E53,'Turns'!E69,'Turns'!E82,'Turns'!E106)=5,SUM('Turns'!E37,'Turns'!E53,'Turns'!E69,'Turns'!E82,'Turns'!E106),"Unknown")</f>
        <v>0.000292069476</v>
      </c>
      <c r="X11" s="2">
        <f>IF(COUNT('Turns'!F37,'Turns'!F53,'Turns'!F69,'Turns'!F82,'Turns'!F106)=5,SUM('Turns'!F37,'Turns'!F53,'Turns'!F69,'Turns'!F82,'Turns'!F106),"Unknown")</f>
        <v>0.0003348</v>
      </c>
      <c r="Y11" s="2">
        <f>IF(COUNT('Turns'!E29,'Turns'!E42,'Turns'!E58,'Turns'!E74,'Turns'!E87,'Turns'!E98,'Turns'!E111)=7,SUM('Turns'!E29,'Turns'!E42,'Turns'!E58,'Turns'!E74,'Turns'!E87,'Turns'!E98,'Turns'!E111),"Unknown")</f>
        <v>0.002074146912</v>
      </c>
      <c r="Z11" s="2">
        <f>IF(COUNT('Turns'!F29,'Turns'!F42,'Turns'!F58,'Turns'!F74,'Turns'!F87,'Turns'!F98,'Turns'!F111)=7,SUM('Turns'!F29,'Turns'!F42,'Turns'!F58,'Turns'!F74,'Turns'!F87,'Turns'!F98,'Turns'!F111),"Unknown")</f>
        <v>0.0023776</v>
      </c>
      <c r="AA11" s="5">
        <f>IF(ISNUMBER(Y11),ROUND(Y11*'Reference data'!$B$2,0),"Unknown")</f>
        <v>207.0</v>
      </c>
      <c r="AB11" s="5">
        <f>IF(ISNUMBER(Z11),ROUND(Z11*'Reference data'!$B$2,0),"Unknown")</f>
        <v>238.0</v>
      </c>
      <c r="AD11" s="1">
        <v>17942.078</v>
      </c>
      <c r="AE11" s="1" t="s">
        <v>188</v>
      </c>
    </row>
    <row r="12" spans="1:31" ht="54" customHeight="1">
      <c r="A12" s="6" t="s">
        <v>198</v>
      </c>
      <c r="B12" s="1">
        <v>4</v>
      </c>
      <c r="C12" s="1" t="s">
        <v>186</v>
      </c>
      <c r="D12" s="1" t="s">
        <v>47</v>
      </c>
      <c r="E12" s="1" t="s">
        <v>111</v>
      </c>
      <c r="G12" s="6" t="s">
        <v>199</v>
      </c>
      <c r="H12" t="s">
        <v>216</v>
      </c>
      <c r="I12" t="s">
        <v>215</v>
      </c>
      <c r="J12" s="2">
        <f>IF(COUNT('Turns'!D19)=1,SUM('Turns'!D19),"Unknown")</f>
        <v>867.0</v>
      </c>
      <c r="K12" s="2">
        <f>IF(COUNT('Turns'!E19)=1,SUM('Turns'!E19),"Unknown")</f>
        <v>0.000151268958</v>
      </c>
      <c r="L12" s="2">
        <f>IF(COUNT('Turns'!F19)=1,SUM('Turns'!F19),"Unknown")</f>
        <v>0.0001734</v>
      </c>
      <c r="M12" s="2">
        <v>0</v>
      </c>
      <c r="N12" s="2">
        <v>0</v>
      </c>
      <c r="O12" s="2">
        <v>0</v>
      </c>
      <c r="P12" s="2">
        <v>0</v>
      </c>
      <c r="Q12" s="2">
        <v>0</v>
      </c>
      <c r="R12" s="2">
        <v>0</v>
      </c>
      <c r="S12" s="2">
        <f>IF(COUNT('Turns'!D25)=1,SUM('Turns'!D25),"Unknown")</f>
        <v>110.0</v>
      </c>
      <c r="T12" s="2">
        <f>IF(COUNT('Turns'!E25)=1,SUM('Turns'!E25),"Unknown")</f>
        <v>0.00011515284</v>
      </c>
      <c r="U12" s="2">
        <f>IF(COUNT('Turns'!F25)=1,SUM('Turns'!F25),"Unknown")</f>
        <v>0.000132</v>
      </c>
      <c r="V12" s="2">
        <v>0</v>
      </c>
      <c r="W12" s="2">
        <v>0</v>
      </c>
      <c r="X12" s="2">
        <v>0</v>
      </c>
      <c r="Y12" s="2">
        <f>IF(COUNT('Turns'!E29)=1,SUM('Turns'!E29),"Unknown")</f>
        <v>0.000266421798</v>
      </c>
      <c r="Z12" s="2">
        <f>IF(COUNT('Turns'!F29)=1,SUM('Turns'!F29),"Unknown")</f>
        <v>0.0003054</v>
      </c>
      <c r="AA12" s="5">
        <f>IF(ISNUMBER(Y12),ROUND(Y12*'Reference data'!$B$2,0),"Unknown")</f>
        <v>27.0</v>
      </c>
      <c r="AB12" s="5">
        <f>IF(ISNUMBER(Z12),ROUND(Z12*'Reference data'!$B$2,0),"Unknown")</f>
        <v>31.0</v>
      </c>
      <c r="AD12" s="1">
        <v>2078.795</v>
      </c>
      <c r="AE12" s="1" t="s">
        <v>188</v>
      </c>
    </row>
    <row r="13" spans="1:31" ht="54" customHeight="1">
      <c r="A13" s="6" t="s">
        <v>205</v>
      </c>
      <c r="B13" s="1">
        <v>5</v>
      </c>
      <c r="C13" s="1" t="s">
        <v>186</v>
      </c>
      <c r="D13" s="1" t="s">
        <v>47</v>
      </c>
      <c r="E13" s="1" t="s">
        <v>111</v>
      </c>
      <c r="G13" s="6" t="s">
        <v>217</v>
      </c>
      <c r="H13" t="s">
        <v>218</v>
      </c>
      <c r="I13" t="s">
        <v>216</v>
      </c>
      <c r="J13" s="2">
        <f>IF(COUNT('Turns'!D19)=1,SUM('Turns'!D19),"Unknown")</f>
        <v>867.0</v>
      </c>
      <c r="K13" s="2">
        <f>IF(COUNT('Turns'!E19)=1,SUM('Turns'!E19),"Unknown")</f>
        <v>0.000151268958</v>
      </c>
      <c r="L13" s="2">
        <f>IF(COUNT('Turns'!F19)=1,SUM('Turns'!F19),"Unknown")</f>
        <v>0.0001734</v>
      </c>
      <c r="M13" s="2">
        <v>0</v>
      </c>
      <c r="N13" s="2">
        <v>0</v>
      </c>
      <c r="O13" s="2">
        <v>0</v>
      </c>
      <c r="P13" s="2">
        <v>0</v>
      </c>
      <c r="Q13" s="2">
        <v>0</v>
      </c>
      <c r="R13" s="2">
        <v>0</v>
      </c>
      <c r="S13" s="2">
        <f>IF(COUNT('Turns'!D25)=1,SUM('Turns'!D25),"Unknown")</f>
        <v>110.0</v>
      </c>
      <c r="T13" s="2">
        <f>IF(COUNT('Turns'!E25)=1,SUM('Turns'!E25),"Unknown")</f>
        <v>0.00011515284</v>
      </c>
      <c r="U13" s="2">
        <f>IF(COUNT('Turns'!F25)=1,SUM('Turns'!F25),"Unknown")</f>
        <v>0.000132</v>
      </c>
      <c r="V13" s="2">
        <v>0</v>
      </c>
      <c r="W13" s="2">
        <v>0</v>
      </c>
      <c r="X13" s="2">
        <v>0</v>
      </c>
      <c r="Y13" s="2">
        <f>IF(COUNT('Turns'!E29)=1,SUM('Turns'!E29),"Unknown")</f>
        <v>0.000266421798</v>
      </c>
      <c r="Z13" s="2">
        <f>IF(COUNT('Turns'!F29)=1,SUM('Turns'!F29),"Unknown")</f>
        <v>0.0003054</v>
      </c>
      <c r="AA13" s="5">
        <f>IF(ISNUMBER(Y13),ROUND(Y13*'Reference data'!$B$2,0),"Unknown")</f>
        <v>27.0</v>
      </c>
      <c r="AB13" s="5">
        <f>IF(ISNUMBER(Z13),ROUND(Z13*'Reference data'!$B$2,0),"Unknown")</f>
        <v>31.0</v>
      </c>
      <c r="AD13" s="1">
        <v>2077.534</v>
      </c>
      <c r="AE13" s="1" t="s">
        <v>188</v>
      </c>
    </row>
    <row r="14" spans="1:31" ht="54" customHeight="1">
      <c r="A14" s="6" t="s">
        <v>219</v>
      </c>
      <c r="B14" s="1">
        <v>6</v>
      </c>
      <c r="C14" s="1" t="s">
        <v>206</v>
      </c>
      <c r="D14" s="1" t="s">
        <v>95</v>
      </c>
      <c r="E14" s="1" t="s">
        <v>111</v>
      </c>
      <c r="F14" s="1">
        <v>867</v>
      </c>
      <c r="G14" s="6" t="s">
        <v>207</v>
      </c>
      <c r="H14" t="s">
        <v>113</v>
      </c>
      <c r="I14" t="s">
        <v>218</v>
      </c>
      <c r="J14" s="2">
        <f>IF(COUNT('Turns'!D19)=1,SUM('Turns'!D19),"Unknown")</f>
        <v>867.0</v>
      </c>
      <c r="K14" s="2">
        <f>IF(COUNT('Turns'!E19)=1,SUM('Turns'!E19),"Unknown")</f>
        <v>0.000151268958</v>
      </c>
      <c r="L14" s="2">
        <f>IF(COUNT('Turns'!F19)=1,SUM('Turns'!F19),"Unknown")</f>
        <v>0.0001734</v>
      </c>
      <c r="M14" s="2">
        <v>0</v>
      </c>
      <c r="N14" s="2">
        <v>0</v>
      </c>
      <c r="O14" s="2">
        <v>0</v>
      </c>
      <c r="P14" s="2">
        <v>0</v>
      </c>
      <c r="Q14" s="2">
        <v>0</v>
      </c>
      <c r="R14" s="2">
        <v>0</v>
      </c>
      <c r="S14" s="2">
        <f>IF(COUNT('Turns'!D25)=1,SUM('Turns'!D25),"Unknown")</f>
        <v>110.0</v>
      </c>
      <c r="T14" s="2">
        <f>IF(COUNT('Turns'!E25)=1,SUM('Turns'!E25),"Unknown")</f>
        <v>0.00011515284</v>
      </c>
      <c r="U14" s="2">
        <f>IF(COUNT('Turns'!F25)=1,SUM('Turns'!F25),"Unknown")</f>
        <v>0.000132</v>
      </c>
      <c r="V14" s="2">
        <v>0</v>
      </c>
      <c r="W14" s="2">
        <v>0</v>
      </c>
      <c r="X14" s="2">
        <v>0</v>
      </c>
      <c r="Y14" s="2">
        <f>IF(COUNT('Turns'!E29)=1,SUM('Turns'!E29),"Unknown")</f>
        <v>0.000266421798</v>
      </c>
      <c r="Z14" s="2">
        <f>IF(COUNT('Turns'!F29)=1,SUM('Turns'!F29),"Unknown")</f>
        <v>0.0003054</v>
      </c>
      <c r="AA14" s="5">
        <f>IF(ISNUMBER(Y14),ROUND(Y14*'Reference data'!$B$2,0),"Unknown")</f>
        <v>27.0</v>
      </c>
      <c r="AB14" s="5">
        <f>IF(ISNUMBER(Z14),ROUND(Z14*'Reference data'!$B$2,0),"Unknown")</f>
        <v>31.0</v>
      </c>
      <c r="AC14" s="1" t="s">
        <v>112</v>
      </c>
      <c r="AD14" s="1">
        <v>2075.574</v>
      </c>
      <c r="AE14" s="1" t="s">
        <v>208</v>
      </c>
    </row>
    <row r="15" spans="1:31" ht="54" customHeight="1">
      <c r="A15" s="6" t="s">
        <v>202</v>
      </c>
      <c r="B15" s="1">
        <v>4</v>
      </c>
      <c r="C15" s="1" t="s">
        <v>186</v>
      </c>
      <c r="D15" s="1" t="s">
        <v>47</v>
      </c>
      <c r="E15" s="1" t="s">
        <v>111</v>
      </c>
      <c r="G15" s="6" t="s">
        <v>203</v>
      </c>
      <c r="H15" t="s">
        <v>220</v>
      </c>
      <c r="I15" t="s">
        <v>215</v>
      </c>
      <c r="J15" s="2">
        <f>IF(COUNT('Turns'!D31)=1,SUM('Turns'!D31),"Unknown")</f>
        <v>625.0</v>
      </c>
      <c r="K15" s="2">
        <f>IF(COUNT('Turns'!E31)=1,SUM('Turns'!E31),"Unknown")</f>
        <v>0.00010904625</v>
      </c>
      <c r="L15" s="2">
        <f>IF(COUNT('Turns'!F31)=1,SUM('Turns'!F31),"Unknown")</f>
        <v>0.000125</v>
      </c>
      <c r="M15" s="2">
        <v>0</v>
      </c>
      <c r="N15" s="2">
        <v>0</v>
      </c>
      <c r="O15" s="2">
        <v>0</v>
      </c>
      <c r="P15" s="2">
        <v>0</v>
      </c>
      <c r="Q15" s="2">
        <v>0</v>
      </c>
      <c r="R15" s="2">
        <v>0</v>
      </c>
      <c r="S15" s="2">
        <f>IF(COUNT('Turns'!D38)=1,SUM('Turns'!D38),"Unknown")</f>
        <v>114.0</v>
      </c>
      <c r="T15" s="2">
        <f>IF(COUNT('Turns'!E38)=1,SUM('Turns'!E38),"Unknown")</f>
        <v>0.000119340216</v>
      </c>
      <c r="U15" s="2">
        <f>IF(COUNT('Turns'!F38)=1,SUM('Turns'!F38),"Unknown")</f>
        <v>0.0001368</v>
      </c>
      <c r="V15" s="2">
        <f>IF(COUNT('Turns'!D37)=1,SUM('Turns'!D37),"Unknown")</f>
        <v>26.0</v>
      </c>
      <c r="W15" s="2">
        <f>IF(COUNT('Turns'!E37)=1,SUM('Turns'!E37),"Unknown")</f>
        <v>2.7217944e-05</v>
      </c>
      <c r="X15" s="2">
        <f>IF(COUNT('Turns'!F37)=1,SUM('Turns'!F37),"Unknown")</f>
        <v>3.12e-05</v>
      </c>
      <c r="Y15" s="2">
        <f>IF(COUNT('Turns'!E42)=1,SUM('Turns'!E42),"Unknown")</f>
        <v>0.00025560441</v>
      </c>
      <c r="Z15" s="2">
        <f>IF(COUNT('Turns'!F42)=1,SUM('Turns'!F42),"Unknown")</f>
        <v>0.000293</v>
      </c>
      <c r="AA15" s="5">
        <f>IF(ISNUMBER(Y15),ROUND(Y15*'Reference data'!$B$2,0),"Unknown")</f>
        <v>26.0</v>
      </c>
      <c r="AB15" s="5">
        <f>IF(ISNUMBER(Z15),ROUND(Z15*'Reference data'!$B$2,0),"Unknown")</f>
        <v>29.0</v>
      </c>
      <c r="AD15" s="1">
        <v>2021.872</v>
      </c>
      <c r="AE15" s="1" t="s">
        <v>188</v>
      </c>
    </row>
    <row r="16" spans="1:31" ht="54" customHeight="1">
      <c r="A16" s="6" t="s">
        <v>205</v>
      </c>
      <c r="B16" s="1">
        <v>5</v>
      </c>
      <c r="C16" s="1" t="s">
        <v>206</v>
      </c>
      <c r="D16" s="1" t="s">
        <v>95</v>
      </c>
      <c r="E16" s="1" t="s">
        <v>111</v>
      </c>
      <c r="F16" s="1">
        <v>625</v>
      </c>
      <c r="G16" s="6" t="s">
        <v>207</v>
      </c>
      <c r="H16" t="s">
        <v>117</v>
      </c>
      <c r="I16" t="s">
        <v>220</v>
      </c>
      <c r="J16" s="2">
        <f>IF(COUNT('Turns'!D31)=1,SUM('Turns'!D31),"Unknown")</f>
        <v>625.0</v>
      </c>
      <c r="K16" s="2">
        <f>IF(COUNT('Turns'!E31)=1,SUM('Turns'!E31),"Unknown")</f>
        <v>0.00010904625</v>
      </c>
      <c r="L16" s="2">
        <f>IF(COUNT('Turns'!F31)=1,SUM('Turns'!F31),"Unknown")</f>
        <v>0.000125</v>
      </c>
      <c r="M16" s="2">
        <v>0</v>
      </c>
      <c r="N16" s="2">
        <v>0</v>
      </c>
      <c r="O16" s="2">
        <v>0</v>
      </c>
      <c r="P16" s="2">
        <v>0</v>
      </c>
      <c r="Q16" s="2">
        <v>0</v>
      </c>
      <c r="R16" s="2">
        <v>0</v>
      </c>
      <c r="S16" s="2">
        <f>IF(COUNT('Turns'!D38)=1,SUM('Turns'!D38),"Unknown")</f>
        <v>114.0</v>
      </c>
      <c r="T16" s="2">
        <f>IF(COUNT('Turns'!E38)=1,SUM('Turns'!E38),"Unknown")</f>
        <v>0.000119340216</v>
      </c>
      <c r="U16" s="2">
        <f>IF(COUNT('Turns'!F38)=1,SUM('Turns'!F38),"Unknown")</f>
        <v>0.0001368</v>
      </c>
      <c r="V16" s="2">
        <f>IF(COUNT('Turns'!D37)=1,SUM('Turns'!D37),"Unknown")</f>
        <v>26.0</v>
      </c>
      <c r="W16" s="2">
        <f>IF(COUNT('Turns'!E37)=1,SUM('Turns'!E37),"Unknown")</f>
        <v>2.7217944e-05</v>
      </c>
      <c r="X16" s="2">
        <f>IF(COUNT('Turns'!F37)=1,SUM('Turns'!F37),"Unknown")</f>
        <v>3.12e-05</v>
      </c>
      <c r="Y16" s="2">
        <f>IF(COUNT('Turns'!E42)=1,SUM('Turns'!E42),"Unknown")</f>
        <v>0.00025560441</v>
      </c>
      <c r="Z16" s="2">
        <f>IF(COUNT('Turns'!F42)=1,SUM('Turns'!F42),"Unknown")</f>
        <v>0.000293</v>
      </c>
      <c r="AA16" s="5">
        <f>IF(ISNUMBER(Y16),ROUND(Y16*'Reference data'!$B$2,0),"Unknown")</f>
        <v>26.0</v>
      </c>
      <c r="AB16" s="5">
        <f>IF(ISNUMBER(Z16),ROUND(Z16*'Reference data'!$B$2,0),"Unknown")</f>
        <v>29.0</v>
      </c>
      <c r="AC16" s="1" t="s">
        <v>116</v>
      </c>
      <c r="AD16" s="1">
        <v>2016.331</v>
      </c>
      <c r="AE16" s="1" t="s">
        <v>208</v>
      </c>
    </row>
    <row r="17" spans="1:31" ht="54" customHeight="1">
      <c r="A17" s="6" t="s">
        <v>221</v>
      </c>
      <c r="B17" s="1">
        <v>4</v>
      </c>
      <c r="C17" s="1" t="s">
        <v>186</v>
      </c>
      <c r="D17" s="1" t="s">
        <v>47</v>
      </c>
      <c r="E17" s="1" t="s">
        <v>111</v>
      </c>
      <c r="G17" s="6" t="s">
        <v>222</v>
      </c>
      <c r="H17" t="s">
        <v>223</v>
      </c>
      <c r="I17" t="s">
        <v>215</v>
      </c>
      <c r="J17" s="2">
        <f>IF(COUNT('Turns'!D47,'Turns'!D63,'Turns'!D77)=3,SUM('Turns'!D47,'Turns'!D63,'Turns'!D77),"Unknown")</f>
        <v>1203.0</v>
      </c>
      <c r="K17" s="2">
        <f>IF(COUNT('Turns'!E47,'Turns'!E63,'Turns'!E77)=3,SUM('Turns'!E47,'Turns'!E63,'Turns'!E77),"Unknown")</f>
        <v>0.000209892222</v>
      </c>
      <c r="L17" s="2">
        <f>IF(COUNT('Turns'!F47,'Turns'!F63,'Turns'!F77)=3,SUM('Turns'!F47,'Turns'!F63,'Turns'!F77),"Unknown")</f>
        <v>0.0002406</v>
      </c>
      <c r="M17" s="2">
        <f>IF(COUNT('Turns'!D76)=1,SUM('Turns'!D76),"Unknown")</f>
        <v>0.0</v>
      </c>
      <c r="N17" s="2">
        <f>IF(COUNT('Turns'!E76)=1,SUM('Turns'!E76),"Unknown")</f>
        <v>0.0</v>
      </c>
      <c r="O17" s="2">
        <f>IF(COUNT('Turns'!F76)=1,SUM('Turns'!F76),"Unknown")</f>
        <v>0.0</v>
      </c>
      <c r="P17" s="2">
        <v>0</v>
      </c>
      <c r="Q17" s="2">
        <v>0</v>
      </c>
      <c r="R17" s="2">
        <v>0</v>
      </c>
      <c r="S17" s="2">
        <f>IF(COUNT('Turns'!D54,'Turns'!D70,'Turns'!D83)=3,SUM('Turns'!D54,'Turns'!D70,'Turns'!D83),"Unknown")</f>
        <v>249.0</v>
      </c>
      <c r="T17" s="2">
        <f>IF(COUNT('Turns'!E54,'Turns'!E70,'Turns'!E83)=3,SUM('Turns'!E54,'Turns'!E70,'Turns'!E83),"Unknown")</f>
        <v>0.000260664156</v>
      </c>
      <c r="U17" s="2">
        <f>IF(COUNT('Turns'!F54,'Turns'!F70,'Turns'!F83)=3,SUM('Turns'!F54,'Turns'!F70,'Turns'!F83),"Unknown")</f>
        <v>0.0002988</v>
      </c>
      <c r="V17" s="2">
        <f>IF(COUNT('Turns'!D53,'Turns'!D69,'Turns'!D82)=3,SUM('Turns'!D53,'Turns'!D69,'Turns'!D82),"Unknown")</f>
        <v>228.0</v>
      </c>
      <c r="W17" s="2">
        <f>IF(COUNT('Turns'!E53,'Turns'!E69,'Turns'!E82)=3,SUM('Turns'!E53,'Turns'!E69,'Turns'!E82),"Unknown")</f>
        <v>0.000238680432</v>
      </c>
      <c r="X17" s="2">
        <f>IF(COUNT('Turns'!F53,'Turns'!F69,'Turns'!F82)=3,SUM('Turns'!F53,'Turns'!F69,'Turns'!F82),"Unknown")</f>
        <v>0.0002736</v>
      </c>
      <c r="Y17" s="2">
        <f>IF(COUNT('Turns'!E58,'Turns'!E74,'Turns'!E87)=3,SUM('Turns'!E58,'Turns'!E74,'Turns'!E87),"Unknown")</f>
        <v>0.00070923681</v>
      </c>
      <c r="Z17" s="2">
        <f>IF(COUNT('Turns'!F58,'Turns'!F74,'Turns'!F87)=3,SUM('Turns'!F58,'Turns'!F74,'Turns'!F87),"Unknown")</f>
        <v>0.000813</v>
      </c>
      <c r="AA17" s="5">
        <f>IF(ISNUMBER(Y17),ROUND(Y17*'Reference data'!$B$2,0),"Unknown")</f>
        <v>71.0</v>
      </c>
      <c r="AB17" s="5">
        <f>IF(ISNUMBER(Z17),ROUND(Z17*'Reference data'!$B$2,0),"Unknown")</f>
        <v>81.0</v>
      </c>
      <c r="AD17" s="1">
        <v>7249.094</v>
      </c>
      <c r="AE17" s="1" t="s">
        <v>188</v>
      </c>
    </row>
    <row r="18" spans="1:31" ht="54" customHeight="1">
      <c r="A18" s="6" t="s">
        <v>224</v>
      </c>
      <c r="B18" s="1">
        <v>5</v>
      </c>
      <c r="C18" s="1" t="s">
        <v>225</v>
      </c>
      <c r="D18" s="1" t="s">
        <v>47</v>
      </c>
      <c r="E18" s="1" t="s">
        <v>111</v>
      </c>
      <c r="G18" s="6" t="s">
        <v>226</v>
      </c>
      <c r="H18" t="s">
        <v>121</v>
      </c>
      <c r="I18" t="s">
        <v>223</v>
      </c>
      <c r="J18" s="2">
        <f>IF(COUNT('Turns'!D47,'Turns'!D63,'Turns'!D77)=3,SUM('Turns'!D47,'Turns'!D63,'Turns'!D77),"Unknown")</f>
        <v>1203.0</v>
      </c>
      <c r="K18" s="2">
        <f>IF(COUNT('Turns'!E47,'Turns'!E63,'Turns'!E77)=3,SUM('Turns'!E47,'Turns'!E63,'Turns'!E77),"Unknown")</f>
        <v>0.000209892222</v>
      </c>
      <c r="L18" s="2">
        <f>IF(COUNT('Turns'!F47,'Turns'!F63,'Turns'!F77)=3,SUM('Turns'!F47,'Turns'!F63,'Turns'!F77),"Unknown")</f>
        <v>0.0002406</v>
      </c>
      <c r="M18" s="2">
        <f>IF(COUNT('Turns'!D76)=1,SUM('Turns'!D76),"Unknown")</f>
        <v>0.0</v>
      </c>
      <c r="N18" s="2">
        <f>IF(COUNT('Turns'!E76)=1,SUM('Turns'!E76),"Unknown")</f>
        <v>0.0</v>
      </c>
      <c r="O18" s="2">
        <f>IF(COUNT('Turns'!F76)=1,SUM('Turns'!F76),"Unknown")</f>
        <v>0.0</v>
      </c>
      <c r="P18" s="2">
        <v>0</v>
      </c>
      <c r="Q18" s="2">
        <v>0</v>
      </c>
      <c r="R18" s="2">
        <v>0</v>
      </c>
      <c r="S18" s="2">
        <f>IF(COUNT('Turns'!D54,'Turns'!D70,'Turns'!D83)=3,SUM('Turns'!D54,'Turns'!D70,'Turns'!D83),"Unknown")</f>
        <v>249.0</v>
      </c>
      <c r="T18" s="2">
        <f>IF(COUNT('Turns'!E54,'Turns'!E70,'Turns'!E83)=3,SUM('Turns'!E54,'Turns'!E70,'Turns'!E83),"Unknown")</f>
        <v>0.000260664156</v>
      </c>
      <c r="U18" s="2">
        <f>IF(COUNT('Turns'!F54,'Turns'!F70,'Turns'!F83)=3,SUM('Turns'!F54,'Turns'!F70,'Turns'!F83),"Unknown")</f>
        <v>0.0002988</v>
      </c>
      <c r="V18" s="2">
        <f>IF(COUNT('Turns'!D53,'Turns'!D69,'Turns'!D82)=3,SUM('Turns'!D53,'Turns'!D69,'Turns'!D82),"Unknown")</f>
        <v>228.0</v>
      </c>
      <c r="W18" s="2">
        <f>IF(COUNT('Turns'!E53,'Turns'!E69,'Turns'!E82)=3,SUM('Turns'!E53,'Turns'!E69,'Turns'!E82),"Unknown")</f>
        <v>0.000238680432</v>
      </c>
      <c r="X18" s="2">
        <f>IF(COUNT('Turns'!F53,'Turns'!F69,'Turns'!F82)=3,SUM('Turns'!F53,'Turns'!F69,'Turns'!F82),"Unknown")</f>
        <v>0.0002736</v>
      </c>
      <c r="Y18" s="2">
        <f>IF(COUNT('Turns'!E58,'Turns'!E74,'Turns'!E87)=3,SUM('Turns'!E58,'Turns'!E74,'Turns'!E87),"Unknown")</f>
        <v>0.00070923681</v>
      </c>
      <c r="Z18" s="2">
        <f>IF(COUNT('Turns'!F58,'Turns'!F74,'Turns'!F87)=3,SUM('Turns'!F58,'Turns'!F74,'Turns'!F87),"Unknown")</f>
        <v>0.000813</v>
      </c>
      <c r="AA18" s="5">
        <f>IF(ISNUMBER(Y18),ROUND(Y18*'Reference data'!$B$2,0),"Unknown")</f>
        <v>71.0</v>
      </c>
      <c r="AB18" s="5">
        <f>IF(ISNUMBER(Z18),ROUND(Z18*'Reference data'!$B$2,0),"Unknown")</f>
        <v>81.0</v>
      </c>
      <c r="AD18" s="1">
        <v>7247.626</v>
      </c>
      <c r="AE18" s="1" t="s">
        <v>188</v>
      </c>
    </row>
    <row r="19" spans="1:31" ht="54" customHeight="1">
      <c r="A19" s="6" t="s">
        <v>227</v>
      </c>
      <c r="B19" s="1">
        <v>6</v>
      </c>
      <c r="C19" s="1" t="s">
        <v>186</v>
      </c>
      <c r="D19" s="1" t="s">
        <v>47</v>
      </c>
      <c r="E19" s="1" t="s">
        <v>111</v>
      </c>
      <c r="G19" s="6" t="s">
        <v>228</v>
      </c>
      <c r="H19" t="s">
        <v>229</v>
      </c>
      <c r="I19" t="s">
        <v>121</v>
      </c>
      <c r="J19" s="2">
        <f>IF(COUNT('Turns'!D47,'Turns'!D63,'Turns'!D77)=3,SUM('Turns'!D47,'Turns'!D63,'Turns'!D77),"Unknown")</f>
        <v>1203.0</v>
      </c>
      <c r="K19" s="2">
        <f>IF(COUNT('Turns'!E47,'Turns'!E63,'Turns'!E77)=3,SUM('Turns'!E47,'Turns'!E63,'Turns'!E77),"Unknown")</f>
        <v>0.000209892222</v>
      </c>
      <c r="L19" s="2">
        <f>IF(COUNT('Turns'!F47,'Turns'!F63,'Turns'!F77)=3,SUM('Turns'!F47,'Turns'!F63,'Turns'!F77),"Unknown")</f>
        <v>0.0002406</v>
      </c>
      <c r="M19" s="2">
        <f>IF(COUNT('Turns'!D76)=1,SUM('Turns'!D76),"Unknown")</f>
        <v>0.0</v>
      </c>
      <c r="N19" s="2">
        <f>IF(COUNT('Turns'!E76)=1,SUM('Turns'!E76),"Unknown")</f>
        <v>0.0</v>
      </c>
      <c r="O19" s="2">
        <f>IF(COUNT('Turns'!F76)=1,SUM('Turns'!F76),"Unknown")</f>
        <v>0.0</v>
      </c>
      <c r="P19" s="2">
        <v>0</v>
      </c>
      <c r="Q19" s="2">
        <v>0</v>
      </c>
      <c r="R19" s="2">
        <v>0</v>
      </c>
      <c r="S19" s="2">
        <f>IF(COUNT('Turns'!D54,'Turns'!D70,'Turns'!D83)=3,SUM('Turns'!D54,'Turns'!D70,'Turns'!D83),"Unknown")</f>
        <v>249.0</v>
      </c>
      <c r="T19" s="2">
        <f>IF(COUNT('Turns'!E54,'Turns'!E70,'Turns'!E83)=3,SUM('Turns'!E54,'Turns'!E70,'Turns'!E83),"Unknown")</f>
        <v>0.000260664156</v>
      </c>
      <c r="U19" s="2">
        <f>IF(COUNT('Turns'!F54,'Turns'!F70,'Turns'!F83)=3,SUM('Turns'!F54,'Turns'!F70,'Turns'!F83),"Unknown")</f>
        <v>0.0002988</v>
      </c>
      <c r="V19" s="2">
        <f>IF(COUNT('Turns'!D53,'Turns'!D69,'Turns'!D82)=3,SUM('Turns'!D53,'Turns'!D69,'Turns'!D82),"Unknown")</f>
        <v>228.0</v>
      </c>
      <c r="W19" s="2">
        <f>IF(COUNT('Turns'!E53,'Turns'!E69,'Turns'!E82)=3,SUM('Turns'!E53,'Turns'!E69,'Turns'!E82),"Unknown")</f>
        <v>0.000238680432</v>
      </c>
      <c r="X19" s="2">
        <f>IF(COUNT('Turns'!F53,'Turns'!F69,'Turns'!F82)=3,SUM('Turns'!F53,'Turns'!F69,'Turns'!F82),"Unknown")</f>
        <v>0.0002736</v>
      </c>
      <c r="Y19" s="2">
        <f>IF(COUNT('Turns'!E58,'Turns'!E74,'Turns'!E87)=3,SUM('Turns'!E58,'Turns'!E74,'Turns'!E87),"Unknown")</f>
        <v>0.00070923681</v>
      </c>
      <c r="Z19" s="2">
        <f>IF(COUNT('Turns'!F58,'Turns'!F74,'Turns'!F87)=3,SUM('Turns'!F58,'Turns'!F74,'Turns'!F87),"Unknown")</f>
        <v>0.000813</v>
      </c>
      <c r="AA19" s="5">
        <f>IF(ISNUMBER(Y19),ROUND(Y19*'Reference data'!$B$2,0),"Unknown")</f>
        <v>71.0</v>
      </c>
      <c r="AB19" s="5">
        <f>IF(ISNUMBER(Z19),ROUND(Z19*'Reference data'!$B$2,0),"Unknown")</f>
        <v>81.0</v>
      </c>
      <c r="AD19" s="1">
        <v>7246.481</v>
      </c>
      <c r="AE19" s="1" t="s">
        <v>188</v>
      </c>
    </row>
    <row r="20" spans="1:31" ht="54" customHeight="1">
      <c r="A20" s="6" t="s">
        <v>230</v>
      </c>
      <c r="B20" s="1">
        <v>7</v>
      </c>
      <c r="C20" s="1" t="s">
        <v>186</v>
      </c>
      <c r="D20" s="1" t="s">
        <v>47</v>
      </c>
      <c r="E20" s="1" t="s">
        <v>111</v>
      </c>
      <c r="G20" s="6" t="s">
        <v>199</v>
      </c>
      <c r="H20" t="s">
        <v>231</v>
      </c>
      <c r="I20" t="s">
        <v>229</v>
      </c>
      <c r="AD20" s="1">
        <v>0.319</v>
      </c>
      <c r="AE20" s="1" t="s">
        <v>201</v>
      </c>
    </row>
    <row r="21" spans="1:31" ht="54" customHeight="1">
      <c r="A21" s="6" t="s">
        <v>232</v>
      </c>
      <c r="B21" s="1">
        <v>7</v>
      </c>
      <c r="C21" s="1" t="s">
        <v>186</v>
      </c>
      <c r="D21" s="1" t="s">
        <v>47</v>
      </c>
      <c r="E21" s="1" t="s">
        <v>111</v>
      </c>
      <c r="G21" s="6" t="s">
        <v>203</v>
      </c>
      <c r="H21" t="s">
        <v>233</v>
      </c>
      <c r="I21" t="s">
        <v>229</v>
      </c>
      <c r="J21" s="2">
        <f>IF(COUNT('Turns'!D47)=1,SUM('Turns'!D47),"Unknown")</f>
        <v>193.0</v>
      </c>
      <c r="K21" s="2">
        <f>IF(COUNT('Turns'!E47)=1,SUM('Turns'!E47),"Unknown")</f>
        <v>3.3673482e-05</v>
      </c>
      <c r="L21" s="2">
        <f>IF(COUNT('Turns'!F47)=1,SUM('Turns'!F47),"Unknown")</f>
        <v>3.86e-05</v>
      </c>
      <c r="M21" s="2">
        <v>0</v>
      </c>
      <c r="N21" s="2">
        <v>0</v>
      </c>
      <c r="O21" s="2">
        <v>0</v>
      </c>
      <c r="P21" s="2">
        <v>0</v>
      </c>
      <c r="Q21" s="2">
        <v>0</v>
      </c>
      <c r="R21" s="2">
        <v>0</v>
      </c>
      <c r="S21" s="2">
        <f>IF(COUNT('Turns'!D54)=1,SUM('Turns'!D54),"Unknown")</f>
        <v>45.0</v>
      </c>
      <c r="T21" s="2">
        <f>IF(COUNT('Turns'!E54)=1,SUM('Turns'!E54),"Unknown")</f>
        <v>4.710798e-05</v>
      </c>
      <c r="U21" s="2">
        <f>IF(COUNT('Turns'!F54)=1,SUM('Turns'!F54),"Unknown")</f>
        <v>5.4e-05</v>
      </c>
      <c r="V21" s="2">
        <f>IF(COUNT('Turns'!D53)=1,SUM('Turns'!D53),"Unknown")</f>
        <v>68.0</v>
      </c>
      <c r="W21" s="2">
        <f>IF(COUNT('Turns'!E53)=1,SUM('Turns'!E53),"Unknown")</f>
        <v>7.1185392e-05</v>
      </c>
      <c r="X21" s="2">
        <f>IF(COUNT('Turns'!F53)=1,SUM('Turns'!F53),"Unknown")</f>
        <v>8.16e-05</v>
      </c>
      <c r="Y21" s="2">
        <f>IF(COUNT('Turns'!E58)=1,SUM('Turns'!E58),"Unknown")</f>
        <v>0.000151966854</v>
      </c>
      <c r="Z21" s="2">
        <f>IF(COUNT('Turns'!F58)=1,SUM('Turns'!F58),"Unknown")</f>
        <v>0.0001742</v>
      </c>
      <c r="AA21" s="5">
        <f>IF(ISNUMBER(Y21),ROUND(Y21*'Reference data'!$B$2,0),"Unknown")</f>
        <v>15.0</v>
      </c>
      <c r="AB21" s="5">
        <f>IF(ISNUMBER(Z21),ROUND(Z21*'Reference data'!$B$2,0),"Unknown")</f>
        <v>17.0</v>
      </c>
      <c r="AD21" s="1">
        <v>1773.154</v>
      </c>
      <c r="AE21" s="1" t="s">
        <v>188</v>
      </c>
    </row>
    <row r="22" spans="1:31" ht="54" customHeight="1">
      <c r="A22" s="6" t="s">
        <v>234</v>
      </c>
      <c r="B22" s="1">
        <v>8</v>
      </c>
      <c r="C22" s="1" t="s">
        <v>206</v>
      </c>
      <c r="D22" s="1" t="s">
        <v>95</v>
      </c>
      <c r="E22" s="1" t="s">
        <v>111</v>
      </c>
      <c r="F22" s="1">
        <v>193</v>
      </c>
      <c r="G22" s="6" t="s">
        <v>207</v>
      </c>
      <c r="H22" t="s">
        <v>127</v>
      </c>
      <c r="I22" t="s">
        <v>233</v>
      </c>
      <c r="J22" s="2">
        <f>IF(COUNT('Turns'!D47)=1,SUM('Turns'!D47),"Unknown")</f>
        <v>193.0</v>
      </c>
      <c r="K22" s="2">
        <f>IF(COUNT('Turns'!E47)=1,SUM('Turns'!E47),"Unknown")</f>
        <v>3.3673482e-05</v>
      </c>
      <c r="L22" s="2">
        <f>IF(COUNT('Turns'!F47)=1,SUM('Turns'!F47),"Unknown")</f>
        <v>3.86e-05</v>
      </c>
      <c r="M22" s="2">
        <v>0</v>
      </c>
      <c r="N22" s="2">
        <v>0</v>
      </c>
      <c r="O22" s="2">
        <v>0</v>
      </c>
      <c r="P22" s="2">
        <v>0</v>
      </c>
      <c r="Q22" s="2">
        <v>0</v>
      </c>
      <c r="R22" s="2">
        <v>0</v>
      </c>
      <c r="S22" s="2">
        <f>IF(COUNT('Turns'!D54)=1,SUM('Turns'!D54),"Unknown")</f>
        <v>45.0</v>
      </c>
      <c r="T22" s="2">
        <f>IF(COUNT('Turns'!E54)=1,SUM('Turns'!E54),"Unknown")</f>
        <v>4.710798e-05</v>
      </c>
      <c r="U22" s="2">
        <f>IF(COUNT('Turns'!F54)=1,SUM('Turns'!F54),"Unknown")</f>
        <v>5.4e-05</v>
      </c>
      <c r="V22" s="2">
        <f>IF(COUNT('Turns'!D53)=1,SUM('Turns'!D53),"Unknown")</f>
        <v>68.0</v>
      </c>
      <c r="W22" s="2">
        <f>IF(COUNT('Turns'!E53)=1,SUM('Turns'!E53),"Unknown")</f>
        <v>7.1185392e-05</v>
      </c>
      <c r="X22" s="2">
        <f>IF(COUNT('Turns'!F53)=1,SUM('Turns'!F53),"Unknown")</f>
        <v>8.16e-05</v>
      </c>
      <c r="Y22" s="2">
        <f>IF(COUNT('Turns'!E58)=1,SUM('Turns'!E58),"Unknown")</f>
        <v>0.000151966854</v>
      </c>
      <c r="Z22" s="2">
        <f>IF(COUNT('Turns'!F58)=1,SUM('Turns'!F58),"Unknown")</f>
        <v>0.0001742</v>
      </c>
      <c r="AA22" s="5">
        <f>IF(ISNUMBER(Y22),ROUND(Y22*'Reference data'!$B$2,0),"Unknown")</f>
        <v>15.0</v>
      </c>
      <c r="AB22" s="5">
        <f>IF(ISNUMBER(Z22),ROUND(Z22*'Reference data'!$B$2,0),"Unknown")</f>
        <v>17.0</v>
      </c>
      <c r="AC22" s="1" t="s">
        <v>126</v>
      </c>
      <c r="AD22" s="1">
        <v>1770.229</v>
      </c>
      <c r="AE22" s="1" t="s">
        <v>208</v>
      </c>
    </row>
    <row r="23" spans="1:31" ht="54" customHeight="1">
      <c r="A23" s="6" t="s">
        <v>235</v>
      </c>
      <c r="B23" s="1">
        <v>7</v>
      </c>
      <c r="C23" s="1" t="s">
        <v>186</v>
      </c>
      <c r="D23" s="1" t="s">
        <v>47</v>
      </c>
      <c r="E23" s="1" t="s">
        <v>111</v>
      </c>
      <c r="G23" s="6" t="s">
        <v>222</v>
      </c>
      <c r="H23" t="s">
        <v>236</v>
      </c>
      <c r="I23" t="s">
        <v>229</v>
      </c>
      <c r="AD23" s="1">
        <v>2.119</v>
      </c>
      <c r="AE23" s="1" t="s">
        <v>201</v>
      </c>
    </row>
    <row r="24" spans="1:31" ht="54" customHeight="1">
      <c r="A24" s="6" t="s">
        <v>237</v>
      </c>
      <c r="B24" s="1">
        <v>8</v>
      </c>
      <c r="C24" s="1" t="s">
        <v>225</v>
      </c>
      <c r="D24" s="1" t="s">
        <v>47</v>
      </c>
      <c r="E24" s="1" t="s">
        <v>111</v>
      </c>
      <c r="G24" s="6" t="s">
        <v>238</v>
      </c>
      <c r="H24" t="s">
        <v>131</v>
      </c>
      <c r="I24" t="s">
        <v>236</v>
      </c>
      <c r="AD24" s="1">
        <v>0.6840000000000001</v>
      </c>
      <c r="AE24" s="1" t="s">
        <v>201</v>
      </c>
    </row>
    <row r="25" spans="1:31" ht="54" customHeight="1">
      <c r="A25" s="6" t="s">
        <v>230</v>
      </c>
      <c r="B25" s="1">
        <v>7</v>
      </c>
      <c r="C25" s="1" t="s">
        <v>186</v>
      </c>
      <c r="D25" s="1" t="s">
        <v>47</v>
      </c>
      <c r="E25" s="1" t="s">
        <v>111</v>
      </c>
      <c r="G25" s="6" t="s">
        <v>199</v>
      </c>
      <c r="H25" t="s">
        <v>239</v>
      </c>
      <c r="I25" t="s">
        <v>229</v>
      </c>
      <c r="J25" s="2">
        <f>IF(COUNT('Turns'!D63)=1,SUM('Turns'!D63),"Unknown")</f>
        <v>591.0</v>
      </c>
      <c r="K25" s="2">
        <f>IF(COUNT('Turns'!E63)=1,SUM('Turns'!E63),"Unknown")</f>
        <v>0.000103114134</v>
      </c>
      <c r="L25" s="2">
        <f>IF(COUNT('Turns'!F63)=1,SUM('Turns'!F63),"Unknown")</f>
        <v>0.0001182</v>
      </c>
      <c r="M25" s="2">
        <v>0</v>
      </c>
      <c r="N25" s="2">
        <v>0</v>
      </c>
      <c r="O25" s="2">
        <v>0</v>
      </c>
      <c r="P25" s="2">
        <v>0</v>
      </c>
      <c r="Q25" s="2">
        <v>0</v>
      </c>
      <c r="R25" s="2">
        <v>0</v>
      </c>
      <c r="S25" s="2">
        <f>IF(COUNT('Turns'!D70)=1,SUM('Turns'!D70),"Unknown")</f>
        <v>157.0</v>
      </c>
      <c r="T25" s="2">
        <f>IF(COUNT('Turns'!E70)=1,SUM('Turns'!E70),"Unknown")</f>
        <v>0.000164354508</v>
      </c>
      <c r="U25" s="2">
        <f>IF(COUNT('Turns'!F70)=1,SUM('Turns'!F70),"Unknown")</f>
        <v>0.0001884</v>
      </c>
      <c r="V25" s="2">
        <f>IF(COUNT('Turns'!D69)=1,SUM('Turns'!D69),"Unknown")</f>
        <v>27.0</v>
      </c>
      <c r="W25" s="2">
        <f>IF(COUNT('Turns'!E69)=1,SUM('Turns'!E69),"Unknown")</f>
        <v>2.8264788e-05</v>
      </c>
      <c r="X25" s="2">
        <f>IF(COUNT('Turns'!F69)=1,SUM('Turns'!F69),"Unknown")</f>
        <v>3.24e-05</v>
      </c>
      <c r="Y25" s="2">
        <f>IF(COUNT('Turns'!E74)=1,SUM('Turns'!E74),"Unknown")</f>
        <v>0.00029573343</v>
      </c>
      <c r="Z25" s="2">
        <f>IF(COUNT('Turns'!F74)=1,SUM('Turns'!F74),"Unknown")</f>
        <v>0.000339</v>
      </c>
      <c r="AA25" s="5">
        <f>IF(ISNUMBER(Y25),ROUND(Y25*'Reference data'!$B$2,0),"Unknown")</f>
        <v>30.0</v>
      </c>
      <c r="AB25" s="5">
        <f>IF(ISNUMBER(Z25),ROUND(Z25*'Reference data'!$B$2,0),"Unknown")</f>
        <v>34.0</v>
      </c>
      <c r="AD25" s="1">
        <v>2103.295</v>
      </c>
      <c r="AE25" s="1" t="s">
        <v>188</v>
      </c>
    </row>
    <row r="26" spans="1:31" ht="54" customHeight="1">
      <c r="A26" s="6" t="s">
        <v>234</v>
      </c>
      <c r="B26" s="1">
        <v>8</v>
      </c>
      <c r="C26" s="1" t="s">
        <v>186</v>
      </c>
      <c r="D26" s="1" t="s">
        <v>47</v>
      </c>
      <c r="E26" s="1" t="s">
        <v>111</v>
      </c>
      <c r="G26" s="6" t="s">
        <v>217</v>
      </c>
      <c r="H26" t="s">
        <v>240</v>
      </c>
      <c r="I26" t="s">
        <v>239</v>
      </c>
      <c r="J26" s="2">
        <f>IF(COUNT('Turns'!D63)=1,SUM('Turns'!D63),"Unknown")</f>
        <v>591.0</v>
      </c>
      <c r="K26" s="2">
        <f>IF(COUNT('Turns'!E63)=1,SUM('Turns'!E63),"Unknown")</f>
        <v>0.000103114134</v>
      </c>
      <c r="L26" s="2">
        <f>IF(COUNT('Turns'!F63)=1,SUM('Turns'!F63),"Unknown")</f>
        <v>0.0001182</v>
      </c>
      <c r="M26" s="2">
        <v>0</v>
      </c>
      <c r="N26" s="2">
        <v>0</v>
      </c>
      <c r="O26" s="2">
        <v>0</v>
      </c>
      <c r="P26" s="2">
        <v>0</v>
      </c>
      <c r="Q26" s="2">
        <v>0</v>
      </c>
      <c r="R26" s="2">
        <v>0</v>
      </c>
      <c r="S26" s="2">
        <f>IF(COUNT('Turns'!D70)=1,SUM('Turns'!D70),"Unknown")</f>
        <v>157.0</v>
      </c>
      <c r="T26" s="2">
        <f>IF(COUNT('Turns'!E70)=1,SUM('Turns'!E70),"Unknown")</f>
        <v>0.000164354508</v>
      </c>
      <c r="U26" s="2">
        <f>IF(COUNT('Turns'!F70)=1,SUM('Turns'!F70),"Unknown")</f>
        <v>0.0001884</v>
      </c>
      <c r="V26" s="2">
        <f>IF(COUNT('Turns'!D69)=1,SUM('Turns'!D69),"Unknown")</f>
        <v>27.0</v>
      </c>
      <c r="W26" s="2">
        <f>IF(COUNT('Turns'!E69)=1,SUM('Turns'!E69),"Unknown")</f>
        <v>2.8264788e-05</v>
      </c>
      <c r="X26" s="2">
        <f>IF(COUNT('Turns'!F69)=1,SUM('Turns'!F69),"Unknown")</f>
        <v>3.24e-05</v>
      </c>
      <c r="Y26" s="2">
        <f>IF(COUNT('Turns'!E74)=1,SUM('Turns'!E74),"Unknown")</f>
        <v>0.00029573343</v>
      </c>
      <c r="Z26" s="2">
        <f>IF(COUNT('Turns'!F74)=1,SUM('Turns'!F74),"Unknown")</f>
        <v>0.000339</v>
      </c>
      <c r="AA26" s="5">
        <f>IF(ISNUMBER(Y26),ROUND(Y26*'Reference data'!$B$2,0),"Unknown")</f>
        <v>30.0</v>
      </c>
      <c r="AB26" s="5">
        <f>IF(ISNUMBER(Z26),ROUND(Z26*'Reference data'!$B$2,0),"Unknown")</f>
        <v>34.0</v>
      </c>
      <c r="AD26" s="1">
        <v>2102.098</v>
      </c>
      <c r="AE26" s="1" t="s">
        <v>188</v>
      </c>
    </row>
    <row r="27" spans="1:31" ht="54" customHeight="1">
      <c r="A27" s="6" t="s">
        <v>241</v>
      </c>
      <c r="B27" s="1">
        <v>9</v>
      </c>
      <c r="C27" s="1" t="s">
        <v>206</v>
      </c>
      <c r="D27" s="1" t="s">
        <v>95</v>
      </c>
      <c r="E27" s="1" t="s">
        <v>111</v>
      </c>
      <c r="F27" s="1">
        <v>591</v>
      </c>
      <c r="G27" s="6" t="s">
        <v>207</v>
      </c>
      <c r="H27" t="s">
        <v>135</v>
      </c>
      <c r="I27" t="s">
        <v>240</v>
      </c>
      <c r="J27" s="2">
        <f>IF(COUNT('Turns'!D63)=1,SUM('Turns'!D63),"Unknown")</f>
        <v>591.0</v>
      </c>
      <c r="K27" s="2">
        <f>IF(COUNT('Turns'!E63)=1,SUM('Turns'!E63),"Unknown")</f>
        <v>0.000103114134</v>
      </c>
      <c r="L27" s="2">
        <f>IF(COUNT('Turns'!F63)=1,SUM('Turns'!F63),"Unknown")</f>
        <v>0.0001182</v>
      </c>
      <c r="M27" s="2">
        <v>0</v>
      </c>
      <c r="N27" s="2">
        <v>0</v>
      </c>
      <c r="O27" s="2">
        <v>0</v>
      </c>
      <c r="P27" s="2">
        <v>0</v>
      </c>
      <c r="Q27" s="2">
        <v>0</v>
      </c>
      <c r="R27" s="2">
        <v>0</v>
      </c>
      <c r="S27" s="2">
        <f>IF(COUNT('Turns'!D70)=1,SUM('Turns'!D70),"Unknown")</f>
        <v>157.0</v>
      </c>
      <c r="T27" s="2">
        <f>IF(COUNT('Turns'!E70)=1,SUM('Turns'!E70),"Unknown")</f>
        <v>0.000164354508</v>
      </c>
      <c r="U27" s="2">
        <f>IF(COUNT('Turns'!F70)=1,SUM('Turns'!F70),"Unknown")</f>
        <v>0.0001884</v>
      </c>
      <c r="V27" s="2">
        <f>IF(COUNT('Turns'!D69)=1,SUM('Turns'!D69),"Unknown")</f>
        <v>27.0</v>
      </c>
      <c r="W27" s="2">
        <f>IF(COUNT('Turns'!E69)=1,SUM('Turns'!E69),"Unknown")</f>
        <v>2.8264788e-05</v>
      </c>
      <c r="X27" s="2">
        <f>IF(COUNT('Turns'!F69)=1,SUM('Turns'!F69),"Unknown")</f>
        <v>3.24e-05</v>
      </c>
      <c r="Y27" s="2">
        <f>IF(COUNT('Turns'!E74)=1,SUM('Turns'!E74),"Unknown")</f>
        <v>0.00029573343</v>
      </c>
      <c r="Z27" s="2">
        <f>IF(COUNT('Turns'!F74)=1,SUM('Turns'!F74),"Unknown")</f>
        <v>0.000339</v>
      </c>
      <c r="AA27" s="5">
        <f>IF(ISNUMBER(Y27),ROUND(Y27*'Reference data'!$B$2,0),"Unknown")</f>
        <v>30.0</v>
      </c>
      <c r="AB27" s="5">
        <f>IF(ISNUMBER(Z27),ROUND(Z27*'Reference data'!$B$2,0),"Unknown")</f>
        <v>34.0</v>
      </c>
      <c r="AC27" s="1" t="s">
        <v>134</v>
      </c>
      <c r="AD27" s="1">
        <v>2099.553</v>
      </c>
      <c r="AE27" s="1" t="s">
        <v>208</v>
      </c>
    </row>
    <row r="28" spans="1:31" ht="54" customHeight="1">
      <c r="A28" s="6" t="s">
        <v>232</v>
      </c>
      <c r="B28" s="1">
        <v>7</v>
      </c>
      <c r="C28" s="1" t="s">
        <v>186</v>
      </c>
      <c r="D28" s="1" t="s">
        <v>47</v>
      </c>
      <c r="E28" s="1" t="s">
        <v>111</v>
      </c>
      <c r="G28" s="6" t="s">
        <v>203</v>
      </c>
      <c r="H28" t="s">
        <v>242</v>
      </c>
      <c r="I28" t="s">
        <v>229</v>
      </c>
      <c r="J28" s="2">
        <f>IF(COUNT('Turns'!D77)=1,SUM('Turns'!D77),"Unknown")</f>
        <v>419.0</v>
      </c>
      <c r="K28" s="2">
        <f>IF(COUNT('Turns'!E77)=1,SUM('Turns'!E77),"Unknown")</f>
        <v>7.3104606e-05</v>
      </c>
      <c r="L28" s="2">
        <f>IF(COUNT('Turns'!F77)=1,SUM('Turns'!F77),"Unknown")</f>
        <v>8.38e-05</v>
      </c>
      <c r="M28" s="2">
        <f>IF(COUNT('Turns'!D76)=1,SUM('Turns'!D76),"Unknown")</f>
        <v>0.0</v>
      </c>
      <c r="N28" s="2">
        <f>IF(COUNT('Turns'!E76)=1,SUM('Turns'!E76),"Unknown")</f>
        <v>0.0</v>
      </c>
      <c r="O28" s="2">
        <f>IF(COUNT('Turns'!F76)=1,SUM('Turns'!F76),"Unknown")</f>
        <v>0.0</v>
      </c>
      <c r="P28" s="2">
        <v>0</v>
      </c>
      <c r="Q28" s="2">
        <v>0</v>
      </c>
      <c r="R28" s="2">
        <v>0</v>
      </c>
      <c r="S28" s="2">
        <f>IF(COUNT('Turns'!D83)=1,SUM('Turns'!D83),"Unknown")</f>
        <v>47.0</v>
      </c>
      <c r="T28" s="2">
        <f>IF(COUNT('Turns'!E83)=1,SUM('Turns'!E83),"Unknown")</f>
        <v>4.9201668e-05</v>
      </c>
      <c r="U28" s="2">
        <f>IF(COUNT('Turns'!F83)=1,SUM('Turns'!F83),"Unknown")</f>
        <v>5.64e-05</v>
      </c>
      <c r="V28" s="2">
        <f>IF(COUNT('Turns'!D82)=1,SUM('Turns'!D82),"Unknown")</f>
        <v>133.0</v>
      </c>
      <c r="W28" s="2">
        <f>IF(COUNT('Turns'!E82)=1,SUM('Turns'!E82),"Unknown")</f>
        <v>0.000139230252</v>
      </c>
      <c r="X28" s="2">
        <f>IF(COUNT('Turns'!F82)=1,SUM('Turns'!F82),"Unknown")</f>
        <v>0.0001596</v>
      </c>
      <c r="Y28" s="2">
        <f>IF(COUNT('Turns'!E87)=1,SUM('Turns'!E87),"Unknown")</f>
        <v>0.000261536526</v>
      </c>
      <c r="Z28" s="2">
        <f>IF(COUNT('Turns'!F87)=1,SUM('Turns'!F87),"Unknown")</f>
        <v>0.0002998</v>
      </c>
      <c r="AA28" s="5">
        <f>IF(ISNUMBER(Y28),ROUND(Y28*'Reference data'!$B$2,0),"Unknown")</f>
        <v>26.0</v>
      </c>
      <c r="AB28" s="5">
        <f>IF(ISNUMBER(Z28),ROUND(Z28*'Reference data'!$B$2,0),"Unknown")</f>
        <v>30.0</v>
      </c>
      <c r="AD28" s="1">
        <v>3362.373</v>
      </c>
      <c r="AE28" s="1" t="s">
        <v>188</v>
      </c>
    </row>
    <row r="29" spans="1:31" ht="54" customHeight="1">
      <c r="A29" s="6" t="s">
        <v>234</v>
      </c>
      <c r="B29" s="1">
        <v>8</v>
      </c>
      <c r="C29" s="1" t="s">
        <v>206</v>
      </c>
      <c r="D29" s="1" t="s">
        <v>95</v>
      </c>
      <c r="E29" s="1" t="s">
        <v>111</v>
      </c>
      <c r="F29" s="1">
        <v>419</v>
      </c>
      <c r="G29" s="6" t="s">
        <v>207</v>
      </c>
      <c r="H29" t="s">
        <v>138</v>
      </c>
      <c r="I29" t="s">
        <v>242</v>
      </c>
      <c r="J29" s="2">
        <f>IF(COUNT('Turns'!D77)=1,SUM('Turns'!D77),"Unknown")</f>
        <v>419.0</v>
      </c>
      <c r="K29" s="2">
        <f>IF(COUNT('Turns'!E77)=1,SUM('Turns'!E77),"Unknown")</f>
        <v>7.3104606e-05</v>
      </c>
      <c r="L29" s="2">
        <f>IF(COUNT('Turns'!F77)=1,SUM('Turns'!F77),"Unknown")</f>
        <v>8.38e-05</v>
      </c>
      <c r="M29" s="2">
        <f>IF(COUNT('Turns'!D76)=1,SUM('Turns'!D76),"Unknown")</f>
        <v>0.0</v>
      </c>
      <c r="N29" s="2">
        <f>IF(COUNT('Turns'!E76)=1,SUM('Turns'!E76),"Unknown")</f>
        <v>0.0</v>
      </c>
      <c r="O29" s="2">
        <f>IF(COUNT('Turns'!F76)=1,SUM('Turns'!F76),"Unknown")</f>
        <v>0.0</v>
      </c>
      <c r="P29" s="2">
        <v>0</v>
      </c>
      <c r="Q29" s="2">
        <v>0</v>
      </c>
      <c r="R29" s="2">
        <v>0</v>
      </c>
      <c r="S29" s="2">
        <f>IF(COUNT('Turns'!D83)=1,SUM('Turns'!D83),"Unknown")</f>
        <v>47.0</v>
      </c>
      <c r="T29" s="2">
        <f>IF(COUNT('Turns'!E83)=1,SUM('Turns'!E83),"Unknown")</f>
        <v>4.9201668e-05</v>
      </c>
      <c r="U29" s="2">
        <f>IF(COUNT('Turns'!F83)=1,SUM('Turns'!F83),"Unknown")</f>
        <v>5.64e-05</v>
      </c>
      <c r="V29" s="2">
        <f>IF(COUNT('Turns'!D82)=1,SUM('Turns'!D82),"Unknown")</f>
        <v>133.0</v>
      </c>
      <c r="W29" s="2">
        <f>IF(COUNT('Turns'!E82)=1,SUM('Turns'!E82),"Unknown")</f>
        <v>0.000139230252</v>
      </c>
      <c r="X29" s="2">
        <f>IF(COUNT('Turns'!F82)=1,SUM('Turns'!F82),"Unknown")</f>
        <v>0.0001596</v>
      </c>
      <c r="Y29" s="2">
        <f>IF(COUNT('Turns'!E87)=1,SUM('Turns'!E87),"Unknown")</f>
        <v>0.000261536526</v>
      </c>
      <c r="Z29" s="2">
        <f>IF(COUNT('Turns'!F87)=1,SUM('Turns'!F87),"Unknown")</f>
        <v>0.0002998</v>
      </c>
      <c r="AA29" s="5">
        <f>IF(ISNUMBER(Y29),ROUND(Y29*'Reference data'!$B$2,0),"Unknown")</f>
        <v>26.0</v>
      </c>
      <c r="AB29" s="5">
        <f>IF(ISNUMBER(Z29),ROUND(Z29*'Reference data'!$B$2,0),"Unknown")</f>
        <v>30.0</v>
      </c>
      <c r="AC29" s="1" t="s">
        <v>137</v>
      </c>
      <c r="AD29" s="1">
        <v>3358.934</v>
      </c>
      <c r="AE29" s="1" t="s">
        <v>208</v>
      </c>
    </row>
    <row r="30" spans="1:31" ht="54" customHeight="1">
      <c r="A30" s="6" t="s">
        <v>198</v>
      </c>
      <c r="B30" s="1">
        <v>4</v>
      </c>
      <c r="C30" s="1" t="s">
        <v>186</v>
      </c>
      <c r="D30" s="1" t="s">
        <v>47</v>
      </c>
      <c r="E30" s="1" t="s">
        <v>111</v>
      </c>
      <c r="G30" s="6" t="s">
        <v>199</v>
      </c>
      <c r="H30" t="s">
        <v>243</v>
      </c>
      <c r="I30" t="s">
        <v>215</v>
      </c>
      <c r="J30" s="2">
        <f>IF(COUNT('Turns'!D90)=1,SUM('Turns'!D90),"Unknown")</f>
        <v>720.0</v>
      </c>
      <c r="K30" s="2">
        <f>IF(COUNT('Turns'!E90)=1,SUM('Turns'!E90),"Unknown")</f>
        <v>0.00012562128</v>
      </c>
      <c r="L30" s="2">
        <f>IF(COUNT('Turns'!F90)=1,SUM('Turns'!F90),"Unknown")</f>
        <v>0.000144</v>
      </c>
      <c r="M30" s="2">
        <f>IF(COUNT('Turns'!D89)=1,SUM('Turns'!D89),"Unknown")</f>
        <v>0.0</v>
      </c>
      <c r="N30" s="2">
        <f>IF(COUNT('Turns'!E89)=1,SUM('Turns'!E89),"Unknown")</f>
        <v>0.0</v>
      </c>
      <c r="O30" s="2">
        <f>IF(COUNT('Turns'!F89)=1,SUM('Turns'!F89),"Unknown")</f>
        <v>0.0</v>
      </c>
      <c r="P30" s="2">
        <v>0</v>
      </c>
      <c r="Q30" s="2">
        <v>0</v>
      </c>
      <c r="R30" s="2">
        <v>0</v>
      </c>
      <c r="S30" s="2">
        <f>IF(COUNT('Turns'!D94)=1,SUM('Turns'!D94),"Unknown")</f>
        <v>259.0</v>
      </c>
      <c r="T30" s="2">
        <f>IF(COUNT('Turns'!E94)=1,SUM('Turns'!E94),"Unknown")</f>
        <v>0.000271132596</v>
      </c>
      <c r="U30" s="2">
        <f>IF(COUNT('Turns'!F94)=1,SUM('Turns'!F94),"Unknown")</f>
        <v>0.0003108</v>
      </c>
      <c r="V30" s="2">
        <v>0</v>
      </c>
      <c r="W30" s="2">
        <v>0</v>
      </c>
      <c r="X30" s="2">
        <v>0</v>
      </c>
      <c r="Y30" s="2">
        <f>IF(COUNT('Turns'!E98)=1,SUM('Turns'!E98),"Unknown")</f>
        <v>0.000396753876</v>
      </c>
      <c r="Z30" s="2">
        <f>IF(COUNT('Turns'!F98)=1,SUM('Turns'!F98),"Unknown")</f>
        <v>0.0004548</v>
      </c>
      <c r="AA30" s="5">
        <f>IF(ISNUMBER(Y30),ROUND(Y30*'Reference data'!$B$2,0),"Unknown")</f>
        <v>40.0</v>
      </c>
      <c r="AB30" s="5">
        <f>IF(ISNUMBER(Z30),ROUND(Z30*'Reference data'!$B$2,0),"Unknown")</f>
        <v>45.0</v>
      </c>
      <c r="AD30" s="1">
        <v>3204.299</v>
      </c>
      <c r="AE30" s="1" t="s">
        <v>188</v>
      </c>
    </row>
    <row r="31" spans="1:31" ht="54" customHeight="1">
      <c r="A31" s="6" t="s">
        <v>205</v>
      </c>
      <c r="B31" s="1">
        <v>5</v>
      </c>
      <c r="C31" s="1" t="s">
        <v>186</v>
      </c>
      <c r="D31" s="1" t="s">
        <v>47</v>
      </c>
      <c r="E31" s="1" t="s">
        <v>111</v>
      </c>
      <c r="G31" s="6" t="s">
        <v>217</v>
      </c>
      <c r="H31" t="s">
        <v>244</v>
      </c>
      <c r="I31" t="s">
        <v>243</v>
      </c>
      <c r="J31" s="2">
        <f>IF(COUNT('Turns'!D90)=1,SUM('Turns'!D90),"Unknown")</f>
        <v>720.0</v>
      </c>
      <c r="K31" s="2">
        <f>IF(COUNT('Turns'!E90)=1,SUM('Turns'!E90),"Unknown")</f>
        <v>0.00012562128</v>
      </c>
      <c r="L31" s="2">
        <f>IF(COUNT('Turns'!F90)=1,SUM('Turns'!F90),"Unknown")</f>
        <v>0.000144</v>
      </c>
      <c r="M31" s="2">
        <f>IF(COUNT('Turns'!D89)=1,SUM('Turns'!D89),"Unknown")</f>
        <v>0.0</v>
      </c>
      <c r="N31" s="2">
        <f>IF(COUNT('Turns'!E89)=1,SUM('Turns'!E89),"Unknown")</f>
        <v>0.0</v>
      </c>
      <c r="O31" s="2">
        <f>IF(COUNT('Turns'!F89)=1,SUM('Turns'!F89),"Unknown")</f>
        <v>0.0</v>
      </c>
      <c r="P31" s="2">
        <v>0</v>
      </c>
      <c r="Q31" s="2">
        <v>0</v>
      </c>
      <c r="R31" s="2">
        <v>0</v>
      </c>
      <c r="S31" s="2">
        <f>IF(COUNT('Turns'!D94)=1,SUM('Turns'!D94),"Unknown")</f>
        <v>259.0</v>
      </c>
      <c r="T31" s="2">
        <f>IF(COUNT('Turns'!E94)=1,SUM('Turns'!E94),"Unknown")</f>
        <v>0.000271132596</v>
      </c>
      <c r="U31" s="2">
        <f>IF(COUNT('Turns'!F94)=1,SUM('Turns'!F94),"Unknown")</f>
        <v>0.0003108</v>
      </c>
      <c r="V31" s="2">
        <v>0</v>
      </c>
      <c r="W31" s="2">
        <v>0</v>
      </c>
      <c r="X31" s="2">
        <v>0</v>
      </c>
      <c r="Y31" s="2">
        <f>IF(COUNT('Turns'!E98)=1,SUM('Turns'!E98),"Unknown")</f>
        <v>0.000396753876</v>
      </c>
      <c r="Z31" s="2">
        <f>IF(COUNT('Turns'!F98)=1,SUM('Turns'!F98),"Unknown")</f>
        <v>0.0004548</v>
      </c>
      <c r="AA31" s="5">
        <f>IF(ISNUMBER(Y31),ROUND(Y31*'Reference data'!$B$2,0),"Unknown")</f>
        <v>40.0</v>
      </c>
      <c r="AB31" s="5">
        <f>IF(ISNUMBER(Z31),ROUND(Z31*'Reference data'!$B$2,0),"Unknown")</f>
        <v>45.0</v>
      </c>
      <c r="AD31" s="1">
        <v>3203.207</v>
      </c>
      <c r="AE31" s="1" t="s">
        <v>188</v>
      </c>
    </row>
    <row r="32" spans="1:31" ht="54" customHeight="1">
      <c r="A32" s="6" t="s">
        <v>219</v>
      </c>
      <c r="B32" s="1">
        <v>6</v>
      </c>
      <c r="C32" s="1" t="s">
        <v>206</v>
      </c>
      <c r="D32" s="1" t="s">
        <v>95</v>
      </c>
      <c r="E32" s="1" t="s">
        <v>111</v>
      </c>
      <c r="F32" s="1">
        <v>720</v>
      </c>
      <c r="G32" s="6" t="s">
        <v>207</v>
      </c>
      <c r="H32" t="s">
        <v>143</v>
      </c>
      <c r="I32" t="s">
        <v>244</v>
      </c>
      <c r="J32" s="2">
        <f>IF(COUNT('Turns'!D90)=1,SUM('Turns'!D90),"Unknown")</f>
        <v>720.0</v>
      </c>
      <c r="K32" s="2">
        <f>IF(COUNT('Turns'!E90)=1,SUM('Turns'!E90),"Unknown")</f>
        <v>0.00012562128</v>
      </c>
      <c r="L32" s="2">
        <f>IF(COUNT('Turns'!F90)=1,SUM('Turns'!F90),"Unknown")</f>
        <v>0.000144</v>
      </c>
      <c r="M32" s="2">
        <f>IF(COUNT('Turns'!D89)=1,SUM('Turns'!D89),"Unknown")</f>
        <v>0.0</v>
      </c>
      <c r="N32" s="2">
        <f>IF(COUNT('Turns'!E89)=1,SUM('Turns'!E89),"Unknown")</f>
        <v>0.0</v>
      </c>
      <c r="O32" s="2">
        <f>IF(COUNT('Turns'!F89)=1,SUM('Turns'!F89),"Unknown")</f>
        <v>0.0</v>
      </c>
      <c r="P32" s="2">
        <v>0</v>
      </c>
      <c r="Q32" s="2">
        <v>0</v>
      </c>
      <c r="R32" s="2">
        <v>0</v>
      </c>
      <c r="S32" s="2">
        <f>IF(COUNT('Turns'!D94)=1,SUM('Turns'!D94),"Unknown")</f>
        <v>259.0</v>
      </c>
      <c r="T32" s="2">
        <f>IF(COUNT('Turns'!E94)=1,SUM('Turns'!E94),"Unknown")</f>
        <v>0.000271132596</v>
      </c>
      <c r="U32" s="2">
        <f>IF(COUNT('Turns'!F94)=1,SUM('Turns'!F94),"Unknown")</f>
        <v>0.0003108</v>
      </c>
      <c r="V32" s="2">
        <v>0</v>
      </c>
      <c r="W32" s="2">
        <v>0</v>
      </c>
      <c r="X32" s="2">
        <v>0</v>
      </c>
      <c r="Y32" s="2">
        <f>IF(COUNT('Turns'!E98)=1,SUM('Turns'!E98),"Unknown")</f>
        <v>0.000396753876</v>
      </c>
      <c r="Z32" s="2">
        <f>IF(COUNT('Turns'!F98)=1,SUM('Turns'!F98),"Unknown")</f>
        <v>0.0004548</v>
      </c>
      <c r="AA32" s="5">
        <f>IF(ISNUMBER(Y32),ROUND(Y32*'Reference data'!$B$2,0),"Unknown")</f>
        <v>40.0</v>
      </c>
      <c r="AB32" s="5">
        <f>IF(ISNUMBER(Z32),ROUND(Z32*'Reference data'!$B$2,0),"Unknown")</f>
        <v>45.0</v>
      </c>
      <c r="AC32" s="1" t="s">
        <v>142</v>
      </c>
      <c r="AD32" s="1">
        <v>3201.092</v>
      </c>
      <c r="AE32" s="1" t="s">
        <v>208</v>
      </c>
    </row>
    <row r="33" spans="1:31" ht="54" customHeight="1">
      <c r="A33" s="6" t="s">
        <v>202</v>
      </c>
      <c r="B33" s="1">
        <v>4</v>
      </c>
      <c r="C33" s="1" t="s">
        <v>186</v>
      </c>
      <c r="D33" s="1" t="s">
        <v>47</v>
      </c>
      <c r="E33" s="1" t="s">
        <v>111</v>
      </c>
      <c r="G33" s="6" t="s">
        <v>203</v>
      </c>
      <c r="H33" t="s">
        <v>245</v>
      </c>
      <c r="I33" t="s">
        <v>215</v>
      </c>
      <c r="J33" s="2">
        <f>IF(COUNT('Turns'!D101)=1,SUM('Turns'!D101),"Unknown")</f>
        <v>829.0</v>
      </c>
      <c r="K33" s="2">
        <f>IF(COUNT('Turns'!E101)=1,SUM('Turns'!E101),"Unknown")</f>
        <v>0.000144638946</v>
      </c>
      <c r="L33" s="2">
        <f>IF(COUNT('Turns'!F101)=1,SUM('Turns'!F101),"Unknown")</f>
        <v>0.0001658</v>
      </c>
      <c r="M33" s="2">
        <f>IF(COUNT('Turns'!D100)=1,SUM('Turns'!D100),"Unknown")</f>
        <v>0.0</v>
      </c>
      <c r="N33" s="2">
        <f>IF(COUNT('Turns'!E100)=1,SUM('Turns'!E100),"Unknown")</f>
        <v>0.0</v>
      </c>
      <c r="O33" s="2">
        <f>IF(COUNT('Turns'!F100)=1,SUM('Turns'!F100),"Unknown")</f>
        <v>0.0</v>
      </c>
      <c r="P33" s="2">
        <v>0</v>
      </c>
      <c r="Q33" s="2">
        <v>0</v>
      </c>
      <c r="R33" s="2">
        <v>0</v>
      </c>
      <c r="S33" s="2">
        <f>IF(COUNT('Turns'!D107)=1,SUM('Turns'!D107),"Unknown")</f>
        <v>263.0</v>
      </c>
      <c r="T33" s="2">
        <f>IF(COUNT('Turns'!E107)=1,SUM('Turns'!E107),"Unknown")</f>
        <v>0.000275319972</v>
      </c>
      <c r="U33" s="2">
        <f>IF(COUNT('Turns'!F107)=1,SUM('Turns'!F107),"Unknown")</f>
        <v>0.0003156</v>
      </c>
      <c r="V33" s="2">
        <f>IF(COUNT('Turns'!D106)=1,SUM('Turns'!D106),"Unknown")</f>
        <v>25.0</v>
      </c>
      <c r="W33" s="2">
        <f>IF(COUNT('Turns'!E106)=1,SUM('Turns'!E106),"Unknown")</f>
        <v>2.61711e-05</v>
      </c>
      <c r="X33" s="2">
        <f>IF(COUNT('Turns'!F106)=1,SUM('Turns'!F106),"Unknown")</f>
        <v>3e-05</v>
      </c>
      <c r="Y33" s="2">
        <f>IF(COUNT('Turns'!E111)=1,SUM('Turns'!E111),"Unknown")</f>
        <v>0.000446130018</v>
      </c>
      <c r="Z33" s="2">
        <f>IF(COUNT('Turns'!F111)=1,SUM('Turns'!F111),"Unknown")</f>
        <v>0.0005114</v>
      </c>
      <c r="AA33" s="5">
        <f>IF(ISNUMBER(Y33),ROUND(Y33*'Reference data'!$B$2,0),"Unknown")</f>
        <v>45.0</v>
      </c>
      <c r="AB33" s="5">
        <f>IF(ISNUMBER(Z33),ROUND(Z33*'Reference data'!$B$2,0),"Unknown")</f>
        <v>51.0</v>
      </c>
      <c r="AD33" s="1">
        <v>3382.154</v>
      </c>
      <c r="AE33" s="1" t="s">
        <v>188</v>
      </c>
    </row>
    <row r="34" spans="1:31" ht="54" customHeight="1">
      <c r="A34" s="6" t="s">
        <v>205</v>
      </c>
      <c r="B34" s="1">
        <v>5</v>
      </c>
      <c r="C34" s="1" t="s">
        <v>206</v>
      </c>
      <c r="D34" s="1" t="s">
        <v>95</v>
      </c>
      <c r="E34" s="1" t="s">
        <v>111</v>
      </c>
      <c r="F34" s="1">
        <v>829</v>
      </c>
      <c r="G34" s="6" t="s">
        <v>207</v>
      </c>
      <c r="H34" t="s">
        <v>146</v>
      </c>
      <c r="I34" t="s">
        <v>245</v>
      </c>
      <c r="J34" s="2">
        <f>IF(COUNT('Turns'!D101)=1,SUM('Turns'!D101),"Unknown")</f>
        <v>829.0</v>
      </c>
      <c r="K34" s="2">
        <f>IF(COUNT('Turns'!E101)=1,SUM('Turns'!E101),"Unknown")</f>
        <v>0.000144638946</v>
      </c>
      <c r="L34" s="2">
        <f>IF(COUNT('Turns'!F101)=1,SUM('Turns'!F101),"Unknown")</f>
        <v>0.0001658</v>
      </c>
      <c r="M34" s="2">
        <f>IF(COUNT('Turns'!D100)=1,SUM('Turns'!D100),"Unknown")</f>
        <v>0.0</v>
      </c>
      <c r="N34" s="2">
        <f>IF(COUNT('Turns'!E100)=1,SUM('Turns'!E100),"Unknown")</f>
        <v>0.0</v>
      </c>
      <c r="O34" s="2">
        <f>IF(COUNT('Turns'!F100)=1,SUM('Turns'!F100),"Unknown")</f>
        <v>0.0</v>
      </c>
      <c r="P34" s="2">
        <v>0</v>
      </c>
      <c r="Q34" s="2">
        <v>0</v>
      </c>
      <c r="R34" s="2">
        <v>0</v>
      </c>
      <c r="S34" s="2">
        <f>IF(COUNT('Turns'!D107)=1,SUM('Turns'!D107),"Unknown")</f>
        <v>263.0</v>
      </c>
      <c r="T34" s="2">
        <f>IF(COUNT('Turns'!E107)=1,SUM('Turns'!E107),"Unknown")</f>
        <v>0.000275319972</v>
      </c>
      <c r="U34" s="2">
        <f>IF(COUNT('Turns'!F107)=1,SUM('Turns'!F107),"Unknown")</f>
        <v>0.0003156</v>
      </c>
      <c r="V34" s="2">
        <f>IF(COUNT('Turns'!D106)=1,SUM('Turns'!D106),"Unknown")</f>
        <v>25.0</v>
      </c>
      <c r="W34" s="2">
        <f>IF(COUNT('Turns'!E106)=1,SUM('Turns'!E106),"Unknown")</f>
        <v>2.61711e-05</v>
      </c>
      <c r="X34" s="2">
        <f>IF(COUNT('Turns'!F106)=1,SUM('Turns'!F106),"Unknown")</f>
        <v>3e-05</v>
      </c>
      <c r="Y34" s="2">
        <f>IF(COUNT('Turns'!E111)=1,SUM('Turns'!E111),"Unknown")</f>
        <v>0.000446130018</v>
      </c>
      <c r="Z34" s="2">
        <f>IF(COUNT('Turns'!F111)=1,SUM('Turns'!F111),"Unknown")</f>
        <v>0.0005114</v>
      </c>
      <c r="AA34" s="5">
        <f>IF(ISNUMBER(Y34),ROUND(Y34*'Reference data'!$B$2,0),"Unknown")</f>
        <v>45.0</v>
      </c>
      <c r="AB34" s="5">
        <f>IF(ISNUMBER(Z34),ROUND(Z34*'Reference data'!$B$2,0),"Unknown")</f>
        <v>51.0</v>
      </c>
      <c r="AC34" s="1" t="s">
        <v>145</v>
      </c>
      <c r="AD34" s="1">
        <v>3378.847</v>
      </c>
      <c r="AE34" s="1" t="s">
        <v>208</v>
      </c>
    </row>
    <row r="35" spans="1:31" ht="54" customHeight="1">
      <c r="A35" s="6" t="s">
        <v>185</v>
      </c>
      <c r="B35" s="1">
        <v>0</v>
      </c>
      <c r="C35" s="1" t="s">
        <v>186</v>
      </c>
      <c r="D35" s="1" t="s">
        <v>47</v>
      </c>
      <c r="E35" s="1" t="s">
        <v>111</v>
      </c>
      <c r="G35" s="6" t="s">
        <v>187</v>
      </c>
      <c r="H35" t="s">
        <v>246</v>
      </c>
      <c r="J35" s="2">
        <f>IF(COUNT('Turns'!D114,'Turns'!D129,'Turns'!D141,'Turns'!D153,'Turns'!D168,'Turns'!D183,'Turns'!D194,'Turns'!D207,'Turns'!D218)=9,SUM('Turns'!D114,'Turns'!D129,'Turns'!D141,'Turns'!D153,'Turns'!D168,'Turns'!D183,'Turns'!D194,'Turns'!D207,'Turns'!D218),"Unknown")</f>
        <v>3982.0</v>
      </c>
      <c r="K35" s="2">
        <f>IF(COUNT('Turns'!E114,'Turns'!E129,'Turns'!E141,'Turns'!E153,'Turns'!E168,'Turns'!E183,'Turns'!E194,'Turns'!E207,'Turns'!E218)=9,SUM('Turns'!E114,'Turns'!E129,'Turns'!E141,'Turns'!E153,'Turns'!E168,'Turns'!E183,'Turns'!E194,'Turns'!E207,'Turns'!E218),"Unknown")</f>
        <v>0.000694755468</v>
      </c>
      <c r="L35" s="2">
        <f>IF(COUNT('Turns'!F114,'Turns'!F129,'Turns'!F141,'Turns'!F153,'Turns'!F168,'Turns'!F183,'Turns'!F194,'Turns'!F207,'Turns'!F218)=9,SUM('Turns'!F114,'Turns'!F129,'Turns'!F141,'Turns'!F153,'Turns'!F168,'Turns'!F183,'Turns'!F194,'Turns'!F207,'Turns'!F218),"Unknown")</f>
        <v>0.0007964</v>
      </c>
      <c r="M35" s="2">
        <f>IF(COUNT('Turns'!D128,'Turns'!D140,'Turns'!D152,'Turns'!D167,'Turns'!D182,'Turns'!D193,'Turns'!D206,'Turns'!D217)=8,SUM('Turns'!D128,'Turns'!D140,'Turns'!D152,'Turns'!D167,'Turns'!D182,'Turns'!D193,'Turns'!D206,'Turns'!D217),"Unknown")</f>
        <v>0.0</v>
      </c>
      <c r="N35" s="2">
        <f>IF(COUNT('Turns'!E128,'Turns'!E140,'Turns'!E152,'Turns'!E167,'Turns'!E182,'Turns'!E193,'Turns'!E206,'Turns'!E217)=8,SUM('Turns'!E128,'Turns'!E140,'Turns'!E152,'Turns'!E167,'Turns'!E182,'Turns'!E193,'Turns'!E206,'Turns'!E217),"Unknown")</f>
        <v>0.0</v>
      </c>
      <c r="O35" s="2">
        <f>IF(COUNT('Turns'!F128,'Turns'!F140,'Turns'!F152,'Turns'!F167,'Turns'!F182,'Turns'!F193,'Turns'!F206,'Turns'!F217)=8,SUM('Turns'!F128,'Turns'!F140,'Turns'!F152,'Turns'!F167,'Turns'!F182,'Turns'!F193,'Turns'!F206,'Turns'!F217),"Unknown")</f>
        <v>0.0</v>
      </c>
      <c r="P35" s="2">
        <f>IF(COUNT('Turns'!D118,'Turns'!D208,'Turns'!D220)=3,SUM('Turns'!D118,'Turns'!D208,'Turns'!D220),"Unknown")</f>
        <v>3489.0</v>
      </c>
      <c r="Q35" s="2">
        <f>IF(COUNT('Turns'!E118,'Turns'!E208,'Turns'!E220)=3,SUM('Turns'!E118,'Turns'!E208,'Turns'!E220),"Unknown")</f>
        <v>0.0007609247325</v>
      </c>
      <c r="R35" s="2">
        <f>IF(COUNT('Turns'!F118,'Turns'!F208,'Turns'!F220)=3,SUM('Turns'!F118,'Turns'!F208,'Turns'!F220),"Unknown")</f>
        <v>0.00087225</v>
      </c>
      <c r="S35" s="2">
        <f>IF(COUNT('Turns'!D122,'Turns'!D134,'Turns'!D146,'Turns'!D158,'Turns'!D173,'Turns'!D187,'Turns'!D200,'Turns'!D211,'Turns'!D224)=9,SUM('Turns'!D122,'Turns'!D134,'Turns'!D146,'Turns'!D158,'Turns'!D173,'Turns'!D187,'Turns'!D200,'Turns'!D211,'Turns'!D224),"Unknown")</f>
        <v>2395.0</v>
      </c>
      <c r="T35" s="2">
        <f>IF(COUNT('Turns'!E122,'Turns'!E134,'Turns'!E146,'Turns'!E158,'Turns'!E173,'Turns'!E187,'Turns'!E200,'Turns'!E211,'Turns'!E224)=9,SUM('Turns'!E122,'Turns'!E134,'Turns'!E146,'Turns'!E158,'Turns'!E173,'Turns'!E187,'Turns'!E200,'Turns'!E211,'Turns'!E224),"Unknown")</f>
        <v>0.00250719138</v>
      </c>
      <c r="U35" s="2">
        <f>IF(COUNT('Turns'!F122,'Turns'!F134,'Turns'!F146,'Turns'!F158,'Turns'!F173,'Turns'!F187,'Turns'!F200,'Turns'!F211,'Turns'!F224)=9,SUM('Turns'!F122,'Turns'!F134,'Turns'!F146,'Turns'!F158,'Turns'!F173,'Turns'!F187,'Turns'!F200,'Turns'!F211,'Turns'!F224),"Unknown")</f>
        <v>0.002874</v>
      </c>
      <c r="V35" s="2">
        <f>IF(COUNT('Turns'!D121,'Turns'!D133,'Turns'!D145,'Turns'!D157,'Turns'!D172,'Turns'!D199,'Turns'!D223)=7,SUM('Turns'!D121,'Turns'!D133,'Turns'!D145,'Turns'!D157,'Turns'!D172,'Turns'!D199,'Turns'!D223),"Unknown")</f>
        <v>366.0</v>
      </c>
      <c r="W35" s="2">
        <f>IF(COUNT('Turns'!E121,'Turns'!E133,'Turns'!E145,'Turns'!E157,'Turns'!E172,'Turns'!E199,'Turns'!E223)=7,SUM('Turns'!E121,'Turns'!E133,'Turns'!E145,'Turns'!E157,'Turns'!E172,'Turns'!E199,'Turns'!E223),"Unknown")</f>
        <v>0.000383144904</v>
      </c>
      <c r="X35" s="2">
        <f>IF(COUNT('Turns'!F121,'Turns'!F133,'Turns'!F145,'Turns'!F157,'Turns'!F172,'Turns'!F199,'Turns'!F223)=7,SUM('Turns'!F121,'Turns'!F133,'Turns'!F145,'Turns'!F157,'Turns'!F172,'Turns'!F199,'Turns'!F223),"Unknown")</f>
        <v>0.0004392</v>
      </c>
      <c r="Y35" s="2">
        <f>IF(COUNT('Turns'!E126,'Turns'!E138,'Turns'!E150,'Turns'!E162,'Turns'!E177,'Turns'!E191,'Turns'!E204,'Turns'!E215,'Turns'!E228)=9,SUM('Turns'!E126,'Turns'!E138,'Turns'!E150,'Turns'!E162,'Turns'!E177,'Turns'!E191,'Turns'!E204,'Turns'!E215,'Turns'!E228),"Unknown")</f>
        <v>0.0043460164845</v>
      </c>
      <c r="Z35" s="2">
        <f>IF(COUNT('Turns'!F126,'Turns'!F138,'Turns'!F150,'Turns'!F162,'Turns'!F177,'Turns'!F191,'Turns'!F204,'Turns'!F215,'Turns'!F228)=9,SUM('Turns'!F126,'Turns'!F138,'Turns'!F150,'Turns'!F162,'Turns'!F177,'Turns'!F191,'Turns'!F204,'Turns'!F215,'Turns'!F228),"Unknown")</f>
        <v>0.00498185</v>
      </c>
      <c r="AA35" s="5">
        <f>IF(ISNUMBER(Y35),ROUND(Y35*'Reference data'!$B$2,0),"Unknown")</f>
        <v>435.0</v>
      </c>
      <c r="AB35" s="5">
        <f>IF(ISNUMBER(Z35),ROUND(Z35*'Reference data'!$B$2,0),"Unknown")</f>
        <v>498.0</v>
      </c>
      <c r="AD35" s="1">
        <v>31688.455</v>
      </c>
      <c r="AE35" s="1" t="s">
        <v>188</v>
      </c>
    </row>
    <row r="36" spans="1:31" ht="54" customHeight="1">
      <c r="A36" s="6" t="s">
        <v>189</v>
      </c>
      <c r="B36" s="1">
        <v>1</v>
      </c>
      <c r="C36" s="1" t="s">
        <v>186</v>
      </c>
      <c r="D36" s="1" t="s">
        <v>47</v>
      </c>
      <c r="E36" s="1" t="s">
        <v>111</v>
      </c>
      <c r="G36" s="6" t="s">
        <v>190</v>
      </c>
      <c r="H36" t="s">
        <v>247</v>
      </c>
      <c r="I36" t="s">
        <v>246</v>
      </c>
      <c r="J36" s="2">
        <f>IF(COUNT('Turns'!D114,'Turns'!D129)=2,SUM('Turns'!D114,'Turns'!D129),"Unknown")</f>
        <v>429.0</v>
      </c>
      <c r="K36" s="2">
        <f>IF(COUNT('Turns'!E114,'Turns'!E129)=2,SUM('Turns'!E114,'Turns'!E129),"Unknown")</f>
        <v>7.4849346e-05</v>
      </c>
      <c r="L36" s="2">
        <f>IF(COUNT('Turns'!F114,'Turns'!F129)=2,SUM('Turns'!F114,'Turns'!F129),"Unknown")</f>
        <v>8.58e-05</v>
      </c>
      <c r="M36" s="2">
        <f>IF(COUNT('Turns'!D128)=1,SUM('Turns'!D128),"Unknown")</f>
        <v>0.0</v>
      </c>
      <c r="N36" s="2">
        <f>IF(COUNT('Turns'!E128)=1,SUM('Turns'!E128),"Unknown")</f>
        <v>0.0</v>
      </c>
      <c r="O36" s="2">
        <f>IF(COUNT('Turns'!F128)=1,SUM('Turns'!F128),"Unknown")</f>
        <v>0.0</v>
      </c>
      <c r="P36" s="2">
        <f>IF(COUNT('Turns'!D118)=1,SUM('Turns'!D118),"Unknown")</f>
        <v>1223.0</v>
      </c>
      <c r="Q36" s="2">
        <f>IF(COUNT('Turns'!E118)=1,SUM('Turns'!E118),"Unknown")</f>
        <v>0.0002667271275</v>
      </c>
      <c r="R36" s="2">
        <f>IF(COUNT('Turns'!F118)=1,SUM('Turns'!F118),"Unknown")</f>
        <v>0.00030575</v>
      </c>
      <c r="S36" s="2">
        <f>IF(COUNT('Turns'!D122,'Turns'!D134)=2,SUM('Turns'!D122,'Turns'!D134),"Unknown")</f>
        <v>548.0</v>
      </c>
      <c r="T36" s="2">
        <f>IF(COUNT('Turns'!E122,'Turns'!E134)=2,SUM('Turns'!E122,'Turns'!E134),"Unknown")</f>
        <v>0.000573670512</v>
      </c>
      <c r="U36" s="2">
        <f>IF(COUNT('Turns'!F122,'Turns'!F134)=2,SUM('Turns'!F122,'Turns'!F134),"Unknown")</f>
        <v>0.0006576</v>
      </c>
      <c r="V36" s="2">
        <f>IF(COUNT('Turns'!D121,'Turns'!D133)=2,SUM('Turns'!D121,'Turns'!D133),"Unknown")</f>
        <v>142.0</v>
      </c>
      <c r="W36" s="2">
        <f>IF(COUNT('Turns'!E121,'Turns'!E133)=2,SUM('Turns'!E121,'Turns'!E133),"Unknown")</f>
        <v>0.000148651848</v>
      </c>
      <c r="X36" s="2">
        <f>IF(COUNT('Turns'!F121,'Turns'!F133)=2,SUM('Turns'!F121,'Turns'!F133),"Unknown")</f>
        <v>0.0001704</v>
      </c>
      <c r="Y36" s="2">
        <f>IF(COUNT('Turns'!E126,'Turns'!E138)=2,SUM('Turns'!E126,'Turns'!E138),"Unknown")</f>
        <v>0.0010638988335</v>
      </c>
      <c r="Z36" s="2">
        <f>IF(COUNT('Turns'!F126,'Turns'!F138)=2,SUM('Turns'!F126,'Turns'!F138),"Unknown")</f>
        <v>0.00121955</v>
      </c>
      <c r="AA36" s="5">
        <f>IF(ISNUMBER(Y36),ROUND(Y36*'Reference data'!$B$2,0),"Unknown")</f>
        <v>106.0</v>
      </c>
      <c r="AB36" s="5">
        <f>IF(ISNUMBER(Z36),ROUND(Z36*'Reference data'!$B$2,0),"Unknown")</f>
        <v>122.0</v>
      </c>
      <c r="AD36" s="1">
        <v>8872.959999999999</v>
      </c>
      <c r="AE36" s="1" t="s">
        <v>188</v>
      </c>
    </row>
    <row r="37" spans="1:31" ht="54" customHeight="1">
      <c r="A37" s="6" t="s">
        <v>192</v>
      </c>
      <c r="B37" s="1">
        <v>2</v>
      </c>
      <c r="C37" s="1" t="s">
        <v>186</v>
      </c>
      <c r="D37" s="1" t="s">
        <v>47</v>
      </c>
      <c r="E37" s="1" t="s">
        <v>111</v>
      </c>
      <c r="G37" s="6" t="s">
        <v>193</v>
      </c>
      <c r="H37" t="s">
        <v>248</v>
      </c>
      <c r="I37" t="s">
        <v>247</v>
      </c>
      <c r="J37" s="2">
        <f>IF(COUNT('Turns'!D114,'Turns'!D129)=2,SUM('Turns'!D114,'Turns'!D129),"Unknown")</f>
        <v>429.0</v>
      </c>
      <c r="K37" s="2">
        <f>IF(COUNT('Turns'!E114,'Turns'!E129)=2,SUM('Turns'!E114,'Turns'!E129),"Unknown")</f>
        <v>7.4849346e-05</v>
      </c>
      <c r="L37" s="2">
        <f>IF(COUNT('Turns'!F114,'Turns'!F129)=2,SUM('Turns'!F114,'Turns'!F129),"Unknown")</f>
        <v>8.58e-05</v>
      </c>
      <c r="M37" s="2">
        <f>IF(COUNT('Turns'!D128)=1,SUM('Turns'!D128),"Unknown")</f>
        <v>0.0</v>
      </c>
      <c r="N37" s="2">
        <f>IF(COUNT('Turns'!E128)=1,SUM('Turns'!E128),"Unknown")</f>
        <v>0.0</v>
      </c>
      <c r="O37" s="2">
        <f>IF(COUNT('Turns'!F128)=1,SUM('Turns'!F128),"Unknown")</f>
        <v>0.0</v>
      </c>
      <c r="P37" s="2">
        <f>IF(COUNT('Turns'!D118)=1,SUM('Turns'!D118),"Unknown")</f>
        <v>1223.0</v>
      </c>
      <c r="Q37" s="2">
        <f>IF(COUNT('Turns'!E118)=1,SUM('Turns'!E118),"Unknown")</f>
        <v>0.0002667271275</v>
      </c>
      <c r="R37" s="2">
        <f>IF(COUNT('Turns'!F118)=1,SUM('Turns'!F118),"Unknown")</f>
        <v>0.00030575</v>
      </c>
      <c r="S37" s="2">
        <f>IF(COUNT('Turns'!D122,'Turns'!D134)=2,SUM('Turns'!D122,'Turns'!D134),"Unknown")</f>
        <v>548.0</v>
      </c>
      <c r="T37" s="2">
        <f>IF(COUNT('Turns'!E122,'Turns'!E134)=2,SUM('Turns'!E122,'Turns'!E134),"Unknown")</f>
        <v>0.000573670512</v>
      </c>
      <c r="U37" s="2">
        <f>IF(COUNT('Turns'!F122,'Turns'!F134)=2,SUM('Turns'!F122,'Turns'!F134),"Unknown")</f>
        <v>0.0006576</v>
      </c>
      <c r="V37" s="2">
        <f>IF(COUNT('Turns'!D121,'Turns'!D133)=2,SUM('Turns'!D121,'Turns'!D133),"Unknown")</f>
        <v>142.0</v>
      </c>
      <c r="W37" s="2">
        <f>IF(COUNT('Turns'!E121,'Turns'!E133)=2,SUM('Turns'!E121,'Turns'!E133),"Unknown")</f>
        <v>0.000148651848</v>
      </c>
      <c r="X37" s="2">
        <f>IF(COUNT('Turns'!F121,'Turns'!F133)=2,SUM('Turns'!F121,'Turns'!F133),"Unknown")</f>
        <v>0.0001704</v>
      </c>
      <c r="Y37" s="2">
        <f>IF(COUNT('Turns'!E126,'Turns'!E138)=2,SUM('Turns'!E126,'Turns'!E138),"Unknown")</f>
        <v>0.0010638988335</v>
      </c>
      <c r="Z37" s="2">
        <f>IF(COUNT('Turns'!F126,'Turns'!F138)=2,SUM('Turns'!F126,'Turns'!F138),"Unknown")</f>
        <v>0.00121955</v>
      </c>
      <c r="AA37" s="5">
        <f>IF(ISNUMBER(Y37),ROUND(Y37*'Reference data'!$B$2,0),"Unknown")</f>
        <v>106.0</v>
      </c>
      <c r="AB37" s="5">
        <f>IF(ISNUMBER(Z37),ROUND(Z37*'Reference data'!$B$2,0),"Unknown")</f>
        <v>122.0</v>
      </c>
      <c r="AD37" s="1">
        <v>8872.111000000001</v>
      </c>
      <c r="AE37" s="1" t="s">
        <v>188</v>
      </c>
    </row>
    <row r="38" spans="1:31" ht="54" customHeight="1">
      <c r="A38" s="6" t="s">
        <v>195</v>
      </c>
      <c r="B38" s="1">
        <v>3</v>
      </c>
      <c r="C38" s="1" t="s">
        <v>186</v>
      </c>
      <c r="D38" s="1" t="s">
        <v>47</v>
      </c>
      <c r="E38" s="1" t="s">
        <v>111</v>
      </c>
      <c r="G38" s="6" t="s">
        <v>196</v>
      </c>
      <c r="H38" t="s">
        <v>249</v>
      </c>
      <c r="I38" t="s">
        <v>248</v>
      </c>
      <c r="J38" s="2">
        <f>IF(COUNT('Turns'!D114,'Turns'!D129)=2,SUM('Turns'!D114,'Turns'!D129),"Unknown")</f>
        <v>429.0</v>
      </c>
      <c r="K38" s="2">
        <f>IF(COUNT('Turns'!E114,'Turns'!E129)=2,SUM('Turns'!E114,'Turns'!E129),"Unknown")</f>
        <v>7.4849346e-05</v>
      </c>
      <c r="L38" s="2">
        <f>IF(COUNT('Turns'!F114,'Turns'!F129)=2,SUM('Turns'!F114,'Turns'!F129),"Unknown")</f>
        <v>8.58e-05</v>
      </c>
      <c r="M38" s="2">
        <f>IF(COUNT('Turns'!D128)=1,SUM('Turns'!D128),"Unknown")</f>
        <v>0.0</v>
      </c>
      <c r="N38" s="2">
        <f>IF(COUNT('Turns'!E128)=1,SUM('Turns'!E128),"Unknown")</f>
        <v>0.0</v>
      </c>
      <c r="O38" s="2">
        <f>IF(COUNT('Turns'!F128)=1,SUM('Turns'!F128),"Unknown")</f>
        <v>0.0</v>
      </c>
      <c r="P38" s="2">
        <f>IF(COUNT('Turns'!D118)=1,SUM('Turns'!D118),"Unknown")</f>
        <v>1223.0</v>
      </c>
      <c r="Q38" s="2">
        <f>IF(COUNT('Turns'!E118)=1,SUM('Turns'!E118),"Unknown")</f>
        <v>0.0002667271275</v>
      </c>
      <c r="R38" s="2">
        <f>IF(COUNT('Turns'!F118)=1,SUM('Turns'!F118),"Unknown")</f>
        <v>0.00030575</v>
      </c>
      <c r="S38" s="2">
        <f>IF(COUNT('Turns'!D122,'Turns'!D134)=2,SUM('Turns'!D122,'Turns'!D134),"Unknown")</f>
        <v>548.0</v>
      </c>
      <c r="T38" s="2">
        <f>IF(COUNT('Turns'!E122,'Turns'!E134)=2,SUM('Turns'!E122,'Turns'!E134),"Unknown")</f>
        <v>0.000573670512</v>
      </c>
      <c r="U38" s="2">
        <f>IF(COUNT('Turns'!F122,'Turns'!F134)=2,SUM('Turns'!F122,'Turns'!F134),"Unknown")</f>
        <v>0.0006576</v>
      </c>
      <c r="V38" s="2">
        <f>IF(COUNT('Turns'!D121,'Turns'!D133)=2,SUM('Turns'!D121,'Turns'!D133),"Unknown")</f>
        <v>142.0</v>
      </c>
      <c r="W38" s="2">
        <f>IF(COUNT('Turns'!E121,'Turns'!E133)=2,SUM('Turns'!E121,'Turns'!E133),"Unknown")</f>
        <v>0.000148651848</v>
      </c>
      <c r="X38" s="2">
        <f>IF(COUNT('Turns'!F121,'Turns'!F133)=2,SUM('Turns'!F121,'Turns'!F133),"Unknown")</f>
        <v>0.0001704</v>
      </c>
      <c r="Y38" s="2">
        <f>IF(COUNT('Turns'!E126,'Turns'!E138)=2,SUM('Turns'!E126,'Turns'!E138),"Unknown")</f>
        <v>0.0010638988335</v>
      </c>
      <c r="Z38" s="2">
        <f>IF(COUNT('Turns'!F126,'Turns'!F138)=2,SUM('Turns'!F126,'Turns'!F138),"Unknown")</f>
        <v>0.00121955</v>
      </c>
      <c r="AA38" s="5">
        <f>IF(ISNUMBER(Y38),ROUND(Y38*'Reference data'!$B$2,0),"Unknown")</f>
        <v>106.0</v>
      </c>
      <c r="AB38" s="5">
        <f>IF(ISNUMBER(Z38),ROUND(Z38*'Reference data'!$B$2,0),"Unknown")</f>
        <v>122.0</v>
      </c>
      <c r="AD38" s="1">
        <v>8870.851000000001</v>
      </c>
      <c r="AE38" s="1" t="s">
        <v>188</v>
      </c>
    </row>
    <row r="39" spans="1:31" ht="54" customHeight="1">
      <c r="A39" s="6" t="s">
        <v>198</v>
      </c>
      <c r="B39" s="1">
        <v>4</v>
      </c>
      <c r="C39" s="1" t="s">
        <v>186</v>
      </c>
      <c r="D39" s="1" t="s">
        <v>47</v>
      </c>
      <c r="E39" s="1" t="s">
        <v>111</v>
      </c>
      <c r="G39" s="6" t="s">
        <v>199</v>
      </c>
      <c r="H39" t="s">
        <v>250</v>
      </c>
      <c r="I39" t="s">
        <v>249</v>
      </c>
      <c r="J39" s="2">
        <f>IF(COUNT('Turns'!D114)=1,SUM('Turns'!D114),"Unknown")</f>
        <v>3.0</v>
      </c>
      <c r="K39" s="2">
        <f>IF(COUNT('Turns'!E114)=1,SUM('Turns'!E114),"Unknown")</f>
        <v>5.23422e-07</v>
      </c>
      <c r="L39" s="2">
        <f>IF(COUNT('Turns'!F114)=1,SUM('Turns'!F114),"Unknown")</f>
        <v>6e-07</v>
      </c>
      <c r="M39" s="2">
        <v>0</v>
      </c>
      <c r="N39" s="2">
        <v>0</v>
      </c>
      <c r="O39" s="2">
        <v>0</v>
      </c>
      <c r="P39" s="2">
        <f>IF(COUNT('Turns'!D118)=1,SUM('Turns'!D118),"Unknown")</f>
        <v>1223.0</v>
      </c>
      <c r="Q39" s="2">
        <f>IF(COUNT('Turns'!E118)=1,SUM('Turns'!E118),"Unknown")</f>
        <v>0.0002667271275</v>
      </c>
      <c r="R39" s="2">
        <f>IF(COUNT('Turns'!F118)=1,SUM('Turns'!F118),"Unknown")</f>
        <v>0.00030575</v>
      </c>
      <c r="S39" s="2">
        <f>IF(COUNT('Turns'!D122)=1,SUM('Turns'!D122),"Unknown")</f>
        <v>358.0</v>
      </c>
      <c r="T39" s="2">
        <f>IF(COUNT('Turns'!E122)=1,SUM('Turns'!E122),"Unknown")</f>
        <v>0.000374770152</v>
      </c>
      <c r="U39" s="2">
        <f>IF(COUNT('Turns'!F122)=1,SUM('Turns'!F122),"Unknown")</f>
        <v>0.0004296</v>
      </c>
      <c r="V39" s="2">
        <f>IF(COUNT('Turns'!D121)=1,SUM('Turns'!D121),"Unknown")</f>
        <v>29.0</v>
      </c>
      <c r="W39" s="2">
        <f>IF(COUNT('Turns'!E121)=1,SUM('Turns'!E121),"Unknown")</f>
        <v>3.0358476e-05</v>
      </c>
      <c r="X39" s="2">
        <f>IF(COUNT('Turns'!F121)=1,SUM('Turns'!F121),"Unknown")</f>
        <v>3.48e-05</v>
      </c>
      <c r="Y39" s="2">
        <f>IF(COUNT('Turns'!E126)=1,SUM('Turns'!E126),"Unknown")</f>
        <v>0.0006723791775</v>
      </c>
      <c r="Z39" s="2">
        <f>IF(COUNT('Turns'!F126)=1,SUM('Turns'!F126),"Unknown")</f>
        <v>0.00077075</v>
      </c>
      <c r="AA39" s="5">
        <f>IF(ISNUMBER(Y39),ROUND(Y39*'Reference data'!$B$2,0),"Unknown")</f>
        <v>67.0</v>
      </c>
      <c r="AB39" s="5">
        <f>IF(ISNUMBER(Z39),ROUND(Z39*'Reference data'!$B$2,0),"Unknown")</f>
        <v>77.0</v>
      </c>
      <c r="AD39" s="1">
        <v>3265.458</v>
      </c>
      <c r="AE39" s="1" t="s">
        <v>188</v>
      </c>
    </row>
    <row r="40" spans="1:31" ht="54" customHeight="1">
      <c r="A40" s="6" t="s">
        <v>205</v>
      </c>
      <c r="B40" s="1">
        <v>5</v>
      </c>
      <c r="C40" s="1" t="s">
        <v>186</v>
      </c>
      <c r="D40" s="1" t="s">
        <v>47</v>
      </c>
      <c r="E40" s="1" t="s">
        <v>111</v>
      </c>
      <c r="G40" s="6" t="s">
        <v>217</v>
      </c>
      <c r="H40" t="s">
        <v>251</v>
      </c>
      <c r="I40" t="s">
        <v>250</v>
      </c>
      <c r="J40" s="2">
        <f>IF(COUNT('Turns'!D114)=1,SUM('Turns'!D114),"Unknown")</f>
        <v>3.0</v>
      </c>
      <c r="K40" s="2">
        <f>IF(COUNT('Turns'!E114)=1,SUM('Turns'!E114),"Unknown")</f>
        <v>5.23422e-07</v>
      </c>
      <c r="L40" s="2">
        <f>IF(COUNT('Turns'!F114)=1,SUM('Turns'!F114),"Unknown")</f>
        <v>6e-07</v>
      </c>
      <c r="M40" s="2">
        <v>0</v>
      </c>
      <c r="N40" s="2">
        <v>0</v>
      </c>
      <c r="O40" s="2">
        <v>0</v>
      </c>
      <c r="P40" s="2">
        <f>IF(COUNT('Turns'!D118)=1,SUM('Turns'!D118),"Unknown")</f>
        <v>1223.0</v>
      </c>
      <c r="Q40" s="2">
        <f>IF(COUNT('Turns'!E118)=1,SUM('Turns'!E118),"Unknown")</f>
        <v>0.0002667271275</v>
      </c>
      <c r="R40" s="2">
        <f>IF(COUNT('Turns'!F118)=1,SUM('Turns'!F118),"Unknown")</f>
        <v>0.00030575</v>
      </c>
      <c r="S40" s="2">
        <f>IF(COUNT('Turns'!D122)=1,SUM('Turns'!D122),"Unknown")</f>
        <v>358.0</v>
      </c>
      <c r="T40" s="2">
        <f>IF(COUNT('Turns'!E122)=1,SUM('Turns'!E122),"Unknown")</f>
        <v>0.000374770152</v>
      </c>
      <c r="U40" s="2">
        <f>IF(COUNT('Turns'!F122)=1,SUM('Turns'!F122),"Unknown")</f>
        <v>0.0004296</v>
      </c>
      <c r="V40" s="2">
        <f>IF(COUNT('Turns'!D121)=1,SUM('Turns'!D121),"Unknown")</f>
        <v>29.0</v>
      </c>
      <c r="W40" s="2">
        <f>IF(COUNT('Turns'!E121)=1,SUM('Turns'!E121),"Unknown")</f>
        <v>3.0358476e-05</v>
      </c>
      <c r="X40" s="2">
        <f>IF(COUNT('Turns'!F121)=1,SUM('Turns'!F121),"Unknown")</f>
        <v>3.48e-05</v>
      </c>
      <c r="Y40" s="2">
        <f>IF(COUNT('Turns'!E126)=1,SUM('Turns'!E126),"Unknown")</f>
        <v>0.0006723791775</v>
      </c>
      <c r="Z40" s="2">
        <f>IF(COUNT('Turns'!F126)=1,SUM('Turns'!F126),"Unknown")</f>
        <v>0.00077075</v>
      </c>
      <c r="AA40" s="5">
        <f>IF(ISNUMBER(Y40),ROUND(Y40*'Reference data'!$B$2,0),"Unknown")</f>
        <v>67.0</v>
      </c>
      <c r="AB40" s="5">
        <f>IF(ISNUMBER(Z40),ROUND(Z40*'Reference data'!$B$2,0),"Unknown")</f>
        <v>77.0</v>
      </c>
      <c r="AD40" s="1">
        <v>3263.296</v>
      </c>
      <c r="AE40" s="1" t="s">
        <v>188</v>
      </c>
    </row>
    <row r="41" spans="1:31" ht="54" customHeight="1">
      <c r="A41" s="6" t="s">
        <v>219</v>
      </c>
      <c r="B41" s="1">
        <v>6</v>
      </c>
      <c r="C41" s="1" t="s">
        <v>206</v>
      </c>
      <c r="D41" s="1" t="s">
        <v>95</v>
      </c>
      <c r="E41" s="1" t="s">
        <v>111</v>
      </c>
      <c r="F41" s="1">
        <v>1226</v>
      </c>
      <c r="G41" s="6" t="s">
        <v>207</v>
      </c>
      <c r="H41" t="s">
        <v>151</v>
      </c>
      <c r="I41" t="s">
        <v>251</v>
      </c>
      <c r="J41" s="2">
        <f>IF(COUNT('Turns'!D114)=1,SUM('Turns'!D114),"Unknown")</f>
        <v>3.0</v>
      </c>
      <c r="K41" s="2">
        <f>IF(COUNT('Turns'!E114)=1,SUM('Turns'!E114),"Unknown")</f>
        <v>5.23422e-07</v>
      </c>
      <c r="L41" s="2">
        <f>IF(COUNT('Turns'!F114)=1,SUM('Turns'!F114),"Unknown")</f>
        <v>6e-07</v>
      </c>
      <c r="M41" s="2">
        <v>0</v>
      </c>
      <c r="N41" s="2">
        <v>0</v>
      </c>
      <c r="O41" s="2">
        <v>0</v>
      </c>
      <c r="P41" s="2">
        <f>IF(COUNT('Turns'!D118)=1,SUM('Turns'!D118),"Unknown")</f>
        <v>1223.0</v>
      </c>
      <c r="Q41" s="2">
        <f>IF(COUNT('Turns'!E118)=1,SUM('Turns'!E118),"Unknown")</f>
        <v>0.0002667271275</v>
      </c>
      <c r="R41" s="2">
        <f>IF(COUNT('Turns'!F118)=1,SUM('Turns'!F118),"Unknown")</f>
        <v>0.00030575</v>
      </c>
      <c r="S41" s="2">
        <f>IF(COUNT('Turns'!D122)=1,SUM('Turns'!D122),"Unknown")</f>
        <v>358.0</v>
      </c>
      <c r="T41" s="2">
        <f>IF(COUNT('Turns'!E122)=1,SUM('Turns'!E122),"Unknown")</f>
        <v>0.000374770152</v>
      </c>
      <c r="U41" s="2">
        <f>IF(COUNT('Turns'!F122)=1,SUM('Turns'!F122),"Unknown")</f>
        <v>0.0004296</v>
      </c>
      <c r="V41" s="2">
        <f>IF(COUNT('Turns'!D121)=1,SUM('Turns'!D121),"Unknown")</f>
        <v>29.0</v>
      </c>
      <c r="W41" s="2">
        <f>IF(COUNT('Turns'!E121)=1,SUM('Turns'!E121),"Unknown")</f>
        <v>3.0358476e-05</v>
      </c>
      <c r="X41" s="2">
        <f>IF(COUNT('Turns'!F121)=1,SUM('Turns'!F121),"Unknown")</f>
        <v>3.48e-05</v>
      </c>
      <c r="Y41" s="2">
        <f>IF(COUNT('Turns'!E126)=1,SUM('Turns'!E126),"Unknown")</f>
        <v>0.0006723791775</v>
      </c>
      <c r="Z41" s="2">
        <f>IF(COUNT('Turns'!F126)=1,SUM('Turns'!F126),"Unknown")</f>
        <v>0.00077075</v>
      </c>
      <c r="AA41" s="5">
        <f>IF(ISNUMBER(Y41),ROUND(Y41*'Reference data'!$B$2,0),"Unknown")</f>
        <v>67.0</v>
      </c>
      <c r="AB41" s="5">
        <f>IF(ISNUMBER(Z41),ROUND(Z41*'Reference data'!$B$2,0),"Unknown")</f>
        <v>77.0</v>
      </c>
      <c r="AC41" s="1" t="s">
        <v>150</v>
      </c>
      <c r="AD41" s="1">
        <v>3261.376</v>
      </c>
      <c r="AE41" s="1" t="s">
        <v>208</v>
      </c>
    </row>
    <row r="42" spans="1:31" ht="54" customHeight="1">
      <c r="A42" s="6" t="s">
        <v>202</v>
      </c>
      <c r="B42" s="1">
        <v>4</v>
      </c>
      <c r="C42" s="1" t="s">
        <v>186</v>
      </c>
      <c r="D42" s="1" t="s">
        <v>47</v>
      </c>
      <c r="E42" s="1" t="s">
        <v>111</v>
      </c>
      <c r="G42" s="6" t="s">
        <v>203</v>
      </c>
      <c r="H42" t="s">
        <v>252</v>
      </c>
      <c r="I42" t="s">
        <v>249</v>
      </c>
      <c r="J42" s="2">
        <f>IF(COUNT('Turns'!D129)=1,SUM('Turns'!D129),"Unknown")</f>
        <v>426.0</v>
      </c>
      <c r="K42" s="2">
        <f>IF(COUNT('Turns'!E129)=1,SUM('Turns'!E129),"Unknown")</f>
        <v>7.4325924e-05</v>
      </c>
      <c r="L42" s="2">
        <f>IF(COUNT('Turns'!F129)=1,SUM('Turns'!F129),"Unknown")</f>
        <v>8.52e-05</v>
      </c>
      <c r="M42" s="2">
        <f>IF(COUNT('Turns'!D128)=1,SUM('Turns'!D128),"Unknown")</f>
        <v>0.0</v>
      </c>
      <c r="N42" s="2">
        <f>IF(COUNT('Turns'!E128)=1,SUM('Turns'!E128),"Unknown")</f>
        <v>0.0</v>
      </c>
      <c r="O42" s="2">
        <f>IF(COUNT('Turns'!F128)=1,SUM('Turns'!F128),"Unknown")</f>
        <v>0.0</v>
      </c>
      <c r="P42" s="2">
        <v>0</v>
      </c>
      <c r="Q42" s="2">
        <v>0</v>
      </c>
      <c r="R42" s="2">
        <v>0</v>
      </c>
      <c r="S42" s="2">
        <f>IF(COUNT('Turns'!D134)=1,SUM('Turns'!D134),"Unknown")</f>
        <v>190.0</v>
      </c>
      <c r="T42" s="2">
        <f>IF(COUNT('Turns'!E134)=1,SUM('Turns'!E134),"Unknown")</f>
        <v>0.00019890036</v>
      </c>
      <c r="U42" s="2">
        <f>IF(COUNT('Turns'!F134)=1,SUM('Turns'!F134),"Unknown")</f>
        <v>0.000228</v>
      </c>
      <c r="V42" s="2">
        <f>IF(COUNT('Turns'!D133)=1,SUM('Turns'!D133),"Unknown")</f>
        <v>113.0</v>
      </c>
      <c r="W42" s="2">
        <f>IF(COUNT('Turns'!E133)=1,SUM('Turns'!E133),"Unknown")</f>
        <v>0.000118293372</v>
      </c>
      <c r="X42" s="2">
        <f>IF(COUNT('Turns'!F133)=1,SUM('Turns'!F133),"Unknown")</f>
        <v>0.0001356</v>
      </c>
      <c r="Y42" s="2">
        <f>IF(COUNT('Turns'!E138)=1,SUM('Turns'!E138),"Unknown")</f>
        <v>0.000391519656</v>
      </c>
      <c r="Z42" s="2">
        <f>IF(COUNT('Turns'!F138)=1,SUM('Turns'!F138),"Unknown")</f>
        <v>0.0004488</v>
      </c>
      <c r="AA42" s="5">
        <f>IF(ISNUMBER(Y42),ROUND(Y42*'Reference data'!$B$2,0),"Unknown")</f>
        <v>39.0</v>
      </c>
      <c r="AB42" s="5">
        <f>IF(ISNUMBER(Z42),ROUND(Z42*'Reference data'!$B$2,0),"Unknown")</f>
        <v>45.0</v>
      </c>
      <c r="AD42" s="1">
        <v>5600.65</v>
      </c>
      <c r="AE42" s="1" t="s">
        <v>188</v>
      </c>
    </row>
    <row r="43" spans="1:31" ht="54" customHeight="1">
      <c r="A43" s="6" t="s">
        <v>205</v>
      </c>
      <c r="B43" s="1">
        <v>5</v>
      </c>
      <c r="C43" s="1" t="s">
        <v>206</v>
      </c>
      <c r="D43" s="1" t="s">
        <v>95</v>
      </c>
      <c r="E43" s="1" t="s">
        <v>111</v>
      </c>
      <c r="F43" s="1">
        <v>426</v>
      </c>
      <c r="G43" s="6" t="s">
        <v>207</v>
      </c>
      <c r="H43" t="s">
        <v>155</v>
      </c>
      <c r="I43" t="s">
        <v>252</v>
      </c>
      <c r="J43" s="2">
        <f>IF(COUNT('Turns'!D129)=1,SUM('Turns'!D129),"Unknown")</f>
        <v>426.0</v>
      </c>
      <c r="K43" s="2">
        <f>IF(COUNT('Turns'!E129)=1,SUM('Turns'!E129),"Unknown")</f>
        <v>7.4325924e-05</v>
      </c>
      <c r="L43" s="2">
        <f>IF(COUNT('Turns'!F129)=1,SUM('Turns'!F129),"Unknown")</f>
        <v>8.52e-05</v>
      </c>
      <c r="M43" s="2">
        <f>IF(COUNT('Turns'!D128)=1,SUM('Turns'!D128),"Unknown")</f>
        <v>0.0</v>
      </c>
      <c r="N43" s="2">
        <f>IF(COUNT('Turns'!E128)=1,SUM('Turns'!E128),"Unknown")</f>
        <v>0.0</v>
      </c>
      <c r="O43" s="2">
        <f>IF(COUNT('Turns'!F128)=1,SUM('Turns'!F128),"Unknown")</f>
        <v>0.0</v>
      </c>
      <c r="P43" s="2">
        <v>0</v>
      </c>
      <c r="Q43" s="2">
        <v>0</v>
      </c>
      <c r="R43" s="2">
        <v>0</v>
      </c>
      <c r="S43" s="2">
        <f>IF(COUNT('Turns'!D134)=1,SUM('Turns'!D134),"Unknown")</f>
        <v>190.0</v>
      </c>
      <c r="T43" s="2">
        <f>IF(COUNT('Turns'!E134)=1,SUM('Turns'!E134),"Unknown")</f>
        <v>0.00019890036</v>
      </c>
      <c r="U43" s="2">
        <f>IF(COUNT('Turns'!F134)=1,SUM('Turns'!F134),"Unknown")</f>
        <v>0.000228</v>
      </c>
      <c r="V43" s="2">
        <f>IF(COUNT('Turns'!D133)=1,SUM('Turns'!D133),"Unknown")</f>
        <v>113.0</v>
      </c>
      <c r="W43" s="2">
        <f>IF(COUNT('Turns'!E133)=1,SUM('Turns'!E133),"Unknown")</f>
        <v>0.000118293372</v>
      </c>
      <c r="X43" s="2">
        <f>IF(COUNT('Turns'!F133)=1,SUM('Turns'!F133),"Unknown")</f>
        <v>0.0001356</v>
      </c>
      <c r="Y43" s="2">
        <f>IF(COUNT('Turns'!E138)=1,SUM('Turns'!E138),"Unknown")</f>
        <v>0.000391519656</v>
      </c>
      <c r="Z43" s="2">
        <f>IF(COUNT('Turns'!F138)=1,SUM('Turns'!F138),"Unknown")</f>
        <v>0.0004488</v>
      </c>
      <c r="AA43" s="5">
        <f>IF(ISNUMBER(Y43),ROUND(Y43*'Reference data'!$B$2,0),"Unknown")</f>
        <v>39.0</v>
      </c>
      <c r="AB43" s="5">
        <f>IF(ISNUMBER(Z43),ROUND(Z43*'Reference data'!$B$2,0),"Unknown")</f>
        <v>45.0</v>
      </c>
      <c r="AC43" s="1" t="s">
        <v>154</v>
      </c>
      <c r="AD43" s="1">
        <v>5596.885</v>
      </c>
      <c r="AE43" s="1" t="s">
        <v>208</v>
      </c>
    </row>
    <row r="44" spans="1:31" ht="54" customHeight="1">
      <c r="A44" s="6" t="s">
        <v>209</v>
      </c>
      <c r="B44" s="1">
        <v>1</v>
      </c>
      <c r="C44" s="1" t="s">
        <v>186</v>
      </c>
      <c r="D44" s="1" t="s">
        <v>47</v>
      </c>
      <c r="E44" s="1" t="s">
        <v>111</v>
      </c>
      <c r="G44" s="6" t="s">
        <v>210</v>
      </c>
      <c r="H44" t="s">
        <v>253</v>
      </c>
      <c r="I44" t="s">
        <v>246</v>
      </c>
      <c r="J44" s="2">
        <f>IF(COUNT('Turns'!D141,'Turns'!D153,'Turns'!D168,'Turns'!D183,'Turns'!D194,'Turns'!D207,'Turns'!D218)=7,SUM('Turns'!D141,'Turns'!D153,'Turns'!D168,'Turns'!D183,'Turns'!D194,'Turns'!D207,'Turns'!D218),"Unknown")</f>
        <v>3553.0</v>
      </c>
      <c r="K44" s="2">
        <f>IF(COUNT('Turns'!E141,'Turns'!E153,'Turns'!E168,'Turns'!E183,'Turns'!E194,'Turns'!E207,'Turns'!E218)=7,SUM('Turns'!E141,'Turns'!E153,'Turns'!E168,'Turns'!E183,'Turns'!E194,'Turns'!E207,'Turns'!E218),"Unknown")</f>
        <v>0.000619906122</v>
      </c>
      <c r="L44" s="2">
        <f>IF(COUNT('Turns'!F141,'Turns'!F153,'Turns'!F168,'Turns'!F183,'Turns'!F194,'Turns'!F207,'Turns'!F218)=7,SUM('Turns'!F141,'Turns'!F153,'Turns'!F168,'Turns'!F183,'Turns'!F194,'Turns'!F207,'Turns'!F218),"Unknown")</f>
        <v>0.0007106</v>
      </c>
      <c r="M44" s="2">
        <f>IF(COUNT('Turns'!D140,'Turns'!D152,'Turns'!D167,'Turns'!D182,'Turns'!D193,'Turns'!D206,'Turns'!D217)=7,SUM('Turns'!D140,'Turns'!D152,'Turns'!D167,'Turns'!D182,'Turns'!D193,'Turns'!D206,'Turns'!D217),"Unknown")</f>
        <v>0.0</v>
      </c>
      <c r="N44" s="2">
        <f>IF(COUNT('Turns'!E140,'Turns'!E152,'Turns'!E167,'Turns'!E182,'Turns'!E193,'Turns'!E206,'Turns'!E217)=7,SUM('Turns'!E140,'Turns'!E152,'Turns'!E167,'Turns'!E182,'Turns'!E193,'Turns'!E206,'Turns'!E217),"Unknown")</f>
        <v>0.0</v>
      </c>
      <c r="O44" s="2">
        <f>IF(COUNT('Turns'!F140,'Turns'!F152,'Turns'!F167,'Turns'!F182,'Turns'!F193,'Turns'!F206,'Turns'!F217)=7,SUM('Turns'!F140,'Turns'!F152,'Turns'!F167,'Turns'!F182,'Turns'!F193,'Turns'!F206,'Turns'!F217),"Unknown")</f>
        <v>0.0</v>
      </c>
      <c r="P44" s="2">
        <f>IF(COUNT('Turns'!D208,'Turns'!D220)=2,SUM('Turns'!D208,'Turns'!D220),"Unknown")</f>
        <v>2266.0</v>
      </c>
      <c r="Q44" s="2">
        <f>IF(COUNT('Turns'!E208,'Turns'!E220)=2,SUM('Turns'!E208,'Turns'!E220),"Unknown")</f>
        <v>0.000494197605</v>
      </c>
      <c r="R44" s="2">
        <f>IF(COUNT('Turns'!F208,'Turns'!F220)=2,SUM('Turns'!F208,'Turns'!F220),"Unknown")</f>
        <v>0.0005665</v>
      </c>
      <c r="S44" s="2">
        <f>IF(COUNT('Turns'!D146,'Turns'!D158,'Turns'!D173,'Turns'!D187,'Turns'!D200,'Turns'!D211,'Turns'!D224)=7,SUM('Turns'!D146,'Turns'!D158,'Turns'!D173,'Turns'!D187,'Turns'!D200,'Turns'!D211,'Turns'!D224),"Unknown")</f>
        <v>1847.0</v>
      </c>
      <c r="T44" s="2">
        <f>IF(COUNT('Turns'!E146,'Turns'!E158,'Turns'!E173,'Turns'!E187,'Turns'!E200,'Turns'!E211,'Turns'!E224)=7,SUM('Turns'!E146,'Turns'!E158,'Turns'!E173,'Turns'!E187,'Turns'!E200,'Turns'!E211,'Turns'!E224),"Unknown")</f>
        <v>0.001933520868</v>
      </c>
      <c r="U44" s="2">
        <f>IF(COUNT('Turns'!F146,'Turns'!F158,'Turns'!F173,'Turns'!F187,'Turns'!F200,'Turns'!F211,'Turns'!F224)=7,SUM('Turns'!F146,'Turns'!F158,'Turns'!F173,'Turns'!F187,'Turns'!F200,'Turns'!F211,'Turns'!F224),"Unknown")</f>
        <v>0.0022164</v>
      </c>
      <c r="V44" s="2">
        <f>IF(COUNT('Turns'!D145,'Turns'!D157,'Turns'!D172,'Turns'!D199,'Turns'!D223)=5,SUM('Turns'!D145,'Turns'!D157,'Turns'!D172,'Turns'!D199,'Turns'!D223),"Unknown")</f>
        <v>224.0</v>
      </c>
      <c r="W44" s="2">
        <f>IF(COUNT('Turns'!E145,'Turns'!E157,'Turns'!E172,'Turns'!E199,'Turns'!E223)=5,SUM('Turns'!E145,'Turns'!E157,'Turns'!E172,'Turns'!E199,'Turns'!E223),"Unknown")</f>
        <v>0.000234493056</v>
      </c>
      <c r="X44" s="2">
        <f>IF(COUNT('Turns'!F145,'Turns'!F157,'Turns'!F172,'Turns'!F199,'Turns'!F223)=5,SUM('Turns'!F145,'Turns'!F157,'Turns'!F172,'Turns'!F199,'Turns'!F223),"Unknown")</f>
        <v>0.0002688</v>
      </c>
      <c r="Y44" s="2">
        <f>IF(COUNT('Turns'!E150,'Turns'!E162,'Turns'!E177,'Turns'!E191,'Turns'!E204,'Turns'!E215,'Turns'!E228)=7,SUM('Turns'!E150,'Turns'!E162,'Turns'!E177,'Turns'!E191,'Turns'!E204,'Turns'!E215,'Turns'!E228),"Unknown")</f>
        <v>0.003282117651</v>
      </c>
      <c r="Z44" s="2">
        <f>IF(COUNT('Turns'!F150,'Turns'!F162,'Turns'!F177,'Turns'!F191,'Turns'!F204,'Turns'!F215,'Turns'!F228)=7,SUM('Turns'!F150,'Turns'!F162,'Turns'!F177,'Turns'!F191,'Turns'!F204,'Turns'!F215,'Turns'!F228),"Unknown")</f>
        <v>0.0037623</v>
      </c>
      <c r="AA44" s="5">
        <f>IF(ISNUMBER(Y44),ROUND(Y44*'Reference data'!$B$2,0),"Unknown")</f>
        <v>328.0</v>
      </c>
      <c r="AB44" s="5">
        <f>IF(ISNUMBER(Z44),ROUND(Z44*'Reference data'!$B$2,0),"Unknown")</f>
        <v>376.0</v>
      </c>
      <c r="AD44" s="1">
        <v>22812.62</v>
      </c>
      <c r="AE44" s="1" t="s">
        <v>188</v>
      </c>
    </row>
    <row r="45" spans="1:31" ht="54" customHeight="1">
      <c r="A45" s="6" t="s">
        <v>192</v>
      </c>
      <c r="B45" s="1">
        <v>2</v>
      </c>
      <c r="C45" s="1" t="s">
        <v>186</v>
      </c>
      <c r="D45" s="1" t="s">
        <v>47</v>
      </c>
      <c r="E45" s="1" t="s">
        <v>111</v>
      </c>
      <c r="G45" s="6" t="s">
        <v>193</v>
      </c>
      <c r="H45" t="s">
        <v>254</v>
      </c>
      <c r="I45" t="s">
        <v>253</v>
      </c>
      <c r="J45" s="2">
        <f>IF(COUNT('Turns'!D141,'Turns'!D153,'Turns'!D168,'Turns'!D183,'Turns'!D194,'Turns'!D207,'Turns'!D218)=7,SUM('Turns'!D141,'Turns'!D153,'Turns'!D168,'Turns'!D183,'Turns'!D194,'Turns'!D207,'Turns'!D218),"Unknown")</f>
        <v>3553.0</v>
      </c>
      <c r="K45" s="2">
        <f>IF(COUNT('Turns'!E141,'Turns'!E153,'Turns'!E168,'Turns'!E183,'Turns'!E194,'Turns'!E207,'Turns'!E218)=7,SUM('Turns'!E141,'Turns'!E153,'Turns'!E168,'Turns'!E183,'Turns'!E194,'Turns'!E207,'Turns'!E218),"Unknown")</f>
        <v>0.000619906122</v>
      </c>
      <c r="L45" s="2">
        <f>IF(COUNT('Turns'!F141,'Turns'!F153,'Turns'!F168,'Turns'!F183,'Turns'!F194,'Turns'!F207,'Turns'!F218)=7,SUM('Turns'!F141,'Turns'!F153,'Turns'!F168,'Turns'!F183,'Turns'!F194,'Turns'!F207,'Turns'!F218),"Unknown")</f>
        <v>0.0007106</v>
      </c>
      <c r="M45" s="2">
        <f>IF(COUNT('Turns'!D140,'Turns'!D152,'Turns'!D167,'Turns'!D182,'Turns'!D193,'Turns'!D206,'Turns'!D217)=7,SUM('Turns'!D140,'Turns'!D152,'Turns'!D167,'Turns'!D182,'Turns'!D193,'Turns'!D206,'Turns'!D217),"Unknown")</f>
        <v>0.0</v>
      </c>
      <c r="N45" s="2">
        <f>IF(COUNT('Turns'!E140,'Turns'!E152,'Turns'!E167,'Turns'!E182,'Turns'!E193,'Turns'!E206,'Turns'!E217)=7,SUM('Turns'!E140,'Turns'!E152,'Turns'!E167,'Turns'!E182,'Turns'!E193,'Turns'!E206,'Turns'!E217),"Unknown")</f>
        <v>0.0</v>
      </c>
      <c r="O45" s="2">
        <f>IF(COUNT('Turns'!F140,'Turns'!F152,'Turns'!F167,'Turns'!F182,'Turns'!F193,'Turns'!F206,'Turns'!F217)=7,SUM('Turns'!F140,'Turns'!F152,'Turns'!F167,'Turns'!F182,'Turns'!F193,'Turns'!F206,'Turns'!F217),"Unknown")</f>
        <v>0.0</v>
      </c>
      <c r="P45" s="2">
        <f>IF(COUNT('Turns'!D208,'Turns'!D220)=2,SUM('Turns'!D208,'Turns'!D220),"Unknown")</f>
        <v>2266.0</v>
      </c>
      <c r="Q45" s="2">
        <f>IF(COUNT('Turns'!E208,'Turns'!E220)=2,SUM('Turns'!E208,'Turns'!E220),"Unknown")</f>
        <v>0.000494197605</v>
      </c>
      <c r="R45" s="2">
        <f>IF(COUNT('Turns'!F208,'Turns'!F220)=2,SUM('Turns'!F208,'Turns'!F220),"Unknown")</f>
        <v>0.0005665</v>
      </c>
      <c r="S45" s="2">
        <f>IF(COUNT('Turns'!D146,'Turns'!D158,'Turns'!D173,'Turns'!D187,'Turns'!D200,'Turns'!D211,'Turns'!D224)=7,SUM('Turns'!D146,'Turns'!D158,'Turns'!D173,'Turns'!D187,'Turns'!D200,'Turns'!D211,'Turns'!D224),"Unknown")</f>
        <v>1847.0</v>
      </c>
      <c r="T45" s="2">
        <f>IF(COUNT('Turns'!E146,'Turns'!E158,'Turns'!E173,'Turns'!E187,'Turns'!E200,'Turns'!E211,'Turns'!E224)=7,SUM('Turns'!E146,'Turns'!E158,'Turns'!E173,'Turns'!E187,'Turns'!E200,'Turns'!E211,'Turns'!E224),"Unknown")</f>
        <v>0.001933520868</v>
      </c>
      <c r="U45" s="2">
        <f>IF(COUNT('Turns'!F146,'Turns'!F158,'Turns'!F173,'Turns'!F187,'Turns'!F200,'Turns'!F211,'Turns'!F224)=7,SUM('Turns'!F146,'Turns'!F158,'Turns'!F173,'Turns'!F187,'Turns'!F200,'Turns'!F211,'Turns'!F224),"Unknown")</f>
        <v>0.0022164</v>
      </c>
      <c r="V45" s="2">
        <f>IF(COUNT('Turns'!D145,'Turns'!D157,'Turns'!D172,'Turns'!D199,'Turns'!D223)=5,SUM('Turns'!D145,'Turns'!D157,'Turns'!D172,'Turns'!D199,'Turns'!D223),"Unknown")</f>
        <v>224.0</v>
      </c>
      <c r="W45" s="2">
        <f>IF(COUNT('Turns'!E145,'Turns'!E157,'Turns'!E172,'Turns'!E199,'Turns'!E223)=5,SUM('Turns'!E145,'Turns'!E157,'Turns'!E172,'Turns'!E199,'Turns'!E223),"Unknown")</f>
        <v>0.000234493056</v>
      </c>
      <c r="X45" s="2">
        <f>IF(COUNT('Turns'!F145,'Turns'!F157,'Turns'!F172,'Turns'!F199,'Turns'!F223)=5,SUM('Turns'!F145,'Turns'!F157,'Turns'!F172,'Turns'!F199,'Turns'!F223),"Unknown")</f>
        <v>0.0002688</v>
      </c>
      <c r="Y45" s="2">
        <f>IF(COUNT('Turns'!E150,'Turns'!E162,'Turns'!E177,'Turns'!E191,'Turns'!E204,'Turns'!E215,'Turns'!E228)=7,SUM('Turns'!E150,'Turns'!E162,'Turns'!E177,'Turns'!E191,'Turns'!E204,'Turns'!E215,'Turns'!E228),"Unknown")</f>
        <v>0.003282117651</v>
      </c>
      <c r="Z45" s="2">
        <f>IF(COUNT('Turns'!F150,'Turns'!F162,'Turns'!F177,'Turns'!F191,'Turns'!F204,'Turns'!F215,'Turns'!F228)=7,SUM('Turns'!F150,'Turns'!F162,'Turns'!F177,'Turns'!F191,'Turns'!F204,'Turns'!F215,'Turns'!F228),"Unknown")</f>
        <v>0.0037623</v>
      </c>
      <c r="AA45" s="5">
        <f>IF(ISNUMBER(Y45),ROUND(Y45*'Reference data'!$B$2,0),"Unknown")</f>
        <v>328.0</v>
      </c>
      <c r="AB45" s="5">
        <f>IF(ISNUMBER(Z45),ROUND(Z45*'Reference data'!$B$2,0),"Unknown")</f>
        <v>376.0</v>
      </c>
      <c r="AD45" s="1">
        <v>22811.882</v>
      </c>
      <c r="AE45" s="1" t="s">
        <v>188</v>
      </c>
    </row>
    <row r="46" spans="1:31" ht="54" customHeight="1">
      <c r="A46" s="6" t="s">
        <v>213</v>
      </c>
      <c r="B46" s="1">
        <v>3</v>
      </c>
      <c r="C46" s="1" t="s">
        <v>186</v>
      </c>
      <c r="D46" s="1" t="s">
        <v>47</v>
      </c>
      <c r="E46" s="1" t="s">
        <v>111</v>
      </c>
      <c r="G46" s="6" t="s">
        <v>214</v>
      </c>
      <c r="H46" t="s">
        <v>255</v>
      </c>
      <c r="I46" t="s">
        <v>254</v>
      </c>
      <c r="J46" s="2">
        <f>IF(COUNT('Turns'!D141,'Turns'!D153,'Turns'!D168,'Turns'!D183,'Turns'!D194,'Turns'!D207,'Turns'!D218)=7,SUM('Turns'!D141,'Turns'!D153,'Turns'!D168,'Turns'!D183,'Turns'!D194,'Turns'!D207,'Turns'!D218),"Unknown")</f>
        <v>3553.0</v>
      </c>
      <c r="K46" s="2">
        <f>IF(COUNT('Turns'!E141,'Turns'!E153,'Turns'!E168,'Turns'!E183,'Turns'!E194,'Turns'!E207,'Turns'!E218)=7,SUM('Turns'!E141,'Turns'!E153,'Turns'!E168,'Turns'!E183,'Turns'!E194,'Turns'!E207,'Turns'!E218),"Unknown")</f>
        <v>0.000619906122</v>
      </c>
      <c r="L46" s="2">
        <f>IF(COUNT('Turns'!F141,'Turns'!F153,'Turns'!F168,'Turns'!F183,'Turns'!F194,'Turns'!F207,'Turns'!F218)=7,SUM('Turns'!F141,'Turns'!F153,'Turns'!F168,'Turns'!F183,'Turns'!F194,'Turns'!F207,'Turns'!F218),"Unknown")</f>
        <v>0.0007106</v>
      </c>
      <c r="M46" s="2">
        <f>IF(COUNT('Turns'!D140,'Turns'!D152,'Turns'!D167,'Turns'!D182,'Turns'!D193,'Turns'!D206,'Turns'!D217)=7,SUM('Turns'!D140,'Turns'!D152,'Turns'!D167,'Turns'!D182,'Turns'!D193,'Turns'!D206,'Turns'!D217),"Unknown")</f>
        <v>0.0</v>
      </c>
      <c r="N46" s="2">
        <f>IF(COUNT('Turns'!E140,'Turns'!E152,'Turns'!E167,'Turns'!E182,'Turns'!E193,'Turns'!E206,'Turns'!E217)=7,SUM('Turns'!E140,'Turns'!E152,'Turns'!E167,'Turns'!E182,'Turns'!E193,'Turns'!E206,'Turns'!E217),"Unknown")</f>
        <v>0.0</v>
      </c>
      <c r="O46" s="2">
        <f>IF(COUNT('Turns'!F140,'Turns'!F152,'Turns'!F167,'Turns'!F182,'Turns'!F193,'Turns'!F206,'Turns'!F217)=7,SUM('Turns'!F140,'Turns'!F152,'Turns'!F167,'Turns'!F182,'Turns'!F193,'Turns'!F206,'Turns'!F217),"Unknown")</f>
        <v>0.0</v>
      </c>
      <c r="P46" s="2">
        <f>IF(COUNT('Turns'!D208,'Turns'!D220)=2,SUM('Turns'!D208,'Turns'!D220),"Unknown")</f>
        <v>2266.0</v>
      </c>
      <c r="Q46" s="2">
        <f>IF(COUNT('Turns'!E208,'Turns'!E220)=2,SUM('Turns'!E208,'Turns'!E220),"Unknown")</f>
        <v>0.000494197605</v>
      </c>
      <c r="R46" s="2">
        <f>IF(COUNT('Turns'!F208,'Turns'!F220)=2,SUM('Turns'!F208,'Turns'!F220),"Unknown")</f>
        <v>0.0005665</v>
      </c>
      <c r="S46" s="2">
        <f>IF(COUNT('Turns'!D146,'Turns'!D158,'Turns'!D173,'Turns'!D187,'Turns'!D200,'Turns'!D211,'Turns'!D224)=7,SUM('Turns'!D146,'Turns'!D158,'Turns'!D173,'Turns'!D187,'Turns'!D200,'Turns'!D211,'Turns'!D224),"Unknown")</f>
        <v>1847.0</v>
      </c>
      <c r="T46" s="2">
        <f>IF(COUNT('Turns'!E146,'Turns'!E158,'Turns'!E173,'Turns'!E187,'Turns'!E200,'Turns'!E211,'Turns'!E224)=7,SUM('Turns'!E146,'Turns'!E158,'Turns'!E173,'Turns'!E187,'Turns'!E200,'Turns'!E211,'Turns'!E224),"Unknown")</f>
        <v>0.001933520868</v>
      </c>
      <c r="U46" s="2">
        <f>IF(COUNT('Turns'!F146,'Turns'!F158,'Turns'!F173,'Turns'!F187,'Turns'!F200,'Turns'!F211,'Turns'!F224)=7,SUM('Turns'!F146,'Turns'!F158,'Turns'!F173,'Turns'!F187,'Turns'!F200,'Turns'!F211,'Turns'!F224),"Unknown")</f>
        <v>0.0022164</v>
      </c>
      <c r="V46" s="2">
        <f>IF(COUNT('Turns'!D145,'Turns'!D157,'Turns'!D172,'Turns'!D199,'Turns'!D223)=5,SUM('Turns'!D145,'Turns'!D157,'Turns'!D172,'Turns'!D199,'Turns'!D223),"Unknown")</f>
        <v>224.0</v>
      </c>
      <c r="W46" s="2">
        <f>IF(COUNT('Turns'!E145,'Turns'!E157,'Turns'!E172,'Turns'!E199,'Turns'!E223)=5,SUM('Turns'!E145,'Turns'!E157,'Turns'!E172,'Turns'!E199,'Turns'!E223),"Unknown")</f>
        <v>0.000234493056</v>
      </c>
      <c r="X46" s="2">
        <f>IF(COUNT('Turns'!F145,'Turns'!F157,'Turns'!F172,'Turns'!F199,'Turns'!F223)=5,SUM('Turns'!F145,'Turns'!F157,'Turns'!F172,'Turns'!F199,'Turns'!F223),"Unknown")</f>
        <v>0.0002688</v>
      </c>
      <c r="Y46" s="2">
        <f>IF(COUNT('Turns'!E150,'Turns'!E162,'Turns'!E177,'Turns'!E191,'Turns'!E204,'Turns'!E215,'Turns'!E228)=7,SUM('Turns'!E150,'Turns'!E162,'Turns'!E177,'Turns'!E191,'Turns'!E204,'Turns'!E215,'Turns'!E228),"Unknown")</f>
        <v>0.003282117651</v>
      </c>
      <c r="Z46" s="2">
        <f>IF(COUNT('Turns'!F150,'Turns'!F162,'Turns'!F177,'Turns'!F191,'Turns'!F204,'Turns'!F215,'Turns'!F228)=7,SUM('Turns'!F150,'Turns'!F162,'Turns'!F177,'Turns'!F191,'Turns'!F204,'Turns'!F215,'Turns'!F228),"Unknown")</f>
        <v>0.0037623</v>
      </c>
      <c r="AA46" s="5">
        <f>IF(ISNUMBER(Y46),ROUND(Y46*'Reference data'!$B$2,0),"Unknown")</f>
        <v>328.0</v>
      </c>
      <c r="AB46" s="5">
        <f>IF(ISNUMBER(Z46),ROUND(Z46*'Reference data'!$B$2,0),"Unknown")</f>
        <v>376.0</v>
      </c>
      <c r="AD46" s="1">
        <v>22810.889</v>
      </c>
      <c r="AE46" s="1" t="s">
        <v>188</v>
      </c>
    </row>
    <row r="47" spans="1:31" ht="54" customHeight="1">
      <c r="A47" s="6" t="s">
        <v>198</v>
      </c>
      <c r="B47" s="1">
        <v>4</v>
      </c>
      <c r="C47" s="1" t="s">
        <v>186</v>
      </c>
      <c r="D47" s="1" t="s">
        <v>47</v>
      </c>
      <c r="E47" s="1" t="s">
        <v>111</v>
      </c>
      <c r="G47" s="6" t="s">
        <v>199</v>
      </c>
      <c r="H47" t="s">
        <v>256</v>
      </c>
      <c r="I47" t="s">
        <v>255</v>
      </c>
      <c r="J47" s="2">
        <f>IF(COUNT('Turns'!D141)=1,SUM('Turns'!D141),"Unknown")</f>
        <v>885.0</v>
      </c>
      <c r="K47" s="2">
        <f>IF(COUNT('Turns'!E141)=1,SUM('Turns'!E141),"Unknown")</f>
        <v>0.00015440949</v>
      </c>
      <c r="L47" s="2">
        <f>IF(COUNT('Turns'!F141)=1,SUM('Turns'!F141),"Unknown")</f>
        <v>0.000177</v>
      </c>
      <c r="M47" s="2">
        <f>IF(COUNT('Turns'!D140)=1,SUM('Turns'!D140),"Unknown")</f>
        <v>0.0</v>
      </c>
      <c r="N47" s="2">
        <f>IF(COUNT('Turns'!E140)=1,SUM('Turns'!E140),"Unknown")</f>
        <v>0.0</v>
      </c>
      <c r="O47" s="2">
        <f>IF(COUNT('Turns'!F140)=1,SUM('Turns'!F140),"Unknown")</f>
        <v>0.0</v>
      </c>
      <c r="P47" s="2">
        <v>0</v>
      </c>
      <c r="Q47" s="2">
        <v>0</v>
      </c>
      <c r="R47" s="2">
        <v>0</v>
      </c>
      <c r="S47" s="2">
        <f>IF(COUNT('Turns'!D146)=1,SUM('Turns'!D146),"Unknown")</f>
        <v>443.0</v>
      </c>
      <c r="T47" s="2">
        <f>IF(COUNT('Turns'!E146)=1,SUM('Turns'!E146),"Unknown")</f>
        <v>0.000463751892</v>
      </c>
      <c r="U47" s="2">
        <f>IF(COUNT('Turns'!F146)=1,SUM('Turns'!F146),"Unknown")</f>
        <v>0.0005316</v>
      </c>
      <c r="V47" s="2">
        <f>IF(COUNT('Turns'!D145)=1,SUM('Turns'!D145),"Unknown")</f>
        <v>44.0</v>
      </c>
      <c r="W47" s="2">
        <f>IF(COUNT('Turns'!E145)=1,SUM('Turns'!E145),"Unknown")</f>
        <v>4.6061136e-05</v>
      </c>
      <c r="X47" s="2">
        <f>IF(COUNT('Turns'!F145)=1,SUM('Turns'!F145),"Unknown")</f>
        <v>5.28e-05</v>
      </c>
      <c r="Y47" s="2">
        <f>IF(COUNT('Turns'!E150)=1,SUM('Turns'!E150),"Unknown")</f>
        <v>0.000664222518</v>
      </c>
      <c r="Z47" s="2">
        <f>IF(COUNT('Turns'!F150)=1,SUM('Turns'!F150),"Unknown")</f>
        <v>0.0007614</v>
      </c>
      <c r="AA47" s="5">
        <f>IF(ISNUMBER(Y47),ROUND(Y47*'Reference data'!$B$2,0),"Unknown")</f>
        <v>66.0</v>
      </c>
      <c r="AB47" s="5">
        <f>IF(ISNUMBER(Z47),ROUND(Z47*'Reference data'!$B$2,0),"Unknown")</f>
        <v>76.0</v>
      </c>
      <c r="AD47" s="1">
        <v>5296.078</v>
      </c>
      <c r="AE47" s="1" t="s">
        <v>188</v>
      </c>
    </row>
    <row r="48" spans="1:31" ht="54" customHeight="1">
      <c r="A48" s="6" t="s">
        <v>205</v>
      </c>
      <c r="B48" s="1">
        <v>5</v>
      </c>
      <c r="C48" s="1" t="s">
        <v>186</v>
      </c>
      <c r="D48" s="1" t="s">
        <v>47</v>
      </c>
      <c r="E48" s="1" t="s">
        <v>111</v>
      </c>
      <c r="G48" s="6" t="s">
        <v>217</v>
      </c>
      <c r="H48" t="s">
        <v>257</v>
      </c>
      <c r="I48" t="s">
        <v>256</v>
      </c>
      <c r="J48" s="2">
        <f>IF(COUNT('Turns'!D141)=1,SUM('Turns'!D141),"Unknown")</f>
        <v>885.0</v>
      </c>
      <c r="K48" s="2">
        <f>IF(COUNT('Turns'!E141)=1,SUM('Turns'!E141),"Unknown")</f>
        <v>0.00015440949</v>
      </c>
      <c r="L48" s="2">
        <f>IF(COUNT('Turns'!F141)=1,SUM('Turns'!F141),"Unknown")</f>
        <v>0.000177</v>
      </c>
      <c r="M48" s="2">
        <f>IF(COUNT('Turns'!D140)=1,SUM('Turns'!D140),"Unknown")</f>
        <v>0.0</v>
      </c>
      <c r="N48" s="2">
        <f>IF(COUNT('Turns'!E140)=1,SUM('Turns'!E140),"Unknown")</f>
        <v>0.0</v>
      </c>
      <c r="O48" s="2">
        <f>IF(COUNT('Turns'!F140)=1,SUM('Turns'!F140),"Unknown")</f>
        <v>0.0</v>
      </c>
      <c r="P48" s="2">
        <v>0</v>
      </c>
      <c r="Q48" s="2">
        <v>0</v>
      </c>
      <c r="R48" s="2">
        <v>0</v>
      </c>
      <c r="S48" s="2">
        <f>IF(COUNT('Turns'!D146)=1,SUM('Turns'!D146),"Unknown")</f>
        <v>443.0</v>
      </c>
      <c r="T48" s="2">
        <f>IF(COUNT('Turns'!E146)=1,SUM('Turns'!E146),"Unknown")</f>
        <v>0.000463751892</v>
      </c>
      <c r="U48" s="2">
        <f>IF(COUNT('Turns'!F146)=1,SUM('Turns'!F146),"Unknown")</f>
        <v>0.0005316</v>
      </c>
      <c r="V48" s="2">
        <f>IF(COUNT('Turns'!D145)=1,SUM('Turns'!D145),"Unknown")</f>
        <v>44.0</v>
      </c>
      <c r="W48" s="2">
        <f>IF(COUNT('Turns'!E145)=1,SUM('Turns'!E145),"Unknown")</f>
        <v>4.6061136e-05</v>
      </c>
      <c r="X48" s="2">
        <f>IF(COUNT('Turns'!F145)=1,SUM('Turns'!F145),"Unknown")</f>
        <v>5.28e-05</v>
      </c>
      <c r="Y48" s="2">
        <f>IF(COUNT('Turns'!E150)=1,SUM('Turns'!E150),"Unknown")</f>
        <v>0.000664222518</v>
      </c>
      <c r="Z48" s="2">
        <f>IF(COUNT('Turns'!F150)=1,SUM('Turns'!F150),"Unknown")</f>
        <v>0.0007614</v>
      </c>
      <c r="AA48" s="5">
        <f>IF(ISNUMBER(Y48),ROUND(Y48*'Reference data'!$B$2,0),"Unknown")</f>
        <v>66.0</v>
      </c>
      <c r="AB48" s="5">
        <f>IF(ISNUMBER(Z48),ROUND(Z48*'Reference data'!$B$2,0),"Unknown")</f>
        <v>76.0</v>
      </c>
      <c r="AD48" s="1">
        <v>5294.91</v>
      </c>
      <c r="AE48" s="1" t="s">
        <v>188</v>
      </c>
    </row>
    <row r="49" spans="1:31" ht="54" customHeight="1">
      <c r="A49" s="6" t="s">
        <v>219</v>
      </c>
      <c r="B49" s="1">
        <v>6</v>
      </c>
      <c r="C49" s="1" t="s">
        <v>206</v>
      </c>
      <c r="D49" s="1" t="s">
        <v>95</v>
      </c>
      <c r="E49" s="1" t="s">
        <v>111</v>
      </c>
      <c r="F49" s="1">
        <v>885</v>
      </c>
      <c r="G49" s="6" t="s">
        <v>207</v>
      </c>
      <c r="H49" t="s">
        <v>158</v>
      </c>
      <c r="I49" t="s">
        <v>257</v>
      </c>
      <c r="J49" s="2">
        <f>IF(COUNT('Turns'!D141)=1,SUM('Turns'!D141),"Unknown")</f>
        <v>885.0</v>
      </c>
      <c r="K49" s="2">
        <f>IF(COUNT('Turns'!E141)=1,SUM('Turns'!E141),"Unknown")</f>
        <v>0.00015440949</v>
      </c>
      <c r="L49" s="2">
        <f>IF(COUNT('Turns'!F141)=1,SUM('Turns'!F141),"Unknown")</f>
        <v>0.000177</v>
      </c>
      <c r="M49" s="2">
        <f>IF(COUNT('Turns'!D140)=1,SUM('Turns'!D140),"Unknown")</f>
        <v>0.0</v>
      </c>
      <c r="N49" s="2">
        <f>IF(COUNT('Turns'!E140)=1,SUM('Turns'!E140),"Unknown")</f>
        <v>0.0</v>
      </c>
      <c r="O49" s="2">
        <f>IF(COUNT('Turns'!F140)=1,SUM('Turns'!F140),"Unknown")</f>
        <v>0.0</v>
      </c>
      <c r="P49" s="2">
        <v>0</v>
      </c>
      <c r="Q49" s="2">
        <v>0</v>
      </c>
      <c r="R49" s="2">
        <v>0</v>
      </c>
      <c r="S49" s="2">
        <f>IF(COUNT('Turns'!D146)=1,SUM('Turns'!D146),"Unknown")</f>
        <v>443.0</v>
      </c>
      <c r="T49" s="2">
        <f>IF(COUNT('Turns'!E146)=1,SUM('Turns'!E146),"Unknown")</f>
        <v>0.000463751892</v>
      </c>
      <c r="U49" s="2">
        <f>IF(COUNT('Turns'!F146)=1,SUM('Turns'!F146),"Unknown")</f>
        <v>0.0005316</v>
      </c>
      <c r="V49" s="2">
        <f>IF(COUNT('Turns'!D145)=1,SUM('Turns'!D145),"Unknown")</f>
        <v>44.0</v>
      </c>
      <c r="W49" s="2">
        <f>IF(COUNT('Turns'!E145)=1,SUM('Turns'!E145),"Unknown")</f>
        <v>4.6061136e-05</v>
      </c>
      <c r="X49" s="2">
        <f>IF(COUNT('Turns'!F145)=1,SUM('Turns'!F145),"Unknown")</f>
        <v>5.28e-05</v>
      </c>
      <c r="Y49" s="2">
        <f>IF(COUNT('Turns'!E150)=1,SUM('Turns'!E150),"Unknown")</f>
        <v>0.000664222518</v>
      </c>
      <c r="Z49" s="2">
        <f>IF(COUNT('Turns'!F150)=1,SUM('Turns'!F150),"Unknown")</f>
        <v>0.0007614</v>
      </c>
      <c r="AA49" s="5">
        <f>IF(ISNUMBER(Y49),ROUND(Y49*'Reference data'!$B$2,0),"Unknown")</f>
        <v>66.0</v>
      </c>
      <c r="AB49" s="5">
        <f>IF(ISNUMBER(Z49),ROUND(Z49*'Reference data'!$B$2,0),"Unknown")</f>
        <v>76.0</v>
      </c>
      <c r="AC49" s="1" t="s">
        <v>157</v>
      </c>
      <c r="AD49" s="1">
        <v>5293.631</v>
      </c>
      <c r="AE49" s="1" t="s">
        <v>208</v>
      </c>
    </row>
    <row r="50" spans="1:31" ht="54" customHeight="1">
      <c r="A50" s="6" t="s">
        <v>202</v>
      </c>
      <c r="B50" s="1">
        <v>4</v>
      </c>
      <c r="C50" s="1" t="s">
        <v>186</v>
      </c>
      <c r="D50" s="1" t="s">
        <v>47</v>
      </c>
      <c r="E50" s="1" t="s">
        <v>111</v>
      </c>
      <c r="G50" s="6" t="s">
        <v>203</v>
      </c>
      <c r="H50" t="s">
        <v>258</v>
      </c>
      <c r="I50" t="s">
        <v>255</v>
      </c>
      <c r="J50" s="2">
        <f>IF(COUNT('Turns'!D153)=1,SUM('Turns'!D153),"Unknown")</f>
        <v>1125.0</v>
      </c>
      <c r="K50" s="2">
        <f>IF(COUNT('Turns'!E153)=1,SUM('Turns'!E153),"Unknown")</f>
        <v>0.00019628325</v>
      </c>
      <c r="L50" s="2">
        <f>IF(COUNT('Turns'!F153)=1,SUM('Turns'!F153),"Unknown")</f>
        <v>0.000225</v>
      </c>
      <c r="M50" s="2">
        <f>IF(COUNT('Turns'!D152)=1,SUM('Turns'!D152),"Unknown")</f>
        <v>0.0</v>
      </c>
      <c r="N50" s="2">
        <f>IF(COUNT('Turns'!E152)=1,SUM('Turns'!E152),"Unknown")</f>
        <v>0.0</v>
      </c>
      <c r="O50" s="2">
        <f>IF(COUNT('Turns'!F152)=1,SUM('Turns'!F152),"Unknown")</f>
        <v>0.0</v>
      </c>
      <c r="P50" s="2">
        <v>0</v>
      </c>
      <c r="Q50" s="2">
        <v>0</v>
      </c>
      <c r="R50" s="2">
        <v>0</v>
      </c>
      <c r="S50" s="2">
        <f>IF(COUNT('Turns'!D158)=1,SUM('Turns'!D158),"Unknown")</f>
        <v>130.0</v>
      </c>
      <c r="T50" s="2">
        <f>IF(COUNT('Turns'!E158)=1,SUM('Turns'!E158),"Unknown")</f>
        <v>0.00013608972</v>
      </c>
      <c r="U50" s="2">
        <f>IF(COUNT('Turns'!F158)=1,SUM('Turns'!F158),"Unknown")</f>
        <v>0.000156</v>
      </c>
      <c r="V50" s="2">
        <f>IF(COUNT('Turns'!D157)=1,SUM('Turns'!D157),"Unknown")</f>
        <v>27.0</v>
      </c>
      <c r="W50" s="2">
        <f>IF(COUNT('Turns'!E157)=1,SUM('Turns'!E157),"Unknown")</f>
        <v>2.8264788e-05</v>
      </c>
      <c r="X50" s="2">
        <f>IF(COUNT('Turns'!F157)=1,SUM('Turns'!F157),"Unknown")</f>
        <v>3.24e-05</v>
      </c>
      <c r="Y50" s="2">
        <f>IF(COUNT('Turns'!E162)=1,SUM('Turns'!E162),"Unknown")</f>
        <v>0.000360637758</v>
      </c>
      <c r="Z50" s="2">
        <f>IF(COUNT('Turns'!F162)=1,SUM('Turns'!F162),"Unknown")</f>
        <v>0.0004134</v>
      </c>
      <c r="AA50" s="5">
        <f>IF(ISNUMBER(Y50),ROUND(Y50*'Reference data'!$B$2,0),"Unknown")</f>
        <v>36.0</v>
      </c>
      <c r="AB50" s="5">
        <f>IF(ISNUMBER(Z50),ROUND(Z50*'Reference data'!$B$2,0),"Unknown")</f>
        <v>41.0</v>
      </c>
      <c r="AD50" s="1">
        <v>2062.768</v>
      </c>
      <c r="AE50" s="1" t="s">
        <v>188</v>
      </c>
    </row>
    <row r="51" spans="1:31" ht="54" customHeight="1">
      <c r="A51" s="6" t="s">
        <v>205</v>
      </c>
      <c r="B51" s="1">
        <v>5</v>
      </c>
      <c r="C51" s="1" t="s">
        <v>206</v>
      </c>
      <c r="D51" s="1" t="s">
        <v>95</v>
      </c>
      <c r="E51" s="1" t="s">
        <v>111</v>
      </c>
      <c r="F51" s="1">
        <v>1125</v>
      </c>
      <c r="G51" s="6" t="s">
        <v>207</v>
      </c>
      <c r="H51" t="s">
        <v>161</v>
      </c>
      <c r="I51" t="s">
        <v>258</v>
      </c>
      <c r="J51" s="2">
        <f>IF(COUNT('Turns'!D153)=1,SUM('Turns'!D153),"Unknown")</f>
        <v>1125.0</v>
      </c>
      <c r="K51" s="2">
        <f>IF(COUNT('Turns'!E153)=1,SUM('Turns'!E153),"Unknown")</f>
        <v>0.00019628325</v>
      </c>
      <c r="L51" s="2">
        <f>IF(COUNT('Turns'!F153)=1,SUM('Turns'!F153),"Unknown")</f>
        <v>0.000225</v>
      </c>
      <c r="M51" s="2">
        <f>IF(COUNT('Turns'!D152)=1,SUM('Turns'!D152),"Unknown")</f>
        <v>0.0</v>
      </c>
      <c r="N51" s="2">
        <f>IF(COUNT('Turns'!E152)=1,SUM('Turns'!E152),"Unknown")</f>
        <v>0.0</v>
      </c>
      <c r="O51" s="2">
        <f>IF(COUNT('Turns'!F152)=1,SUM('Turns'!F152),"Unknown")</f>
        <v>0.0</v>
      </c>
      <c r="P51" s="2">
        <v>0</v>
      </c>
      <c r="Q51" s="2">
        <v>0</v>
      </c>
      <c r="R51" s="2">
        <v>0</v>
      </c>
      <c r="S51" s="2">
        <f>IF(COUNT('Turns'!D158)=1,SUM('Turns'!D158),"Unknown")</f>
        <v>130.0</v>
      </c>
      <c r="T51" s="2">
        <f>IF(COUNT('Turns'!E158)=1,SUM('Turns'!E158),"Unknown")</f>
        <v>0.00013608972</v>
      </c>
      <c r="U51" s="2">
        <f>IF(COUNT('Turns'!F158)=1,SUM('Turns'!F158),"Unknown")</f>
        <v>0.000156</v>
      </c>
      <c r="V51" s="2">
        <f>IF(COUNT('Turns'!D157)=1,SUM('Turns'!D157),"Unknown")</f>
        <v>27.0</v>
      </c>
      <c r="W51" s="2">
        <f>IF(COUNT('Turns'!E157)=1,SUM('Turns'!E157),"Unknown")</f>
        <v>2.8264788e-05</v>
      </c>
      <c r="X51" s="2">
        <f>IF(COUNT('Turns'!F157)=1,SUM('Turns'!F157),"Unknown")</f>
        <v>3.24e-05</v>
      </c>
      <c r="Y51" s="2">
        <f>IF(COUNT('Turns'!E162)=1,SUM('Turns'!E162),"Unknown")</f>
        <v>0.000360637758</v>
      </c>
      <c r="Z51" s="2">
        <f>IF(COUNT('Turns'!F162)=1,SUM('Turns'!F162),"Unknown")</f>
        <v>0.0004134</v>
      </c>
      <c r="AA51" s="5">
        <f>IF(ISNUMBER(Y51),ROUND(Y51*'Reference data'!$B$2,0),"Unknown")</f>
        <v>36.0</v>
      </c>
      <c r="AB51" s="5">
        <f>IF(ISNUMBER(Z51),ROUND(Z51*'Reference data'!$B$2,0),"Unknown")</f>
        <v>41.0</v>
      </c>
      <c r="AC51" s="1" t="s">
        <v>160</v>
      </c>
      <c r="AD51" s="1">
        <v>2058.978</v>
      </c>
      <c r="AE51" s="1" t="s">
        <v>208</v>
      </c>
    </row>
    <row r="52" spans="1:31" ht="54" customHeight="1">
      <c r="A52" s="6" t="s">
        <v>221</v>
      </c>
      <c r="B52" s="1">
        <v>4</v>
      </c>
      <c r="C52" s="1" t="s">
        <v>186</v>
      </c>
      <c r="D52" s="1" t="s">
        <v>47</v>
      </c>
      <c r="E52" s="1" t="s">
        <v>111</v>
      </c>
      <c r="G52" s="6" t="s">
        <v>222</v>
      </c>
      <c r="H52" t="s">
        <v>259</v>
      </c>
      <c r="I52" t="s">
        <v>255</v>
      </c>
      <c r="J52" s="2">
        <f>IF(COUNT('Turns'!D168,'Turns'!D183,'Turns'!D194)=3,SUM('Turns'!D168,'Turns'!D183,'Turns'!D194),"Unknown")</f>
        <v>1537.0</v>
      </c>
      <c r="K52" s="2">
        <f>IF(COUNT('Turns'!E168,'Turns'!E183,'Turns'!E194)=3,SUM('Turns'!E168,'Turns'!E183,'Turns'!E194),"Unknown")</f>
        <v>0.000268166538</v>
      </c>
      <c r="L52" s="2">
        <f>IF(COUNT('Turns'!F168,'Turns'!F183,'Turns'!F194)=3,SUM('Turns'!F168,'Turns'!F183,'Turns'!F194),"Unknown")</f>
        <v>0.0003074</v>
      </c>
      <c r="M52" s="2">
        <f>IF(COUNT('Turns'!D167,'Turns'!D182,'Turns'!D193)=3,SUM('Turns'!D167,'Turns'!D182,'Turns'!D193),"Unknown")</f>
        <v>0.0</v>
      </c>
      <c r="N52" s="2">
        <f>IF(COUNT('Turns'!E167,'Turns'!E182,'Turns'!E193)=3,SUM('Turns'!E167,'Turns'!E182,'Turns'!E193),"Unknown")</f>
        <v>0.0</v>
      </c>
      <c r="O52" s="2">
        <f>IF(COUNT('Turns'!F167,'Turns'!F182,'Turns'!F193)=3,SUM('Turns'!F167,'Turns'!F182,'Turns'!F193),"Unknown")</f>
        <v>0.0</v>
      </c>
      <c r="P52" s="2">
        <v>0</v>
      </c>
      <c r="Q52" s="2">
        <v>0</v>
      </c>
      <c r="R52" s="2">
        <v>0</v>
      </c>
      <c r="S52" s="2">
        <f>IF(COUNT('Turns'!D173,'Turns'!D187,'Turns'!D200)=3,SUM('Turns'!D173,'Turns'!D187,'Turns'!D200),"Unknown")</f>
        <v>566.0</v>
      </c>
      <c r="T52" s="2">
        <f>IF(COUNT('Turns'!E173,'Turns'!E187,'Turns'!E200)=3,SUM('Turns'!E173,'Turns'!E187,'Turns'!E200),"Unknown")</f>
        <v>0.000592513704</v>
      </c>
      <c r="U52" s="2">
        <f>IF(COUNT('Turns'!F173,'Turns'!F187,'Turns'!F200)=3,SUM('Turns'!F173,'Turns'!F187,'Turns'!F200),"Unknown")</f>
        <v>0.0006792</v>
      </c>
      <c r="V52" s="2">
        <f>IF(COUNT('Turns'!D172,'Turns'!D199)=2,SUM('Turns'!D172,'Turns'!D199),"Unknown")</f>
        <v>128.0</v>
      </c>
      <c r="W52" s="2">
        <f>IF(COUNT('Turns'!E172,'Turns'!E199)=2,SUM('Turns'!E172,'Turns'!E199),"Unknown")</f>
        <v>0.000133996032</v>
      </c>
      <c r="X52" s="2">
        <f>IF(COUNT('Turns'!F172,'Turns'!F199)=2,SUM('Turns'!F172,'Turns'!F199),"Unknown")</f>
        <v>0.0001536</v>
      </c>
      <c r="Y52" s="2">
        <f>IF(COUNT('Turns'!E177,'Turns'!E191,'Turns'!E204)=3,SUM('Turns'!E177,'Turns'!E191,'Turns'!E204),"Unknown")</f>
        <v>0.000994676274</v>
      </c>
      <c r="Z52" s="2">
        <f>IF(COUNT('Turns'!F177,'Turns'!F191,'Turns'!F204)=3,SUM('Turns'!F177,'Turns'!F191,'Turns'!F204),"Unknown")</f>
        <v>0.0011402</v>
      </c>
      <c r="AA52" s="5">
        <f>IF(ISNUMBER(Y52),ROUND(Y52*'Reference data'!$B$2,0),"Unknown")</f>
        <v>99.0</v>
      </c>
      <c r="AB52" s="5">
        <f>IF(ISNUMBER(Z52),ROUND(Z52*'Reference data'!$B$2,0),"Unknown")</f>
        <v>114.0</v>
      </c>
      <c r="AD52" s="1">
        <v>9006.941000000001</v>
      </c>
      <c r="AE52" s="1" t="s">
        <v>188</v>
      </c>
    </row>
    <row r="53" spans="1:31" ht="54" customHeight="1">
      <c r="A53" s="6" t="s">
        <v>224</v>
      </c>
      <c r="B53" s="1">
        <v>5</v>
      </c>
      <c r="C53" s="1" t="s">
        <v>225</v>
      </c>
      <c r="D53" s="1" t="s">
        <v>47</v>
      </c>
      <c r="E53" s="1" t="s">
        <v>111</v>
      </c>
      <c r="G53" s="6" t="s">
        <v>226</v>
      </c>
      <c r="H53" t="s">
        <v>163</v>
      </c>
      <c r="I53" t="s">
        <v>259</v>
      </c>
      <c r="J53" s="2">
        <f>IF(COUNT('Turns'!D168,'Turns'!D183,'Turns'!D194)=3,SUM('Turns'!D168,'Turns'!D183,'Turns'!D194),"Unknown")</f>
        <v>1537.0</v>
      </c>
      <c r="K53" s="2">
        <f>IF(COUNT('Turns'!E168,'Turns'!E183,'Turns'!E194)=3,SUM('Turns'!E168,'Turns'!E183,'Turns'!E194),"Unknown")</f>
        <v>0.000268166538</v>
      </c>
      <c r="L53" s="2">
        <f>IF(COUNT('Turns'!F168,'Turns'!F183,'Turns'!F194)=3,SUM('Turns'!F168,'Turns'!F183,'Turns'!F194),"Unknown")</f>
        <v>0.0003074</v>
      </c>
      <c r="M53" s="2">
        <f>IF(COUNT('Turns'!D167,'Turns'!D182,'Turns'!D193)=3,SUM('Turns'!D167,'Turns'!D182,'Turns'!D193),"Unknown")</f>
        <v>0.0</v>
      </c>
      <c r="N53" s="2">
        <f>IF(COUNT('Turns'!E167,'Turns'!E182,'Turns'!E193)=3,SUM('Turns'!E167,'Turns'!E182,'Turns'!E193),"Unknown")</f>
        <v>0.0</v>
      </c>
      <c r="O53" s="2">
        <f>IF(COUNT('Turns'!F167,'Turns'!F182,'Turns'!F193)=3,SUM('Turns'!F167,'Turns'!F182,'Turns'!F193),"Unknown")</f>
        <v>0.0</v>
      </c>
      <c r="P53" s="2">
        <v>0</v>
      </c>
      <c r="Q53" s="2">
        <v>0</v>
      </c>
      <c r="R53" s="2">
        <v>0</v>
      </c>
      <c r="S53" s="2">
        <f>IF(COUNT('Turns'!D173,'Turns'!D187,'Turns'!D200)=3,SUM('Turns'!D173,'Turns'!D187,'Turns'!D200),"Unknown")</f>
        <v>566.0</v>
      </c>
      <c r="T53" s="2">
        <f>IF(COUNT('Turns'!E173,'Turns'!E187,'Turns'!E200)=3,SUM('Turns'!E173,'Turns'!E187,'Turns'!E200),"Unknown")</f>
        <v>0.000592513704</v>
      </c>
      <c r="U53" s="2">
        <f>IF(COUNT('Turns'!F173,'Turns'!F187,'Turns'!F200)=3,SUM('Turns'!F173,'Turns'!F187,'Turns'!F200),"Unknown")</f>
        <v>0.0006792</v>
      </c>
      <c r="V53" s="2">
        <f>IF(COUNT('Turns'!D172,'Turns'!D199)=2,SUM('Turns'!D172,'Turns'!D199),"Unknown")</f>
        <v>128.0</v>
      </c>
      <c r="W53" s="2">
        <f>IF(COUNT('Turns'!E172,'Turns'!E199)=2,SUM('Turns'!E172,'Turns'!E199),"Unknown")</f>
        <v>0.000133996032</v>
      </c>
      <c r="X53" s="2">
        <f>IF(COUNT('Turns'!F172,'Turns'!F199)=2,SUM('Turns'!F172,'Turns'!F199),"Unknown")</f>
        <v>0.0001536</v>
      </c>
      <c r="Y53" s="2">
        <f>IF(COUNT('Turns'!E177,'Turns'!E191,'Turns'!E204)=3,SUM('Turns'!E177,'Turns'!E191,'Turns'!E204),"Unknown")</f>
        <v>0.000994676274</v>
      </c>
      <c r="Z53" s="2">
        <f>IF(COUNT('Turns'!F177,'Turns'!F191,'Turns'!F204)=3,SUM('Turns'!F177,'Turns'!F191,'Turns'!F204),"Unknown")</f>
        <v>0.0011402</v>
      </c>
      <c r="AA53" s="5">
        <f>IF(ISNUMBER(Y53),ROUND(Y53*'Reference data'!$B$2,0),"Unknown")</f>
        <v>99.0</v>
      </c>
      <c r="AB53" s="5">
        <f>IF(ISNUMBER(Z53),ROUND(Z53*'Reference data'!$B$2,0),"Unknown")</f>
        <v>114.0</v>
      </c>
      <c r="AD53" s="1">
        <v>9005.629000000001</v>
      </c>
      <c r="AE53" s="1" t="s">
        <v>188</v>
      </c>
    </row>
    <row r="54" spans="1:31" ht="54" customHeight="1">
      <c r="A54" s="6" t="s">
        <v>227</v>
      </c>
      <c r="B54" s="1">
        <v>6</v>
      </c>
      <c r="C54" s="1" t="s">
        <v>186</v>
      </c>
      <c r="D54" s="1" t="s">
        <v>47</v>
      </c>
      <c r="E54" s="1" t="s">
        <v>111</v>
      </c>
      <c r="G54" s="6" t="s">
        <v>228</v>
      </c>
      <c r="H54" t="s">
        <v>260</v>
      </c>
      <c r="I54" t="s">
        <v>163</v>
      </c>
      <c r="J54" s="2">
        <f>IF(COUNT('Turns'!D168,'Turns'!D183,'Turns'!D194)=3,SUM('Turns'!D168,'Turns'!D183,'Turns'!D194),"Unknown")</f>
        <v>1537.0</v>
      </c>
      <c r="K54" s="2">
        <f>IF(COUNT('Turns'!E168,'Turns'!E183,'Turns'!E194)=3,SUM('Turns'!E168,'Turns'!E183,'Turns'!E194),"Unknown")</f>
        <v>0.000268166538</v>
      </c>
      <c r="L54" s="2">
        <f>IF(COUNT('Turns'!F168,'Turns'!F183,'Turns'!F194)=3,SUM('Turns'!F168,'Turns'!F183,'Turns'!F194),"Unknown")</f>
        <v>0.0003074</v>
      </c>
      <c r="M54" s="2">
        <f>IF(COUNT('Turns'!D167,'Turns'!D182,'Turns'!D193)=3,SUM('Turns'!D167,'Turns'!D182,'Turns'!D193),"Unknown")</f>
        <v>0.0</v>
      </c>
      <c r="N54" s="2">
        <f>IF(COUNT('Turns'!E167,'Turns'!E182,'Turns'!E193)=3,SUM('Turns'!E167,'Turns'!E182,'Turns'!E193),"Unknown")</f>
        <v>0.0</v>
      </c>
      <c r="O54" s="2">
        <f>IF(COUNT('Turns'!F167,'Turns'!F182,'Turns'!F193)=3,SUM('Turns'!F167,'Turns'!F182,'Turns'!F193),"Unknown")</f>
        <v>0.0</v>
      </c>
      <c r="P54" s="2">
        <v>0</v>
      </c>
      <c r="Q54" s="2">
        <v>0</v>
      </c>
      <c r="R54" s="2">
        <v>0</v>
      </c>
      <c r="S54" s="2">
        <f>IF(COUNT('Turns'!D173,'Turns'!D187,'Turns'!D200)=3,SUM('Turns'!D173,'Turns'!D187,'Turns'!D200),"Unknown")</f>
        <v>566.0</v>
      </c>
      <c r="T54" s="2">
        <f>IF(COUNT('Turns'!E173,'Turns'!E187,'Turns'!E200)=3,SUM('Turns'!E173,'Turns'!E187,'Turns'!E200),"Unknown")</f>
        <v>0.000592513704</v>
      </c>
      <c r="U54" s="2">
        <f>IF(COUNT('Turns'!F173,'Turns'!F187,'Turns'!F200)=3,SUM('Turns'!F173,'Turns'!F187,'Turns'!F200),"Unknown")</f>
        <v>0.0006792</v>
      </c>
      <c r="V54" s="2">
        <f>IF(COUNT('Turns'!D172,'Turns'!D199)=2,SUM('Turns'!D172,'Turns'!D199),"Unknown")</f>
        <v>128.0</v>
      </c>
      <c r="W54" s="2">
        <f>IF(COUNT('Turns'!E172,'Turns'!E199)=2,SUM('Turns'!E172,'Turns'!E199),"Unknown")</f>
        <v>0.000133996032</v>
      </c>
      <c r="X54" s="2">
        <f>IF(COUNT('Turns'!F172,'Turns'!F199)=2,SUM('Turns'!F172,'Turns'!F199),"Unknown")</f>
        <v>0.0001536</v>
      </c>
      <c r="Y54" s="2">
        <f>IF(COUNT('Turns'!E177,'Turns'!E191,'Turns'!E204)=3,SUM('Turns'!E177,'Turns'!E191,'Turns'!E204),"Unknown")</f>
        <v>0.000994676274</v>
      </c>
      <c r="Z54" s="2">
        <f>IF(COUNT('Turns'!F177,'Turns'!F191,'Turns'!F204)=3,SUM('Turns'!F177,'Turns'!F191,'Turns'!F204),"Unknown")</f>
        <v>0.0011402</v>
      </c>
      <c r="AA54" s="5">
        <f>IF(ISNUMBER(Y54),ROUND(Y54*'Reference data'!$B$2,0),"Unknown")</f>
        <v>99.0</v>
      </c>
      <c r="AB54" s="5">
        <f>IF(ISNUMBER(Z54),ROUND(Z54*'Reference data'!$B$2,0),"Unknown")</f>
        <v>114.0</v>
      </c>
      <c r="AD54" s="1">
        <v>9004.445</v>
      </c>
      <c r="AE54" s="1" t="s">
        <v>188</v>
      </c>
    </row>
    <row r="55" spans="1:31" ht="54" customHeight="1">
      <c r="A55" s="6" t="s">
        <v>230</v>
      </c>
      <c r="B55" s="1">
        <v>7</v>
      </c>
      <c r="C55" s="1" t="s">
        <v>186</v>
      </c>
      <c r="D55" s="1" t="s">
        <v>47</v>
      </c>
      <c r="E55" s="1" t="s">
        <v>111</v>
      </c>
      <c r="G55" s="6" t="s">
        <v>199</v>
      </c>
      <c r="H55" t="s">
        <v>261</v>
      </c>
      <c r="I55" t="s">
        <v>260</v>
      </c>
      <c r="AD55" s="1">
        <v>0.295</v>
      </c>
      <c r="AE55" s="1" t="s">
        <v>201</v>
      </c>
    </row>
    <row r="56" spans="1:31" ht="54" customHeight="1">
      <c r="A56" s="6" t="s">
        <v>232</v>
      </c>
      <c r="B56" s="1">
        <v>7</v>
      </c>
      <c r="C56" s="1" t="s">
        <v>186</v>
      </c>
      <c r="D56" s="1" t="s">
        <v>47</v>
      </c>
      <c r="E56" s="1" t="s">
        <v>111</v>
      </c>
      <c r="G56" s="6" t="s">
        <v>203</v>
      </c>
      <c r="H56" t="s">
        <v>262</v>
      </c>
      <c r="I56" t="s">
        <v>260</v>
      </c>
      <c r="J56" s="2">
        <f>IF(COUNT('Turns'!D168)=1,SUM('Turns'!D168),"Unknown")</f>
        <v>209.0</v>
      </c>
      <c r="K56" s="2">
        <f>IF(COUNT('Turns'!E168)=1,SUM('Turns'!E168),"Unknown")</f>
        <v>3.6465066e-05</v>
      </c>
      <c r="L56" s="2">
        <f>IF(COUNT('Turns'!F168)=1,SUM('Turns'!F168),"Unknown")</f>
        <v>4.18e-05</v>
      </c>
      <c r="M56" s="2">
        <f>IF(COUNT('Turns'!D167)=1,SUM('Turns'!D167),"Unknown")</f>
        <v>0.0</v>
      </c>
      <c r="N56" s="2">
        <f>IF(COUNT('Turns'!E167)=1,SUM('Turns'!E167),"Unknown")</f>
        <v>0.0</v>
      </c>
      <c r="O56" s="2">
        <f>IF(COUNT('Turns'!F167)=1,SUM('Turns'!F167),"Unknown")</f>
        <v>0.0</v>
      </c>
      <c r="P56" s="2">
        <v>0</v>
      </c>
      <c r="Q56" s="2">
        <v>0</v>
      </c>
      <c r="R56" s="2">
        <v>0</v>
      </c>
      <c r="S56" s="2">
        <f>IF(COUNT('Turns'!D173)=1,SUM('Turns'!D173),"Unknown")</f>
        <v>120.0</v>
      </c>
      <c r="T56" s="2">
        <f>IF(COUNT('Turns'!E173)=1,SUM('Turns'!E173),"Unknown")</f>
        <v>0.00012562128</v>
      </c>
      <c r="U56" s="2">
        <f>IF(COUNT('Turns'!F173)=1,SUM('Turns'!F173),"Unknown")</f>
        <v>0.000144</v>
      </c>
      <c r="V56" s="2">
        <f>IF(COUNT('Turns'!D172)=1,SUM('Turns'!D172),"Unknown")</f>
        <v>92.0</v>
      </c>
      <c r="W56" s="2">
        <f>IF(COUNT('Turns'!E172)=1,SUM('Turns'!E172),"Unknown")</f>
        <v>9.6309648e-05</v>
      </c>
      <c r="X56" s="2">
        <f>IF(COUNT('Turns'!F172)=1,SUM('Turns'!F172),"Unknown")</f>
        <v>0.0001104</v>
      </c>
      <c r="Y56" s="2">
        <f>IF(COUNT('Turns'!E177)=1,SUM('Turns'!E177),"Unknown")</f>
        <v>0.000258395994</v>
      </c>
      <c r="Z56" s="2">
        <f>IF(COUNT('Turns'!F177)=1,SUM('Turns'!F177),"Unknown")</f>
        <v>0.0002962</v>
      </c>
      <c r="AA56" s="5">
        <f>IF(ISNUMBER(Y56),ROUND(Y56*'Reference data'!$B$2,0),"Unknown")</f>
        <v>26.0</v>
      </c>
      <c r="AB56" s="5">
        <f>IF(ISNUMBER(Z56),ROUND(Z56*'Reference data'!$B$2,0),"Unknown")</f>
        <v>30.0</v>
      </c>
      <c r="AD56" s="1">
        <v>3187.273</v>
      </c>
      <c r="AE56" s="1" t="s">
        <v>188</v>
      </c>
    </row>
    <row r="57" spans="1:31" ht="54" customHeight="1">
      <c r="A57" s="6" t="s">
        <v>234</v>
      </c>
      <c r="B57" s="1">
        <v>8</v>
      </c>
      <c r="C57" s="1" t="s">
        <v>206</v>
      </c>
      <c r="D57" s="1" t="s">
        <v>95</v>
      </c>
      <c r="E57" s="1" t="s">
        <v>111</v>
      </c>
      <c r="F57" s="1">
        <v>209</v>
      </c>
      <c r="G57" s="6" t="s">
        <v>207</v>
      </c>
      <c r="H57" t="s">
        <v>167</v>
      </c>
      <c r="I57" t="s">
        <v>262</v>
      </c>
      <c r="J57" s="2">
        <f>IF(COUNT('Turns'!D168)=1,SUM('Turns'!D168),"Unknown")</f>
        <v>209.0</v>
      </c>
      <c r="K57" s="2">
        <f>IF(COUNT('Turns'!E168)=1,SUM('Turns'!E168),"Unknown")</f>
        <v>3.6465066e-05</v>
      </c>
      <c r="L57" s="2">
        <f>IF(COUNT('Turns'!F168)=1,SUM('Turns'!F168),"Unknown")</f>
        <v>4.18e-05</v>
      </c>
      <c r="M57" s="2">
        <f>IF(COUNT('Turns'!D167)=1,SUM('Turns'!D167),"Unknown")</f>
        <v>0.0</v>
      </c>
      <c r="N57" s="2">
        <f>IF(COUNT('Turns'!E167)=1,SUM('Turns'!E167),"Unknown")</f>
        <v>0.0</v>
      </c>
      <c r="O57" s="2">
        <f>IF(COUNT('Turns'!F167)=1,SUM('Turns'!F167),"Unknown")</f>
        <v>0.0</v>
      </c>
      <c r="P57" s="2">
        <v>0</v>
      </c>
      <c r="Q57" s="2">
        <v>0</v>
      </c>
      <c r="R57" s="2">
        <v>0</v>
      </c>
      <c r="S57" s="2">
        <f>IF(COUNT('Turns'!D173)=1,SUM('Turns'!D173),"Unknown")</f>
        <v>120.0</v>
      </c>
      <c r="T57" s="2">
        <f>IF(COUNT('Turns'!E173)=1,SUM('Turns'!E173),"Unknown")</f>
        <v>0.00012562128</v>
      </c>
      <c r="U57" s="2">
        <f>IF(COUNT('Turns'!F173)=1,SUM('Turns'!F173),"Unknown")</f>
        <v>0.000144</v>
      </c>
      <c r="V57" s="2">
        <f>IF(COUNT('Turns'!D172)=1,SUM('Turns'!D172),"Unknown")</f>
        <v>92.0</v>
      </c>
      <c r="W57" s="2">
        <f>IF(COUNT('Turns'!E172)=1,SUM('Turns'!E172),"Unknown")</f>
        <v>9.6309648e-05</v>
      </c>
      <c r="X57" s="2">
        <f>IF(COUNT('Turns'!F172)=1,SUM('Turns'!F172),"Unknown")</f>
        <v>0.0001104</v>
      </c>
      <c r="Y57" s="2">
        <f>IF(COUNT('Turns'!E177)=1,SUM('Turns'!E177),"Unknown")</f>
        <v>0.000258395994</v>
      </c>
      <c r="Z57" s="2">
        <f>IF(COUNT('Turns'!F177)=1,SUM('Turns'!F177),"Unknown")</f>
        <v>0.0002962</v>
      </c>
      <c r="AA57" s="5">
        <f>IF(ISNUMBER(Y57),ROUND(Y57*'Reference data'!$B$2,0),"Unknown")</f>
        <v>26.0</v>
      </c>
      <c r="AB57" s="5">
        <f>IF(ISNUMBER(Z57),ROUND(Z57*'Reference data'!$B$2,0),"Unknown")</f>
        <v>30.0</v>
      </c>
      <c r="AC57" s="1" t="s">
        <v>166</v>
      </c>
      <c r="AD57" s="1">
        <v>3185.013</v>
      </c>
      <c r="AE57" s="1" t="s">
        <v>208</v>
      </c>
    </row>
    <row r="58" spans="1:31" ht="54" customHeight="1">
      <c r="A58" s="6" t="s">
        <v>235</v>
      </c>
      <c r="B58" s="1">
        <v>7</v>
      </c>
      <c r="C58" s="1" t="s">
        <v>186</v>
      </c>
      <c r="D58" s="1" t="s">
        <v>47</v>
      </c>
      <c r="E58" s="1" t="s">
        <v>111</v>
      </c>
      <c r="G58" s="6" t="s">
        <v>222</v>
      </c>
      <c r="H58" t="s">
        <v>263</v>
      </c>
      <c r="I58" t="s">
        <v>260</v>
      </c>
      <c r="AD58" s="1">
        <v>1.77</v>
      </c>
      <c r="AE58" s="1" t="s">
        <v>201</v>
      </c>
    </row>
    <row r="59" spans="1:31" ht="54" customHeight="1">
      <c r="A59" s="6" t="s">
        <v>237</v>
      </c>
      <c r="B59" s="1">
        <v>8</v>
      </c>
      <c r="C59" s="1" t="s">
        <v>225</v>
      </c>
      <c r="D59" s="1" t="s">
        <v>47</v>
      </c>
      <c r="E59" s="1" t="s">
        <v>111</v>
      </c>
      <c r="G59" s="6" t="s">
        <v>238</v>
      </c>
      <c r="H59" t="s">
        <v>169</v>
      </c>
      <c r="I59" t="s">
        <v>263</v>
      </c>
      <c r="AD59" s="1">
        <v>0.615</v>
      </c>
      <c r="AE59" s="1" t="s">
        <v>201</v>
      </c>
    </row>
    <row r="60" spans="1:31" ht="54" customHeight="1">
      <c r="A60" s="6" t="s">
        <v>230</v>
      </c>
      <c r="B60" s="1">
        <v>7</v>
      </c>
      <c r="C60" s="1" t="s">
        <v>186</v>
      </c>
      <c r="D60" s="1" t="s">
        <v>47</v>
      </c>
      <c r="E60" s="1" t="s">
        <v>111</v>
      </c>
      <c r="G60" s="6" t="s">
        <v>199</v>
      </c>
      <c r="H60" t="s">
        <v>264</v>
      </c>
      <c r="I60" t="s">
        <v>260</v>
      </c>
      <c r="J60" s="2">
        <f>IF(COUNT('Turns'!D183)=1,SUM('Turns'!D183),"Unknown")</f>
        <v>607.0</v>
      </c>
      <c r="K60" s="2">
        <f>IF(COUNT('Turns'!E183)=1,SUM('Turns'!E183),"Unknown")</f>
        <v>0.000105905718</v>
      </c>
      <c r="L60" s="2">
        <f>IF(COUNT('Turns'!F183)=1,SUM('Turns'!F183),"Unknown")</f>
        <v>0.0001214</v>
      </c>
      <c r="M60" s="2">
        <f>IF(COUNT('Turns'!D182)=1,SUM('Turns'!D182),"Unknown")</f>
        <v>0.0</v>
      </c>
      <c r="N60" s="2">
        <f>IF(COUNT('Turns'!E182)=1,SUM('Turns'!E182),"Unknown")</f>
        <v>0.0</v>
      </c>
      <c r="O60" s="2">
        <f>IF(COUNT('Turns'!F182)=1,SUM('Turns'!F182),"Unknown")</f>
        <v>0.0</v>
      </c>
      <c r="P60" s="2">
        <v>0</v>
      </c>
      <c r="Q60" s="2">
        <v>0</v>
      </c>
      <c r="R60" s="2">
        <v>0</v>
      </c>
      <c r="S60" s="2">
        <f>IF(COUNT('Turns'!D187)=1,SUM('Turns'!D187),"Unknown")</f>
        <v>283.0</v>
      </c>
      <c r="T60" s="2">
        <f>IF(COUNT('Turns'!E187)=1,SUM('Turns'!E187),"Unknown")</f>
        <v>0.000296256852</v>
      </c>
      <c r="U60" s="2">
        <f>IF(COUNT('Turns'!F187)=1,SUM('Turns'!F187),"Unknown")</f>
        <v>0.0003396</v>
      </c>
      <c r="V60" s="2">
        <v>0</v>
      </c>
      <c r="W60" s="2">
        <v>0</v>
      </c>
      <c r="X60" s="2">
        <v>0</v>
      </c>
      <c r="Y60" s="2">
        <f>IF(COUNT('Turns'!E191)=1,SUM('Turns'!E191),"Unknown")</f>
        <v>0.00040216257</v>
      </c>
      <c r="Z60" s="2">
        <f>IF(COUNT('Turns'!F191)=1,SUM('Turns'!F191),"Unknown")</f>
        <v>0.000461</v>
      </c>
      <c r="AA60" s="5">
        <f>IF(ISNUMBER(Y60),ROUND(Y60*'Reference data'!$B$2,0),"Unknown")</f>
        <v>40.0</v>
      </c>
      <c r="AB60" s="5">
        <f>IF(ISNUMBER(Z60),ROUND(Z60*'Reference data'!$B$2,0),"Unknown")</f>
        <v>46.0</v>
      </c>
      <c r="AD60" s="1">
        <v>3072.741</v>
      </c>
      <c r="AE60" s="1" t="s">
        <v>188</v>
      </c>
    </row>
    <row r="61" spans="1:31" ht="54" customHeight="1">
      <c r="A61" s="6" t="s">
        <v>234</v>
      </c>
      <c r="B61" s="1">
        <v>8</v>
      </c>
      <c r="C61" s="1" t="s">
        <v>186</v>
      </c>
      <c r="D61" s="1" t="s">
        <v>47</v>
      </c>
      <c r="E61" s="1" t="s">
        <v>111</v>
      </c>
      <c r="G61" s="6" t="s">
        <v>217</v>
      </c>
      <c r="H61" t="s">
        <v>265</v>
      </c>
      <c r="I61" t="s">
        <v>264</v>
      </c>
      <c r="J61" s="2">
        <f>IF(COUNT('Turns'!D183)=1,SUM('Turns'!D183),"Unknown")</f>
        <v>607.0</v>
      </c>
      <c r="K61" s="2">
        <f>IF(COUNT('Turns'!E183)=1,SUM('Turns'!E183),"Unknown")</f>
        <v>0.000105905718</v>
      </c>
      <c r="L61" s="2">
        <f>IF(COUNT('Turns'!F183)=1,SUM('Turns'!F183),"Unknown")</f>
        <v>0.0001214</v>
      </c>
      <c r="M61" s="2">
        <f>IF(COUNT('Turns'!D182)=1,SUM('Turns'!D182),"Unknown")</f>
        <v>0.0</v>
      </c>
      <c r="N61" s="2">
        <f>IF(COUNT('Turns'!E182)=1,SUM('Turns'!E182),"Unknown")</f>
        <v>0.0</v>
      </c>
      <c r="O61" s="2">
        <f>IF(COUNT('Turns'!F182)=1,SUM('Turns'!F182),"Unknown")</f>
        <v>0.0</v>
      </c>
      <c r="P61" s="2">
        <v>0</v>
      </c>
      <c r="Q61" s="2">
        <v>0</v>
      </c>
      <c r="R61" s="2">
        <v>0</v>
      </c>
      <c r="S61" s="2">
        <f>IF(COUNT('Turns'!D187)=1,SUM('Turns'!D187),"Unknown")</f>
        <v>283.0</v>
      </c>
      <c r="T61" s="2">
        <f>IF(COUNT('Turns'!E187)=1,SUM('Turns'!E187),"Unknown")</f>
        <v>0.000296256852</v>
      </c>
      <c r="U61" s="2">
        <f>IF(COUNT('Turns'!F187)=1,SUM('Turns'!F187),"Unknown")</f>
        <v>0.0003396</v>
      </c>
      <c r="V61" s="2">
        <v>0</v>
      </c>
      <c r="W61" s="2">
        <v>0</v>
      </c>
      <c r="X61" s="2">
        <v>0</v>
      </c>
      <c r="Y61" s="2">
        <f>IF(COUNT('Turns'!E191)=1,SUM('Turns'!E191),"Unknown")</f>
        <v>0.00040216257</v>
      </c>
      <c r="Z61" s="2">
        <f>IF(COUNT('Turns'!F191)=1,SUM('Turns'!F191),"Unknown")</f>
        <v>0.000461</v>
      </c>
      <c r="AA61" s="5">
        <f>IF(ISNUMBER(Y61),ROUND(Y61*'Reference data'!$B$2,0),"Unknown")</f>
        <v>40.0</v>
      </c>
      <c r="AB61" s="5">
        <f>IF(ISNUMBER(Z61),ROUND(Z61*'Reference data'!$B$2,0),"Unknown")</f>
        <v>46.0</v>
      </c>
      <c r="AD61" s="1">
        <v>3071.711</v>
      </c>
      <c r="AE61" s="1" t="s">
        <v>188</v>
      </c>
    </row>
    <row r="62" spans="1:31" ht="54" customHeight="1">
      <c r="A62" s="6" t="s">
        <v>241</v>
      </c>
      <c r="B62" s="1">
        <v>9</v>
      </c>
      <c r="C62" s="1" t="s">
        <v>206</v>
      </c>
      <c r="D62" s="1" t="s">
        <v>95</v>
      </c>
      <c r="E62" s="1" t="s">
        <v>111</v>
      </c>
      <c r="F62" s="1">
        <v>607</v>
      </c>
      <c r="G62" s="6" t="s">
        <v>207</v>
      </c>
      <c r="H62" t="s">
        <v>173</v>
      </c>
      <c r="I62" t="s">
        <v>265</v>
      </c>
      <c r="J62" s="2">
        <f>IF(COUNT('Turns'!D183)=1,SUM('Turns'!D183),"Unknown")</f>
        <v>607.0</v>
      </c>
      <c r="K62" s="2">
        <f>IF(COUNT('Turns'!E183)=1,SUM('Turns'!E183),"Unknown")</f>
        <v>0.000105905718</v>
      </c>
      <c r="L62" s="2">
        <f>IF(COUNT('Turns'!F183)=1,SUM('Turns'!F183),"Unknown")</f>
        <v>0.0001214</v>
      </c>
      <c r="M62" s="2">
        <f>IF(COUNT('Turns'!D182)=1,SUM('Turns'!D182),"Unknown")</f>
        <v>0.0</v>
      </c>
      <c r="N62" s="2">
        <f>IF(COUNT('Turns'!E182)=1,SUM('Turns'!E182),"Unknown")</f>
        <v>0.0</v>
      </c>
      <c r="O62" s="2">
        <f>IF(COUNT('Turns'!F182)=1,SUM('Turns'!F182),"Unknown")</f>
        <v>0.0</v>
      </c>
      <c r="P62" s="2">
        <v>0</v>
      </c>
      <c r="Q62" s="2">
        <v>0</v>
      </c>
      <c r="R62" s="2">
        <v>0</v>
      </c>
      <c r="S62" s="2">
        <f>IF(COUNT('Turns'!D187)=1,SUM('Turns'!D187),"Unknown")</f>
        <v>283.0</v>
      </c>
      <c r="T62" s="2">
        <f>IF(COUNT('Turns'!E187)=1,SUM('Turns'!E187),"Unknown")</f>
        <v>0.000296256852</v>
      </c>
      <c r="U62" s="2">
        <f>IF(COUNT('Turns'!F187)=1,SUM('Turns'!F187),"Unknown")</f>
        <v>0.0003396</v>
      </c>
      <c r="V62" s="2">
        <v>0</v>
      </c>
      <c r="W62" s="2">
        <v>0</v>
      </c>
      <c r="X62" s="2">
        <v>0</v>
      </c>
      <c r="Y62" s="2">
        <f>IF(COUNT('Turns'!E191)=1,SUM('Turns'!E191),"Unknown")</f>
        <v>0.00040216257</v>
      </c>
      <c r="Z62" s="2">
        <f>IF(COUNT('Turns'!F191)=1,SUM('Turns'!F191),"Unknown")</f>
        <v>0.000461</v>
      </c>
      <c r="AA62" s="5">
        <f>IF(ISNUMBER(Y62),ROUND(Y62*'Reference data'!$B$2,0),"Unknown")</f>
        <v>40.0</v>
      </c>
      <c r="AB62" s="5">
        <f>IF(ISNUMBER(Z62),ROUND(Z62*'Reference data'!$B$2,0),"Unknown")</f>
        <v>46.0</v>
      </c>
      <c r="AC62" s="1" t="s">
        <v>172</v>
      </c>
      <c r="AD62" s="1">
        <v>3069.79</v>
      </c>
      <c r="AE62" s="1" t="s">
        <v>208</v>
      </c>
    </row>
    <row r="63" spans="1:31" ht="54" customHeight="1">
      <c r="A63" s="6" t="s">
        <v>232</v>
      </c>
      <c r="B63" s="1">
        <v>7</v>
      </c>
      <c r="C63" s="1" t="s">
        <v>186</v>
      </c>
      <c r="D63" s="1" t="s">
        <v>47</v>
      </c>
      <c r="E63" s="1" t="s">
        <v>111</v>
      </c>
      <c r="G63" s="6" t="s">
        <v>203</v>
      </c>
      <c r="H63" t="s">
        <v>266</v>
      </c>
      <c r="I63" t="s">
        <v>260</v>
      </c>
      <c r="J63" s="2">
        <f>IF(COUNT('Turns'!D194)=1,SUM('Turns'!D194),"Unknown")</f>
        <v>721.0</v>
      </c>
      <c r="K63" s="2">
        <f>IF(COUNT('Turns'!E194)=1,SUM('Turns'!E194),"Unknown")</f>
        <v>0.000125795754</v>
      </c>
      <c r="L63" s="2">
        <f>IF(COUNT('Turns'!F194)=1,SUM('Turns'!F194),"Unknown")</f>
        <v>0.0001442</v>
      </c>
      <c r="M63" s="2">
        <f>IF(COUNT('Turns'!D193)=1,SUM('Turns'!D193),"Unknown")</f>
        <v>0.0</v>
      </c>
      <c r="N63" s="2">
        <f>IF(COUNT('Turns'!E193)=1,SUM('Turns'!E193),"Unknown")</f>
        <v>0.0</v>
      </c>
      <c r="O63" s="2">
        <f>IF(COUNT('Turns'!F193)=1,SUM('Turns'!F193),"Unknown")</f>
        <v>0.0</v>
      </c>
      <c r="P63" s="2">
        <v>0</v>
      </c>
      <c r="Q63" s="2">
        <v>0</v>
      </c>
      <c r="R63" s="2">
        <v>0</v>
      </c>
      <c r="S63" s="2">
        <f>IF(COUNT('Turns'!D200)=1,SUM('Turns'!D200),"Unknown")</f>
        <v>163.0</v>
      </c>
      <c r="T63" s="2">
        <f>IF(COUNT('Turns'!E200)=1,SUM('Turns'!E200),"Unknown")</f>
        <v>0.000170635572</v>
      </c>
      <c r="U63" s="2">
        <f>IF(COUNT('Turns'!F200)=1,SUM('Turns'!F200),"Unknown")</f>
        <v>0.0001956</v>
      </c>
      <c r="V63" s="2">
        <f>IF(COUNT('Turns'!D199)=1,SUM('Turns'!D199),"Unknown")</f>
        <v>36.0</v>
      </c>
      <c r="W63" s="2">
        <f>IF(COUNT('Turns'!E199)=1,SUM('Turns'!E199),"Unknown")</f>
        <v>3.7686384e-05</v>
      </c>
      <c r="X63" s="2">
        <f>IF(COUNT('Turns'!F199)=1,SUM('Turns'!F199),"Unknown")</f>
        <v>4.32e-05</v>
      </c>
      <c r="Y63" s="2">
        <f>IF(COUNT('Turns'!E204)=1,SUM('Turns'!E204),"Unknown")</f>
        <v>0.00033411771</v>
      </c>
      <c r="Z63" s="2">
        <f>IF(COUNT('Turns'!F204)=1,SUM('Turns'!F204),"Unknown")</f>
        <v>0.000383</v>
      </c>
      <c r="AA63" s="5">
        <f>IF(ISNUMBER(Y63),ROUND(Y63*'Reference data'!$B$2,0),"Unknown")</f>
        <v>33.0</v>
      </c>
      <c r="AB63" s="5">
        <f>IF(ISNUMBER(Z63),ROUND(Z63*'Reference data'!$B$2,0),"Unknown")</f>
        <v>38.0</v>
      </c>
      <c r="AD63" s="1">
        <v>2737.93</v>
      </c>
      <c r="AE63" s="1" t="s">
        <v>188</v>
      </c>
    </row>
    <row r="64" spans="1:31" ht="54" customHeight="1">
      <c r="A64" s="6" t="s">
        <v>234</v>
      </c>
      <c r="B64" s="1">
        <v>8</v>
      </c>
      <c r="C64" s="1" t="s">
        <v>206</v>
      </c>
      <c r="D64" s="1" t="s">
        <v>95</v>
      </c>
      <c r="E64" s="1" t="s">
        <v>111</v>
      </c>
      <c r="F64" s="1">
        <v>721</v>
      </c>
      <c r="G64" s="6" t="s">
        <v>207</v>
      </c>
      <c r="H64" t="s">
        <v>176</v>
      </c>
      <c r="I64" t="s">
        <v>266</v>
      </c>
      <c r="J64" s="2">
        <f>IF(COUNT('Turns'!D194)=1,SUM('Turns'!D194),"Unknown")</f>
        <v>721.0</v>
      </c>
      <c r="K64" s="2">
        <f>IF(COUNT('Turns'!E194)=1,SUM('Turns'!E194),"Unknown")</f>
        <v>0.000125795754</v>
      </c>
      <c r="L64" s="2">
        <f>IF(COUNT('Turns'!F194)=1,SUM('Turns'!F194),"Unknown")</f>
        <v>0.0001442</v>
      </c>
      <c r="M64" s="2">
        <f>IF(COUNT('Turns'!D193)=1,SUM('Turns'!D193),"Unknown")</f>
        <v>0.0</v>
      </c>
      <c r="N64" s="2">
        <f>IF(COUNT('Turns'!E193)=1,SUM('Turns'!E193),"Unknown")</f>
        <v>0.0</v>
      </c>
      <c r="O64" s="2">
        <f>IF(COUNT('Turns'!F193)=1,SUM('Turns'!F193),"Unknown")</f>
        <v>0.0</v>
      </c>
      <c r="P64" s="2">
        <v>0</v>
      </c>
      <c r="Q64" s="2">
        <v>0</v>
      </c>
      <c r="R64" s="2">
        <v>0</v>
      </c>
      <c r="S64" s="2">
        <f>IF(COUNT('Turns'!D200)=1,SUM('Turns'!D200),"Unknown")</f>
        <v>163.0</v>
      </c>
      <c r="T64" s="2">
        <f>IF(COUNT('Turns'!E200)=1,SUM('Turns'!E200),"Unknown")</f>
        <v>0.000170635572</v>
      </c>
      <c r="U64" s="2">
        <f>IF(COUNT('Turns'!F200)=1,SUM('Turns'!F200),"Unknown")</f>
        <v>0.0001956</v>
      </c>
      <c r="V64" s="2">
        <f>IF(COUNT('Turns'!D199)=1,SUM('Turns'!D199),"Unknown")</f>
        <v>36.0</v>
      </c>
      <c r="W64" s="2">
        <f>IF(COUNT('Turns'!E199)=1,SUM('Turns'!E199),"Unknown")</f>
        <v>3.7686384e-05</v>
      </c>
      <c r="X64" s="2">
        <f>IF(COUNT('Turns'!F199)=1,SUM('Turns'!F199),"Unknown")</f>
        <v>4.32e-05</v>
      </c>
      <c r="Y64" s="2">
        <f>IF(COUNT('Turns'!E204)=1,SUM('Turns'!E204),"Unknown")</f>
        <v>0.00033411771</v>
      </c>
      <c r="Z64" s="2">
        <f>IF(COUNT('Turns'!F204)=1,SUM('Turns'!F204),"Unknown")</f>
        <v>0.000383</v>
      </c>
      <c r="AA64" s="5">
        <f>IF(ISNUMBER(Y64),ROUND(Y64*'Reference data'!$B$2,0),"Unknown")</f>
        <v>33.0</v>
      </c>
      <c r="AB64" s="5">
        <f>IF(ISNUMBER(Z64),ROUND(Z64*'Reference data'!$B$2,0),"Unknown")</f>
        <v>38.0</v>
      </c>
      <c r="AC64" s="1" t="s">
        <v>175</v>
      </c>
      <c r="AD64" s="1">
        <v>2736.287</v>
      </c>
      <c r="AE64" s="1" t="s">
        <v>208</v>
      </c>
    </row>
    <row r="65" spans="1:31" ht="54" customHeight="1">
      <c r="A65" s="6" t="s">
        <v>198</v>
      </c>
      <c r="B65" s="1">
        <v>4</v>
      </c>
      <c r="C65" s="1" t="s">
        <v>186</v>
      </c>
      <c r="D65" s="1" t="s">
        <v>47</v>
      </c>
      <c r="E65" s="1" t="s">
        <v>111</v>
      </c>
      <c r="G65" s="6" t="s">
        <v>199</v>
      </c>
      <c r="H65" t="s">
        <v>267</v>
      </c>
      <c r="I65" t="s">
        <v>255</v>
      </c>
      <c r="J65" s="2">
        <f>IF(COUNT('Turns'!D207)=1,SUM('Turns'!D207),"Unknown")</f>
        <v>3.0</v>
      </c>
      <c r="K65" s="2">
        <f>IF(COUNT('Turns'!E207)=1,SUM('Turns'!E207),"Unknown")</f>
        <v>5.23422e-07</v>
      </c>
      <c r="L65" s="2">
        <f>IF(COUNT('Turns'!F207)=1,SUM('Turns'!F207),"Unknown")</f>
        <v>6e-07</v>
      </c>
      <c r="M65" s="2">
        <f>IF(COUNT('Turns'!D206)=1,SUM('Turns'!D206),"Unknown")</f>
        <v>0.0</v>
      </c>
      <c r="N65" s="2">
        <f>IF(COUNT('Turns'!E206)=1,SUM('Turns'!E206),"Unknown")</f>
        <v>0.0</v>
      </c>
      <c r="O65" s="2">
        <f>IF(COUNT('Turns'!F206)=1,SUM('Turns'!F206),"Unknown")</f>
        <v>0.0</v>
      </c>
      <c r="P65" s="2">
        <f>IF(COUNT('Turns'!D208)=1,SUM('Turns'!D208),"Unknown")</f>
        <v>1138.0</v>
      </c>
      <c r="Q65" s="2">
        <f>IF(COUNT('Turns'!E208)=1,SUM('Turns'!E208),"Unknown")</f>
        <v>0.000248189265</v>
      </c>
      <c r="R65" s="2">
        <f>IF(COUNT('Turns'!F208)=1,SUM('Turns'!F208),"Unknown")</f>
        <v>0.0002845</v>
      </c>
      <c r="S65" s="2">
        <f>IF(COUNT('Turns'!D211)=1,SUM('Turns'!D211),"Unknown")</f>
        <v>428.0</v>
      </c>
      <c r="T65" s="2">
        <f>IF(COUNT('Turns'!E211)=1,SUM('Turns'!E211),"Unknown")</f>
        <v>0.000448049232</v>
      </c>
      <c r="U65" s="2">
        <f>IF(COUNT('Turns'!F211)=1,SUM('Turns'!F211),"Unknown")</f>
        <v>0.0005136</v>
      </c>
      <c r="V65" s="2">
        <v>0</v>
      </c>
      <c r="W65" s="2">
        <v>0</v>
      </c>
      <c r="X65" s="2">
        <v>0</v>
      </c>
      <c r="Y65" s="2">
        <f>IF(COUNT('Turns'!E215)=1,SUM('Turns'!E215),"Unknown")</f>
        <v>0.000696761919</v>
      </c>
      <c r="Z65" s="2">
        <f>IF(COUNT('Turns'!F215)=1,SUM('Turns'!F215),"Unknown")</f>
        <v>0.0007987</v>
      </c>
      <c r="AA65" s="5">
        <f>IF(ISNUMBER(Y65),ROUND(Y65*'Reference data'!$B$2,0),"Unknown")</f>
        <v>70.0</v>
      </c>
      <c r="AB65" s="5">
        <f>IF(ISNUMBER(Z65),ROUND(Z65*'Reference data'!$B$2,0),"Unknown")</f>
        <v>80.0</v>
      </c>
      <c r="AD65" s="1">
        <v>3609.673</v>
      </c>
      <c r="AE65" s="1" t="s">
        <v>188</v>
      </c>
    </row>
    <row r="66" spans="1:31" ht="54" customHeight="1">
      <c r="A66" s="6" t="s">
        <v>205</v>
      </c>
      <c r="B66" s="1">
        <v>5</v>
      </c>
      <c r="C66" s="1" t="s">
        <v>186</v>
      </c>
      <c r="D66" s="1" t="s">
        <v>47</v>
      </c>
      <c r="E66" s="1" t="s">
        <v>111</v>
      </c>
      <c r="G66" s="6" t="s">
        <v>217</v>
      </c>
      <c r="H66" t="s">
        <v>268</v>
      </c>
      <c r="I66" t="s">
        <v>267</v>
      </c>
      <c r="J66" s="2">
        <f>IF(COUNT('Turns'!D207)=1,SUM('Turns'!D207),"Unknown")</f>
        <v>3.0</v>
      </c>
      <c r="K66" s="2">
        <f>IF(COUNT('Turns'!E207)=1,SUM('Turns'!E207),"Unknown")</f>
        <v>5.23422e-07</v>
      </c>
      <c r="L66" s="2">
        <f>IF(COUNT('Turns'!F207)=1,SUM('Turns'!F207),"Unknown")</f>
        <v>6e-07</v>
      </c>
      <c r="M66" s="2">
        <f>IF(COUNT('Turns'!D206)=1,SUM('Turns'!D206),"Unknown")</f>
        <v>0.0</v>
      </c>
      <c r="N66" s="2">
        <f>IF(COUNT('Turns'!E206)=1,SUM('Turns'!E206),"Unknown")</f>
        <v>0.0</v>
      </c>
      <c r="O66" s="2">
        <f>IF(COUNT('Turns'!F206)=1,SUM('Turns'!F206),"Unknown")</f>
        <v>0.0</v>
      </c>
      <c r="P66" s="2">
        <f>IF(COUNT('Turns'!D208)=1,SUM('Turns'!D208),"Unknown")</f>
        <v>1138.0</v>
      </c>
      <c r="Q66" s="2">
        <f>IF(COUNT('Turns'!E208)=1,SUM('Turns'!E208),"Unknown")</f>
        <v>0.000248189265</v>
      </c>
      <c r="R66" s="2">
        <f>IF(COUNT('Turns'!F208)=1,SUM('Turns'!F208),"Unknown")</f>
        <v>0.0002845</v>
      </c>
      <c r="S66" s="2">
        <f>IF(COUNT('Turns'!D211)=1,SUM('Turns'!D211),"Unknown")</f>
        <v>428.0</v>
      </c>
      <c r="T66" s="2">
        <f>IF(COUNT('Turns'!E211)=1,SUM('Turns'!E211),"Unknown")</f>
        <v>0.000448049232</v>
      </c>
      <c r="U66" s="2">
        <f>IF(COUNT('Turns'!F211)=1,SUM('Turns'!F211),"Unknown")</f>
        <v>0.0005136</v>
      </c>
      <c r="V66" s="2">
        <v>0</v>
      </c>
      <c r="W66" s="2">
        <v>0</v>
      </c>
      <c r="X66" s="2">
        <v>0</v>
      </c>
      <c r="Y66" s="2">
        <f>IF(COUNT('Turns'!E215)=1,SUM('Turns'!E215),"Unknown")</f>
        <v>0.000696761919</v>
      </c>
      <c r="Z66" s="2">
        <f>IF(COUNT('Turns'!F215)=1,SUM('Turns'!F215),"Unknown")</f>
        <v>0.0007987</v>
      </c>
      <c r="AA66" s="5">
        <f>IF(ISNUMBER(Y66),ROUND(Y66*'Reference data'!$B$2,0),"Unknown")</f>
        <v>70.0</v>
      </c>
      <c r="AB66" s="5">
        <f>IF(ISNUMBER(Z66),ROUND(Z66*'Reference data'!$B$2,0),"Unknown")</f>
        <v>80.0</v>
      </c>
      <c r="AD66" s="1">
        <v>3608.375</v>
      </c>
      <c r="AE66" s="1" t="s">
        <v>188</v>
      </c>
    </row>
    <row r="67" spans="1:31" ht="54" customHeight="1">
      <c r="A67" s="6" t="s">
        <v>219</v>
      </c>
      <c r="B67" s="1">
        <v>6</v>
      </c>
      <c r="C67" s="1" t="s">
        <v>206</v>
      </c>
      <c r="D67" s="1" t="s">
        <v>95</v>
      </c>
      <c r="E67" s="1" t="s">
        <v>111</v>
      </c>
      <c r="F67" s="1">
        <v>1141</v>
      </c>
      <c r="G67" s="6" t="s">
        <v>207</v>
      </c>
      <c r="H67" t="s">
        <v>179</v>
      </c>
      <c r="I67" t="s">
        <v>268</v>
      </c>
      <c r="J67" s="2">
        <f>IF(COUNT('Turns'!D207)=1,SUM('Turns'!D207),"Unknown")</f>
        <v>3.0</v>
      </c>
      <c r="K67" s="2">
        <f>IF(COUNT('Turns'!E207)=1,SUM('Turns'!E207),"Unknown")</f>
        <v>5.23422e-07</v>
      </c>
      <c r="L67" s="2">
        <f>IF(COUNT('Turns'!F207)=1,SUM('Turns'!F207),"Unknown")</f>
        <v>6e-07</v>
      </c>
      <c r="M67" s="2">
        <f>IF(COUNT('Turns'!D206)=1,SUM('Turns'!D206),"Unknown")</f>
        <v>0.0</v>
      </c>
      <c r="N67" s="2">
        <f>IF(COUNT('Turns'!E206)=1,SUM('Turns'!E206),"Unknown")</f>
        <v>0.0</v>
      </c>
      <c r="O67" s="2">
        <f>IF(COUNT('Turns'!F206)=1,SUM('Turns'!F206),"Unknown")</f>
        <v>0.0</v>
      </c>
      <c r="P67" s="2">
        <f>IF(COUNT('Turns'!D208)=1,SUM('Turns'!D208),"Unknown")</f>
        <v>1138.0</v>
      </c>
      <c r="Q67" s="2">
        <f>IF(COUNT('Turns'!E208)=1,SUM('Turns'!E208),"Unknown")</f>
        <v>0.000248189265</v>
      </c>
      <c r="R67" s="2">
        <f>IF(COUNT('Turns'!F208)=1,SUM('Turns'!F208),"Unknown")</f>
        <v>0.0002845</v>
      </c>
      <c r="S67" s="2">
        <f>IF(COUNT('Turns'!D211)=1,SUM('Turns'!D211),"Unknown")</f>
        <v>428.0</v>
      </c>
      <c r="T67" s="2">
        <f>IF(COUNT('Turns'!E211)=1,SUM('Turns'!E211),"Unknown")</f>
        <v>0.000448049232</v>
      </c>
      <c r="U67" s="2">
        <f>IF(COUNT('Turns'!F211)=1,SUM('Turns'!F211),"Unknown")</f>
        <v>0.0005136</v>
      </c>
      <c r="V67" s="2">
        <v>0</v>
      </c>
      <c r="W67" s="2">
        <v>0</v>
      </c>
      <c r="X67" s="2">
        <v>0</v>
      </c>
      <c r="Y67" s="2">
        <f>IF(COUNT('Turns'!E215)=1,SUM('Turns'!E215),"Unknown")</f>
        <v>0.000696761919</v>
      </c>
      <c r="Z67" s="2">
        <f>IF(COUNT('Turns'!F215)=1,SUM('Turns'!F215),"Unknown")</f>
        <v>0.0007987</v>
      </c>
      <c r="AA67" s="5">
        <f>IF(ISNUMBER(Y67),ROUND(Y67*'Reference data'!$B$2,0),"Unknown")</f>
        <v>70.0</v>
      </c>
      <c r="AB67" s="5">
        <f>IF(ISNUMBER(Z67),ROUND(Z67*'Reference data'!$B$2,0),"Unknown")</f>
        <v>80.0</v>
      </c>
      <c r="AC67" s="1" t="s">
        <v>178</v>
      </c>
      <c r="AD67" s="1">
        <v>3606.544</v>
      </c>
      <c r="AE67" s="1" t="s">
        <v>208</v>
      </c>
    </row>
    <row r="68" spans="1:31" ht="54" customHeight="1">
      <c r="A68" s="6" t="s">
        <v>202</v>
      </c>
      <c r="B68" s="1">
        <v>4</v>
      </c>
      <c r="C68" s="1" t="s">
        <v>186</v>
      </c>
      <c r="D68" s="1" t="s">
        <v>47</v>
      </c>
      <c r="E68" s="1" t="s">
        <v>111</v>
      </c>
      <c r="G68" s="6" t="s">
        <v>203</v>
      </c>
      <c r="H68" t="s">
        <v>269</v>
      </c>
      <c r="I68" t="s">
        <v>255</v>
      </c>
      <c r="J68" s="2">
        <f>IF(COUNT('Turns'!D218)=1,SUM('Turns'!D218),"Unknown")</f>
        <v>3.0</v>
      </c>
      <c r="K68" s="2">
        <f>IF(COUNT('Turns'!E218)=1,SUM('Turns'!E218),"Unknown")</f>
        <v>5.23422e-07</v>
      </c>
      <c r="L68" s="2">
        <f>IF(COUNT('Turns'!F218)=1,SUM('Turns'!F218),"Unknown")</f>
        <v>6e-07</v>
      </c>
      <c r="M68" s="2">
        <f>IF(COUNT('Turns'!D217)=1,SUM('Turns'!D217),"Unknown")</f>
        <v>0.0</v>
      </c>
      <c r="N68" s="2">
        <f>IF(COUNT('Turns'!E217)=1,SUM('Turns'!E217),"Unknown")</f>
        <v>0.0</v>
      </c>
      <c r="O68" s="2">
        <f>IF(COUNT('Turns'!F217)=1,SUM('Turns'!F217),"Unknown")</f>
        <v>0.0</v>
      </c>
      <c r="P68" s="2">
        <f>IF(COUNT('Turns'!D220)=1,SUM('Turns'!D220),"Unknown")</f>
        <v>1128.0</v>
      </c>
      <c r="Q68" s="2">
        <f>IF(COUNT('Turns'!E220)=1,SUM('Turns'!E220),"Unknown")</f>
        <v>0.00024600834</v>
      </c>
      <c r="R68" s="2">
        <f>IF(COUNT('Turns'!F220)=1,SUM('Turns'!F220),"Unknown")</f>
        <v>0.000282</v>
      </c>
      <c r="S68" s="2">
        <f>IF(COUNT('Turns'!D224)=1,SUM('Turns'!D224),"Unknown")</f>
        <v>280.0</v>
      </c>
      <c r="T68" s="2">
        <f>IF(COUNT('Turns'!E224)=1,SUM('Turns'!E224),"Unknown")</f>
        <v>0.00029311632</v>
      </c>
      <c r="U68" s="2">
        <f>IF(COUNT('Turns'!F224)=1,SUM('Turns'!F224),"Unknown")</f>
        <v>0.000336</v>
      </c>
      <c r="V68" s="2">
        <f>IF(COUNT('Turns'!D223)=1,SUM('Turns'!D223),"Unknown")</f>
        <v>25.0</v>
      </c>
      <c r="W68" s="2">
        <f>IF(COUNT('Turns'!E223)=1,SUM('Turns'!E223),"Unknown")</f>
        <v>2.61711e-05</v>
      </c>
      <c r="X68" s="2">
        <f>IF(COUNT('Turns'!F223)=1,SUM('Turns'!F223),"Unknown")</f>
        <v>3e-05</v>
      </c>
      <c r="Y68" s="2">
        <f>IF(COUNT('Turns'!E228)=1,SUM('Turns'!E228),"Unknown")</f>
        <v>0.000565819182</v>
      </c>
      <c r="Z68" s="2">
        <f>IF(COUNT('Turns'!F228)=1,SUM('Turns'!F228),"Unknown")</f>
        <v>0.0006486</v>
      </c>
      <c r="AA68" s="5">
        <f>IF(ISNUMBER(Y68),ROUND(Y68*'Reference data'!$B$2,0),"Unknown")</f>
        <v>57.0</v>
      </c>
      <c r="AB68" s="5">
        <f>IF(ISNUMBER(Z68),ROUND(Z68*'Reference data'!$B$2,0),"Unknown")</f>
        <v>65.0</v>
      </c>
      <c r="AD68" s="1">
        <v>2829.686</v>
      </c>
      <c r="AE68" s="1" t="s">
        <v>188</v>
      </c>
    </row>
    <row r="69" spans="1:31" ht="54" customHeight="1">
      <c r="A69" s="6" t="s">
        <v>205</v>
      </c>
      <c r="B69" s="1">
        <v>5</v>
      </c>
      <c r="C69" s="1" t="s">
        <v>206</v>
      </c>
      <c r="D69" s="1" t="s">
        <v>95</v>
      </c>
      <c r="E69" s="1" t="s">
        <v>111</v>
      </c>
      <c r="F69" s="1">
        <v>1131</v>
      </c>
      <c r="G69" s="6" t="s">
        <v>207</v>
      </c>
      <c r="H69" t="s">
        <v>182</v>
      </c>
      <c r="I69" t="s">
        <v>269</v>
      </c>
      <c r="J69" s="2">
        <f>IF(COUNT('Turns'!D218)=1,SUM('Turns'!D218),"Unknown")</f>
        <v>3.0</v>
      </c>
      <c r="K69" s="2">
        <f>IF(COUNT('Turns'!E218)=1,SUM('Turns'!E218),"Unknown")</f>
        <v>5.23422e-07</v>
      </c>
      <c r="L69" s="2">
        <f>IF(COUNT('Turns'!F218)=1,SUM('Turns'!F218),"Unknown")</f>
        <v>6e-07</v>
      </c>
      <c r="M69" s="2">
        <f>IF(COUNT('Turns'!D217)=1,SUM('Turns'!D217),"Unknown")</f>
        <v>0.0</v>
      </c>
      <c r="N69" s="2">
        <f>IF(COUNT('Turns'!E217)=1,SUM('Turns'!E217),"Unknown")</f>
        <v>0.0</v>
      </c>
      <c r="O69" s="2">
        <f>IF(COUNT('Turns'!F217)=1,SUM('Turns'!F217),"Unknown")</f>
        <v>0.0</v>
      </c>
      <c r="P69" s="2">
        <f>IF(COUNT('Turns'!D220)=1,SUM('Turns'!D220),"Unknown")</f>
        <v>1128.0</v>
      </c>
      <c r="Q69" s="2">
        <f>IF(COUNT('Turns'!E220)=1,SUM('Turns'!E220),"Unknown")</f>
        <v>0.00024600834</v>
      </c>
      <c r="R69" s="2">
        <f>IF(COUNT('Turns'!F220)=1,SUM('Turns'!F220),"Unknown")</f>
        <v>0.000282</v>
      </c>
      <c r="S69" s="2">
        <f>IF(COUNT('Turns'!D224)=1,SUM('Turns'!D224),"Unknown")</f>
        <v>280.0</v>
      </c>
      <c r="T69" s="2">
        <f>IF(COUNT('Turns'!E224)=1,SUM('Turns'!E224),"Unknown")</f>
        <v>0.00029311632</v>
      </c>
      <c r="U69" s="2">
        <f>IF(COUNT('Turns'!F224)=1,SUM('Turns'!F224),"Unknown")</f>
        <v>0.000336</v>
      </c>
      <c r="V69" s="2">
        <f>IF(COUNT('Turns'!D223)=1,SUM('Turns'!D223),"Unknown")</f>
        <v>25.0</v>
      </c>
      <c r="W69" s="2">
        <f>IF(COUNT('Turns'!E223)=1,SUM('Turns'!E223),"Unknown")</f>
        <v>2.61711e-05</v>
      </c>
      <c r="X69" s="2">
        <f>IF(COUNT('Turns'!F223)=1,SUM('Turns'!F223),"Unknown")</f>
        <v>3e-05</v>
      </c>
      <c r="Y69" s="2">
        <f>IF(COUNT('Turns'!E228)=1,SUM('Turns'!E228),"Unknown")</f>
        <v>0.000565819182</v>
      </c>
      <c r="Z69" s="2">
        <f>IF(COUNT('Turns'!F228)=1,SUM('Turns'!F228),"Unknown")</f>
        <v>0.0006486</v>
      </c>
      <c r="AA69" s="5">
        <f>IF(ISNUMBER(Y69),ROUND(Y69*'Reference data'!$B$2,0),"Unknown")</f>
        <v>57.0</v>
      </c>
      <c r="AB69" s="5">
        <f>IF(ISNUMBER(Z69),ROUND(Z69*'Reference data'!$B$2,0),"Unknown")</f>
        <v>65.0</v>
      </c>
      <c r="AC69" s="1" t="s">
        <v>181</v>
      </c>
      <c r="AD69" s="1">
        <v>2826.111</v>
      </c>
      <c r="AE69" s="1" t="s">
        <v>208</v>
      </c>
    </row>
  </sheetData>
  <conditionalFormatting sqref="A2:AE69">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2026-09-23T03:37:38Z</dcterms:created>
  <dcterms:modified xsi:type="dcterms:W3CDTF">2026-09-23T03:37:38Z</dcterms:modified>
</cp:coreProperties>
</file>
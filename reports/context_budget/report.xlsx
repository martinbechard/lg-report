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<sst xmlns="http://schemas.openxmlformats.org/spreadsheetml/2006/main" count="1555" uniqueCount="322">
  <si>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</si>
  <si>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</si>
  <si>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</si>
  <si>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</si>
  <si>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</si>
  <si>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</si>
  <si>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</si>
  <si>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</si>
  <si>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</si>
  <si>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</si>
  <si>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</si>
  <si>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</si>
  <si>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</si>
  <si>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</si>
  <si>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</si>
  <si>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</si>
  <si>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</si>
  <si>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</si>
  <si>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</si>
  <si>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</si>
  <si>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</si>
  <si>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</si>
  <si>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</si>
  <si>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</si>
  <si>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</si>
  <si>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</si>
  <si>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</si>
  <si>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</si>
  <si>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</si>
  <si>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</si>
  <si>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</si>
  <si>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</si>
  <si>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</si>
  <si>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</si>
  <si>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</si>
  <si>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</si>
  <si>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</si>
  <si>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</si>
  <si>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</si>
  <si>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</si>
  <si>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</si>
  <si>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</si>
  <si>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</si>
  <si>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</si>
  <si>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</si>
  <si>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</si>
  <si>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</si>
  <si>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</si>
  <si>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</si>
  <si>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01a0d583-45eb-7ca3-84b6-ae6c642cbe8e</t>
  </si>
  <si>
    <t>Recording</t>
  </si>
  <si>
    <t>Provider trace</t>
  </si>
  <si>
    <t>FX reference date</t>
  </si>
  <si>
    <t>2026-09-24</t>
  </si>
  <si>
    <t>FX fetched at</t>
  </si>
  <si>
    <t>2026-09-24T22:21:31.719587Z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</si>
  <si>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</si>
  <si>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</si>
  <si>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</si>
  <si>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</si>
  <si>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</si>
  <si>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</si>
  <si>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</si>
  <si>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</si>
  <si>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</si>
  <si>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</si>
  <si>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</si>
  <si>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</si>
  <si>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</si>
  <si>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</si>
  <si>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</si>
  <si>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</si>
  <si>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</si>
  <si>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</si>
  <si>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</si>
  <si>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</si>
  <si>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</si>
  <si>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</si>
  <si>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</si>
  <si>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</si>
  <si>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</si>
  <si>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</si>
  <si>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</si>
  <si>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</si>
  <si>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</si>
  <si>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</si>
  <si>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</si>
  <si>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</si>
  <si>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</si>
  <si>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</si>
  <si>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</si>
  <si>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</si>
  <si>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</si>
  <si>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</si>
  <si>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</si>
  <si>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</si>
  <si>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01a0d583-45f4-71b0-b19c-9b23257c12b5</t>
  </si>
  <si>
    <t>Input at standard rate</t>
  </si>
  <si>
    <t xml:space="preserve">    Tool definitions</t>
  </si>
  <si>
    <t xml:space="preserve">    System prompt</t>
  </si>
  <si>
    <t>You are the planner. You own only /plan.md; never implement or repair code or tests. The only implementation paths are /slug.py and /test_slug.py; the public function is slugify imported from slug. File tools cannot execute tests. On the initial planning invocation, read an existing plan if present, then create or extend an ordered plan of concrete implementation steps with stable task IDs, acceptance criteria, and pending status. Review and closeout are part of EVERY implementation step, never separate plan tasks. NEVER assign source review, cross-file review, approval, verification-only work, or closeout to the worker. The independent reviewer node already handles those checks for each implementation step. For the initial slug request, plan two implementation steps: implement the function, then write its tests. For a follow-up request, add only the concrete requested code/test changes. Preserve earlier evidence. Assign exactly ONE pending task to the worker, then stop. On an approved-step invocation, update ONLY the named approved task to complete using the supplied reviewer evidence, reread /plan.md, then assign the next pending task or finish. Do not mark a task complete on worker claims, your own inspection, or a summary. Only the workflow-supplied approval authorizes that update. Never repair a rejected task yourself. Your final response must be a JSON object with action (work or finish), task_id (the next task ID, or empty when finishing), files (an array of writable paths for this task chosen from /slug.py and /test_slug.py, empty when finishing), and message (a self-contained assignment including acceptance criteria, or final report). No Markdown fences. A work response must name exactly one task. Tests are written but not run.
Sample practices:
# Coding practices for a small Python change
This guidance is part of the context-budget sample. It is deliberately self-contained: no external skill, service, repository-specific command, or server is required. Apply it to the local exercise described in the plan. The plan is the durable coordination record; conversation text is transient.
## Establish the task
Read the current plan before choosing work. Identify the requested behavior, the intended user, inputs and outputs, file ownership, and acceptance criteria. Separate requirements from implementation guesses. If a task cannot be completed because information is missing, record the exact gap in the plan rather than silently inventing a contract. Prefer a small explicit contract over speculative flexibility. Make names describe responsibilities and avoid adding an abstraction that has only one use. If prior tasks changed the plan, use its latest on-disk version, not an older summary of it.
## Design before editing
For each task, describe the observable before and after behavior. List one or two representative examples and the most important edge cases. Decide where input validation belongs and what should happen for invalid values. Choose deterministic behavior that can be checked without external services. Keep the public function small and place supporting logic near it. Avoid hidden state and avoid catching errors so broadly that a failed edit looks successful. Do not make a safety claim that the code cannot enforce.
## Implement in small verified steps
Read the existing file before editing it. Change only the files named by the plan. Preserve content outside the task. When creating code, include a plain-language file header stating purpose, responsibilities, assumptions, AI assistance, and copyright. Explain non-obvious control flow and why a particular branch exists. Comments should clarify intent, not repeat syntax. After each tool result, check whether the operation succeeded before recording progress. If an edit fails or replaces the wrong string, stop and repair that step. Never record a task as complete simply because a tool was called.
## Tests and evidence
Write tests for external behavior, important boundaries, and regressions the task is meant to prevent. Do not write a test that only copies the implementation's branching. A test should distinguish a plausible bug from correct behavior. Keep test data readable. If this workflow cannot execute tests, say that they were written but not run; never substitute a code review for execution evidence. A reviewer may inspect coverage and syntax, but a review report is not a passing test result.
## Plan maintenance
The planner marks a task complete only after the independent reviewer approves that task's current files. An existing artifact alone is not approval. The worker reports concrete tool outcomes but does not edit the plan. The planner uses a narrow replacement that preserves other tasks, with concise evidence such as the created file, test name, or reviewer finding. Read the plan again after every status edit, even if the edit succeeded, so the next decision uses the current document. Keep a pending, complete, or blocked status for every task. Record uncertainty under the relevant task instead of hiding it in a final answer. If the reviewer requests changes, the same task stays incomplete. The worker repairs it and the reviewer checks the new version before the planner records completion.
## Handoff and review
The planner supplies a self-contained task assignment: the plan path, code paths, intended behavior, and acceptance criteria. The workflow forwards that assignment to the reviewer after the worker returns. The reviewer starts with an isolated context and has no access to this conversation. Ask for source-backed findings with severity and uncertainty. The workflow delivers the independent verdict. A rejection returns the same task to the worker. Approval lets the planner record completion and reread the plan before assigning another task. Report only what the visible evidence supports.
## Context limits
Large instructions, file reads, tool schemas, and tool results consume context. Use compaction to preserve durable decisions and current task state when earlier conversation is summarized. The on-disk plan remains authoritative; after compaction, reread it before the next task. Do not infer that a summary retains every line of a file. When a read is truncated, request the missing section. Keep final messages concise enough to show the task status, verification level, and next action without duplicating the entire plan.
Role ownership survives compaction: only the worker edits source/tests, only the reviewer issues approval, and only the planner updates plan status. The current workflow assignment and verdict override incomplete history summaries.
Authoritative current workflow operation; do ONLY this operation, even if a history summary suggests later work:
{"operation": "plan", "instruction": "Prepare pending steps for the latest user request; assign one. Do not record completion."}</t>
  </si>
  <si>
    <t xml:space="preserve">    User prompt</t>
  </si>
  <si>
    <t>{"operation": "plan", "instruction": "Prepare pending steps for the latest user request; assign one. Do not record completion."}</t>
  </si>
  <si>
    <t>Cache write</t>
  </si>
  <si>
    <t>Context · added / total</t>
  </si>
  <si>
    <t>LLM response</t>
  </si>
  <si>
    <t>Reasoning</t>
  </si>
  <si>
    <t>Output</t>
  </si>
  <si>
    <t xml:space="preserve">    Output content</t>
  </si>
  <si>
    <t>[{"id": "rs_056e22f37fd5bd59006ab5a2a1f96087d28c45d3b3dda81529", "summary": [], "type": "reasoning", "content": [], "index": 0, "encrypted_content": "gAAAAABqtaKiek75U3x033c8l63bYzsXvZK1aBrx_LZl1yTldIRVh2-Pgc0PV4cggJcvD63EJz30gXK4vkwvxEGnO4wxlgjgGn_dGa9mq0K_H1nMfFYlIHqZgMB2dGGEeI0xl30cQVNokInLQ2z5foLGEJioPj3Eztsh7HCk-Qyfm0I0Q9SCW4yWRigBaNrjLrIq5VhKS2XonDbEeh93IUnkVIK0sTNcrzNW252CJ9PcpFOUigTgsLcS51No3_j_AdhT9D_LGv9McpeIWUXVreoPW2ta5tO-QI1RPGyfsdyQt-vGQgNHBSYR5ioZu26TEV1-uxDhqO7urkCdHB_QLvccr2Pat9H84wqisUnvh0SVwNYy2910XoPjuHTFQUEkLqbfuEu1iCh0kTlhKtvdwehfHLohzpRG75l8KTVzf6PtRTIIyP5fsDLuIReZoO4xAqvAwAqSBADWqGjhyS4wR_zNcsxX5yDGDrPWnycOTH-UCR7JNE_R6WopiqurOTM1ZebJpaP_3CyAUmlY_3vrQILgX8t-MEeT0NLgYU8k9KvOrBBz7Sv7jrL0022x80xeiRVHtYGxV4fAy_7VAWPAexzjbaecs3di3DMsYzaxOgOA40Uqi2LSP39YNdulFlrFDpyn0Qt1c8-_dWuy4wqjs-lmwlDVB3xTWzlckeOqMPMnGTEHKvcYRBzisbufotEH6N3QLdQS5d4_4kTunN4xv64LPhESgdpQMHxmi8MVPLDVtagshz7bZf7ulhlvccxYxF2PwZAXAK77orpCUFxJQoAlhMXDmropqODod1SX58NmmTW4z0F3eA4UGcxbBzGfgK2EX9TNmFMBhfNRD9kYArvEJHGf7PmN2xgLkG1axlzSuz6hDhAiIm-4vfdGzm0rDz2NciiTPi6qD_jLpHA9a7Xwa-XxZSXUwRlVKAWOoXJSVyoTnLtNlI_ke1_uiAKbK7q1px6eVJV5nwIVXU-juLREWWVs0EmmTek4vv8sYE0B2vkR1_DMGsA1gvGz2mR-52Z9RZXzJlAvswN2uO-ivnuSvITkewjdf5Xx1gfruxKkRymXbJBrx8YWKLXuVCaTSRwz3-I1OTyEP9sEIUyKJ26jezehgn1L6zigU4qVSw-PpNqv7A4JVTYs0-wSaftUcz0Se5wGFA7LR7wuAbPQvcJXvnMZYLYtjZemYwT6hOITA86oPFbjDBtNF_DJDdMPAvxc-bxP_giCO4DKFy_N__O93M-HNTvShPlt27EYSC7R35n3_v1w_KMglS3JcDGbJlcmFm5xdtuE"}, {"type": "function_call", "name": "read_file", "arguments": "{\"file_path\":\"/plan.md\",\"offset\":0,\"limit\":200}", "call_id": "call_Zmibpu3td54CsFmc1mQc1NR2", "id": "fc_056e22f37fd5bd59006ab5a2a2545c87d2b7464bb295d19570", "index": 1}]
{"name": "read_file", "args": {"file_path": "/plan.md", "offset": 0, "limit": 200}, "id": "call_Zmibpu3td54CsFmc1mQc1NR2", "type": "tool_call"}</t>
  </si>
  <si>
    <t>Call total</t>
  </si>
  <si>
    <t>ok</t>
  </si>
  <si>
    <t>Tool · read_file</t>
  </si>
  <si>
    <t>01a0d583-4b43-7a40-8e79-44b5edb62078</t>
  </si>
  <si>
    <t xml:space="preserve">    Arguments</t>
  </si>
  <si>
    <t>{'file_path': '/plan.md', 'offset': 0, 'limit': 200}</t>
  </si>
  <si>
    <t xml:space="preserve">    Result</t>
  </si>
  <si>
    <t>@@ lines 1-64 of 64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complete
Assigned: worker
Evidence: Independent reviewer approved the implementation. `/slug.py` exports deterministic standard-library-only `slugify`, handles NFKD normalization, ASCII alphanumeric output, delayed separator collapsing, trimming, empty results, and `TypeError` for non-strings. Tests were not run.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complete
Assigned: worker
Evidence: Independent reviewer approved `/test_slug.py`. The tests import the public `slugify` from `slug` and cover ordinary input, whitespace and punctuation collapsing, accented Unicode normalization, repeated and boundary separators, empty and punctuation-only input, and non-string values raising `TypeError`. Assertions use deterministic standard-library `unittest` behavior checks without service or filesystem dependencies. Tests were not run, so execution remains unverified.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 SLUG-003 — Strengthen boundary tests in `/test_slug.py`
Status: complete
Assigned: worker
Evidence: Independent reviewer approved `/test_slug.py`. The file retains the previously approved ordinary, normalization, separator, empty-input, and invalid-type tests and adds focused coverage for whitespace/symbol/combining-mark-only inputs (`test_whitespace_symbols_and_combining_marks_only_return_empty`), mixed separator runs with separators at both boundaries (`test_long_mixed_separator_runs_and_boundaries_collapse`), non-decomposing Unicode and unsupported characters (`test_non_decomposing_unicode_is_discarded`), digit and alphanumeric preservation (`test_digits_and_alphanumeric_text_are_preserved`), and filtering to empty output (`test_filtering_allows_empty_output_between_separators`). Assertions target the public `slugify` function and deterministic contract results, use only `unittest`, and do not inspect implementation details or external resources. Source inspection indicates the acceptance criteria are met; tests were not run, so execution remains unverified as required by the workflow.
Implementation steps:
1. Read the current `/test_slug.py` and `/slug.py` before editing, then preserve the existing approved coverage while adding only boundary-focused behavioral tests.
2. Add deterministic tests for whitespace/symbol/combining-mark-only inputs, long mixed separator runs and separators at both boundaries, Unicode characters that do not decompose to ASCII, preservation of digits and alphanumeric text, and empty output after filtering; add further invalid-type coverage only where it strengthens the documented contract.
3. Use external-behavior assertions against the public `slugify` function, keeping tests standard-library-only and independent of filesystem, network, services, and implementation details.
Acceptance criteria:
- `/test_slug.py` retains all existing tests and adds readable regression coverage for the listed boundary cases.
- Expected results reflect the documented contract: lowercase ASCII alphanumerics, collapsed/trimmed hyphens, discarded unsupported characters, and `""` when no output characters remain.
- The added tests do not duplicate internal branches or depend on hidden state, and no tests are run by this workflow.
- The independent reviewer inspects the changed test file and either approves it or returns this task for repair; reviewer approval is required before this task is closed.</t>
  </si>
  <si>
    <t>R2</t>
  </si>
  <si>
    <t>01a0d583-4b49-7161-995c-df484a9e6d93</t>
  </si>
  <si>
    <t>Conversation history · cache read</t>
  </si>
  <si>
    <t xml:space="preserve">    Tool result</t>
  </si>
  <si>
    <t>[{"id": "rs_056e22f37fd5bd59006ab5a2a34af487d2b965002b282f8ef2", "summary": [], "type": "reasoning", "content": [], "index": 0, "encrypted_content": "gAAAAABqtaKoi_OboZkPFO0AwXjGlxYQk3W_CHih9XdogWpgVAnDrXOYKDpGfmMtQfOrlnVzdac1rz4PrqWOPEPjoTdYTSj3M5ex6s-DdtmCGHbsaIK5KCozfg2mHwHEE_0W_tgJY1uK1WcWmUQLIman0x4-bPUrUYij3UKcXcLmWPaPQz0nIvMBMmhx1UfaRvXlDzBT3TV06r-62issm_921YcR3ZzzpKv8DaPFR-xq3FUQTESFyFVd3k1Xoc0UKX9NBSUy7KX8p5jrQd6Ol7sYlKo_Dloykxzna79x98b82wP_4PHgz89C0qTclsD5QbsGQfUmJjPLzOwslff6DzQoioKDFESwaSuvEBnve83zUG7JFVGwjXlEcsfAS7V_UUBVkXgiKCNLSz85db_CfhlEIkHTr1NwLvC5NjTEurbzrf7KUCG3cndPyhCHEi8_iEz2XhyfBRazyFy1HDI95nPvBk9tw28-qCuX6ur8a7UAYSx656QyGq_VVqlv-0HHEgaz2EQr94bm7-gy9Qa6byoZfoLqfaehhcIQQ9R9MOeTJTFXCi1mqbojQO-0FlEPpDoEki7ojFVEBayVp9C9K4IEXvyrpdbueWq0nxxC71ODKS2IqAutAx7pk5ismWiAiF_HVLkGWWG3L8jqZzLMp3IL5Jz5GKu7Sb7ueIr0N-bfbBhgqkimaCuFZsfZNy4XWKbT6U_dzRbUemsarbO9aLkUvRqu8xPho4wzua3KqIeO53sHQplj13gimwlZZJ5OmXMituHW5TbjrEluAurOZskUl-DolKr8eHXiBMxfcIkI9j3eZSv902fjjafTFKzF_WfBvGD0D2XB1dyC_JtOX3gcxEpvNKKHbJosjHmE7J-sL5VlfoFJJXlp3N8LBMdH5vX8VA9OTIAfiic7aU05iXN_31TtaWzyELi2MD-4Fzr51LpUjn3NOA0dkG6YXH-ZTZ7jnjHEi7bwKgDKvSBr005rb63kwAzBhjCA0He6ypIFIGrNIqvBObvp4Gt67Ah-Gm_sgBBCylzauCy0or4cdzXQLgRtmi2q-OGwXAea7L2BhXMK6cNxJ8JZbn5UPG28WiO8MGIXVLj_3frYNULDoDqMfiKYJf9xAktFZxpoFngFjCCy8F1EJQk4wKqGOAjhhvytfdj8sRKRe3cNxI4-mZ3R0MKbLC7pFxqlccGHQwp4lzClQAlpYKy6kUDR5nGfnFvf4xgaqGv5tO_UJD6I_-Mnh01TdfrRpMisiFWbWSKqrJX8iJE32v7k2gdR-ISx6AOs7XsttC11_KAAqU3lW0W4jg4ksQl-OQ6-8iAfjieycWt_kcl0T2g9R2leq8Svhjl7J5OpdRthKdjzmWjRwEnaQeml5_he0CpmFbaH_NCC8pZ1bTkTVarSalnY5kTGHhyI5QY1CjyTTtvev7ZHS668v2pIBF-b_Ju061OZgjwJ0pSFRRUP2bIwrDCPXbvH5RboFPwH5t4a3C755umDLKvqGbzY8elOihw88J6ffwMojWcqC_5JXwrgV3RZRSUCaP6WaoQn8vMgXAUjOUwtsmXcDGS4e4BgzFkAsRhOxTCT1DcXj2yZI79wW1hjSOlaEtEko7BsGcQxQvfvAR93Yg-Dzm0WkZ0dDvK8dZbVOmWnxKh0nJ5K1P6_moxvpFC-SnvG07kPhz2cSQXWqO3GStUOXaIHGRwJh7xWu7CEboN0LXvmukGfdF_PyNrVBhGiQ6meR-I23ns3GcPGPqcjGWz2Jxn9PlnCj7ThK5yvouDqza3ZzAD9KlwVXs0Nwom8LXmwBL2d-a68IbeSkv2srhGL6ZTcnPqLwN5gnBLfDpo7rb7GZi5qaKcfymaoUV8tSYs_CZBbjFZmQNlf8kreYSkO7GGu-KbJfQjz5stnVyLA5Wh5Ju_-kDPHg0ivkBrKA2ctao3IRcJ8jJi_20NDJoDLfG8Telnz2mzAaodGPbo4rY2Y1ZrKPTuPrTBJRMBjTmyJH6GR1vZt43FYGM6Po8AdQjhfPSm9pC1gJDpTsizwP-AGCRCHnYrF5gKGnX_Ha667ay_1rsTgkSmXRilQeN69nbXolbVrQOT5EOaiwbqniiC3cMS6CwucAdlg3a0q3gHr3WSK1KcAOwHQlSh6dPo_syeU5kW5AfEzEBZO4ZHzxV1aqyRRxdycArlKcHCWsTLiTinVYtaBRR4GIQ_L6pL4VA09tIGWdXLicQDIzLo7fzSD7qG19ENo4qGBkWvudw2ygPhGFrf79dpe8k1MsfStvE5KM0w37fEYq2QgzIVjH42U0-DGVNwYQ-wBfwvKumyeaU8KM39Csc9NSTaQ0Uivc5ywGr6TPlcoHVW1Rf60vLkInXRDHa7szH6qE2L3ZJBRAr4-PV15iGFGW4yY89x4ebEI2DVhCle_ik4QiHlMZ_3RtlWmK_fXProlfFXEAIzcYpqt3v2cHOS4FzltvSgHzNq_yHfFJhTtdCif-UvN5iNt_oMRKBBbUcmBa8VIEPL2wlcQXZcXg839B36chY68kHUMDvB3qJ05WEJXZQP0gInr-2nzbyJGUqy5H-uxvmDRfeGg8uEfhPBlqAE5OX1ODrVuzxEM3UcekqyNJgwB0ZFDALwC7DDyQXPrU7Mdassync4mv6V4CabpK8-2wds9hVGSYqipPbwihVheuwCZ00czmVvWLIht0aPSTLFR-YZg3NxVVQH-NYXtcLY7aIQ4q53Nm7nGKoNkI5ItdnyuDZHjKCjAw67I2-YlnIH545def8tu_xK7w2-YtLN9svxl-DWvlKXY3Y9C9NpMj-DqNM3Q4DAYTOw-rj7kWXtIG6-rEskNHZxi79Hoo9o5_EiDr1LmDB9oI9w-rT2kYK-Gbc9UgXdiElMOfTRFqjr0MCjYgkQ_j-MpIDw0qh9oh1NyiDuTGtsexzykDjMqpppGM0M7Cmwoww6TzdgvqEstxvMJOuy4J5vwwiqy4atoyzzdpoFZkf4IO3YGM7PyNJ6cReFooaotMxFLbirhFPwDxzhqFk0IXza7r1Rwtm_Z10jlsfG8s5QKviZLxFw-pZhtVClyOWtvyU8Y3xsILPQ7sqqTb8y1OUrX3CGmzYm9ID2hOEWHlb3kUdGUrxeQXEPV5VA7EhwtwBd8ehqdf9GNK4xH7EvNpw8APMgvEhWkgVQdY96jR_wDkIRNxxA7YT9iAzYB9LizfOcLlIqe2KXzCW6TlBIYRCg8KGM7epOvQChzd9m0SO6QAKVS6zEhDWNOIIb8fd0H6CtHLm-U8zr__Lk6nKv6rSPlqXmok__vm2BJCixZwYzBpZIPkEiYdBDnDxnXBWiyffLO9hCQeKVlN5xRWWp_i-SYHPptYLIRj0el4EUSMlBpER19rK8aO0-USx5Tg9zUHTUKGU7f3bVZl_-lHP63mLHWAwXna7m18Ob9BB8g8Mpn0cHLiVJItmOXsNu_AO9xRWMVXfFQWG5iyc4lIulnKiZo-s42LNCKHnMdihn31lGFK2cC_f54pAE9oD77GVOD7Kje8_PS25CTr7ptPvALchYPo-oUXawfDIslG6u80qeVn9Mrhmfn0sbqNe1zL2Xzhyjv79w-WVbYgaSAXT_1wYPjypX3-gS_YoOBTKBijJlOMd6PqtoFaEWIjMVtmwIWhbtCbPuTClEFg8WYdXkQ7i2IY3t3gE-ao7mfDMHpyz6B1rXKRkzU3m8pcEwVEU0dXPdBLDSSCZeDPeEp22zCTIZ7X1mhg5pPEL9AbjnFg2xGNv4OuC6u6W7p3c-RhigZLTFaCILyXyXy48zohpuacgiS2ps4EF0I7-EEhD0-O8M2WU8Bb4bf6fsg2An5OKHVlrYQdUM94PfvUnsICifdYY3Oc04C-NcrOxl16toiF2CIPazzDaOwo_kON8iNLO90oTWSugEG2bvYx0EykFM857_1nEm47YqT3kZvfMWMuzZqQdH0mF6GAv-tlFm135Uw_MKYAxbYCHXNgOnnBoTLxDfecwGriorkn1voXbXgH-u_H0LeItfdysC6-AAwQK713JSTYiFSCwpd_GVIsjlgucjSoFMY6FnQj17R-h6Aq9adXNOvQv9WHVaJNyKN44JNYjTbrf15DILQDBG0WZdtK4sq3q-TlA-aA10rNzwG8og26Z3JshgXNURBukTDHfZ_z1-xuUMwdKezT8so7R20vKxmk6som8V0N7ArJSlZqb7gEppoLbMD1HYz7ISj86chTNOB9IXEPq2Ub184SntR_O1nwnribl0eEI3o5ZvOBR-5KjJfbOKM5J13eJ4HaqrzfA4egblnHAqenD__ajDU-oRqXyek9dFt8cyjK7g6if8c9m1WXu84qcMHoQ5zl8RxygwzXWCaHtcF1OFRgdI-zbtQsRRTvWFSnQNfsL0qi9-pPpsDtG-zE3GnZVy5F5zCeO7pwaJsWtWT20i3vHtzdXjU-P1F2O14GbMV_XFTJ8JpLpTxbzgfodyppuRDd65r9PmrLom0o7vN92M_5X0Gmw4vPHpuJIOJI3FvXrPSiWoy9a-B6NroJHkpd-EG8XQAJXjA5eUiQxF2_e6xr0llbRv6"}, {"type": "text", "text": "{\"action\":\"finish\",\"task_id\":\"\",\"files\":[],\"message\":\"The detailed implementation plan already exists at /plan.md. It defines the deterministic slugify contract, implementation and behavioral-test tasks, acceptance criteria, reviewer approvals, and the constraint that tests are written but not run. No additional concrete code or test changes were requested, and all planned tasks are complete.\"}", "phase": "final_answer", "index": 1, "id": "msg_056e22f37fd5bd59006ab5a2a8954487d2be8ded5c84c276d7"}]</t>
  </si>
  <si>
    <t>Turn 2</t>
  </si>
  <si>
    <t>R3</t>
  </si>
  <si>
    <t>01a0d583-661f-70a1-8db1-12ec1e7eb475</t>
  </si>
  <si>
    <t>[{"id": "rs_056e22f37fd5bd59006ab5a2aa0b8c87d2a15120182c2ebb18", "summary": [], "type": "reasoning", "content": [], "index": 0, "encrypted_content": "gAAAAABqtaKrRvP4qZkZDHeUWFEBo8oJhUgJuOSBH5F040C9N7tZSISzqZsjSJH0fjRoGTFeQ3MGB4ZjIRdZb6eGPtbnbLkVQJPUJMiXZW2kbqr3RiQ9jaITzq5BJeNoNZj8ALHnfPcBHEDtUhfLAa7y-RdmbWgH9kv_7gvv7Wo34avmVZurudWHpjL-1gLTnDlHlp90cCLvpM2NyPQHaGDst299edXURsfeNnfnTGL4UXpyOm194WCmzew7Jyvpg889Se-nB16JgT12Rj6zo4qPYrFBm1fQkFKS6_-F3F3ktk2t4lTIf7eYmoZ00YTdqXKpV4kZCrNDUi6aGsedVemata-zEg-Ur3YPLEU0hYZwQ4woAigsdwPxsyKtVBNyeQao3BcdLOQFr-tOJZepiS-IY_37SmdCFQh0VoU7wgX7j-u89Prmr0R6L-kxEwFgyjA_DzgBV3Kpz_-1-WnM9Z7Tv5BsdmsIPQpbTISi2LLPnVDgjk8vmBM-bi7hjiqYsXBDs4mIODdmv1zLZjrqD7zQquD7D6k6_ZLM7hiCcNNNdUp2AHCn_MQPZkYF2wrRDVUhHhYgcYXX2-Fke9Kk0KVtg1n4XO-wBEhVSi8sj269VlglF1X8QbPVteICeQd8fswe0BKFgI4smcopx53kTzYbQt885Dfsi7RnZUsuhlP2TOSd_sQ-FN5m2oPRb9FRGbeXjdlt6RXR5_7XtDXEdf2m80rL1MeMPpM8ilsIjvmY5oGCmjuPtxXE33zfzuXvauJKRUADBoJUxAi7jK7fg6Mn2vVvcMOjIFsgn9jwgb3Qrk_0xEgkyMITGV-Be9Vq8n-3WV2M4LSNJ_MyifHgFOUWWBTu-wCzEZc8C0B88ndnL7qnSpzZzgLxA4B9Li1XO-2zNLMPWvk0Z_r0rZ6wsbnVnCWd9avjkb4kzcvlYHmK4VhgAM-LIkTvbirkswEP8AgZJAUZ5N8aapIRxiZzEmn_I6qSbo1aHJAPuLS1ZJuDLSHIj7KKQzJNc9qROiAOXcspna5A2q3K72E7UHZobCzMS1T4MsVBzHZzdUbUCNvZKKxmbU54NY3uMFx-tOyGisxNnCtE_kz2sLjDfpLH4mdPHomkKyRcAE7BPXQj8cCnX7cvZ_N4hcF0sO3B0OWEL4Dtdu7vgk6DjwVm2XMjPNrALUhNVQMkELq-3z6EYh9DfjXQfzzOi-kHACiwwN2_AzKlkWCViuYk0rV3kCqNPvS9VTArHZADEhtMPZpSAxWXVT79OjbxpeKeIeMZZ5fMfKjPmgYGmSGNy-6CFE_kc05dlWXeCwIuOYQ0qo4-lAGxU6xC1_fSqotzojNouLhXsusP8KoK91tclLknvcnz-nwIlredWEcDl3A9eifEuGCBH098Om01ATk2gDdb6jULnkt2dURVtuGAOibLX979pWzW70x6LykutA1BA0DkIxbprXXafeVuTkWif_AjeU_DRL6Gk33t2Qn05fx3W_0fPFcY169H_9_PmvgPHp1Dpx0hKA-qoxd9gF9Erc4d6Eu73BJJ5xHTvUKMGbtZojplyf0FC7nXayB7dDSUIr22zBdc4twMXhpQfYf5RlffJRFDkmOjyft5_jSE_EFbRO9Sf_erIsk334in95Jep9prVvZabbHMgvvX1Uwp_O62-R6_TTTM4tS5DjEkhUOrc87frpQguCIeDayNJf-jOkN9uZ5JpjYEfnCds632Eol2w0mpbTV3ktYHodRrR1tf3CeDNlun_dzFuBnFVqKp4Zp6uM8NvF1-OUatrg_1JcghJ781XYJlAApBYsOsD23sfds-GT88BM95IH3_2n9hUIeE39znJRz-pshjqCl4XSLcNpYxD777j_FuD1YRWpeci7XGLSKSnc4ugCNcr4g2ewvtA8R4koO3BaiISsnqMF9BIGe5z9nxU5nrW--b3ZtOTft1vm707OE8dQOc1ZsdXli5smriE_aCXIbm18OppXicl6qm_tlSqGbYJe7jsc9yad1wKe1v3PVZKUzEQbnlvOlS-ybRd_vgoUImpEZ-FMWjQEK5pXFgI6uTiJaIkRqZ0rFdw8-jI79drmXRC_Pqly1r0xIDAUs2c39Yxry7a1ETAVEONg-P_QH0sPM9mUE62sU4UHRigtC94t7H9g=="}, {"type": "function_call", "name": "edit_file", "arguments": "{\"file_path\":\"/plan.md\",\"old_string\":\"- The independent reviewer inspects the changed test file and either approves it or returns this task for repair; reviewer approval is required before this task is closed.\\n\",\"new_string\":\"- The independent reviewer inspects the changed test file and either approves it or returns this task for repair; reviewer approval is required before this task is closed.\\n\\n## SLUG-004 \u2014 Further strengthen boundary tests in `/test_slug.py`\\nStatus: pending\\nAssigned: worker\\nEvidence: None yet. Independent review and planner closeout are required after the worker's test changes; tests are written but not run.\\n\\nImplementation steps:\\n1. Read the current `/slug.py` and `/test_slug.py` before editing, preserving all previously approved tests and the documented contract.\\n2. Add only concrete behavioral regression cases that strengthen boundaries not already adequately distinguished, such as empty/whitespace-only values, punctuation and separator runs around text, mixed-case and accented text, unsupported non-decomposing Unicode, digits, and non-string inputs where useful.\\n3. Keep assertions against the public `slugify` import, readable and deterministic, using no services, filesystem state, network, or implementation-detail inspection.\\n\\nAcceptance criteria:\\n- `/test_slug.py` retains existing coverage and adds focused boundary tests that can detect plausible regressions in trimming, collapsing, normalization, filtering, empty results, and type validation.\\n- Expected values match the established contract: lowercase ASCII alphanumerics, collapsed and trimmed hyphens, discarded unsupported characters, empty output when nothing remains, and `TypeError` for non-strings.\\n- Only `/test_slug.py` is changed for this task; tests are written but not run by this workflow.\\n- The independent reviewer must inspect the changed test file and either approve it or reject it with source-backed findings; reviewer approval is required before the planner records this task complete. Review and closeout are part of this task, not separate tasks.\\n\",\"replace_all\":false}", "call_id": "call_wewDoDmjd71SbeNvxjnl8ebL", "id": "fc_056e22f37fd5bd59006ab5a2abb23087d2a783752571bfc333", "index": 1}]
{"name": "edit_file", "args": {"file_path": "/plan.md", "old_string": "- The independent reviewer inspects the changed test file and either approves it or returns this task for repair; reviewer approval is required before this task is closed.\n", "new_string": "- The independent reviewer inspects the changed test file and either approves it or returns this task for repair; reviewer approval is required before this task is closed.\n\n## SLUG-004 \u2014 Further strengthen boundary tests in `/test_slug.py`\nStatus: pending\nAssigned: worker\nEvidence: None yet. Independent review and planner closeout are required after the worker's test changes; tests are written but not run.\n\nImplementation steps:\n1. Read the current `/slug.py` and `/test_slug.py` before editing, preserving all previously approved tests and the documented contract.\n2. Add only concrete behavioral regression cases that strengthen boundaries not already adequately distinguished, such as empty/whitespace-only values, punctuation and separator runs around text, mixed-case and accented text, unsupported non-decomposing Unicode, digits, and non-string inputs where useful.\n3. Keep assertions against the public `slugify` import, readable and deterministic, using no services, filesystem state, network, or implementation-detail inspection.\n\nAcceptance criteria:\n- `/test_slug.py` retains existing coverage and adds focused boundary tests that can detect plausible regressions in trimming, collapsing, normalization, filtering, empty results, and type validation.\n- Expected values match the established contract: lowercase ASCII alphanumerics, collapsed and trimmed hyphens, discarded unsupported characters, empty output when nothing remains, and `TypeError` for non-strings.\n- Only `/test_slug.py` is changed for this task; tests are written but not run by this workflow.\n- The independent reviewer must inspect the changed test file and either approve it or reject it with source-backed findings; reviewer approval is required before the planner records this task complete. Review and closeout are part of this task, not separate tasks.\n", "replace_all": false}, "id": "call_wewDoDmjd71SbeNvxjnl8ebL", "type": "tool_call"}</t>
  </si>
  <si>
    <t>Tool · edit_file</t>
  </si>
  <si>
    <t>01a0d583-7e09-70c1-a0a6-8eaf41a442c7</t>
  </si>
  <si>
    <t>{'file_path': '/plan.md', 'old_string': '- The independent reviewer inspects the changed test file and either approves it or returns this task for repair; reviewer approval is required before this task is closed.\n', 'new_string': "- The independent reviewer inspects the changed test file and either approves it or returns this task for repair; reviewer approval is required before this task is closed.\n\n## SLUG-004 — Further strengthen boundary tests in `/test_slug.py`\nStatus: pending\nAssigned: worker\nEvidence: None yet. Independent review and planner closeout are required after the worker's test changes; tests are written but not run.\n\nImplementation steps:\n1. Read the current `/slug.py` and `/test_slug.py` before editing, preserving all previously approved tests and the documented contract.\n2. Add only concrete behavioral regression cases that strengthen boundaries not already adequately distinguished, such as empty/whitespace-only values, punctuation and separator runs around text, mixed-case and accented text, unsupported non-decomposing Unicode, digits, and non-string inputs where useful.\n3. Keep assertions against the public `slugify` import, readable and deterministic, using no services, filesystem state, network, or implementation-detail inspection.\n\nAcceptance criteria:\n- `/test_slug.py` retains existing coverage and adds focused boundary tests that can detect plausible regressions in trimming, collapsing, normalization, filtering, empty results, and type validation.\n- Expected values match the established contract: lowercase ASCII alphanumerics, collapsed and trimmed hyphens, discarded unsupported characters, empty output when nothing remains, and `TypeError` for non-strings.\n- Only `/test_slug.py` is changed for this task; tests are written but not run by this workflow.\n- The independent reviewer must inspect the changed test file and either approve it or reject it with source-backed findings; reviewer approval is required before the planner records this task complete. Review and closeout are part of this task, not separate tasks.\n", 'replace_all': False}</t>
  </si>
  <si>
    <t>Successfully replaced 1 instance(s) of the string in '/plan.md'</t>
  </si>
  <si>
    <t>R4</t>
  </si>
  <si>
    <t>01a0d583-7e13-7bf2-8428-406fc112d07a</t>
  </si>
  <si>
    <t>[{"id": "rs_056e22f37fd5bd59006ab5a2b0477087d2bcac5e9cb7f955a6", "summary": [], "type": "reasoning", "content": [], "index": 0, "encrypted_content": "gAAAAABqtaKwb6cA4A13kG5IBBehRIYTcwUnh22RzR_exLPK8k6WBeGvN3sf--Z7xA7ETMfWgDAxU5vwW-Lfl2bS663dGaBAuskgE5YWlRSLnmN10CdE_Zkae7D0GG31EmDG3BIYa01pNfhlZUYL5Nppy-fMyhMGG1q9fyvUbbOIes0v-MPkIWyQ5UqQsCV8Lr88o78cyS_g7MiElop2UbPlYLZ84VxgZkDv8ZuUnEpuHO1AvN10eQyD_AhfriM3oIeF950i8vzahXkS4KLbQgq9gS-UMtwFjrT8sGkr9Nmnh4al3db3QTUdx6BdFnbkPMoZ1LHanraVce7ZOlh7uPcpf2wePvUOKmIIi8UxEQJhkVvn5g0w6xAtkftqXqZ4XruEMwyNznejzZ3anXUw0kIo8sofScKkMH30hvZU3nOgZJDcnTMDiQBTs2sfWAuiKyCBY9q2axga7_ciokxDswwPRZfNay_ALljQI1L41AfpM1jAT41KI_GBn8CyIcDGa3qKW3JudbdCHMS39HqG374z5Jfxv1EVnE5cwNp0HsUYX6C4pjW3spwG9g-iU2_LZ8OwQVMG29FJvl43wLyLH7rGmIKnEEND7Rwm_eD_uZalDgvK9tq62cJbuG86p5cbEeUJ5HqRgMclwGuHPsSUkVLLpusY88vp2h6UxeD9mARyNoQeL4le7nag30-ntgxMSc98A9Mf9o5RXOIeVfCrnRudso0x5CHtghkCYfD9aIxyYM0tU-IvdSP8W-ItqXVnc2UlquueQv1WZ3E_M1m1jaSZasQIdJNyesY9OfjRRA4le5cWLp4UCxzd7XNt7yOsbNDFKs8T_FdkCfsPQmc-MO-Qu8umK1XYwwHFFto-dBRn1wxv_eNQ-4MkF7V0ITPCSCoOEIFGybLR-PMVGeF96pmiPZ50a3jETdobNfqdBft5x6mb-7x-2QRtC8NgvQSfZ938xjsKb-h6_wdfpcgcOTe-z02-7hNzfu-MNRFDIED1tmPklunp7sAyPrIz6_63zQWTXjR4_aHeh3hLzcE6W70Z_yZa1s3YyXvwp3VOU3qKQbGmTnZQMpjeIm2-NIvl1nMt_AL3W3MjMp3WhaZKZ6Knh_mfc9Ftk3SQ7xb0gcZQ7Sj4VgwBv27jvbgZNem8Apq9oO6i0rtdWdCDV65YmeayUCWA9DaLk-mrkzXbUeAQFt4LVARfhfsV3jVnd7A45e081IkI3Bdgem2YDTmS7hJ6RHlWFotxUhnXnt1CQDPyjMV9It8nKLs="}, {"type": "function_call", "name": "read_file", "arguments": "{\"file_path\":\"/plan.md\",\"offset\":45,\"limit\":100}", "call_id": "call_qZiYb0BsJBFGZsb3YEYd7A2O", "id": "fc_056e22f37fd5bd59006ab5a2b0b06087d2b48e674d82d593ef", "index": 1}]
{"name": "read_file", "args": {"file_path": "/plan.md", "offset": 45, "limit": 100}, "id": "call_qZiYb0BsJBFGZsb3YEYd7A2O", "type": "tool_call"}</t>
  </si>
  <si>
    <t>01a0d583-8390-7d32-824b-d6977e57994b</t>
  </si>
  <si>
    <t>{'file_path': '/plan.md', 'offset': 45, 'limit': 100}</t>
  </si>
  <si>
    <t>@@ lines 46-80 of 80 @@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 SLUG-003 — Strengthen boundary tests in `/test_slug.py`
Status: complete
Assigned: worker
Evidence: Independent reviewer approved `/test_slug.py`. The file retains the previously approved ordinary, normalization, separator, empty-input, and invalid-type tests and adds focused coverage for whitespace/symbol/combining-mark-only inputs (`test_whitespace_symbols_and_combining_marks_only_return_empty`), mixed separator runs with separators at both boundaries (`test_long_mixed_separator_runs_and_boundaries_collapse`), non-decomposing Unicode and unsupported characters (`test_non_decomposing_unicode_is_discarded`), digit and alphanumeric preservation (`test_digits_and_alphanumeric_text_are_preserved`), and filtering to empty output (`test_filtering_allows_empty_output_between_separators`). Assertions target the public `slugify` function and deterministic contract results, use only `unittest`, and do not inspect implementation details or external resources. Source inspection indicates the acceptance criteria are met; tests were not run, so execution remains unverified as required by the workflow.
Implementation steps:
1. Read the current `/test_slug.py` and `/slug.py` before editing, then preserve the existing approved coverage while adding only boundary-focused behavioral tests.
2. Add deterministic tests for whitespace/symbol/combining-mark-only inputs, long mixed separator runs and separators at both boundaries, Unicode characters that do not decompose to ASCII, preservation of digits and alphanumeric text, and empty output after filtering; add further invalid-type coverage only where it strengthens the documented contract.
3. Use external-behavior assertions against the public `slugify` function, keeping tests standard-library-only and independent of filesystem, network, services, and implementation details.
Acceptance criteria:
- `/test_slug.py` retains all existing tests and adds readable regression coverage for the listed boundary cases.
- Expected results reflect the documented contract: lowercase ASCII alphanumerics, collapsed/trimmed hyphens, discarded unsupported characters, and `""` when no output characters remain.
- The added tests do not duplicate internal branches or depend on hidden state, and no tests are run by this workflow.
- The independent reviewer inspects the changed test file and either approves it or returns this task for repair; reviewer approval is required before this task is closed.
## SLUG-004 — Further strengthen boundary tests in `/test_slug.py`
Status: pending
Assigned: worker
Evidence: None yet. Independent review and planner closeout are required after the worker's test changes; tests are written but not run.
Implementation steps:
1. Read the current `/slug.py` and `/test_slug.py` before editing, preserving all previously approved tests and the documented contract.
2. Add only concrete behavioral regression cases that strengthen boundaries not already adequately distinguished, such as empty/whitespace-only values, punctuation and separator runs around text, mixed-case and accented text, unsupported non-decomposing Unicode, digits, and non-string inputs where useful.
3. Keep assertions against the public `slugify` import, readable and deterministic, using no services, filesystem state, network, or implementation-detail inspection.
Acceptance criteria:
- `/test_slug.py` retains existing coverage and adds focused boundary tests that can detect plausible regressions in trimming, collapsing, normalization, filtering, empty results, and type validation.
- Expected values match the established contract: lowercase ASCII alphanumerics, collapsed and trimmed hyphens, discarded unsupported characters, empty output when nothing remains, and `TypeError` for non-strings.
- Only `/test_slug.py` is changed for this task; tests are written but not run by this workflow.
- The independent reviewer must inspect the changed test file and either approve it or reject it with source-backed findings; reviewer approval is required before the planner records this task complete. Review and closeout are part of this task, not separate tasks.</t>
  </si>
  <si>
    <t>R5</t>
  </si>
  <si>
    <t>01a0d583-8397-7ab2-8915-27955a955aa4</t>
  </si>
  <si>
    <t>[{"id": "rs_056e22f37fd5bd59006ab5a2b19ed487d2b1671dcef931e779", "summary": [], "type": "reasoning", "content": [], "index": 0, "encrypted_content": "gAAAAABqtaKxh9Lzt0QAZlrbK53p3NTWW9FNffucKqb4zqoC2hvmh0lBuXGO7IZ-G9L2U9PnS64CxhyiPLB039BEOBDwuGU7ZGMFn1p_rF0M3aIwNo5y42Oci9z_U5nNXEJMAy-ZAiWBIR_u0nccaKGC7ECl4Q7_iMRlWubWPU1TXQY-QfC-0JocchiX4f3aUzp3Timh3jq76I7Trf4W9UXJWKEhAGZCo2juwx1clPo4hlzX9tBlb-bsCgYPYuJhckKb73SXJJCgsbbtok9STPSkRBW0KP77Ee1Bxox7TwlP_J5yaXoVqZS2lg_0-EOqCll3W6QD4pmnSHR0uS6tTGir_yAobhV4AhlfCTS_s6I4MX_82xVUDfDmOh1V3_umkP77xk3jGwiIu_N0jr82JACkvwRn-g6-1lapA0FJUq2jpLe8Ga5DcBhwMFclL-ynrUTv_iOMJ-tJXij-wdh8YtvxPCf06uBm7X3CVl1qMjPNJvVgsi-JQZXTO601i7TkuLiUUU0aUvHfQBABBWiKpv0_cvyeVIDlb5EiFzOvsj4lRbuGWA54JleO0EzzJuz-A6MB7iU71nIZWJJ97mEgmZCq-QVBcUAMU3-3KQWpjmLwwl-5SYohKX7_jzR3_VxTNz5oKZXoy5gH9V-WExhhIoiCYch60a8_JT9kfCcuztLzOMnZBYaJ16-sbMWgHstVJpScEvMD9W-toJtLPTXAgFOwAHglSGKOU4TxWeIFm7GUbtzWwqq-7WHN5hM2x74E6mZqqQPCiftmgIBpiagNND3tz80sbL-hLdzsX_unbi_Kb9QcePK-9r5NigC2wpYU6WPhs-IZZiCYqZVSnTdTykp3cOzHIIfQHeMunxPkQyTiz6Jf_5mHNtpLvzkyk1FvLs8PTZj_nyECZBh9HmBMaFkdAahPhKzlugGR4-1slKxkRkLCyUk6RggrvnNh7xtizjRKWxDLZvyaDvnfVTwGpKq4-fghl2w7Ay3q6-m3JXAV7V1G-91gUa6VlO-YbJ7N35EE4iQ7GW72J4YMmzcbCGstqq037m-Bf6PsWF3NsSvjHFqzWQuhjOzBL15cOVEQfOiUFW8w4WADAVbk2CvF_0GPaGV-ILl5zDtdrPpg1XmmZZsLwDtKPLfp6yvAnT9QK0WQJXEAHDWNK6Pwtw3vNjoX8gu36vRBwnaB9x9vruCGZC2BuZtbH5fcH0WRbCXH_M5f4YKcaiD78tf47ZZuPDQLYOwhXnEbc7Z4gHYvbcEqnylyWjppcd7fGTwhkZd-fTZO72qkoUjJ6nSGdwjZIwiOkjMh5fWJfg=="}, {"type": "text", "text": "{\"action\":\"work\",\"task_id\":\"SLUG-004\",\"files\":[\"/test_slug.py\"],\"message\":\"Implement SLUG-004 from /plan.md: read /slug.py and /test_slug.py first, preserve all existing approved tests, and add focused behavioral boundary tests for any remaining gaps in empty/whitespace-only input, punctuation and separator runs around text, mixed-case and accented text, unsupported non-decomposing Unicode, digits, and non-string inputs where useful. Assertions must use the public slugify import, remain deterministic and standard-library-only, and avoid implementation details, services, filesystem state, and network access. Confirm expected results match lowercase ASCII alphanumerics, collapsed/trimmed hyphens, discarded unsupported characters, empty output when no characters remain, and TypeError for non-strings. Change only /test_slug.py. Tests are written but not run. After the worker change, an independent reviewer must inspect the file and approve or reject it with source-backed findings; do not treat worker claims as approval.\"}", "phase": "final_answer", "index": 1, "id": "msg_056e22f37fd5bd59006ab5a2b1cd2487d2af64a2aa943d8290"}]</t>
  </si>
  <si>
    <t>R6</t>
  </si>
  <si>
    <t>01a0d583-8e10-7411-bb9f-ea0ef6d3e858</t>
  </si>
  <si>
    <t>You are the worker. Implement or repair ONLY the current task supplied by the workflow. Read /plan.md and relevant existing files first. You may write only /slug.py and /test_slug.py, never /plan.md. The function is slugify and tests import from slug. If review feedback is supplied, fix those findings for this same task; do not advance to another task. Check tool outcomes and return concrete evidence of your changes. Do not claim approval or task completion, and do not perform your own independent review. Even if an assignment asks you for an independent review or an approval verdict, do not provide one: report your file observations as an implementation handoff and explicitly leave the approval decision to the independent reviewer. Never label your response approve, approved, or independent review. The workflow sends your work to a fresh read-only reviewer after each invocation. Tests cannot be executed by these file tools; report that limitation. Stop after this task's changes and handoff.
Sample practices:
# Coding practices for a small Python change
This guidance is part of the context-budget sample. It is deliberately self-contained: no external skill, service, repository-specific command, or server is required. Apply it to the local exercise described in the plan. The plan is the durable coordination record; conversation text is transient.
## Establish the task
Read the current plan before choosing work. Identify the requested behavior, the intended user, inputs and outputs, file ownership, and acceptance criteria. Separate requirements from implementation guesses. If a task cannot be completed because information is missing, record the exact gap in the plan rather than silently inventing a contract. Prefer a small explicit contract over speculative flexibility. Make names describe responsibilities and avoid adding an abstraction that has only one use. If prior tasks changed the plan, use its latest on-disk version, not an older summary of it.
## Design before editing
For each task, describe the observable before and after behavior. List one or two representative examples and the most important edge cases. Decide where input validation belongs and what should happen for invalid values. Choose deterministic behavior that can be checked without external services. Keep the public function small and place supporting logic near it. Avoid hidden state and avoid catching errors so broadly that a failed edit looks successful. Do not make a safety claim that the code cannot enforce.
## Implement in small verified steps
Read the existing file before editing it. Change only the files named by the plan. Preserve content outside the task. When creating code, include a plain-language file header stating purpose, responsibilities, assumptions, AI assistance, and copyright. Explain non-obvious control flow and why a particular branch exists. Comments should clarify intent, not repeat syntax. After each tool result, check whether the operation succeeded before recording progress. If an edit fails or replaces the wrong string, stop and repair that step. Never record a task as complete simply because a tool was called.
## Tests and evidence
Write tests for external behavior, important boundaries, and regressions the task is meant to prevent. Do not write a test that only copies the implementation's branching. A test should distinguish a plausible bug from correct behavior. Keep test data readable. If this workflow cannot execute tests, say that they were written but not run; never substitute a code review for execution evidence. A reviewer may inspect coverage and syntax, but a review report is not a passing test result.
## Plan maintenance
The planner marks a task complete only after the independent reviewer approves that task's current files. An existing artifact alone is not approval. The worker reports concrete tool outcomes but does not edit the plan. The planner uses a narrow replacement that preserves other tasks, with concise evidence such as the created file, test name, or reviewer finding. Read the plan again after every status edit, even if the edit succeeded, so the next decision uses the current document. Keep a pending, complete, or blocked status for every task. Record uncertainty under the relevant task instead of hiding it in a final answer. If the reviewer requests changes, the same task stays incomplete. The worker repairs it and the reviewer checks the new version before the planner records completion.
## Handoff and review
The planner supplies a self-contained task assignment: the plan path, code paths, intended behavior, and acceptance criteria. The workflow forwards that assignment to the reviewer after the worker returns. The reviewer starts with an isolated context and has no access to this conversation. Ask for source-backed findings with severity and uncertainty. The workflow delivers the independent verdict. A rejection returns the same task to the worker. Approval lets the planner record completion and reread the plan before assigning another task. Report only what the visible evidence supports.
## Context limits
Large instructions, file reads, tool schemas, and tool results consume context. Use compaction to preserve durable decisions and current task state when earlier conversation is summarized. The on-disk plan remains authoritative; after compaction, reread it before the next task. Do not infer that a summary retains every line of a file. When a read is truncated, request the missing section. Keep final messages concise enough to show the task status, verification level, and next action without duplicating the entire plan.
Role ownership survives compaction: only the worker edits source/tests, only the reviewer issues approval, and only the planner updates plan status. The current workflow assignment and verdict override incomplete history summaries.
Authoritative current workflow operation; do ONLY this operation, even if a history summary suggests later work:
{"operation": "work", "assignment": {"action": "work", "task_id": "SLUG-004", "files": ["/test_slug.py"], "message": "Implement SLUG-004 from /plan.md: read /slug.py and /test_slug.py first, preserve all existing approved tests, and add focused behavioral boundary tests for any remaining gaps in empty/whitespace-only input, punctuation and separator runs around text, mixed-case and accented text, unsupported non-decomposing Unicode, digits, and non-string inputs where useful. Assertions must use the public slugify import, remain deterministic and standard-library-only, and avoid implementation details, services, filesystem state, and network access. Confirm expected results match lowercase ASCII alphanumerics, collapsed/trimmed hyphens, discarded unsupported characters, empty output when no characters remain, and TypeError for non-strings. Change only /test_slug.py. Tests are written but not run. After the worker change, an independent reviewer must inspect the file and approve or reject it with source-backed findings; do not treat worker claims as approval."}, "review": {}}</t>
  </si>
  <si>
    <t>@@ lines 1-64 of 64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complete
Assigned: worker
Evidence: Independent reviewer approved the implementation. `/slug.py` exports deterministic standard-library-only `slugify`, handles NFKD normalization, ASCII alphanumeric output, delayed separator collapsing, trimming, empty results, and `TypeError` for non-strings. Tests were not run.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complete
Assigned: worker
Evidence: Independent reviewer approved `/test_slug.py`. The tests import the public `slugify` from `slug` and cover ordinary input, whitespace and punctuation collapsing, accented Unicode normalization, repeated and boundary separators, empty and punctuation-only input, and non-string values raising `TypeError`. Assertions use deterministic standard-library `unittest` behavior checks without service or filesystem dependencies. Tests were not run, so execution remains unverified.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 SLUG-003 — Strengthen boundary tests in `/test_slug.py`
Status: complete
Assigned: worker
Evidence: Independent reviewer approved `/test_slug.py`. The file retains the previously approved ordinary, normalization, separator, empty-input, and invalid-type tests and adds focused coverage for whitespace/symbol/combining-mark-only inputs (`test_whitespace_symbols_and_combining_marks_only_return_empty`), mixed separator runs with separators at both boundaries (`test_long_mixed_separator_runs_and_boundaries_collapse`), non-decomposing Unicode and unsupported characters (`test_non_decomposing_unicode_is_discarded`), digit and alphanumeric preservation (`test_digits_and_alphanumeric_text_are_preserved`), and filtering to empty output (`test_filtering_allows_empty_output_between_separators`). Assertions target the public `slugify` function and deterministic contract results, use only `unittest`, and do not inspect implementation details or external resources. Source inspection indicates the acceptance criteria are met; tests were not run, so execution remains unverified as required by the workflow.
Implementation steps:
1. Read the current `/test_slug.py` and `/slug.py` before editing, then preserve the existing approved coverage while adding only boundary-focused behavioral tests.
2. Add deterministic tests for whitespace/symbol/combining-mark-only inputs, long mixed separator runs and separators at both boundaries, Unicode characters that do not decompose to ASCII, preservation of digits and alphanumeric text, and empty output after filtering; add further invalid-type coverage only where it strengthens the documented contract.
3. Use external-behavior assertions against the public `slugify` function, keeping tests standard-library-only and independent of filesystem, network, services, and implementation details.
Acceptance criteria:
- `/test_slug.py` retains all existing tests and adds readable regression coverage for the listed boundary cases.
- Expected results reflect the documented contract: lowercase ASCII alphanumerics, collapsed/trimmed hyphens, discarded unsupported characters, and `""` when no output characters remain.
- The added tests do not duplicate internal branches or depend on hidden state, and no tests are run by this workflow.
- The independent reviewer inspects the changed test file and either approves it or returns this task for repair; reviewer approval is required before this task is closed.
Successfully replaced 1 instance(s) of the string in '/plan.md'
@@ lines 46-80 of 80 @@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 SLUG-003 — Strengthen boundary tests in `/test_slug.py`
Status: complete
Assigned: worker
Evidence: Independent reviewer approved `/test_slug.py`. The file retains the previously approved ordinary, normalization, separator, empty-input, and invalid-type tests and adds focused coverage for whitespace/symbol/combining-mark-only inputs (`test_whitespace_symbols_and_combining_marks_only_return_empty`), mixed separator runs with separators at both boundaries (`test_long_mixed_separator_runs_and_boundaries_collapse`), non-decomposing Unicode and unsupported characters (`test_non_decomposing_unicode_is_discarded`), digit and alphanumeric preservation (`test_digits_and_alphanumeric_text_are_preserved`), and filtering to empty output (`test_filtering_allows_empty_output_between_separators`). Assertions target the public `slugify` function and deterministic contract results, use only `unittest`, and do not inspect implementation details or external resources. Source inspection indicates the acceptance criteria are met; tests were not run, so execution remains unverified as required by the workflow.
Implementation steps:
1. Read the current `/test_slug.py` and `/slug.py` before editing, then preserve the existing approved coverage while adding only boundary-focused behavioral tests.
2. Add deterministic tests for whitespace/symbol/combining-mark-only inputs, long mixed separator runs and separators at both boundaries, Unicode characters that do not decompose to ASCII, preservation of digits and alphanumeric text, and empty output after filtering; add further invalid-type coverage only where it strengthens the documented contract.
3. Use external-behavior assertions against the public `slugify` function, keeping tests standard-library-only and independent of filesystem, network, services, and implementation details.
Acceptance criteria:
- `/test_slug.py` retains all existing tests and adds readable regression coverage for the listed boundary cases.
- Expected results reflect the documented contract: lowercase ASCII alphanumerics, collapsed/trimmed hyphens, discarded unsupported characters, and `""` when no output characters remain.
- The added tests do not duplicate internal branches or depend on hidden state, and no tests are run by this workflow.
- The independent reviewer inspects the changed test file and either approves it or returns this task for repair; reviewer approval is required before this task is closed.
## SLUG-004 — Further strengthen boundary tests in `/test_slug.py`
Status: pending
Assigned: worker
Evidence: None yet. Independent review and planner closeout are required after the worker's test changes; tests are written but not run.
Implementation steps:
1. Read the current `/slug.py` and `/test_slug.py` before editing, preserving all previously approved tests and the documented contract.
2. Add only concrete behavioral regression cases that strengthen boundaries not already adequately distinguished, such as empty/whitespace-only values, punctuation and separator runs around text, mixed-case and accented text, unsupported non-decomposing Unicode, digits, and non-string inputs where useful.
3. Keep assertions against the public `slugify` import, readable and deterministic, using no services, filesystem state, network, or implementation-detail inspection.
Acceptance criteria:
- `/test_slug.py` retains existing coverage and adds focused boundary tests that can detect plausible regressions in trimming, collapsing, normalization, filtering, empty results, and type validation.
- Expected values match the established contract: lowercase ASCII alphanumerics, collapsed and trimmed hyphens, discarded unsupported characters, empty output when nothing remains, and `TypeError` for non-strings.
- Only `/test_slug.py` is changed for this task; tests are written but not run by this workflow.
- The independent reviewer must inspect the changed test file and either approve it or reject it with source-backed findings; reviewer approval is required before the planner records this task complete. Review and closeout are part of this task, not separate tasks.</t>
  </si>
  <si>
    <t>[{"id": "rs_056e22f37fd5bd59006ab5a2b463e487d29ee50ddc66b2f9e8", "summary": [], "type": "reasoning", "content": [], "index": 0, "encrypted_content": "gAAAAABqtaK1q0mbIMU17-Bycn1QBdXoNqswwkpzRaKkjO9Wl8RNNBD-n6x-0uEiqcFaRjtkogkZPoQtKEm8DWPzfoNrfv2muO32ALDK1nj0PAp5TEjGovllvQow6s4O4UlaIVhz8izPGSIF7dJ04htJg8qcVdFwDiAqj77ddmLF9_SV_MbsMzkXYaPzzo2KyFOjdnT-1DdvhTABj8lLR7OoCb_ixKPVy2990fod-9jLg2rPInonv_1UcmfmR6pIJdHAbobjm09xDb56e1CIFoaVwDJNVgASr9YbHc_b4n08gkjH82I0-dKIWTpe6zujDMJ3WaZ-fdbcLcVFcBQN185LoW5BnADLofS78R8tbWsfN-D-4piC72JPLLLHeViE5GwLCJ37TbeLVm3IM88oGR30JHaV_dCrjPcuJ1DPe3_p3M7TADAMcKKPeare486EZA4f3vRuvfu-xCSsflotsYQ5u4MEZnMs1swX2PfHSkpzLQZ_LRmfHSXOTijvNMMUbY8J_EQwbWNCBiaCuNdBTBEvkedFXA758GBPt0EctS1BUVWVDo-GoB7BQUO2c1_raBGRSbL4wM7dohP5mo-YAVauSySFZMYCrdIW_LgSasdvbC0rt7kO6nid49tg-9KM4-2-20902wWpjVskCyuOeqtYpDQF6Xcp8U5_ms2r6jHF9JX5cBwkR05ZnbUwqHPwlu_ZaSYK12VENbP6sqq_owTMg1FIByGSzTDh1XjknSrGBz1xa5hViXUpyyUjYfOWtzhs4HKl0xlDTnf3V8hZ-bCoKhTB0UBsRELcPFNWllBQZLJqxMe_kInkOvtGSFZ3Xo7nhhxEKSZzuzBLF9pNC9LCaay-aLbKIQQS71jr6Ov-dCeQSVsbcfmR1DHVgp2olDPp2wtu7wooqRMq17avYh3NRu1UDXodfKK88b4AwmUb1VphcD3fTDyNxY3blN-fFV-9YknQ6Xuq2ww53oUgxvCadjFrpIkRUdp28NhemdtSrWRPnWL7rhghtrDgmPMpf0urJTX6GBnCOvNvpUTZitrSSgbqJAY9m1X6Zxj2cTmCtqPDsk3F5CVxAw9aqcR1YlTZCHlpAePduV9mrLqCKyOcMyKalg9FDGMKCneLC8h5MaMns2qr80CE9ByB6l81hAqRmrcAhM-3O6MBYoHmfpQX0LO3OvUy2tV_qWq4FT59gGf3MJWBzlvYs1jhEc0WRJSVilVW62F2Wcm13i1d1Ip84W3M5erKd9aYzMIRX9p4l7YEUFHcdUlAznHBqr67V_nptozv8-UJ"}, {"type": "function_call", "name": "read_file", "arguments": "{\"file_path\":\"/plan.md\",\"offset\":0,\"limit\":120}", "call_id": "call_310VIMKY5W3zDOzgW3z7OM8k", "id": "fc_056e22f37fd5bd59006ab5a2b52e0887d2918b143a961e42c4", "index": 1}, {"type": "function_call", "name": "read_file", "arguments": "{\"file_path\":\"/slug.py\",\"offset\":0,\"limit\":200}", "call_id": "call_oSe9hiFc8spZW6AAAB93lsA4", "id": "fc_056e22f37fd5bd59006ab5a2b52e1c87d2a612b4496ef2fda8", "index": 2}, {"type": "function_call", "name": "read_file", "arguments": "{\"file_path\":\"/test_slug.py\",\"offset\":0,\"limit\":300}", "call_id": "call_2HZ2hlbWlzF2n7cf0NaqH3BF", "id": "fc_056e22f37fd5bd59006ab5a2b52e2c87d2b603d534b6436236", "index": 3}]
{"name": "read_file", "args": {"file_path": "/plan.md", "offset": 0, "limit": 120}, "id": "call_310VIMKY5W3zDOzgW3z7OM8k", "type": "tool_call"}
{"name": "read_file", "args": {"file_path": "/slug.py", "offset": 0, "limit": 200}, "id": "call_oSe9hiFc8spZW6AAAB93lsA4", "type": "tool_call"}
{"name": "read_file", "args": {"file_path": "/test_slug.py", "offset": 0, "limit": 300}, "id": "call_2HZ2hlbWlzF2n7cf0NaqH3BF", "type": "tool_call"}</t>
  </si>
  <si>
    <t>01a0d583-9467-7c63-bc69-fdffe0b85f52</t>
  </si>
  <si>
    <t>{'file_path': '/plan.md', 'offset': 0, 'limit': 120}</t>
  </si>
  <si>
    <t>@@ lines 1-80 of 80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complete
Assigned: worker
Evidence: Independent reviewer approved the implementation. `/slug.py` exports deterministic standard-library-only `slugify`, handles NFKD normalization, ASCII alphanumeric output, delayed separator collapsing, trimming, empty results, and `TypeError` for non-strings. Tests were not run.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complete
Assigned: worker
Evidence: Independent reviewer approved `/test_slug.py`. The tests import the public `slugify` from `slug` and cover ordinary input, whitespace and punctuation collapsing, accented Unicode normalization, repeated and boundary separators, empty and punctuation-only input, and non-string values raising `TypeError`. Assertions use deterministic standard-library `unittest` behavior checks without service or filesystem dependencies. Tests were not run, so execution remains unverified.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 SLUG-003 — Strengthen boundary tests in `/test_slug.py`
Status: complete
Assigned: worker
Evidence: Independent reviewer approved `/test_slug.py`. The file retains the previously approved ordinary, normalization, separator, empty-input, and invalid-type tests and adds focused coverage for whitespace/symbol/combining-mark-only inputs (`test_whitespace_symbols_and_combining_marks_only_return_empty`), mixed separator runs with separators at both boundaries (`test_long_mixed_separator_runs_and_boundaries_collapse`), non-decomposing Unicode and unsupported characters (`test_non_decomposing_unicode_is_discarded`), digit and alphanumeric preservation (`test_digits_and_alphanumeric_text_are_preserved`), and filtering to empty output (`test_filtering_allows_empty_output_between_separators`). Assertions target the public `slugify` function and deterministic contract results, use only `unittest`, and do not inspect implementation details or external resources. Source inspection indicates the acceptance criteria are met; tests were not run, so execution remains unverified as required by the workflow.
Implementation steps:
1. Read the current `/test_slug.py` and `/slug.py` before editing, then preserve the existing approved coverage while adding only boundary-focused behavioral tests.
2. Add deterministic tests for whitespace/symbol/combining-mark-only inputs, long mixed separator runs and separators at both boundaries, Unicode characters that do not decompose to ASCII, preservation of digits and alphanumeric text, and empty output after filtering; add further invalid-type coverage only where it strengthens the documented contract.
3. Use external-behavior assertions against the public `slugify` function, keeping tests standard-library-only and independent of filesystem, network, services, and implementation details.
Acceptance criteria:
- `/test_slug.py` retains all existing tests and adds readable regression coverage for the listed boundary cases.
- Expected results reflect the documented contract: lowercase ASCII alphanumerics, collapsed/trimmed hyphens, discarded unsupported characters, and `""` when no output characters remain.
- The added tests do not duplicate internal branches or depend on hidden state, and no tests are run by this workflow.
- The independent reviewer inspects the changed test file and either approves it or returns this task for repair; reviewer approval is required before this task is closed.
## SLUG-004 — Further strengthen boundary tests in `/test_slug.py`
Status: pending
Assigned: worker
Evidence: None yet. Independent review and planner closeout are required after the worker's test changes; tests are written but not run.
Implementation steps:
1. Read the current `/slug.py` and `/test_slug.py` before editing, preserving all previously approved tests and the documented contract.
2. Add only concrete behavioral regression cases that strengthen boundaries not already adequately distinguished, such as empty/whitespace-only values, punctuation and separator runs around text, mixed-case and accented text, unsupported non-decomposing Unicode, digits, and non-string inputs where useful.
3. Keep assertions against the public `slugify` import, readable and deterministic, using no services, filesystem state, network, or implementation-detail inspection.
Acceptance criteria:
- `/test_slug.py` retains existing coverage and adds focused boundary tests that can detect plausible regressions in trimming, collapsing, normalization, filtering, empty results, and type validation.
- Expected values match the established contract: lowercase ASCII alphanumerics, collapsed and trimmed hyphens, discarded unsupported characters, empty output when nothing remains, and `TypeError` for non-strings.
- Only `/test_slug.py` is changed for this task; tests are written but not run by this workflow.
- The independent reviewer must inspect the changed test file and either approve it or reject it with source-backed findings; reviewer approval is required before the planner records this task complete. Review and closeout are part of this task, not separate tasks.</t>
  </si>
  <si>
    <t>01a0d583-9467-7c63-bc69-fe0421011951</t>
  </si>
  <si>
    <t>{'file_path': '/slug.py', 'offset': 0, 'limit': 200}</t>
  </si>
  <si>
    <t>@@ lines 1-47 of 47 @@
"""Create deterministic, ASCII-friendly slugs from text.
This module's responsibility is the small public ``slugify`` function; it has
no service, filesystem, or third-party dependencies. The function assumes its
input is a Python string and deliberately raises ``TypeError`` otherwise.
AI assistance: implementation drafted with AI assistance for this exercise.
Copyright: generated for this exercise; no separate copyright holder claimed.
"""
import unicodedata
def slugify(value: str) -&gt; str:
    """Return a lowercase, hyphen-separated slug for *value*.
    Accented Latin characters are decomposed and reduced to their ASCII base
    characters. Characters that cannot contribute to an ASCII slug act as
    separators when they are punctuation or whitespace and are otherwise
    ignored.
    """
    if not isinstance(value, str):
        raise TypeError("slugify() argument must be a string")
    normalized = unicodedata.normalize("NFKD", value)
    parts = []
    separator_pending = False
    for character in normalized:
        # Combining marks carry accents already represented by the preceding
        # base character; discarding them preserves the ASCII base character.
        if unicodedata.combining(character):
            continue
        if character.isascii() and character.isalnum():
            if separator_pending and parts:
                parts.append("-")
            parts.append(character.lower())
            separator_pending = False
        elif character.isspace() or unicodedata.category(character).startswith(
            ("P", "S")
        ):
            # Delay adding the hyphen so leading, repeated, and trailing
            # separators cannot appear in the returned slug.
            if parts:
                separator_pending = True
    return "".join(parts)</t>
  </si>
  <si>
    <t>01a0d583-9468-74d0-b3ec-d9ea9cfe10d4</t>
  </si>
  <si>
    <t>{'file_path': '/test_slug.py', 'offset': 0, 'limit': 300}</t>
  </si>
  <si>
    <t>@@ lines 1-60 of 60 @@
"""Behavioral tests for the deterministic public ``slugify`` function.
This module's responsibility is to verify the documented input/output
contract without services or third-party dependencies. Tests assume the public
function is imported from ``slug`` and do not inspect its implementation.
AI assistance: tests drafted with AI assistance for this exercise.
Copyright: generated for this exercise; no separate copyright holder claimed.
"""
import unittest
from slug import slugify
class SlugifyTests(unittest.TestCase):
    def test_normal_text_becomes_a_lowercase_slug(self):
        self.assertEqual(slugify("Hello, World!"), "hello-world")
    def test_whitespace_and_punctuation_runs_collapse(self):
        value = "  one\t--\n two...three / four  "
        self.assertEqual(slugify(value), "one-two-three-four")
    def test_accented_and_unicode_text_is_normalized(self):
        self.assertEqual(slugify("Café déjà vu"), "cafe-deja-vu")
    def test_repeated_and_boundary_separators_are_removed(self):
        self.assertEqual(slugify("---already--separated---"), "already-separated")
    def test_empty_and_punctuation_only_input_returns_empty_string(self):
        self.assertEqual(slugify(""), "")
        self.assertEqual(slugify("!? — …"), "")
    def test_non_string_values_raise_type_error(self):
        for value in (None, 42, ["text"], b"text"):
            with self.subTest(value=value):
                with self.assertRaises(TypeError):
                    slugify(value)
    def test_whitespace_symbols_and_combining_marks_only_return_empty(self):
        self.assertEqual(slugify(" \t\n\r"), "")
        self.assertEqual(slugify("!@#$%^&amp;*()[]{}&lt;&gt;"), "")
        self.assertEqual(slugify("\u0301\u0327\u20dd"), "")
    def test_long_mixed_separator_runs_and_boundaries_collapse(self):
        value = "  /\\—…___---  First  !@#$  second  ***  "
        self.assertEqual(slugify(value), "first-second")
    def test_non_decomposing_unicode_is_discarded(self):
        self.assertEqual(slugify("漢字 Ελληνικά привет"), "")
        self.assertEqual(slugify("start漢字end"), "startend")
    def test_digits_and_alphanumeric_text_are_preserved(self):
        self.assertEqual(slugify("Release 2024 - Version 2B"), "release-2024-version-2b")
    def test_filtering_allows_empty_output_between_separators(self):
        self.assertEqual(slugify("---漢字***"), "")
if __name__ == "__main__":
    unittest.main()</t>
  </si>
  <si>
    <t>R7</t>
  </si>
  <si>
    <t>01a0d583-946e-7eb3-8ad6-574963fbaac4</t>
  </si>
  <si>
    <t>Empty system message (framing only).</t>
  </si>
  <si>
    <t>[{"id": "rs_0712e8ba8d67501f006ab5a2b5e91087d28a91c49668037214", "summary": [], "type": "reasoning", "content": [], "index": 0, "encrypted_content": "gAAAAABqtaK2ndQbMO9xjjcS0IuSdYB4Dnc5Ohcso03nzTlXty5ybkNZEv3Mj5xMQ_mwASQnkvbgI_2vidBUFSzZuU-4J3At99ldrMq7sg0lMYKnPXv3n3RXGc60YAv7S0IZcqmOjwpo2Yt2ozlPuDKE9ZY_5kV0XAIFAg97QOMLZMQvhH6S5vSIVGG_Cdd6Bt1DsNYkP_5itzkBBLLztksbWS9iUI2mggprdXkyZw0F0MX5j01nHeHSV-nmXoRWBBvatEBhNP5nANQnrqPRugsKf2zyr4YdRIpyfAe0czd7abbJTc4qeSihS9UQAgq2dZVhX6W4fTHgg5HuwlotslIlcLZUqdb3E90VOziMkHxeY9IG9edPwzqv4qCNasQabR5PZK2vV9p2Dg8iDunWlYmiT-wXK5w8EIlt5D0nmbMws-vxzDma52yWUCScTg83WzrU-XeIWxm82z40RCfieb9ZRj9Emsr_6wFzrpFVPiCDvTvYd9jbP8KzLupjFU8oSKBUzZTrjVvAsn350yc7hHcKkZnkKGOv-NHC9FCYCF7CuP5Vl-7vI1m6K3QOBrA9MZ9E9HfmbkCv3cHMunha2dzf49kEa649jIc3eOlZq8LW8X3IH-9NuHtAtBr0oHp7CE99nZE3ZnK6Scu9dxSRTpdY-2KbEhrT_N1o_Vvmeecad8XDwEtQCc1vS-YeE1vEWlbJkpgkychjmhO7_7tO2JTuWOkDz81MuJZLH6FeKASa8okOVPijiL-fcmsbTseN97it0VXBhLuDMxNjsnlCdWzXbwncoSiQIoh9XQojmKMUwQfW7RdrzM1IsvhPHtjccZdy3H3QshrpPGwyBQdS09uDh_Pto4-bWez-hc1pPUOxu1QBQ_KlRm_6_jwPuiRAhUA-7AoivhnYZicjGVV1js-4SQ6irDiZ9bvoX3PxBNxfk_3lrPNb_F5hafrHW0tzEhdN3byezWxBJKToPNOoMslopB6zoI9Blzv-CX99t8t5aBPPLqAmQubFQmEbnz_1FPAY7x70cOvzreRhfLcXOJnggH40F_EeZepoyJfxZt0ZvYb7lhnKpjsBtitybTuRcTUEk-x3EVjoF1Nq7xmTQ2xHI2XrSPH6aN_vwWhmnrZYeexBnDwkh9aaNr82-nVGMTHtt8mpI4WDRUUaEiE7PfzkkIwIjxzlcznJz6hUu3RKa8ZeOgTh1l2LTurtu3EF2XvFMp2GSn5LaUlqcRB9pICBda4B5IKdxyJiDvpQJhHhOkozv4o5lLce5XuD9W4hvBrice0x4gpbA_S5XqC555fkIfVmYF5lG6AL5gX9j3Ip9HOb_O7c-bXlZW2YbIIvCh5hrs79Eiqo5aZDdYnBSm5SwwYakLPrNyQowU7PJDdkx-UtyPBwN0gDkUgo4_3qcBI0zRyH08spJCPCzDM7N1dMeiwkoQa6avsLEh_dequ2xjUKRDeybJlH_QzSohj6XO3eXuhBnwaBxFFtY4JLnZ2ZviHeNE5TuCA6I_DutIaSSILU1YFgMa4vc2ZQN-WcMvb4BnDh0pFRkRTxY7zhrY_gufNmMQMnP_DnIG3R1EiKKEKOC9UW4CU="}, {"type": "text", "text": "## SESSION INTENT\n\nBuild a small, deterministic, well-tested, service-independent Python `slugify` function. Maintain a detailed implementation plan, strengthen behavioral boundary tests, obtain an independent source review, and record the review outcome. Tests must be written but not run by this workflow.\n\n## SUMMARY\n\n- Public API: `slugify`, imported from `slug`.\n- Established contract:\n  - Accepts strings and returns lowercase, URL/path-safe slugs.\n  - Applies Unicode NFKD normalization and converts decomposable text to ASCII where possible.\n  - Preserves ASCII alphanumeric characters and converts runs of whitespace/punctuation into one hyphen.\n  - Removes leading/trailing hyphens.\n  - Returns `\"\"` for empty, punctuation-only, whitespace-only, combining-mark-only, or otherwise fully filtered input.\n  - Discards unsupported/non-decomposing characters.\n  - Raises `TypeError` for non-string input; does not silently coerce values.\n  - Uses only the Python standard library, with no network, filesystem, services, hidden state, or third-party dependencies.\n- `/plan.md` is the coordination record. It limits implementation work to `/slug.py` and `/test_slug.py`.\n- Previously completed and independently approved:\n  - `SLUG-001`: implementation in `/slug.py`.\n  - `SLUG-002`: initial behavioral tests in `/test_slug.py`.\n  - `SLUG-003`: strengthened boundary tests in `/test_slug.py`.\n- Existing approved test coverage includes:\n  - Ordinary slugs and public API import.\n  - Whitespace and punctuation collapsing.\n  - Accented Unicode normalization.\n  - Repeated and boundary separators.\n  - Empty and punctuation-only input.\n  - Non-string `TypeError`.\n  - Whitespace/symbol/combining-mark-only input.\n  - Long mixed separator runs and separators at both boundaries.\n  - Non-decomposing/unsupported Unicode.\n  - Digit and alphanumeric preservation.\n  - Empty output after filtering.\n- Independent review approved both `/slug.py` and the existing `/test_slug.py`. Tests have not been executed, so runtime behavior remains unverified by design.\n- A new task was added to `/plan.md`:\n  - `SLUG-004 \u2014 Further strengthen boundary tests in /test_slug.py`\n  - Status: `pending`\n  - Assigned: `worker`\n  - Only `/test_slug.py` may be changed.\n  - Review and planner closeout are required before marking it complete.\n- The worker assignment has been issued for SLUG-004. No evidence of implementation has yet been provided, and the task must not be treated as complete based solely on the assignment.\n\n## ARTIFACTS\n\n- `/plan.md`\n  - Contains the slugify contract, implementation/test task history, acceptance criteria, reviewer requirements, and pending SLUG-004 task.\n  - SLUG-004 requires preserving all existing tests and adding only useful behavioral boundary coverage.\n- `/slug.py`\n  - Previously implemented and independently approved.\n  - Provides deterministic standard-library-only `slugify` with normalization, ASCII filtering, separator collapsing/trimming, empty-result handling, and `TypeError` validation.\n- `/test_slug.py`\n  - Previously written and independently approved with broad behavioral coverage.\n  - Pending modification for SLUG-004; no changes from SLUG-004 have been confirmed yet.\n\n## NEXT STEPS\n\n1. Read the current `/slug.py` and `/test_slug.py`.\n2. Modify only `/test_slug.py`, preserving all approved tests.\n3. Add focused regression tests for any remaining meaningful gaps, especially:\n   - Empty and whitespace-only values.\n   - Punctuation/separator runs around text.\n   - Mixed-case and accented text.\n   - Unsupported non-decomposing Unicode.\n   - Digits/alphanumeric preservation.\n   - Non-string inputs where additional coverage is useful.\n4. Ensure tests use the public `slugify` import, standard-library `unittest`, deterministic expected values, and no implementation-detail or external-resource dependencies.\n5. Do not run the tests.\n6. Have an independent reviewer inspect the changed test file and either approve it or provide source-backed rejection findings.\n7. After approval, update `/plan.md` with SLUG-004 completion status and concrete review evidence.", "phase": "final_answer", "index": 1, "id": "msg_0712e8ba8d67501f006ab5a2b67ba087d2b9ffac3ecffea944"}]</t>
  </si>
  <si>
    <t>R8</t>
  </si>
  <si>
    <t>01a0d583-b0bb-7372-ae8b-f550f9975be8</t>
  </si>
  <si>
    <t>@@ lines 1-80 of 80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complete
Assigned: worker
Evidence: Independent reviewer approved the implementation. `/slug.py` exports deterministic standard-library-only `slugify`, handles NFKD normalization, ASCII alphanumeric output, delayed separator collapsing, trimming, empty results, and `TypeError` for non-strings. Tests were not run.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complete
Assigned: worker
Evidence: Independent reviewer approved `/test_slug.py`. The tests import the public `slugify` from `slug` and cover ordinary input, whitespace and punctuation collapsing, accented Unicode normalization, repeated and boundary separators, empty and punctuation-only input, and non-string values raising `TypeError`. Assertions use deterministic standard-library `unittest` behavior checks without service or filesystem dependencies. Tests were not run, so execution remains unverified.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 SLUG-003 — Strengthen boundary tests in `/test_slug.py`
Status: complete
Assigned: worker
Evidence: Independent reviewer approved `/test_slug.py`. The file retains the previously approved ordinary, normalization, separator, empty-input, and invalid-type tests and adds focused coverage for whitespace/symbol/combining-mark-only inputs (`test_whitespace_symbols_and_combining_marks_only_return_empty`), mixed separator runs with separators at both boundaries (`test_long_mixed_separator_runs_and_boundaries_collapse`), non-decomposing Unicode and unsupported characters (`test_non_decomposing_unicode_is_discarded`), digit and alphanumeric preservation (`test_digits_and_alphanumeric_text_are_preserved`), and filtering to empty output (`test_filtering_allows_empty_output_between_separators`). Assertions target the public `slugify` function and deterministic contract results, use only `unittest`, and do not inspect implementation details or external resources. Source inspection indicates the acceptance criteria are met; tests were not run, so execution remains unverified as required by the workflow.
Implementation steps:
1. Read the current `/test_slug.py` and `/slug.py` before editing, then preserve the existing approved coverage while adding only boundary-focused behavioral tests.
2. Add deterministic tests for whitespace/symbol/combining-mark-only inputs, long mixed separator runs and separators at both boundaries, Unicode characters that do not decompose to ASCII, preservation of digits and alphanumeric text, and empty output after filtering; add further invalid-type coverage only where it strengthens the documented contract.
3. Use external-behavior assertions against the public `slugify` function, keeping tests standard-library-only and independent of filesystem, network, services, and implementation details.
Acceptance criteria:
- `/test_slug.py` retains all existing tests and adds readable regression coverage for the listed boundary cases.
- Expected results reflect the documented contract: lowercase ASCII alphanumerics, collapsed/trimmed hyphens, discarded unsupported characters, and `""` when no output characters remain.
- The added tests do not duplicate internal branches or depend on hidden state, and no tests are run by this workflow.
- The independent reviewer inspects the changed test file and either approves it or returns this task for repair; reviewer approval is required before this task is closed.
## SLUG-004 — Further strengthen boundary tests in `/test_slug.py`
Status: pending
Assigned: worker
Evidence: None yet. Independent review and planner closeout are required after the worker's test changes; tests are written but not run.
Implementation steps:
1. Read the current `/slug.py` and `/test_slug.py` before editing, preserving all previously approved tests and the documented contract.
2. Add only concrete behavioral regression cases that strengthen boundaries not already adequately distinguished, such as empty/whitespace-only values, punctuation and separator runs around text, mixed-case and accented text, unsupported non-decomposing Unicode, digits, and non-string inputs where useful.
3. Keep assertions against the public `slugify` import, readable and deterministic, using no services, filesystem state, network, or implementation-detail inspection.
Acceptance criteria:
- `/test_slug.py` retains existing coverage and adds focused boundary tests that can detect plausible regressions in trimming, collapsing, normalization, filtering, empty results, and type validation.
- Expected values match the established contract: lowercase ASCII alphanumerics, collapsed and trimmed hyphens, discarded unsupported characters, empty output when nothing remains, and `TypeError` for non-strings.
- Only `/test_slug.py` is changed for this task; tests are written but not run by this workflow.
- The independent reviewer must inspect the changed test file and either approve it or reject it with source-backed findings; reviewer approval is required before the planner records this task complete. Review and closeout are part of this task, not separate tasks.
@@ lines 1-47 of 47 @@
"""Create deterministic, ASCII-friendly slugs from text.
This module's responsibility is the small public ``slugify`` function; it has
no service, filesystem, or third-party dependencies. The function assumes its
input is a Python string and deliberately raises ``TypeError`` otherwise.
AI assistance: implementation drafted with AI assistance for this exercise.
Copyright: generated for this exercise; no separate copyright holder claimed.
"""
import unicodedata
def slugify(value: str) -&gt; str:
    """Return a lowercase, hyphen-separated slug for *value*.
    Accented Latin characters are decomposed and reduced to their ASCII base
    characters. Characters that cannot contribute to an ASCII slug act as
    separators when they are punctuation or whitespace and are otherwise
    ignored.
    """
    if not isinstance(value, str):
        raise TypeError("slugify() argument must be a string")
    normalized = unicodedata.normalize("NFKD", value)
    parts = []
    separator_pending = False
    for character in normalized:
        # Combining marks carry accents already represented by the preceding
        # base character; discarding them preserves the ASCII base character.
        if unicodedata.combining(character):
            continue
        if character.isascii() and character.isalnum():
            if separator_pending and parts:
                parts.append("-")
            parts.append(character.lower())
            separator_pending = False
        elif character.isspace() or unicodedata.category(character).startswith(
            ("P", "S")
        ):
            # Delay adding the hyphen so leading, repeated, and trailing
            # separators cannot appear in the returned slug.
            if parts:
                separator_pending = True
    return "".join(parts)
@@ lines 1-60 of 60 @@
"""Behavioral tests for the deterministic public ``slugify`` function.
This module's responsibility is to verify the documented input/output
contract without services or third-party dependencies. Tests assume the public
function is imported from ``slug`` and do not inspect its implementation.
AI assistance: tests drafted with AI assistance for this exercise.
Copyright: generated for this exercise; no separate copyright holder claimed.
"""
import unittest
from slug import slugify
class SlugifyTests(unittest.TestCase):
    def test_normal_text_becomes_a_lowercase_slug(self):
        self.assertEqual(slugify("Hello, World!"), "hello-world")
    def test_whitespace_and_punctuation_runs_collapse(self):
        value = "  one\t--\n two...three / four  "
        self.assertEqual(slugify(value), "one-two-three-four")
    def test_accented_and_unicode_text_is_normalized(self):
        self.assertEqual(slugify("Café déjà vu"), "cafe-deja-vu")
    def test_repeated_and_boundary_separators_are_removed(self):
        self.assertEqual(slugify("---already--separated---"), "already-separated")
    def test_empty_and_punctuation_only_input_returns_empty_string(self):
        self.assertEqual(slugify(""), "")
        self.assertEqual(slugify("!? — …"), "")
    def test_non_string_values_raise_type_error(self):
        for value in (None, 42, ["text"], b"text"):
            with self.subTest(value=value):
                with self.assertRaises(TypeError):
                    slugify(value)
    def test_whitespace_symbols_and_combining_marks_only_return_empty(self):
        self.assertEqual(slugify(" \t\n\r"), "")
        self.assertEqual(slugify("!@#$%^&amp;*()[]{}&lt;&gt;"), "")
        self.assertEqual(slugify("\u0301\u0327\u20dd"), "")
    def test_long_mixed_separator_runs_and_boundaries_collapse(self):
        value = "  /\\—…___---  First  !@#$  second  ***  "
        self.assertEqual(slugify(value), "first-second")
    def test_non_decomposing_unicode_is_discarded(self):
        self.assertEqual(slugify("漢字 Ελληνικά привет"), "")
        self.assertEqual(slugify("start漢字end"), "startend")
    def test_digits_and_alphanumeric_text_are_preserved(self):
        self.assertEqual(slugify("Release 2024 - Version 2B"), "release-2024-version-2b")
    def test_filtering_allows_empty_output_between_separators(self):
        self.assertEqual(slugify("---漢字***"), "")
if __name__ == "__main__":
    unittest.main()</t>
  </si>
  <si>
    <t>[{"id": "rs_056e22f37fd5bd59006ab5a2bd362087d2969eac99edeceb41", "summary": [], "type": "reasoning", "content": [], "index": 0, "encrypted_content": "gAAAAABqtaLBq3Ekt7VjasTv29Afi768GbMiUU9dhtGwGQ6XMdA4kH7bZ5lrzjKab1YXtOdE3sHPTYFoMyHRp9vFDdOnXRcwuXtjokUbhkEoWBA0naLeDTuhQIq9B0-XLJKUIpEoH4bJw_cY8sDcBgWGh__vrcYV1o228k2fCDht2SFLcfCaOl1XEndqZUu1BGjJngujHnqaTkYGi3ZLidq3XS6ZGWgc-w65PvPzRPiYkldKaaYKLJEp-h9K73iEQ24oYsnrpuzwaufCpD9IE17WY5m3-CUxpS1MudHObQutENDMmiMZ9v6NrYz8QocIsDsahB8m-T_sD4APhpwIIX44N8VvK8VaOMG5eh2g1kiYEU5qYJJs7TRxT_CmMpvXpXbWf2H_7M15cX5XmcAxVAhCXCb14TzWZ0S8aVZLQV_2s6-FnjumUL8vNDxP6RbuPEtMnmO8gskiIm1UlLAZJOdFwDneyuaXTskBz-UOfpg_qtOV0rSt44jM6stAb0GWkY5rBuXxDl1-6CFLLHLknnWFPpy56rwsXzYZA3HQ-3O6JXwPn-eaPFL_o4XmmIkQay30g3zWAgzhTTX1I0X-gTFOPBRDpMRcXtI5RnGPEwfRLFnodNAHDOOAypOpsqj-_pAk9_HK_5_Bg52p2wgPYxxhdR1sWvlg-vq9wwbzRoRJl_CTIDoM9cSG4s4Arh12vW1pEtb4Qgv2TDTjljiZTdw3x0PcXX6tD6LLrk_aDVzkLGLXVT_z-kQllxtxUcYmguVb1C3rq3ZdkS-MrvhFZUDF-ypLr0XVtqfUgMcYMVmUhV5btXvvcqqUP6pAs4JYq-Ks0L4eUDGR_a2UM_rnPB9VNZY3Fm-JzG1O9qnel5-ECCInrz2iDz5SMiTOAq060URjvo9c9X5xHF2YqnQrg117xERBXGFqgfriIUroeZjg8yqmGUC0V5Iobol330R30NT7F3yetCHQFck5bYfxq48kvwwn6NXcyZXOIY0YTgvtYf9rVY8oSvnN1sN8XRBjtCugp2Pgm5m9a2_Zp3Q_t7qSTE73nOJjDS-volCcrVbp3Yg9io0Rp4PWeli_upvJWRnkUpdsdL971r8xC4vviNl1AI7IcWmcydY1pPlO8FuQzs00j39ksXtDHyijcqXZZPtAtzSTcGw9fD_38q7kTfl9hhjtHpfJyuuK8Q8n_cP-XoeYNN_ajeRBAgF__x4ip1clMvFQt6w4CuJvqXoZKH3CfX1jyUMvAyb_M703budSKDzU_-mLPt-vcGTVdKTL6kuON_8-PggAuP8F7oa3q6_PtNoR8TDoggxAKc5AlB9QY7kTcgBoSheNlKN_VXLBaqHxNziqkeqh5TAlepT65h1i2XvqskgRUVO2Zto_ZcQm3iBqjW0vieFPeMUypjcQHYJYedmPMWTgQpNXaFGjmqrcXdCMpoPSb5NIOefVK4tyh7WLVm2zcJe3NzyFYPibVW8QNKpylr4osepSHZPgvkXFCa-yOfOjqjIJQjcthUcSnnNaZ6dydfHTXDaVdjfTe06DBEBCPS_sRPouwh-4l6RjlV2oUO0p9MXufg0uwdu0BpIlpqMuKw-G2jG6FaKn1XoqRTiW_9SPx7hghLPD6WXaaeNosqOCm2H4Smt6w2XjQdIjD_5Qc05_uFtZmcbQQeUnqBcdfW5iCF9v15QHheoHU6DajYhyNSIe3OWLb2B_dJGsXrVBYLtQnZ7jZKwsvKBniGCHXGfyTA3zkZ0DEkBv5WDpW_lMGPmPipm3aTKIOIFHuCsVFkCPsg6mX62Q_fDRJlxR61luQsUWfZDn_NotWXKEuVVHmXP6VdapI_Ujxs10m-fkxnREe6BsizHweOlLM9D13DW78ZsucINWRLYAObFFrNhHD6UCE3RRjtTrG7GgfEZcTiLkkGUeEoMN-nKx0xeJvYDHUfBjo7m-FYxx1YEDUbrkqdcbGuibp7HzFXz6lyojr_YdSvaSwfwmjlTPv2vJyIkg7ys3k4ktvy65jhsyGkkSOY9w43xYhpwTW0UF8WqEbA_JxOpURi7477BVP8AimtSZ9X8MlcGGj2cu8VNe8vdVFXkH2ycC1E_lsU7U1Da6SRnX66I13NWo6rhOlHSeJDY124njDA3Yca_mtUoVrLp5F1vl3iiAauRPS3cMJBF9PRnYPf2sn-w8mNTLgjccI6X-ZKv9b-mWkzUxNgLOkRvnE9WA10w-80EtMkVV1pW7HLc3yTI7_P6wQEK57ALDPZzqfni8p4NKn8Mexg3KmqYu1ZiY01LV0ZExN_gvNEIwF_Uqgmgzx3k_Vn-rxPx0WW7nvdmek9okHfFdH0xfFDnveaqek-ZtAW05_mlEvn7YQhGvL2gnkc-piLjdr0NpNzuA8VTDmUt8Z2RtmobhC_VSVI-bDIjkuQhFqrYU0Brboa-znnNDEjYebnrgFMRKxkRpxeJXTXaUEeu1UrCFM7nxDXpYftyLGg30-UWHkQ9yHtvTpWXQTa5pSXXS_oBkI1JXBs3AhHP6JIKhkCExIlqIVuUVVEd94mU1QizQgpsQCVlLVhcSn-8DiO7QQFkI3mA8xVO1FZiRSBwUGBHemJU7pbmfK6D4QDOmTclKSYZ5_20aD2WKojjyOD6KDpO9nxi5Nnmeo7yFQyA9b6vyZbRzSqLpZ4EOBT0lvmnuHqqSrsvXCpI2vzRD0MHcmSMa7g4C2WIktDIVUAmiXKxkxpaPewZnPoqGme_F0pMIc1CrdDgUOyfKzRDJS2UFtMUsajiyMrLuaj-MohbKN3S7UzPN6ZvgUBeH5dQSIpjMyvF4XLlKsxEIkvkSPO3f1B9llQLVGXKBR2CIH0o-tZZ391BHtrLLydWmSKR1JVudtyyfBQYooLCKin74IJhGCH3o0sdlA2UvGUCxR6M3ySzrFUKoG0rmv5M7kwJCmstGHgCbMrDEchAA5Kn7HUT7vU6cGoEOBYyz1vwYF0BoD6TMUEQpYwvcZsSoM_xlPjigzR0yhxJhU1OQoNPbVWoZ1hMTArpNfNrdOGAToWnJMSagKP8OWMq57dPCSDiR8cx_WPQafZcVaE6qdOmNze0gKBPbIMmYZZTr3PzPYZJdby1Mj-OZLgofE9-p4AGWLwUjmH7ALnMFA0K5D5fRGjub-l0suDAT0dkgfa8U2rm4r6sGJw0DnqBzPG9-wgbkyLvqkFoUiqPyzEbmCNLMbZv00nKBCuEyj9iFAsvcBkA7o1McqgFHXEVhXYqQxvp1lCagWyQPWHOXEpisjCctHoE1fARZUEYo3_WVkRIPm_8j2FkSnBqdOs4aUkWId-4GvRe79o9QDVHlDScAkYopG_y7pD1lQveJBKW3BC1xnyZiiho9OhR2_7CVxcXnLue3N5BH_28gEFDE5m1odxYv_qI5QVjPC8JhFrNUbHEC3FUqwiofpxUfvmgpxp8vA8kdjJNssfBbw3BakqV_toBT5EOS8zu-j7p4cbBlZlR1ilqV6eofB-Lt6TL3vydJu4DvR7k2u5T4gFEiUa2_sw3m-GpUGK0QEfSAjgRbWHFkmSSoZmllKXnt4cS5jOME-xrTLWK1OmStxIdS7e9wpo4eyMuGw0e2xnQyw9ob4oZ4w8n26L_2opADzLzxdHUhiFwBHaf6MZRM0a5mJoXkozfNA7_ERf3npg_dXKNpZGLB9kh6hl8IRannWA=="}, {"type": "function_call", "name": "edit_file", "arguments": "{\"file_path\":\"/test_slug.py\",\"old_string\":\"    def test_filtering_allows_empty_output_between_separators(self):\\n        self.assertEqual(slugify(\\\"---\u6f22\u5b57***\\\"), \\\"\\\")\\n\\n\\nif __name__ == \\\"__main__\\\":\\n\",\"new_string\":\"    def test_filtering_allows_empty_output_between_separators(self):\\n        self.assertEqual(slugify(\\\"---\u6f22\u5b57***\\\"), \\\"\\\")\\n\\n    def test_mixed_case_accents_and_digits_share_normalized_boundaries(self):\\n        value = \\\"  -- \u00c9xAMPLe... 007 -- \\\"\\n        self.assertEqual(slugify(value), \\\"example-007\\\")\\n\\n    def test_unsupported_letters_are_discarded_without_new_separators(self):\\n        self.assertEqual(slugify(\\\"left\u6f22\u5b57right\\\"), \\\"leftright\\\")\\n\\n\\nif __name__ == \\\"__main__\\\":\\n\"\n, \"replace_all\":false}", "call_id": "call_kO1BCp10GPqPFdu0JBmj6JMI", "id": "fc_056e22f37fd5bd59006ab5a2c1a28c87d29a568c75a8c48b5c", "index": 1}]
{"name": "edit_file", "args": {"file_path": "/test_slug.py", "old_string": "    def test_filtering_allows_empty_output_between_separators(self):\n        self.assertEqual(slugify(\"---\u6f22\u5b57***\"), \"\")\n\n\nif __name__ == \"__main__\":\n", "new_string": "    def test_filtering_allows_empty_output_between_separators(self):\n        self.assertEqual(slugify(\"---\u6f22\u5b57***\"), \"\")\n\n    def test_mixed_case_accents_and_digits_share_normalized_boundaries(self):\n        value = \"  -- \u00c9xAMPLe... 007 -- \"\n        self.assertEqual(slugify(value), \"example-007\")\n\n    def test_unsupported_letters_are_discarded_without_new_separators(self):\n        self.assertEqual(slugify(\"left\u6f22\u5b57right\"), \"leftright\")\n\n\nif __name__ == \"__main__\":\n", "replace_all": false}, "id": "call_kO1BCp10GPqPFdu0JBmj6JMI", "type": "tool_call"}</t>
  </si>
  <si>
    <t>01a0d583-ca1c-7333-8f09-664ca272235b</t>
  </si>
  <si>
    <t>{'file_path': '/test_slug.py', 'old_string': '    def test_filtering_allows_empty_output_between_separators(self):\n        self.assertEqual(slugify("---漢字***"), "")\n\n\nif __name__ == "__main__":\n', 'new_string': '    def test_filtering_allows_empty_output_between_separators(self):\n        self.assertEqual(slugify("---漢字***"), "")\n\n    def test_mixed_case_accents_and_digits_share_normalized_boundaries(self):\n        value = "  -- ÉxAMPLe... 007 -- "\n        self.assertEqual(slugify(value), "example-007")\n\n    def test_unsupported_letters_are_discarded_without_new_separators(self):\n        self.assertEqual(slugify("left漢字right"), "leftright")\n\n\nif __name__ == "__main__":\n', 'replace_all': False}</t>
  </si>
  <si>
    <t>Successfully replaced 1 instance(s) of the string in '/test_slug.py'</t>
  </si>
  <si>
    <t>R9</t>
  </si>
  <si>
    <t>01a0d583-ca21-70c0-879a-7be476b276f7</t>
  </si>
  <si>
    <t>[{"id": "rs_056e22f37fd5bd59006ab5a2c3c3e887d2a8eea6b867eba4c0", "summary": [], "type": "reasoning", "content": [], "index": 0, "encrypted_content": "gAAAAABqtaLDd0VVriLMCwe6lEQHh_-s5nCf6kotul8IQiZlIRVd7T3ERIbCcAt_DQB-eAvz6ob5W1SwRk_wvdy1fibMMFtCoe0mVBFMnoLY89kVY5JCF8s4E00Z8rkZsHASfLpivS74pIW9MSfthtXahKBLS6XHRx8ZGdhdoSEyoLmqPXKywVrhVYaTilo_4PepPBVmjT1NKxGDj4DzrbfNVHyPhgi2leC0rwD8CWDaWXFma3jiJOoSHbieVchuTiAtfxEB7bp4Iaar3RftwBPGOphOzLhg7Bm9l44ySJ3Sikg5rCqLLd1urAL1n2s2p3L6lJUdSarvV_Ak_TnV9JcOvOsB6K3PrkeEWEDhIoYcVAMqP1DN38YZDsvnDH8vw42fag_y0YteP0m_9WJ6zi5wjyNjyyYFUapGno5oJExqSppyDmArQyp0Moc28JLiBmYr8hCxC8OcaF6i9nlLS8SAHl_nXv1WNWabe7ir4zcG2u0UDmN4PTM3aCV6uNe2yfTJSZkOIlqlOb4Ao_Tk3o50KUZiD_QD4RYMlzBY0jw6ntnIVcOPfmZcHHFsXTAdtLyKhgDoKHz_pL6r5DBB3lk6hFdAoBA7rK9HFpI0XwN5dZwjwlyV7KR0JKEDC2DfwtJnKi9edW31bgrD-xOkGXwT16GJyv3HAw2N196qrRShLV6DPDxUfa95evV_rJXpVFfRHoR5oPwRp_ROdnJgJsC5ikS01P5BLXxOE9uc9JRHAL3-tMaer_E_sTTrrrmdPKNfvp0Xrw_TlfyeNwxmNgiCR5zLyYF0I0sbIhL9CkwjKb50k0YQvyWB5CdtvryTCnPF66iqdNK_Uho66oTYsz3swz_mzRTF2EHlRlmxP3-wwdL6eXyIJwUB4khaacqOS3vP5hEYsAFgu6fVZz7NExVpIusBVEsuTe8XXBf2pSjzTO8ji-Zocek7GFxaf-JZ6csN1XCYR3Q-f7mVtH7JMC_pyZPffhE5ddEcUPhNBZ5SYnYRNbzV4NJTh_dHOKNpdsaa-50485f-gEblCwwIiWKJMJ-mGXbu-8b4aXT4RTOzhV23tufoIbRCmKKLmCQkKfYfTuaqkS-_B9EYnsnHceIQ1RZctRtHuHp_Ax7-syB8NPEqiKducGH_WC6eAXqtqVWw_NJFJs3q-Ea52kaAoDdQqn-_2hpwACHFC62WrMnE-JHU_JuPcQrEbBIOgshzwK5Z-PNoT_Pb8UjNtpZxh_H1ZguYL7dfoQ=="}, {"type": "function_call", "name": "read_file", "arguments": "{\"file_path\":\"/test_slug.py\",\"offset\":0,\"limit\":120}", "call_id": "call_8fmH2oBBZ92WKAOWz72Eczwv", "id": "fc_056e22f37fd5bd59006ab5a2c3f4c087d2aceb91506d3568ea", "index": 1}]
{"name": "read_file", "args": {"file_path": "/test_slug.py", "offset": 0, "limit": 120}, "id": "call_8fmH2oBBZ92WKAOWz72Eczwv", "type": "tool_call"}</t>
  </si>
  <si>
    <t>01a0d583-ce73-7253-9772-fdfa33e3c68f</t>
  </si>
  <si>
    <t>{'file_path': '/test_slug.py', 'offset': 0, 'limit': 120}</t>
  </si>
  <si>
    <t>@@ lines 1-67 of 67 @@
"""Behavioral tests for the deterministic public ``slugify`` function.
This module's responsibility is to verify the documented input/output
contract without services or third-party dependencies. Tests assume the public
function is imported from ``slug`` and do not inspect its implementation.
AI assistance: tests drafted with AI assistance for this exercise.
Copyright: generated for this exercise; no separate copyright holder claimed.
"""
import unittest
from slug import slugify
class SlugifyTests(unittest.TestCase):
    def test_normal_text_becomes_a_lowercase_slug(self):
        self.assertEqual(slugify("Hello, World!"), "hello-world")
    def test_whitespace_and_punctuation_runs_collapse(self):
        value = "  one\t--\n two...three / four  "
        self.assertEqual(slugify(value), "one-two-three-four")
    def test_accented_and_unicode_text_is_normalized(self):
        self.assertEqual(slugify("Café déjà vu"), "cafe-deja-vu")
    def test_repeated_and_boundary_separators_are_removed(self):
        self.assertEqual(slugify("---already--separated---"), "already-separated")
    def test_empty_and_punctuation_only_input_returns_empty_string(self):
        self.assertEqual(slugify(""), "")
        self.assertEqual(slugify("!? — …"), "")
    def test_non_string_values_raise_type_error(self):
        for value in (None, 42, ["text"], b"text"):
            with self.subTest(value=value):
                with self.assertRaises(TypeError):
                    slugify(value)
    def test_whitespace_symbols_and_combining_marks_only_return_empty(self):
        self.assertEqual(slugify(" \t\n\r"), "")
        self.assertEqual(slugify("!@#$%^&amp;*()[]{}&lt;&gt;"), "")
        self.assertEqual(slugify("\u0301\u0327\u20dd"), "")
    def test_long_mixed_separator_runs_and_boundaries_collapse(self):
        value = "  /\\—…___---  First  !@#$  second  ***  "
        self.assertEqual(slugify(value), "first-second")
    def test_non_decomposing_unicode_is_discarded(self):
        self.assertEqual(slugify("漢字 Ελληνικά привет"), "")
        self.assertEqual(slugify("start漢字end"), "startend")
    def test_digits_and_alphanumeric_text_are_preserved(self):
        self.assertEqual(slugify("Release 2024 - Version 2B"), "release-2024-version-2b")
    def test_filtering_allows_empty_output_between_separators(self):
        self.assertEqual(slugify("---漢字***"), "")
    def test_mixed_case_accents_and_digits_share_normalized_boundaries(self):
        value = "  -- ÉxAMPLe... 007 -- "
        self.assertEqual(slugify(value), "example-007")
    def test_unsupported_letters_are_discarded_without_new_separators(self):
        self.assertEqual(slugify("left漢字right"), "leftright")
if __name__ == "__main__":
    unittest.main()</t>
  </si>
  <si>
    <t>R10</t>
  </si>
  <si>
    <t>01a0d583-ce79-7a90-9863-848cfd03d0ab</t>
  </si>
  <si>
    <t>[{"id": "rs_056e22f37fd5bd59006ab5a2c50c3887d2acd4afcb32ea58a3", "summary": [], "type": "reasoning", "content": [], "index": 0, "encrypted_content": "gAAAAABqtaLFLBZdsM_uVusvZKzKvTwyOCS4LkIGhi6DLUr5f1Ul9hR9ZMKlKyiwEP4OAr6gLXGU1CLoiB0Afw6BlhdJmOGUcSFpQQdtmPtOT4CVWRoa8E18rZLRrRz7gT9IsK8Tn5u5S0UCzBXVuxhRyNLkleF4O3XD2VUlt_SNJZxZ5kp0FNgoGBDkciJ_NY81d2ECrgXRLu00Y8UwYEJAUWsxMq9NDdE1z5Aa8gZG_XxxAt5_HzNnYvHU1Lrir2xtQ5LHS2cAMlpDQ4qGNr4ixl46pJo6mYvp_RyfBDebR7lg-I4TKL-yp2ultcMfVX9p2lNh0TCahVOaEfQgKhOI5dNJA9XrF38LTAS13aBGQ8EO6CGpO30Sc50sYm7JytZQM5AaReXiO2zCbBxDp7FBKSkFlWmoEJOC75-uIycaDoGITMLhS578uxqcRdDTnAoD69BZyjo0lQ49oVeS0QYF6GqzzdwcVUqA1ymRZzWrpuQNTgss6xfD4JTFAOaHt0rQ4wmqSVsgLbrNQIYMTVXxGZtnGT9soLOZk5Uhdh6G8qu1zqTShCqZmHGQst5cH28OWE9oVL9I1hAjzBQcXSMdmj5UFW4vBBhwaHeI5egzzONvjbEYFYLS4P1o8PH47n8dD3_wogRqweJns78uV028bAwzBhqJY9RfwitL2c74ME_iG_FuzpfzyUL42wi4oFFZicX6gwFgsIhHL4zPgtQp6XIjDC4hYLlUIo5070e9X34DwDiPHUK9g3jT3lg7jqnWcv7S7hKke2p3zi3bVXvexek5M-Ms4XpfPnusD1uieryAlrOmlhbd4-ZLDGbYpK3FvANVG-PD_4CXD9G_eqQjkwPwfX8f-4u042HT9uj9y9JVZ2zbRhbhCjlnwBO22dgTfuUAmymhyU-7oB2_zoZ46hd9ObZB4HQka0fgNZ8DuTZ2gp9xFWCJYGfkmWSCHeHWaLTI4BXi_5UT_PyC4AG3OCwHdFpLL3-y6uvu5g9TrnjGCZ9IoNv0R_mG9kX8YaessIDFzJW7_p4ywReaCWylBxNQguW9OfIaEfc6pV0wg-YCqYy3ISO-wnAdzqC8w38war4kzrgVKX-v5YPLoX-BWGNGNO4Jg2bWIF-bx3UKMYFDtVq1sOIj6Vg5Pis_xBJlsCmAnZDkeB3xvNWIosljmYEFxfRDCYXmalfE8Xstc_WQmg7fx7cAEjabikKz_lPx7Hfwbggm-5TxJTPpkMPRsz4Sqxtsa2B1C_6l_Cli96z30fa8zs-JecyLumFfZ7fXat3Jfzn0Di_kJFDHQQLDtSU4v19uE2G_HdyiWROWMUNz4rCuZL6jtFhrVFVdyb0AoH5ES700W5UR4p8wTC48ezTX0kEgvIY2n7dfQIHNmUh4NWDgzznVGPXT5HhQHaSnGyRbLrR8EZYrei_ylSOS2-lvzcjdAWR8LFMWJ-iro9JolsBwKtzbJwiTK5FbFfZNEqPDDDENe3X8LtekS0OG2SDy7Zypqpms_NFPN1q8DqPLVyEkh6DanLfMoM9gu8dPYD0PohcAjoA60yPInvEOtRsKVPEyGLN1J-7z9J_s-pycdkVorx2UwG8BScnzKqGVCqaIr1cSrbQKg2i72JC4EkgoqFi1mcKfKFnpNXnzs0IOuGCUTbO4b4T4sMYkJ5UC1Kyd-IqYImo86TJIdESdsJhhV2r-iHvZZFdSS7Fkk2UG2GVmOPxz9DEn33re2dENWNjVwE7WUp0fpzsqshRycE4Uzyr59ZVdgmugZ-i2EMaKhplKluw="}, {"type": "text", "text": "Implementation handoff for SLUG-004:\n\n- Read `/plan.md`, `/slug.py`, and the existing `/test_slug.py`.\n- Modified only `/test_slug.py`.\n- Preserved all existing tests.\n- Added:\n  - Mixed-case accented text with boundary punctuation and digits.\n  - Unsupported non-decomposing characters discarded without introducing separators.\n- Assertions use the public `slugify` import and deterministic `unittest` behavior.\n- Tests were written but not run, as required; the available file tools cannot execute them.\n- The changed file is ready for the workflow\u2019s fresh reviewer inspection.", "phase": "final_answer", "index": 1, "id": "msg_056e22f37fd5bd59006ab5a2c5d75487d29a8fca6dbcd80ee1"}]</t>
  </si>
  <si>
    <t>R11</t>
  </si>
  <si>
    <t>01a0d583-d992-7283-8f7d-728cc77e5dea</t>
  </si>
  <si>
    <t>You are the independent read-only reviewer of ONE current task. You receive a fresh assignment, not the shared conversation. Read /plan.md and the files relevant to this task; later tasks may legitimately have no artifacts yet. Inspect the CURRENT files against the supplied task acceptance criteria. Do not edit, implement, delegate, or claim tests executed. Return only a JSON object with task_id (exact supplied ID), verdict (approve or revise), and evidence (nonempty source-backed explanation including all actionable findings and uncertainty). Approve only when this task's acceptance criteria are met. Otherwise return revise with concrete repair instructions. Approval concerns source inspection, never a passing test run.
Sample practices:
# Independent code review practices
This review guidance ships with the sample and needs no external skill or server. The reviewer receives a separate task context. Only the assigned paths and their read results provide evidence about the work; the parent's unseen conversation does not.
## Review contract
Read the current plan first. Identify the assigned task and its acceptance criteria. Review this step; do not require artifacts belonging to later steps. Read the implementation and tests in full, using additional paginated reads if a result is truncated. Treat plan claims as claims to verify, not proof. The reviewer is read-only: do not edit the plan, code, or tests. Do not claim to have run a command that is unavailable to this reviewer.
## Correctness pass
Trace the public function from input to output. Check ordinary examples, empty values, repeated separators, Unicode or normalization if the plan requires them, invalid input, and whether behavior is deterministic. For each suspected defect, identify a concrete triggering input and the resulting behavior. Compare it with the exact acceptance criterion. Check that failures are visible rather than swallowed. Avoid requesting behavior the plan never specified unless it is a direct correctness or safety consequence of the implementation.
## Test pass
Inspect whether tests cover the promised behavior and at least one meaningful boundary. A test should fail for a plausible broken implementation. Note untested branches only when they carry material risk. Code that looks correct may still be unverified: distinguish reading tests from executing them. If the worker has not supplied test output, mark execution as unverified, not passed. Check that test imports and paths appear consistent with the local file layout.
## Evidence and severity
Report findings in priority order. Use a concise location, the triggering condition, observed or inferred failure, and expected behavior. Label a finding critical only if it blocks the task or risks severe harm; high for a real acceptance failure; medium for a narrower bug or important missing test; low for a minor issue. Avoid style-only findings unless the style directly obscures behavior or conflicts with an explicit requirement. If no issue is found, say that no issue was found in this read-only pass and state the limits of that conclusion.
## Uncertainty and handoff
Separate direct file observations from inferences. Quote or reference the relevant file, function, and task ID. If a file is missing or a read fails, report the gap instead of guessing its contents. Explain whether the review is complete enough for the planner to mark the task reviewed. Only an approve verdict allows the planner to record this step complete; the reviewer does not own that edit. Return a compact report rather than reproducing whole files or the plan.
Authoritative current workflow operation; do ONLY this operation, even if a history summary suggests later work:
{"operation": "review", "assignment": {"action": "work", "task_id": "SLUG-004", "files": ["/test_slug.py"], "message": "Implement SLUG-004 from /plan.md: read /slug.py and /test_slug.py first, preserve all existing approved tests, and add focused behavioral boundary tests for any remaining gaps in empty/whitespace-only input, punctuation and separator runs around text, mixed-case and accented text, unsupported non-decomposing Unicode, digits, and non-string inputs where useful. Assertions must use the public slugify import, remain deterministic and standard-library-only, and avoid implementation details, services, filesystem state, and network access. Confirm expected results match lowercase ASCII alphanumerics, collapsed/trimmed hyphens, discarded unsupported characters, empty output when no characters remain, and TypeError for non-strings. Change only /test_slug.py. Tests are written but not run. After the worker change, an independent reviewer must inspect the file and approve or reject it with source-backed findings; do not treat worker claims as approval."}, "review": {}}</t>
  </si>
  <si>
    <t>[{"id": "rs_0bcb5f3927106dab006ab5a2c793fc87d2abed9fe49c960179", "summary": [], "type": "reasoning", "content": [], "index": 0, "encrypted_content": "gAAAAABqtaLIAxWf0zzJ6ywWtxfBnrl2OrdbQlhpSjJJ6WnxuzEvnAgv1t_0f4fhMHXFkWeD4UpQlePnk-MKHtCdRV1kCa8Jwpn6PGvII7Fd0WqJKC17C5GqrUds3Wq_gQAH7C9hS2RwYgp3vl5DQcqBEltkfu-oH4Kl3pXUknvDezg4TRyrAw13hNMV8Yp34vfLXXtVB_kN646f2vTpB2BXvc1HOrilsasPjxjPv-H2MkbwTQYgYoOXUt35fVJCiXvHQg3BFqS7PnURVwcoZAIwCDjPuPWOD2Rvvkrdh9osJlgdLXfcbknMx_75pJLL95Bmw7MXeZqXJ0RyuMNn0rzocKNnFW-YfITG6UxvuIHSbQvZ1cTPxOEhMda-0z18ma3JQMqjd4VEKZOXsy2GDhRUE9uyTKtfDkpFH27le5MaAqTeJRZzF_NrLmMQGPaqlZXjNtqt4yzcwa4hs5gtFVXfvBkalvgEhc2NWqc8ceh7EQs9ess2bR5LPWMkYZe5Dngb08aW94bKveG32HcB_DX1xQQhv6WXOBuPlCX05lVbiJMtBa25o0N10qMncaSoK31c7joZzoNIQJOVgMxgOWME7JVe9GhQ79AL_P_QCcOSrRLvdg05il4U6z1cedj0ASYbckb4soo8f7MJUykM2vyG4lpCLis-JygWTYwb_KmQs_7oSct8zPuOpjpfK0vHnEcbrCVNCNdCUlHmYNhGKCoMtz4EEplUha9alTneMGRScROsd3CruCVt2I8jlgMG53F2tpOL73md4rPWvYtaFhumT-E5JFlAVuZkE3Wxrt14FQBHXJrTzKsSnPkQggM7q58scOd0ypqVOPlh5pB98O_nUiY-2c9DZ9lobU8sP4inyG2s4NbMPqSqkFv3dkF6cmpN8E5ZXa_7K-Pk49O4KCPQcIzannNXmDlA9X2qBG-a0_wxsvqLMcNctl0x2j2gD60EUkuwV6RUGUt_iDtRMolsfeilakpQ9IHwgZxfKZJ3cqO8nHJjsIv3Do4h18EcdWtjzt06wqfZt9l4dbfHld4rnWGzyYyeRLB8QN-LZpfj41elf20bqPxOlbH2EHWKu9GWSSY9RTf0uXXayLXGxr_SJnERd-DWuyRt1eg-885Uy9cuPjDyD_ThYbixX6rKRv6aXPhNw0OwfBtO9dIPPpxH2tDojQWKW8pixJHW2KU2OYOA-9WRo8BGB0ydoseKzXy3EI1c9U7el4zIZ7OjNYESVI2vsWHpXtgs25XrXj1nu8p0nAxqT4m69CuEFoGsTAfd4ZvcDK2q"}, {"type": "function_call", "name": "read_file", "arguments": "{\"file_path\":\"/plan.md\",\"offset\":0,\"limit\":200}", "call_id": "call_lVE3UEoEUqNLMt9kkkFya8WB", "id": "fc_0bcb5f3927106dab006ab5a2c83b7487d291d898ad979c2fd0", "index": 1}, {"type": "function_call", "name": "read_file", "arguments": "{\"file_path\":\"/slug.py\",\"offset\":0,\"limit\":300}", "call_id": "call_A4VAZJCyFzhnHP1Dx5LUfZFd", "id": "fc_0bcb5f3927106dab006ab5a2c83b8487d28bac9be49e0f5018", "index": 2}, {"type": "function_call", "name": "read_file", "arguments": "{\"file_path\":\"/test_slug.py\",\"offset\":0,\"limit\":400}", "call_id": "call_o3BfGJBVvndN5RWtP5LBsCaB", "id": "fc_0bcb5f3927106dab006ab5a2c83b9087d2a5e93a16dcfad2f5", "index": 3}]
{"name": "read_file", "args": {"file_path": "/plan.md", "offset": 0, "limit": 200}, "id": "call_lVE3UEoEUqNLMt9kkkFya8WB", "type": "tool_call"}
{"name": "read_file", "args": {"file_path": "/slug.py", "offset": 0, "limit": 300}, "id": "call_A4VAZJCyFzhnHP1Dx5LUfZFd", "type": "tool_call"}
{"name": "read_file", "args": {"file_path": "/test_slug.py", "offset": 0, "limit": 400}, "id": "call_o3BfGJBVvndN5RWtP5LBsCaB", "type": "tool_call"}</t>
  </si>
  <si>
    <t>01a0d583-df2c-7d70-949f-8d905268a2c2</t>
  </si>
  <si>
    <t>01a0d583-df2c-7d70-949f-8dad5d00428b</t>
  </si>
  <si>
    <t>{'file_path': '/slug.py', 'offset': 0, 'limit': 300}</t>
  </si>
  <si>
    <t>01a0d583-df2c-7d70-949f-8db71f5a941d</t>
  </si>
  <si>
    <t>{'file_path': '/test_slug.py', 'offset': 0, 'limit': 400}</t>
  </si>
  <si>
    <t>R12</t>
  </si>
  <si>
    <t>01a0d583-df65-7f43-afdc-0411a5922299</t>
  </si>
  <si>
    <t>@@ lines 1-80 of 80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complete
Assigned: worker
Evidence: Independent reviewer approved the implementation. `/slug.py` exports deterministic standard-library-only `slugify`, handles NFKD normalization, ASCII alphanumeric output, delayed separator collapsing, trimming, empty results, and `TypeError` for non-strings. Tests were not run.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complete
Assigned: worker
Evidence: Independent reviewer approved `/test_slug.py`. The tests import the public `slugify` from `slug` and cover ordinary input, whitespace and punctuation collapsing, accented Unicode normalization, repeated and boundary separators, empty and punctuation-only input, and non-string values raising `TypeError`. Assertions use deterministic standard-library `unittest` behavior checks without service or filesystem dependencies. Tests were not run, so execution remains unverified.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 SLUG-003 — Strengthen boundary tests in `/test_slug.py`
Status: complete
Assigned: worker
Evidence: Independent reviewer approved `/test_slug.py`. The file retains the previously approved ordinary, normalization, separator, empty-input, and invalid-type tests and adds focused coverage for whitespace/symbol/combining-mark-only inputs (`test_whitespace_symbols_and_combining_marks_only_return_empty`), mixed separator runs with separators at both boundaries (`test_long_mixed_separator_runs_and_boundaries_collapse`), non-decomposing Unicode and unsupported characters (`test_non_decomposing_unicode_is_discarded`), digit and alphanumeric preservation (`test_digits_and_alphanumeric_text_are_preserved`), and filtering to empty output (`test_filtering_allows_empty_output_between_separators`). Assertions target the public `slugify` function and deterministic contract results, use only `unittest`, and do not inspect implementation details or external resources. Source inspection indicates the acceptance criteria are met; tests were not run, so execution remains unverified as required by the workflow.
Implementation steps:
1. Read the current `/test_slug.py` and `/slug.py` before editing, then preserve the existing approved coverage while adding only boundary-focused behavioral tests.
2. Add deterministic tests for whitespace/symbol/combining-mark-only inputs, long mixed separator runs and separators at both boundaries, Unicode characters that do not decompose to ASCII, preservation of digits and alphanumeric text, and empty output after filtering; add further invalid-type coverage only where it strengthens the documented contract.
3. Use external-behavior assertions against the public `slugify` function, keeping tests standard-library-only and independent of filesystem, network, services, and implementation details.
Acceptance criteria:
- `/test_slug.py` retains all existing tests and adds readable regression coverage for the listed boundary cases.
- Expected results reflect the documented contract: lowercase ASCII alphanumerics, collapsed/trimmed hyphens, discarded unsupported characters, and `""` when no output characters remain.
- The added tests do not duplicate internal branches or depend on hidden state, and no tests are run by this workflow.
- The independent reviewer inspects the changed test file and either approves it or returns this task for repair; reviewer approval is required before this task is closed.
## SLUG-004 — Further strengthen boundary tests in `/test_slug.py`
Status: pending
Assigned: worker
Evidence: None yet. Independent review and planner closeout are required after the worker's test changes; tests are written but not run.
Implementation steps:
1. Read the current `/slug.py` and `/test_slug.py` before editing, preserving all previously approved tests and the documented contract.
2. Add only concrete behavioral regression cases that strengthen boundaries not already adequately distinguished, such as empty/whitespace-only values, punctuation and separator runs around text, mixed-case and accented text, unsupported non-decomposing Unicode, digits, and non-string inputs where useful.
3. Keep assertions against the public `slugify` import, readable and deterministic, using no services, filesystem state, network, or implementation-detail inspection.
Acceptance criteria:
- `/test_slug.py` retains existing coverage and adds focused boundary tests that can detect plausible regressions in trimming, collapsing, normalization, filtering, empty results, and type validation.
- Expected values match the established contract: lowercase ASCII alphanumerics, collapsed and trimmed hyphens, discarded unsupported characters, empty output when nothing remains, and `TypeError` for non-strings.
- Only `/test_slug.py` is changed for this task; tests are written but not run by this workflow.
- The independent reviewer must inspect the changed test file and either approve it or reject it with source-backed findings; reviewer approval is required before the planner records this task complete. Review and closeout are part of this task, not separate tasks.
@@ lines 1-47 of 47 @@
"""Create deterministic, ASCII-friendly slugs from text.
This module's responsibility is the small public ``slugify`` function; it has
no service, filesystem, or third-party dependencies. The function assumes its
input is a Python string and deliberately raises ``TypeError`` otherwise.
AI assistance: implementation drafted with AI assistance for this exercise.
Copyright: generated for this exercise; no separate copyright holder claimed.
"""
import unicodedata
def slugify(value: str) -&gt; str:
    """Return a lowercase, hyphen-separated slug for *value*.
    Accented Latin characters are decomposed and reduced to their ASCII base
    characters. Characters that cannot contribute to an ASCII slug act as
    separators when they are punctuation or whitespace and are otherwise
    ignored.
    """
    if not isinstance(value, str):
        raise TypeError("slugify() argument must be a string")
    normalized = unicodedata.normalize("NFKD", value)
    parts = []
    separator_pending = False
    for character in normalized:
        # Combining marks carry accents already represented by the preceding
        # base character; discarding them preserves the ASCII base character.
        if unicodedata.combining(character):
            continue
        if character.isascii() and character.isalnum():
            if separator_pending and parts:
                parts.append("-")
            parts.append(character.lower())
            separator_pending = False
        elif character.isspace() or unicodedata.category(character).startswith(
            ("P", "S")
        ):
            # Delay adding the hyphen so leading, repeated, and trailing
            # separators cannot appear in the returned slug.
            if parts:
                separator_pending = True
    return "".join(parts)
@@ lines 1-67 of 67 @@
"""Behavioral tests for the deterministic public ``slugify`` function.
This module's responsibility is to verify the documented input/output
contract without services or third-party dependencies. Tests assume the public
function is imported from ``slug`` and do not inspect its implementation.
AI assistance: tests drafted with AI assistance for this exercise.
Copyright: generated for this exercise; no separate copyright holder claimed.
"""
import unittest
from slug import slugify
class SlugifyTests(unittest.TestCase):
    def test_normal_text_becomes_a_lowercase_slug(self):
        self.assertEqual(slugify("Hello, World!"), "hello-world")
    def test_whitespace_and_punctuation_runs_collapse(self):
        value = "  one\t--\n two...three / four  "
        self.assertEqual(slugify(value), "one-two-three-four")
    def test_accented_and_unicode_text_is_normalized(self):
        self.assertEqual(slugify("Café déjà vu"), "cafe-deja-vu")
    def test_repeated_and_boundary_separators_are_removed(self):
        self.assertEqual(slugify("---already--separated---"), "already-separated")
    def test_empty_and_punctuation_only_input_returns_empty_string(self):
        self.assertEqual(slugify(""), "")
        self.assertEqual(slugify("!? — …"), "")
    def test_non_string_values_raise_type_error(self):
        for value in (None, 42, ["text"], b"text"):
            with self.subTest(value=value):
                with self.assertRaises(TypeError):
                    slugify(value)
    def test_whitespace_symbols_and_combining_marks_only_return_empty(self):
        self.assertEqual(slugify(" \t\n\r"), "")
        self.assertEqual(slugify("!@#$%^&amp;*()[]{}&lt;&gt;"), "")
        self.assertEqual(slugify("\u0301\u0327\u20dd"), "")
    def test_long_mixed_separator_runs_and_boundaries_collapse(self):
        value = "  /\\—…___---  First  !@#$  second  ***  "
        self.assertEqual(slugify(value), "first-second")
    def test_non_decomposing_unicode_is_discarded(self):
        self.assertEqual(slugify("漢字 Ελληνικά привет"), "")
        self.assertEqual(slugify("start漢字end"), "startend")
    def test_digits_and_alphanumeric_text_are_preserved(self):
        self.assertEqual(slugify("Release 2024 - Version 2B"), "release-2024-version-2b")
    def test_filtering_allows_empty_output_between_separators(self):
        self.assertEqual(slugify("---漢字***"), "")
    def test_mixed_case_accents_and_digits_share_normalized_boundaries(self):
        value = "  -- ÉxAMPLe... 007 -- "
        self.assertEqual(slugify(value), "example-007")
    def test_unsupported_letters_are_discarded_without_new_separators(self):
        self.assertEqual(slugify("left漢字right"), "leftright")
if __name__ == "__main__":
    unittest.main()</t>
  </si>
  <si>
    <t>[{"id": "rs_0bcb5f3927106dab006ab5a2c930c087d2a9c88c906c5f27f1", "summary": [], "type": "reasoning", "content": [], "index": 0, "encrypted_content": "gAAAAABqtaLLt7w3AjBrSTLhxoNaAqyGfIsMxzoI6z7vI9juQUJeeVOXwumvng6Qs1O5QLNNsgaTBXqRh5IUQ9GzhRTiQp1R-zwB0lR0eg8Ohuvu1sZ2pSULZqJJEw1CcUu7REgfUbBa9y4O73dgZgVb4ctp3gcZL2QPmU8MiqXhmZK8IMVK9mm_Zp-C1_HSUhw-e55V_IxlHV1N-llQ_gf84rg2sfrcLBD5xYg6q767VDYUMNCGIITkuMUr6WuC-SdDPphdNHU1SqnE03fepYjjb3jG9_u7hqiFNegG5tvnQq_v5pgTUMjOj_4tHI-V10JMMmOeFXNZFtVv-z29beOqmXTaMdhtg3e4fm5bUmvyo-5EjVS6hhfiIjIswlYU3r09Agy45Oc46iCwy_Y-ZQ_6JKDRfTR-2V5kHWwmzWnJRIumU6dSF0554RVpvBBSCCo--UQhgzwRWsib9JWNN4brOUUHBo7l3nobpVfKT0v37P4s1MlMJFChDg5ehpKQQ84I2s5WkRcMvSNQFkuQQU2CWEW6lP2OiKjKybhZQepXR8MSSkeauRVhK4GZeyPXbE4fp7n7cFXZtmDjJntPoS10fcFTY3aw5fz3NHrcJ0enEGYTg5MNKzlTZurXESVrS3wu6LhnaSYmsboSx8XksrlyITD6ltJvKyk-Z7pE8lJSDlxffVGlUUbbWVt89dCJIHukuKwVPMR-aA8NhWUN1btkX62ni7LJBmF33lr7T79Ug50ekOHoEqySrCxIda_7rIoTKfBejqAE1zHWRZsoDPAtQz16Qq1Gyv3ma3ohdQzdJbzMYgziFMZEzTRtlr1T9Q7CzYTM6lMWMQAt0mNiabOvi8zE7dANgDnA6xU_rmQzBEw9mqj0Y-mM-s3Y7gaeIcAcVlmsy6nl_ZkKlcgg_ElbTW9f7nv_y2UpaEq6xo1OHfarPleTJ3ZI5t_KCTGjG4OeiCLVFVAYGba8Vl7geYSjZOwtNslv4UqnrMfl-ZnmsKjeUmPivxYy9GjfWImtSgqk_RXGbtFJ1X0saXW99beZVRvh8Nrqb93-QbdXRYlphrifpPW0C1y5YljusZmcZZPIGShUps7C8vHp7ZjCltpo0Dm2qZFrdog_4w5iwVORG9szyppfYIZNPzh3KQgLI4XVJ56YsN0XD4lS4NmaM8PcNcupdlxDXA6WNKLsD7AEVnGaQTj3TG2E5C_8eVnY_4hRyURwS2_XcD-xPE3cm3V2QSvz3KpzOsjrOFIxxODDXSzqgsL2L-vO38huJhi0wluA_C2bP7-Z1ubgvjWpbQby2vrkVq3NHIzMk3vJ7khwezeDmH6Oz7cQl8RUffkj1qX4Jn1mFPD24FgpkmtDa0sIqD2sVdv8EglLcTdaD-GkZX25NVGx2A73vWxkAhdAN5q0PFNQhriB6sI4Tnt95mYeOLWRfAHqesuD0OKJeJcAMD33sWMSrR3pcvW0lD2a79h4wDprfhLTMP8sHbmiws4MdH0PArivJRZ0TShF_K0DZWUytBImfxolbmMdM_fM3VFfF4GybJy-E109ZzcBHZ15QTV1FUtdytiyosfBch8UEPiARSjRH5wE6jUd27u8JEW8F49Xn_4OKxUZ-r0AqhQpOBfLTGGSGXvAgozO0wT8Jo7HKugtuOWJRCRysbA_1F7H755jgIQkHRJQ5MLea-uZ1cWXgghJMbTSBWMy2jLzubeocRzjtejl7v2xw5MP3T5e2oyC8fcJ68m3gzClWVlsP91btQKeYNPyNcnLn33dMKjbt65AkJZh-f81o7R8qgOJSaw4pTBm3GWwzcWttTrlQcD9owniRADDXKvoE9bFM56bygBCWFAhpBD9euUcJ_f1C1a7CpLS2qSGmI-MKZWeg08mwe85cy8NdgBd2EPljVtbtFtJBI01vhLPwYS5F5sy8HDB0VhHY09xQRJiKYgvEg57kSOb2obiCGTmONAY_uMFrxVbsDW6cBDyrACIemSzz4H1R9Uynlbs1626TkP9fqykSsHwg5kEX-hApFagDBiqYRXMa5ffdOm8xtNFtJP7ZmHeDUdsDGl0ju2cJg7wEybVuLKl1XVUM-DJhzltsQkK1JOJto9eZCh9zkr2TiVKdMcOBbDXlygCP-7jkoDrZfuv2FpX8xzv54tXjwMPS7G8QbyTHASg8lUQbaR1ExMRISvJPbx7-F9_jSUtkdoTnrCrmNrVdkwGp9Ju5469HYInhTtljycGnTPywH2WjGWDwxKhUeKcq0NCaIdiSQLhTSe4DNHzcALox2megBUyqt5B40lUkEKODIyn6Ei1GUVABYM6RqSte23edcIKnsZ1I-kFnSWZSO7PQOuPFoEZLgOgsp66UWSJPFpvNFhvS20uX1pGvIJZCB9_OfvKJPAJivttlkSZb9MoKuiKwh7H90ETtuE2hBP4UJwKX0VZv6S-gMxfqalbRYwxfdqFqcmff2FrUOBTBbBsKYMZZH7JKujk1LMctSg_kAzS8P2Zyx9abfNihW2cOsilQDKJJhW1yLoApomfSKT8M7GguMGOUvXPyklGlcZp6V3E-9rPUX0NQVV3dBGLQvLcQbpIcoagsLVeGyjFWgNblET9mQOh_5nitdRUe7glnmT86YvAgHb965agsbkSdQkEqy_UH3Q87Q6aUuLWs43LmeZrb1VWm448CnZuCZadlU6rPezm8WP6l94dytF9xQ9VZDwCVKEJKM-VCVwolZDYzISh4EFZRkmSly-60S-1FmA5mLwBa0Gfy6rSBF_g"}, {"type": "text", "text": "{\"task_id\":\"SLUG-004\",\"verdict\":\"approve\",\"evidence\":\"Reviewed /plan.md, /slug.py, and /test_slug.py. The current test file preserves the previously approved coverage and adds focused public-behavior tests for whitespace/punctuation-only input, mixed separator runs and boundary trimming, mixed-case accented text, unsupported non-decomposing Unicode, digits, filtering to empty output, and multiple non-string inputs. Assertions use the public `slugify` import and expected lowercase ASCII, collapsed/trimmed hyphen, discarded-character, empty-result, and TypeError behavior. The tests use only unittest, with no implementation-detail, filesystem, network, or service dependencies. The source change is confined to /test_slug.py as far as the reviewed artifacts show. Tests were not run, so execution remains unverified, but source inspection finds the SLUG-004 acceptance criteria satisfied.\"}", "phase": "final_answer", "index": 1, "id": "msg_0bcb5f3927106dab006ab5a2cb193887d29bb71ba8f2203b49"}]</t>
  </si>
  <si>
    <t>R13</t>
  </si>
  <si>
    <t>01a0d583-f085-7132-a002-4511519950a1</t>
  </si>
  <si>
    <t>You are the planner. You own only /plan.md; never implement or repair code or tests. The only implementation paths are /slug.py and /test_slug.py; the public function is slugify imported from slug. File tools cannot execute tests. On the initial planning invocation, read an existing plan if present, then create or extend an ordered plan of concrete implementation steps with stable task IDs, acceptance criteria, and pending status. Review and closeout are part of EVERY implementation step, never separate plan tasks. NEVER assign source review, cross-file review, approval, verification-only work, or closeout to the worker. The independent reviewer node already handles those checks for each implementation step. For the initial slug request, plan two implementation steps: implement the function, then write its tests. For a follow-up request, add only the concrete requested code/test changes. Preserve earlier evidence. Assign exactly ONE pending task to the worker, then stop. On an approved-step invocation, update ONLY the named approved task to complete using the supplied reviewer evidence, reread /plan.md, then assign the next pending task or finish. Do not mark a task complete on worker claims, your own inspection, or a summary. Only the workflow-supplied approval authorizes that update. Never repair a rejected task yourself. Your final response must be a JSON object with action (work or finish), task_id (the next task ID, or empty when finishing), files (an array of writable paths for this task chosen from /slug.py and /test_slug.py, empty when finishing), and message (a self-contained assignment including acceptance criteria, or final report). No Markdown fences. A work response must name exactly one task. Tests are written but not run.
Sample practices:
# Coding practices for a small Python change
This guidance is part of the context-budget sample. It is deliberately self-contained: no external skill, service, repository-specific command, or server is required. Apply it to the local exercise described in the plan. The plan is the durable coordination record; conversation text is transient.
## Establish the task
Read the current plan before choosing work. Identify the requested behavior, the intended user, inputs and outputs, file ownership, and acceptance criteria. Separate requirements from implementation guesses. If a task cannot be completed because information is missing, record the exact gap in the plan rather than silently inventing a contract. Prefer a small explicit contract over speculative flexibility. Make names describe responsibilities and avoid adding an abstraction that has only one use. If prior tasks changed the plan, use its latest on-disk version, not an older summary of it.
## Design before editing
For each task, describe the observable before and after behavior. List one or two representative examples and the most important edge cases. Decide where input validation belongs and what should happen for invalid values. Choose deterministic behavior that can be checked without external services. Keep the public function small and place supporting logic near it. Avoid hidden state and avoid catching errors so broadly that a failed edit looks successful. Do not make a safety claim that the code cannot enforce.
## Implement in small verified steps
Read the existing file before editing it. Change only the files named by the plan. Preserve content outside the task. When creating code, include a plain-language file header stating purpose, responsibilities, assumptions, AI assistance, and copyright. Explain non-obvious control flow and why a particular branch exists. Comments should clarify intent, not repeat syntax. After each tool result, check whether the operation succeeded before recording progress. If an edit fails or replaces the wrong string, stop and repair that step. Never record a task as complete simply because a tool was called.
## Tests and evidence
Write tests for external behavior, important boundaries, and regressions the task is meant to prevent. Do not write a test that only copies the implementation's branching. A test should distinguish a plausible bug from correct behavior. Keep test data readable. If this workflow cannot execute tests, say that they were written but not run; never substitute a code review for execution evidence. A reviewer may inspect coverage and syntax, but a review report is not a passing test result.
## Plan maintenance
The planner marks a task complete only after the independent reviewer approves that task's current files. An existing artifact alone is not approval. The worker reports concrete tool outcomes but does not edit the plan. The planner uses a narrow replacement that preserves other tasks, with concise evidence such as the created file, test name, or reviewer finding. Read the plan again after every status edit, even if the edit succeeded, so the next decision uses the current document. Keep a pending, complete, or blocked status for every task. Record uncertainty under the relevant task instead of hiding it in a final answer. If the reviewer requests changes, the same task stays incomplete. The worker repairs it and the reviewer checks the new version before the planner records completion.
## Handoff and review
The planner supplies a self-contained task assignment: the plan path, code paths, intended behavior, and acceptance criteria. The workflow forwards that assignment to the reviewer after the worker returns. The reviewer starts with an isolated context and has no access to this conversation. Ask for source-backed findings with severity and uncertainty. The workflow delivers the independent verdict. A rejection returns the same task to the worker. Approval lets the planner record completion and reread the plan before assigning another task. Report only what the visible evidence supports.
## Context limits
Large instructions, file reads, tool schemas, and tool results consume context. Use compaction to preserve durable decisions and current task state when earlier conversation is summarized. The on-disk plan remains authoritative; after compaction, reread it before the next task. Do not infer that a summary retains every line of a file. When a read is truncated, request the missing section. Keep final messages concise enough to show the task status, verification level, and next action without duplicating the entire plan.
Role ownership survives compaction: only the worker edits source/tests, only the reviewer issues approval, and only the planner updates plan status. The current workflow assignment and verdict override incomplete history summaries.
Authoritative current workflow operation; do ONLY this operation, even if a history summary suggests later work:
{"operation": "record_approved_step", "assignment": {"action": "work", "task_id": "SLUG-004", "files": ["/test_slug.py"], "message": "Implement SLUG-004 from /plan.md: read /slug.py and /test_slug.py first, preserve all existing approved tests, and add focused behavioral boundary tests for any remaining gaps in empty/whitespace-only input, punctuation and separator runs around text, mixed-case and accented text, unsupported non-decomposing Unicode, digits, and non-string inputs where useful. Assertions must use the public slugify import, remain deterministic and standard-library-only, and avoid implementation details, services, filesystem state, and network access. Confirm expected results match lowercase ASCII alphanumerics, collapsed/trimmed hyphens, discarded unsupported characters, empty output when no characters remain, and TypeError for non-strings. Change only /test_slug.py. Tests are written but not run. After the worker change, an independent reviewer must inspect the file and approve or reject it with source-backed findings; do not treat worker claims as approval."}, "approval": {"task_id": "SLUG-004", "verdict": "approve", "evidence": "Reviewed /plan.md, /slug.py, and /test_slug.py. The current test file preserves the previously approved coverage and adds focused public-behavior tests for whitespace/punctuation-only input, mixed separator runs and boundary trimming, mixed-case accented text, unsupported non-decomposing Unicode, digits, filtering to empty output, and multiple non-string inputs. Assertions use the public `slugify` import and expected lowercase ASCII, collapsed/trimmed hyphen, discarded-character, empty-result, and TypeError behavior. The tests use only unittest, with no implementation-detail, filesystem, network, or service dependencies. The source change is confined to /test_slug.py as far as the reviewed artifacts show. Tests were not run, so execution remains unverified, but source inspection finds the SLUG-004 acceptance criteria satisfied."}}</t>
  </si>
  <si>
    <t>@@ lines 1-80 of 80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complete
Assigned: worker
Evidence: Independent reviewer approved the implementation. `/slug.py` exports deterministic standard-library-only `slugify`, handles NFKD normalization, ASCII alphanumeric output, delayed separator collapsing, trimming, empty results, and `TypeError` for non-strings. Tests were not run.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complete
Assigned: worker
Evidence: Independent reviewer approved `/test_slug.py`. The tests import the public `slugify` from `slug` and cover ordinary input, whitespace and punctuation collapsing, accented Unicode normalization, repeated and boundary separators, empty and punctuation-only input, and non-string values raising `TypeError`. Assertions use deterministic standard-library `unittest` behavior checks without service or filesystem dependencies. Tests were not run, so execution remains unverified.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 SLUG-003 — Strengthen boundary tests in `/test_slug.py`
Status: complete
Assigned: worker
Evidence: Independent reviewer approved `/test_slug.py`. The file retains the previously approved ordinary, normalization, separator, empty-input, and invalid-type tests and adds focused coverage for whitespace/symbol/combining-mark-only inputs (`test_whitespace_symbols_and_combining_marks_only_return_empty`), mixed separator runs with separators at both boundaries (`test_long_mixed_separator_runs_and_boundaries_collapse`), non-decomposing Unicode and unsupported characters (`test_non_decomposing_unicode_is_discarded`), digit and alphanumeric preservation (`test_digits_and_alphanumeric_text_are_preserved`), and filtering to empty output (`test_filtering_allows_empty_output_between_separators`). Assertions target the public `slugify` function and deterministic contract results, use only `unittest`, and do not inspect implementation details or external resources. Source inspection indicates the acceptance criteria are met; tests were not run, so execution remains unverified as required by the workflow.
Implementation steps:
1. Read the current `/test_slug.py` and `/slug.py` before editing, then preserve the existing approved coverage while adding only boundary-focused behavioral tests.
2. Add deterministic tests for whitespace/symbol/combining-mark-only inputs, long mixed separator runs and separators at both boundaries, Unicode characters that do not decompose to ASCII, preservation of digits and alphanumeric text, and empty output after filtering; add further invalid-type coverage only where it strengthens the documented contract.
3. Use external-behavior assertions against the public `slugify` function, keeping tests standard-library-only and independent of filesystem, network, services, and implementation details.
Acceptance criteria:
- `/test_slug.py` retains all existing tests and adds readable regression coverage for the listed boundary cases.
- Expected results reflect the documented contract: lowercase ASCII alphanumerics, collapsed/trimmed hyphens, discarded unsupported characters, and `""` when no output characters remain.
- The added tests do not duplicate internal branches or depend on hidden state, and no tests are run by this workflow.
- The independent reviewer inspects the changed test file and either approves it or returns this task for repair; reviewer approval is required before this task is closed.
## SLUG-004 — Further strengthen boundary tests in `/test_slug.py`
Status: pending
Assigned: worker
Evidence: None yet. Independent review and planner closeout are required after the worker's test changes; tests are written but not run.
Implementation steps:
1. Read the current `/slug.py` and `/test_slug.py` before editing, preserving all previously approved tests and the documented contract.
2. Add only concrete behavioral regression cases that strengthen boundaries not already adequately distinguished, such as empty/whitespace-only values, punctuation and separator runs around text, mixed-case and accented text, unsupported non-decomposing Unicode, digits, and non-string inputs where useful.
3. Keep assertions against the public `slugify` import, readable and deterministic, using no services, filesystem state, network, or implementation-detail inspection.
Acceptance criteria:
- `/test_slug.py` retains existing coverage and adds focused boundary tests that can detect plausible regressions in trimming, collapsing, normalization, filtering, empty results, and type validation.
- Expected values match the established contract: lowercase ASCII alphanumerics, collapsed and trimmed hyphens, discarded unsupported characters, empty output when nothing remains, and `TypeError` for non-strings.
- Only `/test_slug.py` is changed for this task; tests are written but not run by this workflow.
- The independent reviewer must inspect the changed test file and either approve it or reject it with source-backed findings; reviewer approval is required before the planner records this task complete. Review and closeout are part of this task, not separate tasks.
@@ lines 1-47 of 47 @@
"""Create deterministic, ASCII-friendly slugs from text.
This module's responsibility is the small public ``slugify`` function; it has
no service, filesystem, or third-party dependencies. The function assumes its
input is a Python string and deliberately raises ``TypeError`` otherwise.
AI assistance: implementation drafted with AI assistance for this exercise.
Copyright: generated for this exercise; no separate copyright holder claimed.
"""
import unicodedata
def slugify(value: str) -&gt; str:
    """Return a lowercase, hyphen-separated slug for *value*.
    Accented Latin characters are decomposed and reduced to their ASCII base
    characters. Characters that cannot contribute to an ASCII slug act as
    separators when they are punctuation or whitespace and are otherwise
    ignored.
    """
    if not isinstance(value, str):
        raise TypeError("slugify() argument must be a string")
    normalized = unicodedata.normalize("NFKD", value)
    parts = []
    separator_pending = False
    for character in normalized:
        # Combining marks carry accents already represented by the preceding
        # base character; discarding them preserves the ASCII base character.
        if unicodedata.combining(character):
            continue
        if character.isascii() and character.isalnum():
            if separator_pending and parts:
                parts.append("-")
            parts.append(character.lower())
            separator_pending = False
        elif character.isspace() or unicodedata.category(character).startswith(
            ("P", "S")
        ):
            # Delay adding the hyphen so leading, repeated, and trailing
            # separators cannot appear in the returned slug.
            if parts:
                separator_pending = True
    return "".join(parts)
@@ lines 1-60 of 60 @@
"""Behavioral tests for the deterministic public ``slugify`` function.
This module's responsibility is to verify the documented input/output
contract without services or third-party dependencies. Tests assume the public
function is imported from ``slug`` and do not inspect its implementation.
AI assistance: tests drafted with AI assistance for this exercise.
Copyright: generated for this exercise; no separate copyright holder claimed.
"""
import unittest
from slug import slugify
class SlugifyTests(unittest.TestCase):
    def test_normal_text_becomes_a_lowercase_slug(self):
        self.assertEqual(slugify("Hello, World!"), "hello-world")
    def test_whitespace_and_punctuation_runs_collapse(self):
        value = "  one\t--\n two...three / four  "
        self.assertEqual(slugify(value), "one-two-three-four")
    def test_accented_and_unicode_text_is_normalized(self):
        self.assertEqual(slugify("Café déjà vu"), "cafe-deja-vu")
    def test_repeated_and_boundary_separators_are_removed(self):
        self.assertEqual(slugify("---already--separated---"), "already-separated")
    def test_empty_and_punctuation_only_input_returns_empty_string(self):
        self.assertEqual(slugify(""), "")
        self.assertEqual(slugify("!? — …"), "")
    def test_non_string_values_raise_type_error(self):
        for value in (None, 42, ["text"], b"text"):
            with self.subTest(value=value):
                with self.assertRaises(TypeError):
                    slugify(value)
    def test_whitespace_symbols_and_combining_marks_only_return_empty(self):
        self.assertEqual(slugify(" \t\n\r"), "")
        self.assertEqual(slugify("!@#$%^&amp;*()[]{}&lt;&gt;"), "")
        self.assertEqual(slugify("\u0301\u0327\u20dd"), "")
    def test_long_mixed_separator_runs_and_boundaries_collapse(self):
        value = "  /\\—…___---  First  !@#$  second  ***  "
        self.assertEqual(slugify(value), "first-second")
    def test_non_decomposing_unicode_is_discarded(self):
        self.assertEqual(slugify("漢字 Ελληνικά привет"), "")
        self.assertEqual(slugify("start漢字end"), "startend")
    def test_digits_and_alphanumeric_text_are_preserved(self):
        self.assertEqual(slugify("Release 2024 - Version 2B"), "release-2024-version-2b")
    def test_filtering_allows_empty_output_between_separators(self):
        self.assertEqual(slugify("---漢字***"), "")
if __name__ == "__main__":
    unittest.main()
Successfully replaced 1 instance(s) of the string in '/test_slug.py'
@@ lines 1-67 of 67 @@
"""Behavioral tests for the deterministic public ``slugify`` function.
This module's responsibility is to verify the documented input/output
contract without services or third-party dependencies. Tests assume the public
function is imported from ``slug`` and do not inspect its implementation.
AI assistance: tests drafted with AI assistance for this exercise.
Copyright: generated for this exercise; no separate copyright holder claimed.
"""
import unittest
from slug import slugify
class SlugifyTests(unittest.TestCase):
    def test_normal_text_becomes_a_lowercase_slug(self):
        self.assertEqual(slugify("Hello, World!"), "hello-world")
    def test_whitespace_and_punctuation_runs_collapse(self):
        value = "  one\t--\n two...three / four  "
        self.assertEqual(slugify(value), "one-two-three-four")
    def test_accented_and_unicode_text_is_normalized(self):
        self.assertEqual(slugify("Café déjà vu"), "cafe-deja-vu")
    def test_repeated_and_boundary_separators_are_removed(self):
        self.assertEqual(slugify("---already--separated---"), "already-separated")
    def test_empty_and_punctuation_only_input_returns_empty_string(self):
        self.assertEqual(slugify(""), "")
        self.assertEqual(slugify("!? — …"), "")
    def test_non_string_values_raise_type_error(self):
        for value in (None, 42, ["text"], b"text"):
            with self.subTest(value=value):
                with self.assertRaises(TypeError):
                    slugify(value)
    def test_whitespace_symbols_and_combining_marks_only_return_empty(self):
        self.assertEqual(slugify(" \t\n\r"), "")
        self.assertEqual(slugify("!@#$%^&amp;*()[]{}&lt;&gt;"), "")
        self.assertEqual(slugify("\u0301\u0327\u20dd"), "")
    def test_long_mixed_separator_runs_and_boundaries_collapse(self):
        value = "  /\\—…___---  First  !@#$  second  ***  "
        self.assertEqual(slugify(value), "first-second")
    def test_non_decomposing_unicode_is_discarded(self):
        self.assertEqual(slugify("漢字 Ελληνικά привет"), "")
        self.assertEqual(slugify("start漢字end"), "startend")
    def test_digits_and_alphanumeric_text_are_preserved(self):
        self.assertEqual(slugify("Release 2024 - Version 2B"), "release-2024-version-2b")
    def test_filtering_allows_empty_output_between_separators(self):
        self.assertEqual(slugify("---漢字***"), "")
    def test_mixed_case_accents_and_digits_share_normalized_boundaries(self):
        value = "  -- ÉxAMPLe... 007 -- "
        self.assertEqual(slugify(value), "example-007")
    def test_unsupported_letters_are_discarded_without_new_separators(self):
        self.assertEqual(slugify("left漢字right"), "leftright")
if __name__ == "__main__":
    unittest.main()</t>
  </si>
  <si>
    <t>[{"id": "rs_056e22f37fd5bd59006ab5a2cd897887d2a92bfc13d29fd6b6", "summary": [], "type": "reasoning", "content": [], "index": 0, "encrypted_content": "gAAAAABqtaLOi2fb-5h-Nk2SO-gEsH17tMkOdbMVZC3jxIWWCNe-nlDiSnObPh3ls8FA0LFeDn17jU5zPmAWbGD97wh8MBoYXwcQwFZ59xrVajo2f9E-71Wa322NB4dG19y1cr6Z7XCBdWnsOZNj5dYbbWBR2Z3WxDX-WRfdjulCvxzQKZkzX4x6wODeE2IObQGjGJQCY28xOw4YvWXvuvneEPUeVUNuCA_-cmCUU8RoS_vYh__aP53iHA6PMbkfIL5X45X__JMCs25AUI48WBSZS3xU6tPW4Av6Gl14n1XxOUHaWZSvoO0mAuUQnSDZgPvcHy745uSxQZDgK1-KhfQNzx-Dokkyhb-MYVdfRyzNm73bb0skR12zBpgyvoq5Pq3siAPZM8K6b3kcD-4Tj9WVRFHALP04XG3E2pMi_iiDZ9FnKf8FtD7vouaem8R29StopJzp1FT-xEh6rm3MslkO8w0uY7EwxgrzjP5xWdz-4fqus2ZFpwne7f1LDBoXOcVKIWobkBSSpKCQzfkM8FgCdIepoajvTXM2pxxgRFfLhWfX5BFpfTI4hv2i3QawNKmbwHiLoSA5ErqkxKpnPTVe1XDBXhJF6VM34vyTolssHAWG0nUVSq4z5SQCuFT2d-9AxuxvQ1Iet13VbNoqsof3Rb9beBCD0BTezB21zJMY4cQxuk23hgqz5TOVEozFMVEFt5m5FK2j_WnL0LeY2ywnyI0zKBy6OCE0w6itWv69dTSoN5NU4FK2PhKhardkoEPNH1w7hhJ69lVOoQg_GjpRwncuBJAUhmrO-tCO17X9GDpO47xANrf48iaObiR2fY3edUTYJJ7s-S4PGhP0aU4nKxUsOBh4fKjJWuot0Caj-BUa8UTcI32Q5Sf5dBLwHbpbxYlcMTHJ_XZtdOY7w7mjytJ06Appo_wV2V5VG7Xyy67Uujs0EY6q2wQVnoFWw0hj2HwLXlUvNAW1RPRl58iueyd4uPeDvCeHj1rLHnq1UCfnnIknp7eZmCcqR7PONjsCDTzbwm_SZQLwpS7UMBd-HsqQGAiYmE7NbYeVpTRoIH5OG6pyh_nQh2chqRW9sTQvRrQQr-JJZIev8mEFzT1vB1COfl0WA-B7uawR8o3Rr5EAO9E6vQ6KjJWT7xyk52jDpz2-fCuVgdEkZ_tYic-5vU9hbCL2YiJSVn-Usg1pzXcV-8aGKYWVW9GqB1Nrbf3mDgbEMe8D9oD6NEc58JDxCIKe2U3Uv6s5MWySAu0_-0oS3infAuv6N3Ynd-RHDIAWtLascKLyFPuezFU8YCjT3SbohHtCVf8YVmvEQGvV7_nJr9wpjzc1VLduHzMGRV-dz_2TbY9WGU0jJYlBvnxPdV-kJUucYtHDaotOchT7MHMbLgsR_RYbYP6cZibTjYthlW_bgumuTjI9lAz4Rl6tMBtAJah47zUHx3MRiK7yNTpcgdPnliKQAaEfpFl9as1g_oUxpNIe_k9bYgCa0370frDgYPidQFShU8KjUOeNCiE6CPi9uPAskeYFenqm5ex5rwU6Y-cx"}, {"type": "function_call", "name": "read_file", "arguments": "{\"file_path\":\"/plan.md\",\"offset\":0,\"limit\":120}", "call_id": "call_oWE37QJHGxgxLf60pQE9gowx", "id": "fc_056e22f37fd5bd59006ab5a2ce219487d2ac74d87b607d47b2", "index": 1}]
{"name": "read_file", "args": {"file_path": "/plan.md", "offset": 0, "limit": 120}, "id": "call_oWE37QJHGxgxLf60pQE9gowx", "type": "tool_call"}</t>
  </si>
  <si>
    <t>01a0d583-f678-7922-847b-f43479e3b0bf</t>
  </si>
  <si>
    <t>R14</t>
  </si>
  <si>
    <t>01a0d583-f67d-7b51-b98b-08cad4300923</t>
  </si>
  <si>
    <t>[{"id": "rs_0989f03f512dd120006ab5a2cf239487d2aaedb0feeee04e8e", "summary": [], "type": "reasoning", "content": [], "index": 0, "encrypted_content": "gAAAAABqtaLPoOCPKEhJzY4PFlDCREYoG7rIWeV0W8ScidsGaykcBmg1EaSyYYuOuOBoK_4QnBxaqBuMGt2RRlkRBU4Njnt4e-su82MDTxeMjnvuQeRnBDL1o3A3gwrhkGhbwPBqRfs514-1TsNv9g54HfxEiPPrbr53oiRo7-lVvyVW0n5UnXuUZCwral1w00wS1osU3Sd-A5UMr_aZy4vHy8wXHKzXc0QCkKtzy3_0RbDtgtZRGccJL_RdbV2tVnxJnyMTyy8M0f5eb4JOPLIhs2C62dngwYh0pRumR59VjDuaOLLCeK7UtLzwdTw0q9yyoAQx01tOlTBN7D8iF2CNOl0Qdg-a8XCcY55PTn1l7Odiy1OCiwfLEtKgG1SPcR6piNDk3Tbqc5Gc3PKpbJDVrZlv-uA1iRl5BIk__QQAYwj9niU030t5SwTAnpMjax0FlfeSdJ-bkbnCUr4lhL7a0SeCWVyglKkKefpaY_bHm-avPpptq3Z3lGLBz3YQZxJLaP2RMz9GAMrRRZbKrZF_QMRtT1oJkRegjKH6tlYA1Ys-1_4f_ITPODGpmuinlqDS6Jy9C1Lt2wXemTZ6h2axXU8q9T8XxJjc3XiYHcUKB-MFhal-A56gVhxTgVCCBjvorYajLD8gmoSAL73hN3dhzhpWs0LCkdCJozsW6q4-ZpaiWSU-kr_2EWZm4g1iHmXejlH8XGs64wPfbM8ZSbDaetMPfUCEK8drmKHyRk1m4gkh5zIJFMcQnE8do82fl3JvqsbdFDY_6kBKFMvcKkb8ioz7Jjy-r_ZhxxeFDEkCq5_nMlkMB6AsOCNMAT7NgCllF-4lWWNIE2xSqun5NPwnhDqeJaHniCe15nrWTHuG9ZG7KsbCqcyaJ-dbjv-uf8zvwvLEqPUlT7eorNTpIHlEiEVJK7eaPJvOJwexrE5aBlT_aNrMTcmwIovOlPbF11lRBd0kfwVT8gGro0T1lFANvf92EjolObAboQUpFI1ksjo7R7KIK1_NO1nZcKLzqAvLD_6NN04VnGpQgjnXwTX2SiTYYRZA-gt1ohcHbhnxmUW8QfCs3WxucV2201Fw4jl12yv72eqDRmM8oAxsefqNITbIfjp_u0tcQrLy_V1a6Pi731OErIK6V36bxhy3nr6uT8kF_IvvbxTbhq83598O0YZAoZ3yhCBqINz3ylol1hvf95hmEB_5JHTlU7zX4FyeTeBqm_BHtIlD3dYEmGeRXDi1AGMEMeIQaFl__6aEPRkBO1fY2oWMf6rvEsngKbYJLP0_w1uIMf6JRwydJiPcBIR-1SadgNui3Ke5rpAjRsEsbHVDpKBJiBQgtO1KMmmTZb__ikA63XTkfLnZSdihcwoVn9eUTticAZnsP5Cy9C1VxebJaI4llXQrsiMQCgRA6a8egIPALMEEntIA_k6KP6ZxgqabH-eicc2S7-ANLDIxCfPxVD64zm5e7iLEV1YtMhU8Cp2SNORDVlWEh1e_xFNowPPhaKJi07h5U2xBjMBt-l-EdnjWn4lNY8Y175t_95GHzGpiGy2jDorxisFSo6OkGk8dbX_TVK9_Hd-nvF2RuuEzAquYpG1ivY9RFCLRrZK8MSO7RLZvCL8Q0tCicmazvVOZKL5rAMtTiHbVRGanUzMFqCs="}, {"type": "text", "text": "## SESSION INTENT\n\nBuild and maintain a small, deterministic, service-independent Python `slugify` function with a documented contract and comprehensive behavioral tests. Tests must be written but not run by this workflow.\n\n## SUMMARY\n\n- Public API: `slugify`, imported from `slug`.\n- Contract:\n  - Accept strings and return lowercase, URL/path-safe ASCII slugs.\n  - Apply Unicode NFKD normalization and preserve decomposable ASCII alphanumeric characters.\n  - Convert runs of whitespace and punctuation/symbols into one hyphen.\n  - Remove leading/trailing hyphens.\n  - Discard unsupported or non-decomposing characters.\n  - Return `\"\"` for empty, whitespace-only, punctuation-only, combining-mark-only, or fully filtered input.\n  - Raise `TypeError` for non-string values; do not coerce them.\n  - Use only the Python standard library; no services, network, filesystem state, hidden state, or third-party dependencies.\n- `/plan.md` is the coordination record and restricts implementation work to `/slug.py` and `/test_slug.py`.\n- `/slug.py` was previously completed and independently approved under SLUG-001. It implements deterministic NFKD normalization, ASCII alphanumeric filtering, delayed separator collapsing/trimming, empty-result handling, and explicit `TypeError`.\n- `/test_slug.py` was previously approved under SLUG-002 and SLUG-003. It already covered ordinary slugs, public API import, whitespace/punctuation collapsing, accents, repeated/boundary separators, empty inputs, invalid types, combining marks, mixed separator runs, unsupported Unicode, digits, and empty output after filtering.\n- SLUG-004 was assigned to modify only `/test_slug.py`. The worker preserved all prior tests and added:\n  - `test_mixed_case_accents_and_digits_share_normalized_boundaries`\n    - Verifies `\"  -- \u00c9xAMPLe... 007 -- \"` becomes `\"example-007\"`.\n  - `test_unsupported_letters_are_discarded_without_new_separators`\n    - Verifies `\"left\u6f22\u5b57right\"` becomes `\"leftright\"`.\n- Independent review of SLUG-004 approved the changes. Review confirmed:\n  - Existing tests were preserved.\n  - Added tests cover meaningful public behavioral boundaries.\n  - Assertions use the public `slugify` import and deterministic `unittest`.\n  - No implementation-detail, external-resource, filesystem, network, or service dependencies exist.\n  - Only `/test_slug.py` was changed for the task.\n- SLUG-004 approval has been supplied in a `record_approved_step` operation with the reviewer evidence.\n- Tests have not been executed and must remain unexecuted by this workflow.\n\n## ARTIFACTS\n\n- `/plan.md`\n  - Contains the slugify contract and task history for SLUG-001 through SLUG-004.\n  - SLUG-001, SLUG-002, and SLUG-003 are marked complete.\n  - SLUG-004 is still recorded as `pending` and needs planner closeout/status update with the approved review evidence.\n- `/slug.py`\n  - Completed and independently approved.\n  - Implements the standard-library-only `slugify` function.\n  - No changes made during SLUG-004.\n- `/test_slug.py`\n  - Contains 13 behavioral tests using `unittest` and `from slug import slugify`.\n  - Retains all prior approved tests.\n  - Adds the two SLUG-004 tests for mixed-case/accented/digit normalization and unsupported-character removal.\n  - Independent review approved the current contents.\n  - Tests were not run.\n\n## NEXT STEPS\n\n1. Update `/plan.md` to mark SLUG-004 complete, including concrete evidence that:\n   - Only `/test_slug.py` was modified.\n   - The two focused tests were added while prior coverage was preserved.\n   - Independent review approved the file.\n   - Tests were not run.\n2. Do not run the test suite.\n3. Confirm the final plan and artifact state if needed; no further source changes are required unless the planner identifies a documentation inconsistency.", "phase": "final_answer", "index": 1, "id": "msg_0989f03f512dd120006ab5a2cfc66487d2af8ddc14f8cefec2"}]</t>
  </si>
  <si>
    <t>R15</t>
  </si>
  <si>
    <t>01a0d584-1289-7c23-8d3b-26d94fa78fd3</t>
  </si>
  <si>
    <t>[{"id": "rs_056e22f37fd5bd59006ab5a2d655e887d28cded3ef4a92e880", "summary": [], "type": "reasoning", "content": [], "index": 0, "encrypted_content": "gAAAAABqtaLWD3aJ1bxYV9IvEUT-_PdKAObqM01DpSQhkV5Fwgj31svlgQitPrbx-M973KvwSbdUVEQUJ0o9m0Neh8YkHwkrGqs56trLf7fHRPT934qPe0zVBIVYV9WeKFl_Fcu5dZftkG4yqkU0lqY4DXw-TwF5AXPkJWJq2nTgIkP5W3YXZDP58Q6vvfCR01t4ETcd1daMdPh0207if6XjYx0JcdGeY7-6nifHwTvBEj21hn4tvLE5uoleZMAza2DAx-oOIY4CMwYsS61H-RgPrnGrnIxxSQGuk4ItoNjz4QEZ6vFzCNnibMhQwNXxfYbdIrtjGSccP-xUIz1gR103OhWM_9DE4uuZP4J8YSvb8DDMq4g4ExIzjE0NuLSIA8PfA8teoiaI-FY2ZgPzAHTKgR3hT24OFeTKDpX85-HMx9cTOf4rA78zpWarjf2MELnOeKmaYQ1RAE1kwfib0d9pBD8FhFui4FHt2mjbQ0CDrMhBFtC385G0RT6mL5srcZZM4unL-Qp6hG4S4mSZuZC6Qx3eaeU1jvcVZv9j4OD2wOhbWBOzIGsPUTMnAjQ_3bTeiOYhseYvTfSfh3gg-kOdzxre77KuXJ12TlHV1AQNBfC0pR6cRZ2wh-_qBKvN9j1xKYZVT95_3eZ4qn-sZ3pXb0-bIppmzwf0nvqMzUCXxrOZ6J53vr2uS6wvWzJswNDqrD8EY7nk-m34HXFLe8xT1irZZ-h1TpSP9WAKmIPGxkWpWM8UlAJQGQDndykdWhuf8ZPilFxKOhG-CHbn0nCOPlbxYQfoSzdxpz3N482PrKK3D_Xtd95qx4HEEzj3AFqxb3xslu0kdYX7Gtbsq8MFi_fHfTgZzUcyv2vpo4ufdKhfSHblAAx6Epnwyzrf_w56uD2jwmthkAoUaQD8q3QwV3cDCcv7MS7qGgeB2NcZPP1bkZcORUWDUGOh0LwORzbvACIT0_PQwajA3MECmcP7woea7BkQHP40TYzfFgg_MqaWzgnhMddrayqV7114u7-Mxmyrwqs6kjx-waRZ3Wo4OAd7uo4pHkjBJb92_eNVRL_9-v0GA7Cci9Sjk7dJK9OTbaRj2HVnaEe5TTJywT_4PPnz4jLm9z1DZXWeZ6ovkqGAeacu-llEOXvA15T6EygnVVF_aU_EDslUO2UwGDFrt70lD8WamDEAulKcgiVCBoRFHIJK3z-JHmW8SZTqZ4IE0kO_TKBWdZ10AaY7-Lk5e8lLeXRcbI5kiLgZmQXtG-FWvCyhjnQ="}, {"type": "function_call", "name": "edit_file", "arguments": "{\"file_path\":\"/plan.md\",\"old_string\":\"## SLUG-004 \u2014 Further strengthen boundary tests in `/test_slug.py`\\nStatus: pending\\nAssigned: worker\\nEvidence: None yet. Independent review and planner closeout are required after the worker's test changes; tests are written but not run.\",\"new_string\":\"## SLUG-004 \u2014 Further strengthen boundary tests in `/test_slug.py`\\nStatus: complete\\nAssigned: worker\\nEvidence: Independent reviewer approved the current `/test_slug.py`. The file preserves prior approved coverage and adds focused public-behavior tests for mixed-case accented text with digits and boundaries (`test_mixed_case_accents_and_digits_share_normalized_boundaries`) and unsupported non-decomposing characters discarded without introducing separators (`test_unsupported_letters_are_discarded_without_new_separators`). Review confirmed coverage of the requested empty/whitespace, punctuation/separator, normalization, filtering, digit, unsupported-Unicode, and non-string boundaries, with deterministic standard-library-only assertions and no implementation-detail or external-resource dependencies. Only `/test_slug.py` was changed for this task. Tests were written but not run, so execution remains unverified.\" , \"replace_all\":false}", "call_id": "call_wbNfPfVjwapIoTwABctg6nrG", "id": "fc_056e22f37fd5bd59006ab5a2d6950487d298c027fd8812933d", "index": 1}]
{"name": "edit_file", "args": {"file_path": "/plan.md", "old_string": "## SLUG-004 \u2014 Further strengthen boundary tests in `/test_slug.py`\nStatus: pending\nAssigned: worker\nEvidence: None yet. Independent review and planner closeout are required after the worker's test changes; tests are written but not run.", "new_string": "## SLUG-004 \u2014 Further strengthen boundary tests in `/test_slug.py`\nStatus: complete\nAssigned: worker\nEvidence: Independent reviewer approved the current `/test_slug.py`. The file preserves prior approved coverage and adds focused public-behavior tests for mixed-case accented text with digits and boundaries (`test_mixed_case_accents_and_digits_share_normalized_boundaries`) and unsupported non-decomposing characters discarded without introducing separators (`test_unsupported_letters_are_discarded_without_new_separators`). Review confirmed coverage of the requested empty/whitespace, punctuation/separator, normalization, filtering, digit, unsupported-Unicode, and non-string boundaries, with deterministic standard-library-only assertions and no implementation-detail or external-resource dependencies. Only `/test_slug.py` was changed for this task. Tests were written but not run, so execution remains unverified.", "replace_all": false}, "id": "call_wbNfPfVjwapIoTwABctg6nrG", "type": "tool_call"}</t>
  </si>
  <si>
    <t>01a0d584-1f8b-7bc3-902d-e470a73f4fe0</t>
  </si>
  <si>
    <t>{'file_path': '/plan.md', 'old_string': "## SLUG-004 — Further strengthen boundary tests in `/test_slug.py`\nStatus: pending\nAssigned: worker\nEvidence: None yet. Independent review and planner closeout are required after the worker's test changes; tests are written but not run.", 'new_string': '## SLUG-004 — Further strengthen boundary tests in `/test_slug.py`\nStatus: complete\nAssigned: worker\nEvidence: Independent reviewer approved the current `/test_slug.py`. The file preserves prior approved coverage and adds focused public-behavior tests for mixed-case accented text with digits and boundaries (`test_mixed_case_accents_and_digits_share_normalized_boundaries`) and unsupported non-decomposing characters discarded without introducing separators (`test_unsupported_letters_are_discarded_without_new_separators`). Review confirmed coverage of the requested empty/whitespace, punctuation/separator, normalization, filtering, digit, unsupported-Unicode, and non-string boundaries, with deterministic standard-library-only assertions and no implementation-detail or external-resource dependencies. Only `/test_slug.py` was changed for this task. Tests were written but not run, so execution remains unverified.', 'replace_all': False}</t>
  </si>
  <si>
    <t>R16</t>
  </si>
  <si>
    <t>01a0d584-1f90-7941-aa64-e33158391812</t>
  </si>
  <si>
    <t>[{"id": "rs_056e22f37fd5bd59006ab5a2da077487d2b444ea859f43fed1", "summary": [], "type": "reasoning", "content": [], "index": 0, "encrypted_content": "gAAAAABqtaLaVQvQFSx6AweRO4qbEfRwycTO2vW-RK9Mo9O2M7JMOGn2gIRlWSqoItn3RF_KYLGnK4KzSCHe7YSzi8ivGmZAnIonTE6OVJBUT1c0783rRQqMmo61Bl6kP6ViCJLKazorKo8BhfbPare-4syDQcqPHrjCNNkzcry20Rciy3as_-d1kburg_8XmKkiwck3sBZqn7dFBDHbaTd5zoXInqFRrgPDGzUrGWoXhciYl5TGuxanXUX58UbH7z0GeYQgQ6Faqk_VeQox5uq4lWmxsL3Zmi0fQglZHK7vbw0cwHXAAPl95lb8D8Okw7RpRgf3OJaiuSSX962qSh4V9FVeAQmOnT4swcxJQT9ITMQSFYtI9Ty3sDIC1lAqAL9cu1pnU9gVHbsRZIzG4_LH-iKloyYx-aRRHZCBh354KTOo2lE0yIOew8ADLDJSFEIIWhDwzP6jUnMKGympcfWs6Dg2IuYlc-GFnENcME8gPLcwol0RHiIEmFuOpNgfN1rAeAzfGPdhRtvUYc8p6b57IA8C_JVRiOL4vO48J9bJVXM9E05T-OEmfHbBNmVxFO1bxedtdVfF9hmTzeZ94BywQqlI5LfZAZD4MHRDgi41WiSVhJZO3Q6fkFwqEMndz8RhzFrPS9EELyKkiTXDAfRXAWi08t6AdU12CgEHj_37ngQ9mtajCFKKTJt3FfEcudzKjGXnCTzHi5WUZ9q27AcPkJzgvCDVOOvj_AWZpMLk81E8iwMLuHNUv0epvqtA6pePRA5W4d97d7SZTSzhP6P7CHUYOsF6u42CTTgtpacMuEyIN8Y2ncd3SUJHodiKMurAAgpdVtfU_vukpc1cuJtgVnOaqyraH66B-MY3E4yWblctS4OmT2UhNROQrpj8pHrkXnRG8RAYjrFb9VkbR7UwxJWOS8wOM91fM1xGuQpg8__2HYz2PhYAHaTvG6cYP2l9Dkho-EqTrMzZPY4R2dcquJA-ngv8HhP2tP1DmqdNIpDI_MaLJgN0-IZ0_xiC69fHtJDDG---d7Pym2iCL1zvjUIQmnvm0mi7s7AmRK2zOQb3-Pe88f-fvHL4QvGp4DhTj4V3e4PrszgLxdSEEyWcUmi_pKuv6J6oV7W45RLsSvzLuCK0DuzVXnYHeeHTWKopUcdhSpWYkyiCipt7xl1CO48qFQizUCWBhSBCoynD3oOLZnVba6Pku26ixtU_AV7_3_RVaM_H"}, {"type": "function_call", "name": "read_file", "arguments": "{\"file_path\":\"/plan.md\",\"offset\":0,\"limit\":120}", "call_id": "call_WAFNc8Ahfug0rvchlKQZ9HcJ", "id": "fc_056e22f37fd5bd59006ab5a2da313487d28fff1df240688605", "index": 1}]
{"name": "read_file", "args": {"file_path": "/plan.md", "offset": 0, "limit": 120}, "id": "call_WAFNc8Ahfug0rvchlKQZ9HcJ", "type": "tool_call"}</t>
  </si>
  <si>
    <t>01a0d584-2589-73c3-9533-d74d8e2ffe5f</t>
  </si>
  <si>
    <t>@@ lines 1-80 of 80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complete
Assigned: worker
Evidence: Independent reviewer approved the implementation. `/slug.py` exports deterministic standard-library-only `slugify`, handles NFKD normalization, ASCII alphanumeric output, delayed separator collapsing, trimming, empty results, and `TypeError` for non-strings. Tests were not run.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complete
Assigned: worker
Evidence: Independent reviewer approved `/test_slug.py`. The tests import the public `slugify` from `slug` and cover ordinary input, whitespace and punctuation collapsing, accented Unicode normalization, repeated and boundary separators, empty and punctuation-only input, and non-string values raising `TypeError`. Assertions use deterministic standard-library `unittest` behavior checks without service or filesystem dependencies. Tests were not run, so execution remains unverified.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 SLUG-003 — Strengthen boundary tests in `/test_slug.py`
Status: complete
Assigned: worker
Evidence: Independent reviewer approved `/test_slug.py`. The file retains the previously approved ordinary, normalization, separator, empty-input, and invalid-type tests and adds focused coverage for whitespace/symbol/combining-mark-only inputs (`test_whitespace_symbols_and_combining_marks_only_return_empty`), mixed separator runs with separators at both boundaries (`test_long_mixed_separator_runs_and_boundaries_collapse`), non-decomposing Unicode and unsupported characters (`test_non_decomposing_unicode_is_discarded`), digit and alphanumeric preservation (`test_digits_and_alphanumeric_text_are_preserved`), and filtering to empty output (`test_filtering_allows_empty_output_between_separators`). Assertions target the public `slugify` function and deterministic contract results, use only `unittest`, and do not inspect implementation details or external resources. Source inspection indicates the acceptance criteria are met; tests were not run, so execution remains unverified as required by the workflow.
Implementation steps:
1. Read the current `/test_slug.py` and `/slug.py` before editing, then preserve the existing approved coverage while adding only boundary-focused behavioral tests.
2. Add deterministic tests for whitespace/symbol/combining-mark-only inputs, long mixed separator runs and separators at both boundaries, Unicode characters that do not decompose to ASCII, preservation of digits and alphanumeric text, and empty output after filtering; add further invalid-type coverage only where it strengthens the documented contract.
3. Use external-behavior assertions against the public `slugify` function, keeping tests standard-library-only and independent of filesystem, network, services, and implementation details.
Acceptance criteria:
- `/test_slug.py` retains all existing tests and adds readable regression coverage for the listed boundary cases.
- Expected results reflect the documented contract: lowercase ASCII alphanumerics, collapsed/trimmed hyphens, discarded unsupported characters, and `""` when no output characters remain.
- The added tests do not duplicate internal branches or depend on hidden state, and no tests are run by this workflow.
- The independent reviewer inspects the changed test file and either approves it or returns this task for repair; reviewer approval is required before this task is closed.
## SLUG-004 — Further strengthen boundary tests in `/test_slug.py`
Status: complete
Assigned: worker
Evidence: Independent reviewer approved the current `/test_slug.py`. The file preserves prior approved coverage and adds focused public-behavior tests for mixed-case accented text with digits and boundaries (`test_mixed_case_accents_and_digits_share_normalized_boundaries`) and unsupported non-decomposing characters discarded without introducing separators (`test_unsupported_letters_are_discarded_without_new_separators`). Review confirmed coverage of the requested empty/whitespace, punctuation/separator, normalization, filtering, digit, unsupported-Unicode, and non-string boundaries, with deterministic standard-library-only assertions and no implementation-detail or external-resource dependencies. Only `/test_slug.py` was changed for this task. Tests were written but not run, so execution remains unverified.
Implementation steps:
1. Read the current `/slug.py` and `/test_slug.py` before editing, preserving all previously approved tests and the documented contract.
2. Add only concrete behavioral regression cases that strengthen boundaries not already adequately distinguished, such as empty/whitespace-only values, punctuation and separator runs around text, mixed-case and accented text, unsupported non-decomposing Unicode, digits, and non-string inputs where useful.
3. Keep assertions against the public `slugify` import, readable and deterministic, using no services, filesystem state, network, or implementation-detail inspection.
Acceptance criteria:
- `/test_slug.py` retains existing coverage and adds focused boundary tests that can detect plausible regressions in trimming, collapsing, normalization, filtering, empty results, and type validation.
- Expected values match the established contract: lowercase ASCII alphanumerics, collapsed and trimmed hyphens, discarded unsupported characters, empty output when nothing remains, and `TypeError` for non-strings.
- Only `/test_slug.py` is changed for this task; tests are written but not run by this workflow.
- The independent reviewer must inspect the changed test file and either approve it or reject it with source-backed findings; reviewer approval is required before the planner records this task complete. Review and closeout are part of this task, not separate tasks.</t>
  </si>
  <si>
    <t>R17</t>
  </si>
  <si>
    <t>01a0d584-258c-71c0-b414-d7d0a6e600d5</t>
  </si>
  <si>
    <t>[{"id": "rs_056e22f37fd5bd59006ab5a2db7d5c87d29fc53ec3ded94bee", "summary": [], "type": "reasoning", "content": [], "index": 0, "encrypted_content": "gAAAAABqtaLbOAxwwkXmtYRrVpSkiW9WDesUXDKxdYNDNXuS3DJ0NlC53zYTNlh813J42XsqWAqGfgpIyoa16r4nVqHsWd7glYDnikzMhUDVGYHcXgYL2JSC-zvt_BSX3tj-C2mo8hYZUUARnNTH_ca4okXr4pXUlaXs3Wcrg3KXDIK8oesJku0CULmj9AmwIz4GDxEgvroC2KGKHcQzOaBRtW7IdOTh44tmvZ8VWzNxxxB7jpYE_ZqhixiEzpCtOCsqS9bM3D65AXFtGPe4p54XUYGjsE3PcdeApLqu9rmDTlweFKONFGmHUcKhBHlalKRelq5HT73qDjm85fIXw1KYhs1wr9pkwLJaGQIr5-CHoF1xQuHVrIdhUkT2iFxcTerhHMWFWdUZd_w06Aj2e8Zcot2L5UqOikLR9xQcLTGkUwy8gRZSh_aW3wvK6rimXZnLyiro1T6pUfZjEEw3sg_LnLwiroSqJEZoFUxyE4FyV8SbxD_giyiPcjs16uxjK3LO945fRzI5mTBCjO_sMgTdpWc2YRlt_Ljp301wEwYRZ5It_pIBwphLsvMNEfApNQs704vcpBOoXKnEleOyznLdh_CsGuWyZyj9Iqp7-EwaeY9n5HO-muAnodaSDlM7BLmhoTIJRMtQh777RAo5WFgkCKOr3kmRTgy3sRhCN3gPfESj7p0dcdolWE3PcuOYrU4urOEUSd-ZaVSzZ3yXhz-Llb1kotW1TGh4YlQDfILmuiSgFI2IxRE_ekWnSfH43V0itqb7F5nWJtfgfHY9Ky8557GKOObNE0XePYRuYHHKMfADopOgkpkUK44JbDoyE6UM-Zl-8hb9LNqxn6yw967QwXHPSe78p04UtmsVPJ58EFJaomq12D0Jd6yGUTXS5DJGc6qKhDziZWu6eCjoDcNhVXymPJvUfc-6lPkjcYqndF35NK_B6IRIEYTUxAqOIKP_CCv--IBUyTWGAOvaDS32mGDUGHL60Q_Yp6WuomIqaQEvHZt6GljSWu68OC0dk54MNoijGIde2or9Lsz2wIad-T1Pw4TA8rzauVLKN2Ybc7zde_j38m8NNvNd5xn6kTlbx15UC9BmOoX054toAjIApUXN0UBUfwCw288cIxU-lYPA-kXkPx7Fc8iCkLWmFICYy6tO9HvmPlHwNviTXBF_U61IPBoM89XDt_NawCQW6A5ZXH94N2OEbb-j4H70wjuqAhVJe-pviIgZ9s1suqGjXC_PnC9CYnXv0bmcA3cXxM0Bwa-PwJBENBVz0m7vWRZL--AocqL29n37XTiZt5jWuhMLRWof-xwarrhjCVyYjrDcl9rHuMv-WYvCcxVYtL2h728q2T2V7UT2_zKL_7G2ljf58YGpNg=="}, {"type": "text", "text": "{\"action\":\"finish\",\"task_id\":\"\",\"files\":[],\"message\":\"All planned tasks SLUG-001 through SLUG-004 are complete and independently approved. `/slug.py` implements the documented deterministic `slugify` contract, and `/test_slug.py` contains comprehensive behavioral coverage using the public API. Tests were written but not run, as required.\"}", "phase": "final_answer", "index": 1, "id": "msg_056e22f37fd5bd59006ab5a2dbce0087d2a2a01c175953f651"}]</t>
  </si>
  <si>
    <t>context_budget_workflow</t>
  </si>
  <si>
    <t>workflow</t>
  </si>
  <si>
    <t>Execute the context_budget_workflow workflow operation and pass its result to the next graph step.</t>
  </si>
  <si>
    <t>Subtree total</t>
  </si>
  <si>
    <t xml:space="preserve">    planning_step</t>
  </si>
  <si>
    <t>Execute the planning_step workflow operation and pass its result to the next graph step.</t>
  </si>
  <si>
    <t>01a0d583-45ed-7521-a754-ec4f599ec461</t>
  </si>
  <si>
    <t xml:space="preserve">        run</t>
  </si>
  <si>
    <t>Execute the run workflow operation and pass its result to the next graph step.</t>
  </si>
  <si>
    <t>01a0d583-45ee-7ed1-b203-11333d49f609</t>
  </si>
  <si>
    <t xml:space="preserve">            planner</t>
  </si>
  <si>
    <t>Execute the planner workflow operation and pass its result to the next graph step.</t>
  </si>
  <si>
    <t>01a0d583-45ee-7ed1-b203-11468fab8310</t>
  </si>
  <si>
    <t xml:space="preserve">                SummarizationMiddleware.before_model</t>
  </si>
  <si>
    <t>Execute the SummarizationMiddleware.before_model workflow operation and pass its result to the next graph step.</t>
  </si>
  <si>
    <t>01a0d583-45ef-70f1-99ef-226d2898fc49</t>
  </si>
  <si>
    <t>No model charge</t>
  </si>
  <si>
    <t xml:space="preserve">                model</t>
  </si>
  <si>
    <t>Prepare the current conversation, run model middleware, and invoke the chat model.</t>
  </si>
  <si>
    <t>01a0d583-45f0-7af2-b679-4efe56321249</t>
  </si>
  <si>
    <t xml:space="preserve">                    ChatOpenAI</t>
  </si>
  <si>
    <t>model</t>
  </si>
  <si>
    <t>Generate the next assistant message or tool request from the current conversation.</t>
  </si>
  <si>
    <t>Own call</t>
  </si>
  <si>
    <t xml:space="preserve">                tools</t>
  </si>
  <si>
    <t>Execute tool calls requested by the preceding model response and return their observations.</t>
  </si>
  <si>
    <t>01a0d583-4b42-7e22-803c-53271fdc73a4</t>
  </si>
  <si>
    <t xml:space="preserve">                    read_file</t>
  </si>
  <si>
    <t>tool</t>
  </si>
  <si>
    <t>Reads a file from the filesystem. Assume any path the user provides is valid; reading a missing file returns an error.
Usage:
- By default, it reads up to 100 lines starting from the beginning of the file. Use `offset`/`limit` to page through large files instead of reading them whole.
- A status header, `@@ field | field | ... @@`, sits above the file content, and every line after it is verbatim file content. When content is truncated, there may be an explanation before the header. Never include the header when editing.
- Speculatively batch multiple `read_file` calls in one response when several files may be useful.
- An empty file returns a system-reminder warning in place of contents.
- Large tool results may be offloaded to a file; the tool message gives the path. Read that path here, paging with `offset`/`limit`.
- Images (`.png`, `.jpg`, etc.), audio, video, and PDFs return multimodal content blocks (https://docs.langchain.com/oss/python/langchain/messages#multimodal).
- For images and PDFs, pagination via `offset`/`limit` is text-only - supply `file_path` only
- Always read a file before editing it.</t>
  </si>
  <si>
    <t>01a0d583-4b46-7630-a58b-1d4ee7683357</t>
  </si>
  <si>
    <t>01a0d583-4b47-7eb0-8eb2-5ee39c922967</t>
  </si>
  <si>
    <t xml:space="preserve">        dispatch</t>
  </si>
  <si>
    <t>Execute the dispatch workflow operation and pass its result to the next graph step.</t>
  </si>
  <si>
    <t>01a0d583-65fa-7f30-9cc7-983ce47f8bc3</t>
  </si>
  <si>
    <t xml:space="preserve">    finish</t>
  </si>
  <si>
    <t>Execute the finish workflow operation and pass its result to the next graph step.</t>
  </si>
  <si>
    <t>01a0d583-65fc-7193-a1fc-0eb9dd511de3</t>
  </si>
  <si>
    <t>01a0d583-6616-7222-aa76-32f11ca3ed8d</t>
  </si>
  <si>
    <t>01a0d583-6618-7683-8971-2534d9706060</t>
  </si>
  <si>
    <t>01a0d583-6619-7213-ac12-15da0ed281ec</t>
  </si>
  <si>
    <t>01a0d583-661a-7af1-9b13-9a9779fdb0ad</t>
  </si>
  <si>
    <t>01a0d583-661a-7af1-9b13-9aa6677b57a8</t>
  </si>
  <si>
    <t>01a0d583-661d-7402-ad42-02f5782b5a76</t>
  </si>
  <si>
    <t>01a0d583-7e07-7e53-8b1a-1c369e54bcf0</t>
  </si>
  <si>
    <t xml:space="preserve">                    edit_file</t>
  </si>
  <si>
    <t>Performs exact string replacements in files.
Usage:
- You must read the file before editing; this tool errors otherwise.
- Preserve the exact source indentation from the read output, and never include the read status header in old_string or new_string.
- Prefer editing an existing file over creating a new one.
- Only use emojis if the user explicitly requests it.</t>
  </si>
  <si>
    <t>01a0d583-7e0f-7f53-8188-e814b7559e6b</t>
  </si>
  <si>
    <t>01a0d583-7e11-77d3-914e-2d51f57fdd22</t>
  </si>
  <si>
    <t>01a0d583-838f-79a3-a46b-67073a77c7c5</t>
  </si>
  <si>
    <t>01a0d583-8393-7063-93af-13ddbf610806</t>
  </si>
  <si>
    <t>01a0d583-8395-72b0-8d11-de347c9d85f0</t>
  </si>
  <si>
    <t>01a0d583-8dfc-7351-b2a1-b8825968c220</t>
  </si>
  <si>
    <t xml:space="preserve">    working_step</t>
  </si>
  <si>
    <t>Execute the working_step workflow operation and pass its result to the next graph step.</t>
  </si>
  <si>
    <t>01a0d583-8e00-7e83-a3c2-ba5dff92bffa</t>
  </si>
  <si>
    <t>01a0d583-8e01-7e63-bdb7-801c14fee300</t>
  </si>
  <si>
    <t xml:space="preserve">            worker</t>
  </si>
  <si>
    <t>Execute the worker workflow operation and pass its result to the next graph step.</t>
  </si>
  <si>
    <t>01a0d583-8e03-7392-aefa-ff85b6f7486e</t>
  </si>
  <si>
    <t>01a0d583-8e05-7a22-87de-d5a799941507</t>
  </si>
  <si>
    <t>01a0d583-8e09-7792-878b-eace7af12d25</t>
  </si>
  <si>
    <t>01a0d583-9466-7001-ad1e-c4b918c40d6f</t>
  </si>
  <si>
    <t>01a0d583-9466-7001-ad1e-c4c9fc541c04</t>
  </si>
  <si>
    <t>01a0d583-9466-7001-ad1e-c4d091057d6d</t>
  </si>
  <si>
    <t>Compaction completed | Context before: 10,382 tokens | History after: 7,085 tokens | Trigger: 8,500 context tokens | Retention target: 900 tokens</t>
  </si>
  <si>
    <t>01a0d583-946c-7693-86fd-63cc68967b6e</t>
  </si>
  <si>
    <t xml:space="preserve">                    context_summarizer</t>
  </si>
  <si>
    <t>Execute the context_summarizer workflow operation and pass its result to the next graph step.</t>
  </si>
  <si>
    <t>01a0d583-946e-7eb3-8ad6-5730dc828d7b</t>
  </si>
  <si>
    <t xml:space="preserve">                        context_summarizer</t>
  </si>
  <si>
    <t>01a0d583-b0b9-72c2-8d1d-6739e35d0775</t>
  </si>
  <si>
    <t>01a0d583-ca1b-7270-a776-ecda69e16e94</t>
  </si>
  <si>
    <t>01a0d583-ca1f-7a21-bd8e-3a97df89d478</t>
  </si>
  <si>
    <t>01a0d583-ca20-7501-8791-44a707eef3df</t>
  </si>
  <si>
    <t>01a0d583-ce72-7812-bd2a-320ca6e8d2b8</t>
  </si>
  <si>
    <t>01a0d583-ce76-75f3-afb6-801e6ed92c69</t>
  </si>
  <si>
    <t>01a0d583-ce78-7ae2-a5c3-f406c4256218</t>
  </si>
  <si>
    <t xml:space="preserve">    review_step</t>
  </si>
  <si>
    <t>Execute the review_step workflow operation and pass its result to the next graph step.</t>
  </si>
  <si>
    <t>01a0d583-d98d-7023-917a-28f1ebcd0b91</t>
  </si>
  <si>
    <t>01a0d583-d98e-7ec1-9a5f-acc6dcc07d96</t>
  </si>
  <si>
    <t xml:space="preserve">            isolated-reviewer</t>
  </si>
  <si>
    <t>Execute the isolated-reviewer workflow operation and pass its result to the next graph step.</t>
  </si>
  <si>
    <t>01a0d583-d98e-7ec1-9a5f-acd24a932783</t>
  </si>
  <si>
    <t>01a0d583-d98f-7981-8f05-2cffc410516f</t>
  </si>
  <si>
    <t>01a0d583-df27-77c3-b016-10db223cf5f8</t>
  </si>
  <si>
    <t>01a0d583-df27-77c3-b016-10e704917116</t>
  </si>
  <si>
    <t>01a0d583-df27-77c3-b016-10f9564b3ff0</t>
  </si>
  <si>
    <t>01a0d583-df5d-74f2-a39e-069d5a493d0c</t>
  </si>
  <si>
    <t xml:space="preserve">        assess</t>
  </si>
  <si>
    <t>Execute the assess workflow operation and pass its result to the next graph step.</t>
  </si>
  <si>
    <t>01a0d583-f07f-7911-b0a5-1aef401e479b</t>
  </si>
  <si>
    <t xml:space="preserve">    plan_update_step</t>
  </si>
  <si>
    <t>Execute the plan_update_step workflow operation and pass its result to the next graph step.</t>
  </si>
  <si>
    <t>01a0d583-f080-7511-8b0c-ee1216a51f84</t>
  </si>
  <si>
    <t>01a0d583-f081-7101-bbc3-766804e194d6</t>
  </si>
  <si>
    <t>01a0d583-f081-7101-bbc3-767cf8b95dba</t>
  </si>
  <si>
    <t>01a0d583-f082-79d0-a09c-12cc46f65ffc</t>
  </si>
  <si>
    <t>01a0d583-f083-7632-8ed9-ef980f5af08b</t>
  </si>
  <si>
    <t>01a0d583-f677-7610-aeb1-f42e0e7721a5</t>
  </si>
  <si>
    <t>Compaction completed | Context before: 10,231 tokens | History after: 6,238 tokens | Trigger: 8,500 context tokens | Retention target: 900 tokens</t>
  </si>
  <si>
    <t>01a0d583-f67b-7a20-a067-1eb01c8be6f5</t>
  </si>
  <si>
    <t>01a0d583-f67c-7810-8c45-1b6124e60790</t>
  </si>
  <si>
    <t>01a0d584-1287-7672-b1e2-6c3212f8b3b6</t>
  </si>
  <si>
    <t>01a0d584-1f8a-7512-bb8c-7e39d6a26c60</t>
  </si>
  <si>
    <t>01a0d584-1f8e-7153-bdb0-0545782e479c</t>
  </si>
  <si>
    <t>01a0d584-1f8f-73e1-b6bf-70d57c7470db</t>
  </si>
  <si>
    <t>01a0d584-2588-73d3-89cd-36fe441c50b2</t>
  </si>
  <si>
    <t>01a0d584-258a-7783-a46c-e6e8c36a61bf</t>
  </si>
  <si>
    <t>01a0d584-258b-7692-91fa-93ceb0343670</t>
  </si>
  <si>
    <t>01a0d584-2d87-79a0-af3e-df28e65bcc08</t>
  </si>
  <si>
    <t>01a0d584-2d89-7fd3-8abc-7f7878291ce8</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</si>
</sst>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270"/>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33,'Turns'!E47,'Turns'!E63,'Turns'!E79,'Turns'!E93,'Turns'!E115,'Turns'!E128,'Turns'!E144,'Turns'!E160,'Turns'!E173,'Turns'!E195,'Turns'!E209,'Turns'!E225,'Turns'!E238,'Turns'!E254,'Turns'!E270)=17,SUM('Turns'!E17,'Turns'!E33,'Turns'!E47,'Turns'!E63,'Turns'!E79,'Turns'!E93,'Turns'!E115,'Turns'!E128,'Turns'!E144,'Turns'!E160,'Turns'!E173,'Turns'!E195,'Turns'!E209,'Turns'!E225,'Turns'!E238,'Turns'!E254,'Turns'!E270),"Unknown")</f>
        <v>0.016710397378</v>
      </c>
      <c r="F2" s="2">
        <f>IF(COUNT('Turns'!F17,'Turns'!F33,'Turns'!F47,'Turns'!F63,'Turns'!F79,'Turns'!F93,'Turns'!F115,'Turns'!F128,'Turns'!F144,'Turns'!F160,'Turns'!F173,'Turns'!F195,'Turns'!F209,'Turns'!F225,'Turns'!F238,'Turns'!F254,'Turns'!F270)=17,SUM('Turns'!F17,'Turns'!F33,'Turns'!F47,'Turns'!F63,'Turns'!F79,'Turns'!F93,'Turns'!F115,'Turns'!F128,'Turns'!F144,'Turns'!F160,'Turns'!F173,'Turns'!F195,'Turns'!F209,'Turns'!F225,'Turns'!F238,'Turns'!F254,'Turns'!F270),"Unknown")</f>
        <v>0.0189947</v>
      </c>
      <c r="G2" s="5">
        <f>IF(ISNUMBER(E2),ROUND(E2*'Reference data'!$B$2,0),"Unknown")</f>
        <v>1671.0</v>
      </c>
      <c r="H2" s="5">
        <f>IF(ISNUMBER(F2),ROUND(F2*'Reference data'!$B$2,0),"Unknown")</f>
        <v>1899.0</v>
      </c>
    </row>
    <row r="3" spans="1:13" s="4" customFormat="1" ht="24" customHeight="1">
      <c r="B3" s="4">
        <v>1</v>
      </c>
      <c r="C3" s="4" t="s">
        <v>92</v>
      </c>
      <c r="E3" s="2">
        <f>IF(COUNT('Turns'!E17,'Turns'!E33)=2,SUM('Turns'!E17,'Turns'!E33),"Unknown")</f>
        <v>0.0016608875382</v>
      </c>
      <c r="F3" s="2">
        <f>IF(COUNT('Turns'!F17,'Turns'!F33)=2,SUM('Turns'!F17,'Turns'!F33),"Unknown")</f>
        <v>0.00188793</v>
      </c>
      <c r="G3" s="5">
        <f>IF(ISNUMBER(E3),ROUND(E3*'Reference data'!$B$2,0),"Unknown")</f>
        <v>166.0</v>
      </c>
      <c r="H3" s="5">
        <f>IF(ISNUMBER(F3),ROUND(F3*'Reference data'!$B$2,0),"Unknown")</f>
        <v>189.0</v>
      </c>
    </row>
    <row r="4" spans="1:13" s="4" customFormat="1" ht="24" customHeight="1">
      <c r="A4" s="4" t="s">
        <v>93</v>
      </c>
      <c r="B4" s="4">
        <v>1</v>
      </c>
      <c r="C4" s="4" t="s">
        <v>94</v>
      </c>
      <c r="D4" s="4">
        <v>3107</v>
      </c>
      <c r="J4" s="4" t="s">
        <v>95</v>
      </c>
      <c r="M4" s="4" t="s">
        <v>96</v>
      </c>
    </row>
    <row r="5" spans="1:13" ht="24" customHeight="1">
      <c r="A5" t="s">
        <v>93</v>
      </c>
      <c r="B5">
        <v>1</v>
      </c>
      <c r="C5" t="s">
        <v>97</v>
      </c>
      <c r="D5" s="5">
        <v>3</v>
      </c>
      <c r="E5" s="2">
        <f>IF(AND(ISNUMBER(F5),ISNUMBER('Reference data'!$B$3)),F5*'Reference data'!$B$3,"Unknown")</f>
        <v>5.27844e-07</v>
      </c>
      <c r="F5" s="2">
        <f>IF(D5=0,0,IF(ISNUMBER('Reference data'!B17),D5*'Reference data'!B17/1000000,"Unknown"))</f>
        <v>6e-07</v>
      </c>
      <c r="G5" s="5">
        <f>IF(ISNUMBER(E5),ROUND(E5*'Reference data'!$B$2,0),"Unknown")</f>
        <v>0.0</v>
      </c>
      <c r="H5" s="5">
        <f>IF(ISNUMBER(F5),ROUND(F5*'Reference data'!$B$2,0),"Unknown")</f>
        <v>0.0</v>
      </c>
    </row>
    <row r="6" spans="1:13" ht="24" customHeight="1">
      <c r="A6" t="s">
        <v>93</v>
      </c>
      <c r="B6">
        <v>1</v>
      </c>
      <c r="C6" t="s">
        <v>98</v>
      </c>
    </row>
    <row r="7" spans="1:13" ht="409" customHeight="1">
      <c r="A7" t="s">
        <v>93</v>
      </c>
      <c r="B7">
        <v>1</v>
      </c>
      <c r="C7" t="s">
        <v>99</v>
      </c>
      <c r="I7" s="6" t="s">
        <v>100</v>
      </c>
    </row>
    <row r="8" spans="1:13" ht="34" customHeight="1">
      <c r="A8" t="s">
        <v>93</v>
      </c>
      <c r="B8">
        <v>1</v>
      </c>
      <c r="C8" t="s">
        <v>101</v>
      </c>
      <c r="I8" s="6" t="s">
        <v>102</v>
      </c>
    </row>
    <row r="9" spans="1:13" ht="24" customHeight="1">
      <c r="A9" t="s">
        <v>93</v>
      </c>
      <c r="B9">
        <v>1</v>
      </c>
      <c r="C9" t="s">
        <v>103</v>
      </c>
      <c r="D9" s="5">
        <v>3104</v>
      </c>
      <c r="E9" s="2">
        <f>IF(AND(ISNUMBER(F9),ISNUMBER('Reference data'!$B$3)),F9*'Reference data'!$B$3,"Unknown")</f>
        <v>0.00068267824</v>
      </c>
      <c r="F9" s="2">
        <f>IF(D9=0,0,IF(ISNUMBER('Reference data'!D17),D9*'Reference data'!D17/1000000,"Unknown"))</f>
        <v>0.000776</v>
      </c>
      <c r="G9" s="5">
        <f>IF(ISNUMBER(E9),ROUND(E9*'Reference data'!$B$2,0),"Unknown")</f>
        <v>68.0</v>
      </c>
      <c r="H9" s="5">
        <f>IF(ISNUMBER(F9),ROUND(F9*'Reference data'!$B$2,0),"Unknown")</f>
        <v>78.0</v>
      </c>
    </row>
    <row r="10" spans="1:13" ht="24" customHeight="1">
      <c r="A10" t="s">
        <v>93</v>
      </c>
      <c r="B10">
        <v>1</v>
      </c>
      <c r="C10" t="s">
        <v>104</v>
      </c>
    </row>
    <row r="11" spans="1:13" s="4" customFormat="1" ht="24" customHeight="1">
      <c r="A11" s="4" t="s">
        <v>93</v>
      </c>
      <c r="B11" s="4">
        <v>1</v>
      </c>
      <c r="C11" s="4" t="s">
        <v>105</v>
      </c>
      <c r="D11" s="4">
        <v>55</v>
      </c>
    </row>
    <row r="12" spans="1:13" ht="24" customHeight="1">
      <c r="A12" t="s">
        <v>93</v>
      </c>
      <c r="B12">
        <v>1</v>
      </c>
      <c r="C12" t="s">
        <v>106</v>
      </c>
      <c r="D12" s="5">
        <v>24</v>
      </c>
      <c r="E12" s="2">
        <f>IF(AND(ISNUMBER(F12),ISNUMBER('Reference data'!$B$3)),F12*'Reference data'!$B$3,"Unknown")</f>
        <v>2.5336512e-05</v>
      </c>
      <c r="F12" s="2">
        <f>IF(D12=0,0,IF(ISNUMBER('Reference data'!F17),D12*'Reference data'!F17/1000000,"Unknown"))</f>
        <v>2.88e-05</v>
      </c>
      <c r="G12" s="5">
        <f>IF(ISNUMBER(E12),ROUND(E12*'Reference data'!$B$2,0),"Unknown")</f>
        <v>3.0</v>
      </c>
      <c r="H12" s="5">
        <f>IF(ISNUMBER(F12),ROUND(F12*'Reference data'!$B$2,0),"Unknown")</f>
        <v>3.0</v>
      </c>
    </row>
    <row r="13" spans="1:13" ht="24" customHeight="1">
      <c r="A13" t="s">
        <v>93</v>
      </c>
      <c r="B13">
        <v>1</v>
      </c>
      <c r="C13" t="s">
        <v>107</v>
      </c>
      <c r="D13" s="5">
        <v>31</v>
      </c>
      <c r="E13" s="2">
        <f>IF(AND(ISNUMBER(F13),ISNUMBER('Reference data'!$B$3)),F13*'Reference data'!$B$3,"Unknown")</f>
        <v>3.2726328e-05</v>
      </c>
      <c r="F13" s="2">
        <f>IF(D13=0,0,IF(ISNUMBER('Reference data'!E17),D13*'Reference data'!E17/1000000,"Unknown"))</f>
        <v>3.72e-05</v>
      </c>
      <c r="G13" s="5">
        <f>IF(ISNUMBER(E13),ROUND(E13*'Reference data'!$B$2,0),"Unknown")</f>
        <v>3.0</v>
      </c>
      <c r="H13" s="5">
        <f>IF(ISNUMBER(F13),ROUND(F13*'Reference data'!$B$2,0),"Unknown")</f>
        <v>4.0</v>
      </c>
    </row>
    <row r="14" spans="1:13" ht="294"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IF(COUNT('Turns'!E5,'Turns'!E9,'Turns'!E12,'Turns'!E13)=4,SUM('Turns'!E5,'Turns'!E9,'Turns'!E12,'Turns'!E13),"Unknown")</f>
        <v>0.000741268924</v>
      </c>
      <c r="F17" s="2">
        <f>IF(COUNT('Turns'!F5,'Turns'!F9,'Turns'!F12,'Turns'!F13)=4,SUM('Turns'!F5,'Turns'!F9,'Turns'!F12,'Turns'!F13),"Unknown")</f>
        <v>0.0008426</v>
      </c>
      <c r="G17" s="5">
        <f>IF(ISNUMBER(E17),ROUND(E17*'Reference data'!$B$2,0),"Unknown")</f>
        <v>74.0</v>
      </c>
      <c r="H17" s="5">
        <f>IF(ISNUMBER(F17),ROUND(F17*'Reference data'!$B$2,0),"Unknown")</f>
        <v>84.0</v>
      </c>
      <c r="K17" s="4" t="s">
        <v>111</v>
      </c>
    </row>
    <row r="18" spans="1:13" s="4" customFormat="1" ht="24" customHeight="1">
      <c r="B18" s="4">
        <v>1</v>
      </c>
      <c r="C18" s="4" t="s">
        <v>112</v>
      </c>
      <c r="K18" s="4" t="s">
        <v>111</v>
      </c>
      <c r="M18" s="4" t="s">
        <v>113</v>
      </c>
    </row>
    <row r="19" spans="1:13" ht="24" customHeight="1">
      <c r="B19">
        <v>1</v>
      </c>
      <c r="C19" t="s">
        <v>114</v>
      </c>
      <c r="I19" s="6" t="s">
        <v>115</v>
      </c>
    </row>
    <row r="20" spans="1:13" ht="409" customHeight="1">
      <c r="B20">
        <v>1</v>
      </c>
      <c r="C20" t="s">
        <v>116</v>
      </c>
      <c r="I20" s="6" t="s">
        <v>117</v>
      </c>
    </row>
    <row r="21" spans="1:13" s="4" customFormat="1" ht="24" customHeight="1">
      <c r="A21" s="4" t="s">
        <v>118</v>
      </c>
      <c r="B21" s="4">
        <v>1</v>
      </c>
      <c r="C21" s="4" t="s">
        <v>94</v>
      </c>
      <c r="D21" s="4">
        <v>4412</v>
      </c>
      <c r="J21" s="4" t="s">
        <v>95</v>
      </c>
      <c r="M21" s="4" t="s">
        <v>119</v>
      </c>
    </row>
    <row r="22" spans="1:13" ht="24" customHeight="1">
      <c r="A22" t="s">
        <v>118</v>
      </c>
      <c r="B22">
        <v>1</v>
      </c>
      <c r="C22" t="s">
        <v>120</v>
      </c>
      <c r="D22" s="5">
        <v>3104</v>
      </c>
      <c r="E22" s="2">
        <f>IF(AND(ISNUMBER(F22),ISNUMBER('Reference data'!$B$3)),F22*'Reference data'!$B$3,"Unknown")</f>
        <v>5.46142592e-05</v>
      </c>
      <c r="F22" s="2">
        <f>IF(D22=0,0,IF(ISNUMBER('Reference data'!C17),D22*'Reference data'!C17/1000000,"Unknown"))</f>
        <v>6.208e-05</v>
      </c>
      <c r="G22" s="5">
        <f>IF(ISNUMBER(E22),ROUND(E22*'Reference data'!$B$2,0),"Unknown")</f>
        <v>5.0</v>
      </c>
      <c r="H22" s="5">
        <f>IF(ISNUMBER(F22),ROUND(F22*'Reference data'!$B$2,0),"Unknown")</f>
        <v>6.0</v>
      </c>
    </row>
    <row r="23" spans="1:13" ht="24" customHeight="1">
      <c r="A23" t="s">
        <v>118</v>
      </c>
      <c r="B23">
        <v>1</v>
      </c>
      <c r="C23" t="s">
        <v>97</v>
      </c>
      <c r="D23" s="5">
        <v>3</v>
      </c>
      <c r="E23" s="2">
        <f>IF(AND(ISNUMBER(F23),ISNUMBER('Reference data'!$B$3)),F23*'Reference data'!$B$3,"Unknown")</f>
        <v>5.27844e-07</v>
      </c>
      <c r="F23" s="2">
        <f>IF(D23=0,0,IF(ISNUMBER('Reference data'!B17),D23*'Reference data'!B17/1000000,"Unknown"))</f>
        <v>6e-07</v>
      </c>
      <c r="G23" s="5">
        <f>IF(ISNUMBER(E23),ROUND(E23*'Reference data'!$B$2,0),"Unknown")</f>
        <v>0.0</v>
      </c>
      <c r="H23" s="5">
        <f>IF(ISNUMBER(F23),ROUND(F23*'Reference data'!$B$2,0),"Unknown")</f>
        <v>0.0</v>
      </c>
    </row>
    <row r="24" spans="1:13" ht="409" customHeight="1">
      <c r="A24" t="s">
        <v>118</v>
      </c>
      <c r="B24">
        <v>1</v>
      </c>
      <c r="C24" t="s">
        <v>121</v>
      </c>
      <c r="I24" s="6" t="s">
        <v>117</v>
      </c>
    </row>
    <row r="25" spans="1:13" ht="24" customHeight="1">
      <c r="A25" t="s">
        <v>118</v>
      </c>
      <c r="B25">
        <v>1</v>
      </c>
      <c r="C25" t="s">
        <v>103</v>
      </c>
      <c r="D25" s="5">
        <v>1305</v>
      </c>
      <c r="E25" s="2">
        <f>IF(AND(ISNUMBER(F25),ISNUMBER('Reference data'!$B$3)),F25*'Reference data'!$B$3,"Unknown")</f>
        <v>0.000287015175</v>
      </c>
      <c r="F25" s="2">
        <f>IF(D25=0,0,IF(ISNUMBER('Reference data'!D17),D25*'Reference data'!D17/1000000,"Unknown"))</f>
        <v>0.00032625</v>
      </c>
      <c r="G25" s="5">
        <f>IF(ISNUMBER(E25),ROUND(E25*'Reference data'!$B$2,0),"Unknown")</f>
        <v>29.0</v>
      </c>
      <c r="H25" s="5">
        <f>IF(ISNUMBER(F25),ROUND(F25*'Reference data'!$B$2,0),"Unknown")</f>
        <v>33.0</v>
      </c>
    </row>
    <row r="26" spans="1:13" ht="24" customHeight="1">
      <c r="A26" t="s">
        <v>118</v>
      </c>
      <c r="B26">
        <v>1</v>
      </c>
      <c r="C26" t="s">
        <v>104</v>
      </c>
    </row>
    <row r="27" spans="1:13" s="4" customFormat="1" ht="24" customHeight="1">
      <c r="A27" s="4" t="s">
        <v>118</v>
      </c>
      <c r="B27" s="4">
        <v>1</v>
      </c>
      <c r="C27" s="4" t="s">
        <v>105</v>
      </c>
      <c r="D27" s="4">
        <v>547</v>
      </c>
    </row>
    <row r="28" spans="1:13" ht="24" customHeight="1">
      <c r="A28" t="s">
        <v>118</v>
      </c>
      <c r="B28">
        <v>1</v>
      </c>
      <c r="C28" t="s">
        <v>106</v>
      </c>
      <c r="D28" s="5">
        <v>468</v>
      </c>
      <c r="E28" s="2">
        <f>IF(AND(ISNUMBER(F28),ISNUMBER('Reference data'!$B$3)),F28*'Reference data'!$B$3,"Unknown")</f>
        <v>0.000494061984</v>
      </c>
      <c r="F28" s="2">
        <f>IF(D28=0,0,IF(ISNUMBER('Reference data'!F17),D28*'Reference data'!F17/1000000,"Unknown"))</f>
        <v>0.0005616</v>
      </c>
      <c r="G28" s="5">
        <f>IF(ISNUMBER(E28),ROUND(E28*'Reference data'!$B$2,0),"Unknown")</f>
        <v>49.0</v>
      </c>
      <c r="H28" s="5">
        <f>IF(ISNUMBER(F28),ROUND(F28*'Reference data'!$B$2,0),"Unknown")</f>
        <v>56.0</v>
      </c>
    </row>
    <row r="29" spans="1:13" ht="24" customHeight="1">
      <c r="A29" t="s">
        <v>118</v>
      </c>
      <c r="B29">
        <v>1</v>
      </c>
      <c r="C29" t="s">
        <v>107</v>
      </c>
      <c r="D29" s="5">
        <v>79</v>
      </c>
      <c r="E29" s="2">
        <f>IF(AND(ISNUMBER(F29),ISNUMBER('Reference data'!$B$3)),F29*'Reference data'!$B$3,"Unknown")</f>
        <v>8.3399352e-05</v>
      </c>
      <c r="F29" s="2">
        <f>IF(D29=0,0,IF(ISNUMBER('Reference data'!E17),D29*'Reference data'!E17/1000000,"Unknown"))</f>
        <v>9.48e-05</v>
      </c>
      <c r="G29" s="5">
        <f>IF(ISNUMBER(E29),ROUND(E29*'Reference data'!$B$2,0),"Unknown")</f>
        <v>8.0</v>
      </c>
      <c r="H29" s="5">
        <f>IF(ISNUMBER(F29),ROUND(F29*'Reference data'!$B$2,0),"Unknown")</f>
        <v>9.0</v>
      </c>
    </row>
    <row r="30" spans="1:13" ht="409" customHeight="1">
      <c r="A30" t="s">
        <v>118</v>
      </c>
      <c r="B30">
        <v>1</v>
      </c>
      <c r="C30" t="s">
        <v>108</v>
      </c>
      <c r="I30" s="6" t="s">
        <v>122</v>
      </c>
    </row>
    <row r="31" spans="1:13" ht="24" customHeight="1">
      <c r="A31" t="s">
        <v>118</v>
      </c>
      <c r="B31">
        <v>1</v>
      </c>
      <c r="C31" t="s">
        <v>103</v>
      </c>
    </row>
    <row r="32" spans="1:13" ht="24" customHeight="1">
      <c r="A32" t="s">
        <v>118</v>
      </c>
      <c r="B32">
        <v>1</v>
      </c>
      <c r="C32" t="s">
        <v>104</v>
      </c>
    </row>
    <row r="33" spans="1:13" s="4" customFormat="1" ht="24" customHeight="1">
      <c r="A33" s="4" t="s">
        <v>118</v>
      </c>
      <c r="B33" s="4">
        <v>1</v>
      </c>
      <c r="C33" s="4" t="s">
        <v>110</v>
      </c>
      <c r="E33" s="2">
        <f>IF(COUNT('Turns'!E22,'Turns'!E23,'Turns'!E25,'Turns'!E28,'Turns'!E29)=5,SUM('Turns'!E22,'Turns'!E23,'Turns'!E25,'Turns'!E28,'Turns'!E29),"Unknown")</f>
        <v>0.0009196186142</v>
      </c>
      <c r="F33" s="2">
        <f>IF(COUNT('Turns'!F22,'Turns'!F23,'Turns'!F25,'Turns'!F28,'Turns'!F29)=5,SUM('Turns'!F22,'Turns'!F23,'Turns'!F25,'Turns'!F28,'Turns'!F29),"Unknown")</f>
        <v>0.00104533</v>
      </c>
      <c r="G33" s="5">
        <f>IF(ISNUMBER(E33),ROUND(E33*'Reference data'!$B$2,0),"Unknown")</f>
        <v>92.0</v>
      </c>
      <c r="H33" s="5">
        <f>IF(ISNUMBER(F33),ROUND(F33*'Reference data'!$B$2,0),"Unknown")</f>
        <v>105.0</v>
      </c>
      <c r="K33" s="4" t="s">
        <v>111</v>
      </c>
    </row>
    <row r="34" spans="1:13" s="4" customFormat="1" ht="24" customHeight="1">
      <c r="B34" s="4">
        <v>2</v>
      </c>
      <c r="C34" s="4" t="s">
        <v>123</v>
      </c>
      <c r="E34" s="2">
        <f>IF(COUNT('Turns'!E47,'Turns'!E63,'Turns'!E79,'Turns'!E93,'Turns'!E115,'Turns'!E128,'Turns'!E144,'Turns'!E160,'Turns'!E173,'Turns'!E195,'Turns'!E209,'Turns'!E225,'Turns'!E238,'Turns'!E254,'Turns'!E270)=15,SUM('Turns'!E47,'Turns'!E63,'Turns'!E79,'Turns'!E93,'Turns'!E115,'Turns'!E128,'Turns'!E144,'Turns'!E160,'Turns'!E173,'Turns'!E195,'Turns'!E209,'Turns'!E225,'Turns'!E238,'Turns'!E254,'Turns'!E270),"Unknown")</f>
        <v>0.0150495098398</v>
      </c>
      <c r="F34" s="2">
        <f>IF(COUNT('Turns'!F47,'Turns'!F63,'Turns'!F79,'Turns'!F93,'Turns'!F115,'Turns'!F128,'Turns'!F144,'Turns'!F160,'Turns'!F173,'Turns'!F195,'Turns'!F209,'Turns'!F225,'Turns'!F238,'Turns'!F254,'Turns'!F270)=15,SUM('Turns'!F47,'Turns'!F63,'Turns'!F79,'Turns'!F93,'Turns'!F115,'Turns'!F128,'Turns'!F144,'Turns'!F160,'Turns'!F173,'Turns'!F195,'Turns'!F209,'Turns'!F225,'Turns'!F238,'Turns'!F254,'Turns'!F270),"Unknown")</f>
        <v>0.01710677</v>
      </c>
      <c r="G34" s="5">
        <f>IF(ISNUMBER(E34),ROUND(E34*'Reference data'!$B$2,0),"Unknown")</f>
        <v>1505.0</v>
      </c>
      <c r="H34" s="5">
        <f>IF(ISNUMBER(F34),ROUND(F34*'Reference data'!$B$2,0),"Unknown")</f>
        <v>1711.0</v>
      </c>
    </row>
    <row r="35" spans="1:13" s="4" customFormat="1" ht="24" customHeight="1">
      <c r="A35" s="4" t="s">
        <v>124</v>
      </c>
      <c r="B35" s="4">
        <v>2</v>
      </c>
      <c r="C35" s="4" t="s">
        <v>94</v>
      </c>
      <c r="D35" s="4">
        <v>5081</v>
      </c>
      <c r="J35" s="4" t="s">
        <v>95</v>
      </c>
      <c r="M35" s="4" t="s">
        <v>125</v>
      </c>
    </row>
    <row r="36" spans="1:13" ht="24" customHeight="1">
      <c r="A36" t="s">
        <v>124</v>
      </c>
      <c r="B36">
        <v>2</v>
      </c>
      <c r="C36" t="s">
        <v>120</v>
      </c>
      <c r="D36" s="5">
        <v>4409</v>
      </c>
      <c r="E36" s="2">
        <f>IF(AND(ISNUMBER(F36),ISNUMBER('Reference data'!$B$3)),F36*'Reference data'!$B$3,"Unknown")</f>
        <v>7.75754732e-05</v>
      </c>
      <c r="F36" s="2">
        <f>IF(D36=0,0,IF(ISNUMBER('Reference data'!C17),D36*'Reference data'!C17/1000000,"Unknown"))</f>
        <v>8.818e-05</v>
      </c>
      <c r="G36" s="5">
        <f>IF(ISNUMBER(E36),ROUND(E36*'Reference data'!$B$2,0),"Unknown")</f>
        <v>8.0</v>
      </c>
      <c r="H36" s="5">
        <f>IF(ISNUMBER(F36),ROUND(F36*'Reference data'!$B$2,0),"Unknown")</f>
        <v>9.0</v>
      </c>
    </row>
    <row r="37" spans="1:13" ht="24" customHeight="1">
      <c r="A37" t="s">
        <v>124</v>
      </c>
      <c r="B37">
        <v>2</v>
      </c>
      <c r="C37" t="s">
        <v>97</v>
      </c>
      <c r="D37" s="5">
        <v>3</v>
      </c>
      <c r="E37" s="2">
        <f>IF(AND(ISNUMBER(F37),ISNUMBER('Reference data'!$B$3)),F37*'Reference data'!$B$3,"Unknown")</f>
        <v>5.27844e-07</v>
      </c>
      <c r="F37" s="2">
        <f>IF(D37=0,0,IF(ISNUMBER('Reference data'!B17),D37*'Reference data'!B17/1000000,"Unknown"))</f>
        <v>6e-07</v>
      </c>
      <c r="G37" s="5">
        <f>IF(ISNUMBER(E37),ROUND(E37*'Reference data'!$B$2,0),"Unknown")</f>
        <v>0.0</v>
      </c>
      <c r="H37" s="5">
        <f>IF(ISNUMBER(F37),ROUND(F37*'Reference data'!$B$2,0),"Unknown")</f>
        <v>0.0</v>
      </c>
    </row>
    <row r="38" spans="1:13" ht="34" customHeight="1">
      <c r="A38" t="s">
        <v>124</v>
      </c>
      <c r="B38">
        <v>2</v>
      </c>
      <c r="C38" t="s">
        <v>101</v>
      </c>
      <c r="I38" s="6" t="s">
        <v>102</v>
      </c>
    </row>
    <row r="39" spans="1:13" ht="24" customHeight="1">
      <c r="A39" t="s">
        <v>124</v>
      </c>
      <c r="B39">
        <v>2</v>
      </c>
      <c r="C39" t="s">
        <v>103</v>
      </c>
      <c r="D39" s="5">
        <v>669</v>
      </c>
      <c r="E39" s="2">
        <f>IF(AND(ISNUMBER(F39),ISNUMBER('Reference data'!$B$3)),F39*'Reference data'!$B$3,"Unknown")</f>
        <v>0.000147136515</v>
      </c>
      <c r="F39" s="2">
        <f>IF(D39=0,0,IF(ISNUMBER('Reference data'!D17),D39*'Reference data'!D17/1000000,"Unknown"))</f>
        <v>0.00016725</v>
      </c>
      <c r="G39" s="5">
        <f>IF(ISNUMBER(E39),ROUND(E39*'Reference data'!$B$2,0),"Unknown")</f>
        <v>15.0</v>
      </c>
      <c r="H39" s="5">
        <f>IF(ISNUMBER(F39),ROUND(F39*'Reference data'!$B$2,0),"Unknown")</f>
        <v>17.0</v>
      </c>
    </row>
    <row r="40" spans="1:13" ht="24" customHeight="1">
      <c r="A40" t="s">
        <v>124</v>
      </c>
      <c r="B40">
        <v>2</v>
      </c>
      <c r="C40" t="s">
        <v>104</v>
      </c>
    </row>
    <row r="41" spans="1:13" s="4" customFormat="1" ht="24" customHeight="1">
      <c r="A41" s="4" t="s">
        <v>124</v>
      </c>
      <c r="B41" s="4">
        <v>2</v>
      </c>
      <c r="C41" s="4" t="s">
        <v>105</v>
      </c>
      <c r="D41" s="4">
        <v>572</v>
      </c>
    </row>
    <row r="42" spans="1:13" ht="24" customHeight="1">
      <c r="A42" t="s">
        <v>124</v>
      </c>
      <c r="B42">
        <v>2</v>
      </c>
      <c r="C42" t="s">
        <v>106</v>
      </c>
      <c r="D42" s="5">
        <v>139</v>
      </c>
      <c r="E42" s="2">
        <f>IF(AND(ISNUMBER(F42),ISNUMBER('Reference data'!$B$3)),F42*'Reference data'!$B$3,"Unknown")</f>
        <v>0.000146740632</v>
      </c>
      <c r="F42" s="2">
        <f>IF(D42=0,0,IF(ISNUMBER('Reference data'!F17),D42*'Reference data'!F17/1000000,"Unknown"))</f>
        <v>0.0001668</v>
      </c>
      <c r="G42" s="5">
        <f>IF(ISNUMBER(E42),ROUND(E42*'Reference data'!$B$2,0),"Unknown")</f>
        <v>15.0</v>
      </c>
      <c r="H42" s="5">
        <f>IF(ISNUMBER(F42),ROUND(F42*'Reference data'!$B$2,0),"Unknown")</f>
        <v>17.0</v>
      </c>
    </row>
    <row r="43" spans="1:13" ht="24" customHeight="1">
      <c r="A43" t="s">
        <v>124</v>
      </c>
      <c r="B43">
        <v>2</v>
      </c>
      <c r="C43" t="s">
        <v>107</v>
      </c>
      <c r="D43" s="5">
        <v>433</v>
      </c>
      <c r="E43" s="2">
        <f>IF(AND(ISNUMBER(F43),ISNUMBER('Reference data'!$B$3)),F43*'Reference data'!$B$3,"Unknown")</f>
        <v>0.000457112904</v>
      </c>
      <c r="F43" s="2">
        <f>IF(D43=0,0,IF(ISNUMBER('Reference data'!E17),D43*'Reference data'!E17/1000000,"Unknown"))</f>
        <v>0.0005196</v>
      </c>
      <c r="G43" s="5">
        <f>IF(ISNUMBER(E43),ROUND(E43*'Reference data'!$B$2,0),"Unknown")</f>
        <v>46.0</v>
      </c>
      <c r="H43" s="5">
        <f>IF(ISNUMBER(F43),ROUND(F43*'Reference data'!$B$2,0),"Unknown")</f>
        <v>52.0</v>
      </c>
    </row>
    <row r="44" spans="1:13" ht="409" customHeight="1">
      <c r="A44" t="s">
        <v>124</v>
      </c>
      <c r="B44">
        <v>2</v>
      </c>
      <c r="C44" t="s">
        <v>108</v>
      </c>
      <c r="I44" s="6" t="s">
        <v>126</v>
      </c>
    </row>
    <row r="45" spans="1:13" ht="24" customHeight="1">
      <c r="A45" t="s">
        <v>124</v>
      </c>
      <c r="B45">
        <v>2</v>
      </c>
      <c r="C45" t="s">
        <v>103</v>
      </c>
    </row>
    <row r="46" spans="1:13" ht="24" customHeight="1">
      <c r="A46" t="s">
        <v>124</v>
      </c>
      <c r="B46">
        <v>2</v>
      </c>
      <c r="C46" t="s">
        <v>104</v>
      </c>
    </row>
    <row r="47" spans="1:13" s="4" customFormat="1" ht="24" customHeight="1">
      <c r="A47" s="4" t="s">
        <v>124</v>
      </c>
      <c r="B47" s="4">
        <v>2</v>
      </c>
      <c r="C47" s="4" t="s">
        <v>110</v>
      </c>
      <c r="E47" s="2">
        <f>IF(COUNT('Turns'!E36,'Turns'!E37,'Turns'!E39,'Turns'!E42,'Turns'!E43)=5,SUM('Turns'!E36,'Turns'!E37,'Turns'!E39,'Turns'!E42,'Turns'!E43),"Unknown")</f>
        <v>0.0008290933682</v>
      </c>
      <c r="F47" s="2">
        <f>IF(COUNT('Turns'!F36,'Turns'!F37,'Turns'!F39,'Turns'!F42,'Turns'!F43)=5,SUM('Turns'!F36,'Turns'!F37,'Turns'!F39,'Turns'!F42,'Turns'!F43),"Unknown")</f>
        <v>0.00094243</v>
      </c>
      <c r="G47" s="5">
        <f>IF(ISNUMBER(E47),ROUND(E47*'Reference data'!$B$2,0),"Unknown")</f>
        <v>83.0</v>
      </c>
      <c r="H47" s="5">
        <f>IF(ISNUMBER(F47),ROUND(F47*'Reference data'!$B$2,0),"Unknown")</f>
        <v>94.0</v>
      </c>
      <c r="K47" s="4" t="s">
        <v>111</v>
      </c>
    </row>
    <row r="48" spans="1:13" s="4" customFormat="1" ht="24" customHeight="1">
      <c r="B48" s="4">
        <v>2</v>
      </c>
      <c r="C48" s="4" t="s">
        <v>127</v>
      </c>
      <c r="K48" s="4" t="s">
        <v>111</v>
      </c>
      <c r="M48" s="4" t="s">
        <v>128</v>
      </c>
    </row>
    <row r="49" spans="1:13" ht="333" customHeight="1">
      <c r="B49">
        <v>2</v>
      </c>
      <c r="C49" t="s">
        <v>114</v>
      </c>
      <c r="I49" s="6" t="s">
        <v>129</v>
      </c>
    </row>
    <row r="50" spans="1:13" ht="24" customHeight="1">
      <c r="B50">
        <v>2</v>
      </c>
      <c r="C50" t="s">
        <v>116</v>
      </c>
      <c r="I50" s="6" t="s">
        <v>130</v>
      </c>
    </row>
    <row r="51" spans="1:13" s="4" customFormat="1" ht="24" customHeight="1">
      <c r="A51" s="4" t="s">
        <v>131</v>
      </c>
      <c r="B51" s="4">
        <v>2</v>
      </c>
      <c r="C51" s="4" t="s">
        <v>94</v>
      </c>
      <c r="D51" s="4">
        <v>5679</v>
      </c>
      <c r="J51" s="4" t="s">
        <v>95</v>
      </c>
      <c r="M51" s="4" t="s">
        <v>132</v>
      </c>
    </row>
    <row r="52" spans="1:13" ht="24" customHeight="1">
      <c r="A52" t="s">
        <v>131</v>
      </c>
      <c r="B52">
        <v>2</v>
      </c>
      <c r="C52" t="s">
        <v>120</v>
      </c>
      <c r="D52" s="5">
        <v>5078</v>
      </c>
      <c r="E52" s="2">
        <f>IF(AND(ISNUMBER(F52),ISNUMBER('Reference data'!$B$3)),F52*'Reference data'!$B$3,"Unknown")</f>
        <v>8.93463944e-05</v>
      </c>
      <c r="F52" s="2">
        <f>IF(D52=0,0,IF(ISNUMBER('Reference data'!C17),D52*'Reference data'!C17/1000000,"Unknown"))</f>
        <v>0.00010156</v>
      </c>
      <c r="G52" s="5">
        <f>IF(ISNUMBER(E52),ROUND(E52*'Reference data'!$B$2,0),"Unknown")</f>
        <v>9.0</v>
      </c>
      <c r="H52" s="5">
        <f>IF(ISNUMBER(F52),ROUND(F52*'Reference data'!$B$2,0),"Unknown")</f>
        <v>10.0</v>
      </c>
    </row>
    <row r="53" spans="1:13" ht="24" customHeight="1">
      <c r="A53" t="s">
        <v>131</v>
      </c>
      <c r="B53">
        <v>2</v>
      </c>
      <c r="C53" t="s">
        <v>97</v>
      </c>
      <c r="D53" s="5">
        <v>3</v>
      </c>
      <c r="E53" s="2">
        <f>IF(AND(ISNUMBER(F53),ISNUMBER('Reference data'!$B$3)),F53*'Reference data'!$B$3,"Unknown")</f>
        <v>5.27844e-07</v>
      </c>
      <c r="F53" s="2">
        <f>IF(D53=0,0,IF(ISNUMBER('Reference data'!B17),D53*'Reference data'!B17/1000000,"Unknown"))</f>
        <v>6e-07</v>
      </c>
      <c r="G53" s="5">
        <f>IF(ISNUMBER(E53),ROUND(E53*'Reference data'!$B$2,0),"Unknown")</f>
        <v>0.0</v>
      </c>
      <c r="H53" s="5">
        <f>IF(ISNUMBER(F53),ROUND(F53*'Reference data'!$B$2,0),"Unknown")</f>
        <v>0.0</v>
      </c>
    </row>
    <row r="54" spans="1:13" ht="24" customHeight="1">
      <c r="A54" t="s">
        <v>131</v>
      </c>
      <c r="B54">
        <v>2</v>
      </c>
      <c r="C54" t="s">
        <v>121</v>
      </c>
      <c r="I54" s="6" t="s">
        <v>130</v>
      </c>
    </row>
    <row r="55" spans="1:13" ht="24" customHeight="1">
      <c r="A55" t="s">
        <v>131</v>
      </c>
      <c r="B55">
        <v>2</v>
      </c>
      <c r="C55" t="s">
        <v>103</v>
      </c>
      <c r="D55" s="5">
        <v>598</v>
      </c>
      <c r="E55" s="2">
        <f>IF(AND(ISNUMBER(F55),ISNUMBER('Reference data'!$B$3)),F55*'Reference data'!$B$3,"Unknown")</f>
        <v>0.00013152113</v>
      </c>
      <c r="F55" s="2">
        <f>IF(D55=0,0,IF(ISNUMBER('Reference data'!D17),D55*'Reference data'!D17/1000000,"Unknown"))</f>
        <v>0.0001495</v>
      </c>
      <c r="G55" s="5">
        <f>IF(ISNUMBER(E55),ROUND(E55*'Reference data'!$B$2,0),"Unknown")</f>
        <v>13.0</v>
      </c>
      <c r="H55" s="5">
        <f>IF(ISNUMBER(F55),ROUND(F55*'Reference data'!$B$2,0),"Unknown")</f>
        <v>15.0</v>
      </c>
    </row>
    <row r="56" spans="1:13" ht="24" customHeight="1">
      <c r="A56" t="s">
        <v>131</v>
      </c>
      <c r="B56">
        <v>2</v>
      </c>
      <c r="C56" t="s">
        <v>104</v>
      </c>
    </row>
    <row r="57" spans="1:13" s="4" customFormat="1" ht="24" customHeight="1">
      <c r="A57" s="4" t="s">
        <v>131</v>
      </c>
      <c r="B57" s="4">
        <v>2</v>
      </c>
      <c r="C57" s="4" t="s">
        <v>105</v>
      </c>
      <c r="D57" s="4">
        <v>49</v>
      </c>
    </row>
    <row r="58" spans="1:13" ht="24" customHeight="1">
      <c r="A58" t="s">
        <v>131</v>
      </c>
      <c r="B58">
        <v>2</v>
      </c>
      <c r="C58" t="s">
        <v>106</v>
      </c>
      <c r="D58" s="5">
        <v>18</v>
      </c>
      <c r="E58" s="2">
        <f>IF(AND(ISNUMBER(F58),ISNUMBER('Reference data'!$B$3)),F58*'Reference data'!$B$3,"Unknown")</f>
        <v>1.9002384e-05</v>
      </c>
      <c r="F58" s="2">
        <f>IF(D58=0,0,IF(ISNUMBER('Reference data'!F17),D58*'Reference data'!F17/1000000,"Unknown"))</f>
        <v>2.16e-05</v>
      </c>
      <c r="G58" s="5">
        <f>IF(ISNUMBER(E58),ROUND(E58*'Reference data'!$B$2,0),"Unknown")</f>
        <v>2.0</v>
      </c>
      <c r="H58" s="5">
        <f>IF(ISNUMBER(F58),ROUND(F58*'Reference data'!$B$2,0),"Unknown")</f>
        <v>2.0</v>
      </c>
    </row>
    <row r="59" spans="1:13" ht="24" customHeight="1">
      <c r="A59" t="s">
        <v>131</v>
      </c>
      <c r="B59">
        <v>2</v>
      </c>
      <c r="C59" t="s">
        <v>107</v>
      </c>
      <c r="D59" s="5">
        <v>31</v>
      </c>
      <c r="E59" s="2">
        <f>IF(AND(ISNUMBER(F59),ISNUMBER('Reference data'!$B$3)),F59*'Reference data'!$B$3,"Unknown")</f>
        <v>3.2726328e-05</v>
      </c>
      <c r="F59" s="2">
        <f>IF(D59=0,0,IF(ISNUMBER('Reference data'!E17),D59*'Reference data'!E17/1000000,"Unknown"))</f>
        <v>3.72e-05</v>
      </c>
      <c r="G59" s="5">
        <f>IF(ISNUMBER(E59),ROUND(E59*'Reference data'!$B$2,0),"Unknown")</f>
        <v>3.0</v>
      </c>
      <c r="H59" s="5">
        <f>IF(ISNUMBER(F59),ROUND(F59*'Reference data'!$B$2,0),"Unknown")</f>
        <v>4.0</v>
      </c>
    </row>
    <row r="60" spans="1:13" ht="281" customHeight="1">
      <c r="A60" t="s">
        <v>131</v>
      </c>
      <c r="B60">
        <v>2</v>
      </c>
      <c r="C60" t="s">
        <v>108</v>
      </c>
      <c r="I60" s="6" t="s">
        <v>133</v>
      </c>
    </row>
    <row r="61" spans="1:13" ht="24" customHeight="1">
      <c r="A61" t="s">
        <v>131</v>
      </c>
      <c r="B61">
        <v>2</v>
      </c>
      <c r="C61" t="s">
        <v>103</v>
      </c>
    </row>
    <row r="62" spans="1:13" ht="24" customHeight="1">
      <c r="A62" t="s">
        <v>131</v>
      </c>
      <c r="B62">
        <v>2</v>
      </c>
      <c r="C62" t="s">
        <v>104</v>
      </c>
    </row>
    <row r="63" spans="1:13" s="4" customFormat="1" ht="24" customHeight="1">
      <c r="A63" s="4" t="s">
        <v>131</v>
      </c>
      <c r="B63" s="4">
        <v>2</v>
      </c>
      <c r="C63" s="4" t="s">
        <v>110</v>
      </c>
      <c r="E63" s="2">
        <f>IF(COUNT('Turns'!E52,'Turns'!E53,'Turns'!E55,'Turns'!E58,'Turns'!E59)=5,SUM('Turns'!E52,'Turns'!E53,'Turns'!E55,'Turns'!E58,'Turns'!E59),"Unknown")</f>
        <v>0.0002731240804</v>
      </c>
      <c r="F63" s="2">
        <f>IF(COUNT('Turns'!F52,'Turns'!F53,'Turns'!F55,'Turns'!F58,'Turns'!F59)=5,SUM('Turns'!F52,'Turns'!F53,'Turns'!F55,'Turns'!F58,'Turns'!F59),"Unknown")</f>
        <v>0.00031046</v>
      </c>
      <c r="G63" s="5">
        <f>IF(ISNUMBER(E63),ROUND(E63*'Reference data'!$B$2,0),"Unknown")</f>
        <v>27.0</v>
      </c>
      <c r="H63" s="5">
        <f>IF(ISNUMBER(F63),ROUND(F63*'Reference data'!$B$2,0),"Unknown")</f>
        <v>31.0</v>
      </c>
      <c r="K63" s="4" t="s">
        <v>111</v>
      </c>
    </row>
    <row r="64" spans="1:13" s="4" customFormat="1" ht="24" customHeight="1">
      <c r="B64" s="4">
        <v>2</v>
      </c>
      <c r="C64" s="4" t="s">
        <v>112</v>
      </c>
      <c r="K64" s="4" t="s">
        <v>111</v>
      </c>
      <c r="M64" s="4" t="s">
        <v>134</v>
      </c>
    </row>
    <row r="65" spans="1:13" ht="24" customHeight="1">
      <c r="B65">
        <v>2</v>
      </c>
      <c r="C65" t="s">
        <v>114</v>
      </c>
      <c r="I65" s="6" t="s">
        <v>135</v>
      </c>
    </row>
    <row r="66" spans="1:13" ht="409" customHeight="1">
      <c r="B66">
        <v>2</v>
      </c>
      <c r="C66" t="s">
        <v>116</v>
      </c>
      <c r="I66" s="6" t="s">
        <v>136</v>
      </c>
    </row>
    <row r="67" spans="1:13" s="4" customFormat="1" ht="24" customHeight="1">
      <c r="A67" s="4" t="s">
        <v>137</v>
      </c>
      <c r="B67" s="4">
        <v>2</v>
      </c>
      <c r="C67" s="4" t="s">
        <v>94</v>
      </c>
      <c r="D67" s="4">
        <v>6594</v>
      </c>
      <c r="J67" s="4" t="s">
        <v>95</v>
      </c>
      <c r="M67" s="4" t="s">
        <v>138</v>
      </c>
    </row>
    <row r="68" spans="1:13" ht="24" customHeight="1">
      <c r="A68" t="s">
        <v>137</v>
      </c>
      <c r="B68">
        <v>2</v>
      </c>
      <c r="C68" t="s">
        <v>120</v>
      </c>
      <c r="D68" s="5">
        <v>5676</v>
      </c>
      <c r="E68" s="2">
        <f>IF(AND(ISNUMBER(F68),ISNUMBER('Reference data'!$B$3)),F68*'Reference data'!$B$3,"Unknown")</f>
        <v>9.98680848e-05</v>
      </c>
      <c r="F68" s="2">
        <f>IF(D68=0,0,IF(ISNUMBER('Reference data'!C17),D68*'Reference data'!C17/1000000,"Unknown"))</f>
        <v>0.00011352</v>
      </c>
      <c r="G68" s="5">
        <f>IF(ISNUMBER(E68),ROUND(E68*'Reference data'!$B$2,0),"Unknown")</f>
        <v>10.0</v>
      </c>
      <c r="H68" s="5">
        <f>IF(ISNUMBER(F68),ROUND(F68*'Reference data'!$B$2,0),"Unknown")</f>
        <v>11.0</v>
      </c>
    </row>
    <row r="69" spans="1:13" ht="24" customHeight="1">
      <c r="A69" t="s">
        <v>137</v>
      </c>
      <c r="B69">
        <v>2</v>
      </c>
      <c r="C69" t="s">
        <v>97</v>
      </c>
      <c r="D69" s="5">
        <v>3</v>
      </c>
      <c r="E69" s="2">
        <f>IF(AND(ISNUMBER(F69),ISNUMBER('Reference data'!$B$3)),F69*'Reference data'!$B$3,"Unknown")</f>
        <v>5.27844e-07</v>
      </c>
      <c r="F69" s="2">
        <f>IF(D69=0,0,IF(ISNUMBER('Reference data'!B17),D69*'Reference data'!B17/1000000,"Unknown"))</f>
        <v>6e-07</v>
      </c>
      <c r="G69" s="5">
        <f>IF(ISNUMBER(E69),ROUND(E69*'Reference data'!$B$2,0),"Unknown")</f>
        <v>0.0</v>
      </c>
      <c r="H69" s="5">
        <f>IF(ISNUMBER(F69),ROUND(F69*'Reference data'!$B$2,0),"Unknown")</f>
        <v>0.0</v>
      </c>
    </row>
    <row r="70" spans="1:13" ht="409" customHeight="1">
      <c r="A70" t="s">
        <v>137</v>
      </c>
      <c r="B70">
        <v>2</v>
      </c>
      <c r="C70" t="s">
        <v>121</v>
      </c>
      <c r="I70" s="6" t="s">
        <v>136</v>
      </c>
    </row>
    <row r="71" spans="1:13" ht="24" customHeight="1">
      <c r="A71" t="s">
        <v>137</v>
      </c>
      <c r="B71">
        <v>2</v>
      </c>
      <c r="C71" t="s">
        <v>103</v>
      </c>
      <c r="D71" s="5">
        <v>915</v>
      </c>
      <c r="E71" s="2">
        <f>IF(AND(ISNUMBER(F71),ISNUMBER('Reference data'!$B$3)),F71*'Reference data'!$B$3,"Unknown")</f>
        <v>0.000201240525</v>
      </c>
      <c r="F71" s="2">
        <f>IF(D71=0,0,IF(ISNUMBER('Reference data'!D17),D71*'Reference data'!D17/1000000,"Unknown"))</f>
        <v>0.00022875</v>
      </c>
      <c r="G71" s="5">
        <f>IF(ISNUMBER(E71),ROUND(E71*'Reference data'!$B$2,0),"Unknown")</f>
        <v>20.0</v>
      </c>
      <c r="H71" s="5">
        <f>IF(ISNUMBER(F71),ROUND(F71*'Reference data'!$B$2,0),"Unknown")</f>
        <v>23.0</v>
      </c>
    </row>
    <row r="72" spans="1:13" ht="24" customHeight="1">
      <c r="A72" t="s">
        <v>137</v>
      </c>
      <c r="B72">
        <v>2</v>
      </c>
      <c r="C72" t="s">
        <v>104</v>
      </c>
    </row>
    <row r="73" spans="1:13" s="4" customFormat="1" ht="24" customHeight="1">
      <c r="A73" s="4" t="s">
        <v>137</v>
      </c>
      <c r="B73" s="4">
        <v>2</v>
      </c>
      <c r="C73" s="4" t="s">
        <v>105</v>
      </c>
      <c r="D73" s="4">
        <v>237</v>
      </c>
    </row>
    <row r="74" spans="1:13" ht="24" customHeight="1">
      <c r="A74" t="s">
        <v>137</v>
      </c>
      <c r="B74">
        <v>2</v>
      </c>
      <c r="C74" t="s">
        <v>106</v>
      </c>
      <c r="D74" s="5">
        <v>21</v>
      </c>
      <c r="E74" s="2">
        <f>IF(AND(ISNUMBER(F74),ISNUMBER('Reference data'!$B$3)),F74*'Reference data'!$B$3,"Unknown")</f>
        <v>2.2169448e-05</v>
      </c>
      <c r="F74" s="2">
        <f>IF(D74=0,0,IF(ISNUMBER('Reference data'!F17),D74*'Reference data'!F17/1000000,"Unknown"))</f>
        <v>2.52e-05</v>
      </c>
      <c r="G74" s="5">
        <f>IF(ISNUMBER(E74),ROUND(E74*'Reference data'!$B$2,0),"Unknown")</f>
        <v>2.0</v>
      </c>
      <c r="H74" s="5">
        <f>IF(ISNUMBER(F74),ROUND(F74*'Reference data'!$B$2,0),"Unknown")</f>
        <v>3.0</v>
      </c>
    </row>
    <row r="75" spans="1:13" ht="24" customHeight="1">
      <c r="A75" t="s">
        <v>137</v>
      </c>
      <c r="B75">
        <v>2</v>
      </c>
      <c r="C75" t="s">
        <v>107</v>
      </c>
      <c r="D75" s="5">
        <v>216</v>
      </c>
      <c r="E75" s="2">
        <f>IF(AND(ISNUMBER(F75),ISNUMBER('Reference data'!$B$3)),F75*'Reference data'!$B$3,"Unknown")</f>
        <v>0.000228028608</v>
      </c>
      <c r="F75" s="2">
        <f>IF(D75=0,0,IF(ISNUMBER('Reference data'!E17),D75*'Reference data'!E17/1000000,"Unknown"))</f>
        <v>0.0002592</v>
      </c>
      <c r="G75" s="5">
        <f>IF(ISNUMBER(E75),ROUND(E75*'Reference data'!$B$2,0),"Unknown")</f>
        <v>23.0</v>
      </c>
      <c r="H75" s="5">
        <f>IF(ISNUMBER(F75),ROUND(F75*'Reference data'!$B$2,0),"Unknown")</f>
        <v>26.0</v>
      </c>
    </row>
    <row r="76" spans="1:13" ht="409" customHeight="1">
      <c r="A76" t="s">
        <v>137</v>
      </c>
      <c r="B76">
        <v>2</v>
      </c>
      <c r="C76" t="s">
        <v>108</v>
      </c>
      <c r="I76" s="6" t="s">
        <v>139</v>
      </c>
    </row>
    <row r="77" spans="1:13" ht="24" customHeight="1">
      <c r="A77" t="s">
        <v>137</v>
      </c>
      <c r="B77">
        <v>2</v>
      </c>
      <c r="C77" t="s">
        <v>103</v>
      </c>
    </row>
    <row r="78" spans="1:13" ht="24" customHeight="1">
      <c r="A78" t="s">
        <v>137</v>
      </c>
      <c r="B78">
        <v>2</v>
      </c>
      <c r="C78" t="s">
        <v>104</v>
      </c>
    </row>
    <row r="79" spans="1:13" s="4" customFormat="1" ht="24" customHeight="1">
      <c r="A79" s="4" t="s">
        <v>137</v>
      </c>
      <c r="B79" s="4">
        <v>2</v>
      </c>
      <c r="C79" s="4" t="s">
        <v>110</v>
      </c>
      <c r="E79" s="2">
        <f>IF(COUNT('Turns'!E68,'Turns'!E69,'Turns'!E71,'Turns'!E74,'Turns'!E75)=5,SUM('Turns'!E68,'Turns'!E69,'Turns'!E71,'Turns'!E74,'Turns'!E75),"Unknown")</f>
        <v>0.0005518345098</v>
      </c>
      <c r="F79" s="2">
        <f>IF(COUNT('Turns'!F68,'Turns'!F69,'Turns'!F71,'Turns'!F74,'Turns'!F75)=5,SUM('Turns'!F68,'Turns'!F69,'Turns'!F71,'Turns'!F74,'Turns'!F75),"Unknown")</f>
        <v>0.00062727</v>
      </c>
      <c r="G79" s="5">
        <f>IF(ISNUMBER(E79),ROUND(E79*'Reference data'!$B$2,0),"Unknown")</f>
        <v>55.0</v>
      </c>
      <c r="H79" s="5">
        <f>IF(ISNUMBER(F79),ROUND(F79*'Reference data'!$B$2,0),"Unknown")</f>
        <v>63.0</v>
      </c>
      <c r="K79" s="4" t="s">
        <v>111</v>
      </c>
    </row>
    <row r="80" spans="1:13" s="4" customFormat="1" ht="24" customHeight="1">
      <c r="A80" s="4" t="s">
        <v>140</v>
      </c>
      <c r="B80" s="4">
        <v>2</v>
      </c>
      <c r="C80" s="4" t="s">
        <v>94</v>
      </c>
      <c r="D80" s="4">
        <v>7116</v>
      </c>
      <c r="J80" s="4" t="s">
        <v>95</v>
      </c>
      <c r="M80" s="4" t="s">
        <v>141</v>
      </c>
    </row>
    <row r="81" spans="1:13" ht="24" customHeight="1">
      <c r="A81" t="s">
        <v>140</v>
      </c>
      <c r="B81">
        <v>2</v>
      </c>
      <c r="C81" t="s">
        <v>97</v>
      </c>
      <c r="D81" s="5">
        <v>3</v>
      </c>
      <c r="E81" s="2">
        <f>IF(AND(ISNUMBER(F81),ISNUMBER('Reference data'!$B$3)),F81*'Reference data'!$B$3,"Unknown")</f>
        <v>5.27844e-07</v>
      </c>
      <c r="F81" s="2">
        <f>IF(D81=0,0,IF(ISNUMBER('Reference data'!B17),D81*'Reference data'!B17/1000000,"Unknown"))</f>
        <v>6e-07</v>
      </c>
      <c r="G81" s="5">
        <f>IF(ISNUMBER(E81),ROUND(E81*'Reference data'!$B$2,0),"Unknown")</f>
        <v>0.0</v>
      </c>
      <c r="H81" s="5">
        <f>IF(ISNUMBER(F81),ROUND(F81*'Reference data'!$B$2,0),"Unknown")</f>
        <v>0.0</v>
      </c>
    </row>
    <row r="82" spans="1:13" ht="24" customHeight="1">
      <c r="A82" t="s">
        <v>140</v>
      </c>
      <c r="B82">
        <v>2</v>
      </c>
      <c r="C82" t="s">
        <v>98</v>
      </c>
    </row>
    <row r="83" spans="1:13" ht="409" customHeight="1">
      <c r="A83" t="s">
        <v>140</v>
      </c>
      <c r="B83">
        <v>2</v>
      </c>
      <c r="C83" t="s">
        <v>99</v>
      </c>
      <c r="I83" s="6" t="s">
        <v>142</v>
      </c>
    </row>
    <row r="84" spans="1:13" ht="409" customHeight="1">
      <c r="A84" t="s">
        <v>140</v>
      </c>
      <c r="B84">
        <v>2</v>
      </c>
      <c r="C84" t="s">
        <v>121</v>
      </c>
      <c r="I84" s="6" t="s">
        <v>143</v>
      </c>
    </row>
    <row r="85" spans="1:13" ht="24" customHeight="1">
      <c r="A85" t="s">
        <v>140</v>
      </c>
      <c r="B85">
        <v>2</v>
      </c>
      <c r="C85" t="s">
        <v>103</v>
      </c>
      <c r="D85" s="5">
        <v>7113</v>
      </c>
      <c r="E85" s="2">
        <f>IF(AND(ISNUMBER(F85),ISNUMBER('Reference data'!$B$3)),F85*'Reference data'!$B$3,"Unknown")</f>
        <v>0.001564397655</v>
      </c>
      <c r="F85" s="2">
        <f>IF(D85=0,0,IF(ISNUMBER('Reference data'!D17),D85*'Reference data'!D17/1000000,"Unknown"))</f>
        <v>0.00177825</v>
      </c>
      <c r="G85" s="5">
        <f>IF(ISNUMBER(E85),ROUND(E85*'Reference data'!$B$2,0),"Unknown")</f>
        <v>156.0</v>
      </c>
      <c r="H85" s="5">
        <f>IF(ISNUMBER(F85),ROUND(F85*'Reference data'!$B$2,0),"Unknown")</f>
        <v>178.0</v>
      </c>
    </row>
    <row r="86" spans="1:13" ht="24" customHeight="1">
      <c r="A86" t="s">
        <v>140</v>
      </c>
      <c r="B86">
        <v>2</v>
      </c>
      <c r="C86" t="s">
        <v>104</v>
      </c>
    </row>
    <row r="87" spans="1:13" s="4" customFormat="1" ht="24" customHeight="1">
      <c r="A87" s="4" t="s">
        <v>140</v>
      </c>
      <c r="B87" s="4">
        <v>2</v>
      </c>
      <c r="C87" s="4" t="s">
        <v>105</v>
      </c>
      <c r="D87" s="4">
        <v>119</v>
      </c>
    </row>
    <row r="88" spans="1:13" ht="24" customHeight="1">
      <c r="A88" t="s">
        <v>140</v>
      </c>
      <c r="B88">
        <v>2</v>
      </c>
      <c r="C88" t="s">
        <v>106</v>
      </c>
      <c r="D88" s="5">
        <v>21</v>
      </c>
      <c r="E88" s="2">
        <f>IF(AND(ISNUMBER(F88),ISNUMBER('Reference data'!$B$3)),F88*'Reference data'!$B$3,"Unknown")</f>
        <v>2.2169448e-05</v>
      </c>
      <c r="F88" s="2">
        <f>IF(D88=0,0,IF(ISNUMBER('Reference data'!F17),D88*'Reference data'!F17/1000000,"Unknown"))</f>
        <v>2.52e-05</v>
      </c>
      <c r="G88" s="5">
        <f>IF(ISNUMBER(E88),ROUND(E88*'Reference data'!$B$2,0),"Unknown")</f>
        <v>2.0</v>
      </c>
      <c r="H88" s="5">
        <f>IF(ISNUMBER(F88),ROUND(F88*'Reference data'!$B$2,0),"Unknown")</f>
        <v>3.0</v>
      </c>
    </row>
    <row r="89" spans="1:13" ht="24" customHeight="1">
      <c r="A89" t="s">
        <v>140</v>
      </c>
      <c r="B89">
        <v>2</v>
      </c>
      <c r="C89" t="s">
        <v>107</v>
      </c>
      <c r="D89" s="5">
        <v>98</v>
      </c>
      <c r="E89" s="2">
        <f>IF(AND(ISNUMBER(F89),ISNUMBER('Reference data'!$B$3)),F89*'Reference data'!$B$3,"Unknown")</f>
        <v>0.000103457424</v>
      </c>
      <c r="F89" s="2">
        <f>IF(D89=0,0,IF(ISNUMBER('Reference data'!E17),D89*'Reference data'!E17/1000000,"Unknown"))</f>
        <v>0.0001176</v>
      </c>
      <c r="G89" s="5">
        <f>IF(ISNUMBER(E89),ROUND(E89*'Reference data'!$B$2,0),"Unknown")</f>
        <v>10.0</v>
      </c>
      <c r="H89" s="5">
        <f>IF(ISNUMBER(F89),ROUND(F89*'Reference data'!$B$2,0),"Unknown")</f>
        <v>12.0</v>
      </c>
    </row>
    <row r="90" spans="1:13" ht="409" customHeight="1">
      <c r="A90" t="s">
        <v>140</v>
      </c>
      <c r="B90">
        <v>2</v>
      </c>
      <c r="C90" t="s">
        <v>108</v>
      </c>
      <c r="I90" s="6" t="s">
        <v>144</v>
      </c>
    </row>
    <row r="91" spans="1:13" ht="24" customHeight="1">
      <c r="A91" t="s">
        <v>140</v>
      </c>
      <c r="B91">
        <v>2</v>
      </c>
      <c r="C91" t="s">
        <v>103</v>
      </c>
    </row>
    <row r="92" spans="1:13" ht="24" customHeight="1">
      <c r="A92" t="s">
        <v>140</v>
      </c>
      <c r="B92">
        <v>2</v>
      </c>
      <c r="C92" t="s">
        <v>104</v>
      </c>
    </row>
    <row r="93" spans="1:13" s="4" customFormat="1" ht="24" customHeight="1">
      <c r="A93" s="4" t="s">
        <v>140</v>
      </c>
      <c r="B93" s="4">
        <v>2</v>
      </c>
      <c r="C93" s="4" t="s">
        <v>110</v>
      </c>
      <c r="E93" s="2">
        <f>IF(COUNT('Turns'!E81,'Turns'!E85,'Turns'!E88,'Turns'!E89)=4,SUM('Turns'!E81,'Turns'!E85,'Turns'!E88,'Turns'!E89),"Unknown")</f>
        <v>0.001690552371</v>
      </c>
      <c r="F93" s="2">
        <f>IF(COUNT('Turns'!F81,'Turns'!F85,'Turns'!F88,'Turns'!F89)=4,SUM('Turns'!F81,'Turns'!F85,'Turns'!F88,'Turns'!F89),"Unknown")</f>
        <v>0.00192165</v>
      </c>
      <c r="G93" s="5">
        <f>IF(ISNUMBER(E93),ROUND(E93*'Reference data'!$B$2,0),"Unknown")</f>
        <v>169.0</v>
      </c>
      <c r="H93" s="5">
        <f>IF(ISNUMBER(F93),ROUND(F93*'Reference data'!$B$2,0),"Unknown")</f>
        <v>192.0</v>
      </c>
      <c r="K93" s="4" t="s">
        <v>111</v>
      </c>
    </row>
    <row r="94" spans="1:13" s="4" customFormat="1" ht="24" customHeight="1">
      <c r="B94" s="4">
        <v>2</v>
      </c>
      <c r="C94" s="4" t="s">
        <v>112</v>
      </c>
      <c r="K94" s="4" t="s">
        <v>111</v>
      </c>
      <c r="M94" s="4" t="s">
        <v>145</v>
      </c>
    </row>
    <row r="95" spans="1:13" ht="24" customHeight="1">
      <c r="B95">
        <v>2</v>
      </c>
      <c r="C95" t="s">
        <v>114</v>
      </c>
      <c r="I95" s="6" t="s">
        <v>146</v>
      </c>
    </row>
    <row r="96" spans="1:13" ht="409" customHeight="1">
      <c r="B96">
        <v>2</v>
      </c>
      <c r="C96" t="s">
        <v>116</v>
      </c>
      <c r="I96" s="6" t="s">
        <v>147</v>
      </c>
    </row>
    <row r="97" spans="1:13" s="4" customFormat="1" ht="24" customHeight="1">
      <c r="B97" s="4">
        <v>2</v>
      </c>
      <c r="C97" s="4" t="s">
        <v>112</v>
      </c>
      <c r="K97" s="4" t="s">
        <v>111</v>
      </c>
      <c r="M97" s="4" t="s">
        <v>148</v>
      </c>
    </row>
    <row r="98" spans="1:13" ht="24" customHeight="1">
      <c r="B98">
        <v>2</v>
      </c>
      <c r="C98" t="s">
        <v>114</v>
      </c>
      <c r="I98" s="6" t="s">
        <v>149</v>
      </c>
    </row>
    <row r="99" spans="1:13" ht="409" customHeight="1">
      <c r="B99">
        <v>2</v>
      </c>
      <c r="C99" t="s">
        <v>116</v>
      </c>
      <c r="I99" s="6" t="s">
        <v>150</v>
      </c>
    </row>
    <row r="100" spans="1:13" s="4" customFormat="1" ht="24" customHeight="1">
      <c r="B100" s="4">
        <v>2</v>
      </c>
      <c r="C100" s="4" t="s">
        <v>112</v>
      </c>
      <c r="K100" s="4" t="s">
        <v>111</v>
      </c>
      <c r="M100" s="4" t="s">
        <v>151</v>
      </c>
    </row>
    <row r="101" spans="1:13" ht="24" customHeight="1">
      <c r="B101">
        <v>2</v>
      </c>
      <c r="C101" t="s">
        <v>114</v>
      </c>
      <c r="I101" s="6" t="s">
        <v>152</v>
      </c>
    </row>
    <row r="102" spans="1:13" ht="409" customHeight="1">
      <c r="B102">
        <v>2</v>
      </c>
      <c r="C102" t="s">
        <v>116</v>
      </c>
      <c r="I102" s="6" t="s">
        <v>153</v>
      </c>
    </row>
    <row r="103" spans="1:13" s="4" customFormat="1" ht="24" customHeight="1">
      <c r="A103" s="4" t="s">
        <v>154</v>
      </c>
      <c r="B103" s="4">
        <v>2</v>
      </c>
      <c r="C103" s="4" t="s">
        <v>94</v>
      </c>
      <c r="D103" s="4">
        <v>5044</v>
      </c>
      <c r="J103" s="4" t="s">
        <v>95</v>
      </c>
      <c r="M103" s="4" t="s">
        <v>155</v>
      </c>
    </row>
    <row r="104" spans="1:13" ht="24" customHeight="1">
      <c r="A104" t="s">
        <v>154</v>
      </c>
      <c r="B104">
        <v>2</v>
      </c>
      <c r="C104" t="s">
        <v>97</v>
      </c>
      <c r="D104" s="5">
        <v>3</v>
      </c>
      <c r="E104" s="2">
        <f>IF(AND(ISNUMBER(F104),ISNUMBER('Reference data'!$B$3)),F104*'Reference data'!$B$3,"Unknown")</f>
        <v>5.27844e-07</v>
      </c>
      <c r="F104" s="2">
        <f>IF(D104=0,0,IF(ISNUMBER('Reference data'!B17),D104*'Reference data'!B17/1000000,"Unknown"))</f>
        <v>6e-07</v>
      </c>
      <c r="G104" s="5">
        <f>IF(ISNUMBER(E104),ROUND(E104*'Reference data'!$B$2,0),"Unknown")</f>
        <v>0.0</v>
      </c>
      <c r="H104" s="5">
        <f>IF(ISNUMBER(F104),ROUND(F104*'Reference data'!$B$2,0),"Unknown")</f>
        <v>0.0</v>
      </c>
    </row>
    <row r="105" spans="1:13" ht="24" customHeight="1">
      <c r="A105" t="s">
        <v>154</v>
      </c>
      <c r="B105">
        <v>2</v>
      </c>
      <c r="C105" t="s">
        <v>98</v>
      </c>
    </row>
    <row r="106" spans="1:13" ht="24" customHeight="1">
      <c r="A106" t="s">
        <v>154</v>
      </c>
      <c r="B106">
        <v>2</v>
      </c>
      <c r="C106" t="s">
        <v>99</v>
      </c>
      <c r="I106" s="6" t="s">
        <v>156</v>
      </c>
    </row>
    <row r="107" spans="1:13" ht="24" customHeight="1">
      <c r="A107" t="s">
        <v>154</v>
      </c>
      <c r="B107">
        <v>2</v>
      </c>
      <c r="C107" t="s">
        <v>103</v>
      </c>
      <c r="D107" s="5">
        <v>5041</v>
      </c>
      <c r="E107" s="2">
        <f>IF(AND(ISNUMBER(F107),ISNUMBER('Reference data'!$B$3)),F107*'Reference data'!$B$3,"Unknown")</f>
        <v>0.001108692335</v>
      </c>
      <c r="F107" s="2">
        <f>IF(D107=0,0,IF(ISNUMBER('Reference data'!D17),D107*'Reference data'!D17/1000000,"Unknown"))</f>
        <v>0.00126025</v>
      </c>
      <c r="G107" s="5">
        <f>IF(ISNUMBER(E107),ROUND(E107*'Reference data'!$B$2,0),"Unknown")</f>
        <v>111.0</v>
      </c>
      <c r="H107" s="5">
        <f>IF(ISNUMBER(F107),ROUND(F107*'Reference data'!$B$2,0),"Unknown")</f>
        <v>126.0</v>
      </c>
    </row>
    <row r="108" spans="1:13" ht="24" customHeight="1">
      <c r="A108" t="s">
        <v>154</v>
      </c>
      <c r="B108">
        <v>2</v>
      </c>
      <c r="C108" t="s">
        <v>104</v>
      </c>
    </row>
    <row r="109" spans="1:13" s="4" customFormat="1" ht="24" customHeight="1">
      <c r="A109" s="4" t="s">
        <v>154</v>
      </c>
      <c r="B109" s="4">
        <v>2</v>
      </c>
      <c r="C109" s="4" t="s">
        <v>105</v>
      </c>
      <c r="D109" s="4">
        <v>943</v>
      </c>
    </row>
    <row r="110" spans="1:13" ht="24" customHeight="1">
      <c r="A110" t="s">
        <v>154</v>
      </c>
      <c r="B110">
        <v>2</v>
      </c>
      <c r="C110" t="s">
        <v>106</v>
      </c>
      <c r="D110" s="5">
        <v>63</v>
      </c>
      <c r="E110" s="2">
        <f>IF(AND(ISNUMBER(F110),ISNUMBER('Reference data'!$B$3)),F110*'Reference data'!$B$3,"Unknown")</f>
        <v>6.6508344e-05</v>
      </c>
      <c r="F110" s="2">
        <f>IF(D110=0,0,IF(ISNUMBER('Reference data'!F17),D110*'Reference data'!F17/1000000,"Unknown"))</f>
        <v>7.56e-05</v>
      </c>
      <c r="G110" s="5">
        <f>IF(ISNUMBER(E110),ROUND(E110*'Reference data'!$B$2,0),"Unknown")</f>
        <v>7.0</v>
      </c>
      <c r="H110" s="5">
        <f>IF(ISNUMBER(F110),ROUND(F110*'Reference data'!$B$2,0),"Unknown")</f>
        <v>8.0</v>
      </c>
    </row>
    <row r="111" spans="1:13" ht="24" customHeight="1">
      <c r="A111" t="s">
        <v>154</v>
      </c>
      <c r="B111">
        <v>2</v>
      </c>
      <c r="C111" t="s">
        <v>107</v>
      </c>
      <c r="D111" s="5">
        <v>880</v>
      </c>
      <c r="E111" s="2">
        <f>IF(AND(ISNUMBER(F111),ISNUMBER('Reference data'!$B$3)),F111*'Reference data'!$B$3,"Unknown")</f>
        <v>0.00092900544</v>
      </c>
      <c r="F111" s="2">
        <f>IF(D111=0,0,IF(ISNUMBER('Reference data'!E17),D111*'Reference data'!E17/1000000,"Unknown"))</f>
        <v>0.001056</v>
      </c>
      <c r="G111" s="5">
        <f>IF(ISNUMBER(E111),ROUND(E111*'Reference data'!$B$2,0),"Unknown")</f>
        <v>93.0</v>
      </c>
      <c r="H111" s="5">
        <f>IF(ISNUMBER(F111),ROUND(F111*'Reference data'!$B$2,0),"Unknown")</f>
        <v>106.0</v>
      </c>
    </row>
    <row r="112" spans="1:13" ht="409" customHeight="1">
      <c r="A112" t="s">
        <v>154</v>
      </c>
      <c r="B112">
        <v>2</v>
      </c>
      <c r="C112" t="s">
        <v>108</v>
      </c>
      <c r="I112" s="6" t="s">
        <v>157</v>
      </c>
    </row>
    <row r="113" spans="1:13" ht="24" customHeight="1">
      <c r="A113" t="s">
        <v>154</v>
      </c>
      <c r="B113">
        <v>2</v>
      </c>
      <c r="C113" t="s">
        <v>103</v>
      </c>
    </row>
    <row r="114" spans="1:13" ht="24" customHeight="1">
      <c r="A114" t="s">
        <v>154</v>
      </c>
      <c r="B114">
        <v>2</v>
      </c>
      <c r="C114" t="s">
        <v>104</v>
      </c>
    </row>
    <row r="115" spans="1:13" s="4" customFormat="1" ht="24" customHeight="1">
      <c r="A115" s="4" t="s">
        <v>154</v>
      </c>
      <c r="B115" s="4">
        <v>2</v>
      </c>
      <c r="C115" s="4" t="s">
        <v>110</v>
      </c>
      <c r="E115" s="2">
        <f>IF(COUNT('Turns'!E104,'Turns'!E107,'Turns'!E110,'Turns'!E111)=4,SUM('Turns'!E104,'Turns'!E107,'Turns'!E110,'Turns'!E111),"Unknown")</f>
        <v>0.002104733963</v>
      </c>
      <c r="F115" s="2">
        <f>IF(COUNT('Turns'!F104,'Turns'!F107,'Turns'!F110,'Turns'!F111)=4,SUM('Turns'!F104,'Turns'!F107,'Turns'!F110,'Turns'!F111),"Unknown")</f>
        <v>0.00239245</v>
      </c>
      <c r="G115" s="5">
        <f>IF(ISNUMBER(E115),ROUND(E115*'Reference data'!$B$2,0),"Unknown")</f>
        <v>210.0</v>
      </c>
      <c r="H115" s="5">
        <f>IF(ISNUMBER(F115),ROUND(F115*'Reference data'!$B$2,0),"Unknown")</f>
        <v>239.0</v>
      </c>
      <c r="K115" s="4" t="s">
        <v>111</v>
      </c>
    </row>
    <row r="116" spans="1:13" s="4" customFormat="1" ht="24" customHeight="1">
      <c r="A116" s="4" t="s">
        <v>158</v>
      </c>
      <c r="B116" s="4">
        <v>2</v>
      </c>
      <c r="C116" s="4" t="s">
        <v>94</v>
      </c>
      <c r="D116" s="4">
        <v>5543</v>
      </c>
      <c r="J116" s="4" t="s">
        <v>95</v>
      </c>
      <c r="M116" s="4" t="s">
        <v>159</v>
      </c>
    </row>
    <row r="117" spans="1:13" ht="24" customHeight="1">
      <c r="A117" t="s">
        <v>158</v>
      </c>
      <c r="B117">
        <v>2</v>
      </c>
      <c r="C117" t="s">
        <v>120</v>
      </c>
      <c r="D117" s="5">
        <v>1999</v>
      </c>
      <c r="E117" s="2">
        <f>IF(AND(ISNUMBER(F117),ISNUMBER('Reference data'!$B$3)),F117*'Reference data'!$B$3,"Unknown")</f>
        <v>3.51720052e-05</v>
      </c>
      <c r="F117" s="2">
        <f>IF(D117=0,0,IF(ISNUMBER('Reference data'!C17),D117*'Reference data'!C17/1000000,"Unknown"))</f>
        <v>3.998e-05</v>
      </c>
      <c r="G117" s="5">
        <f>IF(ISNUMBER(E117),ROUND(E117*'Reference data'!$B$2,0),"Unknown")</f>
        <v>4.0</v>
      </c>
      <c r="H117" s="5">
        <f>IF(ISNUMBER(F117),ROUND(F117*'Reference data'!$B$2,0),"Unknown")</f>
        <v>4.0</v>
      </c>
    </row>
    <row r="118" spans="1:13" ht="24" customHeight="1">
      <c r="A118" t="s">
        <v>158</v>
      </c>
      <c r="B118">
        <v>2</v>
      </c>
      <c r="C118" t="s">
        <v>97</v>
      </c>
      <c r="D118" s="5">
        <v>3</v>
      </c>
      <c r="E118" s="2">
        <f>IF(AND(ISNUMBER(F118),ISNUMBER('Reference data'!$B$3)),F118*'Reference data'!$B$3,"Unknown")</f>
        <v>5.27844e-07</v>
      </c>
      <c r="F118" s="2">
        <f>IF(D118=0,0,IF(ISNUMBER('Reference data'!B17),D118*'Reference data'!B17/1000000,"Unknown"))</f>
        <v>6e-07</v>
      </c>
      <c r="G118" s="5">
        <f>IF(ISNUMBER(E118),ROUND(E118*'Reference data'!$B$2,0),"Unknown")</f>
        <v>0.0</v>
      </c>
      <c r="H118" s="5">
        <f>IF(ISNUMBER(F118),ROUND(F118*'Reference data'!$B$2,0),"Unknown")</f>
        <v>0.0</v>
      </c>
    </row>
    <row r="119" spans="1:13" ht="409" customHeight="1">
      <c r="A119" t="s">
        <v>158</v>
      </c>
      <c r="B119">
        <v>2</v>
      </c>
      <c r="C119" t="s">
        <v>121</v>
      </c>
      <c r="I119" s="6" t="s">
        <v>160</v>
      </c>
    </row>
    <row r="120" spans="1:13" ht="24" customHeight="1">
      <c r="A120" t="s">
        <v>158</v>
      </c>
      <c r="B120">
        <v>2</v>
      </c>
      <c r="C120" t="s">
        <v>103</v>
      </c>
      <c r="D120" s="5">
        <v>3541</v>
      </c>
      <c r="E120" s="2">
        <f>IF(AND(ISNUMBER(F120),ISNUMBER('Reference data'!$B$3)),F120*'Reference data'!$B$3,"Unknown")</f>
        <v>0.000778789835</v>
      </c>
      <c r="F120" s="2">
        <f>IF(D120=0,0,IF(ISNUMBER('Reference data'!D17),D120*'Reference data'!D17/1000000,"Unknown"))</f>
        <v>0.00088525</v>
      </c>
      <c r="G120" s="5">
        <f>IF(ISNUMBER(E120),ROUND(E120*'Reference data'!$B$2,0),"Unknown")</f>
        <v>78.0</v>
      </c>
      <c r="H120" s="5">
        <f>IF(ISNUMBER(F120),ROUND(F120*'Reference data'!$B$2,0),"Unknown")</f>
        <v>89.0</v>
      </c>
    </row>
    <row r="121" spans="1:13" ht="24" customHeight="1">
      <c r="A121" t="s">
        <v>158</v>
      </c>
      <c r="B121">
        <v>2</v>
      </c>
      <c r="C121" t="s">
        <v>104</v>
      </c>
    </row>
    <row r="122" spans="1:13" s="4" customFormat="1" ht="24" customHeight="1">
      <c r="A122" s="4" t="s">
        <v>158</v>
      </c>
      <c r="B122" s="4">
        <v>2</v>
      </c>
      <c r="C122" s="4" t="s">
        <v>105</v>
      </c>
      <c r="D122" s="4">
        <v>643</v>
      </c>
    </row>
    <row r="123" spans="1:13" ht="24" customHeight="1">
      <c r="A123" t="s">
        <v>158</v>
      </c>
      <c r="B123">
        <v>2</v>
      </c>
      <c r="C123" t="s">
        <v>106</v>
      </c>
      <c r="D123" s="5">
        <v>412</v>
      </c>
      <c r="E123" s="2">
        <f>IF(AND(ISNUMBER(F123),ISNUMBER('Reference data'!$B$3)),F123*'Reference data'!$B$3,"Unknown")</f>
        <v>0.000434943456</v>
      </c>
      <c r="F123" s="2">
        <f>IF(D123=0,0,IF(ISNUMBER('Reference data'!F17),D123*'Reference data'!F17/1000000,"Unknown"))</f>
        <v>0.0004944</v>
      </c>
      <c r="G123" s="5">
        <f>IF(ISNUMBER(E123),ROUND(E123*'Reference data'!$B$2,0),"Unknown")</f>
        <v>43.0</v>
      </c>
      <c r="H123" s="5">
        <f>IF(ISNUMBER(F123),ROUND(F123*'Reference data'!$B$2,0),"Unknown")</f>
        <v>49.0</v>
      </c>
    </row>
    <row r="124" spans="1:13" ht="24" customHeight="1">
      <c r="A124" t="s">
        <v>158</v>
      </c>
      <c r="B124">
        <v>2</v>
      </c>
      <c r="C124" t="s">
        <v>107</v>
      </c>
      <c r="D124" s="5">
        <v>231</v>
      </c>
      <c r="E124" s="2">
        <f>IF(AND(ISNUMBER(F124),ISNUMBER('Reference data'!$B$3)),F124*'Reference data'!$B$3,"Unknown")</f>
        <v>0.000243863928</v>
      </c>
      <c r="F124" s="2">
        <f>IF(D124=0,0,IF(ISNUMBER('Reference data'!E17),D124*'Reference data'!E17/1000000,"Unknown"))</f>
        <v>0.0002772</v>
      </c>
      <c r="G124" s="5">
        <f>IF(ISNUMBER(E124),ROUND(E124*'Reference data'!$B$2,0),"Unknown")</f>
        <v>24.0</v>
      </c>
      <c r="H124" s="5">
        <f>IF(ISNUMBER(F124),ROUND(F124*'Reference data'!$B$2,0),"Unknown")</f>
        <v>28.0</v>
      </c>
    </row>
    <row r="125" spans="1:13" ht="409" customHeight="1">
      <c r="A125" t="s">
        <v>158</v>
      </c>
      <c r="B125">
        <v>2</v>
      </c>
      <c r="C125" t="s">
        <v>108</v>
      </c>
      <c r="I125" s="6" t="s">
        <v>161</v>
      </c>
    </row>
    <row r="126" spans="1:13" ht="24" customHeight="1">
      <c r="A126" t="s">
        <v>158</v>
      </c>
      <c r="B126">
        <v>2</v>
      </c>
      <c r="C126" t="s">
        <v>103</v>
      </c>
    </row>
    <row r="127" spans="1:13" ht="24" customHeight="1">
      <c r="A127" t="s">
        <v>158</v>
      </c>
      <c r="B127">
        <v>2</v>
      </c>
      <c r="C127" t="s">
        <v>104</v>
      </c>
    </row>
    <row r="128" spans="1:13" s="4" customFormat="1" ht="24" customHeight="1">
      <c r="A128" s="4" t="s">
        <v>158</v>
      </c>
      <c r="B128" s="4">
        <v>2</v>
      </c>
      <c r="C128" s="4" t="s">
        <v>110</v>
      </c>
      <c r="E128" s="2">
        <f>IF(COUNT('Turns'!E117,'Turns'!E118,'Turns'!E120,'Turns'!E123,'Turns'!E124)=5,SUM('Turns'!E117,'Turns'!E118,'Turns'!E120,'Turns'!E123,'Turns'!E124),"Unknown")</f>
        <v>0.0014932970682</v>
      </c>
      <c r="F128" s="2">
        <f>IF(COUNT('Turns'!F117,'Turns'!F118,'Turns'!F120,'Turns'!F123,'Turns'!F124)=5,SUM('Turns'!F117,'Turns'!F118,'Turns'!F120,'Turns'!F123,'Turns'!F124),"Unknown")</f>
        <v>0.00169743</v>
      </c>
      <c r="G128" s="5">
        <f>IF(ISNUMBER(E128),ROUND(E128*'Reference data'!$B$2,0),"Unknown")</f>
        <v>149.0</v>
      </c>
      <c r="H128" s="5">
        <f>IF(ISNUMBER(F128),ROUND(F128*'Reference data'!$B$2,0),"Unknown")</f>
        <v>170.0</v>
      </c>
      <c r="K128" s="4" t="s">
        <v>111</v>
      </c>
    </row>
    <row r="129" spans="1:13" s="4" customFormat="1" ht="24" customHeight="1">
      <c r="B129" s="4">
        <v>2</v>
      </c>
      <c r="C129" s="4" t="s">
        <v>127</v>
      </c>
      <c r="K129" s="4" t="s">
        <v>111</v>
      </c>
      <c r="M129" s="4" t="s">
        <v>162</v>
      </c>
    </row>
    <row r="130" spans="1:13" ht="125" customHeight="1">
      <c r="B130">
        <v>2</v>
      </c>
      <c r="C130" t="s">
        <v>114</v>
      </c>
      <c r="I130" s="6" t="s">
        <v>163</v>
      </c>
    </row>
    <row r="131" spans="1:13" ht="24" customHeight="1">
      <c r="B131">
        <v>2</v>
      </c>
      <c r="C131" t="s">
        <v>116</v>
      </c>
      <c r="I131" s="6" t="s">
        <v>164</v>
      </c>
    </row>
    <row r="132" spans="1:13" s="4" customFormat="1" ht="24" customHeight="1">
      <c r="A132" s="4" t="s">
        <v>165</v>
      </c>
      <c r="B132" s="4">
        <v>2</v>
      </c>
      <c r="C132" s="4" t="s">
        <v>94</v>
      </c>
      <c r="D132" s="4">
        <v>6211</v>
      </c>
      <c r="J132" s="4" t="s">
        <v>95</v>
      </c>
      <c r="M132" s="4" t="s">
        <v>166</v>
      </c>
    </row>
    <row r="133" spans="1:13" ht="24" customHeight="1">
      <c r="A133" t="s">
        <v>165</v>
      </c>
      <c r="B133">
        <v>2</v>
      </c>
      <c r="C133" t="s">
        <v>120</v>
      </c>
      <c r="D133" s="5">
        <v>5540</v>
      </c>
      <c r="E133" s="2">
        <f>IF(AND(ISNUMBER(F133),ISNUMBER('Reference data'!$B$3)),F133*'Reference data'!$B$3,"Unknown")</f>
        <v>9.7475192e-05</v>
      </c>
      <c r="F133" s="2">
        <f>IF(D133=0,0,IF(ISNUMBER('Reference data'!C17),D133*'Reference data'!C17/1000000,"Unknown"))</f>
        <v>0.0001108</v>
      </c>
      <c r="G133" s="5">
        <f>IF(ISNUMBER(E133),ROUND(E133*'Reference data'!$B$2,0),"Unknown")</f>
        <v>10.0</v>
      </c>
      <c r="H133" s="5">
        <f>IF(ISNUMBER(F133),ROUND(F133*'Reference data'!$B$2,0),"Unknown")</f>
        <v>11.0</v>
      </c>
    </row>
    <row r="134" spans="1:13" ht="24" customHeight="1">
      <c r="A134" t="s">
        <v>165</v>
      </c>
      <c r="B134">
        <v>2</v>
      </c>
      <c r="C134" t="s">
        <v>97</v>
      </c>
      <c r="D134" s="5">
        <v>3</v>
      </c>
      <c r="E134" s="2">
        <f>IF(AND(ISNUMBER(F134),ISNUMBER('Reference data'!$B$3)),F134*'Reference data'!$B$3,"Unknown")</f>
        <v>5.27844e-07</v>
      </c>
      <c r="F134" s="2">
        <f>IF(D134=0,0,IF(ISNUMBER('Reference data'!B17),D134*'Reference data'!B17/1000000,"Unknown"))</f>
        <v>6e-07</v>
      </c>
      <c r="G134" s="5">
        <f>IF(ISNUMBER(E134),ROUND(E134*'Reference data'!$B$2,0),"Unknown")</f>
        <v>0.0</v>
      </c>
      <c r="H134" s="5">
        <f>IF(ISNUMBER(F134),ROUND(F134*'Reference data'!$B$2,0),"Unknown")</f>
        <v>0.0</v>
      </c>
    </row>
    <row r="135" spans="1:13" ht="24" customHeight="1">
      <c r="A135" t="s">
        <v>165</v>
      </c>
      <c r="B135">
        <v>2</v>
      </c>
      <c r="C135" t="s">
        <v>121</v>
      </c>
      <c r="I135" s="6" t="s">
        <v>164</v>
      </c>
    </row>
    <row r="136" spans="1:13" ht="24" customHeight="1">
      <c r="A136" t="s">
        <v>165</v>
      </c>
      <c r="B136">
        <v>2</v>
      </c>
      <c r="C136" t="s">
        <v>103</v>
      </c>
      <c r="D136" s="5">
        <v>668</v>
      </c>
      <c r="E136" s="2">
        <f>IF(AND(ISNUMBER(F136),ISNUMBER('Reference data'!$B$3)),F136*'Reference data'!$B$3,"Unknown")</f>
        <v>0.00014691658</v>
      </c>
      <c r="F136" s="2">
        <f>IF(D136=0,0,IF(ISNUMBER('Reference data'!D17),D136*'Reference data'!D17/1000000,"Unknown"))</f>
        <v>0.000167</v>
      </c>
      <c r="G136" s="5">
        <f>IF(ISNUMBER(E136),ROUND(E136*'Reference data'!$B$2,0),"Unknown")</f>
        <v>15.0</v>
      </c>
      <c r="H136" s="5">
        <f>IF(ISNUMBER(F136),ROUND(F136*'Reference data'!$B$2,0),"Unknown")</f>
        <v>17.0</v>
      </c>
    </row>
    <row r="137" spans="1:13" ht="24" customHeight="1">
      <c r="A137" t="s">
        <v>165</v>
      </c>
      <c r="B137">
        <v>2</v>
      </c>
      <c r="C137" t="s">
        <v>104</v>
      </c>
    </row>
    <row r="138" spans="1:13" s="4" customFormat="1" ht="24" customHeight="1">
      <c r="A138" s="4" t="s">
        <v>165</v>
      </c>
      <c r="B138" s="4">
        <v>2</v>
      </c>
      <c r="C138" s="4" t="s">
        <v>105</v>
      </c>
      <c r="D138" s="4">
        <v>42</v>
      </c>
    </row>
    <row r="139" spans="1:13" ht="24" customHeight="1">
      <c r="A139" t="s">
        <v>165</v>
      </c>
      <c r="B139">
        <v>2</v>
      </c>
      <c r="C139" t="s">
        <v>106</v>
      </c>
      <c r="D139" s="5">
        <v>10</v>
      </c>
      <c r="E139" s="2">
        <f>IF(AND(ISNUMBER(F139),ISNUMBER('Reference data'!$B$3)),F139*'Reference data'!$B$3,"Unknown")</f>
        <v>1.055688e-05</v>
      </c>
      <c r="F139" s="2">
        <f>IF(D139=0,0,IF(ISNUMBER('Reference data'!F17),D139*'Reference data'!F17/1000000,"Unknown"))</f>
        <v>1.2e-05</v>
      </c>
      <c r="G139" s="5">
        <f>IF(ISNUMBER(E139),ROUND(E139*'Reference data'!$B$2,0),"Unknown")</f>
        <v>1.0</v>
      </c>
      <c r="H139" s="5">
        <f>IF(ISNUMBER(F139),ROUND(F139*'Reference data'!$B$2,0),"Unknown")</f>
        <v>1.0</v>
      </c>
    </row>
    <row r="140" spans="1:13" ht="24" customHeight="1">
      <c r="A140" t="s">
        <v>165</v>
      </c>
      <c r="B140">
        <v>2</v>
      </c>
      <c r="C140" t="s">
        <v>107</v>
      </c>
      <c r="D140" s="5">
        <v>32</v>
      </c>
      <c r="E140" s="2">
        <f>IF(AND(ISNUMBER(F140),ISNUMBER('Reference data'!$B$3)),F140*'Reference data'!$B$3,"Unknown")</f>
        <v>3.3782016e-05</v>
      </c>
      <c r="F140" s="2">
        <f>IF(D140=0,0,IF(ISNUMBER('Reference data'!E17),D140*'Reference data'!E17/1000000,"Unknown"))</f>
        <v>3.84e-05</v>
      </c>
      <c r="G140" s="5">
        <f>IF(ISNUMBER(E140),ROUND(E140*'Reference data'!$B$2,0),"Unknown")</f>
        <v>3.0</v>
      </c>
      <c r="H140" s="5">
        <f>IF(ISNUMBER(F140),ROUND(F140*'Reference data'!$B$2,0),"Unknown")</f>
        <v>4.0</v>
      </c>
    </row>
    <row r="141" spans="1:13" ht="281" customHeight="1">
      <c r="A141" t="s">
        <v>165</v>
      </c>
      <c r="B141">
        <v>2</v>
      </c>
      <c r="C141" t="s">
        <v>108</v>
      </c>
      <c r="I141" s="6" t="s">
        <v>167</v>
      </c>
    </row>
    <row r="142" spans="1:13" ht="24" customHeight="1">
      <c r="A142" t="s">
        <v>165</v>
      </c>
      <c r="B142">
        <v>2</v>
      </c>
      <c r="C142" t="s">
        <v>103</v>
      </c>
    </row>
    <row r="143" spans="1:13" ht="24" customHeight="1">
      <c r="A143" t="s">
        <v>165</v>
      </c>
      <c r="B143">
        <v>2</v>
      </c>
      <c r="C143" t="s">
        <v>104</v>
      </c>
    </row>
    <row r="144" spans="1:13" s="4" customFormat="1" ht="24" customHeight="1">
      <c r="A144" s="4" t="s">
        <v>165</v>
      </c>
      <c r="B144" s="4">
        <v>2</v>
      </c>
      <c r="C144" s="4" t="s">
        <v>110</v>
      </c>
      <c r="E144" s="2">
        <f>IF(COUNT('Turns'!E133,'Turns'!E134,'Turns'!E136,'Turns'!E139,'Turns'!E140)=5,SUM('Turns'!E133,'Turns'!E134,'Turns'!E136,'Turns'!E139,'Turns'!E140),"Unknown")</f>
        <v>0.000289258512</v>
      </c>
      <c r="F144" s="2">
        <f>IF(COUNT('Turns'!F133,'Turns'!F134,'Turns'!F136,'Turns'!F139,'Turns'!F140)=5,SUM('Turns'!F133,'Turns'!F134,'Turns'!F136,'Turns'!F139,'Turns'!F140),"Unknown")</f>
        <v>0.0003288</v>
      </c>
      <c r="G144" s="5">
        <f>IF(ISNUMBER(E144),ROUND(E144*'Reference data'!$B$2,0),"Unknown")</f>
        <v>29.0</v>
      </c>
      <c r="H144" s="5">
        <f>IF(ISNUMBER(F144),ROUND(F144*'Reference data'!$B$2,0),"Unknown")</f>
        <v>33.0</v>
      </c>
      <c r="K144" s="4" t="s">
        <v>111</v>
      </c>
    </row>
    <row r="145" spans="1:13" s="4" customFormat="1" ht="24" customHeight="1">
      <c r="B145" s="4">
        <v>2</v>
      </c>
      <c r="C145" s="4" t="s">
        <v>112</v>
      </c>
      <c r="K145" s="4" t="s">
        <v>111</v>
      </c>
      <c r="M145" s="4" t="s">
        <v>168</v>
      </c>
    </row>
    <row r="146" spans="1:13" ht="24" customHeight="1">
      <c r="B146">
        <v>2</v>
      </c>
      <c r="C146" t="s">
        <v>114</v>
      </c>
      <c r="I146" s="6" t="s">
        <v>169</v>
      </c>
    </row>
    <row r="147" spans="1:13" ht="409" customHeight="1">
      <c r="B147">
        <v>2</v>
      </c>
      <c r="C147" t="s">
        <v>116</v>
      </c>
      <c r="I147" s="6" t="s">
        <v>170</v>
      </c>
    </row>
    <row r="148" spans="1:13" s="4" customFormat="1" ht="24" customHeight="1">
      <c r="A148" s="4" t="s">
        <v>171</v>
      </c>
      <c r="B148" s="4">
        <v>2</v>
      </c>
      <c r="C148" s="4" t="s">
        <v>94</v>
      </c>
      <c r="D148" s="4">
        <v>6929</v>
      </c>
      <c r="J148" s="4" t="s">
        <v>95</v>
      </c>
      <c r="M148" s="4" t="s">
        <v>172</v>
      </c>
    </row>
    <row r="149" spans="1:13" ht="24" customHeight="1">
      <c r="A149" t="s">
        <v>171</v>
      </c>
      <c r="B149">
        <v>2</v>
      </c>
      <c r="C149" t="s">
        <v>120</v>
      </c>
      <c r="D149" s="5">
        <v>6208</v>
      </c>
      <c r="E149" s="2">
        <f>IF(AND(ISNUMBER(F149),ISNUMBER('Reference data'!$B$3)),F149*'Reference data'!$B$3,"Unknown")</f>
        <v>0.0001092285184</v>
      </c>
      <c r="F149" s="2">
        <f>IF(D149=0,0,IF(ISNUMBER('Reference data'!C17),D149*'Reference data'!C17/1000000,"Unknown"))</f>
        <v>0.00012416</v>
      </c>
      <c r="G149" s="5">
        <f>IF(ISNUMBER(E149),ROUND(E149*'Reference data'!$B$2,0),"Unknown")</f>
        <v>11.0</v>
      </c>
      <c r="H149" s="5">
        <f>IF(ISNUMBER(F149),ROUND(F149*'Reference data'!$B$2,0),"Unknown")</f>
        <v>12.0</v>
      </c>
    </row>
    <row r="150" spans="1:13" ht="24" customHeight="1">
      <c r="A150" t="s">
        <v>171</v>
      </c>
      <c r="B150">
        <v>2</v>
      </c>
      <c r="C150" t="s">
        <v>97</v>
      </c>
      <c r="D150" s="5">
        <v>3</v>
      </c>
      <c r="E150" s="2">
        <f>IF(AND(ISNUMBER(F150),ISNUMBER('Reference data'!$B$3)),F150*'Reference data'!$B$3,"Unknown")</f>
        <v>5.27844e-07</v>
      </c>
      <c r="F150" s="2">
        <f>IF(D150=0,0,IF(ISNUMBER('Reference data'!B17),D150*'Reference data'!B17/1000000,"Unknown"))</f>
        <v>6e-07</v>
      </c>
      <c r="G150" s="5">
        <f>IF(ISNUMBER(E150),ROUND(E150*'Reference data'!$B$2,0),"Unknown")</f>
        <v>0.0</v>
      </c>
      <c r="H150" s="5">
        <f>IF(ISNUMBER(F150),ROUND(F150*'Reference data'!$B$2,0),"Unknown")</f>
        <v>0.0</v>
      </c>
    </row>
    <row r="151" spans="1:13" ht="409" customHeight="1">
      <c r="A151" t="s">
        <v>171</v>
      </c>
      <c r="B151">
        <v>2</v>
      </c>
      <c r="C151" t="s">
        <v>121</v>
      </c>
      <c r="I151" s="6" t="s">
        <v>170</v>
      </c>
    </row>
    <row r="152" spans="1:13" ht="24" customHeight="1">
      <c r="A152" t="s">
        <v>171</v>
      </c>
      <c r="B152">
        <v>2</v>
      </c>
      <c r="C152" t="s">
        <v>103</v>
      </c>
      <c r="D152" s="5">
        <v>718</v>
      </c>
      <c r="E152" s="2">
        <f>IF(AND(ISNUMBER(F152),ISNUMBER('Reference data'!$B$3)),F152*'Reference data'!$B$3,"Unknown")</f>
        <v>0.00015791333</v>
      </c>
      <c r="F152" s="2">
        <f>IF(D152=0,0,IF(ISNUMBER('Reference data'!D17),D152*'Reference data'!D17/1000000,"Unknown"))</f>
        <v>0.0001795</v>
      </c>
      <c r="G152" s="5">
        <f>IF(ISNUMBER(E152),ROUND(E152*'Reference data'!$B$2,0),"Unknown")</f>
        <v>16.0</v>
      </c>
      <c r="H152" s="5">
        <f>IF(ISNUMBER(F152),ROUND(F152*'Reference data'!$B$2,0),"Unknown")</f>
        <v>18.0</v>
      </c>
    </row>
    <row r="153" spans="1:13" ht="24" customHeight="1">
      <c r="A153" t="s">
        <v>171</v>
      </c>
      <c r="B153">
        <v>2</v>
      </c>
      <c r="C153" t="s">
        <v>104</v>
      </c>
    </row>
    <row r="154" spans="1:13" s="4" customFormat="1" ht="24" customHeight="1">
      <c r="A154" s="4" t="s">
        <v>171</v>
      </c>
      <c r="B154" s="4">
        <v>2</v>
      </c>
      <c r="C154" s="4" t="s">
        <v>105</v>
      </c>
      <c r="D154" s="4">
        <v>216</v>
      </c>
    </row>
    <row r="155" spans="1:13" ht="24" customHeight="1">
      <c r="A155" t="s">
        <v>171</v>
      </c>
      <c r="B155">
        <v>2</v>
      </c>
      <c r="C155" t="s">
        <v>106</v>
      </c>
      <c r="D155" s="5">
        <v>89</v>
      </c>
      <c r="E155" s="2">
        <f>IF(AND(ISNUMBER(F155),ISNUMBER('Reference data'!$B$3)),F155*'Reference data'!$B$3,"Unknown")</f>
        <v>9.3956232e-05</v>
      </c>
      <c r="F155" s="2">
        <f>IF(D155=0,0,IF(ISNUMBER('Reference data'!F17),D155*'Reference data'!F17/1000000,"Unknown"))</f>
        <v>0.0001068</v>
      </c>
      <c r="G155" s="5">
        <f>IF(ISNUMBER(E155),ROUND(E155*'Reference data'!$B$2,0),"Unknown")</f>
        <v>9.0</v>
      </c>
      <c r="H155" s="5">
        <f>IF(ISNUMBER(F155),ROUND(F155*'Reference data'!$B$2,0),"Unknown")</f>
        <v>11.0</v>
      </c>
    </row>
    <row r="156" spans="1:13" ht="24" customHeight="1">
      <c r="A156" t="s">
        <v>171</v>
      </c>
      <c r="B156">
        <v>2</v>
      </c>
      <c r="C156" t="s">
        <v>107</v>
      </c>
      <c r="D156" s="5">
        <v>127</v>
      </c>
      <c r="E156" s="2">
        <f>IF(AND(ISNUMBER(F156),ISNUMBER('Reference data'!$B$3)),F156*'Reference data'!$B$3,"Unknown")</f>
        <v>0.000134072376</v>
      </c>
      <c r="F156" s="2">
        <f>IF(D156=0,0,IF(ISNUMBER('Reference data'!E17),D156*'Reference data'!E17/1000000,"Unknown"))</f>
        <v>0.0001524</v>
      </c>
      <c r="G156" s="5">
        <f>IF(ISNUMBER(E156),ROUND(E156*'Reference data'!$B$2,0),"Unknown")</f>
        <v>13.0</v>
      </c>
      <c r="H156" s="5">
        <f>IF(ISNUMBER(F156),ROUND(F156*'Reference data'!$B$2,0),"Unknown")</f>
        <v>15.0</v>
      </c>
    </row>
    <row r="157" spans="1:13" ht="409" customHeight="1">
      <c r="A157" t="s">
        <v>171</v>
      </c>
      <c r="B157">
        <v>2</v>
      </c>
      <c r="C157" t="s">
        <v>108</v>
      </c>
      <c r="I157" s="6" t="s">
        <v>173</v>
      </c>
    </row>
    <row r="158" spans="1:13" ht="24" customHeight="1">
      <c r="A158" t="s">
        <v>171</v>
      </c>
      <c r="B158">
        <v>2</v>
      </c>
      <c r="C158" t="s">
        <v>103</v>
      </c>
    </row>
    <row r="159" spans="1:13" ht="24" customHeight="1">
      <c r="A159" t="s">
        <v>171</v>
      </c>
      <c r="B159">
        <v>2</v>
      </c>
      <c r="C159" t="s">
        <v>104</v>
      </c>
    </row>
    <row r="160" spans="1:13" s="4" customFormat="1" ht="24" customHeight="1">
      <c r="A160" s="4" t="s">
        <v>171</v>
      </c>
      <c r="B160" s="4">
        <v>2</v>
      </c>
      <c r="C160" s="4" t="s">
        <v>110</v>
      </c>
      <c r="E160" s="2">
        <f>IF(COUNT('Turns'!E149,'Turns'!E150,'Turns'!E152,'Turns'!E155,'Turns'!E156)=5,SUM('Turns'!E149,'Turns'!E150,'Turns'!E152,'Turns'!E155,'Turns'!E156),"Unknown")</f>
        <v>0.0004956983004</v>
      </c>
      <c r="F160" s="2">
        <f>IF(COUNT('Turns'!F149,'Turns'!F150,'Turns'!F152,'Turns'!F155,'Turns'!F156)=5,SUM('Turns'!F149,'Turns'!F150,'Turns'!F152,'Turns'!F155,'Turns'!F156),"Unknown")</f>
        <v>0.00056346</v>
      </c>
      <c r="G160" s="5">
        <f>IF(ISNUMBER(E160),ROUND(E160*'Reference data'!$B$2,0),"Unknown")</f>
        <v>50.0</v>
      </c>
      <c r="H160" s="5">
        <f>IF(ISNUMBER(F160),ROUND(F160*'Reference data'!$B$2,0),"Unknown")</f>
        <v>56.0</v>
      </c>
      <c r="K160" s="4" t="s">
        <v>111</v>
      </c>
    </row>
    <row r="161" spans="1:13" s="4" customFormat="1" ht="24" customHeight="1">
      <c r="A161" s="4" t="s">
        <v>174</v>
      </c>
      <c r="B161" s="4">
        <v>2</v>
      </c>
      <c r="C161" s="4" t="s">
        <v>94</v>
      </c>
      <c r="D161" s="4">
        <v>1523</v>
      </c>
      <c r="J161" s="4" t="s">
        <v>95</v>
      </c>
      <c r="M161" s="4" t="s">
        <v>175</v>
      </c>
    </row>
    <row r="162" spans="1:13" ht="24" customHeight="1">
      <c r="A162" t="s">
        <v>174</v>
      </c>
      <c r="B162">
        <v>2</v>
      </c>
      <c r="C162" t="s">
        <v>97</v>
      </c>
      <c r="D162" s="5">
        <v>3</v>
      </c>
      <c r="E162" s="2">
        <f>IF(AND(ISNUMBER(F162),ISNUMBER('Reference data'!$B$3)),F162*'Reference data'!$B$3,"Unknown")</f>
        <v>5.27844e-07</v>
      </c>
      <c r="F162" s="2">
        <f>IF(D162=0,0,IF(ISNUMBER('Reference data'!B17),D162*'Reference data'!B17/1000000,"Unknown"))</f>
        <v>6e-07</v>
      </c>
      <c r="G162" s="5">
        <f>IF(ISNUMBER(E162),ROUND(E162*'Reference data'!$B$2,0),"Unknown")</f>
        <v>0.0</v>
      </c>
      <c r="H162" s="5">
        <f>IF(ISNUMBER(F162),ROUND(F162*'Reference data'!$B$2,0),"Unknown")</f>
        <v>0.0</v>
      </c>
    </row>
    <row r="163" spans="1:13" ht="24" customHeight="1">
      <c r="A163" t="s">
        <v>174</v>
      </c>
      <c r="B163">
        <v>2</v>
      </c>
      <c r="C163" t="s">
        <v>98</v>
      </c>
    </row>
    <row r="164" spans="1:13" ht="409" customHeight="1">
      <c r="A164" t="s">
        <v>174</v>
      </c>
      <c r="B164">
        <v>2</v>
      </c>
      <c r="C164" t="s">
        <v>99</v>
      </c>
      <c r="I164" s="6" t="s">
        <v>176</v>
      </c>
    </row>
    <row r="165" spans="1:13" ht="24" customHeight="1">
      <c r="A165" t="s">
        <v>174</v>
      </c>
      <c r="B165">
        <v>2</v>
      </c>
      <c r="C165" t="s">
        <v>103</v>
      </c>
      <c r="D165" s="5">
        <v>1520</v>
      </c>
      <c r="E165" s="2">
        <f>IF(AND(ISNUMBER(F165),ISNUMBER('Reference data'!$B$3)),F165*'Reference data'!$B$3,"Unknown")</f>
        <v>0.0003343012</v>
      </c>
      <c r="F165" s="2">
        <f>IF(D165=0,0,IF(ISNUMBER('Reference data'!D17),D165*'Reference data'!D17/1000000,"Unknown"))</f>
        <v>0.00038</v>
      </c>
      <c r="G165" s="5">
        <f>IF(ISNUMBER(E165),ROUND(E165*'Reference data'!$B$2,0),"Unknown")</f>
        <v>33.0</v>
      </c>
      <c r="H165" s="5">
        <f>IF(ISNUMBER(F165),ROUND(F165*'Reference data'!$B$2,0),"Unknown")</f>
        <v>38.0</v>
      </c>
    </row>
    <row r="166" spans="1:13" ht="24" customHeight="1">
      <c r="A166" t="s">
        <v>174</v>
      </c>
      <c r="B166">
        <v>2</v>
      </c>
      <c r="C166" t="s">
        <v>104</v>
      </c>
    </row>
    <row r="167" spans="1:13" s="4" customFormat="1" ht="24" customHeight="1">
      <c r="A167" s="4" t="s">
        <v>174</v>
      </c>
      <c r="B167" s="4">
        <v>2</v>
      </c>
      <c r="C167" s="4" t="s">
        <v>105</v>
      </c>
      <c r="D167" s="4">
        <v>119</v>
      </c>
    </row>
    <row r="168" spans="1:13" ht="24" customHeight="1">
      <c r="A168" t="s">
        <v>174</v>
      </c>
      <c r="B168">
        <v>2</v>
      </c>
      <c r="C168" t="s">
        <v>106</v>
      </c>
      <c r="D168" s="5">
        <v>21</v>
      </c>
      <c r="E168" s="2">
        <f>IF(AND(ISNUMBER(F168),ISNUMBER('Reference data'!$B$3)),F168*'Reference data'!$B$3,"Unknown")</f>
        <v>2.2169448e-05</v>
      </c>
      <c r="F168" s="2">
        <f>IF(D168=0,0,IF(ISNUMBER('Reference data'!F17),D168*'Reference data'!F17/1000000,"Unknown"))</f>
        <v>2.52e-05</v>
      </c>
      <c r="G168" s="5">
        <f>IF(ISNUMBER(E168),ROUND(E168*'Reference data'!$B$2,0),"Unknown")</f>
        <v>2.0</v>
      </c>
      <c r="H168" s="5">
        <f>IF(ISNUMBER(F168),ROUND(F168*'Reference data'!$B$2,0),"Unknown")</f>
        <v>3.0</v>
      </c>
    </row>
    <row r="169" spans="1:13" ht="24" customHeight="1">
      <c r="A169" t="s">
        <v>174</v>
      </c>
      <c r="B169">
        <v>2</v>
      </c>
      <c r="C169" t="s">
        <v>107</v>
      </c>
      <c r="D169" s="5">
        <v>98</v>
      </c>
      <c r="E169" s="2">
        <f>IF(AND(ISNUMBER(F169),ISNUMBER('Reference data'!$B$3)),F169*'Reference data'!$B$3,"Unknown")</f>
        <v>0.000103457424</v>
      </c>
      <c r="F169" s="2">
        <f>IF(D169=0,0,IF(ISNUMBER('Reference data'!E17),D169*'Reference data'!E17/1000000,"Unknown"))</f>
        <v>0.0001176</v>
      </c>
      <c r="G169" s="5">
        <f>IF(ISNUMBER(E169),ROUND(E169*'Reference data'!$B$2,0),"Unknown")</f>
        <v>10.0</v>
      </c>
      <c r="H169" s="5">
        <f>IF(ISNUMBER(F169),ROUND(F169*'Reference data'!$B$2,0),"Unknown")</f>
        <v>12.0</v>
      </c>
    </row>
    <row r="170" spans="1:13" ht="409" customHeight="1">
      <c r="A170" t="s">
        <v>174</v>
      </c>
      <c r="B170">
        <v>2</v>
      </c>
      <c r="C170" t="s">
        <v>108</v>
      </c>
      <c r="I170" s="6" t="s">
        <v>177</v>
      </c>
    </row>
    <row r="171" spans="1:13" ht="24" customHeight="1">
      <c r="A171" t="s">
        <v>174</v>
      </c>
      <c r="B171">
        <v>2</v>
      </c>
      <c r="C171" t="s">
        <v>103</v>
      </c>
    </row>
    <row r="172" spans="1:13" ht="24" customHeight="1">
      <c r="A172" t="s">
        <v>174</v>
      </c>
      <c r="B172">
        <v>2</v>
      </c>
      <c r="C172" t="s">
        <v>104</v>
      </c>
    </row>
    <row r="173" spans="1:13" s="4" customFormat="1" ht="24" customHeight="1">
      <c r="A173" s="4" t="s">
        <v>174</v>
      </c>
      <c r="B173" s="4">
        <v>2</v>
      </c>
      <c r="C173" s="4" t="s">
        <v>110</v>
      </c>
      <c r="E173" s="2">
        <f>IF(COUNT('Turns'!E162,'Turns'!E165,'Turns'!E168,'Turns'!E169)=4,SUM('Turns'!E162,'Turns'!E165,'Turns'!E168,'Turns'!E169),"Unknown")</f>
        <v>0.000460455916</v>
      </c>
      <c r="F173" s="2">
        <f>IF(COUNT('Turns'!F162,'Turns'!F165,'Turns'!F168,'Turns'!F169)=4,SUM('Turns'!F162,'Turns'!F165,'Turns'!F168,'Turns'!F169),"Unknown")</f>
        <v>0.0005234</v>
      </c>
      <c r="G173" s="5">
        <f>IF(ISNUMBER(E173),ROUND(E173*'Reference data'!$B$2,0),"Unknown")</f>
        <v>46.0</v>
      </c>
      <c r="H173" s="5">
        <f>IF(ISNUMBER(F173),ROUND(F173*'Reference data'!$B$2,0),"Unknown")</f>
        <v>52.0</v>
      </c>
      <c r="K173" s="4" t="s">
        <v>111</v>
      </c>
    </row>
    <row r="174" spans="1:13" s="4" customFormat="1" ht="24" customHeight="1">
      <c r="B174" s="4">
        <v>2</v>
      </c>
      <c r="C174" s="4" t="s">
        <v>112</v>
      </c>
      <c r="K174" s="4" t="s">
        <v>111</v>
      </c>
      <c r="M174" s="4" t="s">
        <v>178</v>
      </c>
    </row>
    <row r="175" spans="1:13" ht="24" customHeight="1">
      <c r="B175">
        <v>2</v>
      </c>
      <c r="C175" t="s">
        <v>114</v>
      </c>
      <c r="I175" s="6" t="s">
        <v>115</v>
      </c>
    </row>
    <row r="176" spans="1:13" ht="409" customHeight="1">
      <c r="B176">
        <v>2</v>
      </c>
      <c r="C176" t="s">
        <v>116</v>
      </c>
      <c r="I176" s="6" t="s">
        <v>147</v>
      </c>
    </row>
    <row r="177" spans="1:13" s="4" customFormat="1" ht="24" customHeight="1">
      <c r="B177" s="4">
        <v>2</v>
      </c>
      <c r="C177" s="4" t="s">
        <v>112</v>
      </c>
      <c r="K177" s="4" t="s">
        <v>111</v>
      </c>
      <c r="M177" s="4" t="s">
        <v>179</v>
      </c>
    </row>
    <row r="178" spans="1:13" ht="24" customHeight="1">
      <c r="B178">
        <v>2</v>
      </c>
      <c r="C178" t="s">
        <v>114</v>
      </c>
      <c r="I178" s="6" t="s">
        <v>180</v>
      </c>
    </row>
    <row r="179" spans="1:13" ht="409" customHeight="1">
      <c r="B179">
        <v>2</v>
      </c>
      <c r="C179" t="s">
        <v>116</v>
      </c>
      <c r="I179" s="6" t="s">
        <v>150</v>
      </c>
    </row>
    <row r="180" spans="1:13" s="4" customFormat="1" ht="24" customHeight="1">
      <c r="B180" s="4">
        <v>2</v>
      </c>
      <c r="C180" s="4" t="s">
        <v>112</v>
      </c>
      <c r="K180" s="4" t="s">
        <v>111</v>
      </c>
      <c r="M180" s="4" t="s">
        <v>181</v>
      </c>
    </row>
    <row r="181" spans="1:13" ht="24" customHeight="1">
      <c r="B181">
        <v>2</v>
      </c>
      <c r="C181" t="s">
        <v>114</v>
      </c>
      <c r="I181" s="6" t="s">
        <v>182</v>
      </c>
    </row>
    <row r="182" spans="1:13" ht="409" customHeight="1">
      <c r="B182">
        <v>2</v>
      </c>
      <c r="C182" t="s">
        <v>116</v>
      </c>
      <c r="I182" s="6" t="s">
        <v>170</v>
      </c>
    </row>
    <row r="183" spans="1:13" s="4" customFormat="1" ht="24" customHeight="1">
      <c r="A183" s="4" t="s">
        <v>183</v>
      </c>
      <c r="B183" s="4">
        <v>2</v>
      </c>
      <c r="C183" s="4" t="s">
        <v>94</v>
      </c>
      <c r="D183" s="4">
        <v>4257</v>
      </c>
      <c r="J183" s="4" t="s">
        <v>95</v>
      </c>
      <c r="M183" s="4" t="s">
        <v>184</v>
      </c>
    </row>
    <row r="184" spans="1:13" ht="24" customHeight="1">
      <c r="A184" t="s">
        <v>183</v>
      </c>
      <c r="B184">
        <v>2</v>
      </c>
      <c r="C184" t="s">
        <v>120</v>
      </c>
      <c r="D184" s="5">
        <v>1520</v>
      </c>
      <c r="E184" s="2">
        <f>IF(AND(ISNUMBER(F184),ISNUMBER('Reference data'!$B$3)),F184*'Reference data'!$B$3,"Unknown")</f>
        <v>2.6744096e-05</v>
      </c>
      <c r="F184" s="2">
        <f>IF(D184=0,0,IF(ISNUMBER('Reference data'!C17),D184*'Reference data'!C17/1000000,"Unknown"))</f>
        <v>3.04e-05</v>
      </c>
      <c r="G184" s="5">
        <f>IF(ISNUMBER(E184),ROUND(E184*'Reference data'!$B$2,0),"Unknown")</f>
        <v>3.0</v>
      </c>
      <c r="H184" s="5">
        <f>IF(ISNUMBER(F184),ROUND(F184*'Reference data'!$B$2,0),"Unknown")</f>
        <v>3.0</v>
      </c>
    </row>
    <row r="185" spans="1:13" ht="24" customHeight="1">
      <c r="A185" t="s">
        <v>183</v>
      </c>
      <c r="B185">
        <v>2</v>
      </c>
      <c r="C185" t="s">
        <v>97</v>
      </c>
      <c r="D185" s="5">
        <v>3</v>
      </c>
      <c r="E185" s="2">
        <f>IF(AND(ISNUMBER(F185),ISNUMBER('Reference data'!$B$3)),F185*'Reference data'!$B$3,"Unknown")</f>
        <v>5.27844e-07</v>
      </c>
      <c r="F185" s="2">
        <f>IF(D185=0,0,IF(ISNUMBER('Reference data'!B17),D185*'Reference data'!B17/1000000,"Unknown"))</f>
        <v>6e-07</v>
      </c>
      <c r="G185" s="5">
        <f>IF(ISNUMBER(E185),ROUND(E185*'Reference data'!$B$2,0),"Unknown")</f>
        <v>0.0</v>
      </c>
      <c r="H185" s="5">
        <f>IF(ISNUMBER(F185),ROUND(F185*'Reference data'!$B$2,0),"Unknown")</f>
        <v>0.0</v>
      </c>
    </row>
    <row r="186" spans="1:13" ht="409" customHeight="1">
      <c r="A186" t="s">
        <v>183</v>
      </c>
      <c r="B186">
        <v>2</v>
      </c>
      <c r="C186" t="s">
        <v>121</v>
      </c>
      <c r="I186" s="6" t="s">
        <v>185</v>
      </c>
    </row>
    <row r="187" spans="1:13" ht="24" customHeight="1">
      <c r="A187" t="s">
        <v>183</v>
      </c>
      <c r="B187">
        <v>2</v>
      </c>
      <c r="C187" t="s">
        <v>103</v>
      </c>
      <c r="D187" s="5">
        <v>2734</v>
      </c>
      <c r="E187" s="2">
        <f>IF(AND(ISNUMBER(F187),ISNUMBER('Reference data'!$B$3)),F187*'Reference data'!$B$3,"Unknown")</f>
        <v>0.00060130229</v>
      </c>
      <c r="F187" s="2">
        <f>IF(D187=0,0,IF(ISNUMBER('Reference data'!D17),D187*'Reference data'!D17/1000000,"Unknown"))</f>
        <v>0.0006835</v>
      </c>
      <c r="G187" s="5">
        <f>IF(ISNUMBER(E187),ROUND(E187*'Reference data'!$B$2,0),"Unknown")</f>
        <v>60.0</v>
      </c>
      <c r="H187" s="5">
        <f>IF(ISNUMBER(F187),ROUND(F187*'Reference data'!$B$2,0),"Unknown")</f>
        <v>68.0</v>
      </c>
    </row>
    <row r="188" spans="1:13" ht="24" customHeight="1">
      <c r="A188" t="s">
        <v>183</v>
      </c>
      <c r="B188">
        <v>2</v>
      </c>
      <c r="C188" t="s">
        <v>104</v>
      </c>
    </row>
    <row r="189" spans="1:13" s="4" customFormat="1" ht="24" customHeight="1">
      <c r="A189" s="4" t="s">
        <v>183</v>
      </c>
      <c r="B189" s="4">
        <v>2</v>
      </c>
      <c r="C189" s="4" t="s">
        <v>105</v>
      </c>
      <c r="D189" s="4">
        <v>413</v>
      </c>
    </row>
    <row r="190" spans="1:13" ht="24" customHeight="1">
      <c r="A190" t="s">
        <v>183</v>
      </c>
      <c r="B190">
        <v>2</v>
      </c>
      <c r="C190" t="s">
        <v>106</v>
      </c>
      <c r="D190" s="5">
        <v>225</v>
      </c>
      <c r="E190" s="2">
        <f>IF(AND(ISNUMBER(F190),ISNUMBER('Reference data'!$B$3)),F190*'Reference data'!$B$3,"Unknown")</f>
        <v>0.0002375298</v>
      </c>
      <c r="F190" s="2">
        <f>IF(D190=0,0,IF(ISNUMBER('Reference data'!F17),D190*'Reference data'!F17/1000000,"Unknown"))</f>
        <v>0.00027</v>
      </c>
      <c r="G190" s="5">
        <f>IF(ISNUMBER(E190),ROUND(E190*'Reference data'!$B$2,0),"Unknown")</f>
        <v>24.0</v>
      </c>
      <c r="H190" s="5">
        <f>IF(ISNUMBER(F190),ROUND(F190*'Reference data'!$B$2,0),"Unknown")</f>
        <v>27.0</v>
      </c>
    </row>
    <row r="191" spans="1:13" ht="24" customHeight="1">
      <c r="A191" t="s">
        <v>183</v>
      </c>
      <c r="B191">
        <v>2</v>
      </c>
      <c r="C191" t="s">
        <v>107</v>
      </c>
      <c r="D191" s="5">
        <v>188</v>
      </c>
      <c r="E191" s="2">
        <f>IF(AND(ISNUMBER(F191),ISNUMBER('Reference data'!$B$3)),F191*'Reference data'!$B$3,"Unknown")</f>
        <v>0.000198469344</v>
      </c>
      <c r="F191" s="2">
        <f>IF(D191=0,0,IF(ISNUMBER('Reference data'!E17),D191*'Reference data'!E17/1000000,"Unknown"))</f>
        <v>0.0002256</v>
      </c>
      <c r="G191" s="5">
        <f>IF(ISNUMBER(E191),ROUND(E191*'Reference data'!$B$2,0),"Unknown")</f>
        <v>20.0</v>
      </c>
      <c r="H191" s="5">
        <f>IF(ISNUMBER(F191),ROUND(F191*'Reference data'!$B$2,0),"Unknown")</f>
        <v>23.0</v>
      </c>
    </row>
    <row r="192" spans="1:13" ht="409" customHeight="1">
      <c r="A192" t="s">
        <v>183</v>
      </c>
      <c r="B192">
        <v>2</v>
      </c>
      <c r="C192" t="s">
        <v>108</v>
      </c>
      <c r="I192" s="6" t="s">
        <v>186</v>
      </c>
    </row>
    <row r="193" spans="1:13" ht="24" customHeight="1">
      <c r="A193" t="s">
        <v>183</v>
      </c>
      <c r="B193">
        <v>2</v>
      </c>
      <c r="C193" t="s">
        <v>103</v>
      </c>
    </row>
    <row r="194" spans="1:13" ht="24" customHeight="1">
      <c r="A194" t="s">
        <v>183</v>
      </c>
      <c r="B194">
        <v>2</v>
      </c>
      <c r="C194" t="s">
        <v>104</v>
      </c>
    </row>
    <row r="195" spans="1:13" s="4" customFormat="1" ht="24" customHeight="1">
      <c r="A195" s="4" t="s">
        <v>183</v>
      </c>
      <c r="B195" s="4">
        <v>2</v>
      </c>
      <c r="C195" s="4" t="s">
        <v>110</v>
      </c>
      <c r="E195" s="2">
        <f>IF(COUNT('Turns'!E184,'Turns'!E185,'Turns'!E187,'Turns'!E190,'Turns'!E191)=5,SUM('Turns'!E184,'Turns'!E185,'Turns'!E187,'Turns'!E190,'Turns'!E191),"Unknown")</f>
        <v>0.001064573374</v>
      </c>
      <c r="F195" s="2">
        <f>IF(COUNT('Turns'!F184,'Turns'!F185,'Turns'!F187,'Turns'!F190,'Turns'!F191)=5,SUM('Turns'!F184,'Turns'!F185,'Turns'!F187,'Turns'!F190,'Turns'!F191),"Unknown")</f>
        <v>0.0012101</v>
      </c>
      <c r="G195" s="5">
        <f>IF(ISNUMBER(E195),ROUND(E195*'Reference data'!$B$2,0),"Unknown")</f>
        <v>106.0</v>
      </c>
      <c r="H195" s="5">
        <f>IF(ISNUMBER(F195),ROUND(F195*'Reference data'!$B$2,0),"Unknown")</f>
        <v>121.0</v>
      </c>
      <c r="K195" s="4" t="s">
        <v>111</v>
      </c>
    </row>
    <row r="196" spans="1:13" s="4" customFormat="1" ht="24" customHeight="1">
      <c r="A196" s="4" t="s">
        <v>187</v>
      </c>
      <c r="B196" s="4">
        <v>2</v>
      </c>
      <c r="C196" s="4" t="s">
        <v>94</v>
      </c>
      <c r="D196" s="4">
        <v>8101</v>
      </c>
      <c r="J196" s="4" t="s">
        <v>95</v>
      </c>
      <c r="M196" s="4" t="s">
        <v>188</v>
      </c>
    </row>
    <row r="197" spans="1:13" ht="24" customHeight="1">
      <c r="A197" t="s">
        <v>187</v>
      </c>
      <c r="B197">
        <v>2</v>
      </c>
      <c r="C197" t="s">
        <v>97</v>
      </c>
      <c r="D197" s="5">
        <v>3</v>
      </c>
      <c r="E197" s="2">
        <f>IF(AND(ISNUMBER(F197),ISNUMBER('Reference data'!$B$3)),F197*'Reference data'!$B$3,"Unknown")</f>
        <v>5.27844e-07</v>
      </c>
      <c r="F197" s="2">
        <f>IF(D197=0,0,IF(ISNUMBER('Reference data'!B17),D197*'Reference data'!B17/1000000,"Unknown"))</f>
        <v>6e-07</v>
      </c>
      <c r="G197" s="5">
        <f>IF(ISNUMBER(E197),ROUND(E197*'Reference data'!$B$2,0),"Unknown")</f>
        <v>0.0</v>
      </c>
      <c r="H197" s="5">
        <f>IF(ISNUMBER(F197),ROUND(F197*'Reference data'!$B$2,0),"Unknown")</f>
        <v>0.0</v>
      </c>
    </row>
    <row r="198" spans="1:13" ht="24" customHeight="1">
      <c r="A198" t="s">
        <v>187</v>
      </c>
      <c r="B198">
        <v>2</v>
      </c>
      <c r="C198" t="s">
        <v>98</v>
      </c>
    </row>
    <row r="199" spans="1:13" ht="409" customHeight="1">
      <c r="A199" t="s">
        <v>187</v>
      </c>
      <c r="B199">
        <v>2</v>
      </c>
      <c r="C199" t="s">
        <v>99</v>
      </c>
      <c r="I199" s="6" t="s">
        <v>189</v>
      </c>
    </row>
    <row r="200" spans="1:13" ht="409" customHeight="1">
      <c r="A200" t="s">
        <v>187</v>
      </c>
      <c r="B200">
        <v>2</v>
      </c>
      <c r="C200" t="s">
        <v>121</v>
      </c>
      <c r="I200" s="6" t="s">
        <v>190</v>
      </c>
    </row>
    <row r="201" spans="1:13" ht="24" customHeight="1">
      <c r="A201" t="s">
        <v>187</v>
      </c>
      <c r="B201">
        <v>2</v>
      </c>
      <c r="C201" t="s">
        <v>103</v>
      </c>
      <c r="D201" s="5">
        <v>8098</v>
      </c>
      <c r="E201" s="2">
        <f>IF(AND(ISNUMBER(F201),ISNUMBER('Reference data'!$B$3)),F201*'Reference data'!$B$3,"Unknown")</f>
        <v>0.00178103363</v>
      </c>
      <c r="F201" s="2">
        <f>IF(D201=0,0,IF(ISNUMBER('Reference data'!D17),D201*'Reference data'!D17/1000000,"Unknown"))</f>
        <v>0.0020245</v>
      </c>
      <c r="G201" s="5">
        <f>IF(ISNUMBER(E201),ROUND(E201*'Reference data'!$B$2,0),"Unknown")</f>
        <v>178.0</v>
      </c>
      <c r="H201" s="5">
        <f>IF(ISNUMBER(F201),ROUND(F201*'Reference data'!$B$2,0),"Unknown")</f>
        <v>202.0</v>
      </c>
    </row>
    <row r="202" spans="1:13" ht="24" customHeight="1">
      <c r="A202" t="s">
        <v>187</v>
      </c>
      <c r="B202">
        <v>2</v>
      </c>
      <c r="C202" t="s">
        <v>104</v>
      </c>
    </row>
    <row r="203" spans="1:13" s="4" customFormat="1" ht="24" customHeight="1">
      <c r="A203" s="4" t="s">
        <v>187</v>
      </c>
      <c r="B203" s="4">
        <v>2</v>
      </c>
      <c r="C203" s="4" t="s">
        <v>105</v>
      </c>
      <c r="D203" s="4">
        <v>85</v>
      </c>
    </row>
    <row r="204" spans="1:13" ht="24" customHeight="1">
      <c r="A204" t="s">
        <v>187</v>
      </c>
      <c r="B204">
        <v>2</v>
      </c>
      <c r="C204" t="s">
        <v>106</v>
      </c>
      <c r="D204" s="5">
        <v>54</v>
      </c>
      <c r="E204" s="2">
        <f>IF(AND(ISNUMBER(F204),ISNUMBER('Reference data'!$B$3)),F204*'Reference data'!$B$3,"Unknown")</f>
        <v>5.7007152e-05</v>
      </c>
      <c r="F204" s="2">
        <f>IF(D204=0,0,IF(ISNUMBER('Reference data'!F17),D204*'Reference data'!F17/1000000,"Unknown"))</f>
        <v>6.48e-05</v>
      </c>
      <c r="G204" s="5">
        <f>IF(ISNUMBER(E204),ROUND(E204*'Reference data'!$B$2,0),"Unknown")</f>
        <v>6.0</v>
      </c>
      <c r="H204" s="5">
        <f>IF(ISNUMBER(F204),ROUND(F204*'Reference data'!$B$2,0),"Unknown")</f>
        <v>6.0</v>
      </c>
    </row>
    <row r="205" spans="1:13" ht="24" customHeight="1">
      <c r="A205" t="s">
        <v>187</v>
      </c>
      <c r="B205">
        <v>2</v>
      </c>
      <c r="C205" t="s">
        <v>107</v>
      </c>
      <c r="D205" s="5">
        <v>31</v>
      </c>
      <c r="E205" s="2">
        <f>IF(AND(ISNUMBER(F205),ISNUMBER('Reference data'!$B$3)),F205*'Reference data'!$B$3,"Unknown")</f>
        <v>3.2726328e-05</v>
      </c>
      <c r="F205" s="2">
        <f>IF(D205=0,0,IF(ISNUMBER('Reference data'!E17),D205*'Reference data'!E17/1000000,"Unknown"))</f>
        <v>3.72e-05</v>
      </c>
      <c r="G205" s="5">
        <f>IF(ISNUMBER(E205),ROUND(E205*'Reference data'!$B$2,0),"Unknown")</f>
        <v>3.0</v>
      </c>
      <c r="H205" s="5">
        <f>IF(ISNUMBER(F205),ROUND(F205*'Reference data'!$B$2,0),"Unknown")</f>
        <v>4.0</v>
      </c>
    </row>
    <row r="206" spans="1:13" ht="333" customHeight="1">
      <c r="A206" t="s">
        <v>187</v>
      </c>
      <c r="B206">
        <v>2</v>
      </c>
      <c r="C206" t="s">
        <v>108</v>
      </c>
      <c r="I206" s="6" t="s">
        <v>191</v>
      </c>
    </row>
    <row r="207" spans="1:13" ht="24" customHeight="1">
      <c r="A207" t="s">
        <v>187</v>
      </c>
      <c r="B207">
        <v>2</v>
      </c>
      <c r="C207" t="s">
        <v>103</v>
      </c>
    </row>
    <row r="208" spans="1:13" ht="24" customHeight="1">
      <c r="A208" t="s">
        <v>187</v>
      </c>
      <c r="B208">
        <v>2</v>
      </c>
      <c r="C208" t="s">
        <v>104</v>
      </c>
    </row>
    <row r="209" spans="1:13" s="4" customFormat="1" ht="24" customHeight="1">
      <c r="A209" s="4" t="s">
        <v>187</v>
      </c>
      <c r="B209" s="4">
        <v>2</v>
      </c>
      <c r="C209" s="4" t="s">
        <v>110</v>
      </c>
      <c r="E209" s="2">
        <f>IF(COUNT('Turns'!E197,'Turns'!E201,'Turns'!E204,'Turns'!E205)=4,SUM('Turns'!E197,'Turns'!E201,'Turns'!E204,'Turns'!E205),"Unknown")</f>
        <v>0.001871294954</v>
      </c>
      <c r="F209" s="2">
        <f>IF(COUNT('Turns'!F197,'Turns'!F201,'Turns'!F204,'Turns'!F205)=4,SUM('Turns'!F197,'Turns'!F201,'Turns'!F204,'Turns'!F205),"Unknown")</f>
        <v>0.0021271</v>
      </c>
      <c r="G209" s="5">
        <f>IF(ISNUMBER(E209),ROUND(E209*'Reference data'!$B$2,0),"Unknown")</f>
        <v>187.0</v>
      </c>
      <c r="H209" s="5">
        <f>IF(ISNUMBER(F209),ROUND(F209*'Reference data'!$B$2,0),"Unknown")</f>
        <v>213.0</v>
      </c>
      <c r="K209" s="4" t="s">
        <v>111</v>
      </c>
    </row>
    <row r="210" spans="1:13" s="4" customFormat="1" ht="24" customHeight="1">
      <c r="B210" s="4">
        <v>2</v>
      </c>
      <c r="C210" s="4" t="s">
        <v>112</v>
      </c>
      <c r="K210" s="4" t="s">
        <v>111</v>
      </c>
      <c r="M210" s="4" t="s">
        <v>192</v>
      </c>
    </row>
    <row r="211" spans="1:13" ht="24" customHeight="1">
      <c r="B211">
        <v>2</v>
      </c>
      <c r="C211" t="s">
        <v>114</v>
      </c>
      <c r="I211" s="6" t="s">
        <v>146</v>
      </c>
    </row>
    <row r="212" spans="1:13" ht="409" customHeight="1">
      <c r="B212">
        <v>2</v>
      </c>
      <c r="C212" t="s">
        <v>116</v>
      </c>
      <c r="I212" s="6" t="s">
        <v>147</v>
      </c>
    </row>
    <row r="213" spans="1:13" s="4" customFormat="1" ht="24" customHeight="1">
      <c r="A213" s="4" t="s">
        <v>193</v>
      </c>
      <c r="B213" s="4">
        <v>2</v>
      </c>
      <c r="C213" s="4" t="s">
        <v>94</v>
      </c>
      <c r="D213" s="4">
        <v>5871</v>
      </c>
      <c r="J213" s="4" t="s">
        <v>95</v>
      </c>
      <c r="M213" s="4" t="s">
        <v>194</v>
      </c>
    </row>
    <row r="214" spans="1:13" ht="24" customHeight="1">
      <c r="A214" t="s">
        <v>193</v>
      </c>
      <c r="B214">
        <v>2</v>
      </c>
      <c r="C214" t="s">
        <v>97</v>
      </c>
      <c r="D214" s="5">
        <v>3</v>
      </c>
      <c r="E214" s="2">
        <f>IF(AND(ISNUMBER(F214),ISNUMBER('Reference data'!$B$3)),F214*'Reference data'!$B$3,"Unknown")</f>
        <v>5.27844e-07</v>
      </c>
      <c r="F214" s="2">
        <f>IF(D214=0,0,IF(ISNUMBER('Reference data'!B17),D214*'Reference data'!B17/1000000,"Unknown"))</f>
        <v>6e-07</v>
      </c>
      <c r="G214" s="5">
        <f>IF(ISNUMBER(E214),ROUND(E214*'Reference data'!$B$2,0),"Unknown")</f>
        <v>0.0</v>
      </c>
      <c r="H214" s="5">
        <f>IF(ISNUMBER(F214),ROUND(F214*'Reference data'!$B$2,0),"Unknown")</f>
        <v>0.0</v>
      </c>
    </row>
    <row r="215" spans="1:13" ht="24" customHeight="1">
      <c r="A215" t="s">
        <v>193</v>
      </c>
      <c r="B215">
        <v>2</v>
      </c>
      <c r="C215" t="s">
        <v>98</v>
      </c>
    </row>
    <row r="216" spans="1:13" ht="24" customHeight="1">
      <c r="A216" t="s">
        <v>193</v>
      </c>
      <c r="B216">
        <v>2</v>
      </c>
      <c r="C216" t="s">
        <v>99</v>
      </c>
      <c r="I216" s="6" t="s">
        <v>156</v>
      </c>
    </row>
    <row r="217" spans="1:13" ht="24" customHeight="1">
      <c r="A217" t="s">
        <v>193</v>
      </c>
      <c r="B217">
        <v>2</v>
      </c>
      <c r="C217" t="s">
        <v>103</v>
      </c>
      <c r="D217" s="5">
        <v>5868</v>
      </c>
      <c r="E217" s="2">
        <f>IF(AND(ISNUMBER(F217),ISNUMBER('Reference data'!$B$3)),F217*'Reference data'!$B$3,"Unknown")</f>
        <v>0.00129057858</v>
      </c>
      <c r="F217" s="2">
        <f>IF(D217=0,0,IF(ISNUMBER('Reference data'!D17),D217*'Reference data'!D17/1000000,"Unknown"))</f>
        <v>0.001467</v>
      </c>
      <c r="G217" s="5">
        <f>IF(ISNUMBER(E217),ROUND(E217*'Reference data'!$B$2,0),"Unknown")</f>
        <v>129.0</v>
      </c>
      <c r="H217" s="5">
        <f>IF(ISNUMBER(F217),ROUND(F217*'Reference data'!$B$2,0),"Unknown")</f>
        <v>147.0</v>
      </c>
    </row>
    <row r="218" spans="1:13" ht="24" customHeight="1">
      <c r="A218" t="s">
        <v>193</v>
      </c>
      <c r="B218">
        <v>2</v>
      </c>
      <c r="C218" t="s">
        <v>104</v>
      </c>
    </row>
    <row r="219" spans="1:13" s="4" customFormat="1" ht="24" customHeight="1">
      <c r="A219" s="4" t="s">
        <v>193</v>
      </c>
      <c r="B219" s="4">
        <v>2</v>
      </c>
      <c r="C219" s="4" t="s">
        <v>105</v>
      </c>
      <c r="D219" s="4">
        <v>917</v>
      </c>
    </row>
    <row r="220" spans="1:13" ht="24" customHeight="1">
      <c r="A220" t="s">
        <v>193</v>
      </c>
      <c r="B220">
        <v>2</v>
      </c>
      <c r="C220" t="s">
        <v>106</v>
      </c>
      <c r="D220" s="5">
        <v>66</v>
      </c>
      <c r="E220" s="2">
        <f>IF(AND(ISNUMBER(F220),ISNUMBER('Reference data'!$B$3)),F220*'Reference data'!$B$3,"Unknown")</f>
        <v>6.9675408e-05</v>
      </c>
      <c r="F220" s="2">
        <f>IF(D220=0,0,IF(ISNUMBER('Reference data'!F17),D220*'Reference data'!F17/1000000,"Unknown"))</f>
        <v>7.92e-05</v>
      </c>
      <c r="G220" s="5">
        <f>IF(ISNUMBER(E220),ROUND(E220*'Reference data'!$B$2,0),"Unknown")</f>
        <v>7.0</v>
      </c>
      <c r="H220" s="5">
        <f>IF(ISNUMBER(F220),ROUND(F220*'Reference data'!$B$2,0),"Unknown")</f>
        <v>8.0</v>
      </c>
    </row>
    <row r="221" spans="1:13" ht="24" customHeight="1">
      <c r="A221" t="s">
        <v>193</v>
      </c>
      <c r="B221">
        <v>2</v>
      </c>
      <c r="C221" t="s">
        <v>107</v>
      </c>
      <c r="D221" s="5">
        <v>851</v>
      </c>
      <c r="E221" s="2">
        <f>IF(AND(ISNUMBER(F221),ISNUMBER('Reference data'!$B$3)),F221*'Reference data'!$B$3,"Unknown")</f>
        <v>0.000898390488</v>
      </c>
      <c r="F221" s="2">
        <f>IF(D221=0,0,IF(ISNUMBER('Reference data'!E17),D221*'Reference data'!E17/1000000,"Unknown"))</f>
        <v>0.0010212</v>
      </c>
      <c r="G221" s="5">
        <f>IF(ISNUMBER(E221),ROUND(E221*'Reference data'!$B$2,0),"Unknown")</f>
        <v>90.0</v>
      </c>
      <c r="H221" s="5">
        <f>IF(ISNUMBER(F221),ROUND(F221*'Reference data'!$B$2,0),"Unknown")</f>
        <v>102.0</v>
      </c>
    </row>
    <row r="222" spans="1:13" ht="409" customHeight="1">
      <c r="A222" t="s">
        <v>193</v>
      </c>
      <c r="B222">
        <v>2</v>
      </c>
      <c r="C222" t="s">
        <v>108</v>
      </c>
      <c r="I222" s="6" t="s">
        <v>195</v>
      </c>
    </row>
    <row r="223" spans="1:13" ht="24" customHeight="1">
      <c r="A223" t="s">
        <v>193</v>
      </c>
      <c r="B223">
        <v>2</v>
      </c>
      <c r="C223" t="s">
        <v>103</v>
      </c>
    </row>
    <row r="224" spans="1:13" ht="24" customHeight="1">
      <c r="A224" t="s">
        <v>193</v>
      </c>
      <c r="B224">
        <v>2</v>
      </c>
      <c r="C224" t="s">
        <v>104</v>
      </c>
    </row>
    <row r="225" spans="1:13" s="4" customFormat="1" ht="24" customHeight="1">
      <c r="A225" s="4" t="s">
        <v>193</v>
      </c>
      <c r="B225" s="4">
        <v>2</v>
      </c>
      <c r="C225" s="4" t="s">
        <v>110</v>
      </c>
      <c r="E225" s="2">
        <f>IF(COUNT('Turns'!E214,'Turns'!E217,'Turns'!E220,'Turns'!E221)=4,SUM('Turns'!E214,'Turns'!E217,'Turns'!E220,'Turns'!E221),"Unknown")</f>
        <v>0.00225917232</v>
      </c>
      <c r="F225" s="2">
        <f>IF(COUNT('Turns'!F214,'Turns'!F217,'Turns'!F220,'Turns'!F221)=4,SUM('Turns'!F214,'Turns'!F217,'Turns'!F220,'Turns'!F221),"Unknown")</f>
        <v>0.002568</v>
      </c>
      <c r="G225" s="5">
        <f>IF(ISNUMBER(E225),ROUND(E225*'Reference data'!$B$2,0),"Unknown")</f>
        <v>226.0</v>
      </c>
      <c r="H225" s="5">
        <f>IF(ISNUMBER(F225),ROUND(F225*'Reference data'!$B$2,0),"Unknown")</f>
        <v>257.0</v>
      </c>
      <c r="K225" s="4" t="s">
        <v>111</v>
      </c>
    </row>
    <row r="226" spans="1:13" s="4" customFormat="1" ht="24" customHeight="1">
      <c r="A226" s="4" t="s">
        <v>196</v>
      </c>
      <c r="B226" s="4">
        <v>2</v>
      </c>
      <c r="C226" s="4" t="s">
        <v>94</v>
      </c>
      <c r="D226" s="4">
        <v>4856</v>
      </c>
      <c r="J226" s="4" t="s">
        <v>95</v>
      </c>
      <c r="M226" s="4" t="s">
        <v>197</v>
      </c>
    </row>
    <row r="227" spans="1:13" ht="24" customHeight="1">
      <c r="A227" t="s">
        <v>196</v>
      </c>
      <c r="B227">
        <v>2</v>
      </c>
      <c r="C227" t="s">
        <v>120</v>
      </c>
      <c r="D227" s="5">
        <v>2340</v>
      </c>
      <c r="E227" s="2">
        <f>IF(AND(ISNUMBER(F227),ISNUMBER('Reference data'!$B$3)),F227*'Reference data'!$B$3,"Unknown")</f>
        <v>4.1171832e-05</v>
      </c>
      <c r="F227" s="2">
        <f>IF(D227=0,0,IF(ISNUMBER('Reference data'!C17),D227*'Reference data'!C17/1000000,"Unknown"))</f>
        <v>4.68e-05</v>
      </c>
      <c r="G227" s="5">
        <f>IF(ISNUMBER(E227),ROUND(E227*'Reference data'!$B$2,0),"Unknown")</f>
        <v>4.0</v>
      </c>
      <c r="H227" s="5">
        <f>IF(ISNUMBER(F227),ROUND(F227*'Reference data'!$B$2,0),"Unknown")</f>
        <v>5.0</v>
      </c>
    </row>
    <row r="228" spans="1:13" ht="24" customHeight="1">
      <c r="A228" t="s">
        <v>196</v>
      </c>
      <c r="B228">
        <v>2</v>
      </c>
      <c r="C228" t="s">
        <v>97</v>
      </c>
      <c r="D228" s="5">
        <v>3</v>
      </c>
      <c r="E228" s="2">
        <f>IF(AND(ISNUMBER(F228),ISNUMBER('Reference data'!$B$3)),F228*'Reference data'!$B$3,"Unknown")</f>
        <v>5.27844e-07</v>
      </c>
      <c r="F228" s="2">
        <f>IF(D228=0,0,IF(ISNUMBER('Reference data'!B17),D228*'Reference data'!B17/1000000,"Unknown"))</f>
        <v>6e-07</v>
      </c>
      <c r="G228" s="5">
        <f>IF(ISNUMBER(E228),ROUND(E228*'Reference data'!$B$2,0),"Unknown")</f>
        <v>0.0</v>
      </c>
      <c r="H228" s="5">
        <f>IF(ISNUMBER(F228),ROUND(F228*'Reference data'!$B$2,0),"Unknown")</f>
        <v>0.0</v>
      </c>
    </row>
    <row r="229" spans="1:13" ht="409" customHeight="1">
      <c r="A229" t="s">
        <v>196</v>
      </c>
      <c r="B229">
        <v>2</v>
      </c>
      <c r="C229" t="s">
        <v>121</v>
      </c>
      <c r="I229" s="6" t="s">
        <v>147</v>
      </c>
    </row>
    <row r="230" spans="1:13" ht="24" customHeight="1">
      <c r="A230" t="s">
        <v>196</v>
      </c>
      <c r="B230">
        <v>2</v>
      </c>
      <c r="C230" t="s">
        <v>103</v>
      </c>
      <c r="D230" s="5">
        <v>2513</v>
      </c>
      <c r="E230" s="2">
        <f>IF(AND(ISNUMBER(F230),ISNUMBER('Reference data'!$B$3)),F230*'Reference data'!$B$3,"Unknown")</f>
        <v>0.000552696655</v>
      </c>
      <c r="F230" s="2">
        <f>IF(D230=0,0,IF(ISNUMBER('Reference data'!D17),D230*'Reference data'!D17/1000000,"Unknown"))</f>
        <v>0.00062825</v>
      </c>
      <c r="G230" s="5">
        <f>IF(ISNUMBER(E230),ROUND(E230*'Reference data'!$B$2,0),"Unknown")</f>
        <v>55.0</v>
      </c>
      <c r="H230" s="5">
        <f>IF(ISNUMBER(F230),ROUND(F230*'Reference data'!$B$2,0),"Unknown")</f>
        <v>63.0</v>
      </c>
    </row>
    <row r="231" spans="1:13" ht="24" customHeight="1">
      <c r="A231" t="s">
        <v>196</v>
      </c>
      <c r="B231">
        <v>2</v>
      </c>
      <c r="C231" t="s">
        <v>104</v>
      </c>
    </row>
    <row r="232" spans="1:13" s="4" customFormat="1" ht="24" customHeight="1">
      <c r="A232" s="4" t="s">
        <v>196</v>
      </c>
      <c r="B232" s="4">
        <v>2</v>
      </c>
      <c r="C232" s="4" t="s">
        <v>105</v>
      </c>
      <c r="D232" s="4">
        <v>276</v>
      </c>
    </row>
    <row r="233" spans="1:13" ht="24" customHeight="1">
      <c r="A233" t="s">
        <v>196</v>
      </c>
      <c r="B233">
        <v>2</v>
      </c>
      <c r="C233" t="s">
        <v>106</v>
      </c>
      <c r="D233" s="5">
        <v>17</v>
      </c>
      <c r="E233" s="2">
        <f>IF(AND(ISNUMBER(F233),ISNUMBER('Reference data'!$B$3)),F233*'Reference data'!$B$3,"Unknown")</f>
        <v>1.7946696e-05</v>
      </c>
      <c r="F233" s="2">
        <f>IF(D233=0,0,IF(ISNUMBER('Reference data'!F17),D233*'Reference data'!F17/1000000,"Unknown"))</f>
        <v>2.04e-05</v>
      </c>
      <c r="G233" s="5">
        <f>IF(ISNUMBER(E233),ROUND(E233*'Reference data'!$B$2,0),"Unknown")</f>
        <v>2.0</v>
      </c>
      <c r="H233" s="5">
        <f>IF(ISNUMBER(F233),ROUND(F233*'Reference data'!$B$2,0),"Unknown")</f>
        <v>2.0</v>
      </c>
    </row>
    <row r="234" spans="1:13" ht="24" customHeight="1">
      <c r="A234" t="s">
        <v>196</v>
      </c>
      <c r="B234">
        <v>2</v>
      </c>
      <c r="C234" t="s">
        <v>107</v>
      </c>
      <c r="D234" s="5">
        <v>259</v>
      </c>
      <c r="E234" s="2">
        <f>IF(AND(ISNUMBER(F234),ISNUMBER('Reference data'!$B$3)),F234*'Reference data'!$B$3,"Unknown")</f>
        <v>0.000273423192</v>
      </c>
      <c r="F234" s="2">
        <f>IF(D234=0,0,IF(ISNUMBER('Reference data'!E17),D234*'Reference data'!E17/1000000,"Unknown"))</f>
        <v>0.0003108</v>
      </c>
      <c r="G234" s="5">
        <f>IF(ISNUMBER(E234),ROUND(E234*'Reference data'!$B$2,0),"Unknown")</f>
        <v>27.0</v>
      </c>
      <c r="H234" s="5">
        <f>IF(ISNUMBER(F234),ROUND(F234*'Reference data'!$B$2,0),"Unknown")</f>
        <v>31.0</v>
      </c>
    </row>
    <row r="235" spans="1:13" ht="409" customHeight="1">
      <c r="A235" t="s">
        <v>196</v>
      </c>
      <c r="B235">
        <v>2</v>
      </c>
      <c r="C235" t="s">
        <v>108</v>
      </c>
      <c r="I235" s="6" t="s">
        <v>198</v>
      </c>
    </row>
    <row r="236" spans="1:13" ht="24" customHeight="1">
      <c r="A236" t="s">
        <v>196</v>
      </c>
      <c r="B236">
        <v>2</v>
      </c>
      <c r="C236" t="s">
        <v>103</v>
      </c>
    </row>
    <row r="237" spans="1:13" ht="24" customHeight="1">
      <c r="A237" t="s">
        <v>196</v>
      </c>
      <c r="B237">
        <v>2</v>
      </c>
      <c r="C237" t="s">
        <v>104</v>
      </c>
    </row>
    <row r="238" spans="1:13" s="4" customFormat="1" ht="24" customHeight="1">
      <c r="A238" s="4" t="s">
        <v>196</v>
      </c>
      <c r="B238" s="4">
        <v>2</v>
      </c>
      <c r="C238" s="4" t="s">
        <v>110</v>
      </c>
      <c r="E238" s="2">
        <f>IF(COUNT('Turns'!E227,'Turns'!E228,'Turns'!E230,'Turns'!E233,'Turns'!E234)=5,SUM('Turns'!E227,'Turns'!E228,'Turns'!E230,'Turns'!E233,'Turns'!E234),"Unknown")</f>
        <v>0.000885766219</v>
      </c>
      <c r="F238" s="2">
        <f>IF(COUNT('Turns'!F227,'Turns'!F228,'Turns'!F230,'Turns'!F233,'Turns'!F234)=5,SUM('Turns'!F227,'Turns'!F228,'Turns'!F230,'Turns'!F233,'Turns'!F234),"Unknown")</f>
        <v>0.00100685</v>
      </c>
      <c r="G238" s="5">
        <f>IF(ISNUMBER(E238),ROUND(E238*'Reference data'!$B$2,0),"Unknown")</f>
        <v>89.0</v>
      </c>
      <c r="H238" s="5">
        <f>IF(ISNUMBER(F238),ROUND(F238*'Reference data'!$B$2,0),"Unknown")</f>
        <v>101.0</v>
      </c>
      <c r="K238" s="4" t="s">
        <v>111</v>
      </c>
    </row>
    <row r="239" spans="1:13" s="4" customFormat="1" ht="24" customHeight="1">
      <c r="B239" s="4">
        <v>2</v>
      </c>
      <c r="C239" s="4" t="s">
        <v>127</v>
      </c>
      <c r="K239" s="4" t="s">
        <v>111</v>
      </c>
      <c r="M239" s="4" t="s">
        <v>199</v>
      </c>
    </row>
    <row r="240" spans="1:13" ht="203" customHeight="1">
      <c r="B240">
        <v>2</v>
      </c>
      <c r="C240" t="s">
        <v>114</v>
      </c>
      <c r="I240" s="6" t="s">
        <v>200</v>
      </c>
    </row>
    <row r="241" spans="1:13" ht="24" customHeight="1">
      <c r="B241">
        <v>2</v>
      </c>
      <c r="C241" t="s">
        <v>116</v>
      </c>
      <c r="I241" s="6" t="s">
        <v>130</v>
      </c>
    </row>
    <row r="242" spans="1:13" s="4" customFormat="1" ht="24" customHeight="1">
      <c r="A242" s="4" t="s">
        <v>201</v>
      </c>
      <c r="B242" s="4">
        <v>2</v>
      </c>
      <c r="C242" s="4" t="s">
        <v>94</v>
      </c>
      <c r="D242" s="4">
        <v>5156</v>
      </c>
      <c r="J242" s="4" t="s">
        <v>95</v>
      </c>
      <c r="M242" s="4" t="s">
        <v>202</v>
      </c>
    </row>
    <row r="243" spans="1:13" ht="24" customHeight="1">
      <c r="A243" t="s">
        <v>201</v>
      </c>
      <c r="B243">
        <v>2</v>
      </c>
      <c r="C243" t="s">
        <v>120</v>
      </c>
      <c r="D243" s="5">
        <v>4853</v>
      </c>
      <c r="E243" s="2">
        <f>IF(AND(ISNUMBER(F243),ISNUMBER('Reference data'!$B$3)),F243*'Reference data'!$B$3,"Unknown")</f>
        <v>8.53875644e-05</v>
      </c>
      <c r="F243" s="2">
        <f>IF(D243=0,0,IF(ISNUMBER('Reference data'!C17),D243*'Reference data'!C17/1000000,"Unknown"))</f>
        <v>9.706e-05</v>
      </c>
      <c r="G243" s="5">
        <f>IF(ISNUMBER(E243),ROUND(E243*'Reference data'!$B$2,0),"Unknown")</f>
        <v>9.0</v>
      </c>
      <c r="H243" s="5">
        <f>IF(ISNUMBER(F243),ROUND(F243*'Reference data'!$B$2,0),"Unknown")</f>
        <v>10.0</v>
      </c>
    </row>
    <row r="244" spans="1:13" ht="24" customHeight="1">
      <c r="A244" t="s">
        <v>201</v>
      </c>
      <c r="B244">
        <v>2</v>
      </c>
      <c r="C244" t="s">
        <v>97</v>
      </c>
      <c r="D244" s="5">
        <v>3</v>
      </c>
      <c r="E244" s="2">
        <f>IF(AND(ISNUMBER(F244),ISNUMBER('Reference data'!$B$3)),F244*'Reference data'!$B$3,"Unknown")</f>
        <v>5.27844e-07</v>
      </c>
      <c r="F244" s="2">
        <f>IF(D244=0,0,IF(ISNUMBER('Reference data'!B17),D244*'Reference data'!B17/1000000,"Unknown"))</f>
        <v>6e-07</v>
      </c>
      <c r="G244" s="5">
        <f>IF(ISNUMBER(E244),ROUND(E244*'Reference data'!$B$2,0),"Unknown")</f>
        <v>0.0</v>
      </c>
      <c r="H244" s="5">
        <f>IF(ISNUMBER(F244),ROUND(F244*'Reference data'!$B$2,0),"Unknown")</f>
        <v>0.0</v>
      </c>
    </row>
    <row r="245" spans="1:13" ht="24" customHeight="1">
      <c r="A245" t="s">
        <v>201</v>
      </c>
      <c r="B245">
        <v>2</v>
      </c>
      <c r="C245" t="s">
        <v>121</v>
      </c>
      <c r="I245" s="6" t="s">
        <v>130</v>
      </c>
    </row>
    <row r="246" spans="1:13" ht="24" customHeight="1">
      <c r="A246" t="s">
        <v>201</v>
      </c>
      <c r="B246">
        <v>2</v>
      </c>
      <c r="C246" t="s">
        <v>103</v>
      </c>
      <c r="D246" s="5">
        <v>300</v>
      </c>
      <c r="E246" s="2">
        <f>IF(AND(ISNUMBER(F246),ISNUMBER('Reference data'!$B$3)),F246*'Reference data'!$B$3,"Unknown")</f>
        <v>6.59805e-05</v>
      </c>
      <c r="F246" s="2">
        <f>IF(D246=0,0,IF(ISNUMBER('Reference data'!D17),D246*'Reference data'!D17/1000000,"Unknown"))</f>
        <v>7.5e-05</v>
      </c>
      <c r="G246" s="5">
        <f>IF(ISNUMBER(E246),ROUND(E246*'Reference data'!$B$2,0),"Unknown")</f>
        <v>7.0</v>
      </c>
      <c r="H246" s="5">
        <f>IF(ISNUMBER(F246),ROUND(F246*'Reference data'!$B$2,0),"Unknown")</f>
        <v>8.0</v>
      </c>
    </row>
    <row r="247" spans="1:13" ht="24" customHeight="1">
      <c r="A247" t="s">
        <v>201</v>
      </c>
      <c r="B247">
        <v>2</v>
      </c>
      <c r="C247" t="s">
        <v>104</v>
      </c>
    </row>
    <row r="248" spans="1:13" s="4" customFormat="1" ht="24" customHeight="1">
      <c r="A248" s="4" t="s">
        <v>201</v>
      </c>
      <c r="B248" s="4">
        <v>2</v>
      </c>
      <c r="C248" s="4" t="s">
        <v>105</v>
      </c>
      <c r="D248" s="4">
        <v>41</v>
      </c>
    </row>
    <row r="249" spans="1:13" ht="24" customHeight="1">
      <c r="A249" t="s">
        <v>201</v>
      </c>
      <c r="B249">
        <v>2</v>
      </c>
      <c r="C249" t="s">
        <v>106</v>
      </c>
      <c r="D249" s="5">
        <v>10</v>
      </c>
      <c r="E249" s="2">
        <f>IF(AND(ISNUMBER(F249),ISNUMBER('Reference data'!$B$3)),F249*'Reference data'!$B$3,"Unknown")</f>
        <v>1.055688e-05</v>
      </c>
      <c r="F249" s="2">
        <f>IF(D249=0,0,IF(ISNUMBER('Reference data'!F17),D249*'Reference data'!F17/1000000,"Unknown"))</f>
        <v>1.2e-05</v>
      </c>
      <c r="G249" s="5">
        <f>IF(ISNUMBER(E249),ROUND(E249*'Reference data'!$B$2,0),"Unknown")</f>
        <v>1.0</v>
      </c>
      <c r="H249" s="5">
        <f>IF(ISNUMBER(F249),ROUND(F249*'Reference data'!$B$2,0),"Unknown")</f>
        <v>1.0</v>
      </c>
    </row>
    <row r="250" spans="1:13" ht="24" customHeight="1">
      <c r="A250" t="s">
        <v>201</v>
      </c>
      <c r="B250">
        <v>2</v>
      </c>
      <c r="C250" t="s">
        <v>107</v>
      </c>
      <c r="D250" s="5">
        <v>31</v>
      </c>
      <c r="E250" s="2">
        <f>IF(AND(ISNUMBER(F250),ISNUMBER('Reference data'!$B$3)),F250*'Reference data'!$B$3,"Unknown")</f>
        <v>3.2726328e-05</v>
      </c>
      <c r="F250" s="2">
        <f>IF(D250=0,0,IF(ISNUMBER('Reference data'!E17),D250*'Reference data'!E17/1000000,"Unknown"))</f>
        <v>3.72e-05</v>
      </c>
      <c r="G250" s="5">
        <f>IF(ISNUMBER(E250),ROUND(E250*'Reference data'!$B$2,0),"Unknown")</f>
        <v>3.0</v>
      </c>
      <c r="H250" s="5">
        <f>IF(ISNUMBER(F250),ROUND(F250*'Reference data'!$B$2,0),"Unknown")</f>
        <v>4.0</v>
      </c>
    </row>
    <row r="251" spans="1:13" ht="281" customHeight="1">
      <c r="A251" t="s">
        <v>201</v>
      </c>
      <c r="B251">
        <v>2</v>
      </c>
      <c r="C251" t="s">
        <v>108</v>
      </c>
      <c r="I251" s="6" t="s">
        <v>203</v>
      </c>
    </row>
    <row r="252" spans="1:13" ht="24" customHeight="1">
      <c r="A252" t="s">
        <v>201</v>
      </c>
      <c r="B252">
        <v>2</v>
      </c>
      <c r="C252" t="s">
        <v>103</v>
      </c>
    </row>
    <row r="253" spans="1:13" ht="24" customHeight="1">
      <c r="A253" t="s">
        <v>201</v>
      </c>
      <c r="B253">
        <v>2</v>
      </c>
      <c r="C253" t="s">
        <v>104</v>
      </c>
    </row>
    <row r="254" spans="1:13" s="4" customFormat="1" ht="24" customHeight="1">
      <c r="A254" s="4" t="s">
        <v>201</v>
      </c>
      <c r="B254" s="4">
        <v>2</v>
      </c>
      <c r="C254" s="4" t="s">
        <v>110</v>
      </c>
      <c r="E254" s="2">
        <f>IF(COUNT('Turns'!E243,'Turns'!E244,'Turns'!E246,'Turns'!E249,'Turns'!E250)=5,SUM('Turns'!E243,'Turns'!E244,'Turns'!E246,'Turns'!E249,'Turns'!E250),"Unknown")</f>
        <v>0.0001951791164</v>
      </c>
      <c r="F254" s="2">
        <f>IF(COUNT('Turns'!F243,'Turns'!F244,'Turns'!F246,'Turns'!F249,'Turns'!F250)=5,SUM('Turns'!F243,'Turns'!F244,'Turns'!F246,'Turns'!F249,'Turns'!F250),"Unknown")</f>
        <v>0.00022186</v>
      </c>
      <c r="G254" s="5">
        <f>IF(ISNUMBER(E254),ROUND(E254*'Reference data'!$B$2,0),"Unknown")</f>
        <v>20.0</v>
      </c>
      <c r="H254" s="5">
        <f>IF(ISNUMBER(F254),ROUND(F254*'Reference data'!$B$2,0),"Unknown")</f>
        <v>22.0</v>
      </c>
      <c r="K254" s="4" t="s">
        <v>111</v>
      </c>
    </row>
    <row r="255" spans="1:13" s="4" customFormat="1" ht="24" customHeight="1">
      <c r="B255" s="4">
        <v>2</v>
      </c>
      <c r="C255" s="4" t="s">
        <v>112</v>
      </c>
      <c r="K255" s="4" t="s">
        <v>111</v>
      </c>
      <c r="M255" s="4" t="s">
        <v>204</v>
      </c>
    </row>
    <row r="256" spans="1:13" ht="24" customHeight="1">
      <c r="B256">
        <v>2</v>
      </c>
      <c r="C256" t="s">
        <v>114</v>
      </c>
      <c r="I256" s="6" t="s">
        <v>146</v>
      </c>
    </row>
    <row r="257" spans="1:13" ht="409" customHeight="1">
      <c r="B257">
        <v>2</v>
      </c>
      <c r="C257" t="s">
        <v>116</v>
      </c>
      <c r="I257" s="6" t="s">
        <v>205</v>
      </c>
    </row>
    <row r="258" spans="1:13" s="4" customFormat="1" ht="24" customHeight="1">
      <c r="A258" s="4" t="s">
        <v>206</v>
      </c>
      <c r="B258" s="4">
        <v>2</v>
      </c>
      <c r="C258" s="4" t="s">
        <v>94</v>
      </c>
      <c r="D258" s="4">
        <v>6885</v>
      </c>
      <c r="J258" s="4" t="s">
        <v>95</v>
      </c>
      <c r="M258" s="4" t="s">
        <v>207</v>
      </c>
    </row>
    <row r="259" spans="1:13" ht="24" customHeight="1">
      <c r="A259" t="s">
        <v>206</v>
      </c>
      <c r="B259">
        <v>2</v>
      </c>
      <c r="C259" t="s">
        <v>120</v>
      </c>
      <c r="D259" s="5">
        <v>5153</v>
      </c>
      <c r="E259" s="2">
        <f>IF(AND(ISNUMBER(F259),ISNUMBER('Reference data'!$B$3)),F259*'Reference data'!$B$3,"Unknown")</f>
        <v>9.06660044e-05</v>
      </c>
      <c r="F259" s="2">
        <f>IF(D259=0,0,IF(ISNUMBER('Reference data'!C17),D259*'Reference data'!C17/1000000,"Unknown"))</f>
        <v>0.00010306</v>
      </c>
      <c r="G259" s="5">
        <f>IF(ISNUMBER(E259),ROUND(E259*'Reference data'!$B$2,0),"Unknown")</f>
        <v>9.0</v>
      </c>
      <c r="H259" s="5">
        <f>IF(ISNUMBER(F259),ROUND(F259*'Reference data'!$B$2,0),"Unknown")</f>
        <v>10.0</v>
      </c>
    </row>
    <row r="260" spans="1:13" ht="24" customHeight="1">
      <c r="A260" t="s">
        <v>206</v>
      </c>
      <c r="B260">
        <v>2</v>
      </c>
      <c r="C260" t="s">
        <v>97</v>
      </c>
      <c r="D260" s="5">
        <v>3</v>
      </c>
      <c r="E260" s="2">
        <f>IF(AND(ISNUMBER(F260),ISNUMBER('Reference data'!$B$3)),F260*'Reference data'!$B$3,"Unknown")</f>
        <v>5.27844e-07</v>
      </c>
      <c r="F260" s="2">
        <f>IF(D260=0,0,IF(ISNUMBER('Reference data'!B17),D260*'Reference data'!B17/1000000,"Unknown"))</f>
        <v>6e-07</v>
      </c>
      <c r="G260" s="5">
        <f>IF(ISNUMBER(E260),ROUND(E260*'Reference data'!$B$2,0),"Unknown")</f>
        <v>0.0</v>
      </c>
      <c r="H260" s="5">
        <f>IF(ISNUMBER(F260),ROUND(F260*'Reference data'!$B$2,0),"Unknown")</f>
        <v>0.0</v>
      </c>
    </row>
    <row r="261" spans="1:13" ht="409" customHeight="1">
      <c r="A261" t="s">
        <v>206</v>
      </c>
      <c r="B261">
        <v>2</v>
      </c>
      <c r="C261" t="s">
        <v>121</v>
      </c>
      <c r="I261" s="6" t="s">
        <v>205</v>
      </c>
    </row>
    <row r="262" spans="1:13" ht="24" customHeight="1">
      <c r="A262" t="s">
        <v>206</v>
      </c>
      <c r="B262">
        <v>2</v>
      </c>
      <c r="C262" t="s">
        <v>103</v>
      </c>
      <c r="D262" s="5">
        <v>1729</v>
      </c>
      <c r="E262" s="2">
        <f>IF(AND(ISNUMBER(F262),ISNUMBER('Reference data'!$B$3)),F262*'Reference data'!$B$3,"Unknown")</f>
        <v>0.000380267615</v>
      </c>
      <c r="F262" s="2">
        <f>IF(D262=0,0,IF(ISNUMBER('Reference data'!D17),D262*'Reference data'!D17/1000000,"Unknown"))</f>
        <v>0.00043225</v>
      </c>
      <c r="G262" s="5">
        <f>IF(ISNUMBER(E262),ROUND(E262*'Reference data'!$B$2,0),"Unknown")</f>
        <v>38.0</v>
      </c>
      <c r="H262" s="5">
        <f>IF(ISNUMBER(F262),ROUND(F262*'Reference data'!$B$2,0),"Unknown")</f>
        <v>43.0</v>
      </c>
    </row>
    <row r="263" spans="1:13" ht="24" customHeight="1">
      <c r="A263" t="s">
        <v>206</v>
      </c>
      <c r="B263">
        <v>2</v>
      </c>
      <c r="C263" t="s">
        <v>104</v>
      </c>
    </row>
    <row r="264" spans="1:13" s="4" customFormat="1" ht="24" customHeight="1">
      <c r="A264" s="4" t="s">
        <v>206</v>
      </c>
      <c r="B264" s="4">
        <v>2</v>
      </c>
      <c r="C264" s="4" t="s">
        <v>105</v>
      </c>
      <c r="D264" s="4">
        <v>108</v>
      </c>
    </row>
    <row r="265" spans="1:13" ht="24" customHeight="1">
      <c r="A265" t="s">
        <v>206</v>
      </c>
      <c r="B265">
        <v>2</v>
      </c>
      <c r="C265" t="s">
        <v>106</v>
      </c>
      <c r="D265" s="5">
        <v>31</v>
      </c>
      <c r="E265" s="2">
        <f>IF(AND(ISNUMBER(F265),ISNUMBER('Reference data'!$B$3)),F265*'Reference data'!$B$3,"Unknown")</f>
        <v>3.2726328e-05</v>
      </c>
      <c r="F265" s="2">
        <f>IF(D265=0,0,IF(ISNUMBER('Reference data'!F17),D265*'Reference data'!F17/1000000,"Unknown"))</f>
        <v>3.72e-05</v>
      </c>
      <c r="G265" s="5">
        <f>IF(ISNUMBER(E265),ROUND(E265*'Reference data'!$B$2,0),"Unknown")</f>
        <v>3.0</v>
      </c>
      <c r="H265" s="5">
        <f>IF(ISNUMBER(F265),ROUND(F265*'Reference data'!$B$2,0),"Unknown")</f>
        <v>4.0</v>
      </c>
    </row>
    <row r="266" spans="1:13" ht="24" customHeight="1">
      <c r="A266" t="s">
        <v>206</v>
      </c>
      <c r="B266">
        <v>2</v>
      </c>
      <c r="C266" t="s">
        <v>107</v>
      </c>
      <c r="D266" s="5">
        <v>77</v>
      </c>
      <c r="E266" s="2">
        <f>IF(AND(ISNUMBER(F266),ISNUMBER('Reference data'!$B$3)),F266*'Reference data'!$B$3,"Unknown")</f>
        <v>8.1287976e-05</v>
      </c>
      <c r="F266" s="2">
        <f>IF(D266=0,0,IF(ISNUMBER('Reference data'!E17),D266*'Reference data'!E17/1000000,"Unknown"))</f>
        <v>9.24e-05</v>
      </c>
      <c r="G266" s="5">
        <f>IF(ISNUMBER(E266),ROUND(E266*'Reference data'!$B$2,0),"Unknown")</f>
        <v>8.0</v>
      </c>
      <c r="H266" s="5">
        <f>IF(ISNUMBER(F266),ROUND(F266*'Reference data'!$B$2,0),"Unknown")</f>
        <v>9.0</v>
      </c>
    </row>
    <row r="267" spans="1:13" ht="307" customHeight="1">
      <c r="A267" t="s">
        <v>206</v>
      </c>
      <c r="B267">
        <v>2</v>
      </c>
      <c r="C267" t="s">
        <v>108</v>
      </c>
      <c r="I267" s="6" t="s">
        <v>208</v>
      </c>
    </row>
    <row r="268" spans="1:13" ht="24" customHeight="1">
      <c r="A268" t="s">
        <v>206</v>
      </c>
      <c r="B268">
        <v>2</v>
      </c>
      <c r="C268" t="s">
        <v>103</v>
      </c>
    </row>
    <row r="269" spans="1:13" ht="24" customHeight="1">
      <c r="A269" t="s">
        <v>206</v>
      </c>
      <c r="B269">
        <v>2</v>
      </c>
      <c r="C269" t="s">
        <v>104</v>
      </c>
    </row>
    <row r="270" spans="1:13" s="4" customFormat="1" ht="24" customHeight="1">
      <c r="A270" s="4" t="s">
        <v>206</v>
      </c>
      <c r="B270" s="4">
        <v>2</v>
      </c>
      <c r="C270" s="4" t="s">
        <v>110</v>
      </c>
      <c r="E270" s="2">
        <f>IF(COUNT('Turns'!E259,'Turns'!E260,'Turns'!E262,'Turns'!E265,'Turns'!E266)=5,SUM('Turns'!E259,'Turns'!E260,'Turns'!E262,'Turns'!E265,'Turns'!E266),"Unknown")</f>
        <v>0.0005854757674</v>
      </c>
      <c r="F270" s="2">
        <f>IF(COUNT('Turns'!F259,'Turns'!F260,'Turns'!F262,'Turns'!F265,'Turns'!F266)=5,SUM('Turns'!F259,'Turns'!F260,'Turns'!F262,'Turns'!F265,'Turns'!F266),"Unknown")</f>
        <v>0.00066551</v>
      </c>
      <c r="G270" s="5">
        <f>IF(ISNUMBER(E270),ROUND(E270*'Reference data'!$B$2,0),"Unknown")</f>
        <v>59.0</v>
      </c>
      <c r="H270" s="5">
        <f>IF(ISNUMBER(F270),ROUND(F270*'Reference data'!$B$2,0),"Unknown")</f>
        <v>67.0</v>
      </c>
      <c r="K270" s="4" t="s">
        <v>111</v>
      </c>
    </row>
  </sheetData>
  <conditionalFormatting sqref="A2:AE270">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99"/>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209</v>
      </c>
      <c r="B2" s="1">
        <v>0</v>
      </c>
      <c r="C2" s="1" t="s">
        <v>210</v>
      </c>
      <c r="D2" s="1" t="s">
        <v>47</v>
      </c>
      <c r="E2" s="1" t="s">
        <v>111</v>
      </c>
      <c r="G2" s="6" t="s">
        <v>211</v>
      </c>
      <c r="H2" t="s">
        <v>49</v>
      </c>
      <c r="J2" s="2">
        <f>IF(COUNT('Turns'!D5,'Turns'!D23)=2,SUM('Turns'!D5,'Turns'!D23),"Unknown")</f>
        <v>6.0</v>
      </c>
      <c r="K2" s="2">
        <f>IF(COUNT('Turns'!E5,'Turns'!E23)=2,SUM('Turns'!E5,'Turns'!E23),"Unknown")</f>
        <v>1.055688e-06</v>
      </c>
      <c r="L2" s="2">
        <f>IF(COUNT('Turns'!F5,'Turns'!F23)=2,SUM('Turns'!F5,'Turns'!F23),"Unknown")</f>
        <v>1.2e-06</v>
      </c>
      <c r="M2" s="2">
        <f>IF(COUNT('Turns'!D22)=1,SUM('Turns'!D22),"Unknown")</f>
        <v>3104.0</v>
      </c>
      <c r="N2" s="2">
        <f>IF(COUNT('Turns'!E22)=1,SUM('Turns'!E22),"Unknown")</f>
        <v>5.46142592e-05</v>
      </c>
      <c r="O2" s="2">
        <f>IF(COUNT('Turns'!F22)=1,SUM('Turns'!F22),"Unknown")</f>
        <v>6.208e-05</v>
      </c>
      <c r="P2" s="2">
        <f>IF(COUNT('Turns'!D9,'Turns'!D25)=2,SUM('Turns'!D9,'Turns'!D25),"Unknown")</f>
        <v>4409.0</v>
      </c>
      <c r="Q2" s="2">
        <f>IF(COUNT('Turns'!E9,'Turns'!E25)=2,SUM('Turns'!E9,'Turns'!E25),"Unknown")</f>
        <v>0.000969693415</v>
      </c>
      <c r="R2" s="2">
        <f>IF(COUNT('Turns'!F9,'Turns'!F25)=2,SUM('Turns'!F9,'Turns'!F25),"Unknown")</f>
        <v>0.00110225</v>
      </c>
      <c r="S2" s="2">
        <f>IF(COUNT('Turns'!D13,'Turns'!D29)=2,SUM('Turns'!D13,'Turns'!D29),"Unknown")</f>
        <v>110.0</v>
      </c>
      <c r="T2" s="2">
        <f>IF(COUNT('Turns'!E13,'Turns'!E29)=2,SUM('Turns'!E13,'Turns'!E29),"Unknown")</f>
        <v>0.00011612568</v>
      </c>
      <c r="U2" s="2">
        <f>IF(COUNT('Turns'!F13,'Turns'!F29)=2,SUM('Turns'!F13,'Turns'!F29),"Unknown")</f>
        <v>0.000132</v>
      </c>
      <c r="V2" s="2">
        <f>IF(COUNT('Turns'!D12,'Turns'!D28)=2,SUM('Turns'!D12,'Turns'!D28),"Unknown")</f>
        <v>492.0</v>
      </c>
      <c r="W2" s="2">
        <f>IF(COUNT('Turns'!E12,'Turns'!E28)=2,SUM('Turns'!E12,'Turns'!E28),"Unknown")</f>
        <v>0.000519398496</v>
      </c>
      <c r="X2" s="2">
        <f>IF(COUNT('Turns'!F12,'Turns'!F28)=2,SUM('Turns'!F12,'Turns'!F28),"Unknown")</f>
        <v>0.0005904</v>
      </c>
      <c r="Y2" s="2">
        <f>IF(COUNT('Turns'!E17,'Turns'!E33)=2,SUM('Turns'!E17,'Turns'!E33),"Unknown")</f>
        <v>0.0016608875382</v>
      </c>
      <c r="Z2" s="2">
        <f>IF(COUNT('Turns'!F17,'Turns'!F33)=2,SUM('Turns'!F17,'Turns'!F33),"Unknown")</f>
        <v>0.00188793</v>
      </c>
      <c r="AA2" s="5">
        <f>IF(ISNUMBER(Y2),ROUND(Y2*'Reference data'!$B$2,0),"Unknown")</f>
        <v>166.0</v>
      </c>
      <c r="AB2" s="5">
        <f>IF(ISNUMBER(Z2),ROUND(Z2*'Reference data'!$B$2,0),"Unknown")</f>
        <v>189.0</v>
      </c>
      <c r="AD2" s="1">
        <v>8209.724</v>
      </c>
      <c r="AE2" s="1" t="s">
        <v>212</v>
      </c>
    </row>
    <row r="3" spans="1:31" ht="54" customHeight="1">
      <c r="A3" s="6" t="s">
        <v>213</v>
      </c>
      <c r="B3" s="1">
        <v>1</v>
      </c>
      <c r="C3" s="1" t="s">
        <v>210</v>
      </c>
      <c r="D3" s="1" t="s">
        <v>47</v>
      </c>
      <c r="E3" s="1" t="s">
        <v>111</v>
      </c>
      <c r="G3" s="6" t="s">
        <v>214</v>
      </c>
      <c r="H3" t="s">
        <v>215</v>
      </c>
      <c r="I3" t="s">
        <v>49</v>
      </c>
      <c r="J3" s="2">
        <f>IF(COUNT('Turns'!D5,'Turns'!D23)=2,SUM('Turns'!D5,'Turns'!D23),"Unknown")</f>
        <v>6.0</v>
      </c>
      <c r="K3" s="2">
        <f>IF(COUNT('Turns'!E5,'Turns'!E23)=2,SUM('Turns'!E5,'Turns'!E23),"Unknown")</f>
        <v>1.055688e-06</v>
      </c>
      <c r="L3" s="2">
        <f>IF(COUNT('Turns'!F5,'Turns'!F23)=2,SUM('Turns'!F5,'Turns'!F23),"Unknown")</f>
        <v>1.2e-06</v>
      </c>
      <c r="M3" s="2">
        <f>IF(COUNT('Turns'!D22)=1,SUM('Turns'!D22),"Unknown")</f>
        <v>3104.0</v>
      </c>
      <c r="N3" s="2">
        <f>IF(COUNT('Turns'!E22)=1,SUM('Turns'!E22),"Unknown")</f>
        <v>5.46142592e-05</v>
      </c>
      <c r="O3" s="2">
        <f>IF(COUNT('Turns'!F22)=1,SUM('Turns'!F22),"Unknown")</f>
        <v>6.208e-05</v>
      </c>
      <c r="P3" s="2">
        <f>IF(COUNT('Turns'!D9,'Turns'!D25)=2,SUM('Turns'!D9,'Turns'!D25),"Unknown")</f>
        <v>4409.0</v>
      </c>
      <c r="Q3" s="2">
        <f>IF(COUNT('Turns'!E9,'Turns'!E25)=2,SUM('Turns'!E9,'Turns'!E25),"Unknown")</f>
        <v>0.000969693415</v>
      </c>
      <c r="R3" s="2">
        <f>IF(COUNT('Turns'!F9,'Turns'!F25)=2,SUM('Turns'!F9,'Turns'!F25),"Unknown")</f>
        <v>0.00110225</v>
      </c>
      <c r="S3" s="2">
        <f>IF(COUNT('Turns'!D13,'Turns'!D29)=2,SUM('Turns'!D13,'Turns'!D29),"Unknown")</f>
        <v>110.0</v>
      </c>
      <c r="T3" s="2">
        <f>IF(COUNT('Turns'!E13,'Turns'!E29)=2,SUM('Turns'!E13,'Turns'!E29),"Unknown")</f>
        <v>0.00011612568</v>
      </c>
      <c r="U3" s="2">
        <f>IF(COUNT('Turns'!F13,'Turns'!F29)=2,SUM('Turns'!F13,'Turns'!F29),"Unknown")</f>
        <v>0.000132</v>
      </c>
      <c r="V3" s="2">
        <f>IF(COUNT('Turns'!D12,'Turns'!D28)=2,SUM('Turns'!D12,'Turns'!D28),"Unknown")</f>
        <v>492.0</v>
      </c>
      <c r="W3" s="2">
        <f>IF(COUNT('Turns'!E12,'Turns'!E28)=2,SUM('Turns'!E12,'Turns'!E28),"Unknown")</f>
        <v>0.000519398496</v>
      </c>
      <c r="X3" s="2">
        <f>IF(COUNT('Turns'!F12,'Turns'!F28)=2,SUM('Turns'!F12,'Turns'!F28),"Unknown")</f>
        <v>0.0005904</v>
      </c>
      <c r="Y3" s="2">
        <f>IF(COUNT('Turns'!E17,'Turns'!E33)=2,SUM('Turns'!E17,'Turns'!E33),"Unknown")</f>
        <v>0.0016608875382</v>
      </c>
      <c r="Z3" s="2">
        <f>IF(COUNT('Turns'!F17,'Turns'!F33)=2,SUM('Turns'!F17,'Turns'!F33),"Unknown")</f>
        <v>0.00188793</v>
      </c>
      <c r="AA3" s="5">
        <f>IF(ISNUMBER(Y3),ROUND(Y3*'Reference data'!$B$2,0),"Unknown")</f>
        <v>166.0</v>
      </c>
      <c r="AB3" s="5">
        <f>IF(ISNUMBER(Z3),ROUND(Z3*'Reference data'!$B$2,0),"Unknown")</f>
        <v>189.0</v>
      </c>
      <c r="AD3" s="1">
        <v>8206.111000000001</v>
      </c>
      <c r="AE3" s="1" t="s">
        <v>212</v>
      </c>
    </row>
    <row r="4" spans="1:31" ht="54" customHeight="1">
      <c r="A4" s="6" t="s">
        <v>216</v>
      </c>
      <c r="B4" s="1">
        <v>2</v>
      </c>
      <c r="C4" s="1" t="s">
        <v>210</v>
      </c>
      <c r="D4" s="1" t="s">
        <v>47</v>
      </c>
      <c r="E4" s="1" t="s">
        <v>111</v>
      </c>
      <c r="G4" s="6" t="s">
        <v>217</v>
      </c>
      <c r="H4" t="s">
        <v>218</v>
      </c>
      <c r="I4" t="s">
        <v>215</v>
      </c>
      <c r="J4" s="2">
        <f>IF(COUNT('Turns'!D5,'Turns'!D23)=2,SUM('Turns'!D5,'Turns'!D23),"Unknown")</f>
        <v>6.0</v>
      </c>
      <c r="K4" s="2">
        <f>IF(COUNT('Turns'!E5,'Turns'!E23)=2,SUM('Turns'!E5,'Turns'!E23),"Unknown")</f>
        <v>1.055688e-06</v>
      </c>
      <c r="L4" s="2">
        <f>IF(COUNT('Turns'!F5,'Turns'!F23)=2,SUM('Turns'!F5,'Turns'!F23),"Unknown")</f>
        <v>1.2e-06</v>
      </c>
      <c r="M4" s="2">
        <f>IF(COUNT('Turns'!D22)=1,SUM('Turns'!D22),"Unknown")</f>
        <v>3104.0</v>
      </c>
      <c r="N4" s="2">
        <f>IF(COUNT('Turns'!E22)=1,SUM('Turns'!E22),"Unknown")</f>
        <v>5.46142592e-05</v>
      </c>
      <c r="O4" s="2">
        <f>IF(COUNT('Turns'!F22)=1,SUM('Turns'!F22),"Unknown")</f>
        <v>6.208e-05</v>
      </c>
      <c r="P4" s="2">
        <f>IF(COUNT('Turns'!D9,'Turns'!D25)=2,SUM('Turns'!D9,'Turns'!D25),"Unknown")</f>
        <v>4409.0</v>
      </c>
      <c r="Q4" s="2">
        <f>IF(COUNT('Turns'!E9,'Turns'!E25)=2,SUM('Turns'!E9,'Turns'!E25),"Unknown")</f>
        <v>0.000969693415</v>
      </c>
      <c r="R4" s="2">
        <f>IF(COUNT('Turns'!F9,'Turns'!F25)=2,SUM('Turns'!F9,'Turns'!F25),"Unknown")</f>
        <v>0.00110225</v>
      </c>
      <c r="S4" s="2">
        <f>IF(COUNT('Turns'!D13,'Turns'!D29)=2,SUM('Turns'!D13,'Turns'!D29),"Unknown")</f>
        <v>110.0</v>
      </c>
      <c r="T4" s="2">
        <f>IF(COUNT('Turns'!E13,'Turns'!E29)=2,SUM('Turns'!E13,'Turns'!E29),"Unknown")</f>
        <v>0.00011612568</v>
      </c>
      <c r="U4" s="2">
        <f>IF(COUNT('Turns'!F13,'Turns'!F29)=2,SUM('Turns'!F13,'Turns'!F29),"Unknown")</f>
        <v>0.000132</v>
      </c>
      <c r="V4" s="2">
        <f>IF(COUNT('Turns'!D12,'Turns'!D28)=2,SUM('Turns'!D12,'Turns'!D28),"Unknown")</f>
        <v>492.0</v>
      </c>
      <c r="W4" s="2">
        <f>IF(COUNT('Turns'!E12,'Turns'!E28)=2,SUM('Turns'!E12,'Turns'!E28),"Unknown")</f>
        <v>0.000519398496</v>
      </c>
      <c r="X4" s="2">
        <f>IF(COUNT('Turns'!F12,'Turns'!F28)=2,SUM('Turns'!F12,'Turns'!F28),"Unknown")</f>
        <v>0.0005904</v>
      </c>
      <c r="Y4" s="2">
        <f>IF(COUNT('Turns'!E17,'Turns'!E33)=2,SUM('Turns'!E17,'Turns'!E33),"Unknown")</f>
        <v>0.0016608875382</v>
      </c>
      <c r="Z4" s="2">
        <f>IF(COUNT('Turns'!F17,'Turns'!F33)=2,SUM('Turns'!F17,'Turns'!F33),"Unknown")</f>
        <v>0.00188793</v>
      </c>
      <c r="AA4" s="5">
        <f>IF(ISNUMBER(Y4),ROUND(Y4*'Reference data'!$B$2,0),"Unknown")</f>
        <v>166.0</v>
      </c>
      <c r="AB4" s="5">
        <f>IF(ISNUMBER(Z4),ROUND(Z4*'Reference data'!$B$2,0),"Unknown")</f>
        <v>189.0</v>
      </c>
      <c r="AD4" s="1">
        <v>8204.243</v>
      </c>
      <c r="AE4" s="1" t="s">
        <v>212</v>
      </c>
    </row>
    <row r="5" spans="1:31" ht="54" customHeight="1">
      <c r="A5" s="6" t="s">
        <v>219</v>
      </c>
      <c r="B5" s="1">
        <v>3</v>
      </c>
      <c r="C5" s="1" t="s">
        <v>210</v>
      </c>
      <c r="D5" s="1" t="s">
        <v>47</v>
      </c>
      <c r="E5" s="1" t="s">
        <v>111</v>
      </c>
      <c r="G5" s="6" t="s">
        <v>220</v>
      </c>
      <c r="H5" t="s">
        <v>221</v>
      </c>
      <c r="I5" t="s">
        <v>218</v>
      </c>
      <c r="J5" s="2">
        <f>IF(COUNT('Turns'!D5,'Turns'!D23)=2,SUM('Turns'!D5,'Turns'!D23),"Unknown")</f>
        <v>6.0</v>
      </c>
      <c r="K5" s="2">
        <f>IF(COUNT('Turns'!E5,'Turns'!E23)=2,SUM('Turns'!E5,'Turns'!E23),"Unknown")</f>
        <v>1.055688e-06</v>
      </c>
      <c r="L5" s="2">
        <f>IF(COUNT('Turns'!F5,'Turns'!F23)=2,SUM('Turns'!F5,'Turns'!F23),"Unknown")</f>
        <v>1.2e-06</v>
      </c>
      <c r="M5" s="2">
        <f>IF(COUNT('Turns'!D22)=1,SUM('Turns'!D22),"Unknown")</f>
        <v>3104.0</v>
      </c>
      <c r="N5" s="2">
        <f>IF(COUNT('Turns'!E22)=1,SUM('Turns'!E22),"Unknown")</f>
        <v>5.46142592e-05</v>
      </c>
      <c r="O5" s="2">
        <f>IF(COUNT('Turns'!F22)=1,SUM('Turns'!F22),"Unknown")</f>
        <v>6.208e-05</v>
      </c>
      <c r="P5" s="2">
        <f>IF(COUNT('Turns'!D9,'Turns'!D25)=2,SUM('Turns'!D9,'Turns'!D25),"Unknown")</f>
        <v>4409.0</v>
      </c>
      <c r="Q5" s="2">
        <f>IF(COUNT('Turns'!E9,'Turns'!E25)=2,SUM('Turns'!E9,'Turns'!E25),"Unknown")</f>
        <v>0.000969693415</v>
      </c>
      <c r="R5" s="2">
        <f>IF(COUNT('Turns'!F9,'Turns'!F25)=2,SUM('Turns'!F9,'Turns'!F25),"Unknown")</f>
        <v>0.00110225</v>
      </c>
      <c r="S5" s="2">
        <f>IF(COUNT('Turns'!D13,'Turns'!D29)=2,SUM('Turns'!D13,'Turns'!D29),"Unknown")</f>
        <v>110.0</v>
      </c>
      <c r="T5" s="2">
        <f>IF(COUNT('Turns'!E13,'Turns'!E29)=2,SUM('Turns'!E13,'Turns'!E29),"Unknown")</f>
        <v>0.00011612568</v>
      </c>
      <c r="U5" s="2">
        <f>IF(COUNT('Turns'!F13,'Turns'!F29)=2,SUM('Turns'!F13,'Turns'!F29),"Unknown")</f>
        <v>0.000132</v>
      </c>
      <c r="V5" s="2">
        <f>IF(COUNT('Turns'!D12,'Turns'!D28)=2,SUM('Turns'!D12,'Turns'!D28),"Unknown")</f>
        <v>492.0</v>
      </c>
      <c r="W5" s="2">
        <f>IF(COUNT('Turns'!E12,'Turns'!E28)=2,SUM('Turns'!E12,'Turns'!E28),"Unknown")</f>
        <v>0.000519398496</v>
      </c>
      <c r="X5" s="2">
        <f>IF(COUNT('Turns'!F12,'Turns'!F28)=2,SUM('Turns'!F12,'Turns'!F28),"Unknown")</f>
        <v>0.0005904</v>
      </c>
      <c r="Y5" s="2">
        <f>IF(COUNT('Turns'!E17,'Turns'!E33)=2,SUM('Turns'!E17,'Turns'!E33),"Unknown")</f>
        <v>0.0016608875382</v>
      </c>
      <c r="Z5" s="2">
        <f>IF(COUNT('Turns'!F17,'Turns'!F33)=2,SUM('Turns'!F17,'Turns'!F33),"Unknown")</f>
        <v>0.00188793</v>
      </c>
      <c r="AA5" s="5">
        <f>IF(ISNUMBER(Y5),ROUND(Y5*'Reference data'!$B$2,0),"Unknown")</f>
        <v>166.0</v>
      </c>
      <c r="AB5" s="5">
        <f>IF(ISNUMBER(Z5),ROUND(Z5*'Reference data'!$B$2,0),"Unknown")</f>
        <v>189.0</v>
      </c>
      <c r="AD5" s="1">
        <v>8203.147000000001</v>
      </c>
      <c r="AE5" s="1" t="s">
        <v>212</v>
      </c>
    </row>
    <row r="6" spans="1:31" ht="54" customHeight="1">
      <c r="A6" s="6" t="s">
        <v>222</v>
      </c>
      <c r="B6" s="1">
        <v>4</v>
      </c>
      <c r="C6" s="1" t="s">
        <v>210</v>
      </c>
      <c r="D6" s="1" t="s">
        <v>47</v>
      </c>
      <c r="E6" s="1" t="s">
        <v>111</v>
      </c>
      <c r="G6" s="6" t="s">
        <v>223</v>
      </c>
      <c r="H6" t="s">
        <v>224</v>
      </c>
      <c r="I6" t="s">
        <v>221</v>
      </c>
      <c r="AD6" s="1">
        <v>0.617</v>
      </c>
      <c r="AE6" s="1" t="s">
        <v>225</v>
      </c>
    </row>
    <row r="7" spans="1:31" ht="54" customHeight="1">
      <c r="A7" s="6" t="s">
        <v>226</v>
      </c>
      <c r="B7" s="1">
        <v>4</v>
      </c>
      <c r="C7" s="1" t="s">
        <v>210</v>
      </c>
      <c r="D7" s="1" t="s">
        <v>47</v>
      </c>
      <c r="E7" s="1" t="s">
        <v>111</v>
      </c>
      <c r="G7" s="6" t="s">
        <v>227</v>
      </c>
      <c r="H7" t="s">
        <v>228</v>
      </c>
      <c r="I7" t="s">
        <v>221</v>
      </c>
      <c r="J7" s="2">
        <f>IF(COUNT('Turns'!D5)=1,SUM('Turns'!D5),"Unknown")</f>
        <v>3.0</v>
      </c>
      <c r="K7" s="2">
        <f>IF(COUNT('Turns'!E5)=1,SUM('Turns'!E5),"Unknown")</f>
        <v>5.27844e-07</v>
      </c>
      <c r="L7" s="2">
        <f>IF(COUNT('Turns'!F5)=1,SUM('Turns'!F5),"Unknown")</f>
        <v>6e-07</v>
      </c>
      <c r="M7" s="2">
        <v>0</v>
      </c>
      <c r="N7" s="2">
        <v>0</v>
      </c>
      <c r="O7" s="2">
        <v>0</v>
      </c>
      <c r="P7" s="2">
        <f>IF(COUNT('Turns'!D9)=1,SUM('Turns'!D9),"Unknown")</f>
        <v>3104.0</v>
      </c>
      <c r="Q7" s="2">
        <f>IF(COUNT('Turns'!E9)=1,SUM('Turns'!E9),"Unknown")</f>
        <v>0.00068267824</v>
      </c>
      <c r="R7" s="2">
        <f>IF(COUNT('Turns'!F9)=1,SUM('Turns'!F9),"Unknown")</f>
        <v>0.000776</v>
      </c>
      <c r="S7" s="2">
        <f>IF(COUNT('Turns'!D13)=1,SUM('Turns'!D13),"Unknown")</f>
        <v>31.0</v>
      </c>
      <c r="T7" s="2">
        <f>IF(COUNT('Turns'!E13)=1,SUM('Turns'!E13),"Unknown")</f>
        <v>3.2726328e-05</v>
      </c>
      <c r="U7" s="2">
        <f>IF(COUNT('Turns'!F13)=1,SUM('Turns'!F13),"Unknown")</f>
        <v>3.72e-05</v>
      </c>
      <c r="V7" s="2">
        <f>IF(COUNT('Turns'!D12)=1,SUM('Turns'!D12),"Unknown")</f>
        <v>24.0</v>
      </c>
      <c r="W7" s="2">
        <f>IF(COUNT('Turns'!E12)=1,SUM('Turns'!E12),"Unknown")</f>
        <v>2.5336512e-05</v>
      </c>
      <c r="X7" s="2">
        <f>IF(COUNT('Turns'!F12)=1,SUM('Turns'!F12),"Unknown")</f>
        <v>2.88e-05</v>
      </c>
      <c r="Y7" s="2">
        <f>IF(COUNT('Turns'!E17)=1,SUM('Turns'!E17),"Unknown")</f>
        <v>0.000741268924</v>
      </c>
      <c r="Z7" s="2">
        <f>IF(COUNT('Turns'!F17)=1,SUM('Turns'!F17),"Unknown")</f>
        <v>0.0008426</v>
      </c>
      <c r="AA7" s="5">
        <f>IF(ISNUMBER(Y7),ROUND(Y7*'Reference data'!$B$2,0),"Unknown")</f>
        <v>74.0</v>
      </c>
      <c r="AB7" s="5">
        <f>IF(ISNUMBER(Z7),ROUND(Z7*'Reference data'!$B$2,0),"Unknown")</f>
        <v>84.0</v>
      </c>
      <c r="AD7" s="1">
        <v>1360.455</v>
      </c>
      <c r="AE7" s="1" t="s">
        <v>212</v>
      </c>
    </row>
    <row r="8" spans="1:31" ht="54" customHeight="1">
      <c r="A8" s="6" t="s">
        <v>229</v>
      </c>
      <c r="B8" s="1">
        <v>5</v>
      </c>
      <c r="C8" s="1" t="s">
        <v>230</v>
      </c>
      <c r="D8" s="1" t="s">
        <v>95</v>
      </c>
      <c r="E8" s="1" t="s">
        <v>111</v>
      </c>
      <c r="F8" s="1">
        <v>3107</v>
      </c>
      <c r="G8" s="6" t="s">
        <v>231</v>
      </c>
      <c r="H8" t="s">
        <v>96</v>
      </c>
      <c r="I8" t="s">
        <v>228</v>
      </c>
      <c r="J8" s="2">
        <f>IF(COUNT('Turns'!D5)=1,SUM('Turns'!D5),"Unknown")</f>
        <v>3.0</v>
      </c>
      <c r="K8" s="2">
        <f>IF(COUNT('Turns'!E5)=1,SUM('Turns'!E5),"Unknown")</f>
        <v>5.27844e-07</v>
      </c>
      <c r="L8" s="2">
        <f>IF(COUNT('Turns'!F5)=1,SUM('Turns'!F5),"Unknown")</f>
        <v>6e-07</v>
      </c>
      <c r="M8" s="2">
        <v>0</v>
      </c>
      <c r="N8" s="2">
        <v>0</v>
      </c>
      <c r="O8" s="2">
        <v>0</v>
      </c>
      <c r="P8" s="2">
        <f>IF(COUNT('Turns'!D9)=1,SUM('Turns'!D9),"Unknown")</f>
        <v>3104.0</v>
      </c>
      <c r="Q8" s="2">
        <f>IF(COUNT('Turns'!E9)=1,SUM('Turns'!E9),"Unknown")</f>
        <v>0.00068267824</v>
      </c>
      <c r="R8" s="2">
        <f>IF(COUNT('Turns'!F9)=1,SUM('Turns'!F9),"Unknown")</f>
        <v>0.000776</v>
      </c>
      <c r="S8" s="2">
        <f>IF(COUNT('Turns'!D13)=1,SUM('Turns'!D13),"Unknown")</f>
        <v>31.0</v>
      </c>
      <c r="T8" s="2">
        <f>IF(COUNT('Turns'!E13)=1,SUM('Turns'!E13),"Unknown")</f>
        <v>3.2726328e-05</v>
      </c>
      <c r="U8" s="2">
        <f>IF(COUNT('Turns'!F13)=1,SUM('Turns'!F13),"Unknown")</f>
        <v>3.72e-05</v>
      </c>
      <c r="V8" s="2">
        <f>IF(COUNT('Turns'!D12)=1,SUM('Turns'!D12),"Unknown")</f>
        <v>24.0</v>
      </c>
      <c r="W8" s="2">
        <f>IF(COUNT('Turns'!E12)=1,SUM('Turns'!E12),"Unknown")</f>
        <v>2.5336512e-05</v>
      </c>
      <c r="X8" s="2">
        <f>IF(COUNT('Turns'!F12)=1,SUM('Turns'!F12),"Unknown")</f>
        <v>2.88e-05</v>
      </c>
      <c r="Y8" s="2">
        <f>IF(COUNT('Turns'!E17)=1,SUM('Turns'!E17),"Unknown")</f>
        <v>0.000741268924</v>
      </c>
      <c r="Z8" s="2">
        <f>IF(COUNT('Turns'!F17)=1,SUM('Turns'!F17),"Unknown")</f>
        <v>0.0008426</v>
      </c>
      <c r="AA8" s="5">
        <f>IF(ISNUMBER(Y8),ROUND(Y8*'Reference data'!$B$2,0),"Unknown")</f>
        <v>74.0</v>
      </c>
      <c r="AB8" s="5">
        <f>IF(ISNUMBER(Z8),ROUND(Z8*'Reference data'!$B$2,0),"Unknown")</f>
        <v>84.0</v>
      </c>
      <c r="AC8" s="1" t="s">
        <v>93</v>
      </c>
      <c r="AD8" s="1">
        <v>1354.892</v>
      </c>
      <c r="AE8" s="1" t="s">
        <v>232</v>
      </c>
    </row>
    <row r="9" spans="1:31" ht="54" customHeight="1">
      <c r="A9" s="6" t="s">
        <v>233</v>
      </c>
      <c r="B9" s="1">
        <v>4</v>
      </c>
      <c r="C9" s="1" t="s">
        <v>210</v>
      </c>
      <c r="D9" s="1" t="s">
        <v>47</v>
      </c>
      <c r="E9" s="1" t="s">
        <v>111</v>
      </c>
      <c r="G9" s="6" t="s">
        <v>234</v>
      </c>
      <c r="H9" t="s">
        <v>235</v>
      </c>
      <c r="I9" t="s">
        <v>221</v>
      </c>
      <c r="AD9" s="1">
        <v>3.577</v>
      </c>
      <c r="AE9" s="1" t="s">
        <v>225</v>
      </c>
    </row>
    <row r="10" spans="1:31" ht="54" customHeight="1">
      <c r="A10" s="6" t="s">
        <v>236</v>
      </c>
      <c r="B10" s="1">
        <v>5</v>
      </c>
      <c r="C10" s="1" t="s">
        <v>237</v>
      </c>
      <c r="D10" s="1" t="s">
        <v>47</v>
      </c>
      <c r="E10" s="1" t="s">
        <v>111</v>
      </c>
      <c r="G10" s="6" t="s">
        <v>238</v>
      </c>
      <c r="H10" t="s">
        <v>113</v>
      </c>
      <c r="I10" t="s">
        <v>235</v>
      </c>
      <c r="AD10" s="1">
        <v>1.956</v>
      </c>
      <c r="AE10" s="1" t="s">
        <v>225</v>
      </c>
    </row>
    <row r="11" spans="1:31" ht="54" customHeight="1">
      <c r="A11" s="6" t="s">
        <v>222</v>
      </c>
      <c r="B11" s="1">
        <v>4</v>
      </c>
      <c r="C11" s="1" t="s">
        <v>210</v>
      </c>
      <c r="D11" s="1" t="s">
        <v>47</v>
      </c>
      <c r="E11" s="1" t="s">
        <v>111</v>
      </c>
      <c r="G11" s="6" t="s">
        <v>223</v>
      </c>
      <c r="H11" t="s">
        <v>239</v>
      </c>
      <c r="I11" t="s">
        <v>221</v>
      </c>
      <c r="AD11" s="1">
        <v>0.571</v>
      </c>
      <c r="AE11" s="1" t="s">
        <v>225</v>
      </c>
    </row>
    <row r="12" spans="1:31" ht="54" customHeight="1">
      <c r="A12" s="6" t="s">
        <v>226</v>
      </c>
      <c r="B12" s="1">
        <v>4</v>
      </c>
      <c r="C12" s="1" t="s">
        <v>210</v>
      </c>
      <c r="D12" s="1" t="s">
        <v>47</v>
      </c>
      <c r="E12" s="1" t="s">
        <v>111</v>
      </c>
      <c r="G12" s="6" t="s">
        <v>227</v>
      </c>
      <c r="H12" t="s">
        <v>240</v>
      </c>
      <c r="I12" t="s">
        <v>221</v>
      </c>
      <c r="J12" s="2">
        <f>IF(COUNT('Turns'!D23)=1,SUM('Turns'!D23),"Unknown")</f>
        <v>3.0</v>
      </c>
      <c r="K12" s="2">
        <f>IF(COUNT('Turns'!E23)=1,SUM('Turns'!E23),"Unknown")</f>
        <v>5.27844e-07</v>
      </c>
      <c r="L12" s="2">
        <f>IF(COUNT('Turns'!F23)=1,SUM('Turns'!F23),"Unknown")</f>
        <v>6e-07</v>
      </c>
      <c r="M12" s="2">
        <f>IF(COUNT('Turns'!D22)=1,SUM('Turns'!D22),"Unknown")</f>
        <v>3104.0</v>
      </c>
      <c r="N12" s="2">
        <f>IF(COUNT('Turns'!E22)=1,SUM('Turns'!E22),"Unknown")</f>
        <v>5.46142592e-05</v>
      </c>
      <c r="O12" s="2">
        <f>IF(COUNT('Turns'!F22)=1,SUM('Turns'!F22),"Unknown")</f>
        <v>6.208e-05</v>
      </c>
      <c r="P12" s="2">
        <f>IF(COUNT('Turns'!D25)=1,SUM('Turns'!D25),"Unknown")</f>
        <v>1305.0</v>
      </c>
      <c r="Q12" s="2">
        <f>IF(COUNT('Turns'!E25)=1,SUM('Turns'!E25),"Unknown")</f>
        <v>0.000287015175</v>
      </c>
      <c r="R12" s="2">
        <f>IF(COUNT('Turns'!F25)=1,SUM('Turns'!F25),"Unknown")</f>
        <v>0.00032625</v>
      </c>
      <c r="S12" s="2">
        <f>IF(COUNT('Turns'!D29)=1,SUM('Turns'!D29),"Unknown")</f>
        <v>79.0</v>
      </c>
      <c r="T12" s="2">
        <f>IF(COUNT('Turns'!E29)=1,SUM('Turns'!E29),"Unknown")</f>
        <v>8.3399352e-05</v>
      </c>
      <c r="U12" s="2">
        <f>IF(COUNT('Turns'!F29)=1,SUM('Turns'!F29),"Unknown")</f>
        <v>9.48e-05</v>
      </c>
      <c r="V12" s="2">
        <f>IF(COUNT('Turns'!D28)=1,SUM('Turns'!D28),"Unknown")</f>
        <v>468.0</v>
      </c>
      <c r="W12" s="2">
        <f>IF(COUNT('Turns'!E28)=1,SUM('Turns'!E28),"Unknown")</f>
        <v>0.000494061984</v>
      </c>
      <c r="X12" s="2">
        <f>IF(COUNT('Turns'!F28)=1,SUM('Turns'!F28),"Unknown")</f>
        <v>0.0005616</v>
      </c>
      <c r="Y12" s="2">
        <f>IF(COUNT('Turns'!E33)=1,SUM('Turns'!E33),"Unknown")</f>
        <v>0.0009196186142</v>
      </c>
      <c r="Z12" s="2">
        <f>IF(COUNT('Turns'!F33)=1,SUM('Turns'!F33),"Unknown")</f>
        <v>0.00104533</v>
      </c>
      <c r="AA12" s="5">
        <f>IF(ISNUMBER(Y12),ROUND(Y12*'Reference data'!$B$2,0),"Unknown")</f>
        <v>92.0</v>
      </c>
      <c r="AB12" s="5">
        <f>IF(ISNUMBER(Z12),ROUND(Z12*'Reference data'!$B$2,0),"Unknown")</f>
        <v>105.0</v>
      </c>
      <c r="AD12" s="1">
        <v>6832.533</v>
      </c>
      <c r="AE12" s="1" t="s">
        <v>212</v>
      </c>
    </row>
    <row r="13" spans="1:31" ht="54" customHeight="1">
      <c r="A13" s="6" t="s">
        <v>229</v>
      </c>
      <c r="B13" s="1">
        <v>5</v>
      </c>
      <c r="C13" s="1" t="s">
        <v>230</v>
      </c>
      <c r="D13" s="1" t="s">
        <v>95</v>
      </c>
      <c r="E13" s="1" t="s">
        <v>111</v>
      </c>
      <c r="F13" s="1">
        <v>4412</v>
      </c>
      <c r="G13" s="6" t="s">
        <v>231</v>
      </c>
      <c r="H13" t="s">
        <v>119</v>
      </c>
      <c r="I13" t="s">
        <v>240</v>
      </c>
      <c r="J13" s="2">
        <f>IF(COUNT('Turns'!D23)=1,SUM('Turns'!D23),"Unknown")</f>
        <v>3.0</v>
      </c>
      <c r="K13" s="2">
        <f>IF(COUNT('Turns'!E23)=1,SUM('Turns'!E23),"Unknown")</f>
        <v>5.27844e-07</v>
      </c>
      <c r="L13" s="2">
        <f>IF(COUNT('Turns'!F23)=1,SUM('Turns'!F23),"Unknown")</f>
        <v>6e-07</v>
      </c>
      <c r="M13" s="2">
        <f>IF(COUNT('Turns'!D22)=1,SUM('Turns'!D22),"Unknown")</f>
        <v>3104.0</v>
      </c>
      <c r="N13" s="2">
        <f>IF(COUNT('Turns'!E22)=1,SUM('Turns'!E22),"Unknown")</f>
        <v>5.46142592e-05</v>
      </c>
      <c r="O13" s="2">
        <f>IF(COUNT('Turns'!F22)=1,SUM('Turns'!F22),"Unknown")</f>
        <v>6.208e-05</v>
      </c>
      <c r="P13" s="2">
        <f>IF(COUNT('Turns'!D25)=1,SUM('Turns'!D25),"Unknown")</f>
        <v>1305.0</v>
      </c>
      <c r="Q13" s="2">
        <f>IF(COUNT('Turns'!E25)=1,SUM('Turns'!E25),"Unknown")</f>
        <v>0.000287015175</v>
      </c>
      <c r="R13" s="2">
        <f>IF(COUNT('Turns'!F25)=1,SUM('Turns'!F25),"Unknown")</f>
        <v>0.00032625</v>
      </c>
      <c r="S13" s="2">
        <f>IF(COUNT('Turns'!D29)=1,SUM('Turns'!D29),"Unknown")</f>
        <v>79.0</v>
      </c>
      <c r="T13" s="2">
        <f>IF(COUNT('Turns'!E29)=1,SUM('Turns'!E29),"Unknown")</f>
        <v>8.3399352e-05</v>
      </c>
      <c r="U13" s="2">
        <f>IF(COUNT('Turns'!F29)=1,SUM('Turns'!F29),"Unknown")</f>
        <v>9.48e-05</v>
      </c>
      <c r="V13" s="2">
        <f>IF(COUNT('Turns'!D28)=1,SUM('Turns'!D28),"Unknown")</f>
        <v>468.0</v>
      </c>
      <c r="W13" s="2">
        <f>IF(COUNT('Turns'!E28)=1,SUM('Turns'!E28),"Unknown")</f>
        <v>0.000494061984</v>
      </c>
      <c r="X13" s="2">
        <f>IF(COUNT('Turns'!F28)=1,SUM('Turns'!F28),"Unknown")</f>
        <v>0.0005616</v>
      </c>
      <c r="Y13" s="2">
        <f>IF(COUNT('Turns'!E33)=1,SUM('Turns'!E33),"Unknown")</f>
        <v>0.0009196186142</v>
      </c>
      <c r="Z13" s="2">
        <f>IF(COUNT('Turns'!F33)=1,SUM('Turns'!F33),"Unknown")</f>
        <v>0.00104533</v>
      </c>
      <c r="AA13" s="5">
        <f>IF(ISNUMBER(Y13),ROUND(Y13*'Reference data'!$B$2,0),"Unknown")</f>
        <v>92.0</v>
      </c>
      <c r="AB13" s="5">
        <f>IF(ISNUMBER(Z13),ROUND(Z13*'Reference data'!$B$2,0),"Unknown")</f>
        <v>105.0</v>
      </c>
      <c r="AC13" s="1" t="s">
        <v>118</v>
      </c>
      <c r="AD13" s="1">
        <v>6825.348</v>
      </c>
      <c r="AE13" s="1" t="s">
        <v>232</v>
      </c>
    </row>
    <row r="14" spans="1:31" ht="54" customHeight="1">
      <c r="A14" s="6" t="s">
        <v>241</v>
      </c>
      <c r="B14" s="1">
        <v>2</v>
      </c>
      <c r="C14" s="1" t="s">
        <v>210</v>
      </c>
      <c r="D14" s="1" t="s">
        <v>47</v>
      </c>
      <c r="E14" s="1" t="s">
        <v>111</v>
      </c>
      <c r="G14" s="6" t="s">
        <v>242</v>
      </c>
      <c r="H14" t="s">
        <v>243</v>
      </c>
      <c r="I14" t="s">
        <v>215</v>
      </c>
      <c r="AD14" s="1">
        <v>0.338</v>
      </c>
      <c r="AE14" s="1" t="s">
        <v>225</v>
      </c>
    </row>
    <row r="15" spans="1:31" ht="54" customHeight="1">
      <c r="A15" s="6" t="s">
        <v>244</v>
      </c>
      <c r="B15" s="1">
        <v>1</v>
      </c>
      <c r="C15" s="1" t="s">
        <v>210</v>
      </c>
      <c r="D15" s="1" t="s">
        <v>47</v>
      </c>
      <c r="E15" s="1" t="s">
        <v>111</v>
      </c>
      <c r="G15" s="6" t="s">
        <v>245</v>
      </c>
      <c r="H15" t="s">
        <v>246</v>
      </c>
      <c r="I15" t="s">
        <v>49</v>
      </c>
      <c r="AD15" s="1">
        <v>0.488</v>
      </c>
      <c r="AE15" s="1" t="s">
        <v>225</v>
      </c>
    </row>
    <row r="16" spans="1:31" ht="54" customHeight="1">
      <c r="A16" s="6" t="s">
        <v>209</v>
      </c>
      <c r="B16" s="1">
        <v>0</v>
      </c>
      <c r="C16" s="1" t="s">
        <v>210</v>
      </c>
      <c r="D16" s="1" t="s">
        <v>47</v>
      </c>
      <c r="E16" s="1" t="s">
        <v>111</v>
      </c>
      <c r="G16" s="6" t="s">
        <v>211</v>
      </c>
      <c r="H16" t="s">
        <v>247</v>
      </c>
      <c r="J16" s="2">
        <f>IF(COUNT('Turns'!D37,'Turns'!D53,'Turns'!D69,'Turns'!D81,'Turns'!D104,'Turns'!D118,'Turns'!D134,'Turns'!D150,'Turns'!D162,'Turns'!D185,'Turns'!D197,'Turns'!D214,'Turns'!D228,'Turns'!D244,'Turns'!D260)=15,SUM('Turns'!D37,'Turns'!D53,'Turns'!D69,'Turns'!D81,'Turns'!D104,'Turns'!D118,'Turns'!D134,'Turns'!D150,'Turns'!D162,'Turns'!D185,'Turns'!D197,'Turns'!D214,'Turns'!D228,'Turns'!D244,'Turns'!D260),"Unknown")</f>
        <v>45.0</v>
      </c>
      <c r="K16" s="2">
        <f>IF(COUNT('Turns'!E37,'Turns'!E53,'Turns'!E69,'Turns'!E81,'Turns'!E104,'Turns'!E118,'Turns'!E134,'Turns'!E150,'Turns'!E162,'Turns'!E185,'Turns'!E197,'Turns'!E214,'Turns'!E228,'Turns'!E244,'Turns'!E260)=15,SUM('Turns'!E37,'Turns'!E53,'Turns'!E69,'Turns'!E81,'Turns'!E104,'Turns'!E118,'Turns'!E134,'Turns'!E150,'Turns'!E162,'Turns'!E185,'Turns'!E197,'Turns'!E214,'Turns'!E228,'Turns'!E244,'Turns'!E260),"Unknown")</f>
        <v>7.91766e-06</v>
      </c>
      <c r="L16" s="2">
        <f>IF(COUNT('Turns'!F37,'Turns'!F53,'Turns'!F69,'Turns'!F81,'Turns'!F104,'Turns'!F118,'Turns'!F134,'Turns'!F150,'Turns'!F162,'Turns'!F185,'Turns'!F197,'Turns'!F214,'Turns'!F228,'Turns'!F244,'Turns'!F260)=15,SUM('Turns'!F37,'Turns'!F53,'Turns'!F69,'Turns'!F81,'Turns'!F104,'Turns'!F118,'Turns'!F134,'Turns'!F150,'Turns'!F162,'Turns'!F185,'Turns'!F197,'Turns'!F214,'Turns'!F228,'Turns'!F244,'Turns'!F260),"Unknown")</f>
        <v>9e-06</v>
      </c>
      <c r="M16" s="2">
        <f>IF(COUNT('Turns'!D36,'Turns'!D52,'Turns'!D68,'Turns'!D117,'Turns'!D133,'Turns'!D149,'Turns'!D184,'Turns'!D227,'Turns'!D243,'Turns'!D259)=10,SUM('Turns'!D36,'Turns'!D52,'Turns'!D68,'Turns'!D117,'Turns'!D133,'Turns'!D149,'Turns'!D184,'Turns'!D227,'Turns'!D243,'Turns'!D259),"Unknown")</f>
        <v>42776.0</v>
      </c>
      <c r="N16" s="2">
        <f>IF(COUNT('Turns'!E36,'Turns'!E52,'Turns'!E68,'Turns'!E117,'Turns'!E133,'Turns'!E149,'Turns'!E184,'Turns'!E227,'Turns'!E243,'Turns'!E259)=10,SUM('Turns'!E36,'Turns'!E52,'Turns'!E68,'Turns'!E117,'Turns'!E133,'Turns'!E149,'Turns'!E184,'Turns'!E227,'Turns'!E243,'Turns'!E259),"Unknown")</f>
        <v>0.0007526351648</v>
      </c>
      <c r="O16" s="2">
        <f>IF(COUNT('Turns'!F36,'Turns'!F52,'Turns'!F68,'Turns'!F117,'Turns'!F133,'Turns'!F149,'Turns'!F184,'Turns'!F227,'Turns'!F243,'Turns'!F259)=10,SUM('Turns'!F36,'Turns'!F52,'Turns'!F68,'Turns'!F117,'Turns'!F133,'Turns'!F149,'Turns'!F184,'Turns'!F227,'Turns'!F243,'Turns'!F259),"Unknown")</f>
        <v>0.00085552</v>
      </c>
      <c r="P16" s="2">
        <f>IF(COUNT('Turns'!D39,'Turns'!D55,'Turns'!D71,'Turns'!D85,'Turns'!D107,'Turns'!D120,'Turns'!D136,'Turns'!D152,'Turns'!D165,'Turns'!D187,'Turns'!D201,'Turns'!D217,'Turns'!D230,'Turns'!D246,'Turns'!D262)=15,SUM('Turns'!D39,'Turns'!D55,'Turns'!D71,'Turns'!D85,'Turns'!D107,'Turns'!D120,'Turns'!D136,'Turns'!D152,'Turns'!D165,'Turns'!D187,'Turns'!D201,'Turns'!D217,'Turns'!D230,'Turns'!D246,'Turns'!D262),"Unknown")</f>
        <v>42025.0</v>
      </c>
      <c r="Q16" s="2">
        <f>IF(COUNT('Turns'!E39,'Turns'!E55,'Turns'!E71,'Turns'!E85,'Turns'!E107,'Turns'!E120,'Turns'!E136,'Turns'!E152,'Turns'!E165,'Turns'!E187,'Turns'!E201,'Turns'!E217,'Turns'!E230,'Turns'!E246,'Turns'!E262)=15,SUM('Turns'!E39,'Turns'!E55,'Turns'!E71,'Turns'!E85,'Turns'!E107,'Turns'!E120,'Turns'!E136,'Turns'!E152,'Turns'!E165,'Turns'!E187,'Turns'!E201,'Turns'!E217,'Turns'!E230,'Turns'!E246,'Turns'!E262),"Unknown")</f>
        <v>0.009242768375</v>
      </c>
      <c r="R16" s="2">
        <f>IF(COUNT('Turns'!F39,'Turns'!F55,'Turns'!F71,'Turns'!F85,'Turns'!F107,'Turns'!F120,'Turns'!F136,'Turns'!F152,'Turns'!F165,'Turns'!F187,'Turns'!F201,'Turns'!F217,'Turns'!F230,'Turns'!F246,'Turns'!F262)=15,SUM('Turns'!F39,'Turns'!F55,'Turns'!F71,'Turns'!F85,'Turns'!F107,'Turns'!F120,'Turns'!F136,'Turns'!F152,'Turns'!F165,'Turns'!F187,'Turns'!F201,'Turns'!F217,'Turns'!F230,'Turns'!F246,'Turns'!F262),"Unknown")</f>
        <v>0.01050625</v>
      </c>
      <c r="S16" s="2">
        <f>IF(COUNT('Turns'!D43,'Turns'!D59,'Turns'!D75,'Turns'!D89,'Turns'!D111,'Turns'!D124,'Turns'!D140,'Turns'!D156,'Turns'!D169,'Turns'!D191,'Turns'!D205,'Turns'!D221,'Turns'!D234,'Turns'!D250,'Turns'!D266)=15,SUM('Turns'!D43,'Turns'!D59,'Turns'!D75,'Turns'!D89,'Turns'!D111,'Turns'!D124,'Turns'!D140,'Turns'!D156,'Turns'!D169,'Turns'!D191,'Turns'!D205,'Turns'!D221,'Turns'!D234,'Turns'!D250,'Turns'!D266),"Unknown")</f>
        <v>3583.0</v>
      </c>
      <c r="T16" s="2">
        <f>IF(COUNT('Turns'!E43,'Turns'!E59,'Turns'!E75,'Turns'!E89,'Turns'!E111,'Turns'!E124,'Turns'!E140,'Turns'!E156,'Turns'!E169,'Turns'!E191,'Turns'!E205,'Turns'!E221,'Turns'!E234,'Turns'!E250,'Turns'!E266)=15,SUM('Turns'!E43,'Turns'!E59,'Turns'!E75,'Turns'!E89,'Turns'!E111,'Turns'!E124,'Turns'!E140,'Turns'!E156,'Turns'!E169,'Turns'!E191,'Turns'!E205,'Turns'!E221,'Turns'!E234,'Turns'!E250,'Turns'!E266),"Unknown")</f>
        <v>0.003782530104</v>
      </c>
      <c r="U16" s="2">
        <f>IF(COUNT('Turns'!F43,'Turns'!F59,'Turns'!F75,'Turns'!F89,'Turns'!F111,'Turns'!F124,'Turns'!F140,'Turns'!F156,'Turns'!F169,'Turns'!F191,'Turns'!F205,'Turns'!F221,'Turns'!F234,'Turns'!F250,'Turns'!F266)=15,SUM('Turns'!F43,'Turns'!F59,'Turns'!F75,'Turns'!F89,'Turns'!F111,'Turns'!F124,'Turns'!F140,'Turns'!F156,'Turns'!F169,'Turns'!F191,'Turns'!F205,'Turns'!F221,'Turns'!F234,'Turns'!F250,'Turns'!F266),"Unknown")</f>
        <v>0.0042996</v>
      </c>
      <c r="V16" s="2">
        <f>IF(COUNT('Turns'!D42,'Turns'!D58,'Turns'!D74,'Turns'!D88,'Turns'!D110,'Turns'!D123,'Turns'!D139,'Turns'!D155,'Turns'!D168,'Turns'!D190,'Turns'!D204,'Turns'!D220,'Turns'!D233,'Turns'!D249,'Turns'!D265)=15,SUM('Turns'!D42,'Turns'!D58,'Turns'!D74,'Turns'!D88,'Turns'!D110,'Turns'!D123,'Turns'!D139,'Turns'!D155,'Turns'!D168,'Turns'!D190,'Turns'!D204,'Turns'!D220,'Turns'!D233,'Turns'!D249,'Turns'!D265),"Unknown")</f>
        <v>1197.0</v>
      </c>
      <c r="W16" s="2">
        <f>IF(COUNT('Turns'!E42,'Turns'!E58,'Turns'!E74,'Turns'!E88,'Turns'!E110,'Turns'!E123,'Turns'!E139,'Turns'!E155,'Turns'!E168,'Turns'!E190,'Turns'!E204,'Turns'!E220,'Turns'!E233,'Turns'!E249,'Turns'!E265)=15,SUM('Turns'!E42,'Turns'!E58,'Turns'!E74,'Turns'!E88,'Turns'!E110,'Turns'!E123,'Turns'!E139,'Turns'!E155,'Turns'!E168,'Turns'!E190,'Turns'!E204,'Turns'!E220,'Turns'!E233,'Turns'!E249,'Turns'!E265),"Unknown")</f>
        <v>0.001263658536</v>
      </c>
      <c r="X16" s="2">
        <f>IF(COUNT('Turns'!F42,'Turns'!F58,'Turns'!F74,'Turns'!F88,'Turns'!F110,'Turns'!F123,'Turns'!F139,'Turns'!F155,'Turns'!F168,'Turns'!F190,'Turns'!F204,'Turns'!F220,'Turns'!F233,'Turns'!F249,'Turns'!F265)=15,SUM('Turns'!F42,'Turns'!F58,'Turns'!F74,'Turns'!F88,'Turns'!F110,'Turns'!F123,'Turns'!F139,'Turns'!F155,'Turns'!F168,'Turns'!F190,'Turns'!F204,'Turns'!F220,'Turns'!F233,'Turns'!F249,'Turns'!F265),"Unknown")</f>
        <v>0.0014364</v>
      </c>
      <c r="Y16" s="2">
        <f>IF(COUNT('Turns'!E47,'Turns'!E63,'Turns'!E79,'Turns'!E93,'Turns'!E115,'Turns'!E128,'Turns'!E144,'Turns'!E160,'Turns'!E173,'Turns'!E195,'Turns'!E209,'Turns'!E225,'Turns'!E238,'Turns'!E254,'Turns'!E270)=15,SUM('Turns'!E47,'Turns'!E63,'Turns'!E79,'Turns'!E93,'Turns'!E115,'Turns'!E128,'Turns'!E144,'Turns'!E160,'Turns'!E173,'Turns'!E195,'Turns'!E209,'Turns'!E225,'Turns'!E238,'Turns'!E254,'Turns'!E270),"Unknown")</f>
        <v>0.0150495098398</v>
      </c>
      <c r="Z16" s="2">
        <f>IF(COUNT('Turns'!F47,'Turns'!F63,'Turns'!F79,'Turns'!F93,'Turns'!F115,'Turns'!F128,'Turns'!F144,'Turns'!F160,'Turns'!F173,'Turns'!F195,'Turns'!F209,'Turns'!F225,'Turns'!F238,'Turns'!F254,'Turns'!F270)=15,SUM('Turns'!F47,'Turns'!F63,'Turns'!F79,'Turns'!F93,'Turns'!F115,'Turns'!F128,'Turns'!F144,'Turns'!F160,'Turns'!F173,'Turns'!F195,'Turns'!F209,'Turns'!F225,'Turns'!F238,'Turns'!F254,'Turns'!F270),"Unknown")</f>
        <v>0.01710677</v>
      </c>
      <c r="AA16" s="5">
        <f>IF(ISNUMBER(Y16),ROUND(Y16*'Reference data'!$B$2,0),"Unknown")</f>
        <v>1505.0</v>
      </c>
      <c r="AB16" s="5">
        <f>IF(ISNUMBER(Z16),ROUND(Z16*'Reference data'!$B$2,0),"Unknown")</f>
        <v>1711.0</v>
      </c>
      <c r="AD16" s="1">
        <v>51059.071</v>
      </c>
      <c r="AE16" s="1" t="s">
        <v>212</v>
      </c>
    </row>
    <row r="17" spans="1:31" ht="54" customHeight="1">
      <c r="A17" s="6" t="s">
        <v>213</v>
      </c>
      <c r="B17" s="1">
        <v>1</v>
      </c>
      <c r="C17" s="1" t="s">
        <v>210</v>
      </c>
      <c r="D17" s="1" t="s">
        <v>47</v>
      </c>
      <c r="E17" s="1" t="s">
        <v>111</v>
      </c>
      <c r="G17" s="6" t="s">
        <v>214</v>
      </c>
      <c r="H17" t="s">
        <v>248</v>
      </c>
      <c r="I17" t="s">
        <v>247</v>
      </c>
      <c r="J17" s="2">
        <f>IF(COUNT('Turns'!D37,'Turns'!D53,'Turns'!D69)=3,SUM('Turns'!D37,'Turns'!D53,'Turns'!D69),"Unknown")</f>
        <v>9.0</v>
      </c>
      <c r="K17" s="2">
        <f>IF(COUNT('Turns'!E37,'Turns'!E53,'Turns'!E69)=3,SUM('Turns'!E37,'Turns'!E53,'Turns'!E69),"Unknown")</f>
        <v>1.583532e-06</v>
      </c>
      <c r="L17" s="2">
        <f>IF(COUNT('Turns'!F37,'Turns'!F53,'Turns'!F69)=3,SUM('Turns'!F37,'Turns'!F53,'Turns'!F69),"Unknown")</f>
        <v>1.8e-06</v>
      </c>
      <c r="M17" s="2">
        <f>IF(COUNT('Turns'!D36,'Turns'!D52,'Turns'!D68)=3,SUM('Turns'!D36,'Turns'!D52,'Turns'!D68),"Unknown")</f>
        <v>15163.0</v>
      </c>
      <c r="N17" s="2">
        <f>IF(COUNT('Turns'!E36,'Turns'!E52,'Turns'!E68)=3,SUM('Turns'!E36,'Turns'!E52,'Turns'!E68),"Unknown")</f>
        <v>0.0002667899524</v>
      </c>
      <c r="O17" s="2">
        <f>IF(COUNT('Turns'!F36,'Turns'!F52,'Turns'!F68)=3,SUM('Turns'!F36,'Turns'!F52,'Turns'!F68),"Unknown")</f>
        <v>0.00030326</v>
      </c>
      <c r="P17" s="2">
        <f>IF(COUNT('Turns'!D39,'Turns'!D55,'Turns'!D71)=3,SUM('Turns'!D39,'Turns'!D55,'Turns'!D71),"Unknown")</f>
        <v>2182.0</v>
      </c>
      <c r="Q17" s="2">
        <f>IF(COUNT('Turns'!E39,'Turns'!E55,'Turns'!E71)=3,SUM('Turns'!E39,'Turns'!E55,'Turns'!E71),"Unknown")</f>
        <v>0.00047989817</v>
      </c>
      <c r="R17" s="2">
        <f>IF(COUNT('Turns'!F39,'Turns'!F55,'Turns'!F71)=3,SUM('Turns'!F39,'Turns'!F55,'Turns'!F71),"Unknown")</f>
        <v>0.0005455</v>
      </c>
      <c r="S17" s="2">
        <f>IF(COUNT('Turns'!D43,'Turns'!D59,'Turns'!D75)=3,SUM('Turns'!D43,'Turns'!D59,'Turns'!D75),"Unknown")</f>
        <v>680.0</v>
      </c>
      <c r="T17" s="2">
        <f>IF(COUNT('Turns'!E43,'Turns'!E59,'Turns'!E75)=3,SUM('Turns'!E43,'Turns'!E59,'Turns'!E75),"Unknown")</f>
        <v>0.00071786784</v>
      </c>
      <c r="U17" s="2">
        <f>IF(COUNT('Turns'!F43,'Turns'!F59,'Turns'!F75)=3,SUM('Turns'!F43,'Turns'!F59,'Turns'!F75),"Unknown")</f>
        <v>0.000816</v>
      </c>
      <c r="V17" s="2">
        <f>IF(COUNT('Turns'!D42,'Turns'!D58,'Turns'!D74)=3,SUM('Turns'!D42,'Turns'!D58,'Turns'!D74),"Unknown")</f>
        <v>178.0</v>
      </c>
      <c r="W17" s="2">
        <f>IF(COUNT('Turns'!E42,'Turns'!E58,'Turns'!E74)=3,SUM('Turns'!E42,'Turns'!E58,'Turns'!E74),"Unknown")</f>
        <v>0.000187912464</v>
      </c>
      <c r="X17" s="2">
        <f>IF(COUNT('Turns'!F42,'Turns'!F58,'Turns'!F74)=3,SUM('Turns'!F42,'Turns'!F58,'Turns'!F74),"Unknown")</f>
        <v>0.0002136</v>
      </c>
      <c r="Y17" s="2">
        <f>IF(COUNT('Turns'!E47,'Turns'!E63,'Turns'!E79)=3,SUM('Turns'!E47,'Turns'!E63,'Turns'!E79),"Unknown")</f>
        <v>0.0016540519584</v>
      </c>
      <c r="Z17" s="2">
        <f>IF(COUNT('Turns'!F47,'Turns'!F63,'Turns'!F79)=3,SUM('Turns'!F47,'Turns'!F63,'Turns'!F79),"Unknown")</f>
        <v>0.00188016</v>
      </c>
      <c r="AA17" s="5">
        <f>IF(ISNUMBER(Y17),ROUND(Y17*'Reference data'!$B$2,0),"Unknown")</f>
        <v>165.0</v>
      </c>
      <c r="AB17" s="5">
        <f>IF(ISNUMBER(Z17),ROUND(Z17*'Reference data'!$B$2,0),"Unknown")</f>
        <v>188.0</v>
      </c>
      <c r="AD17" s="1">
        <v>10213.237</v>
      </c>
      <c r="AE17" s="1" t="s">
        <v>212</v>
      </c>
    </row>
    <row r="18" spans="1:31" ht="54" customHeight="1">
      <c r="A18" s="6" t="s">
        <v>216</v>
      </c>
      <c r="B18" s="1">
        <v>2</v>
      </c>
      <c r="C18" s="1" t="s">
        <v>210</v>
      </c>
      <c r="D18" s="1" t="s">
        <v>47</v>
      </c>
      <c r="E18" s="1" t="s">
        <v>111</v>
      </c>
      <c r="G18" s="6" t="s">
        <v>217</v>
      </c>
      <c r="H18" t="s">
        <v>249</v>
      </c>
      <c r="I18" t="s">
        <v>248</v>
      </c>
      <c r="J18" s="2">
        <f>IF(COUNT('Turns'!D37,'Turns'!D53,'Turns'!D69)=3,SUM('Turns'!D37,'Turns'!D53,'Turns'!D69),"Unknown")</f>
        <v>9.0</v>
      </c>
      <c r="K18" s="2">
        <f>IF(COUNT('Turns'!E37,'Turns'!E53,'Turns'!E69)=3,SUM('Turns'!E37,'Turns'!E53,'Turns'!E69),"Unknown")</f>
        <v>1.583532e-06</v>
      </c>
      <c r="L18" s="2">
        <f>IF(COUNT('Turns'!F37,'Turns'!F53,'Turns'!F69)=3,SUM('Turns'!F37,'Turns'!F53,'Turns'!F69),"Unknown")</f>
        <v>1.8e-06</v>
      </c>
      <c r="M18" s="2">
        <f>IF(COUNT('Turns'!D36,'Turns'!D52,'Turns'!D68)=3,SUM('Turns'!D36,'Turns'!D52,'Turns'!D68),"Unknown")</f>
        <v>15163.0</v>
      </c>
      <c r="N18" s="2">
        <f>IF(COUNT('Turns'!E36,'Turns'!E52,'Turns'!E68)=3,SUM('Turns'!E36,'Turns'!E52,'Turns'!E68),"Unknown")</f>
        <v>0.0002667899524</v>
      </c>
      <c r="O18" s="2">
        <f>IF(COUNT('Turns'!F36,'Turns'!F52,'Turns'!F68)=3,SUM('Turns'!F36,'Turns'!F52,'Turns'!F68),"Unknown")</f>
        <v>0.00030326</v>
      </c>
      <c r="P18" s="2">
        <f>IF(COUNT('Turns'!D39,'Turns'!D55,'Turns'!D71)=3,SUM('Turns'!D39,'Turns'!D55,'Turns'!D71),"Unknown")</f>
        <v>2182.0</v>
      </c>
      <c r="Q18" s="2">
        <f>IF(COUNT('Turns'!E39,'Turns'!E55,'Turns'!E71)=3,SUM('Turns'!E39,'Turns'!E55,'Turns'!E71),"Unknown")</f>
        <v>0.00047989817</v>
      </c>
      <c r="R18" s="2">
        <f>IF(COUNT('Turns'!F39,'Turns'!F55,'Turns'!F71)=3,SUM('Turns'!F39,'Turns'!F55,'Turns'!F71),"Unknown")</f>
        <v>0.0005455</v>
      </c>
      <c r="S18" s="2">
        <f>IF(COUNT('Turns'!D43,'Turns'!D59,'Turns'!D75)=3,SUM('Turns'!D43,'Turns'!D59,'Turns'!D75),"Unknown")</f>
        <v>680.0</v>
      </c>
      <c r="T18" s="2">
        <f>IF(COUNT('Turns'!E43,'Turns'!E59,'Turns'!E75)=3,SUM('Turns'!E43,'Turns'!E59,'Turns'!E75),"Unknown")</f>
        <v>0.00071786784</v>
      </c>
      <c r="U18" s="2">
        <f>IF(COUNT('Turns'!F43,'Turns'!F59,'Turns'!F75)=3,SUM('Turns'!F43,'Turns'!F59,'Turns'!F75),"Unknown")</f>
        <v>0.000816</v>
      </c>
      <c r="V18" s="2">
        <f>IF(COUNT('Turns'!D42,'Turns'!D58,'Turns'!D74)=3,SUM('Turns'!D42,'Turns'!D58,'Turns'!D74),"Unknown")</f>
        <v>178.0</v>
      </c>
      <c r="W18" s="2">
        <f>IF(COUNT('Turns'!E42,'Turns'!E58,'Turns'!E74)=3,SUM('Turns'!E42,'Turns'!E58,'Turns'!E74),"Unknown")</f>
        <v>0.000187912464</v>
      </c>
      <c r="X18" s="2">
        <f>IF(COUNT('Turns'!F42,'Turns'!F58,'Turns'!F74)=3,SUM('Turns'!F42,'Turns'!F58,'Turns'!F74),"Unknown")</f>
        <v>0.0002136</v>
      </c>
      <c r="Y18" s="2">
        <f>IF(COUNT('Turns'!E47,'Turns'!E63,'Turns'!E79)=3,SUM('Turns'!E47,'Turns'!E63,'Turns'!E79),"Unknown")</f>
        <v>0.0016540519584</v>
      </c>
      <c r="Z18" s="2">
        <f>IF(COUNT('Turns'!F47,'Turns'!F63,'Turns'!F79)=3,SUM('Turns'!F47,'Turns'!F63,'Turns'!F79),"Unknown")</f>
        <v>0.00188016</v>
      </c>
      <c r="AA18" s="5">
        <f>IF(ISNUMBER(Y18),ROUND(Y18*'Reference data'!$B$2,0),"Unknown")</f>
        <v>165.0</v>
      </c>
      <c r="AB18" s="5">
        <f>IF(ISNUMBER(Z18),ROUND(Z18*'Reference data'!$B$2,0),"Unknown")</f>
        <v>188.0</v>
      </c>
      <c r="AD18" s="1">
        <v>10209.511</v>
      </c>
      <c r="AE18" s="1" t="s">
        <v>212</v>
      </c>
    </row>
    <row r="19" spans="1:31" ht="54" customHeight="1">
      <c r="A19" s="6" t="s">
        <v>219</v>
      </c>
      <c r="B19" s="1">
        <v>3</v>
      </c>
      <c r="C19" s="1" t="s">
        <v>210</v>
      </c>
      <c r="D19" s="1" t="s">
        <v>47</v>
      </c>
      <c r="E19" s="1" t="s">
        <v>111</v>
      </c>
      <c r="G19" s="6" t="s">
        <v>220</v>
      </c>
      <c r="H19" t="s">
        <v>250</v>
      </c>
      <c r="I19" t="s">
        <v>249</v>
      </c>
      <c r="J19" s="2">
        <f>IF(COUNT('Turns'!D37,'Turns'!D53,'Turns'!D69)=3,SUM('Turns'!D37,'Turns'!D53,'Turns'!D69),"Unknown")</f>
        <v>9.0</v>
      </c>
      <c r="K19" s="2">
        <f>IF(COUNT('Turns'!E37,'Turns'!E53,'Turns'!E69)=3,SUM('Turns'!E37,'Turns'!E53,'Turns'!E69),"Unknown")</f>
        <v>1.583532e-06</v>
      </c>
      <c r="L19" s="2">
        <f>IF(COUNT('Turns'!F37,'Turns'!F53,'Turns'!F69)=3,SUM('Turns'!F37,'Turns'!F53,'Turns'!F69),"Unknown")</f>
        <v>1.8e-06</v>
      </c>
      <c r="M19" s="2">
        <f>IF(COUNT('Turns'!D36,'Turns'!D52,'Turns'!D68)=3,SUM('Turns'!D36,'Turns'!D52,'Turns'!D68),"Unknown")</f>
        <v>15163.0</v>
      </c>
      <c r="N19" s="2">
        <f>IF(COUNT('Turns'!E36,'Turns'!E52,'Turns'!E68)=3,SUM('Turns'!E36,'Turns'!E52,'Turns'!E68),"Unknown")</f>
        <v>0.0002667899524</v>
      </c>
      <c r="O19" s="2">
        <f>IF(COUNT('Turns'!F36,'Turns'!F52,'Turns'!F68)=3,SUM('Turns'!F36,'Turns'!F52,'Turns'!F68),"Unknown")</f>
        <v>0.00030326</v>
      </c>
      <c r="P19" s="2">
        <f>IF(COUNT('Turns'!D39,'Turns'!D55,'Turns'!D71)=3,SUM('Turns'!D39,'Turns'!D55,'Turns'!D71),"Unknown")</f>
        <v>2182.0</v>
      </c>
      <c r="Q19" s="2">
        <f>IF(COUNT('Turns'!E39,'Turns'!E55,'Turns'!E71)=3,SUM('Turns'!E39,'Turns'!E55,'Turns'!E71),"Unknown")</f>
        <v>0.00047989817</v>
      </c>
      <c r="R19" s="2">
        <f>IF(COUNT('Turns'!F39,'Turns'!F55,'Turns'!F71)=3,SUM('Turns'!F39,'Turns'!F55,'Turns'!F71),"Unknown")</f>
        <v>0.0005455</v>
      </c>
      <c r="S19" s="2">
        <f>IF(COUNT('Turns'!D43,'Turns'!D59,'Turns'!D75)=3,SUM('Turns'!D43,'Turns'!D59,'Turns'!D75),"Unknown")</f>
        <v>680.0</v>
      </c>
      <c r="T19" s="2">
        <f>IF(COUNT('Turns'!E43,'Turns'!E59,'Turns'!E75)=3,SUM('Turns'!E43,'Turns'!E59,'Turns'!E75),"Unknown")</f>
        <v>0.00071786784</v>
      </c>
      <c r="U19" s="2">
        <f>IF(COUNT('Turns'!F43,'Turns'!F59,'Turns'!F75)=3,SUM('Turns'!F43,'Turns'!F59,'Turns'!F75),"Unknown")</f>
        <v>0.000816</v>
      </c>
      <c r="V19" s="2">
        <f>IF(COUNT('Turns'!D42,'Turns'!D58,'Turns'!D74)=3,SUM('Turns'!D42,'Turns'!D58,'Turns'!D74),"Unknown")</f>
        <v>178.0</v>
      </c>
      <c r="W19" s="2">
        <f>IF(COUNT('Turns'!E42,'Turns'!E58,'Turns'!E74)=3,SUM('Turns'!E42,'Turns'!E58,'Turns'!E74),"Unknown")</f>
        <v>0.000187912464</v>
      </c>
      <c r="X19" s="2">
        <f>IF(COUNT('Turns'!F42,'Turns'!F58,'Turns'!F74)=3,SUM('Turns'!F42,'Turns'!F58,'Turns'!F74),"Unknown")</f>
        <v>0.0002136</v>
      </c>
      <c r="Y19" s="2">
        <f>IF(COUNT('Turns'!E47,'Turns'!E63,'Turns'!E79)=3,SUM('Turns'!E47,'Turns'!E63,'Turns'!E79),"Unknown")</f>
        <v>0.0016540519584</v>
      </c>
      <c r="Z19" s="2">
        <f>IF(COUNT('Turns'!F47,'Turns'!F63,'Turns'!F79)=3,SUM('Turns'!F47,'Turns'!F63,'Turns'!F79),"Unknown")</f>
        <v>0.00188016</v>
      </c>
      <c r="AA19" s="5">
        <f>IF(ISNUMBER(Y19),ROUND(Y19*'Reference data'!$B$2,0),"Unknown")</f>
        <v>165.0</v>
      </c>
      <c r="AB19" s="5">
        <f>IF(ISNUMBER(Z19),ROUND(Z19*'Reference data'!$B$2,0),"Unknown")</f>
        <v>188.0</v>
      </c>
      <c r="AD19" s="1">
        <v>10207.189</v>
      </c>
      <c r="AE19" s="1" t="s">
        <v>212</v>
      </c>
    </row>
    <row r="20" spans="1:31" ht="54" customHeight="1">
      <c r="A20" s="6" t="s">
        <v>222</v>
      </c>
      <c r="B20" s="1">
        <v>4</v>
      </c>
      <c r="C20" s="1" t="s">
        <v>210</v>
      </c>
      <c r="D20" s="1" t="s">
        <v>47</v>
      </c>
      <c r="E20" s="1" t="s">
        <v>111</v>
      </c>
      <c r="G20" s="6" t="s">
        <v>223</v>
      </c>
      <c r="H20" t="s">
        <v>251</v>
      </c>
      <c r="I20" t="s">
        <v>250</v>
      </c>
      <c r="AD20" s="1">
        <v>1.274</v>
      </c>
      <c r="AE20" s="1" t="s">
        <v>225</v>
      </c>
    </row>
    <row r="21" spans="1:31" ht="54" customHeight="1">
      <c r="A21" s="6" t="s">
        <v>226</v>
      </c>
      <c r="B21" s="1">
        <v>4</v>
      </c>
      <c r="C21" s="1" t="s">
        <v>210</v>
      </c>
      <c r="D21" s="1" t="s">
        <v>47</v>
      </c>
      <c r="E21" s="1" t="s">
        <v>111</v>
      </c>
      <c r="G21" s="6" t="s">
        <v>227</v>
      </c>
      <c r="H21" t="s">
        <v>252</v>
      </c>
      <c r="I21" t="s">
        <v>250</v>
      </c>
      <c r="J21" s="2">
        <f>IF(COUNT('Turns'!D37)=1,SUM('Turns'!D37),"Unknown")</f>
        <v>3.0</v>
      </c>
      <c r="K21" s="2">
        <f>IF(COUNT('Turns'!E37)=1,SUM('Turns'!E37),"Unknown")</f>
        <v>5.27844e-07</v>
      </c>
      <c r="L21" s="2">
        <f>IF(COUNT('Turns'!F37)=1,SUM('Turns'!F37),"Unknown")</f>
        <v>6e-07</v>
      </c>
      <c r="M21" s="2">
        <f>IF(COUNT('Turns'!D36)=1,SUM('Turns'!D36),"Unknown")</f>
        <v>4409.0</v>
      </c>
      <c r="N21" s="2">
        <f>IF(COUNT('Turns'!E36)=1,SUM('Turns'!E36),"Unknown")</f>
        <v>7.75754732e-05</v>
      </c>
      <c r="O21" s="2">
        <f>IF(COUNT('Turns'!F36)=1,SUM('Turns'!F36),"Unknown")</f>
        <v>8.818e-05</v>
      </c>
      <c r="P21" s="2">
        <f>IF(COUNT('Turns'!D39)=1,SUM('Turns'!D39),"Unknown")</f>
        <v>669.0</v>
      </c>
      <c r="Q21" s="2">
        <f>IF(COUNT('Turns'!E39)=1,SUM('Turns'!E39),"Unknown")</f>
        <v>0.000147136515</v>
      </c>
      <c r="R21" s="2">
        <f>IF(COUNT('Turns'!F39)=1,SUM('Turns'!F39),"Unknown")</f>
        <v>0.00016725</v>
      </c>
      <c r="S21" s="2">
        <f>IF(COUNT('Turns'!D43)=1,SUM('Turns'!D43),"Unknown")</f>
        <v>433.0</v>
      </c>
      <c r="T21" s="2">
        <f>IF(COUNT('Turns'!E43)=1,SUM('Turns'!E43),"Unknown")</f>
        <v>0.000457112904</v>
      </c>
      <c r="U21" s="2">
        <f>IF(COUNT('Turns'!F43)=1,SUM('Turns'!F43),"Unknown")</f>
        <v>0.0005196</v>
      </c>
      <c r="V21" s="2">
        <f>IF(COUNT('Turns'!D42)=1,SUM('Turns'!D42),"Unknown")</f>
        <v>139.0</v>
      </c>
      <c r="W21" s="2">
        <f>IF(COUNT('Turns'!E42)=1,SUM('Turns'!E42),"Unknown")</f>
        <v>0.000146740632</v>
      </c>
      <c r="X21" s="2">
        <f>IF(COUNT('Turns'!F42)=1,SUM('Turns'!F42),"Unknown")</f>
        <v>0.0001668</v>
      </c>
      <c r="Y21" s="2">
        <f>IF(COUNT('Turns'!E47)=1,SUM('Turns'!E47),"Unknown")</f>
        <v>0.0008290933682</v>
      </c>
      <c r="Z21" s="2">
        <f>IF(COUNT('Turns'!F47)=1,SUM('Turns'!F47),"Unknown")</f>
        <v>0.00094243</v>
      </c>
      <c r="AA21" s="5">
        <f>IF(ISNUMBER(Y21),ROUND(Y21*'Reference data'!$B$2,0),"Unknown")</f>
        <v>83.0</v>
      </c>
      <c r="AB21" s="5">
        <f>IF(ISNUMBER(Z21),ROUND(Z21*'Reference data'!$B$2,0),"Unknown")</f>
        <v>94.0</v>
      </c>
      <c r="AD21" s="1">
        <v>6121.555</v>
      </c>
      <c r="AE21" s="1" t="s">
        <v>212</v>
      </c>
    </row>
    <row r="22" spans="1:31" ht="54" customHeight="1">
      <c r="A22" s="6" t="s">
        <v>229</v>
      </c>
      <c r="B22" s="1">
        <v>5</v>
      </c>
      <c r="C22" s="1" t="s">
        <v>230</v>
      </c>
      <c r="D22" s="1" t="s">
        <v>95</v>
      </c>
      <c r="E22" s="1" t="s">
        <v>111</v>
      </c>
      <c r="F22" s="1">
        <v>5081</v>
      </c>
      <c r="G22" s="6" t="s">
        <v>231</v>
      </c>
      <c r="H22" t="s">
        <v>125</v>
      </c>
      <c r="I22" t="s">
        <v>252</v>
      </c>
      <c r="J22" s="2">
        <f>IF(COUNT('Turns'!D37)=1,SUM('Turns'!D37),"Unknown")</f>
        <v>3.0</v>
      </c>
      <c r="K22" s="2">
        <f>IF(COUNT('Turns'!E37)=1,SUM('Turns'!E37),"Unknown")</f>
        <v>5.27844e-07</v>
      </c>
      <c r="L22" s="2">
        <f>IF(COUNT('Turns'!F37)=1,SUM('Turns'!F37),"Unknown")</f>
        <v>6e-07</v>
      </c>
      <c r="M22" s="2">
        <f>IF(COUNT('Turns'!D36)=1,SUM('Turns'!D36),"Unknown")</f>
        <v>4409.0</v>
      </c>
      <c r="N22" s="2">
        <f>IF(COUNT('Turns'!E36)=1,SUM('Turns'!E36),"Unknown")</f>
        <v>7.75754732e-05</v>
      </c>
      <c r="O22" s="2">
        <f>IF(COUNT('Turns'!F36)=1,SUM('Turns'!F36),"Unknown")</f>
        <v>8.818e-05</v>
      </c>
      <c r="P22" s="2">
        <f>IF(COUNT('Turns'!D39)=1,SUM('Turns'!D39),"Unknown")</f>
        <v>669.0</v>
      </c>
      <c r="Q22" s="2">
        <f>IF(COUNT('Turns'!E39)=1,SUM('Turns'!E39),"Unknown")</f>
        <v>0.000147136515</v>
      </c>
      <c r="R22" s="2">
        <f>IF(COUNT('Turns'!F39)=1,SUM('Turns'!F39),"Unknown")</f>
        <v>0.00016725</v>
      </c>
      <c r="S22" s="2">
        <f>IF(COUNT('Turns'!D43)=1,SUM('Turns'!D43),"Unknown")</f>
        <v>433.0</v>
      </c>
      <c r="T22" s="2">
        <f>IF(COUNT('Turns'!E43)=1,SUM('Turns'!E43),"Unknown")</f>
        <v>0.000457112904</v>
      </c>
      <c r="U22" s="2">
        <f>IF(COUNT('Turns'!F43)=1,SUM('Turns'!F43),"Unknown")</f>
        <v>0.0005196</v>
      </c>
      <c r="V22" s="2">
        <f>IF(COUNT('Turns'!D42)=1,SUM('Turns'!D42),"Unknown")</f>
        <v>139.0</v>
      </c>
      <c r="W22" s="2">
        <f>IF(COUNT('Turns'!E42)=1,SUM('Turns'!E42),"Unknown")</f>
        <v>0.000146740632</v>
      </c>
      <c r="X22" s="2">
        <f>IF(COUNT('Turns'!F42)=1,SUM('Turns'!F42),"Unknown")</f>
        <v>0.0001668</v>
      </c>
      <c r="Y22" s="2">
        <f>IF(COUNT('Turns'!E47)=1,SUM('Turns'!E47),"Unknown")</f>
        <v>0.0008290933682</v>
      </c>
      <c r="Z22" s="2">
        <f>IF(COUNT('Turns'!F47)=1,SUM('Turns'!F47),"Unknown")</f>
        <v>0.00094243</v>
      </c>
      <c r="AA22" s="5">
        <f>IF(ISNUMBER(Y22),ROUND(Y22*'Reference data'!$B$2,0),"Unknown")</f>
        <v>83.0</v>
      </c>
      <c r="AB22" s="5">
        <f>IF(ISNUMBER(Z22),ROUND(Z22*'Reference data'!$B$2,0),"Unknown")</f>
        <v>94.0</v>
      </c>
      <c r="AC22" s="1" t="s">
        <v>124</v>
      </c>
      <c r="AD22" s="1">
        <v>6116.439</v>
      </c>
      <c r="AE22" s="1" t="s">
        <v>232</v>
      </c>
    </row>
    <row r="23" spans="1:31" ht="54" customHeight="1">
      <c r="A23" s="6" t="s">
        <v>233</v>
      </c>
      <c r="B23" s="1">
        <v>4</v>
      </c>
      <c r="C23" s="1" t="s">
        <v>210</v>
      </c>
      <c r="D23" s="1" t="s">
        <v>47</v>
      </c>
      <c r="E23" s="1" t="s">
        <v>111</v>
      </c>
      <c r="G23" s="6" t="s">
        <v>234</v>
      </c>
      <c r="H23" t="s">
        <v>253</v>
      </c>
      <c r="I23" t="s">
        <v>250</v>
      </c>
      <c r="AD23" s="1">
        <v>7.073</v>
      </c>
      <c r="AE23" s="1" t="s">
        <v>225</v>
      </c>
    </row>
    <row r="24" spans="1:31" ht="54" customHeight="1">
      <c r="A24" s="6" t="s">
        <v>254</v>
      </c>
      <c r="B24" s="1">
        <v>5</v>
      </c>
      <c r="C24" s="1" t="s">
        <v>237</v>
      </c>
      <c r="D24" s="1" t="s">
        <v>47</v>
      </c>
      <c r="E24" s="1" t="s">
        <v>111</v>
      </c>
      <c r="G24" s="6" t="s">
        <v>255</v>
      </c>
      <c r="H24" t="s">
        <v>128</v>
      </c>
      <c r="I24" t="s">
        <v>253</v>
      </c>
      <c r="AD24" s="1">
        <v>5.196</v>
      </c>
      <c r="AE24" s="1" t="s">
        <v>225</v>
      </c>
    </row>
    <row r="25" spans="1:31" ht="54" customHeight="1">
      <c r="A25" s="6" t="s">
        <v>222</v>
      </c>
      <c r="B25" s="1">
        <v>4</v>
      </c>
      <c r="C25" s="1" t="s">
        <v>210</v>
      </c>
      <c r="D25" s="1" t="s">
        <v>47</v>
      </c>
      <c r="E25" s="1" t="s">
        <v>111</v>
      </c>
      <c r="G25" s="6" t="s">
        <v>223</v>
      </c>
      <c r="H25" t="s">
        <v>256</v>
      </c>
      <c r="I25" t="s">
        <v>250</v>
      </c>
      <c r="AD25" s="1">
        <v>1.226</v>
      </c>
      <c r="AE25" s="1" t="s">
        <v>225</v>
      </c>
    </row>
    <row r="26" spans="1:31" ht="54" customHeight="1">
      <c r="A26" s="6" t="s">
        <v>226</v>
      </c>
      <c r="B26" s="1">
        <v>4</v>
      </c>
      <c r="C26" s="1" t="s">
        <v>210</v>
      </c>
      <c r="D26" s="1" t="s">
        <v>47</v>
      </c>
      <c r="E26" s="1" t="s">
        <v>111</v>
      </c>
      <c r="G26" s="6" t="s">
        <v>227</v>
      </c>
      <c r="H26" t="s">
        <v>257</v>
      </c>
      <c r="I26" t="s">
        <v>250</v>
      </c>
      <c r="J26" s="2">
        <f>IF(COUNT('Turns'!D53)=1,SUM('Turns'!D53),"Unknown")</f>
        <v>3.0</v>
      </c>
      <c r="K26" s="2">
        <f>IF(COUNT('Turns'!E53)=1,SUM('Turns'!E53),"Unknown")</f>
        <v>5.27844e-07</v>
      </c>
      <c r="L26" s="2">
        <f>IF(COUNT('Turns'!F53)=1,SUM('Turns'!F53),"Unknown")</f>
        <v>6e-07</v>
      </c>
      <c r="M26" s="2">
        <f>IF(COUNT('Turns'!D52)=1,SUM('Turns'!D52),"Unknown")</f>
        <v>5078.0</v>
      </c>
      <c r="N26" s="2">
        <f>IF(COUNT('Turns'!E52)=1,SUM('Turns'!E52),"Unknown")</f>
        <v>8.93463944e-05</v>
      </c>
      <c r="O26" s="2">
        <f>IF(COUNT('Turns'!F52)=1,SUM('Turns'!F52),"Unknown")</f>
        <v>0.00010156</v>
      </c>
      <c r="P26" s="2">
        <f>IF(COUNT('Turns'!D55)=1,SUM('Turns'!D55),"Unknown")</f>
        <v>598.0</v>
      </c>
      <c r="Q26" s="2">
        <f>IF(COUNT('Turns'!E55)=1,SUM('Turns'!E55),"Unknown")</f>
        <v>0.00013152113</v>
      </c>
      <c r="R26" s="2">
        <f>IF(COUNT('Turns'!F55)=1,SUM('Turns'!F55),"Unknown")</f>
        <v>0.0001495</v>
      </c>
      <c r="S26" s="2">
        <f>IF(COUNT('Turns'!D59)=1,SUM('Turns'!D59),"Unknown")</f>
        <v>31.0</v>
      </c>
      <c r="T26" s="2">
        <f>IF(COUNT('Turns'!E59)=1,SUM('Turns'!E59),"Unknown")</f>
        <v>3.2726328e-05</v>
      </c>
      <c r="U26" s="2">
        <f>IF(COUNT('Turns'!F59)=1,SUM('Turns'!F59),"Unknown")</f>
        <v>3.72e-05</v>
      </c>
      <c r="V26" s="2">
        <f>IF(COUNT('Turns'!D58)=1,SUM('Turns'!D58),"Unknown")</f>
        <v>18.0</v>
      </c>
      <c r="W26" s="2">
        <f>IF(COUNT('Turns'!E58)=1,SUM('Turns'!E58),"Unknown")</f>
        <v>1.9002384e-05</v>
      </c>
      <c r="X26" s="2">
        <f>IF(COUNT('Turns'!F58)=1,SUM('Turns'!F58),"Unknown")</f>
        <v>2.16e-05</v>
      </c>
      <c r="Y26" s="2">
        <f>IF(COUNT('Turns'!E63)=1,SUM('Turns'!E63),"Unknown")</f>
        <v>0.0002731240804</v>
      </c>
      <c r="Z26" s="2">
        <f>IF(COUNT('Turns'!F63)=1,SUM('Turns'!F63),"Unknown")</f>
        <v>0.00031046</v>
      </c>
      <c r="AA26" s="5">
        <f>IF(ISNUMBER(Y26),ROUND(Y26*'Reference data'!$B$2,0),"Unknown")</f>
        <v>27.0</v>
      </c>
      <c r="AB26" s="5">
        <f>IF(ISNUMBER(Z26),ROUND(Z26*'Reference data'!$B$2,0),"Unknown")</f>
        <v>31.0</v>
      </c>
      <c r="AD26" s="1">
        <v>1404.617</v>
      </c>
      <c r="AE26" s="1" t="s">
        <v>212</v>
      </c>
    </row>
    <row r="27" spans="1:31" ht="54" customHeight="1">
      <c r="A27" s="6" t="s">
        <v>229</v>
      </c>
      <c r="B27" s="1">
        <v>5</v>
      </c>
      <c r="C27" s="1" t="s">
        <v>230</v>
      </c>
      <c r="D27" s="1" t="s">
        <v>95</v>
      </c>
      <c r="E27" s="1" t="s">
        <v>111</v>
      </c>
      <c r="F27" s="1">
        <v>5679</v>
      </c>
      <c r="G27" s="6" t="s">
        <v>231</v>
      </c>
      <c r="H27" t="s">
        <v>132</v>
      </c>
      <c r="I27" t="s">
        <v>257</v>
      </c>
      <c r="J27" s="2">
        <f>IF(COUNT('Turns'!D53)=1,SUM('Turns'!D53),"Unknown")</f>
        <v>3.0</v>
      </c>
      <c r="K27" s="2">
        <f>IF(COUNT('Turns'!E53)=1,SUM('Turns'!E53),"Unknown")</f>
        <v>5.27844e-07</v>
      </c>
      <c r="L27" s="2">
        <f>IF(COUNT('Turns'!F53)=1,SUM('Turns'!F53),"Unknown")</f>
        <v>6e-07</v>
      </c>
      <c r="M27" s="2">
        <f>IF(COUNT('Turns'!D52)=1,SUM('Turns'!D52),"Unknown")</f>
        <v>5078.0</v>
      </c>
      <c r="N27" s="2">
        <f>IF(COUNT('Turns'!E52)=1,SUM('Turns'!E52),"Unknown")</f>
        <v>8.93463944e-05</v>
      </c>
      <c r="O27" s="2">
        <f>IF(COUNT('Turns'!F52)=1,SUM('Turns'!F52),"Unknown")</f>
        <v>0.00010156</v>
      </c>
      <c r="P27" s="2">
        <f>IF(COUNT('Turns'!D55)=1,SUM('Turns'!D55),"Unknown")</f>
        <v>598.0</v>
      </c>
      <c r="Q27" s="2">
        <f>IF(COUNT('Turns'!E55)=1,SUM('Turns'!E55),"Unknown")</f>
        <v>0.00013152113</v>
      </c>
      <c r="R27" s="2">
        <f>IF(COUNT('Turns'!F55)=1,SUM('Turns'!F55),"Unknown")</f>
        <v>0.0001495</v>
      </c>
      <c r="S27" s="2">
        <f>IF(COUNT('Turns'!D59)=1,SUM('Turns'!D59),"Unknown")</f>
        <v>31.0</v>
      </c>
      <c r="T27" s="2">
        <f>IF(COUNT('Turns'!E59)=1,SUM('Turns'!E59),"Unknown")</f>
        <v>3.2726328e-05</v>
      </c>
      <c r="U27" s="2">
        <f>IF(COUNT('Turns'!F59)=1,SUM('Turns'!F59),"Unknown")</f>
        <v>3.72e-05</v>
      </c>
      <c r="V27" s="2">
        <f>IF(COUNT('Turns'!D58)=1,SUM('Turns'!D58),"Unknown")</f>
        <v>18.0</v>
      </c>
      <c r="W27" s="2">
        <f>IF(COUNT('Turns'!E58)=1,SUM('Turns'!E58),"Unknown")</f>
        <v>1.9002384e-05</v>
      </c>
      <c r="X27" s="2">
        <f>IF(COUNT('Turns'!F58)=1,SUM('Turns'!F58),"Unknown")</f>
        <v>2.16e-05</v>
      </c>
      <c r="Y27" s="2">
        <f>IF(COUNT('Turns'!E63)=1,SUM('Turns'!E63),"Unknown")</f>
        <v>0.0002731240804</v>
      </c>
      <c r="Z27" s="2">
        <f>IF(COUNT('Turns'!F63)=1,SUM('Turns'!F63),"Unknown")</f>
        <v>0.00031046</v>
      </c>
      <c r="AA27" s="5">
        <f>IF(ISNUMBER(Y27),ROUND(Y27*'Reference data'!$B$2,0),"Unknown")</f>
        <v>27.0</v>
      </c>
      <c r="AB27" s="5">
        <f>IF(ISNUMBER(Z27),ROUND(Z27*'Reference data'!$B$2,0),"Unknown")</f>
        <v>31.0</v>
      </c>
      <c r="AC27" s="1" t="s">
        <v>131</v>
      </c>
      <c r="AD27" s="1">
        <v>1401.742</v>
      </c>
      <c r="AE27" s="1" t="s">
        <v>232</v>
      </c>
    </row>
    <row r="28" spans="1:31" ht="54" customHeight="1">
      <c r="A28" s="6" t="s">
        <v>233</v>
      </c>
      <c r="B28" s="1">
        <v>4</v>
      </c>
      <c r="C28" s="1" t="s">
        <v>210</v>
      </c>
      <c r="D28" s="1" t="s">
        <v>47</v>
      </c>
      <c r="E28" s="1" t="s">
        <v>111</v>
      </c>
      <c r="G28" s="6" t="s">
        <v>234</v>
      </c>
      <c r="H28" t="s">
        <v>258</v>
      </c>
      <c r="I28" t="s">
        <v>250</v>
      </c>
      <c r="AD28" s="1">
        <v>3.418</v>
      </c>
      <c r="AE28" s="1" t="s">
        <v>225</v>
      </c>
    </row>
    <row r="29" spans="1:31" ht="54" customHeight="1">
      <c r="A29" s="6" t="s">
        <v>236</v>
      </c>
      <c r="B29" s="1">
        <v>5</v>
      </c>
      <c r="C29" s="1" t="s">
        <v>237</v>
      </c>
      <c r="D29" s="1" t="s">
        <v>47</v>
      </c>
      <c r="E29" s="1" t="s">
        <v>111</v>
      </c>
      <c r="G29" s="6" t="s">
        <v>238</v>
      </c>
      <c r="H29" t="s">
        <v>134</v>
      </c>
      <c r="I29" t="s">
        <v>258</v>
      </c>
      <c r="AD29" s="1">
        <v>1.874</v>
      </c>
      <c r="AE29" s="1" t="s">
        <v>225</v>
      </c>
    </row>
    <row r="30" spans="1:31" ht="54" customHeight="1">
      <c r="A30" s="6" t="s">
        <v>222</v>
      </c>
      <c r="B30" s="1">
        <v>4</v>
      </c>
      <c r="C30" s="1" t="s">
        <v>210</v>
      </c>
      <c r="D30" s="1" t="s">
        <v>47</v>
      </c>
      <c r="E30" s="1" t="s">
        <v>111</v>
      </c>
      <c r="G30" s="6" t="s">
        <v>223</v>
      </c>
      <c r="H30" t="s">
        <v>259</v>
      </c>
      <c r="I30" t="s">
        <v>250</v>
      </c>
      <c r="AD30" s="1">
        <v>0.905</v>
      </c>
      <c r="AE30" s="1" t="s">
        <v>225</v>
      </c>
    </row>
    <row r="31" spans="1:31" ht="54" customHeight="1">
      <c r="A31" s="6" t="s">
        <v>226</v>
      </c>
      <c r="B31" s="1">
        <v>4</v>
      </c>
      <c r="C31" s="1" t="s">
        <v>210</v>
      </c>
      <c r="D31" s="1" t="s">
        <v>47</v>
      </c>
      <c r="E31" s="1" t="s">
        <v>111</v>
      </c>
      <c r="G31" s="6" t="s">
        <v>227</v>
      </c>
      <c r="H31" t="s">
        <v>260</v>
      </c>
      <c r="I31" t="s">
        <v>250</v>
      </c>
      <c r="J31" s="2">
        <f>IF(COUNT('Turns'!D69)=1,SUM('Turns'!D69),"Unknown")</f>
        <v>3.0</v>
      </c>
      <c r="K31" s="2">
        <f>IF(COUNT('Turns'!E69)=1,SUM('Turns'!E69),"Unknown")</f>
        <v>5.27844e-07</v>
      </c>
      <c r="L31" s="2">
        <f>IF(COUNT('Turns'!F69)=1,SUM('Turns'!F69),"Unknown")</f>
        <v>6e-07</v>
      </c>
      <c r="M31" s="2">
        <f>IF(COUNT('Turns'!D68)=1,SUM('Turns'!D68),"Unknown")</f>
        <v>5676.0</v>
      </c>
      <c r="N31" s="2">
        <f>IF(COUNT('Turns'!E68)=1,SUM('Turns'!E68),"Unknown")</f>
        <v>9.98680848e-05</v>
      </c>
      <c r="O31" s="2">
        <f>IF(COUNT('Turns'!F68)=1,SUM('Turns'!F68),"Unknown")</f>
        <v>0.00011352</v>
      </c>
      <c r="P31" s="2">
        <f>IF(COUNT('Turns'!D71)=1,SUM('Turns'!D71),"Unknown")</f>
        <v>915.0</v>
      </c>
      <c r="Q31" s="2">
        <f>IF(COUNT('Turns'!E71)=1,SUM('Turns'!E71),"Unknown")</f>
        <v>0.000201240525</v>
      </c>
      <c r="R31" s="2">
        <f>IF(COUNT('Turns'!F71)=1,SUM('Turns'!F71),"Unknown")</f>
        <v>0.00022875</v>
      </c>
      <c r="S31" s="2">
        <f>IF(COUNT('Turns'!D75)=1,SUM('Turns'!D75),"Unknown")</f>
        <v>216.0</v>
      </c>
      <c r="T31" s="2">
        <f>IF(COUNT('Turns'!E75)=1,SUM('Turns'!E75),"Unknown")</f>
        <v>0.000228028608</v>
      </c>
      <c r="U31" s="2">
        <f>IF(COUNT('Turns'!F75)=1,SUM('Turns'!F75),"Unknown")</f>
        <v>0.0002592</v>
      </c>
      <c r="V31" s="2">
        <f>IF(COUNT('Turns'!D74)=1,SUM('Turns'!D74),"Unknown")</f>
        <v>21.0</v>
      </c>
      <c r="W31" s="2">
        <f>IF(COUNT('Turns'!E74)=1,SUM('Turns'!E74),"Unknown")</f>
        <v>2.2169448e-05</v>
      </c>
      <c r="X31" s="2">
        <f>IF(COUNT('Turns'!F74)=1,SUM('Turns'!F74),"Unknown")</f>
        <v>2.52e-05</v>
      </c>
      <c r="Y31" s="2">
        <f>IF(COUNT('Turns'!E79)=1,SUM('Turns'!E79),"Unknown")</f>
        <v>0.0005518345098</v>
      </c>
      <c r="Z31" s="2">
        <f>IF(COUNT('Turns'!F79)=1,SUM('Turns'!F79),"Unknown")</f>
        <v>0.00062727</v>
      </c>
      <c r="AA31" s="5">
        <f>IF(ISNUMBER(Y31),ROUND(Y31*'Reference data'!$B$2,0),"Unknown")</f>
        <v>55.0</v>
      </c>
      <c r="AB31" s="5">
        <f>IF(ISNUMBER(Z31),ROUND(Z31*'Reference data'!$B$2,0),"Unknown")</f>
        <v>63.0</v>
      </c>
      <c r="AD31" s="1">
        <v>2657.68</v>
      </c>
      <c r="AE31" s="1" t="s">
        <v>212</v>
      </c>
    </row>
    <row r="32" spans="1:31" ht="54" customHeight="1">
      <c r="A32" s="6" t="s">
        <v>229</v>
      </c>
      <c r="B32" s="1">
        <v>5</v>
      </c>
      <c r="C32" s="1" t="s">
        <v>230</v>
      </c>
      <c r="D32" s="1" t="s">
        <v>95</v>
      </c>
      <c r="E32" s="1" t="s">
        <v>111</v>
      </c>
      <c r="F32" s="1">
        <v>6594</v>
      </c>
      <c r="G32" s="6" t="s">
        <v>231</v>
      </c>
      <c r="H32" t="s">
        <v>138</v>
      </c>
      <c r="I32" t="s">
        <v>260</v>
      </c>
      <c r="J32" s="2">
        <f>IF(COUNT('Turns'!D69)=1,SUM('Turns'!D69),"Unknown")</f>
        <v>3.0</v>
      </c>
      <c r="K32" s="2">
        <f>IF(COUNT('Turns'!E69)=1,SUM('Turns'!E69),"Unknown")</f>
        <v>5.27844e-07</v>
      </c>
      <c r="L32" s="2">
        <f>IF(COUNT('Turns'!F69)=1,SUM('Turns'!F69),"Unknown")</f>
        <v>6e-07</v>
      </c>
      <c r="M32" s="2">
        <f>IF(COUNT('Turns'!D68)=1,SUM('Turns'!D68),"Unknown")</f>
        <v>5676.0</v>
      </c>
      <c r="N32" s="2">
        <f>IF(COUNT('Turns'!E68)=1,SUM('Turns'!E68),"Unknown")</f>
        <v>9.98680848e-05</v>
      </c>
      <c r="O32" s="2">
        <f>IF(COUNT('Turns'!F68)=1,SUM('Turns'!F68),"Unknown")</f>
        <v>0.00011352</v>
      </c>
      <c r="P32" s="2">
        <f>IF(COUNT('Turns'!D71)=1,SUM('Turns'!D71),"Unknown")</f>
        <v>915.0</v>
      </c>
      <c r="Q32" s="2">
        <f>IF(COUNT('Turns'!E71)=1,SUM('Turns'!E71),"Unknown")</f>
        <v>0.000201240525</v>
      </c>
      <c r="R32" s="2">
        <f>IF(COUNT('Turns'!F71)=1,SUM('Turns'!F71),"Unknown")</f>
        <v>0.00022875</v>
      </c>
      <c r="S32" s="2">
        <f>IF(COUNT('Turns'!D75)=1,SUM('Turns'!D75),"Unknown")</f>
        <v>216.0</v>
      </c>
      <c r="T32" s="2">
        <f>IF(COUNT('Turns'!E75)=1,SUM('Turns'!E75),"Unknown")</f>
        <v>0.000228028608</v>
      </c>
      <c r="U32" s="2">
        <f>IF(COUNT('Turns'!F75)=1,SUM('Turns'!F75),"Unknown")</f>
        <v>0.0002592</v>
      </c>
      <c r="V32" s="2">
        <f>IF(COUNT('Turns'!D74)=1,SUM('Turns'!D74),"Unknown")</f>
        <v>21.0</v>
      </c>
      <c r="W32" s="2">
        <f>IF(COUNT('Turns'!E74)=1,SUM('Turns'!E74),"Unknown")</f>
        <v>2.2169448e-05</v>
      </c>
      <c r="X32" s="2">
        <f>IF(COUNT('Turns'!F74)=1,SUM('Turns'!F74),"Unknown")</f>
        <v>2.52e-05</v>
      </c>
      <c r="Y32" s="2">
        <f>IF(COUNT('Turns'!E79)=1,SUM('Turns'!E79),"Unknown")</f>
        <v>0.0005518345098</v>
      </c>
      <c r="Z32" s="2">
        <f>IF(COUNT('Turns'!F79)=1,SUM('Turns'!F79),"Unknown")</f>
        <v>0.00062727</v>
      </c>
      <c r="AA32" s="5">
        <f>IF(ISNUMBER(Y32),ROUND(Y32*'Reference data'!$B$2,0),"Unknown")</f>
        <v>55.0</v>
      </c>
      <c r="AB32" s="5">
        <f>IF(ISNUMBER(Z32),ROUND(Z32*'Reference data'!$B$2,0),"Unknown")</f>
        <v>63.0</v>
      </c>
      <c r="AC32" s="1" t="s">
        <v>137</v>
      </c>
      <c r="AD32" s="1">
        <v>2651.743</v>
      </c>
      <c r="AE32" s="1" t="s">
        <v>232</v>
      </c>
    </row>
    <row r="33" spans="1:31" ht="54" customHeight="1">
      <c r="A33" s="6" t="s">
        <v>241</v>
      </c>
      <c r="B33" s="1">
        <v>2</v>
      </c>
      <c r="C33" s="1" t="s">
        <v>210</v>
      </c>
      <c r="D33" s="1" t="s">
        <v>47</v>
      </c>
      <c r="E33" s="1" t="s">
        <v>111</v>
      </c>
      <c r="G33" s="6" t="s">
        <v>242</v>
      </c>
      <c r="H33" t="s">
        <v>261</v>
      </c>
      <c r="I33" t="s">
        <v>248</v>
      </c>
      <c r="AD33" s="1">
        <v>0.605</v>
      </c>
      <c r="AE33" s="1" t="s">
        <v>225</v>
      </c>
    </row>
    <row r="34" spans="1:31" ht="54" customHeight="1">
      <c r="A34" s="6" t="s">
        <v>262</v>
      </c>
      <c r="B34" s="1">
        <v>1</v>
      </c>
      <c r="C34" s="1" t="s">
        <v>210</v>
      </c>
      <c r="D34" s="1" t="s">
        <v>47</v>
      </c>
      <c r="E34" s="1" t="s">
        <v>111</v>
      </c>
      <c r="G34" s="6" t="s">
        <v>263</v>
      </c>
      <c r="H34" t="s">
        <v>264</v>
      </c>
      <c r="I34" t="s">
        <v>247</v>
      </c>
      <c r="J34" s="2">
        <f>IF(COUNT('Turns'!D81,'Turns'!D104,'Turns'!D118,'Turns'!D134,'Turns'!D150)=5,SUM('Turns'!D81,'Turns'!D104,'Turns'!D118,'Turns'!D134,'Turns'!D150),"Unknown")</f>
        <v>15.0</v>
      </c>
      <c r="K34" s="2">
        <f>IF(COUNT('Turns'!E81,'Turns'!E104,'Turns'!E118,'Turns'!E134,'Turns'!E150)=5,SUM('Turns'!E81,'Turns'!E104,'Turns'!E118,'Turns'!E134,'Turns'!E150),"Unknown")</f>
        <v>2.63922e-06</v>
      </c>
      <c r="L34" s="2">
        <f>IF(COUNT('Turns'!F81,'Turns'!F104,'Turns'!F118,'Turns'!F134,'Turns'!F150)=5,SUM('Turns'!F81,'Turns'!F104,'Turns'!F118,'Turns'!F134,'Turns'!F150),"Unknown")</f>
        <v>3e-06</v>
      </c>
      <c r="M34" s="2">
        <f>IF(COUNT('Turns'!D117,'Turns'!D133,'Turns'!D149)=3,SUM('Turns'!D117,'Turns'!D133,'Turns'!D149),"Unknown")</f>
        <v>13747.0</v>
      </c>
      <c r="N34" s="2">
        <f>IF(COUNT('Turns'!E117,'Turns'!E133,'Turns'!E149)=3,SUM('Turns'!E117,'Turns'!E133,'Turns'!E149),"Unknown")</f>
        <v>0.0002418757156</v>
      </c>
      <c r="O34" s="2">
        <f>IF(COUNT('Turns'!F117,'Turns'!F133,'Turns'!F149)=3,SUM('Turns'!F117,'Turns'!F133,'Turns'!F149),"Unknown")</f>
        <v>0.00027494</v>
      </c>
      <c r="P34" s="2">
        <f>IF(COUNT('Turns'!D85,'Turns'!D107,'Turns'!D120,'Turns'!D136,'Turns'!D152)=5,SUM('Turns'!D85,'Turns'!D107,'Turns'!D120,'Turns'!D136,'Turns'!D152),"Unknown")</f>
        <v>17081.0</v>
      </c>
      <c r="Q34" s="2">
        <f>IF(COUNT('Turns'!E85,'Turns'!E107,'Turns'!E120,'Turns'!E136,'Turns'!E152)=5,SUM('Turns'!E85,'Turns'!E107,'Turns'!E120,'Turns'!E136,'Turns'!E152),"Unknown")</f>
        <v>0.003756709735</v>
      </c>
      <c r="R34" s="2">
        <f>IF(COUNT('Turns'!F85,'Turns'!F107,'Turns'!F120,'Turns'!F136,'Turns'!F152)=5,SUM('Turns'!F85,'Turns'!F107,'Turns'!F120,'Turns'!F136,'Turns'!F152),"Unknown")</f>
        <v>0.00427025</v>
      </c>
      <c r="S34" s="2">
        <f>IF(COUNT('Turns'!D89,'Turns'!D111,'Turns'!D124,'Turns'!D140,'Turns'!D156)=5,SUM('Turns'!D89,'Turns'!D111,'Turns'!D124,'Turns'!D140,'Turns'!D156),"Unknown")</f>
        <v>1368.0</v>
      </c>
      <c r="T34" s="2">
        <f>IF(COUNT('Turns'!E89,'Turns'!E111,'Turns'!E124,'Turns'!E140,'Turns'!E156)=5,SUM('Turns'!E89,'Turns'!E111,'Turns'!E124,'Turns'!E140,'Turns'!E156),"Unknown")</f>
        <v>0.001444181184</v>
      </c>
      <c r="U34" s="2">
        <f>IF(COUNT('Turns'!F89,'Turns'!F111,'Turns'!F124,'Turns'!F140,'Turns'!F156)=5,SUM('Turns'!F89,'Turns'!F111,'Turns'!F124,'Turns'!F140,'Turns'!F156),"Unknown")</f>
        <v>0.0016416</v>
      </c>
      <c r="V34" s="2">
        <f>IF(COUNT('Turns'!D88,'Turns'!D110,'Turns'!D123,'Turns'!D139,'Turns'!D155)=5,SUM('Turns'!D88,'Turns'!D110,'Turns'!D123,'Turns'!D139,'Turns'!D155),"Unknown")</f>
        <v>595.0</v>
      </c>
      <c r="W34" s="2">
        <f>IF(COUNT('Turns'!E88,'Turns'!E110,'Turns'!E123,'Turns'!E139,'Turns'!E155)=5,SUM('Turns'!E88,'Turns'!E110,'Turns'!E123,'Turns'!E139,'Turns'!E155),"Unknown")</f>
        <v>0.00062813436</v>
      </c>
      <c r="X34" s="2">
        <f>IF(COUNT('Turns'!F88,'Turns'!F110,'Turns'!F123,'Turns'!F139,'Turns'!F155)=5,SUM('Turns'!F88,'Turns'!F110,'Turns'!F123,'Turns'!F139,'Turns'!F155),"Unknown")</f>
        <v>0.000714</v>
      </c>
      <c r="Y34" s="2">
        <f>IF(COUNT('Turns'!E93,'Turns'!E115,'Turns'!E128,'Turns'!E144,'Turns'!E160)=5,SUM('Turns'!E93,'Turns'!E115,'Turns'!E128,'Turns'!E144,'Turns'!E160),"Unknown")</f>
        <v>0.0060735402146</v>
      </c>
      <c r="Z34" s="2">
        <f>IF(COUNT('Turns'!F93,'Turns'!F115,'Turns'!F128,'Turns'!F144,'Turns'!F160)=5,SUM('Turns'!F93,'Turns'!F115,'Turns'!F128,'Turns'!F144,'Turns'!F160),"Unknown")</f>
        <v>0.00690379</v>
      </c>
      <c r="AA34" s="5">
        <f>IF(ISNUMBER(Y34),ROUND(Y34*'Reference data'!$B$2,0),"Unknown")</f>
        <v>607.0</v>
      </c>
      <c r="AB34" s="5">
        <f>IF(ISNUMBER(Z34),ROUND(Z34*'Reference data'!$B$2,0),"Unknown")</f>
        <v>690.0</v>
      </c>
      <c r="AD34" s="1">
        <v>19340.165</v>
      </c>
      <c r="AE34" s="1" t="s">
        <v>212</v>
      </c>
    </row>
    <row r="35" spans="1:31" ht="54" customHeight="1">
      <c r="A35" s="6" t="s">
        <v>216</v>
      </c>
      <c r="B35" s="1">
        <v>2</v>
      </c>
      <c r="C35" s="1" t="s">
        <v>210</v>
      </c>
      <c r="D35" s="1" t="s">
        <v>47</v>
      </c>
      <c r="E35" s="1" t="s">
        <v>111</v>
      </c>
      <c r="G35" s="6" t="s">
        <v>217</v>
      </c>
      <c r="H35" t="s">
        <v>265</v>
      </c>
      <c r="I35" t="s">
        <v>264</v>
      </c>
      <c r="J35" s="2">
        <f>IF(COUNT('Turns'!D81,'Turns'!D104,'Turns'!D118,'Turns'!D134,'Turns'!D150)=5,SUM('Turns'!D81,'Turns'!D104,'Turns'!D118,'Turns'!D134,'Turns'!D150),"Unknown")</f>
        <v>15.0</v>
      </c>
      <c r="K35" s="2">
        <f>IF(COUNT('Turns'!E81,'Turns'!E104,'Turns'!E118,'Turns'!E134,'Turns'!E150)=5,SUM('Turns'!E81,'Turns'!E104,'Turns'!E118,'Turns'!E134,'Turns'!E150),"Unknown")</f>
        <v>2.63922e-06</v>
      </c>
      <c r="L35" s="2">
        <f>IF(COUNT('Turns'!F81,'Turns'!F104,'Turns'!F118,'Turns'!F134,'Turns'!F150)=5,SUM('Turns'!F81,'Turns'!F104,'Turns'!F118,'Turns'!F134,'Turns'!F150),"Unknown")</f>
        <v>3e-06</v>
      </c>
      <c r="M35" s="2">
        <f>IF(COUNT('Turns'!D117,'Turns'!D133,'Turns'!D149)=3,SUM('Turns'!D117,'Turns'!D133,'Turns'!D149),"Unknown")</f>
        <v>13747.0</v>
      </c>
      <c r="N35" s="2">
        <f>IF(COUNT('Turns'!E117,'Turns'!E133,'Turns'!E149)=3,SUM('Turns'!E117,'Turns'!E133,'Turns'!E149),"Unknown")</f>
        <v>0.0002418757156</v>
      </c>
      <c r="O35" s="2">
        <f>IF(COUNT('Turns'!F117,'Turns'!F133,'Turns'!F149)=3,SUM('Turns'!F117,'Turns'!F133,'Turns'!F149),"Unknown")</f>
        <v>0.00027494</v>
      </c>
      <c r="P35" s="2">
        <f>IF(COUNT('Turns'!D85,'Turns'!D107,'Turns'!D120,'Turns'!D136,'Turns'!D152)=5,SUM('Turns'!D85,'Turns'!D107,'Turns'!D120,'Turns'!D136,'Turns'!D152),"Unknown")</f>
        <v>17081.0</v>
      </c>
      <c r="Q35" s="2">
        <f>IF(COUNT('Turns'!E85,'Turns'!E107,'Turns'!E120,'Turns'!E136,'Turns'!E152)=5,SUM('Turns'!E85,'Turns'!E107,'Turns'!E120,'Turns'!E136,'Turns'!E152),"Unknown")</f>
        <v>0.003756709735</v>
      </c>
      <c r="R35" s="2">
        <f>IF(COUNT('Turns'!F85,'Turns'!F107,'Turns'!F120,'Turns'!F136,'Turns'!F152)=5,SUM('Turns'!F85,'Turns'!F107,'Turns'!F120,'Turns'!F136,'Turns'!F152),"Unknown")</f>
        <v>0.00427025</v>
      </c>
      <c r="S35" s="2">
        <f>IF(COUNT('Turns'!D89,'Turns'!D111,'Turns'!D124,'Turns'!D140,'Turns'!D156)=5,SUM('Turns'!D89,'Turns'!D111,'Turns'!D124,'Turns'!D140,'Turns'!D156),"Unknown")</f>
        <v>1368.0</v>
      </c>
      <c r="T35" s="2">
        <f>IF(COUNT('Turns'!E89,'Turns'!E111,'Turns'!E124,'Turns'!E140,'Turns'!E156)=5,SUM('Turns'!E89,'Turns'!E111,'Turns'!E124,'Turns'!E140,'Turns'!E156),"Unknown")</f>
        <v>0.001444181184</v>
      </c>
      <c r="U35" s="2">
        <f>IF(COUNT('Turns'!F89,'Turns'!F111,'Turns'!F124,'Turns'!F140,'Turns'!F156)=5,SUM('Turns'!F89,'Turns'!F111,'Turns'!F124,'Turns'!F140,'Turns'!F156),"Unknown")</f>
        <v>0.0016416</v>
      </c>
      <c r="V35" s="2">
        <f>IF(COUNT('Turns'!D88,'Turns'!D110,'Turns'!D123,'Turns'!D139,'Turns'!D155)=5,SUM('Turns'!D88,'Turns'!D110,'Turns'!D123,'Turns'!D139,'Turns'!D155),"Unknown")</f>
        <v>595.0</v>
      </c>
      <c r="W35" s="2">
        <f>IF(COUNT('Turns'!E88,'Turns'!E110,'Turns'!E123,'Turns'!E139,'Turns'!E155)=5,SUM('Turns'!E88,'Turns'!E110,'Turns'!E123,'Turns'!E139,'Turns'!E155),"Unknown")</f>
        <v>0.00062813436</v>
      </c>
      <c r="X35" s="2">
        <f>IF(COUNT('Turns'!F88,'Turns'!F110,'Turns'!F123,'Turns'!F139,'Turns'!F155)=5,SUM('Turns'!F88,'Turns'!F110,'Turns'!F123,'Turns'!F139,'Turns'!F155),"Unknown")</f>
        <v>0.000714</v>
      </c>
      <c r="Y35" s="2">
        <f>IF(COUNT('Turns'!E93,'Turns'!E115,'Turns'!E128,'Turns'!E144,'Turns'!E160)=5,SUM('Turns'!E93,'Turns'!E115,'Turns'!E128,'Turns'!E144,'Turns'!E160),"Unknown")</f>
        <v>0.0060735402146</v>
      </c>
      <c r="Z35" s="2">
        <f>IF(COUNT('Turns'!F93,'Turns'!F115,'Turns'!F128,'Turns'!F144,'Turns'!F160)=5,SUM('Turns'!F93,'Turns'!F115,'Turns'!F128,'Turns'!F144,'Turns'!F160),"Unknown")</f>
        <v>0.00690379</v>
      </c>
      <c r="AA35" s="5">
        <f>IF(ISNUMBER(Y35),ROUND(Y35*'Reference data'!$B$2,0),"Unknown")</f>
        <v>607.0</v>
      </c>
      <c r="AB35" s="5">
        <f>IF(ISNUMBER(Z35),ROUND(Z35*'Reference data'!$B$2,0),"Unknown")</f>
        <v>690.0</v>
      </c>
      <c r="AD35" s="1">
        <v>19338.874</v>
      </c>
      <c r="AE35" s="1" t="s">
        <v>212</v>
      </c>
    </row>
    <row r="36" spans="1:31" ht="54" customHeight="1">
      <c r="A36" s="6" t="s">
        <v>266</v>
      </c>
      <c r="B36" s="1">
        <v>3</v>
      </c>
      <c r="C36" s="1" t="s">
        <v>210</v>
      </c>
      <c r="D36" s="1" t="s">
        <v>47</v>
      </c>
      <c r="E36" s="1" t="s">
        <v>111</v>
      </c>
      <c r="G36" s="6" t="s">
        <v>267</v>
      </c>
      <c r="H36" t="s">
        <v>268</v>
      </c>
      <c r="I36" t="s">
        <v>265</v>
      </c>
      <c r="J36" s="2">
        <f>IF(COUNT('Turns'!D81,'Turns'!D104,'Turns'!D118,'Turns'!D134,'Turns'!D150)=5,SUM('Turns'!D81,'Turns'!D104,'Turns'!D118,'Turns'!D134,'Turns'!D150),"Unknown")</f>
        <v>15.0</v>
      </c>
      <c r="K36" s="2">
        <f>IF(COUNT('Turns'!E81,'Turns'!E104,'Turns'!E118,'Turns'!E134,'Turns'!E150)=5,SUM('Turns'!E81,'Turns'!E104,'Turns'!E118,'Turns'!E134,'Turns'!E150),"Unknown")</f>
        <v>2.63922e-06</v>
      </c>
      <c r="L36" s="2">
        <f>IF(COUNT('Turns'!F81,'Turns'!F104,'Turns'!F118,'Turns'!F134,'Turns'!F150)=5,SUM('Turns'!F81,'Turns'!F104,'Turns'!F118,'Turns'!F134,'Turns'!F150),"Unknown")</f>
        <v>3e-06</v>
      </c>
      <c r="M36" s="2">
        <f>IF(COUNT('Turns'!D117,'Turns'!D133,'Turns'!D149)=3,SUM('Turns'!D117,'Turns'!D133,'Turns'!D149),"Unknown")</f>
        <v>13747.0</v>
      </c>
      <c r="N36" s="2">
        <f>IF(COUNT('Turns'!E117,'Turns'!E133,'Turns'!E149)=3,SUM('Turns'!E117,'Turns'!E133,'Turns'!E149),"Unknown")</f>
        <v>0.0002418757156</v>
      </c>
      <c r="O36" s="2">
        <f>IF(COUNT('Turns'!F117,'Turns'!F133,'Turns'!F149)=3,SUM('Turns'!F117,'Turns'!F133,'Turns'!F149),"Unknown")</f>
        <v>0.00027494</v>
      </c>
      <c r="P36" s="2">
        <f>IF(COUNT('Turns'!D85,'Turns'!D107,'Turns'!D120,'Turns'!D136,'Turns'!D152)=5,SUM('Turns'!D85,'Turns'!D107,'Turns'!D120,'Turns'!D136,'Turns'!D152),"Unknown")</f>
        <v>17081.0</v>
      </c>
      <c r="Q36" s="2">
        <f>IF(COUNT('Turns'!E85,'Turns'!E107,'Turns'!E120,'Turns'!E136,'Turns'!E152)=5,SUM('Turns'!E85,'Turns'!E107,'Turns'!E120,'Turns'!E136,'Turns'!E152),"Unknown")</f>
        <v>0.003756709735</v>
      </c>
      <c r="R36" s="2">
        <f>IF(COUNT('Turns'!F85,'Turns'!F107,'Turns'!F120,'Turns'!F136,'Turns'!F152)=5,SUM('Turns'!F85,'Turns'!F107,'Turns'!F120,'Turns'!F136,'Turns'!F152),"Unknown")</f>
        <v>0.00427025</v>
      </c>
      <c r="S36" s="2">
        <f>IF(COUNT('Turns'!D89,'Turns'!D111,'Turns'!D124,'Turns'!D140,'Turns'!D156)=5,SUM('Turns'!D89,'Turns'!D111,'Turns'!D124,'Turns'!D140,'Turns'!D156),"Unknown")</f>
        <v>1368.0</v>
      </c>
      <c r="T36" s="2">
        <f>IF(COUNT('Turns'!E89,'Turns'!E111,'Turns'!E124,'Turns'!E140,'Turns'!E156)=5,SUM('Turns'!E89,'Turns'!E111,'Turns'!E124,'Turns'!E140,'Turns'!E156),"Unknown")</f>
        <v>0.001444181184</v>
      </c>
      <c r="U36" s="2">
        <f>IF(COUNT('Turns'!F89,'Turns'!F111,'Turns'!F124,'Turns'!F140,'Turns'!F156)=5,SUM('Turns'!F89,'Turns'!F111,'Turns'!F124,'Turns'!F140,'Turns'!F156),"Unknown")</f>
        <v>0.0016416</v>
      </c>
      <c r="V36" s="2">
        <f>IF(COUNT('Turns'!D88,'Turns'!D110,'Turns'!D123,'Turns'!D139,'Turns'!D155)=5,SUM('Turns'!D88,'Turns'!D110,'Turns'!D123,'Turns'!D139,'Turns'!D155),"Unknown")</f>
        <v>595.0</v>
      </c>
      <c r="W36" s="2">
        <f>IF(COUNT('Turns'!E88,'Turns'!E110,'Turns'!E123,'Turns'!E139,'Turns'!E155)=5,SUM('Turns'!E88,'Turns'!E110,'Turns'!E123,'Turns'!E139,'Turns'!E155),"Unknown")</f>
        <v>0.00062813436</v>
      </c>
      <c r="X36" s="2">
        <f>IF(COUNT('Turns'!F88,'Turns'!F110,'Turns'!F123,'Turns'!F139,'Turns'!F155)=5,SUM('Turns'!F88,'Turns'!F110,'Turns'!F123,'Turns'!F139,'Turns'!F155),"Unknown")</f>
        <v>0.000714</v>
      </c>
      <c r="Y36" s="2">
        <f>IF(COUNT('Turns'!E93,'Turns'!E115,'Turns'!E128,'Turns'!E144,'Turns'!E160)=5,SUM('Turns'!E93,'Turns'!E115,'Turns'!E128,'Turns'!E144,'Turns'!E160),"Unknown")</f>
        <v>0.0060735402146</v>
      </c>
      <c r="Z36" s="2">
        <f>IF(COUNT('Turns'!F93,'Turns'!F115,'Turns'!F128,'Turns'!F144,'Turns'!F160)=5,SUM('Turns'!F93,'Turns'!F115,'Turns'!F128,'Turns'!F144,'Turns'!F160),"Unknown")</f>
        <v>0.00690379</v>
      </c>
      <c r="AA36" s="5">
        <f>IF(ISNUMBER(Y36),ROUND(Y36*'Reference data'!$B$2,0),"Unknown")</f>
        <v>607.0</v>
      </c>
      <c r="AB36" s="5">
        <f>IF(ISNUMBER(Z36),ROUND(Z36*'Reference data'!$B$2,0),"Unknown")</f>
        <v>690.0</v>
      </c>
      <c r="AD36" s="1">
        <v>19336.625</v>
      </c>
      <c r="AE36" s="1" t="s">
        <v>212</v>
      </c>
    </row>
    <row r="37" spans="1:31" ht="54" customHeight="1">
      <c r="A37" s="6" t="s">
        <v>222</v>
      </c>
      <c r="B37" s="1">
        <v>4</v>
      </c>
      <c r="C37" s="1" t="s">
        <v>210</v>
      </c>
      <c r="D37" s="1" t="s">
        <v>47</v>
      </c>
      <c r="E37" s="1" t="s">
        <v>111</v>
      </c>
      <c r="G37" s="6" t="s">
        <v>223</v>
      </c>
      <c r="H37" t="s">
        <v>269</v>
      </c>
      <c r="I37" t="s">
        <v>268</v>
      </c>
      <c r="AD37" s="1">
        <v>1.897</v>
      </c>
      <c r="AE37" s="1" t="s">
        <v>225</v>
      </c>
    </row>
    <row r="38" spans="1:31" ht="54" customHeight="1">
      <c r="A38" s="6" t="s">
        <v>226</v>
      </c>
      <c r="B38" s="1">
        <v>4</v>
      </c>
      <c r="C38" s="1" t="s">
        <v>210</v>
      </c>
      <c r="D38" s="1" t="s">
        <v>47</v>
      </c>
      <c r="E38" s="1" t="s">
        <v>111</v>
      </c>
      <c r="G38" s="6" t="s">
        <v>227</v>
      </c>
      <c r="H38" t="s">
        <v>270</v>
      </c>
      <c r="I38" t="s">
        <v>268</v>
      </c>
      <c r="J38" s="2">
        <f>IF(COUNT('Turns'!D81)=1,SUM('Turns'!D81),"Unknown")</f>
        <v>3.0</v>
      </c>
      <c r="K38" s="2">
        <f>IF(COUNT('Turns'!E81)=1,SUM('Turns'!E81),"Unknown")</f>
        <v>5.27844e-07</v>
      </c>
      <c r="L38" s="2">
        <f>IF(COUNT('Turns'!F81)=1,SUM('Turns'!F81),"Unknown")</f>
        <v>6e-07</v>
      </c>
      <c r="M38" s="2">
        <v>0</v>
      </c>
      <c r="N38" s="2">
        <v>0</v>
      </c>
      <c r="O38" s="2">
        <v>0</v>
      </c>
      <c r="P38" s="2">
        <f>IF(COUNT('Turns'!D85)=1,SUM('Turns'!D85),"Unknown")</f>
        <v>7113.0</v>
      </c>
      <c r="Q38" s="2">
        <f>IF(COUNT('Turns'!E85)=1,SUM('Turns'!E85),"Unknown")</f>
        <v>0.001564397655</v>
      </c>
      <c r="R38" s="2">
        <f>IF(COUNT('Turns'!F85)=1,SUM('Turns'!F85),"Unknown")</f>
        <v>0.00177825</v>
      </c>
      <c r="S38" s="2">
        <f>IF(COUNT('Turns'!D89)=1,SUM('Turns'!D89),"Unknown")</f>
        <v>98.0</v>
      </c>
      <c r="T38" s="2">
        <f>IF(COUNT('Turns'!E89)=1,SUM('Turns'!E89),"Unknown")</f>
        <v>0.000103457424</v>
      </c>
      <c r="U38" s="2">
        <f>IF(COUNT('Turns'!F89)=1,SUM('Turns'!F89),"Unknown")</f>
        <v>0.0001176</v>
      </c>
      <c r="V38" s="2">
        <f>IF(COUNT('Turns'!D88)=1,SUM('Turns'!D88),"Unknown")</f>
        <v>21.0</v>
      </c>
      <c r="W38" s="2">
        <f>IF(COUNT('Turns'!E88)=1,SUM('Turns'!E88),"Unknown")</f>
        <v>2.2169448e-05</v>
      </c>
      <c r="X38" s="2">
        <f>IF(COUNT('Turns'!F88)=1,SUM('Turns'!F88),"Unknown")</f>
        <v>2.52e-05</v>
      </c>
      <c r="Y38" s="2">
        <f>IF(COUNT('Turns'!E93)=1,SUM('Turns'!E93),"Unknown")</f>
        <v>0.001690552371</v>
      </c>
      <c r="Z38" s="2">
        <f>IF(COUNT('Turns'!F93)=1,SUM('Turns'!F93),"Unknown")</f>
        <v>0.00192165</v>
      </c>
      <c r="AA38" s="5">
        <f>IF(ISNUMBER(Y38),ROUND(Y38*'Reference data'!$B$2,0),"Unknown")</f>
        <v>169.0</v>
      </c>
      <c r="AB38" s="5">
        <f>IF(ISNUMBER(Z38),ROUND(Z38*'Reference data'!$B$2,0),"Unknown")</f>
        <v>192.0</v>
      </c>
      <c r="AD38" s="1">
        <v>1627.878</v>
      </c>
      <c r="AE38" s="1" t="s">
        <v>212</v>
      </c>
    </row>
    <row r="39" spans="1:31" ht="54" customHeight="1">
      <c r="A39" s="6" t="s">
        <v>229</v>
      </c>
      <c r="B39" s="1">
        <v>5</v>
      </c>
      <c r="C39" s="1" t="s">
        <v>230</v>
      </c>
      <c r="D39" s="1" t="s">
        <v>95</v>
      </c>
      <c r="E39" s="1" t="s">
        <v>111</v>
      </c>
      <c r="F39" s="1">
        <v>7116</v>
      </c>
      <c r="G39" s="6" t="s">
        <v>231</v>
      </c>
      <c r="H39" t="s">
        <v>141</v>
      </c>
      <c r="I39" t="s">
        <v>270</v>
      </c>
      <c r="J39" s="2">
        <f>IF(COUNT('Turns'!D81)=1,SUM('Turns'!D81),"Unknown")</f>
        <v>3.0</v>
      </c>
      <c r="K39" s="2">
        <f>IF(COUNT('Turns'!E81)=1,SUM('Turns'!E81),"Unknown")</f>
        <v>5.27844e-07</v>
      </c>
      <c r="L39" s="2">
        <f>IF(COUNT('Turns'!F81)=1,SUM('Turns'!F81),"Unknown")</f>
        <v>6e-07</v>
      </c>
      <c r="M39" s="2">
        <v>0</v>
      </c>
      <c r="N39" s="2">
        <v>0</v>
      </c>
      <c r="O39" s="2">
        <v>0</v>
      </c>
      <c r="P39" s="2">
        <f>IF(COUNT('Turns'!D85)=1,SUM('Turns'!D85),"Unknown")</f>
        <v>7113.0</v>
      </c>
      <c r="Q39" s="2">
        <f>IF(COUNT('Turns'!E85)=1,SUM('Turns'!E85),"Unknown")</f>
        <v>0.001564397655</v>
      </c>
      <c r="R39" s="2">
        <f>IF(COUNT('Turns'!F85)=1,SUM('Turns'!F85),"Unknown")</f>
        <v>0.00177825</v>
      </c>
      <c r="S39" s="2">
        <f>IF(COUNT('Turns'!D89)=1,SUM('Turns'!D89),"Unknown")</f>
        <v>98.0</v>
      </c>
      <c r="T39" s="2">
        <f>IF(COUNT('Turns'!E89)=1,SUM('Turns'!E89),"Unknown")</f>
        <v>0.000103457424</v>
      </c>
      <c r="U39" s="2">
        <f>IF(COUNT('Turns'!F89)=1,SUM('Turns'!F89),"Unknown")</f>
        <v>0.0001176</v>
      </c>
      <c r="V39" s="2">
        <f>IF(COUNT('Turns'!D88)=1,SUM('Turns'!D88),"Unknown")</f>
        <v>21.0</v>
      </c>
      <c r="W39" s="2">
        <f>IF(COUNT('Turns'!E88)=1,SUM('Turns'!E88),"Unknown")</f>
        <v>2.2169448e-05</v>
      </c>
      <c r="X39" s="2">
        <f>IF(COUNT('Turns'!F88)=1,SUM('Turns'!F88),"Unknown")</f>
        <v>2.52e-05</v>
      </c>
      <c r="Y39" s="2">
        <f>IF(COUNT('Turns'!E93)=1,SUM('Turns'!E93),"Unknown")</f>
        <v>0.001690552371</v>
      </c>
      <c r="Z39" s="2">
        <f>IF(COUNT('Turns'!F93)=1,SUM('Turns'!F93),"Unknown")</f>
        <v>0.00192165</v>
      </c>
      <c r="AA39" s="5">
        <f>IF(ISNUMBER(Y39),ROUND(Y39*'Reference data'!$B$2,0),"Unknown")</f>
        <v>169.0</v>
      </c>
      <c r="AB39" s="5">
        <f>IF(ISNUMBER(Z39),ROUND(Z39*'Reference data'!$B$2,0),"Unknown")</f>
        <v>192.0</v>
      </c>
      <c r="AC39" s="1" t="s">
        <v>140</v>
      </c>
      <c r="AD39" s="1">
        <v>1618.441</v>
      </c>
      <c r="AE39" s="1" t="s">
        <v>232</v>
      </c>
    </row>
    <row r="40" spans="1:31" ht="54" customHeight="1">
      <c r="A40" s="6" t="s">
        <v>233</v>
      </c>
      <c r="B40" s="1">
        <v>4</v>
      </c>
      <c r="C40" s="1" t="s">
        <v>210</v>
      </c>
      <c r="D40" s="1" t="s">
        <v>47</v>
      </c>
      <c r="E40" s="1" t="s">
        <v>111</v>
      </c>
      <c r="G40" s="6" t="s">
        <v>234</v>
      </c>
      <c r="H40" t="s">
        <v>271</v>
      </c>
      <c r="I40" t="s">
        <v>268</v>
      </c>
      <c r="AD40" s="1">
        <v>5.376</v>
      </c>
      <c r="AE40" s="1" t="s">
        <v>225</v>
      </c>
    </row>
    <row r="41" spans="1:31" ht="54" customHeight="1">
      <c r="A41" s="6" t="s">
        <v>236</v>
      </c>
      <c r="B41" s="1">
        <v>5</v>
      </c>
      <c r="C41" s="1" t="s">
        <v>237</v>
      </c>
      <c r="D41" s="1" t="s">
        <v>47</v>
      </c>
      <c r="E41" s="1" t="s">
        <v>111</v>
      </c>
      <c r="G41" s="6" t="s">
        <v>238</v>
      </c>
      <c r="H41" t="s">
        <v>145</v>
      </c>
      <c r="I41" t="s">
        <v>271</v>
      </c>
      <c r="AD41" s="1">
        <v>1.893</v>
      </c>
      <c r="AE41" s="1" t="s">
        <v>225</v>
      </c>
    </row>
    <row r="42" spans="1:31" ht="54" customHeight="1">
      <c r="A42" s="6" t="s">
        <v>233</v>
      </c>
      <c r="B42" s="1">
        <v>4</v>
      </c>
      <c r="C42" s="1" t="s">
        <v>210</v>
      </c>
      <c r="D42" s="1" t="s">
        <v>47</v>
      </c>
      <c r="E42" s="1" t="s">
        <v>111</v>
      </c>
      <c r="G42" s="6" t="s">
        <v>234</v>
      </c>
      <c r="H42" t="s">
        <v>272</v>
      </c>
      <c r="I42" t="s">
        <v>268</v>
      </c>
      <c r="AD42" s="1">
        <v>5.587</v>
      </c>
      <c r="AE42" s="1" t="s">
        <v>225</v>
      </c>
    </row>
    <row r="43" spans="1:31" ht="54" customHeight="1">
      <c r="A43" s="6" t="s">
        <v>236</v>
      </c>
      <c r="B43" s="1">
        <v>5</v>
      </c>
      <c r="C43" s="1" t="s">
        <v>237</v>
      </c>
      <c r="D43" s="1" t="s">
        <v>47</v>
      </c>
      <c r="E43" s="1" t="s">
        <v>111</v>
      </c>
      <c r="G43" s="6" t="s">
        <v>238</v>
      </c>
      <c r="H43" t="s">
        <v>148</v>
      </c>
      <c r="I43" t="s">
        <v>272</v>
      </c>
      <c r="AD43" s="1">
        <v>2.781</v>
      </c>
      <c r="AE43" s="1" t="s">
        <v>225</v>
      </c>
    </row>
    <row r="44" spans="1:31" ht="54" customHeight="1">
      <c r="A44" s="6" t="s">
        <v>233</v>
      </c>
      <c r="B44" s="1">
        <v>4</v>
      </c>
      <c r="C44" s="1" t="s">
        <v>210</v>
      </c>
      <c r="D44" s="1" t="s">
        <v>47</v>
      </c>
      <c r="E44" s="1" t="s">
        <v>111</v>
      </c>
      <c r="G44" s="6" t="s">
        <v>234</v>
      </c>
      <c r="H44" t="s">
        <v>273</v>
      </c>
      <c r="I44" t="s">
        <v>268</v>
      </c>
      <c r="AD44" s="1">
        <v>5.231</v>
      </c>
      <c r="AE44" s="1" t="s">
        <v>225</v>
      </c>
    </row>
    <row r="45" spans="1:31" ht="54" customHeight="1">
      <c r="A45" s="6" t="s">
        <v>236</v>
      </c>
      <c r="B45" s="1">
        <v>5</v>
      </c>
      <c r="C45" s="1" t="s">
        <v>237</v>
      </c>
      <c r="D45" s="1" t="s">
        <v>47</v>
      </c>
      <c r="E45" s="1" t="s">
        <v>111</v>
      </c>
      <c r="G45" s="6" t="s">
        <v>238</v>
      </c>
      <c r="H45" t="s">
        <v>151</v>
      </c>
      <c r="I45" t="s">
        <v>273</v>
      </c>
      <c r="AD45" s="1">
        <v>2.358</v>
      </c>
      <c r="AE45" s="1" t="s">
        <v>225</v>
      </c>
    </row>
    <row r="46" spans="1:31" ht="54" customHeight="1">
      <c r="A46" s="6" t="s">
        <v>222</v>
      </c>
      <c r="B46" s="1">
        <v>4</v>
      </c>
      <c r="C46" s="1" t="s">
        <v>210</v>
      </c>
      <c r="D46" s="1" t="s">
        <v>47</v>
      </c>
      <c r="E46" s="1" t="s">
        <v>111</v>
      </c>
      <c r="G46" s="6" t="s">
        <v>274</v>
      </c>
      <c r="H46" t="s">
        <v>275</v>
      </c>
      <c r="I46" t="s">
        <v>268</v>
      </c>
      <c r="J46" s="2">
        <f>IF(COUNT('Turns'!D104)=1,SUM('Turns'!D104),"Unknown")</f>
        <v>3.0</v>
      </c>
      <c r="K46" s="2">
        <f>IF(COUNT('Turns'!E104)=1,SUM('Turns'!E104),"Unknown")</f>
        <v>5.27844e-07</v>
      </c>
      <c r="L46" s="2">
        <f>IF(COUNT('Turns'!F104)=1,SUM('Turns'!F104),"Unknown")</f>
        <v>6e-07</v>
      </c>
      <c r="M46" s="2">
        <v>0</v>
      </c>
      <c r="N46" s="2">
        <v>0</v>
      </c>
      <c r="O46" s="2">
        <v>0</v>
      </c>
      <c r="P46" s="2">
        <f>IF(COUNT('Turns'!D107)=1,SUM('Turns'!D107),"Unknown")</f>
        <v>5041.0</v>
      </c>
      <c r="Q46" s="2">
        <f>IF(COUNT('Turns'!E107)=1,SUM('Turns'!E107),"Unknown")</f>
        <v>0.001108692335</v>
      </c>
      <c r="R46" s="2">
        <f>IF(COUNT('Turns'!F107)=1,SUM('Turns'!F107),"Unknown")</f>
        <v>0.00126025</v>
      </c>
      <c r="S46" s="2">
        <f>IF(COUNT('Turns'!D111)=1,SUM('Turns'!D111),"Unknown")</f>
        <v>880.0</v>
      </c>
      <c r="T46" s="2">
        <f>IF(COUNT('Turns'!E111)=1,SUM('Turns'!E111),"Unknown")</f>
        <v>0.00092900544</v>
      </c>
      <c r="U46" s="2">
        <f>IF(COUNT('Turns'!F111)=1,SUM('Turns'!F111),"Unknown")</f>
        <v>0.001056</v>
      </c>
      <c r="V46" s="2">
        <f>IF(COUNT('Turns'!D110)=1,SUM('Turns'!D110),"Unknown")</f>
        <v>63.0</v>
      </c>
      <c r="W46" s="2">
        <f>IF(COUNT('Turns'!E110)=1,SUM('Turns'!E110),"Unknown")</f>
        <v>6.6508344e-05</v>
      </c>
      <c r="X46" s="2">
        <f>IF(COUNT('Turns'!F110)=1,SUM('Turns'!F110),"Unknown")</f>
        <v>7.56e-05</v>
      </c>
      <c r="Y46" s="2">
        <f>IF(COUNT('Turns'!E115)=1,SUM('Turns'!E115),"Unknown")</f>
        <v>0.002104733963</v>
      </c>
      <c r="Z46" s="2">
        <f>IF(COUNT('Turns'!F115)=1,SUM('Turns'!F115),"Unknown")</f>
        <v>0.00239245</v>
      </c>
      <c r="AA46" s="5">
        <f>IF(ISNUMBER(Y46),ROUND(Y46*'Reference data'!$B$2,0),"Unknown")</f>
        <v>210.0</v>
      </c>
      <c r="AB46" s="5">
        <f>IF(ISNUMBER(Z46),ROUND(Z46*'Reference data'!$B$2,0),"Unknown")</f>
        <v>239.0</v>
      </c>
      <c r="AD46" s="1">
        <v>7243.95</v>
      </c>
      <c r="AE46" s="1" t="s">
        <v>212</v>
      </c>
    </row>
    <row r="47" spans="1:31" ht="54" customHeight="1">
      <c r="A47" s="6" t="s">
        <v>276</v>
      </c>
      <c r="B47" s="1">
        <v>5</v>
      </c>
      <c r="C47" s="1" t="s">
        <v>210</v>
      </c>
      <c r="D47" s="1" t="s">
        <v>47</v>
      </c>
      <c r="E47" s="1" t="s">
        <v>111</v>
      </c>
      <c r="G47" s="6" t="s">
        <v>277</v>
      </c>
      <c r="H47" t="s">
        <v>278</v>
      </c>
      <c r="I47" t="s">
        <v>275</v>
      </c>
      <c r="J47" s="2">
        <f>IF(COUNT('Turns'!D104)=1,SUM('Turns'!D104),"Unknown")</f>
        <v>3.0</v>
      </c>
      <c r="K47" s="2">
        <f>IF(COUNT('Turns'!E104)=1,SUM('Turns'!E104),"Unknown")</f>
        <v>5.27844e-07</v>
      </c>
      <c r="L47" s="2">
        <f>IF(COUNT('Turns'!F104)=1,SUM('Turns'!F104),"Unknown")</f>
        <v>6e-07</v>
      </c>
      <c r="M47" s="2">
        <v>0</v>
      </c>
      <c r="N47" s="2">
        <v>0</v>
      </c>
      <c r="O47" s="2">
        <v>0</v>
      </c>
      <c r="P47" s="2">
        <f>IF(COUNT('Turns'!D107)=1,SUM('Turns'!D107),"Unknown")</f>
        <v>5041.0</v>
      </c>
      <c r="Q47" s="2">
        <f>IF(COUNT('Turns'!E107)=1,SUM('Turns'!E107),"Unknown")</f>
        <v>0.001108692335</v>
      </c>
      <c r="R47" s="2">
        <f>IF(COUNT('Turns'!F107)=1,SUM('Turns'!F107),"Unknown")</f>
        <v>0.00126025</v>
      </c>
      <c r="S47" s="2">
        <f>IF(COUNT('Turns'!D111)=1,SUM('Turns'!D111),"Unknown")</f>
        <v>880.0</v>
      </c>
      <c r="T47" s="2">
        <f>IF(COUNT('Turns'!E111)=1,SUM('Turns'!E111),"Unknown")</f>
        <v>0.00092900544</v>
      </c>
      <c r="U47" s="2">
        <f>IF(COUNT('Turns'!F111)=1,SUM('Turns'!F111),"Unknown")</f>
        <v>0.001056</v>
      </c>
      <c r="V47" s="2">
        <f>IF(COUNT('Turns'!D110)=1,SUM('Turns'!D110),"Unknown")</f>
        <v>63.0</v>
      </c>
      <c r="W47" s="2">
        <f>IF(COUNT('Turns'!E110)=1,SUM('Turns'!E110),"Unknown")</f>
        <v>6.6508344e-05</v>
      </c>
      <c r="X47" s="2">
        <f>IF(COUNT('Turns'!F110)=1,SUM('Turns'!F110),"Unknown")</f>
        <v>7.56e-05</v>
      </c>
      <c r="Y47" s="2">
        <f>IF(COUNT('Turns'!E115)=1,SUM('Turns'!E115),"Unknown")</f>
        <v>0.002104733963</v>
      </c>
      <c r="Z47" s="2">
        <f>IF(COUNT('Turns'!F115)=1,SUM('Turns'!F115),"Unknown")</f>
        <v>0.00239245</v>
      </c>
      <c r="AA47" s="5">
        <f>IF(ISNUMBER(Y47),ROUND(Y47*'Reference data'!$B$2,0),"Unknown")</f>
        <v>210.0</v>
      </c>
      <c r="AB47" s="5">
        <f>IF(ISNUMBER(Z47),ROUND(Z47*'Reference data'!$B$2,0),"Unknown")</f>
        <v>239.0</v>
      </c>
      <c r="AD47" s="1">
        <v>7241.583</v>
      </c>
      <c r="AE47" s="1" t="s">
        <v>212</v>
      </c>
    </row>
    <row r="48" spans="1:31" ht="54" customHeight="1">
      <c r="A48" s="6" t="s">
        <v>279</v>
      </c>
      <c r="B48" s="1">
        <v>6</v>
      </c>
      <c r="C48" s="1" t="s">
        <v>230</v>
      </c>
      <c r="D48" s="1" t="s">
        <v>95</v>
      </c>
      <c r="E48" s="1" t="s">
        <v>111</v>
      </c>
      <c r="F48" s="1">
        <v>5044</v>
      </c>
      <c r="G48" s="6" t="s">
        <v>231</v>
      </c>
      <c r="H48" t="s">
        <v>155</v>
      </c>
      <c r="I48" t="s">
        <v>278</v>
      </c>
      <c r="J48" s="2">
        <f>IF(COUNT('Turns'!D104)=1,SUM('Turns'!D104),"Unknown")</f>
        <v>3.0</v>
      </c>
      <c r="K48" s="2">
        <f>IF(COUNT('Turns'!E104)=1,SUM('Turns'!E104),"Unknown")</f>
        <v>5.27844e-07</v>
      </c>
      <c r="L48" s="2">
        <f>IF(COUNT('Turns'!F104)=1,SUM('Turns'!F104),"Unknown")</f>
        <v>6e-07</v>
      </c>
      <c r="M48" s="2">
        <v>0</v>
      </c>
      <c r="N48" s="2">
        <v>0</v>
      </c>
      <c r="O48" s="2">
        <v>0</v>
      </c>
      <c r="P48" s="2">
        <f>IF(COUNT('Turns'!D107)=1,SUM('Turns'!D107),"Unknown")</f>
        <v>5041.0</v>
      </c>
      <c r="Q48" s="2">
        <f>IF(COUNT('Turns'!E107)=1,SUM('Turns'!E107),"Unknown")</f>
        <v>0.001108692335</v>
      </c>
      <c r="R48" s="2">
        <f>IF(COUNT('Turns'!F107)=1,SUM('Turns'!F107),"Unknown")</f>
        <v>0.00126025</v>
      </c>
      <c r="S48" s="2">
        <f>IF(COUNT('Turns'!D111)=1,SUM('Turns'!D111),"Unknown")</f>
        <v>880.0</v>
      </c>
      <c r="T48" s="2">
        <f>IF(COUNT('Turns'!E111)=1,SUM('Turns'!E111),"Unknown")</f>
        <v>0.00092900544</v>
      </c>
      <c r="U48" s="2">
        <f>IF(COUNT('Turns'!F111)=1,SUM('Turns'!F111),"Unknown")</f>
        <v>0.001056</v>
      </c>
      <c r="V48" s="2">
        <f>IF(COUNT('Turns'!D110)=1,SUM('Turns'!D110),"Unknown")</f>
        <v>63.0</v>
      </c>
      <c r="W48" s="2">
        <f>IF(COUNT('Turns'!E110)=1,SUM('Turns'!E110),"Unknown")</f>
        <v>6.6508344e-05</v>
      </c>
      <c r="X48" s="2">
        <f>IF(COUNT('Turns'!F110)=1,SUM('Turns'!F110),"Unknown")</f>
        <v>7.56e-05</v>
      </c>
      <c r="Y48" s="2">
        <f>IF(COUNT('Turns'!E115)=1,SUM('Turns'!E115),"Unknown")</f>
        <v>0.002104733963</v>
      </c>
      <c r="Z48" s="2">
        <f>IF(COUNT('Turns'!F115)=1,SUM('Turns'!F115),"Unknown")</f>
        <v>0.00239245</v>
      </c>
      <c r="AA48" s="5">
        <f>IF(ISNUMBER(Y48),ROUND(Y48*'Reference data'!$B$2,0),"Unknown")</f>
        <v>210.0</v>
      </c>
      <c r="AB48" s="5">
        <f>IF(ISNUMBER(Z48),ROUND(Z48*'Reference data'!$B$2,0),"Unknown")</f>
        <v>239.0</v>
      </c>
      <c r="AC48" s="1" t="s">
        <v>154</v>
      </c>
      <c r="AD48" s="1">
        <v>7239.584</v>
      </c>
      <c r="AE48" s="1" t="s">
        <v>232</v>
      </c>
    </row>
    <row r="49" spans="1:31" ht="54" customHeight="1">
      <c r="A49" s="6" t="s">
        <v>226</v>
      </c>
      <c r="B49" s="1">
        <v>4</v>
      </c>
      <c r="C49" s="1" t="s">
        <v>210</v>
      </c>
      <c r="D49" s="1" t="s">
        <v>47</v>
      </c>
      <c r="E49" s="1" t="s">
        <v>111</v>
      </c>
      <c r="G49" s="6" t="s">
        <v>227</v>
      </c>
      <c r="H49" t="s">
        <v>280</v>
      </c>
      <c r="I49" t="s">
        <v>268</v>
      </c>
      <c r="J49" s="2">
        <f>IF(COUNT('Turns'!D118)=1,SUM('Turns'!D118),"Unknown")</f>
        <v>3.0</v>
      </c>
      <c r="K49" s="2">
        <f>IF(COUNT('Turns'!E118)=1,SUM('Turns'!E118),"Unknown")</f>
        <v>5.27844e-07</v>
      </c>
      <c r="L49" s="2">
        <f>IF(COUNT('Turns'!F118)=1,SUM('Turns'!F118),"Unknown")</f>
        <v>6e-07</v>
      </c>
      <c r="M49" s="2">
        <f>IF(COUNT('Turns'!D117)=1,SUM('Turns'!D117),"Unknown")</f>
        <v>1999.0</v>
      </c>
      <c r="N49" s="2">
        <f>IF(COUNT('Turns'!E117)=1,SUM('Turns'!E117),"Unknown")</f>
        <v>3.51720052e-05</v>
      </c>
      <c r="O49" s="2">
        <f>IF(COUNT('Turns'!F117)=1,SUM('Turns'!F117),"Unknown")</f>
        <v>3.998e-05</v>
      </c>
      <c r="P49" s="2">
        <f>IF(COUNT('Turns'!D120)=1,SUM('Turns'!D120),"Unknown")</f>
        <v>3541.0</v>
      </c>
      <c r="Q49" s="2">
        <f>IF(COUNT('Turns'!E120)=1,SUM('Turns'!E120),"Unknown")</f>
        <v>0.000778789835</v>
      </c>
      <c r="R49" s="2">
        <f>IF(COUNT('Turns'!F120)=1,SUM('Turns'!F120),"Unknown")</f>
        <v>0.00088525</v>
      </c>
      <c r="S49" s="2">
        <f>IF(COUNT('Turns'!D124)=1,SUM('Turns'!D124),"Unknown")</f>
        <v>231.0</v>
      </c>
      <c r="T49" s="2">
        <f>IF(COUNT('Turns'!E124)=1,SUM('Turns'!E124),"Unknown")</f>
        <v>0.000243863928</v>
      </c>
      <c r="U49" s="2">
        <f>IF(COUNT('Turns'!F124)=1,SUM('Turns'!F124),"Unknown")</f>
        <v>0.0002772</v>
      </c>
      <c r="V49" s="2">
        <f>IF(COUNT('Turns'!D123)=1,SUM('Turns'!D123),"Unknown")</f>
        <v>412.0</v>
      </c>
      <c r="W49" s="2">
        <f>IF(COUNT('Turns'!E123)=1,SUM('Turns'!E123),"Unknown")</f>
        <v>0.000434943456</v>
      </c>
      <c r="X49" s="2">
        <f>IF(COUNT('Turns'!F123)=1,SUM('Turns'!F123),"Unknown")</f>
        <v>0.0004944</v>
      </c>
      <c r="Y49" s="2">
        <f>IF(COUNT('Turns'!E128)=1,SUM('Turns'!E128),"Unknown")</f>
        <v>0.0014932970682</v>
      </c>
      <c r="Z49" s="2">
        <f>IF(COUNT('Turns'!F128)=1,SUM('Turns'!F128),"Unknown")</f>
        <v>0.00169743</v>
      </c>
      <c r="AA49" s="5">
        <f>IF(ISNUMBER(Y49),ROUND(Y49*'Reference data'!$B$2,0),"Unknown")</f>
        <v>149.0</v>
      </c>
      <c r="AB49" s="5">
        <f>IF(ISNUMBER(Z49),ROUND(Z49*'Reference data'!$B$2,0),"Unknown")</f>
        <v>170.0</v>
      </c>
      <c r="AD49" s="1">
        <v>6497.119</v>
      </c>
      <c r="AE49" s="1" t="s">
        <v>212</v>
      </c>
    </row>
    <row r="50" spans="1:31" ht="54" customHeight="1">
      <c r="A50" s="6" t="s">
        <v>229</v>
      </c>
      <c r="B50" s="1">
        <v>5</v>
      </c>
      <c r="C50" s="1" t="s">
        <v>230</v>
      </c>
      <c r="D50" s="1" t="s">
        <v>95</v>
      </c>
      <c r="E50" s="1" t="s">
        <v>111</v>
      </c>
      <c r="F50" s="1">
        <v>5543</v>
      </c>
      <c r="G50" s="6" t="s">
        <v>231</v>
      </c>
      <c r="H50" t="s">
        <v>159</v>
      </c>
      <c r="I50" t="s">
        <v>280</v>
      </c>
      <c r="J50" s="2">
        <f>IF(COUNT('Turns'!D118)=1,SUM('Turns'!D118),"Unknown")</f>
        <v>3.0</v>
      </c>
      <c r="K50" s="2">
        <f>IF(COUNT('Turns'!E118)=1,SUM('Turns'!E118),"Unknown")</f>
        <v>5.27844e-07</v>
      </c>
      <c r="L50" s="2">
        <f>IF(COUNT('Turns'!F118)=1,SUM('Turns'!F118),"Unknown")</f>
        <v>6e-07</v>
      </c>
      <c r="M50" s="2">
        <f>IF(COUNT('Turns'!D117)=1,SUM('Turns'!D117),"Unknown")</f>
        <v>1999.0</v>
      </c>
      <c r="N50" s="2">
        <f>IF(COUNT('Turns'!E117)=1,SUM('Turns'!E117),"Unknown")</f>
        <v>3.51720052e-05</v>
      </c>
      <c r="O50" s="2">
        <f>IF(COUNT('Turns'!F117)=1,SUM('Turns'!F117),"Unknown")</f>
        <v>3.998e-05</v>
      </c>
      <c r="P50" s="2">
        <f>IF(COUNT('Turns'!D120)=1,SUM('Turns'!D120),"Unknown")</f>
        <v>3541.0</v>
      </c>
      <c r="Q50" s="2">
        <f>IF(COUNT('Turns'!E120)=1,SUM('Turns'!E120),"Unknown")</f>
        <v>0.000778789835</v>
      </c>
      <c r="R50" s="2">
        <f>IF(COUNT('Turns'!F120)=1,SUM('Turns'!F120),"Unknown")</f>
        <v>0.00088525</v>
      </c>
      <c r="S50" s="2">
        <f>IF(COUNT('Turns'!D124)=1,SUM('Turns'!D124),"Unknown")</f>
        <v>231.0</v>
      </c>
      <c r="T50" s="2">
        <f>IF(COUNT('Turns'!E124)=1,SUM('Turns'!E124),"Unknown")</f>
        <v>0.000243863928</v>
      </c>
      <c r="U50" s="2">
        <f>IF(COUNT('Turns'!F124)=1,SUM('Turns'!F124),"Unknown")</f>
        <v>0.0002772</v>
      </c>
      <c r="V50" s="2">
        <f>IF(COUNT('Turns'!D123)=1,SUM('Turns'!D123),"Unknown")</f>
        <v>412.0</v>
      </c>
      <c r="W50" s="2">
        <f>IF(COUNT('Turns'!E123)=1,SUM('Turns'!E123),"Unknown")</f>
        <v>0.000434943456</v>
      </c>
      <c r="X50" s="2">
        <f>IF(COUNT('Turns'!F123)=1,SUM('Turns'!F123),"Unknown")</f>
        <v>0.0004944</v>
      </c>
      <c r="Y50" s="2">
        <f>IF(COUNT('Turns'!E128)=1,SUM('Turns'!E128),"Unknown")</f>
        <v>0.0014932970682</v>
      </c>
      <c r="Z50" s="2">
        <f>IF(COUNT('Turns'!F128)=1,SUM('Turns'!F128),"Unknown")</f>
        <v>0.00169743</v>
      </c>
      <c r="AA50" s="5">
        <f>IF(ISNUMBER(Y50),ROUND(Y50*'Reference data'!$B$2,0),"Unknown")</f>
        <v>149.0</v>
      </c>
      <c r="AB50" s="5">
        <f>IF(ISNUMBER(Z50),ROUND(Z50*'Reference data'!$B$2,0),"Unknown")</f>
        <v>170.0</v>
      </c>
      <c r="AC50" s="1" t="s">
        <v>158</v>
      </c>
      <c r="AD50" s="1">
        <v>6494.068</v>
      </c>
      <c r="AE50" s="1" t="s">
        <v>232</v>
      </c>
    </row>
    <row r="51" spans="1:31" ht="54" customHeight="1">
      <c r="A51" s="6" t="s">
        <v>233</v>
      </c>
      <c r="B51" s="1">
        <v>4</v>
      </c>
      <c r="C51" s="1" t="s">
        <v>210</v>
      </c>
      <c r="D51" s="1" t="s">
        <v>47</v>
      </c>
      <c r="E51" s="1" t="s">
        <v>111</v>
      </c>
      <c r="G51" s="6" t="s">
        <v>234</v>
      </c>
      <c r="H51" t="s">
        <v>281</v>
      </c>
      <c r="I51" t="s">
        <v>268</v>
      </c>
      <c r="AD51" s="1">
        <v>2.871</v>
      </c>
      <c r="AE51" s="1" t="s">
        <v>225</v>
      </c>
    </row>
    <row r="52" spans="1:31" ht="54" customHeight="1">
      <c r="A52" s="6" t="s">
        <v>254</v>
      </c>
      <c r="B52" s="1">
        <v>5</v>
      </c>
      <c r="C52" s="1" t="s">
        <v>237</v>
      </c>
      <c r="D52" s="1" t="s">
        <v>47</v>
      </c>
      <c r="E52" s="1" t="s">
        <v>111</v>
      </c>
      <c r="G52" s="6" t="s">
        <v>255</v>
      </c>
      <c r="H52" t="s">
        <v>162</v>
      </c>
      <c r="I52" t="s">
        <v>281</v>
      </c>
      <c r="AD52" s="1">
        <v>1.456</v>
      </c>
      <c r="AE52" s="1" t="s">
        <v>225</v>
      </c>
    </row>
    <row r="53" spans="1:31" ht="54" customHeight="1">
      <c r="A53" s="6" t="s">
        <v>222</v>
      </c>
      <c r="B53" s="1">
        <v>4</v>
      </c>
      <c r="C53" s="1" t="s">
        <v>210</v>
      </c>
      <c r="D53" s="1" t="s">
        <v>47</v>
      </c>
      <c r="E53" s="1" t="s">
        <v>111</v>
      </c>
      <c r="G53" s="6" t="s">
        <v>223</v>
      </c>
      <c r="H53" t="s">
        <v>282</v>
      </c>
      <c r="I53" t="s">
        <v>268</v>
      </c>
      <c r="AD53" s="1">
        <v>0.651</v>
      </c>
      <c r="AE53" s="1" t="s">
        <v>225</v>
      </c>
    </row>
    <row r="54" spans="1:31" ht="54" customHeight="1">
      <c r="A54" s="6" t="s">
        <v>226</v>
      </c>
      <c r="B54" s="1">
        <v>4</v>
      </c>
      <c r="C54" s="1" t="s">
        <v>210</v>
      </c>
      <c r="D54" s="1" t="s">
        <v>47</v>
      </c>
      <c r="E54" s="1" t="s">
        <v>111</v>
      </c>
      <c r="G54" s="6" t="s">
        <v>227</v>
      </c>
      <c r="H54" t="s">
        <v>283</v>
      </c>
      <c r="I54" t="s">
        <v>268</v>
      </c>
      <c r="J54" s="2">
        <f>IF(COUNT('Turns'!D134)=1,SUM('Turns'!D134),"Unknown")</f>
        <v>3.0</v>
      </c>
      <c r="K54" s="2">
        <f>IF(COUNT('Turns'!E134)=1,SUM('Turns'!E134),"Unknown")</f>
        <v>5.27844e-07</v>
      </c>
      <c r="L54" s="2">
        <f>IF(COUNT('Turns'!F134)=1,SUM('Turns'!F134),"Unknown")</f>
        <v>6e-07</v>
      </c>
      <c r="M54" s="2">
        <f>IF(COUNT('Turns'!D133)=1,SUM('Turns'!D133),"Unknown")</f>
        <v>5540.0</v>
      </c>
      <c r="N54" s="2">
        <f>IF(COUNT('Turns'!E133)=1,SUM('Turns'!E133),"Unknown")</f>
        <v>9.7475192e-05</v>
      </c>
      <c r="O54" s="2">
        <f>IF(COUNT('Turns'!F133)=1,SUM('Turns'!F133),"Unknown")</f>
        <v>0.0001108</v>
      </c>
      <c r="P54" s="2">
        <f>IF(COUNT('Turns'!D136)=1,SUM('Turns'!D136),"Unknown")</f>
        <v>668.0</v>
      </c>
      <c r="Q54" s="2">
        <f>IF(COUNT('Turns'!E136)=1,SUM('Turns'!E136),"Unknown")</f>
        <v>0.00014691658</v>
      </c>
      <c r="R54" s="2">
        <f>IF(COUNT('Turns'!F136)=1,SUM('Turns'!F136),"Unknown")</f>
        <v>0.000167</v>
      </c>
      <c r="S54" s="2">
        <f>IF(COUNT('Turns'!D140)=1,SUM('Turns'!D140),"Unknown")</f>
        <v>32.0</v>
      </c>
      <c r="T54" s="2">
        <f>IF(COUNT('Turns'!E140)=1,SUM('Turns'!E140),"Unknown")</f>
        <v>3.3782016e-05</v>
      </c>
      <c r="U54" s="2">
        <f>IF(COUNT('Turns'!F140)=1,SUM('Turns'!F140),"Unknown")</f>
        <v>3.84e-05</v>
      </c>
      <c r="V54" s="2">
        <f>IF(COUNT('Turns'!D139)=1,SUM('Turns'!D139),"Unknown")</f>
        <v>10.0</v>
      </c>
      <c r="W54" s="2">
        <f>IF(COUNT('Turns'!E139)=1,SUM('Turns'!E139),"Unknown")</f>
        <v>1.055688e-05</v>
      </c>
      <c r="X54" s="2">
        <f>IF(COUNT('Turns'!F139)=1,SUM('Turns'!F139),"Unknown")</f>
        <v>1.2e-05</v>
      </c>
      <c r="Y54" s="2">
        <f>IF(COUNT('Turns'!E144)=1,SUM('Turns'!E144),"Unknown")</f>
        <v>0.000289258512</v>
      </c>
      <c r="Z54" s="2">
        <f>IF(COUNT('Turns'!F144)=1,SUM('Turns'!F144),"Unknown")</f>
        <v>0.0003288</v>
      </c>
      <c r="AA54" s="5">
        <f>IF(ISNUMBER(Y54),ROUND(Y54*'Reference data'!$B$2,0),"Unknown")</f>
        <v>29.0</v>
      </c>
      <c r="AB54" s="5">
        <f>IF(ISNUMBER(Z54),ROUND(Z54*'Reference data'!$B$2,0),"Unknown")</f>
        <v>33.0</v>
      </c>
      <c r="AD54" s="1">
        <v>1105.571</v>
      </c>
      <c r="AE54" s="1" t="s">
        <v>212</v>
      </c>
    </row>
    <row r="55" spans="1:31" ht="54" customHeight="1">
      <c r="A55" s="6" t="s">
        <v>229</v>
      </c>
      <c r="B55" s="1">
        <v>5</v>
      </c>
      <c r="C55" s="1" t="s">
        <v>230</v>
      </c>
      <c r="D55" s="1" t="s">
        <v>95</v>
      </c>
      <c r="E55" s="1" t="s">
        <v>111</v>
      </c>
      <c r="F55" s="1">
        <v>6211</v>
      </c>
      <c r="G55" s="6" t="s">
        <v>231</v>
      </c>
      <c r="H55" t="s">
        <v>166</v>
      </c>
      <c r="I55" t="s">
        <v>283</v>
      </c>
      <c r="J55" s="2">
        <f>IF(COUNT('Turns'!D134)=1,SUM('Turns'!D134),"Unknown")</f>
        <v>3.0</v>
      </c>
      <c r="K55" s="2">
        <f>IF(COUNT('Turns'!E134)=1,SUM('Turns'!E134),"Unknown")</f>
        <v>5.27844e-07</v>
      </c>
      <c r="L55" s="2">
        <f>IF(COUNT('Turns'!F134)=1,SUM('Turns'!F134),"Unknown")</f>
        <v>6e-07</v>
      </c>
      <c r="M55" s="2">
        <f>IF(COUNT('Turns'!D133)=1,SUM('Turns'!D133),"Unknown")</f>
        <v>5540.0</v>
      </c>
      <c r="N55" s="2">
        <f>IF(COUNT('Turns'!E133)=1,SUM('Turns'!E133),"Unknown")</f>
        <v>9.7475192e-05</v>
      </c>
      <c r="O55" s="2">
        <f>IF(COUNT('Turns'!F133)=1,SUM('Turns'!F133),"Unknown")</f>
        <v>0.0001108</v>
      </c>
      <c r="P55" s="2">
        <f>IF(COUNT('Turns'!D136)=1,SUM('Turns'!D136),"Unknown")</f>
        <v>668.0</v>
      </c>
      <c r="Q55" s="2">
        <f>IF(COUNT('Turns'!E136)=1,SUM('Turns'!E136),"Unknown")</f>
        <v>0.00014691658</v>
      </c>
      <c r="R55" s="2">
        <f>IF(COUNT('Turns'!F136)=1,SUM('Turns'!F136),"Unknown")</f>
        <v>0.000167</v>
      </c>
      <c r="S55" s="2">
        <f>IF(COUNT('Turns'!D140)=1,SUM('Turns'!D140),"Unknown")</f>
        <v>32.0</v>
      </c>
      <c r="T55" s="2">
        <f>IF(COUNT('Turns'!E140)=1,SUM('Turns'!E140),"Unknown")</f>
        <v>3.3782016e-05</v>
      </c>
      <c r="U55" s="2">
        <f>IF(COUNT('Turns'!F140)=1,SUM('Turns'!F140),"Unknown")</f>
        <v>3.84e-05</v>
      </c>
      <c r="V55" s="2">
        <f>IF(COUNT('Turns'!D139)=1,SUM('Turns'!D139),"Unknown")</f>
        <v>10.0</v>
      </c>
      <c r="W55" s="2">
        <f>IF(COUNT('Turns'!E139)=1,SUM('Turns'!E139),"Unknown")</f>
        <v>1.055688e-05</v>
      </c>
      <c r="X55" s="2">
        <f>IF(COUNT('Turns'!F139)=1,SUM('Turns'!F139),"Unknown")</f>
        <v>1.2e-05</v>
      </c>
      <c r="Y55" s="2">
        <f>IF(COUNT('Turns'!E144)=1,SUM('Turns'!E144),"Unknown")</f>
        <v>0.000289258512</v>
      </c>
      <c r="Z55" s="2">
        <f>IF(COUNT('Turns'!F144)=1,SUM('Turns'!F144),"Unknown")</f>
        <v>0.0003288</v>
      </c>
      <c r="AA55" s="5">
        <f>IF(ISNUMBER(Y55),ROUND(Y55*'Reference data'!$B$2,0),"Unknown")</f>
        <v>29.0</v>
      </c>
      <c r="AB55" s="5">
        <f>IF(ISNUMBER(Z55),ROUND(Z55*'Reference data'!$B$2,0),"Unknown")</f>
        <v>33.0</v>
      </c>
      <c r="AC55" s="1" t="s">
        <v>165</v>
      </c>
      <c r="AD55" s="1">
        <v>1103.005</v>
      </c>
      <c r="AE55" s="1" t="s">
        <v>232</v>
      </c>
    </row>
    <row r="56" spans="1:31" ht="54" customHeight="1">
      <c r="A56" s="6" t="s">
        <v>233</v>
      </c>
      <c r="B56" s="1">
        <v>4</v>
      </c>
      <c r="C56" s="1" t="s">
        <v>210</v>
      </c>
      <c r="D56" s="1" t="s">
        <v>47</v>
      </c>
      <c r="E56" s="1" t="s">
        <v>111</v>
      </c>
      <c r="G56" s="6" t="s">
        <v>234</v>
      </c>
      <c r="H56" t="s">
        <v>284</v>
      </c>
      <c r="I56" t="s">
        <v>268</v>
      </c>
      <c r="AD56" s="1">
        <v>3.444</v>
      </c>
      <c r="AE56" s="1" t="s">
        <v>225</v>
      </c>
    </row>
    <row r="57" spans="1:31" ht="54" customHeight="1">
      <c r="A57" s="6" t="s">
        <v>236</v>
      </c>
      <c r="B57" s="1">
        <v>5</v>
      </c>
      <c r="C57" s="1" t="s">
        <v>237</v>
      </c>
      <c r="D57" s="1" t="s">
        <v>47</v>
      </c>
      <c r="E57" s="1" t="s">
        <v>111</v>
      </c>
      <c r="G57" s="6" t="s">
        <v>238</v>
      </c>
      <c r="H57" t="s">
        <v>168</v>
      </c>
      <c r="I57" t="s">
        <v>284</v>
      </c>
      <c r="AD57" s="1">
        <v>2.04</v>
      </c>
      <c r="AE57" s="1" t="s">
        <v>225</v>
      </c>
    </row>
    <row r="58" spans="1:31" ht="54" customHeight="1">
      <c r="A58" s="6" t="s">
        <v>222</v>
      </c>
      <c r="B58" s="1">
        <v>4</v>
      </c>
      <c r="C58" s="1" t="s">
        <v>210</v>
      </c>
      <c r="D58" s="1" t="s">
        <v>47</v>
      </c>
      <c r="E58" s="1" t="s">
        <v>111</v>
      </c>
      <c r="G58" s="6" t="s">
        <v>223</v>
      </c>
      <c r="H58" t="s">
        <v>285</v>
      </c>
      <c r="I58" t="s">
        <v>268</v>
      </c>
      <c r="AD58" s="1">
        <v>0.837</v>
      </c>
      <c r="AE58" s="1" t="s">
        <v>225</v>
      </c>
    </row>
    <row r="59" spans="1:31" ht="54" customHeight="1">
      <c r="A59" s="6" t="s">
        <v>226</v>
      </c>
      <c r="B59" s="1">
        <v>4</v>
      </c>
      <c r="C59" s="1" t="s">
        <v>210</v>
      </c>
      <c r="D59" s="1" t="s">
        <v>47</v>
      </c>
      <c r="E59" s="1" t="s">
        <v>111</v>
      </c>
      <c r="G59" s="6" t="s">
        <v>227</v>
      </c>
      <c r="H59" t="s">
        <v>286</v>
      </c>
      <c r="I59" t="s">
        <v>268</v>
      </c>
      <c r="J59" s="2">
        <f>IF(COUNT('Turns'!D150)=1,SUM('Turns'!D150),"Unknown")</f>
        <v>3.0</v>
      </c>
      <c r="K59" s="2">
        <f>IF(COUNT('Turns'!E150)=1,SUM('Turns'!E150),"Unknown")</f>
        <v>5.27844e-07</v>
      </c>
      <c r="L59" s="2">
        <f>IF(COUNT('Turns'!F150)=1,SUM('Turns'!F150),"Unknown")</f>
        <v>6e-07</v>
      </c>
      <c r="M59" s="2">
        <f>IF(COUNT('Turns'!D149)=1,SUM('Turns'!D149),"Unknown")</f>
        <v>6208.0</v>
      </c>
      <c r="N59" s="2">
        <f>IF(COUNT('Turns'!E149)=1,SUM('Turns'!E149),"Unknown")</f>
        <v>0.0001092285184</v>
      </c>
      <c r="O59" s="2">
        <f>IF(COUNT('Turns'!F149)=1,SUM('Turns'!F149),"Unknown")</f>
        <v>0.00012416</v>
      </c>
      <c r="P59" s="2">
        <f>IF(COUNT('Turns'!D152)=1,SUM('Turns'!D152),"Unknown")</f>
        <v>718.0</v>
      </c>
      <c r="Q59" s="2">
        <f>IF(COUNT('Turns'!E152)=1,SUM('Turns'!E152),"Unknown")</f>
        <v>0.00015791333</v>
      </c>
      <c r="R59" s="2">
        <f>IF(COUNT('Turns'!F152)=1,SUM('Turns'!F152),"Unknown")</f>
        <v>0.0001795</v>
      </c>
      <c r="S59" s="2">
        <f>IF(COUNT('Turns'!D156)=1,SUM('Turns'!D156),"Unknown")</f>
        <v>127.0</v>
      </c>
      <c r="T59" s="2">
        <f>IF(COUNT('Turns'!E156)=1,SUM('Turns'!E156),"Unknown")</f>
        <v>0.000134072376</v>
      </c>
      <c r="U59" s="2">
        <f>IF(COUNT('Turns'!F156)=1,SUM('Turns'!F156),"Unknown")</f>
        <v>0.0001524</v>
      </c>
      <c r="V59" s="2">
        <f>IF(COUNT('Turns'!D155)=1,SUM('Turns'!D155),"Unknown")</f>
        <v>89.0</v>
      </c>
      <c r="W59" s="2">
        <f>IF(COUNT('Turns'!E155)=1,SUM('Turns'!E155),"Unknown")</f>
        <v>9.3956232e-05</v>
      </c>
      <c r="X59" s="2">
        <f>IF(COUNT('Turns'!F155)=1,SUM('Turns'!F155),"Unknown")</f>
        <v>0.0001068</v>
      </c>
      <c r="Y59" s="2">
        <f>IF(COUNT('Turns'!E160)=1,SUM('Turns'!E160),"Unknown")</f>
        <v>0.0004956983004</v>
      </c>
      <c r="Z59" s="2">
        <f>IF(COUNT('Turns'!F160)=1,SUM('Turns'!F160),"Unknown")</f>
        <v>0.00056346</v>
      </c>
      <c r="AA59" s="5">
        <f>IF(ISNUMBER(Y59),ROUND(Y59*'Reference data'!$B$2,0),"Unknown")</f>
        <v>50.0</v>
      </c>
      <c r="AB59" s="5">
        <f>IF(ISNUMBER(Z59),ROUND(Z59*'Reference data'!$B$2,0),"Unknown")</f>
        <v>56.0</v>
      </c>
      <c r="AD59" s="1">
        <v>2834.864</v>
      </c>
      <c r="AE59" s="1" t="s">
        <v>212</v>
      </c>
    </row>
    <row r="60" spans="1:31" ht="54" customHeight="1">
      <c r="A60" s="6" t="s">
        <v>229</v>
      </c>
      <c r="B60" s="1">
        <v>5</v>
      </c>
      <c r="C60" s="1" t="s">
        <v>230</v>
      </c>
      <c r="D60" s="1" t="s">
        <v>95</v>
      </c>
      <c r="E60" s="1" t="s">
        <v>111</v>
      </c>
      <c r="F60" s="1">
        <v>6929</v>
      </c>
      <c r="G60" s="6" t="s">
        <v>231</v>
      </c>
      <c r="H60" t="s">
        <v>172</v>
      </c>
      <c r="I60" t="s">
        <v>286</v>
      </c>
      <c r="J60" s="2">
        <f>IF(COUNT('Turns'!D150)=1,SUM('Turns'!D150),"Unknown")</f>
        <v>3.0</v>
      </c>
      <c r="K60" s="2">
        <f>IF(COUNT('Turns'!E150)=1,SUM('Turns'!E150),"Unknown")</f>
        <v>5.27844e-07</v>
      </c>
      <c r="L60" s="2">
        <f>IF(COUNT('Turns'!F150)=1,SUM('Turns'!F150),"Unknown")</f>
        <v>6e-07</v>
      </c>
      <c r="M60" s="2">
        <f>IF(COUNT('Turns'!D149)=1,SUM('Turns'!D149),"Unknown")</f>
        <v>6208.0</v>
      </c>
      <c r="N60" s="2">
        <f>IF(COUNT('Turns'!E149)=1,SUM('Turns'!E149),"Unknown")</f>
        <v>0.0001092285184</v>
      </c>
      <c r="O60" s="2">
        <f>IF(COUNT('Turns'!F149)=1,SUM('Turns'!F149),"Unknown")</f>
        <v>0.00012416</v>
      </c>
      <c r="P60" s="2">
        <f>IF(COUNT('Turns'!D152)=1,SUM('Turns'!D152),"Unknown")</f>
        <v>718.0</v>
      </c>
      <c r="Q60" s="2">
        <f>IF(COUNT('Turns'!E152)=1,SUM('Turns'!E152),"Unknown")</f>
        <v>0.00015791333</v>
      </c>
      <c r="R60" s="2">
        <f>IF(COUNT('Turns'!F152)=1,SUM('Turns'!F152),"Unknown")</f>
        <v>0.0001795</v>
      </c>
      <c r="S60" s="2">
        <f>IF(COUNT('Turns'!D156)=1,SUM('Turns'!D156),"Unknown")</f>
        <v>127.0</v>
      </c>
      <c r="T60" s="2">
        <f>IF(COUNT('Turns'!E156)=1,SUM('Turns'!E156),"Unknown")</f>
        <v>0.000134072376</v>
      </c>
      <c r="U60" s="2">
        <f>IF(COUNT('Turns'!F156)=1,SUM('Turns'!F156),"Unknown")</f>
        <v>0.0001524</v>
      </c>
      <c r="V60" s="2">
        <f>IF(COUNT('Turns'!D155)=1,SUM('Turns'!D155),"Unknown")</f>
        <v>89.0</v>
      </c>
      <c r="W60" s="2">
        <f>IF(COUNT('Turns'!E155)=1,SUM('Turns'!E155),"Unknown")</f>
        <v>9.3956232e-05</v>
      </c>
      <c r="X60" s="2">
        <f>IF(COUNT('Turns'!F155)=1,SUM('Turns'!F155),"Unknown")</f>
        <v>0.0001068</v>
      </c>
      <c r="Y60" s="2">
        <f>IF(COUNT('Turns'!E160)=1,SUM('Turns'!E160),"Unknown")</f>
        <v>0.0004956983004</v>
      </c>
      <c r="Z60" s="2">
        <f>IF(COUNT('Turns'!F160)=1,SUM('Turns'!F160),"Unknown")</f>
        <v>0.00056346</v>
      </c>
      <c r="AA60" s="5">
        <f>IF(ISNUMBER(Y60),ROUND(Y60*'Reference data'!$B$2,0),"Unknown")</f>
        <v>50.0</v>
      </c>
      <c r="AB60" s="5">
        <f>IF(ISNUMBER(Z60),ROUND(Z60*'Reference data'!$B$2,0),"Unknown")</f>
        <v>56.0</v>
      </c>
      <c r="AC60" s="1" t="s">
        <v>171</v>
      </c>
      <c r="AD60" s="1">
        <v>2832.064</v>
      </c>
      <c r="AE60" s="1" t="s">
        <v>232</v>
      </c>
    </row>
    <row r="61" spans="1:31" ht="54" customHeight="1">
      <c r="A61" s="6" t="s">
        <v>287</v>
      </c>
      <c r="B61" s="1">
        <v>1</v>
      </c>
      <c r="C61" s="1" t="s">
        <v>210</v>
      </c>
      <c r="D61" s="1" t="s">
        <v>47</v>
      </c>
      <c r="E61" s="1" t="s">
        <v>111</v>
      </c>
      <c r="G61" s="6" t="s">
        <v>288</v>
      </c>
      <c r="H61" t="s">
        <v>289</v>
      </c>
      <c r="I61" t="s">
        <v>247</v>
      </c>
      <c r="J61" s="2">
        <f>IF(COUNT('Turns'!D162,'Turns'!D185)=2,SUM('Turns'!D162,'Turns'!D185),"Unknown")</f>
        <v>6.0</v>
      </c>
      <c r="K61" s="2">
        <f>IF(COUNT('Turns'!E162,'Turns'!E185)=2,SUM('Turns'!E162,'Turns'!E185),"Unknown")</f>
        <v>1.055688e-06</v>
      </c>
      <c r="L61" s="2">
        <f>IF(COUNT('Turns'!F162,'Turns'!F185)=2,SUM('Turns'!F162,'Turns'!F185),"Unknown")</f>
        <v>1.2e-06</v>
      </c>
      <c r="M61" s="2">
        <f>IF(COUNT('Turns'!D184)=1,SUM('Turns'!D184),"Unknown")</f>
        <v>1520.0</v>
      </c>
      <c r="N61" s="2">
        <f>IF(COUNT('Turns'!E184)=1,SUM('Turns'!E184),"Unknown")</f>
        <v>2.6744096e-05</v>
      </c>
      <c r="O61" s="2">
        <f>IF(COUNT('Turns'!F184)=1,SUM('Turns'!F184),"Unknown")</f>
        <v>3.04e-05</v>
      </c>
      <c r="P61" s="2">
        <f>IF(COUNT('Turns'!D165,'Turns'!D187)=2,SUM('Turns'!D165,'Turns'!D187),"Unknown")</f>
        <v>4254.0</v>
      </c>
      <c r="Q61" s="2">
        <f>IF(COUNT('Turns'!E165,'Turns'!E187)=2,SUM('Turns'!E165,'Turns'!E187),"Unknown")</f>
        <v>0.00093560349</v>
      </c>
      <c r="R61" s="2">
        <f>IF(COUNT('Turns'!F165,'Turns'!F187)=2,SUM('Turns'!F165,'Turns'!F187),"Unknown")</f>
        <v>0.0010635</v>
      </c>
      <c r="S61" s="2">
        <f>IF(COUNT('Turns'!D169,'Turns'!D191)=2,SUM('Turns'!D169,'Turns'!D191),"Unknown")</f>
        <v>286.0</v>
      </c>
      <c r="T61" s="2">
        <f>IF(COUNT('Turns'!E169,'Turns'!E191)=2,SUM('Turns'!E169,'Turns'!E191),"Unknown")</f>
        <v>0.000301926768</v>
      </c>
      <c r="U61" s="2">
        <f>IF(COUNT('Turns'!F169,'Turns'!F191)=2,SUM('Turns'!F169,'Turns'!F191),"Unknown")</f>
        <v>0.0003432</v>
      </c>
      <c r="V61" s="2">
        <f>IF(COUNT('Turns'!D168,'Turns'!D190)=2,SUM('Turns'!D168,'Turns'!D190),"Unknown")</f>
        <v>246.0</v>
      </c>
      <c r="W61" s="2">
        <f>IF(COUNT('Turns'!E168,'Turns'!E190)=2,SUM('Turns'!E168,'Turns'!E190),"Unknown")</f>
        <v>0.000259699248</v>
      </c>
      <c r="X61" s="2">
        <f>IF(COUNT('Turns'!F168,'Turns'!F190)=2,SUM('Turns'!F168,'Turns'!F190),"Unknown")</f>
        <v>0.0002952</v>
      </c>
      <c r="Y61" s="2">
        <f>IF(COUNT('Turns'!E173,'Turns'!E195)=2,SUM('Turns'!E173,'Turns'!E195),"Unknown")</f>
        <v>0.00152502929</v>
      </c>
      <c r="Z61" s="2">
        <f>IF(COUNT('Turns'!F173,'Turns'!F195)=2,SUM('Turns'!F173,'Turns'!F195),"Unknown")</f>
        <v>0.0017335</v>
      </c>
      <c r="AA61" s="5">
        <f>IF(ISNUMBER(Y61),ROUND(Y61*'Reference data'!$B$2,0),"Unknown")</f>
        <v>153.0</v>
      </c>
      <c r="AB61" s="5">
        <f>IF(ISNUMBER(Z61),ROUND(Z61*'Reference data'!$B$2,0),"Unknown")</f>
        <v>173.0</v>
      </c>
      <c r="AD61" s="1">
        <v>5874.319</v>
      </c>
      <c r="AE61" s="1" t="s">
        <v>212</v>
      </c>
    </row>
    <row r="62" spans="1:31" ht="54" customHeight="1">
      <c r="A62" s="6" t="s">
        <v>216</v>
      </c>
      <c r="B62" s="1">
        <v>2</v>
      </c>
      <c r="C62" s="1" t="s">
        <v>210</v>
      </c>
      <c r="D62" s="1" t="s">
        <v>47</v>
      </c>
      <c r="E62" s="1" t="s">
        <v>111</v>
      </c>
      <c r="G62" s="6" t="s">
        <v>217</v>
      </c>
      <c r="H62" t="s">
        <v>290</v>
      </c>
      <c r="I62" t="s">
        <v>289</v>
      </c>
      <c r="J62" s="2">
        <f>IF(COUNT('Turns'!D162,'Turns'!D185)=2,SUM('Turns'!D162,'Turns'!D185),"Unknown")</f>
        <v>6.0</v>
      </c>
      <c r="K62" s="2">
        <f>IF(COUNT('Turns'!E162,'Turns'!E185)=2,SUM('Turns'!E162,'Turns'!E185),"Unknown")</f>
        <v>1.055688e-06</v>
      </c>
      <c r="L62" s="2">
        <f>IF(COUNT('Turns'!F162,'Turns'!F185)=2,SUM('Turns'!F162,'Turns'!F185),"Unknown")</f>
        <v>1.2e-06</v>
      </c>
      <c r="M62" s="2">
        <f>IF(COUNT('Turns'!D184)=1,SUM('Turns'!D184),"Unknown")</f>
        <v>1520.0</v>
      </c>
      <c r="N62" s="2">
        <f>IF(COUNT('Turns'!E184)=1,SUM('Turns'!E184),"Unknown")</f>
        <v>2.6744096e-05</v>
      </c>
      <c r="O62" s="2">
        <f>IF(COUNT('Turns'!F184)=1,SUM('Turns'!F184),"Unknown")</f>
        <v>3.04e-05</v>
      </c>
      <c r="P62" s="2">
        <f>IF(COUNT('Turns'!D165,'Turns'!D187)=2,SUM('Turns'!D165,'Turns'!D187),"Unknown")</f>
        <v>4254.0</v>
      </c>
      <c r="Q62" s="2">
        <f>IF(COUNT('Turns'!E165,'Turns'!E187)=2,SUM('Turns'!E165,'Turns'!E187),"Unknown")</f>
        <v>0.00093560349</v>
      </c>
      <c r="R62" s="2">
        <f>IF(COUNT('Turns'!F165,'Turns'!F187)=2,SUM('Turns'!F165,'Turns'!F187),"Unknown")</f>
        <v>0.0010635</v>
      </c>
      <c r="S62" s="2">
        <f>IF(COUNT('Turns'!D169,'Turns'!D191)=2,SUM('Turns'!D169,'Turns'!D191),"Unknown")</f>
        <v>286.0</v>
      </c>
      <c r="T62" s="2">
        <f>IF(COUNT('Turns'!E169,'Turns'!E191)=2,SUM('Turns'!E169,'Turns'!E191),"Unknown")</f>
        <v>0.000301926768</v>
      </c>
      <c r="U62" s="2">
        <f>IF(COUNT('Turns'!F169,'Turns'!F191)=2,SUM('Turns'!F169,'Turns'!F191),"Unknown")</f>
        <v>0.0003432</v>
      </c>
      <c r="V62" s="2">
        <f>IF(COUNT('Turns'!D168,'Turns'!D190)=2,SUM('Turns'!D168,'Turns'!D190),"Unknown")</f>
        <v>246.0</v>
      </c>
      <c r="W62" s="2">
        <f>IF(COUNT('Turns'!E168,'Turns'!E190)=2,SUM('Turns'!E168,'Turns'!E190),"Unknown")</f>
        <v>0.000259699248</v>
      </c>
      <c r="X62" s="2">
        <f>IF(COUNT('Turns'!F168,'Turns'!F190)=2,SUM('Turns'!F168,'Turns'!F190),"Unknown")</f>
        <v>0.0002952</v>
      </c>
      <c r="Y62" s="2">
        <f>IF(COUNT('Turns'!E173,'Turns'!E195)=2,SUM('Turns'!E173,'Turns'!E195),"Unknown")</f>
        <v>0.00152502929</v>
      </c>
      <c r="Z62" s="2">
        <f>IF(COUNT('Turns'!F173,'Turns'!F195)=2,SUM('Turns'!F173,'Turns'!F195),"Unknown")</f>
        <v>0.0017335</v>
      </c>
      <c r="AA62" s="5">
        <f>IF(ISNUMBER(Y62),ROUND(Y62*'Reference data'!$B$2,0),"Unknown")</f>
        <v>153.0</v>
      </c>
      <c r="AB62" s="5">
        <f>IF(ISNUMBER(Z62),ROUND(Z62*'Reference data'!$B$2,0),"Unknown")</f>
        <v>173.0</v>
      </c>
      <c r="AD62" s="1">
        <v>5873.062</v>
      </c>
      <c r="AE62" s="1" t="s">
        <v>212</v>
      </c>
    </row>
    <row r="63" spans="1:31" ht="54" customHeight="1">
      <c r="A63" s="6" t="s">
        <v>291</v>
      </c>
      <c r="B63" s="1">
        <v>3</v>
      </c>
      <c r="C63" s="1" t="s">
        <v>210</v>
      </c>
      <c r="D63" s="1" t="s">
        <v>47</v>
      </c>
      <c r="E63" s="1" t="s">
        <v>111</v>
      </c>
      <c r="G63" s="6" t="s">
        <v>292</v>
      </c>
      <c r="H63" t="s">
        <v>293</v>
      </c>
      <c r="I63" t="s">
        <v>290</v>
      </c>
      <c r="J63" s="2">
        <f>IF(COUNT('Turns'!D162,'Turns'!D185)=2,SUM('Turns'!D162,'Turns'!D185),"Unknown")</f>
        <v>6.0</v>
      </c>
      <c r="K63" s="2">
        <f>IF(COUNT('Turns'!E162,'Turns'!E185)=2,SUM('Turns'!E162,'Turns'!E185),"Unknown")</f>
        <v>1.055688e-06</v>
      </c>
      <c r="L63" s="2">
        <f>IF(COUNT('Turns'!F162,'Turns'!F185)=2,SUM('Turns'!F162,'Turns'!F185),"Unknown")</f>
        <v>1.2e-06</v>
      </c>
      <c r="M63" s="2">
        <f>IF(COUNT('Turns'!D184)=1,SUM('Turns'!D184),"Unknown")</f>
        <v>1520.0</v>
      </c>
      <c r="N63" s="2">
        <f>IF(COUNT('Turns'!E184)=1,SUM('Turns'!E184),"Unknown")</f>
        <v>2.6744096e-05</v>
      </c>
      <c r="O63" s="2">
        <f>IF(COUNT('Turns'!F184)=1,SUM('Turns'!F184),"Unknown")</f>
        <v>3.04e-05</v>
      </c>
      <c r="P63" s="2">
        <f>IF(COUNT('Turns'!D165,'Turns'!D187)=2,SUM('Turns'!D165,'Turns'!D187),"Unknown")</f>
        <v>4254.0</v>
      </c>
      <c r="Q63" s="2">
        <f>IF(COUNT('Turns'!E165,'Turns'!E187)=2,SUM('Turns'!E165,'Turns'!E187),"Unknown")</f>
        <v>0.00093560349</v>
      </c>
      <c r="R63" s="2">
        <f>IF(COUNT('Turns'!F165,'Turns'!F187)=2,SUM('Turns'!F165,'Turns'!F187),"Unknown")</f>
        <v>0.0010635</v>
      </c>
      <c r="S63" s="2">
        <f>IF(COUNT('Turns'!D169,'Turns'!D191)=2,SUM('Turns'!D169,'Turns'!D191),"Unknown")</f>
        <v>286.0</v>
      </c>
      <c r="T63" s="2">
        <f>IF(COUNT('Turns'!E169,'Turns'!E191)=2,SUM('Turns'!E169,'Turns'!E191),"Unknown")</f>
        <v>0.000301926768</v>
      </c>
      <c r="U63" s="2">
        <f>IF(COUNT('Turns'!F169,'Turns'!F191)=2,SUM('Turns'!F169,'Turns'!F191),"Unknown")</f>
        <v>0.0003432</v>
      </c>
      <c r="V63" s="2">
        <f>IF(COUNT('Turns'!D168,'Turns'!D190)=2,SUM('Turns'!D168,'Turns'!D190),"Unknown")</f>
        <v>246.0</v>
      </c>
      <c r="W63" s="2">
        <f>IF(COUNT('Turns'!E168,'Turns'!E190)=2,SUM('Turns'!E168,'Turns'!E190),"Unknown")</f>
        <v>0.000259699248</v>
      </c>
      <c r="X63" s="2">
        <f>IF(COUNT('Turns'!F168,'Turns'!F190)=2,SUM('Turns'!F168,'Turns'!F190),"Unknown")</f>
        <v>0.0002952</v>
      </c>
      <c r="Y63" s="2">
        <f>IF(COUNT('Turns'!E173,'Turns'!E195)=2,SUM('Turns'!E173,'Turns'!E195),"Unknown")</f>
        <v>0.00152502929</v>
      </c>
      <c r="Z63" s="2">
        <f>IF(COUNT('Turns'!F173,'Turns'!F195)=2,SUM('Turns'!F173,'Turns'!F195),"Unknown")</f>
        <v>0.0017335</v>
      </c>
      <c r="AA63" s="5">
        <f>IF(ISNUMBER(Y63),ROUND(Y63*'Reference data'!$B$2,0),"Unknown")</f>
        <v>153.0</v>
      </c>
      <c r="AB63" s="5">
        <f>IF(ISNUMBER(Z63),ROUND(Z63*'Reference data'!$B$2,0),"Unknown")</f>
        <v>173.0</v>
      </c>
      <c r="AD63" s="1">
        <v>5871.659</v>
      </c>
      <c r="AE63" s="1" t="s">
        <v>212</v>
      </c>
    </row>
    <row r="64" spans="1:31" ht="54" customHeight="1">
      <c r="A64" s="6" t="s">
        <v>226</v>
      </c>
      <c r="B64" s="1">
        <v>4</v>
      </c>
      <c r="C64" s="1" t="s">
        <v>210</v>
      </c>
      <c r="D64" s="1" t="s">
        <v>47</v>
      </c>
      <c r="E64" s="1" t="s">
        <v>111</v>
      </c>
      <c r="G64" s="6" t="s">
        <v>227</v>
      </c>
      <c r="H64" t="s">
        <v>294</v>
      </c>
      <c r="I64" t="s">
        <v>293</v>
      </c>
      <c r="J64" s="2">
        <f>IF(COUNT('Turns'!D162)=1,SUM('Turns'!D162),"Unknown")</f>
        <v>3.0</v>
      </c>
      <c r="K64" s="2">
        <f>IF(COUNT('Turns'!E162)=1,SUM('Turns'!E162),"Unknown")</f>
        <v>5.27844e-07</v>
      </c>
      <c r="L64" s="2">
        <f>IF(COUNT('Turns'!F162)=1,SUM('Turns'!F162),"Unknown")</f>
        <v>6e-07</v>
      </c>
      <c r="M64" s="2">
        <v>0</v>
      </c>
      <c r="N64" s="2">
        <v>0</v>
      </c>
      <c r="O64" s="2">
        <v>0</v>
      </c>
      <c r="P64" s="2">
        <f>IF(COUNT('Turns'!D165)=1,SUM('Turns'!D165),"Unknown")</f>
        <v>1520.0</v>
      </c>
      <c r="Q64" s="2">
        <f>IF(COUNT('Turns'!E165)=1,SUM('Turns'!E165),"Unknown")</f>
        <v>0.0003343012</v>
      </c>
      <c r="R64" s="2">
        <f>IF(COUNT('Turns'!F165)=1,SUM('Turns'!F165),"Unknown")</f>
        <v>0.00038</v>
      </c>
      <c r="S64" s="2">
        <f>IF(COUNT('Turns'!D169)=1,SUM('Turns'!D169),"Unknown")</f>
        <v>98.0</v>
      </c>
      <c r="T64" s="2">
        <f>IF(COUNT('Turns'!E169)=1,SUM('Turns'!E169),"Unknown")</f>
        <v>0.000103457424</v>
      </c>
      <c r="U64" s="2">
        <f>IF(COUNT('Turns'!F169)=1,SUM('Turns'!F169),"Unknown")</f>
        <v>0.0001176</v>
      </c>
      <c r="V64" s="2">
        <f>IF(COUNT('Turns'!D168)=1,SUM('Turns'!D168),"Unknown")</f>
        <v>21.0</v>
      </c>
      <c r="W64" s="2">
        <f>IF(COUNT('Turns'!E168)=1,SUM('Turns'!E168),"Unknown")</f>
        <v>2.2169448e-05</v>
      </c>
      <c r="X64" s="2">
        <f>IF(COUNT('Turns'!F168)=1,SUM('Turns'!F168),"Unknown")</f>
        <v>2.52e-05</v>
      </c>
      <c r="Y64" s="2">
        <f>IF(COUNT('Turns'!E173)=1,SUM('Turns'!E173),"Unknown")</f>
        <v>0.000460455916</v>
      </c>
      <c r="Z64" s="2">
        <f>IF(COUNT('Turns'!F173)=1,SUM('Turns'!F173),"Unknown")</f>
        <v>0.0005234</v>
      </c>
      <c r="AA64" s="5">
        <f>IF(ISNUMBER(Y64),ROUND(Y64*'Reference data'!$B$2,0),"Unknown")</f>
        <v>46.0</v>
      </c>
      <c r="AB64" s="5">
        <f>IF(ISNUMBER(Z64),ROUND(Z64*'Reference data'!$B$2,0),"Unknown")</f>
        <v>52.0</v>
      </c>
      <c r="AD64" s="1">
        <v>1406.616</v>
      </c>
      <c r="AE64" s="1" t="s">
        <v>212</v>
      </c>
    </row>
    <row r="65" spans="1:31" ht="54" customHeight="1">
      <c r="A65" s="6" t="s">
        <v>229</v>
      </c>
      <c r="B65" s="1">
        <v>5</v>
      </c>
      <c r="C65" s="1" t="s">
        <v>230</v>
      </c>
      <c r="D65" s="1" t="s">
        <v>95</v>
      </c>
      <c r="E65" s="1" t="s">
        <v>111</v>
      </c>
      <c r="F65" s="1">
        <v>1523</v>
      </c>
      <c r="G65" s="6" t="s">
        <v>231</v>
      </c>
      <c r="H65" t="s">
        <v>175</v>
      </c>
      <c r="I65" t="s">
        <v>294</v>
      </c>
      <c r="J65" s="2">
        <f>IF(COUNT('Turns'!D162)=1,SUM('Turns'!D162),"Unknown")</f>
        <v>3.0</v>
      </c>
      <c r="K65" s="2">
        <f>IF(COUNT('Turns'!E162)=1,SUM('Turns'!E162),"Unknown")</f>
        <v>5.27844e-07</v>
      </c>
      <c r="L65" s="2">
        <f>IF(COUNT('Turns'!F162)=1,SUM('Turns'!F162),"Unknown")</f>
        <v>6e-07</v>
      </c>
      <c r="M65" s="2">
        <v>0</v>
      </c>
      <c r="N65" s="2">
        <v>0</v>
      </c>
      <c r="O65" s="2">
        <v>0</v>
      </c>
      <c r="P65" s="2">
        <f>IF(COUNT('Turns'!D165)=1,SUM('Turns'!D165),"Unknown")</f>
        <v>1520.0</v>
      </c>
      <c r="Q65" s="2">
        <f>IF(COUNT('Turns'!E165)=1,SUM('Turns'!E165),"Unknown")</f>
        <v>0.0003343012</v>
      </c>
      <c r="R65" s="2">
        <f>IF(COUNT('Turns'!F165)=1,SUM('Turns'!F165),"Unknown")</f>
        <v>0.00038</v>
      </c>
      <c r="S65" s="2">
        <f>IF(COUNT('Turns'!D169)=1,SUM('Turns'!D169),"Unknown")</f>
        <v>98.0</v>
      </c>
      <c r="T65" s="2">
        <f>IF(COUNT('Turns'!E169)=1,SUM('Turns'!E169),"Unknown")</f>
        <v>0.000103457424</v>
      </c>
      <c r="U65" s="2">
        <f>IF(COUNT('Turns'!F169)=1,SUM('Turns'!F169),"Unknown")</f>
        <v>0.0001176</v>
      </c>
      <c r="V65" s="2">
        <f>IF(COUNT('Turns'!D168)=1,SUM('Turns'!D168),"Unknown")</f>
        <v>21.0</v>
      </c>
      <c r="W65" s="2">
        <f>IF(COUNT('Turns'!E168)=1,SUM('Turns'!E168),"Unknown")</f>
        <v>2.2169448e-05</v>
      </c>
      <c r="X65" s="2">
        <f>IF(COUNT('Turns'!F168)=1,SUM('Turns'!F168),"Unknown")</f>
        <v>2.52e-05</v>
      </c>
      <c r="Y65" s="2">
        <f>IF(COUNT('Turns'!E173)=1,SUM('Turns'!E173),"Unknown")</f>
        <v>0.000460455916</v>
      </c>
      <c r="Z65" s="2">
        <f>IF(COUNT('Turns'!F173)=1,SUM('Turns'!F173),"Unknown")</f>
        <v>0.0005234</v>
      </c>
      <c r="AA65" s="5">
        <f>IF(ISNUMBER(Y65),ROUND(Y65*'Reference data'!$B$2,0),"Unknown")</f>
        <v>46.0</v>
      </c>
      <c r="AB65" s="5">
        <f>IF(ISNUMBER(Z65),ROUND(Z65*'Reference data'!$B$2,0),"Unknown")</f>
        <v>52.0</v>
      </c>
      <c r="AC65" s="1" t="s">
        <v>174</v>
      </c>
      <c r="AD65" s="1">
        <v>1401.199</v>
      </c>
      <c r="AE65" s="1" t="s">
        <v>232</v>
      </c>
    </row>
    <row r="66" spans="1:31" ht="54" customHeight="1">
      <c r="A66" s="6" t="s">
        <v>233</v>
      </c>
      <c r="B66" s="1">
        <v>4</v>
      </c>
      <c r="C66" s="1" t="s">
        <v>210</v>
      </c>
      <c r="D66" s="1" t="s">
        <v>47</v>
      </c>
      <c r="E66" s="1" t="s">
        <v>111</v>
      </c>
      <c r="G66" s="6" t="s">
        <v>234</v>
      </c>
      <c r="H66" t="s">
        <v>295</v>
      </c>
      <c r="I66" t="s">
        <v>293</v>
      </c>
      <c r="AD66" s="1">
        <v>11.554</v>
      </c>
      <c r="AE66" s="1" t="s">
        <v>225</v>
      </c>
    </row>
    <row r="67" spans="1:31" ht="54" customHeight="1">
      <c r="A67" s="6" t="s">
        <v>236</v>
      </c>
      <c r="B67" s="1">
        <v>5</v>
      </c>
      <c r="C67" s="1" t="s">
        <v>237</v>
      </c>
      <c r="D67" s="1" t="s">
        <v>47</v>
      </c>
      <c r="E67" s="1" t="s">
        <v>111</v>
      </c>
      <c r="G67" s="6" t="s">
        <v>238</v>
      </c>
      <c r="H67" t="s">
        <v>178</v>
      </c>
      <c r="I67" t="s">
        <v>295</v>
      </c>
      <c r="AD67" s="1">
        <v>3.962</v>
      </c>
      <c r="AE67" s="1" t="s">
        <v>225</v>
      </c>
    </row>
    <row r="68" spans="1:31" ht="54" customHeight="1">
      <c r="A68" s="6" t="s">
        <v>233</v>
      </c>
      <c r="B68" s="1">
        <v>4</v>
      </c>
      <c r="C68" s="1" t="s">
        <v>210</v>
      </c>
      <c r="D68" s="1" t="s">
        <v>47</v>
      </c>
      <c r="E68" s="1" t="s">
        <v>111</v>
      </c>
      <c r="G68" s="6" t="s">
        <v>234</v>
      </c>
      <c r="H68" t="s">
        <v>296</v>
      </c>
      <c r="I68" t="s">
        <v>293</v>
      </c>
      <c r="AD68" s="1">
        <v>19.063</v>
      </c>
      <c r="AE68" s="1" t="s">
        <v>225</v>
      </c>
    </row>
    <row r="69" spans="1:31" ht="54" customHeight="1">
      <c r="A69" s="6" t="s">
        <v>236</v>
      </c>
      <c r="B69" s="1">
        <v>5</v>
      </c>
      <c r="C69" s="1" t="s">
        <v>237</v>
      </c>
      <c r="D69" s="1" t="s">
        <v>47</v>
      </c>
      <c r="E69" s="1" t="s">
        <v>111</v>
      </c>
      <c r="G69" s="6" t="s">
        <v>238</v>
      </c>
      <c r="H69" t="s">
        <v>179</v>
      </c>
      <c r="I69" t="s">
        <v>296</v>
      </c>
      <c r="AD69" s="1">
        <v>4.847</v>
      </c>
      <c r="AE69" s="1" t="s">
        <v>225</v>
      </c>
    </row>
    <row r="70" spans="1:31" ht="54" customHeight="1">
      <c r="A70" s="6" t="s">
        <v>233</v>
      </c>
      <c r="B70" s="1">
        <v>4</v>
      </c>
      <c r="C70" s="1" t="s">
        <v>210</v>
      </c>
      <c r="D70" s="1" t="s">
        <v>47</v>
      </c>
      <c r="E70" s="1" t="s">
        <v>111</v>
      </c>
      <c r="G70" s="6" t="s">
        <v>234</v>
      </c>
      <c r="H70" t="s">
        <v>297</v>
      </c>
      <c r="I70" t="s">
        <v>293</v>
      </c>
      <c r="AD70" s="1">
        <v>51.087</v>
      </c>
      <c r="AE70" s="1" t="s">
        <v>225</v>
      </c>
    </row>
    <row r="71" spans="1:31" ht="54" customHeight="1">
      <c r="A71" s="6" t="s">
        <v>236</v>
      </c>
      <c r="B71" s="1">
        <v>5</v>
      </c>
      <c r="C71" s="1" t="s">
        <v>237</v>
      </c>
      <c r="D71" s="1" t="s">
        <v>47</v>
      </c>
      <c r="E71" s="1" t="s">
        <v>111</v>
      </c>
      <c r="G71" s="6" t="s">
        <v>238</v>
      </c>
      <c r="H71" t="s">
        <v>181</v>
      </c>
      <c r="I71" t="s">
        <v>297</v>
      </c>
      <c r="AD71" s="1">
        <v>5.425</v>
      </c>
      <c r="AE71" s="1" t="s">
        <v>225</v>
      </c>
    </row>
    <row r="72" spans="1:31" ht="54" customHeight="1">
      <c r="A72" s="6" t="s">
        <v>226</v>
      </c>
      <c r="B72" s="1">
        <v>4</v>
      </c>
      <c r="C72" s="1" t="s">
        <v>210</v>
      </c>
      <c r="D72" s="1" t="s">
        <v>47</v>
      </c>
      <c r="E72" s="1" t="s">
        <v>111</v>
      </c>
      <c r="G72" s="6" t="s">
        <v>227</v>
      </c>
      <c r="H72" t="s">
        <v>298</v>
      </c>
      <c r="I72" t="s">
        <v>293</v>
      </c>
      <c r="J72" s="2">
        <f>IF(COUNT('Turns'!D185)=1,SUM('Turns'!D185),"Unknown")</f>
        <v>3.0</v>
      </c>
      <c r="K72" s="2">
        <f>IF(COUNT('Turns'!E185)=1,SUM('Turns'!E185),"Unknown")</f>
        <v>5.27844e-07</v>
      </c>
      <c r="L72" s="2">
        <f>IF(COUNT('Turns'!F185)=1,SUM('Turns'!F185),"Unknown")</f>
        <v>6e-07</v>
      </c>
      <c r="M72" s="2">
        <f>IF(COUNT('Turns'!D184)=1,SUM('Turns'!D184),"Unknown")</f>
        <v>1520.0</v>
      </c>
      <c r="N72" s="2">
        <f>IF(COUNT('Turns'!E184)=1,SUM('Turns'!E184),"Unknown")</f>
        <v>2.6744096e-05</v>
      </c>
      <c r="O72" s="2">
        <f>IF(COUNT('Turns'!F184)=1,SUM('Turns'!F184),"Unknown")</f>
        <v>3.04e-05</v>
      </c>
      <c r="P72" s="2">
        <f>IF(COUNT('Turns'!D187)=1,SUM('Turns'!D187),"Unknown")</f>
        <v>2734.0</v>
      </c>
      <c r="Q72" s="2">
        <f>IF(COUNT('Turns'!E187)=1,SUM('Turns'!E187),"Unknown")</f>
        <v>0.00060130229</v>
      </c>
      <c r="R72" s="2">
        <f>IF(COUNT('Turns'!F187)=1,SUM('Turns'!F187),"Unknown")</f>
        <v>0.0006835</v>
      </c>
      <c r="S72" s="2">
        <f>IF(COUNT('Turns'!D191)=1,SUM('Turns'!D191),"Unknown")</f>
        <v>188.0</v>
      </c>
      <c r="T72" s="2">
        <f>IF(COUNT('Turns'!E191)=1,SUM('Turns'!E191),"Unknown")</f>
        <v>0.000198469344</v>
      </c>
      <c r="U72" s="2">
        <f>IF(COUNT('Turns'!F191)=1,SUM('Turns'!F191),"Unknown")</f>
        <v>0.0002256</v>
      </c>
      <c r="V72" s="2">
        <f>IF(COUNT('Turns'!D190)=1,SUM('Turns'!D190),"Unknown")</f>
        <v>225.0</v>
      </c>
      <c r="W72" s="2">
        <f>IF(COUNT('Turns'!E190)=1,SUM('Turns'!E190),"Unknown")</f>
        <v>0.0002375298</v>
      </c>
      <c r="X72" s="2">
        <f>IF(COUNT('Turns'!F190)=1,SUM('Turns'!F190),"Unknown")</f>
        <v>0.00027</v>
      </c>
      <c r="Y72" s="2">
        <f>IF(COUNT('Turns'!E195)=1,SUM('Turns'!E195),"Unknown")</f>
        <v>0.001064573374</v>
      </c>
      <c r="Z72" s="2">
        <f>IF(COUNT('Turns'!F195)=1,SUM('Turns'!F195),"Unknown")</f>
        <v>0.0012101</v>
      </c>
      <c r="AA72" s="5">
        <f>IF(ISNUMBER(Y72),ROUND(Y72*'Reference data'!$B$2,0),"Unknown")</f>
        <v>106.0</v>
      </c>
      <c r="AB72" s="5">
        <f>IF(ISNUMBER(Z72),ROUND(Z72*'Reference data'!$B$2,0),"Unknown")</f>
        <v>121.0</v>
      </c>
      <c r="AD72" s="1">
        <v>4383.048</v>
      </c>
      <c r="AE72" s="1" t="s">
        <v>212</v>
      </c>
    </row>
    <row r="73" spans="1:31" ht="54" customHeight="1">
      <c r="A73" s="6" t="s">
        <v>229</v>
      </c>
      <c r="B73" s="1">
        <v>5</v>
      </c>
      <c r="C73" s="1" t="s">
        <v>230</v>
      </c>
      <c r="D73" s="1" t="s">
        <v>95</v>
      </c>
      <c r="E73" s="1" t="s">
        <v>111</v>
      </c>
      <c r="F73" s="1">
        <v>4257</v>
      </c>
      <c r="G73" s="6" t="s">
        <v>231</v>
      </c>
      <c r="H73" t="s">
        <v>184</v>
      </c>
      <c r="I73" t="s">
        <v>298</v>
      </c>
      <c r="J73" s="2">
        <f>IF(COUNT('Turns'!D185)=1,SUM('Turns'!D185),"Unknown")</f>
        <v>3.0</v>
      </c>
      <c r="K73" s="2">
        <f>IF(COUNT('Turns'!E185)=1,SUM('Turns'!E185),"Unknown")</f>
        <v>5.27844e-07</v>
      </c>
      <c r="L73" s="2">
        <f>IF(COUNT('Turns'!F185)=1,SUM('Turns'!F185),"Unknown")</f>
        <v>6e-07</v>
      </c>
      <c r="M73" s="2">
        <f>IF(COUNT('Turns'!D184)=1,SUM('Turns'!D184),"Unknown")</f>
        <v>1520.0</v>
      </c>
      <c r="N73" s="2">
        <f>IF(COUNT('Turns'!E184)=1,SUM('Turns'!E184),"Unknown")</f>
        <v>2.6744096e-05</v>
      </c>
      <c r="O73" s="2">
        <f>IF(COUNT('Turns'!F184)=1,SUM('Turns'!F184),"Unknown")</f>
        <v>3.04e-05</v>
      </c>
      <c r="P73" s="2">
        <f>IF(COUNT('Turns'!D187)=1,SUM('Turns'!D187),"Unknown")</f>
        <v>2734.0</v>
      </c>
      <c r="Q73" s="2">
        <f>IF(COUNT('Turns'!E187)=1,SUM('Turns'!E187),"Unknown")</f>
        <v>0.00060130229</v>
      </c>
      <c r="R73" s="2">
        <f>IF(COUNT('Turns'!F187)=1,SUM('Turns'!F187),"Unknown")</f>
        <v>0.0006835</v>
      </c>
      <c r="S73" s="2">
        <f>IF(COUNT('Turns'!D191)=1,SUM('Turns'!D191),"Unknown")</f>
        <v>188.0</v>
      </c>
      <c r="T73" s="2">
        <f>IF(COUNT('Turns'!E191)=1,SUM('Turns'!E191),"Unknown")</f>
        <v>0.000198469344</v>
      </c>
      <c r="U73" s="2">
        <f>IF(COUNT('Turns'!F191)=1,SUM('Turns'!F191),"Unknown")</f>
        <v>0.0002256</v>
      </c>
      <c r="V73" s="2">
        <f>IF(COUNT('Turns'!D190)=1,SUM('Turns'!D190),"Unknown")</f>
        <v>225.0</v>
      </c>
      <c r="W73" s="2">
        <f>IF(COUNT('Turns'!E190)=1,SUM('Turns'!E190),"Unknown")</f>
        <v>0.0002375298</v>
      </c>
      <c r="X73" s="2">
        <f>IF(COUNT('Turns'!F190)=1,SUM('Turns'!F190),"Unknown")</f>
        <v>0.00027</v>
      </c>
      <c r="Y73" s="2">
        <f>IF(COUNT('Turns'!E195)=1,SUM('Turns'!E195),"Unknown")</f>
        <v>0.001064573374</v>
      </c>
      <c r="Z73" s="2">
        <f>IF(COUNT('Turns'!F195)=1,SUM('Turns'!F195),"Unknown")</f>
        <v>0.0012101</v>
      </c>
      <c r="AA73" s="5">
        <f>IF(ISNUMBER(Y73),ROUND(Y73*'Reference data'!$B$2,0),"Unknown")</f>
        <v>106.0</v>
      </c>
      <c r="AB73" s="5">
        <f>IF(ISNUMBER(Z73),ROUND(Z73*'Reference data'!$B$2,0),"Unknown")</f>
        <v>121.0</v>
      </c>
      <c r="AC73" s="1" t="s">
        <v>183</v>
      </c>
      <c r="AD73" s="1">
        <v>4375.048</v>
      </c>
      <c r="AE73" s="1" t="s">
        <v>232</v>
      </c>
    </row>
    <row r="74" spans="1:31" ht="54" customHeight="1">
      <c r="A74" s="6" t="s">
        <v>299</v>
      </c>
      <c r="B74" s="1">
        <v>2</v>
      </c>
      <c r="C74" s="1" t="s">
        <v>210</v>
      </c>
      <c r="D74" s="1" t="s">
        <v>47</v>
      </c>
      <c r="E74" s="1" t="s">
        <v>111</v>
      </c>
      <c r="G74" s="6" t="s">
        <v>300</v>
      </c>
      <c r="H74" t="s">
        <v>301</v>
      </c>
      <c r="I74" t="s">
        <v>289</v>
      </c>
      <c r="AD74" s="1">
        <v>0.292</v>
      </c>
      <c r="AE74" s="1" t="s">
        <v>225</v>
      </c>
    </row>
    <row r="75" spans="1:31" ht="54" customHeight="1">
      <c r="A75" s="6" t="s">
        <v>302</v>
      </c>
      <c r="B75" s="1">
        <v>1</v>
      </c>
      <c r="C75" s="1" t="s">
        <v>210</v>
      </c>
      <c r="D75" s="1" t="s">
        <v>47</v>
      </c>
      <c r="E75" s="1" t="s">
        <v>111</v>
      </c>
      <c r="G75" s="6" t="s">
        <v>303</v>
      </c>
      <c r="H75" t="s">
        <v>304</v>
      </c>
      <c r="I75" t="s">
        <v>247</v>
      </c>
      <c r="J75" s="2">
        <f>IF(COUNT('Turns'!D197,'Turns'!D214,'Turns'!D228,'Turns'!D244,'Turns'!D260)=5,SUM('Turns'!D197,'Turns'!D214,'Turns'!D228,'Turns'!D244,'Turns'!D260),"Unknown")</f>
        <v>15.0</v>
      </c>
      <c r="K75" s="2">
        <f>IF(COUNT('Turns'!E197,'Turns'!E214,'Turns'!E228,'Turns'!E244,'Turns'!E260)=5,SUM('Turns'!E197,'Turns'!E214,'Turns'!E228,'Turns'!E244,'Turns'!E260),"Unknown")</f>
        <v>2.63922e-06</v>
      </c>
      <c r="L75" s="2">
        <f>IF(COUNT('Turns'!F197,'Turns'!F214,'Turns'!F228,'Turns'!F244,'Turns'!F260)=5,SUM('Turns'!F197,'Turns'!F214,'Turns'!F228,'Turns'!F244,'Turns'!F260),"Unknown")</f>
        <v>3e-06</v>
      </c>
      <c r="M75" s="2">
        <f>IF(COUNT('Turns'!D227,'Turns'!D243,'Turns'!D259)=3,SUM('Turns'!D227,'Turns'!D243,'Turns'!D259),"Unknown")</f>
        <v>12346.0</v>
      </c>
      <c r="N75" s="2">
        <f>IF(COUNT('Turns'!E227,'Turns'!E243,'Turns'!E259)=3,SUM('Turns'!E227,'Turns'!E243,'Turns'!E259),"Unknown")</f>
        <v>0.0002172254008</v>
      </c>
      <c r="O75" s="2">
        <f>IF(COUNT('Turns'!F227,'Turns'!F243,'Turns'!F259)=3,SUM('Turns'!F227,'Turns'!F243,'Turns'!F259),"Unknown")</f>
        <v>0.00024692</v>
      </c>
      <c r="P75" s="2">
        <f>IF(COUNT('Turns'!D201,'Turns'!D217,'Turns'!D230,'Turns'!D246,'Turns'!D262)=5,SUM('Turns'!D201,'Turns'!D217,'Turns'!D230,'Turns'!D246,'Turns'!D262),"Unknown")</f>
        <v>18508.0</v>
      </c>
      <c r="Q75" s="2">
        <f>IF(COUNT('Turns'!E201,'Turns'!E217,'Turns'!E230,'Turns'!E246,'Turns'!E262)=5,SUM('Turns'!E201,'Turns'!E217,'Turns'!E230,'Turns'!E246,'Turns'!E262),"Unknown")</f>
        <v>0.00407055698</v>
      </c>
      <c r="R75" s="2">
        <f>IF(COUNT('Turns'!F201,'Turns'!F217,'Turns'!F230,'Turns'!F246,'Turns'!F262)=5,SUM('Turns'!F201,'Turns'!F217,'Turns'!F230,'Turns'!F246,'Turns'!F262),"Unknown")</f>
        <v>0.004627</v>
      </c>
      <c r="S75" s="2">
        <f>IF(COUNT('Turns'!D205,'Turns'!D221,'Turns'!D234,'Turns'!D250,'Turns'!D266)=5,SUM('Turns'!D205,'Turns'!D221,'Turns'!D234,'Turns'!D250,'Turns'!D266),"Unknown")</f>
        <v>1249.0</v>
      </c>
      <c r="T75" s="2">
        <f>IF(COUNT('Turns'!E205,'Turns'!E221,'Turns'!E234,'Turns'!E250,'Turns'!E266)=5,SUM('Turns'!E205,'Turns'!E221,'Turns'!E234,'Turns'!E250,'Turns'!E266),"Unknown")</f>
        <v>0.001318554312</v>
      </c>
      <c r="U75" s="2">
        <f>IF(COUNT('Turns'!F205,'Turns'!F221,'Turns'!F234,'Turns'!F250,'Turns'!F266)=5,SUM('Turns'!F205,'Turns'!F221,'Turns'!F234,'Turns'!F250,'Turns'!F266),"Unknown")</f>
        <v>0.0014988</v>
      </c>
      <c r="V75" s="2">
        <f>IF(COUNT('Turns'!D204,'Turns'!D220,'Turns'!D233,'Turns'!D249,'Turns'!D265)=5,SUM('Turns'!D204,'Turns'!D220,'Turns'!D233,'Turns'!D249,'Turns'!D265),"Unknown")</f>
        <v>178.0</v>
      </c>
      <c r="W75" s="2">
        <f>IF(COUNT('Turns'!E204,'Turns'!E220,'Turns'!E233,'Turns'!E249,'Turns'!E265)=5,SUM('Turns'!E204,'Turns'!E220,'Turns'!E233,'Turns'!E249,'Turns'!E265),"Unknown")</f>
        <v>0.000187912464</v>
      </c>
      <c r="X75" s="2">
        <f>IF(COUNT('Turns'!F204,'Turns'!F220,'Turns'!F233,'Turns'!F249,'Turns'!F265)=5,SUM('Turns'!F204,'Turns'!F220,'Turns'!F233,'Turns'!F249,'Turns'!F265),"Unknown")</f>
        <v>0.0002136</v>
      </c>
      <c r="Y75" s="2">
        <f>IF(COUNT('Turns'!E209,'Turns'!E225,'Turns'!E238,'Turns'!E254,'Turns'!E270)=5,SUM('Turns'!E209,'Turns'!E225,'Turns'!E238,'Turns'!E254,'Turns'!E270),"Unknown")</f>
        <v>0.0057968883768</v>
      </c>
      <c r="Z75" s="2">
        <f>IF(COUNT('Turns'!F209,'Turns'!F225,'Turns'!F238,'Turns'!F254,'Turns'!F270)=5,SUM('Turns'!F209,'Turns'!F225,'Turns'!F238,'Turns'!F254,'Turns'!F270),"Unknown")</f>
        <v>0.00658932</v>
      </c>
      <c r="AA75" s="5">
        <f>IF(ISNUMBER(Y75),ROUND(Y75*'Reference data'!$B$2,0),"Unknown")</f>
        <v>580.0</v>
      </c>
      <c r="AB75" s="5">
        <f>IF(ISNUMBER(Z75),ROUND(Z75*'Reference data'!$B$2,0),"Unknown")</f>
        <v>659.0</v>
      </c>
      <c r="AD75" s="1">
        <v>15623.483</v>
      </c>
      <c r="AE75" s="1" t="s">
        <v>212</v>
      </c>
    </row>
    <row r="76" spans="1:31" ht="54" customHeight="1">
      <c r="A76" s="6" t="s">
        <v>216</v>
      </c>
      <c r="B76" s="1">
        <v>2</v>
      </c>
      <c r="C76" s="1" t="s">
        <v>210</v>
      </c>
      <c r="D76" s="1" t="s">
        <v>47</v>
      </c>
      <c r="E76" s="1" t="s">
        <v>111</v>
      </c>
      <c r="G76" s="6" t="s">
        <v>217</v>
      </c>
      <c r="H76" t="s">
        <v>305</v>
      </c>
      <c r="I76" t="s">
        <v>304</v>
      </c>
      <c r="J76" s="2">
        <f>IF(COUNT('Turns'!D197,'Turns'!D214,'Turns'!D228,'Turns'!D244,'Turns'!D260)=5,SUM('Turns'!D197,'Turns'!D214,'Turns'!D228,'Turns'!D244,'Turns'!D260),"Unknown")</f>
        <v>15.0</v>
      </c>
      <c r="K76" s="2">
        <f>IF(COUNT('Turns'!E197,'Turns'!E214,'Turns'!E228,'Turns'!E244,'Turns'!E260)=5,SUM('Turns'!E197,'Turns'!E214,'Turns'!E228,'Turns'!E244,'Turns'!E260),"Unknown")</f>
        <v>2.63922e-06</v>
      </c>
      <c r="L76" s="2">
        <f>IF(COUNT('Turns'!F197,'Turns'!F214,'Turns'!F228,'Turns'!F244,'Turns'!F260)=5,SUM('Turns'!F197,'Turns'!F214,'Turns'!F228,'Turns'!F244,'Turns'!F260),"Unknown")</f>
        <v>3e-06</v>
      </c>
      <c r="M76" s="2">
        <f>IF(COUNT('Turns'!D227,'Turns'!D243,'Turns'!D259)=3,SUM('Turns'!D227,'Turns'!D243,'Turns'!D259),"Unknown")</f>
        <v>12346.0</v>
      </c>
      <c r="N76" s="2">
        <f>IF(COUNT('Turns'!E227,'Turns'!E243,'Turns'!E259)=3,SUM('Turns'!E227,'Turns'!E243,'Turns'!E259),"Unknown")</f>
        <v>0.0002172254008</v>
      </c>
      <c r="O76" s="2">
        <f>IF(COUNT('Turns'!F227,'Turns'!F243,'Turns'!F259)=3,SUM('Turns'!F227,'Turns'!F243,'Turns'!F259),"Unknown")</f>
        <v>0.00024692</v>
      </c>
      <c r="P76" s="2">
        <f>IF(COUNT('Turns'!D201,'Turns'!D217,'Turns'!D230,'Turns'!D246,'Turns'!D262)=5,SUM('Turns'!D201,'Turns'!D217,'Turns'!D230,'Turns'!D246,'Turns'!D262),"Unknown")</f>
        <v>18508.0</v>
      </c>
      <c r="Q76" s="2">
        <f>IF(COUNT('Turns'!E201,'Turns'!E217,'Turns'!E230,'Turns'!E246,'Turns'!E262)=5,SUM('Turns'!E201,'Turns'!E217,'Turns'!E230,'Turns'!E246,'Turns'!E262),"Unknown")</f>
        <v>0.00407055698</v>
      </c>
      <c r="R76" s="2">
        <f>IF(COUNT('Turns'!F201,'Turns'!F217,'Turns'!F230,'Turns'!F246,'Turns'!F262)=5,SUM('Turns'!F201,'Turns'!F217,'Turns'!F230,'Turns'!F246,'Turns'!F262),"Unknown")</f>
        <v>0.004627</v>
      </c>
      <c r="S76" s="2">
        <f>IF(COUNT('Turns'!D205,'Turns'!D221,'Turns'!D234,'Turns'!D250,'Turns'!D266)=5,SUM('Turns'!D205,'Turns'!D221,'Turns'!D234,'Turns'!D250,'Turns'!D266),"Unknown")</f>
        <v>1249.0</v>
      </c>
      <c r="T76" s="2">
        <f>IF(COUNT('Turns'!E205,'Turns'!E221,'Turns'!E234,'Turns'!E250,'Turns'!E266)=5,SUM('Turns'!E205,'Turns'!E221,'Turns'!E234,'Turns'!E250,'Turns'!E266),"Unknown")</f>
        <v>0.001318554312</v>
      </c>
      <c r="U76" s="2">
        <f>IF(COUNT('Turns'!F205,'Turns'!F221,'Turns'!F234,'Turns'!F250,'Turns'!F266)=5,SUM('Turns'!F205,'Turns'!F221,'Turns'!F234,'Turns'!F250,'Turns'!F266),"Unknown")</f>
        <v>0.0014988</v>
      </c>
      <c r="V76" s="2">
        <f>IF(COUNT('Turns'!D204,'Turns'!D220,'Turns'!D233,'Turns'!D249,'Turns'!D265)=5,SUM('Turns'!D204,'Turns'!D220,'Turns'!D233,'Turns'!D249,'Turns'!D265),"Unknown")</f>
        <v>178.0</v>
      </c>
      <c r="W76" s="2">
        <f>IF(COUNT('Turns'!E204,'Turns'!E220,'Turns'!E233,'Turns'!E249,'Turns'!E265)=5,SUM('Turns'!E204,'Turns'!E220,'Turns'!E233,'Turns'!E249,'Turns'!E265),"Unknown")</f>
        <v>0.000187912464</v>
      </c>
      <c r="X76" s="2">
        <f>IF(COUNT('Turns'!F204,'Turns'!F220,'Turns'!F233,'Turns'!F249,'Turns'!F265)=5,SUM('Turns'!F204,'Turns'!F220,'Turns'!F233,'Turns'!F249,'Turns'!F265),"Unknown")</f>
        <v>0.0002136</v>
      </c>
      <c r="Y76" s="2">
        <f>IF(COUNT('Turns'!E209,'Turns'!E225,'Turns'!E238,'Turns'!E254,'Turns'!E270)=5,SUM('Turns'!E209,'Turns'!E225,'Turns'!E238,'Turns'!E254,'Turns'!E270),"Unknown")</f>
        <v>0.0057968883768</v>
      </c>
      <c r="Z76" s="2">
        <f>IF(COUNT('Turns'!F209,'Turns'!F225,'Turns'!F238,'Turns'!F254,'Turns'!F270)=5,SUM('Turns'!F209,'Turns'!F225,'Turns'!F238,'Turns'!F254,'Turns'!F270),"Unknown")</f>
        <v>0.00658932</v>
      </c>
      <c r="AA76" s="5">
        <f>IF(ISNUMBER(Y76),ROUND(Y76*'Reference data'!$B$2,0),"Unknown")</f>
        <v>580.0</v>
      </c>
      <c r="AB76" s="5">
        <f>IF(ISNUMBER(Z76),ROUND(Z76*'Reference data'!$B$2,0),"Unknown")</f>
        <v>659.0</v>
      </c>
      <c r="AD76" s="1">
        <v>15622.003</v>
      </c>
      <c r="AE76" s="1" t="s">
        <v>212</v>
      </c>
    </row>
    <row r="77" spans="1:31" ht="54" customHeight="1">
      <c r="A77" s="6" t="s">
        <v>219</v>
      </c>
      <c r="B77" s="1">
        <v>3</v>
      </c>
      <c r="C77" s="1" t="s">
        <v>210</v>
      </c>
      <c r="D77" s="1" t="s">
        <v>47</v>
      </c>
      <c r="E77" s="1" t="s">
        <v>111</v>
      </c>
      <c r="G77" s="6" t="s">
        <v>220</v>
      </c>
      <c r="H77" t="s">
        <v>306</v>
      </c>
      <c r="I77" t="s">
        <v>305</v>
      </c>
      <c r="J77" s="2">
        <f>IF(COUNT('Turns'!D197,'Turns'!D214,'Turns'!D228,'Turns'!D244,'Turns'!D260)=5,SUM('Turns'!D197,'Turns'!D214,'Turns'!D228,'Turns'!D244,'Turns'!D260),"Unknown")</f>
        <v>15.0</v>
      </c>
      <c r="K77" s="2">
        <f>IF(COUNT('Turns'!E197,'Turns'!E214,'Turns'!E228,'Turns'!E244,'Turns'!E260)=5,SUM('Turns'!E197,'Turns'!E214,'Turns'!E228,'Turns'!E244,'Turns'!E260),"Unknown")</f>
        <v>2.63922e-06</v>
      </c>
      <c r="L77" s="2">
        <f>IF(COUNT('Turns'!F197,'Turns'!F214,'Turns'!F228,'Turns'!F244,'Turns'!F260)=5,SUM('Turns'!F197,'Turns'!F214,'Turns'!F228,'Turns'!F244,'Turns'!F260),"Unknown")</f>
        <v>3e-06</v>
      </c>
      <c r="M77" s="2">
        <f>IF(COUNT('Turns'!D227,'Turns'!D243,'Turns'!D259)=3,SUM('Turns'!D227,'Turns'!D243,'Turns'!D259),"Unknown")</f>
        <v>12346.0</v>
      </c>
      <c r="N77" s="2">
        <f>IF(COUNT('Turns'!E227,'Turns'!E243,'Turns'!E259)=3,SUM('Turns'!E227,'Turns'!E243,'Turns'!E259),"Unknown")</f>
        <v>0.0002172254008</v>
      </c>
      <c r="O77" s="2">
        <f>IF(COUNT('Turns'!F227,'Turns'!F243,'Turns'!F259)=3,SUM('Turns'!F227,'Turns'!F243,'Turns'!F259),"Unknown")</f>
        <v>0.00024692</v>
      </c>
      <c r="P77" s="2">
        <f>IF(COUNT('Turns'!D201,'Turns'!D217,'Turns'!D230,'Turns'!D246,'Turns'!D262)=5,SUM('Turns'!D201,'Turns'!D217,'Turns'!D230,'Turns'!D246,'Turns'!D262),"Unknown")</f>
        <v>18508.0</v>
      </c>
      <c r="Q77" s="2">
        <f>IF(COUNT('Turns'!E201,'Turns'!E217,'Turns'!E230,'Turns'!E246,'Turns'!E262)=5,SUM('Turns'!E201,'Turns'!E217,'Turns'!E230,'Turns'!E246,'Turns'!E262),"Unknown")</f>
        <v>0.00407055698</v>
      </c>
      <c r="R77" s="2">
        <f>IF(COUNT('Turns'!F201,'Turns'!F217,'Turns'!F230,'Turns'!F246,'Turns'!F262)=5,SUM('Turns'!F201,'Turns'!F217,'Turns'!F230,'Turns'!F246,'Turns'!F262),"Unknown")</f>
        <v>0.004627</v>
      </c>
      <c r="S77" s="2">
        <f>IF(COUNT('Turns'!D205,'Turns'!D221,'Turns'!D234,'Turns'!D250,'Turns'!D266)=5,SUM('Turns'!D205,'Turns'!D221,'Turns'!D234,'Turns'!D250,'Turns'!D266),"Unknown")</f>
        <v>1249.0</v>
      </c>
      <c r="T77" s="2">
        <f>IF(COUNT('Turns'!E205,'Turns'!E221,'Turns'!E234,'Turns'!E250,'Turns'!E266)=5,SUM('Turns'!E205,'Turns'!E221,'Turns'!E234,'Turns'!E250,'Turns'!E266),"Unknown")</f>
        <v>0.001318554312</v>
      </c>
      <c r="U77" s="2">
        <f>IF(COUNT('Turns'!F205,'Turns'!F221,'Turns'!F234,'Turns'!F250,'Turns'!F266)=5,SUM('Turns'!F205,'Turns'!F221,'Turns'!F234,'Turns'!F250,'Turns'!F266),"Unknown")</f>
        <v>0.0014988</v>
      </c>
      <c r="V77" s="2">
        <f>IF(COUNT('Turns'!D204,'Turns'!D220,'Turns'!D233,'Turns'!D249,'Turns'!D265)=5,SUM('Turns'!D204,'Turns'!D220,'Turns'!D233,'Turns'!D249,'Turns'!D265),"Unknown")</f>
        <v>178.0</v>
      </c>
      <c r="W77" s="2">
        <f>IF(COUNT('Turns'!E204,'Turns'!E220,'Turns'!E233,'Turns'!E249,'Turns'!E265)=5,SUM('Turns'!E204,'Turns'!E220,'Turns'!E233,'Turns'!E249,'Turns'!E265),"Unknown")</f>
        <v>0.000187912464</v>
      </c>
      <c r="X77" s="2">
        <f>IF(COUNT('Turns'!F204,'Turns'!F220,'Turns'!F233,'Turns'!F249,'Turns'!F265)=5,SUM('Turns'!F204,'Turns'!F220,'Turns'!F233,'Turns'!F249,'Turns'!F265),"Unknown")</f>
        <v>0.0002136</v>
      </c>
      <c r="Y77" s="2">
        <f>IF(COUNT('Turns'!E209,'Turns'!E225,'Turns'!E238,'Turns'!E254,'Turns'!E270)=5,SUM('Turns'!E209,'Turns'!E225,'Turns'!E238,'Turns'!E254,'Turns'!E270),"Unknown")</f>
        <v>0.0057968883768</v>
      </c>
      <c r="Z77" s="2">
        <f>IF(COUNT('Turns'!F209,'Turns'!F225,'Turns'!F238,'Turns'!F254,'Turns'!F270)=5,SUM('Turns'!F209,'Turns'!F225,'Turns'!F238,'Turns'!F254,'Turns'!F270),"Unknown")</f>
        <v>0.00658932</v>
      </c>
      <c r="AA77" s="5">
        <f>IF(ISNUMBER(Y77),ROUND(Y77*'Reference data'!$B$2,0),"Unknown")</f>
        <v>580.0</v>
      </c>
      <c r="AB77" s="5">
        <f>IF(ISNUMBER(Z77),ROUND(Z77*'Reference data'!$B$2,0),"Unknown")</f>
        <v>659.0</v>
      </c>
      <c r="AD77" s="1">
        <v>15620.924</v>
      </c>
      <c r="AE77" s="1" t="s">
        <v>212</v>
      </c>
    </row>
    <row r="78" spans="1:31" ht="54" customHeight="1">
      <c r="A78" s="6" t="s">
        <v>222</v>
      </c>
      <c r="B78" s="1">
        <v>4</v>
      </c>
      <c r="C78" s="1" t="s">
        <v>210</v>
      </c>
      <c r="D78" s="1" t="s">
        <v>47</v>
      </c>
      <c r="E78" s="1" t="s">
        <v>111</v>
      </c>
      <c r="G78" s="6" t="s">
        <v>223</v>
      </c>
      <c r="H78" t="s">
        <v>307</v>
      </c>
      <c r="I78" t="s">
        <v>306</v>
      </c>
      <c r="AD78" s="1">
        <v>0.907</v>
      </c>
      <c r="AE78" s="1" t="s">
        <v>225</v>
      </c>
    </row>
    <row r="79" spans="1:31" ht="54" customHeight="1">
      <c r="A79" s="6" t="s">
        <v>226</v>
      </c>
      <c r="B79" s="1">
        <v>4</v>
      </c>
      <c r="C79" s="1" t="s">
        <v>210</v>
      </c>
      <c r="D79" s="1" t="s">
        <v>47</v>
      </c>
      <c r="E79" s="1" t="s">
        <v>111</v>
      </c>
      <c r="G79" s="6" t="s">
        <v>227</v>
      </c>
      <c r="H79" t="s">
        <v>308</v>
      </c>
      <c r="I79" t="s">
        <v>306</v>
      </c>
      <c r="J79" s="2">
        <f>IF(COUNT('Turns'!D197)=1,SUM('Turns'!D197),"Unknown")</f>
        <v>3.0</v>
      </c>
      <c r="K79" s="2">
        <f>IF(COUNT('Turns'!E197)=1,SUM('Turns'!E197),"Unknown")</f>
        <v>5.27844e-07</v>
      </c>
      <c r="L79" s="2">
        <f>IF(COUNT('Turns'!F197)=1,SUM('Turns'!F197),"Unknown")</f>
        <v>6e-07</v>
      </c>
      <c r="M79" s="2">
        <v>0</v>
      </c>
      <c r="N79" s="2">
        <v>0</v>
      </c>
      <c r="O79" s="2">
        <v>0</v>
      </c>
      <c r="P79" s="2">
        <f>IF(COUNT('Turns'!D201)=1,SUM('Turns'!D201),"Unknown")</f>
        <v>8098.0</v>
      </c>
      <c r="Q79" s="2">
        <f>IF(COUNT('Turns'!E201)=1,SUM('Turns'!E201),"Unknown")</f>
        <v>0.00178103363</v>
      </c>
      <c r="R79" s="2">
        <f>IF(COUNT('Turns'!F201)=1,SUM('Turns'!F201),"Unknown")</f>
        <v>0.0020245</v>
      </c>
      <c r="S79" s="2">
        <f>IF(COUNT('Turns'!D205)=1,SUM('Turns'!D205),"Unknown")</f>
        <v>31.0</v>
      </c>
      <c r="T79" s="2">
        <f>IF(COUNT('Turns'!E205)=1,SUM('Turns'!E205),"Unknown")</f>
        <v>3.2726328e-05</v>
      </c>
      <c r="U79" s="2">
        <f>IF(COUNT('Turns'!F205)=1,SUM('Turns'!F205),"Unknown")</f>
        <v>3.72e-05</v>
      </c>
      <c r="V79" s="2">
        <f>IF(COUNT('Turns'!D204)=1,SUM('Turns'!D204),"Unknown")</f>
        <v>54.0</v>
      </c>
      <c r="W79" s="2">
        <f>IF(COUNT('Turns'!E204)=1,SUM('Turns'!E204),"Unknown")</f>
        <v>5.7007152e-05</v>
      </c>
      <c r="X79" s="2">
        <f>IF(COUNT('Turns'!F204)=1,SUM('Turns'!F204),"Unknown")</f>
        <v>6.48e-05</v>
      </c>
      <c r="Y79" s="2">
        <f>IF(COUNT('Turns'!E209)=1,SUM('Turns'!E209),"Unknown")</f>
        <v>0.001871294954</v>
      </c>
      <c r="Z79" s="2">
        <f>IF(COUNT('Turns'!F209)=1,SUM('Turns'!F209),"Unknown")</f>
        <v>0.0021271</v>
      </c>
      <c r="AA79" s="5">
        <f>IF(ISNUMBER(Y79),ROUND(Y79*'Reference data'!$B$2,0),"Unknown")</f>
        <v>187.0</v>
      </c>
      <c r="AB79" s="5">
        <f>IF(ISNUMBER(Z79),ROUND(Z79*'Reference data'!$B$2,0),"Unknown")</f>
        <v>213.0</v>
      </c>
      <c r="AD79" s="1">
        <v>1523.175</v>
      </c>
      <c r="AE79" s="1" t="s">
        <v>212</v>
      </c>
    </row>
    <row r="80" spans="1:31" ht="54" customHeight="1">
      <c r="A80" s="6" t="s">
        <v>229</v>
      </c>
      <c r="B80" s="1">
        <v>5</v>
      </c>
      <c r="C80" s="1" t="s">
        <v>230</v>
      </c>
      <c r="D80" s="1" t="s">
        <v>95</v>
      </c>
      <c r="E80" s="1" t="s">
        <v>111</v>
      </c>
      <c r="F80" s="1">
        <v>8101</v>
      </c>
      <c r="G80" s="6" t="s">
        <v>231</v>
      </c>
      <c r="H80" t="s">
        <v>188</v>
      </c>
      <c r="I80" t="s">
        <v>308</v>
      </c>
      <c r="J80" s="2">
        <f>IF(COUNT('Turns'!D197)=1,SUM('Turns'!D197),"Unknown")</f>
        <v>3.0</v>
      </c>
      <c r="K80" s="2">
        <f>IF(COUNT('Turns'!E197)=1,SUM('Turns'!E197),"Unknown")</f>
        <v>5.27844e-07</v>
      </c>
      <c r="L80" s="2">
        <f>IF(COUNT('Turns'!F197)=1,SUM('Turns'!F197),"Unknown")</f>
        <v>6e-07</v>
      </c>
      <c r="M80" s="2">
        <v>0</v>
      </c>
      <c r="N80" s="2">
        <v>0</v>
      </c>
      <c r="O80" s="2">
        <v>0</v>
      </c>
      <c r="P80" s="2">
        <f>IF(COUNT('Turns'!D201)=1,SUM('Turns'!D201),"Unknown")</f>
        <v>8098.0</v>
      </c>
      <c r="Q80" s="2">
        <f>IF(COUNT('Turns'!E201)=1,SUM('Turns'!E201),"Unknown")</f>
        <v>0.00178103363</v>
      </c>
      <c r="R80" s="2">
        <f>IF(COUNT('Turns'!F201)=1,SUM('Turns'!F201),"Unknown")</f>
        <v>0.0020245</v>
      </c>
      <c r="S80" s="2">
        <f>IF(COUNT('Turns'!D205)=1,SUM('Turns'!D205),"Unknown")</f>
        <v>31.0</v>
      </c>
      <c r="T80" s="2">
        <f>IF(COUNT('Turns'!E205)=1,SUM('Turns'!E205),"Unknown")</f>
        <v>3.2726328e-05</v>
      </c>
      <c r="U80" s="2">
        <f>IF(COUNT('Turns'!F205)=1,SUM('Turns'!F205),"Unknown")</f>
        <v>3.72e-05</v>
      </c>
      <c r="V80" s="2">
        <f>IF(COUNT('Turns'!D204)=1,SUM('Turns'!D204),"Unknown")</f>
        <v>54.0</v>
      </c>
      <c r="W80" s="2">
        <f>IF(COUNT('Turns'!E204)=1,SUM('Turns'!E204),"Unknown")</f>
        <v>5.7007152e-05</v>
      </c>
      <c r="X80" s="2">
        <f>IF(COUNT('Turns'!F204)=1,SUM('Turns'!F204),"Unknown")</f>
        <v>6.48e-05</v>
      </c>
      <c r="Y80" s="2">
        <f>IF(COUNT('Turns'!E209)=1,SUM('Turns'!E209),"Unknown")</f>
        <v>0.001871294954</v>
      </c>
      <c r="Z80" s="2">
        <f>IF(COUNT('Turns'!F209)=1,SUM('Turns'!F209),"Unknown")</f>
        <v>0.0021271</v>
      </c>
      <c r="AA80" s="5">
        <f>IF(ISNUMBER(Y80),ROUND(Y80*'Reference data'!$B$2,0),"Unknown")</f>
        <v>187.0</v>
      </c>
      <c r="AB80" s="5">
        <f>IF(ISNUMBER(Z80),ROUND(Z80*'Reference data'!$B$2,0),"Unknown")</f>
        <v>213.0</v>
      </c>
      <c r="AC80" s="1" t="s">
        <v>187</v>
      </c>
      <c r="AD80" s="1">
        <v>1520.238</v>
      </c>
      <c r="AE80" s="1" t="s">
        <v>232</v>
      </c>
    </row>
    <row r="81" spans="1:31" ht="54" customHeight="1">
      <c r="A81" s="6" t="s">
        <v>233</v>
      </c>
      <c r="B81" s="1">
        <v>4</v>
      </c>
      <c r="C81" s="1" t="s">
        <v>210</v>
      </c>
      <c r="D81" s="1" t="s">
        <v>47</v>
      </c>
      <c r="E81" s="1" t="s">
        <v>111</v>
      </c>
      <c r="G81" s="6" t="s">
        <v>234</v>
      </c>
      <c r="H81" t="s">
        <v>309</v>
      </c>
      <c r="I81" t="s">
        <v>306</v>
      </c>
      <c r="AD81" s="1">
        <v>3.199</v>
      </c>
      <c r="AE81" s="1" t="s">
        <v>225</v>
      </c>
    </row>
    <row r="82" spans="1:31" ht="54" customHeight="1">
      <c r="A82" s="6" t="s">
        <v>236</v>
      </c>
      <c r="B82" s="1">
        <v>5</v>
      </c>
      <c r="C82" s="1" t="s">
        <v>237</v>
      </c>
      <c r="D82" s="1" t="s">
        <v>47</v>
      </c>
      <c r="E82" s="1" t="s">
        <v>111</v>
      </c>
      <c r="G82" s="6" t="s">
        <v>238</v>
      </c>
      <c r="H82" t="s">
        <v>192</v>
      </c>
      <c r="I82" t="s">
        <v>309</v>
      </c>
      <c r="AD82" s="1">
        <v>1.753</v>
      </c>
      <c r="AE82" s="1" t="s">
        <v>225</v>
      </c>
    </row>
    <row r="83" spans="1:31" ht="54" customHeight="1">
      <c r="A83" s="6" t="s">
        <v>222</v>
      </c>
      <c r="B83" s="1">
        <v>4</v>
      </c>
      <c r="C83" s="1" t="s">
        <v>210</v>
      </c>
      <c r="D83" s="1" t="s">
        <v>47</v>
      </c>
      <c r="E83" s="1" t="s">
        <v>111</v>
      </c>
      <c r="G83" s="6" t="s">
        <v>310</v>
      </c>
      <c r="H83" t="s">
        <v>311</v>
      </c>
      <c r="I83" t="s">
        <v>306</v>
      </c>
      <c r="J83" s="2">
        <f>IF(COUNT('Turns'!D214)=1,SUM('Turns'!D214),"Unknown")</f>
        <v>3.0</v>
      </c>
      <c r="K83" s="2">
        <f>IF(COUNT('Turns'!E214)=1,SUM('Turns'!E214),"Unknown")</f>
        <v>5.27844e-07</v>
      </c>
      <c r="L83" s="2">
        <f>IF(COUNT('Turns'!F214)=1,SUM('Turns'!F214),"Unknown")</f>
        <v>6e-07</v>
      </c>
      <c r="M83" s="2">
        <v>0</v>
      </c>
      <c r="N83" s="2">
        <v>0</v>
      </c>
      <c r="O83" s="2">
        <v>0</v>
      </c>
      <c r="P83" s="2">
        <f>IF(COUNT('Turns'!D217)=1,SUM('Turns'!D217),"Unknown")</f>
        <v>5868.0</v>
      </c>
      <c r="Q83" s="2">
        <f>IF(COUNT('Turns'!E217)=1,SUM('Turns'!E217),"Unknown")</f>
        <v>0.00129057858</v>
      </c>
      <c r="R83" s="2">
        <f>IF(COUNT('Turns'!F217)=1,SUM('Turns'!F217),"Unknown")</f>
        <v>0.001467</v>
      </c>
      <c r="S83" s="2">
        <f>IF(COUNT('Turns'!D221)=1,SUM('Turns'!D221),"Unknown")</f>
        <v>851.0</v>
      </c>
      <c r="T83" s="2">
        <f>IF(COUNT('Turns'!E221)=1,SUM('Turns'!E221),"Unknown")</f>
        <v>0.000898390488</v>
      </c>
      <c r="U83" s="2">
        <f>IF(COUNT('Turns'!F221)=1,SUM('Turns'!F221),"Unknown")</f>
        <v>0.0010212</v>
      </c>
      <c r="V83" s="2">
        <f>IF(COUNT('Turns'!D220)=1,SUM('Turns'!D220),"Unknown")</f>
        <v>66.0</v>
      </c>
      <c r="W83" s="2">
        <f>IF(COUNT('Turns'!E220)=1,SUM('Turns'!E220),"Unknown")</f>
        <v>6.9675408e-05</v>
      </c>
      <c r="X83" s="2">
        <f>IF(COUNT('Turns'!F220)=1,SUM('Turns'!F220),"Unknown")</f>
        <v>7.92e-05</v>
      </c>
      <c r="Y83" s="2">
        <f>IF(COUNT('Turns'!E225)=1,SUM('Turns'!E225),"Unknown")</f>
        <v>0.00225917232</v>
      </c>
      <c r="Z83" s="2">
        <f>IF(COUNT('Turns'!F225)=1,SUM('Turns'!F225),"Unknown")</f>
        <v>0.002568</v>
      </c>
      <c r="AA83" s="5">
        <f>IF(ISNUMBER(Y83),ROUND(Y83*'Reference data'!$B$2,0),"Unknown")</f>
        <v>226.0</v>
      </c>
      <c r="AB83" s="5">
        <f>IF(ISNUMBER(Z83),ROUND(Z83*'Reference data'!$B$2,0),"Unknown")</f>
        <v>257.0</v>
      </c>
      <c r="AD83" s="1">
        <v>7178.378</v>
      </c>
      <c r="AE83" s="1" t="s">
        <v>212</v>
      </c>
    </row>
    <row r="84" spans="1:31" ht="54" customHeight="1">
      <c r="A84" s="6" t="s">
        <v>276</v>
      </c>
      <c r="B84" s="1">
        <v>5</v>
      </c>
      <c r="C84" s="1" t="s">
        <v>210</v>
      </c>
      <c r="D84" s="1" t="s">
        <v>47</v>
      </c>
      <c r="E84" s="1" t="s">
        <v>111</v>
      </c>
      <c r="G84" s="6" t="s">
        <v>277</v>
      </c>
      <c r="H84" t="s">
        <v>312</v>
      </c>
      <c r="I84" t="s">
        <v>311</v>
      </c>
      <c r="J84" s="2">
        <f>IF(COUNT('Turns'!D214)=1,SUM('Turns'!D214),"Unknown")</f>
        <v>3.0</v>
      </c>
      <c r="K84" s="2">
        <f>IF(COUNT('Turns'!E214)=1,SUM('Turns'!E214),"Unknown")</f>
        <v>5.27844e-07</v>
      </c>
      <c r="L84" s="2">
        <f>IF(COUNT('Turns'!F214)=1,SUM('Turns'!F214),"Unknown")</f>
        <v>6e-07</v>
      </c>
      <c r="M84" s="2">
        <v>0</v>
      </c>
      <c r="N84" s="2">
        <v>0</v>
      </c>
      <c r="O84" s="2">
        <v>0</v>
      </c>
      <c r="P84" s="2">
        <f>IF(COUNT('Turns'!D217)=1,SUM('Turns'!D217),"Unknown")</f>
        <v>5868.0</v>
      </c>
      <c r="Q84" s="2">
        <f>IF(COUNT('Turns'!E217)=1,SUM('Turns'!E217),"Unknown")</f>
        <v>0.00129057858</v>
      </c>
      <c r="R84" s="2">
        <f>IF(COUNT('Turns'!F217)=1,SUM('Turns'!F217),"Unknown")</f>
        <v>0.001467</v>
      </c>
      <c r="S84" s="2">
        <f>IF(COUNT('Turns'!D221)=1,SUM('Turns'!D221),"Unknown")</f>
        <v>851.0</v>
      </c>
      <c r="T84" s="2">
        <f>IF(COUNT('Turns'!E221)=1,SUM('Turns'!E221),"Unknown")</f>
        <v>0.000898390488</v>
      </c>
      <c r="U84" s="2">
        <f>IF(COUNT('Turns'!F221)=1,SUM('Turns'!F221),"Unknown")</f>
        <v>0.0010212</v>
      </c>
      <c r="V84" s="2">
        <f>IF(COUNT('Turns'!D220)=1,SUM('Turns'!D220),"Unknown")</f>
        <v>66.0</v>
      </c>
      <c r="W84" s="2">
        <f>IF(COUNT('Turns'!E220)=1,SUM('Turns'!E220),"Unknown")</f>
        <v>6.9675408e-05</v>
      </c>
      <c r="X84" s="2">
        <f>IF(COUNT('Turns'!F220)=1,SUM('Turns'!F220),"Unknown")</f>
        <v>7.92e-05</v>
      </c>
      <c r="Y84" s="2">
        <f>IF(COUNT('Turns'!E225)=1,SUM('Turns'!E225),"Unknown")</f>
        <v>0.00225917232</v>
      </c>
      <c r="Z84" s="2">
        <f>IF(COUNT('Turns'!F225)=1,SUM('Turns'!F225),"Unknown")</f>
        <v>0.002568</v>
      </c>
      <c r="AA84" s="5">
        <f>IF(ISNUMBER(Y84),ROUND(Y84*'Reference data'!$B$2,0),"Unknown")</f>
        <v>226.0</v>
      </c>
      <c r="AB84" s="5">
        <f>IF(ISNUMBER(Z84),ROUND(Z84*'Reference data'!$B$2,0),"Unknown")</f>
        <v>257.0</v>
      </c>
      <c r="AD84" s="1">
        <v>7176.183</v>
      </c>
      <c r="AE84" s="1" t="s">
        <v>212</v>
      </c>
    </row>
    <row r="85" spans="1:31" ht="54" customHeight="1">
      <c r="A85" s="6" t="s">
        <v>279</v>
      </c>
      <c r="B85" s="1">
        <v>6</v>
      </c>
      <c r="C85" s="1" t="s">
        <v>230</v>
      </c>
      <c r="D85" s="1" t="s">
        <v>95</v>
      </c>
      <c r="E85" s="1" t="s">
        <v>111</v>
      </c>
      <c r="F85" s="1">
        <v>5871</v>
      </c>
      <c r="G85" s="6" t="s">
        <v>231</v>
      </c>
      <c r="H85" t="s">
        <v>194</v>
      </c>
      <c r="I85" t="s">
        <v>312</v>
      </c>
      <c r="J85" s="2">
        <f>IF(COUNT('Turns'!D214)=1,SUM('Turns'!D214),"Unknown")</f>
        <v>3.0</v>
      </c>
      <c r="K85" s="2">
        <f>IF(COUNT('Turns'!E214)=1,SUM('Turns'!E214),"Unknown")</f>
        <v>5.27844e-07</v>
      </c>
      <c r="L85" s="2">
        <f>IF(COUNT('Turns'!F214)=1,SUM('Turns'!F214),"Unknown")</f>
        <v>6e-07</v>
      </c>
      <c r="M85" s="2">
        <v>0</v>
      </c>
      <c r="N85" s="2">
        <v>0</v>
      </c>
      <c r="O85" s="2">
        <v>0</v>
      </c>
      <c r="P85" s="2">
        <f>IF(COUNT('Turns'!D217)=1,SUM('Turns'!D217),"Unknown")</f>
        <v>5868.0</v>
      </c>
      <c r="Q85" s="2">
        <f>IF(COUNT('Turns'!E217)=1,SUM('Turns'!E217),"Unknown")</f>
        <v>0.00129057858</v>
      </c>
      <c r="R85" s="2">
        <f>IF(COUNT('Turns'!F217)=1,SUM('Turns'!F217),"Unknown")</f>
        <v>0.001467</v>
      </c>
      <c r="S85" s="2">
        <f>IF(COUNT('Turns'!D221)=1,SUM('Turns'!D221),"Unknown")</f>
        <v>851.0</v>
      </c>
      <c r="T85" s="2">
        <f>IF(COUNT('Turns'!E221)=1,SUM('Turns'!E221),"Unknown")</f>
        <v>0.000898390488</v>
      </c>
      <c r="U85" s="2">
        <f>IF(COUNT('Turns'!F221)=1,SUM('Turns'!F221),"Unknown")</f>
        <v>0.0010212</v>
      </c>
      <c r="V85" s="2">
        <f>IF(COUNT('Turns'!D220)=1,SUM('Turns'!D220),"Unknown")</f>
        <v>66.0</v>
      </c>
      <c r="W85" s="2">
        <f>IF(COUNT('Turns'!E220)=1,SUM('Turns'!E220),"Unknown")</f>
        <v>6.9675408e-05</v>
      </c>
      <c r="X85" s="2">
        <f>IF(COUNT('Turns'!F220)=1,SUM('Turns'!F220),"Unknown")</f>
        <v>7.92e-05</v>
      </c>
      <c r="Y85" s="2">
        <f>IF(COUNT('Turns'!E225)=1,SUM('Turns'!E225),"Unknown")</f>
        <v>0.00225917232</v>
      </c>
      <c r="Z85" s="2">
        <f>IF(COUNT('Turns'!F225)=1,SUM('Turns'!F225),"Unknown")</f>
        <v>0.002568</v>
      </c>
      <c r="AA85" s="5">
        <f>IF(ISNUMBER(Y85),ROUND(Y85*'Reference data'!$B$2,0),"Unknown")</f>
        <v>226.0</v>
      </c>
      <c r="AB85" s="5">
        <f>IF(ISNUMBER(Z85),ROUND(Z85*'Reference data'!$B$2,0),"Unknown")</f>
        <v>257.0</v>
      </c>
      <c r="AC85" s="1" t="s">
        <v>193</v>
      </c>
      <c r="AD85" s="1">
        <v>7174.406</v>
      </c>
      <c r="AE85" s="1" t="s">
        <v>232</v>
      </c>
    </row>
    <row r="86" spans="1:31" ht="54" customHeight="1">
      <c r="A86" s="6" t="s">
        <v>226</v>
      </c>
      <c r="B86" s="1">
        <v>4</v>
      </c>
      <c r="C86" s="1" t="s">
        <v>210</v>
      </c>
      <c r="D86" s="1" t="s">
        <v>47</v>
      </c>
      <c r="E86" s="1" t="s">
        <v>111</v>
      </c>
      <c r="G86" s="6" t="s">
        <v>227</v>
      </c>
      <c r="H86" t="s">
        <v>313</v>
      </c>
      <c r="I86" t="s">
        <v>306</v>
      </c>
      <c r="J86" s="2">
        <f>IF(COUNT('Turns'!D228)=1,SUM('Turns'!D228),"Unknown")</f>
        <v>3.0</v>
      </c>
      <c r="K86" s="2">
        <f>IF(COUNT('Turns'!E228)=1,SUM('Turns'!E228),"Unknown")</f>
        <v>5.27844e-07</v>
      </c>
      <c r="L86" s="2">
        <f>IF(COUNT('Turns'!F228)=1,SUM('Turns'!F228),"Unknown")</f>
        <v>6e-07</v>
      </c>
      <c r="M86" s="2">
        <f>IF(COUNT('Turns'!D227)=1,SUM('Turns'!D227),"Unknown")</f>
        <v>2340.0</v>
      </c>
      <c r="N86" s="2">
        <f>IF(COUNT('Turns'!E227)=1,SUM('Turns'!E227),"Unknown")</f>
        <v>4.1171832e-05</v>
      </c>
      <c r="O86" s="2">
        <f>IF(COUNT('Turns'!F227)=1,SUM('Turns'!F227),"Unknown")</f>
        <v>4.68e-05</v>
      </c>
      <c r="P86" s="2">
        <f>IF(COUNT('Turns'!D230)=1,SUM('Turns'!D230),"Unknown")</f>
        <v>2513.0</v>
      </c>
      <c r="Q86" s="2">
        <f>IF(COUNT('Turns'!E230)=1,SUM('Turns'!E230),"Unknown")</f>
        <v>0.000552696655</v>
      </c>
      <c r="R86" s="2">
        <f>IF(COUNT('Turns'!F230)=1,SUM('Turns'!F230),"Unknown")</f>
        <v>0.00062825</v>
      </c>
      <c r="S86" s="2">
        <f>IF(COUNT('Turns'!D234)=1,SUM('Turns'!D234),"Unknown")</f>
        <v>259.0</v>
      </c>
      <c r="T86" s="2">
        <f>IF(COUNT('Turns'!E234)=1,SUM('Turns'!E234),"Unknown")</f>
        <v>0.000273423192</v>
      </c>
      <c r="U86" s="2">
        <f>IF(COUNT('Turns'!F234)=1,SUM('Turns'!F234),"Unknown")</f>
        <v>0.0003108</v>
      </c>
      <c r="V86" s="2">
        <f>IF(COUNT('Turns'!D233)=1,SUM('Turns'!D233),"Unknown")</f>
        <v>17.0</v>
      </c>
      <c r="W86" s="2">
        <f>IF(COUNT('Turns'!E233)=1,SUM('Turns'!E233),"Unknown")</f>
        <v>1.7946696e-05</v>
      </c>
      <c r="X86" s="2">
        <f>IF(COUNT('Turns'!F233)=1,SUM('Turns'!F233),"Unknown")</f>
        <v>2.04e-05</v>
      </c>
      <c r="Y86" s="2">
        <f>IF(COUNT('Turns'!E238)=1,SUM('Turns'!E238),"Unknown")</f>
        <v>0.000885766219</v>
      </c>
      <c r="Z86" s="2">
        <f>IF(COUNT('Turns'!F238)=1,SUM('Turns'!F238),"Unknown")</f>
        <v>0.00100685</v>
      </c>
      <c r="AA86" s="5">
        <f>IF(ISNUMBER(Y86),ROUND(Y86*'Reference data'!$B$2,0),"Unknown")</f>
        <v>89.0</v>
      </c>
      <c r="AB86" s="5">
        <f>IF(ISNUMBER(Z86),ROUND(Z86*'Reference data'!$B$2,0),"Unknown")</f>
        <v>101.0</v>
      </c>
      <c r="AD86" s="1">
        <v>3330.526</v>
      </c>
      <c r="AE86" s="1" t="s">
        <v>212</v>
      </c>
    </row>
    <row r="87" spans="1:31" ht="54" customHeight="1">
      <c r="A87" s="6" t="s">
        <v>229</v>
      </c>
      <c r="B87" s="1">
        <v>5</v>
      </c>
      <c r="C87" s="1" t="s">
        <v>230</v>
      </c>
      <c r="D87" s="1" t="s">
        <v>95</v>
      </c>
      <c r="E87" s="1" t="s">
        <v>111</v>
      </c>
      <c r="F87" s="1">
        <v>4856</v>
      </c>
      <c r="G87" s="6" t="s">
        <v>231</v>
      </c>
      <c r="H87" t="s">
        <v>197</v>
      </c>
      <c r="I87" t="s">
        <v>313</v>
      </c>
      <c r="J87" s="2">
        <f>IF(COUNT('Turns'!D228)=1,SUM('Turns'!D228),"Unknown")</f>
        <v>3.0</v>
      </c>
      <c r="K87" s="2">
        <f>IF(COUNT('Turns'!E228)=1,SUM('Turns'!E228),"Unknown")</f>
        <v>5.27844e-07</v>
      </c>
      <c r="L87" s="2">
        <f>IF(COUNT('Turns'!F228)=1,SUM('Turns'!F228),"Unknown")</f>
        <v>6e-07</v>
      </c>
      <c r="M87" s="2">
        <f>IF(COUNT('Turns'!D227)=1,SUM('Turns'!D227),"Unknown")</f>
        <v>2340.0</v>
      </c>
      <c r="N87" s="2">
        <f>IF(COUNT('Turns'!E227)=1,SUM('Turns'!E227),"Unknown")</f>
        <v>4.1171832e-05</v>
      </c>
      <c r="O87" s="2">
        <f>IF(COUNT('Turns'!F227)=1,SUM('Turns'!F227),"Unknown")</f>
        <v>4.68e-05</v>
      </c>
      <c r="P87" s="2">
        <f>IF(COUNT('Turns'!D230)=1,SUM('Turns'!D230),"Unknown")</f>
        <v>2513.0</v>
      </c>
      <c r="Q87" s="2">
        <f>IF(COUNT('Turns'!E230)=1,SUM('Turns'!E230),"Unknown")</f>
        <v>0.000552696655</v>
      </c>
      <c r="R87" s="2">
        <f>IF(COUNT('Turns'!F230)=1,SUM('Turns'!F230),"Unknown")</f>
        <v>0.00062825</v>
      </c>
      <c r="S87" s="2">
        <f>IF(COUNT('Turns'!D234)=1,SUM('Turns'!D234),"Unknown")</f>
        <v>259.0</v>
      </c>
      <c r="T87" s="2">
        <f>IF(COUNT('Turns'!E234)=1,SUM('Turns'!E234),"Unknown")</f>
        <v>0.000273423192</v>
      </c>
      <c r="U87" s="2">
        <f>IF(COUNT('Turns'!F234)=1,SUM('Turns'!F234),"Unknown")</f>
        <v>0.0003108</v>
      </c>
      <c r="V87" s="2">
        <f>IF(COUNT('Turns'!D233)=1,SUM('Turns'!D233),"Unknown")</f>
        <v>17.0</v>
      </c>
      <c r="W87" s="2">
        <f>IF(COUNT('Turns'!E233)=1,SUM('Turns'!E233),"Unknown")</f>
        <v>1.7946696e-05</v>
      </c>
      <c r="X87" s="2">
        <f>IF(COUNT('Turns'!F233)=1,SUM('Turns'!F233),"Unknown")</f>
        <v>2.04e-05</v>
      </c>
      <c r="Y87" s="2">
        <f>IF(COUNT('Turns'!E238)=1,SUM('Turns'!E238),"Unknown")</f>
        <v>0.000885766219</v>
      </c>
      <c r="Z87" s="2">
        <f>IF(COUNT('Turns'!F238)=1,SUM('Turns'!F238),"Unknown")</f>
        <v>0.00100685</v>
      </c>
      <c r="AA87" s="5">
        <f>IF(ISNUMBER(Y87),ROUND(Y87*'Reference data'!$B$2,0),"Unknown")</f>
        <v>89.0</v>
      </c>
      <c r="AB87" s="5">
        <f>IF(ISNUMBER(Z87),ROUND(Z87*'Reference data'!$B$2,0),"Unknown")</f>
        <v>101.0</v>
      </c>
      <c r="AC87" s="1" t="s">
        <v>196</v>
      </c>
      <c r="AD87" s="1">
        <v>3327.395</v>
      </c>
      <c r="AE87" s="1" t="s">
        <v>232</v>
      </c>
    </row>
    <row r="88" spans="1:31" ht="54" customHeight="1">
      <c r="A88" s="6" t="s">
        <v>233</v>
      </c>
      <c r="B88" s="1">
        <v>4</v>
      </c>
      <c r="C88" s="1" t="s">
        <v>210</v>
      </c>
      <c r="D88" s="1" t="s">
        <v>47</v>
      </c>
      <c r="E88" s="1" t="s">
        <v>111</v>
      </c>
      <c r="G88" s="6" t="s">
        <v>234</v>
      </c>
      <c r="H88" t="s">
        <v>314</v>
      </c>
      <c r="I88" t="s">
        <v>306</v>
      </c>
      <c r="AD88" s="1">
        <v>3.134</v>
      </c>
      <c r="AE88" s="1" t="s">
        <v>225</v>
      </c>
    </row>
    <row r="89" spans="1:31" ht="54" customHeight="1">
      <c r="A89" s="6" t="s">
        <v>254</v>
      </c>
      <c r="B89" s="1">
        <v>5</v>
      </c>
      <c r="C89" s="1" t="s">
        <v>237</v>
      </c>
      <c r="D89" s="1" t="s">
        <v>47</v>
      </c>
      <c r="E89" s="1" t="s">
        <v>111</v>
      </c>
      <c r="G89" s="6" t="s">
        <v>255</v>
      </c>
      <c r="H89" t="s">
        <v>199</v>
      </c>
      <c r="I89" t="s">
        <v>314</v>
      </c>
      <c r="AD89" s="1">
        <v>1.878</v>
      </c>
      <c r="AE89" s="1" t="s">
        <v>225</v>
      </c>
    </row>
    <row r="90" spans="1:31" ht="54" customHeight="1">
      <c r="A90" s="6" t="s">
        <v>222</v>
      </c>
      <c r="B90" s="1">
        <v>4</v>
      </c>
      <c r="C90" s="1" t="s">
        <v>210</v>
      </c>
      <c r="D90" s="1" t="s">
        <v>47</v>
      </c>
      <c r="E90" s="1" t="s">
        <v>111</v>
      </c>
      <c r="G90" s="6" t="s">
        <v>223</v>
      </c>
      <c r="H90" t="s">
        <v>315</v>
      </c>
      <c r="I90" t="s">
        <v>306</v>
      </c>
      <c r="AD90" s="1">
        <v>0.529</v>
      </c>
      <c r="AE90" s="1" t="s">
        <v>225</v>
      </c>
    </row>
    <row r="91" spans="1:31" ht="54" customHeight="1">
      <c r="A91" s="6" t="s">
        <v>226</v>
      </c>
      <c r="B91" s="1">
        <v>4</v>
      </c>
      <c r="C91" s="1" t="s">
        <v>210</v>
      </c>
      <c r="D91" s="1" t="s">
        <v>47</v>
      </c>
      <c r="E91" s="1" t="s">
        <v>111</v>
      </c>
      <c r="G91" s="6" t="s">
        <v>227</v>
      </c>
      <c r="H91" t="s">
        <v>316</v>
      </c>
      <c r="I91" t="s">
        <v>306</v>
      </c>
      <c r="J91" s="2">
        <f>IF(COUNT('Turns'!D244)=1,SUM('Turns'!D244),"Unknown")</f>
        <v>3.0</v>
      </c>
      <c r="K91" s="2">
        <f>IF(COUNT('Turns'!E244)=1,SUM('Turns'!E244),"Unknown")</f>
        <v>5.27844e-07</v>
      </c>
      <c r="L91" s="2">
        <f>IF(COUNT('Turns'!F244)=1,SUM('Turns'!F244),"Unknown")</f>
        <v>6e-07</v>
      </c>
      <c r="M91" s="2">
        <f>IF(COUNT('Turns'!D243)=1,SUM('Turns'!D243),"Unknown")</f>
        <v>4853.0</v>
      </c>
      <c r="N91" s="2">
        <f>IF(COUNT('Turns'!E243)=1,SUM('Turns'!E243),"Unknown")</f>
        <v>8.53875644e-05</v>
      </c>
      <c r="O91" s="2">
        <f>IF(COUNT('Turns'!F243)=1,SUM('Turns'!F243),"Unknown")</f>
        <v>9.706e-05</v>
      </c>
      <c r="P91" s="2">
        <f>IF(COUNT('Turns'!D246)=1,SUM('Turns'!D246),"Unknown")</f>
        <v>300.0</v>
      </c>
      <c r="Q91" s="2">
        <f>IF(COUNT('Turns'!E246)=1,SUM('Turns'!E246),"Unknown")</f>
        <v>6.59805e-05</v>
      </c>
      <c r="R91" s="2">
        <f>IF(COUNT('Turns'!F246)=1,SUM('Turns'!F246),"Unknown")</f>
        <v>7.5e-05</v>
      </c>
      <c r="S91" s="2">
        <f>IF(COUNT('Turns'!D250)=1,SUM('Turns'!D250),"Unknown")</f>
        <v>31.0</v>
      </c>
      <c r="T91" s="2">
        <f>IF(COUNT('Turns'!E250)=1,SUM('Turns'!E250),"Unknown")</f>
        <v>3.2726328e-05</v>
      </c>
      <c r="U91" s="2">
        <f>IF(COUNT('Turns'!F250)=1,SUM('Turns'!F250),"Unknown")</f>
        <v>3.72e-05</v>
      </c>
      <c r="V91" s="2">
        <f>IF(COUNT('Turns'!D249)=1,SUM('Turns'!D249),"Unknown")</f>
        <v>10.0</v>
      </c>
      <c r="W91" s="2">
        <f>IF(COUNT('Turns'!E249)=1,SUM('Turns'!E249),"Unknown")</f>
        <v>1.055688e-05</v>
      </c>
      <c r="X91" s="2">
        <f>IF(COUNT('Turns'!F249)=1,SUM('Turns'!F249),"Unknown")</f>
        <v>1.2e-05</v>
      </c>
      <c r="Y91" s="2">
        <f>IF(COUNT('Turns'!E254)=1,SUM('Turns'!E254),"Unknown")</f>
        <v>0.0001951791164</v>
      </c>
      <c r="Z91" s="2">
        <f>IF(COUNT('Turns'!F254)=1,SUM('Turns'!F254),"Unknown")</f>
        <v>0.00022186</v>
      </c>
      <c r="AA91" s="5">
        <f>IF(ISNUMBER(Y91),ROUND(Y91*'Reference data'!$B$2,0),"Unknown")</f>
        <v>20.0</v>
      </c>
      <c r="AB91" s="5">
        <f>IF(ISNUMBER(Z91),ROUND(Z91*'Reference data'!$B$2,0),"Unknown")</f>
        <v>22.0</v>
      </c>
      <c r="AD91" s="1">
        <v>1528.552</v>
      </c>
      <c r="AE91" s="1" t="s">
        <v>212</v>
      </c>
    </row>
    <row r="92" spans="1:31" ht="54" customHeight="1">
      <c r="A92" s="6" t="s">
        <v>229</v>
      </c>
      <c r="B92" s="1">
        <v>5</v>
      </c>
      <c r="C92" s="1" t="s">
        <v>230</v>
      </c>
      <c r="D92" s="1" t="s">
        <v>95</v>
      </c>
      <c r="E92" s="1" t="s">
        <v>111</v>
      </c>
      <c r="F92" s="1">
        <v>5156</v>
      </c>
      <c r="G92" s="6" t="s">
        <v>231</v>
      </c>
      <c r="H92" t="s">
        <v>202</v>
      </c>
      <c r="I92" t="s">
        <v>316</v>
      </c>
      <c r="J92" s="2">
        <f>IF(COUNT('Turns'!D244)=1,SUM('Turns'!D244),"Unknown")</f>
        <v>3.0</v>
      </c>
      <c r="K92" s="2">
        <f>IF(COUNT('Turns'!E244)=1,SUM('Turns'!E244),"Unknown")</f>
        <v>5.27844e-07</v>
      </c>
      <c r="L92" s="2">
        <f>IF(COUNT('Turns'!F244)=1,SUM('Turns'!F244),"Unknown")</f>
        <v>6e-07</v>
      </c>
      <c r="M92" s="2">
        <f>IF(COUNT('Turns'!D243)=1,SUM('Turns'!D243),"Unknown")</f>
        <v>4853.0</v>
      </c>
      <c r="N92" s="2">
        <f>IF(COUNT('Turns'!E243)=1,SUM('Turns'!E243),"Unknown")</f>
        <v>8.53875644e-05</v>
      </c>
      <c r="O92" s="2">
        <f>IF(COUNT('Turns'!F243)=1,SUM('Turns'!F243),"Unknown")</f>
        <v>9.706e-05</v>
      </c>
      <c r="P92" s="2">
        <f>IF(COUNT('Turns'!D246)=1,SUM('Turns'!D246),"Unknown")</f>
        <v>300.0</v>
      </c>
      <c r="Q92" s="2">
        <f>IF(COUNT('Turns'!E246)=1,SUM('Turns'!E246),"Unknown")</f>
        <v>6.59805e-05</v>
      </c>
      <c r="R92" s="2">
        <f>IF(COUNT('Turns'!F246)=1,SUM('Turns'!F246),"Unknown")</f>
        <v>7.5e-05</v>
      </c>
      <c r="S92" s="2">
        <f>IF(COUNT('Turns'!D250)=1,SUM('Turns'!D250),"Unknown")</f>
        <v>31.0</v>
      </c>
      <c r="T92" s="2">
        <f>IF(COUNT('Turns'!E250)=1,SUM('Turns'!E250),"Unknown")</f>
        <v>3.2726328e-05</v>
      </c>
      <c r="U92" s="2">
        <f>IF(COUNT('Turns'!F250)=1,SUM('Turns'!F250),"Unknown")</f>
        <v>3.72e-05</v>
      </c>
      <c r="V92" s="2">
        <f>IF(COUNT('Turns'!D249)=1,SUM('Turns'!D249),"Unknown")</f>
        <v>10.0</v>
      </c>
      <c r="W92" s="2">
        <f>IF(COUNT('Turns'!E249)=1,SUM('Turns'!E249),"Unknown")</f>
        <v>1.055688e-05</v>
      </c>
      <c r="X92" s="2">
        <f>IF(COUNT('Turns'!F249)=1,SUM('Turns'!F249),"Unknown")</f>
        <v>1.2e-05</v>
      </c>
      <c r="Y92" s="2">
        <f>IF(COUNT('Turns'!E254)=1,SUM('Turns'!E254),"Unknown")</f>
        <v>0.0001951791164</v>
      </c>
      <c r="Z92" s="2">
        <f>IF(COUNT('Turns'!F254)=1,SUM('Turns'!F254),"Unknown")</f>
        <v>0.00022186</v>
      </c>
      <c r="AA92" s="5">
        <f>IF(ISNUMBER(Y92),ROUND(Y92*'Reference data'!$B$2,0),"Unknown")</f>
        <v>20.0</v>
      </c>
      <c r="AB92" s="5">
        <f>IF(ISNUMBER(Z92),ROUND(Z92*'Reference data'!$B$2,0),"Unknown")</f>
        <v>22.0</v>
      </c>
      <c r="AC92" s="1" t="s">
        <v>201</v>
      </c>
      <c r="AD92" s="1">
        <v>1526.332</v>
      </c>
      <c r="AE92" s="1" t="s">
        <v>232</v>
      </c>
    </row>
    <row r="93" spans="1:31" ht="54" customHeight="1">
      <c r="A93" s="6" t="s">
        <v>233</v>
      </c>
      <c r="B93" s="1">
        <v>4</v>
      </c>
      <c r="C93" s="1" t="s">
        <v>210</v>
      </c>
      <c r="D93" s="1" t="s">
        <v>47</v>
      </c>
      <c r="E93" s="1" t="s">
        <v>111</v>
      </c>
      <c r="G93" s="6" t="s">
        <v>234</v>
      </c>
      <c r="H93" t="s">
        <v>317</v>
      </c>
      <c r="I93" t="s">
        <v>306</v>
      </c>
      <c r="AD93" s="1">
        <v>1.793</v>
      </c>
      <c r="AE93" s="1" t="s">
        <v>225</v>
      </c>
    </row>
    <row r="94" spans="1:31" ht="54" customHeight="1">
      <c r="A94" s="6" t="s">
        <v>236</v>
      </c>
      <c r="B94" s="1">
        <v>5</v>
      </c>
      <c r="C94" s="1" t="s">
        <v>237</v>
      </c>
      <c r="D94" s="1" t="s">
        <v>47</v>
      </c>
      <c r="E94" s="1" t="s">
        <v>111</v>
      </c>
      <c r="G94" s="6" t="s">
        <v>238</v>
      </c>
      <c r="H94" t="s">
        <v>204</v>
      </c>
      <c r="I94" t="s">
        <v>317</v>
      </c>
      <c r="AD94" s="1">
        <v>0.732</v>
      </c>
      <c r="AE94" s="1" t="s">
        <v>225</v>
      </c>
    </row>
    <row r="95" spans="1:31" ht="54" customHeight="1">
      <c r="A95" s="6" t="s">
        <v>222</v>
      </c>
      <c r="B95" s="1">
        <v>4</v>
      </c>
      <c r="C95" s="1" t="s">
        <v>210</v>
      </c>
      <c r="D95" s="1" t="s">
        <v>47</v>
      </c>
      <c r="E95" s="1" t="s">
        <v>111</v>
      </c>
      <c r="G95" s="6" t="s">
        <v>223</v>
      </c>
      <c r="H95" t="s">
        <v>318</v>
      </c>
      <c r="I95" t="s">
        <v>306</v>
      </c>
      <c r="AD95" s="1">
        <v>0.554</v>
      </c>
      <c r="AE95" s="1" t="s">
        <v>225</v>
      </c>
    </row>
    <row r="96" spans="1:31" ht="54" customHeight="1">
      <c r="A96" s="6" t="s">
        <v>226</v>
      </c>
      <c r="B96" s="1">
        <v>4</v>
      </c>
      <c r="C96" s="1" t="s">
        <v>210</v>
      </c>
      <c r="D96" s="1" t="s">
        <v>47</v>
      </c>
      <c r="E96" s="1" t="s">
        <v>111</v>
      </c>
      <c r="G96" s="6" t="s">
        <v>227</v>
      </c>
      <c r="H96" t="s">
        <v>319</v>
      </c>
      <c r="I96" t="s">
        <v>306</v>
      </c>
      <c r="J96" s="2">
        <f>IF(COUNT('Turns'!D260)=1,SUM('Turns'!D260),"Unknown")</f>
        <v>3.0</v>
      </c>
      <c r="K96" s="2">
        <f>IF(COUNT('Turns'!E260)=1,SUM('Turns'!E260),"Unknown")</f>
        <v>5.27844e-07</v>
      </c>
      <c r="L96" s="2">
        <f>IF(COUNT('Turns'!F260)=1,SUM('Turns'!F260),"Unknown")</f>
        <v>6e-07</v>
      </c>
      <c r="M96" s="2">
        <f>IF(COUNT('Turns'!D259)=1,SUM('Turns'!D259),"Unknown")</f>
        <v>5153.0</v>
      </c>
      <c r="N96" s="2">
        <f>IF(COUNT('Turns'!E259)=1,SUM('Turns'!E259),"Unknown")</f>
        <v>9.06660044e-05</v>
      </c>
      <c r="O96" s="2">
        <f>IF(COUNT('Turns'!F259)=1,SUM('Turns'!F259),"Unknown")</f>
        <v>0.00010306</v>
      </c>
      <c r="P96" s="2">
        <f>IF(COUNT('Turns'!D262)=1,SUM('Turns'!D262),"Unknown")</f>
        <v>1729.0</v>
      </c>
      <c r="Q96" s="2">
        <f>IF(COUNT('Turns'!E262)=1,SUM('Turns'!E262),"Unknown")</f>
        <v>0.000380267615</v>
      </c>
      <c r="R96" s="2">
        <f>IF(COUNT('Turns'!F262)=1,SUM('Turns'!F262),"Unknown")</f>
        <v>0.00043225</v>
      </c>
      <c r="S96" s="2">
        <f>IF(COUNT('Turns'!D266)=1,SUM('Turns'!D266),"Unknown")</f>
        <v>77.0</v>
      </c>
      <c r="T96" s="2">
        <f>IF(COUNT('Turns'!E266)=1,SUM('Turns'!E266),"Unknown")</f>
        <v>8.1287976e-05</v>
      </c>
      <c r="U96" s="2">
        <f>IF(COUNT('Turns'!F266)=1,SUM('Turns'!F266),"Unknown")</f>
        <v>9.24e-05</v>
      </c>
      <c r="V96" s="2">
        <f>IF(COUNT('Turns'!D265)=1,SUM('Turns'!D265),"Unknown")</f>
        <v>31.0</v>
      </c>
      <c r="W96" s="2">
        <f>IF(COUNT('Turns'!E265)=1,SUM('Turns'!E265),"Unknown")</f>
        <v>3.2726328e-05</v>
      </c>
      <c r="X96" s="2">
        <f>IF(COUNT('Turns'!F265)=1,SUM('Turns'!F265),"Unknown")</f>
        <v>3.72e-05</v>
      </c>
      <c r="Y96" s="2">
        <f>IF(COUNT('Turns'!E270)=1,SUM('Turns'!E270),"Unknown")</f>
        <v>0.0005854757674</v>
      </c>
      <c r="Z96" s="2">
        <f>IF(COUNT('Turns'!F270)=1,SUM('Turns'!F270),"Unknown")</f>
        <v>0.00066551</v>
      </c>
      <c r="AA96" s="5">
        <f>IF(ISNUMBER(Y96),ROUND(Y96*'Reference data'!$B$2,0),"Unknown")</f>
        <v>59.0</v>
      </c>
      <c r="AB96" s="5">
        <f>IF(ISNUMBER(Z96),ROUND(Z96*'Reference data'!$B$2,0),"Unknown")</f>
        <v>67.0</v>
      </c>
      <c r="AD96" s="1">
        <v>2041.802</v>
      </c>
      <c r="AE96" s="1" t="s">
        <v>212</v>
      </c>
    </row>
    <row r="97" spans="1:31" ht="54" customHeight="1">
      <c r="A97" s="6" t="s">
        <v>229</v>
      </c>
      <c r="B97" s="1">
        <v>5</v>
      </c>
      <c r="C97" s="1" t="s">
        <v>230</v>
      </c>
      <c r="D97" s="1" t="s">
        <v>95</v>
      </c>
      <c r="E97" s="1" t="s">
        <v>111</v>
      </c>
      <c r="F97" s="1">
        <v>6885</v>
      </c>
      <c r="G97" s="6" t="s">
        <v>231</v>
      </c>
      <c r="H97" t="s">
        <v>207</v>
      </c>
      <c r="I97" t="s">
        <v>319</v>
      </c>
      <c r="J97" s="2">
        <f>IF(COUNT('Turns'!D260)=1,SUM('Turns'!D260),"Unknown")</f>
        <v>3.0</v>
      </c>
      <c r="K97" s="2">
        <f>IF(COUNT('Turns'!E260)=1,SUM('Turns'!E260),"Unknown")</f>
        <v>5.27844e-07</v>
      </c>
      <c r="L97" s="2">
        <f>IF(COUNT('Turns'!F260)=1,SUM('Turns'!F260),"Unknown")</f>
        <v>6e-07</v>
      </c>
      <c r="M97" s="2">
        <f>IF(COUNT('Turns'!D259)=1,SUM('Turns'!D259),"Unknown")</f>
        <v>5153.0</v>
      </c>
      <c r="N97" s="2">
        <f>IF(COUNT('Turns'!E259)=1,SUM('Turns'!E259),"Unknown")</f>
        <v>9.06660044e-05</v>
      </c>
      <c r="O97" s="2">
        <f>IF(COUNT('Turns'!F259)=1,SUM('Turns'!F259),"Unknown")</f>
        <v>0.00010306</v>
      </c>
      <c r="P97" s="2">
        <f>IF(COUNT('Turns'!D262)=1,SUM('Turns'!D262),"Unknown")</f>
        <v>1729.0</v>
      </c>
      <c r="Q97" s="2">
        <f>IF(COUNT('Turns'!E262)=1,SUM('Turns'!E262),"Unknown")</f>
        <v>0.000380267615</v>
      </c>
      <c r="R97" s="2">
        <f>IF(COUNT('Turns'!F262)=1,SUM('Turns'!F262),"Unknown")</f>
        <v>0.00043225</v>
      </c>
      <c r="S97" s="2">
        <f>IF(COUNT('Turns'!D266)=1,SUM('Turns'!D266),"Unknown")</f>
        <v>77.0</v>
      </c>
      <c r="T97" s="2">
        <f>IF(COUNT('Turns'!E266)=1,SUM('Turns'!E266),"Unknown")</f>
        <v>8.1287976e-05</v>
      </c>
      <c r="U97" s="2">
        <f>IF(COUNT('Turns'!F266)=1,SUM('Turns'!F266),"Unknown")</f>
        <v>9.24e-05</v>
      </c>
      <c r="V97" s="2">
        <f>IF(COUNT('Turns'!D265)=1,SUM('Turns'!D265),"Unknown")</f>
        <v>31.0</v>
      </c>
      <c r="W97" s="2">
        <f>IF(COUNT('Turns'!E265)=1,SUM('Turns'!E265),"Unknown")</f>
        <v>3.2726328e-05</v>
      </c>
      <c r="X97" s="2">
        <f>IF(COUNT('Turns'!F265)=1,SUM('Turns'!F265),"Unknown")</f>
        <v>3.72e-05</v>
      </c>
      <c r="Y97" s="2">
        <f>IF(COUNT('Turns'!E270)=1,SUM('Turns'!E270),"Unknown")</f>
        <v>0.0005854757674</v>
      </c>
      <c r="Z97" s="2">
        <f>IF(COUNT('Turns'!F270)=1,SUM('Turns'!F270),"Unknown")</f>
        <v>0.00066551</v>
      </c>
      <c r="AA97" s="5">
        <f>IF(ISNUMBER(Y97),ROUND(Y97*'Reference data'!$B$2,0),"Unknown")</f>
        <v>59.0</v>
      </c>
      <c r="AB97" s="5">
        <f>IF(ISNUMBER(Z97),ROUND(Z97*'Reference data'!$B$2,0),"Unknown")</f>
        <v>67.0</v>
      </c>
      <c r="AC97" s="1" t="s">
        <v>206</v>
      </c>
      <c r="AD97" s="1">
        <v>2039.339</v>
      </c>
      <c r="AE97" s="1" t="s">
        <v>232</v>
      </c>
    </row>
    <row r="98" spans="1:31" ht="54" customHeight="1">
      <c r="A98" s="6" t="s">
        <v>241</v>
      </c>
      <c r="B98" s="1">
        <v>2</v>
      </c>
      <c r="C98" s="1" t="s">
        <v>210</v>
      </c>
      <c r="D98" s="1" t="s">
        <v>47</v>
      </c>
      <c r="E98" s="1" t="s">
        <v>111</v>
      </c>
      <c r="G98" s="6" t="s">
        <v>242</v>
      </c>
      <c r="H98" t="s">
        <v>320</v>
      </c>
      <c r="I98" t="s">
        <v>304</v>
      </c>
      <c r="AD98" s="1">
        <v>0.268</v>
      </c>
      <c r="AE98" s="1" t="s">
        <v>225</v>
      </c>
    </row>
    <row r="99" spans="1:31" ht="54" customHeight="1">
      <c r="A99" s="6" t="s">
        <v>244</v>
      </c>
      <c r="B99" s="1">
        <v>1</v>
      </c>
      <c r="C99" s="1" t="s">
        <v>210</v>
      </c>
      <c r="D99" s="1" t="s">
        <v>47</v>
      </c>
      <c r="E99" s="1" t="s">
        <v>111</v>
      </c>
      <c r="G99" s="6" t="s">
        <v>245</v>
      </c>
      <c r="H99" t="s">
        <v>321</v>
      </c>
      <c r="I99" t="s">
        <v>247</v>
      </c>
      <c r="AD99" s="1">
        <v>0.36</v>
      </c>
      <c r="AE99" s="1" t="s">
        <v>225</v>
      </c>
    </row>
  </sheetData>
  <conditionalFormatting sqref="A2:AE99">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0.87974</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2026-09-24T22:23:26Z</dcterms:created>
  <dcterms:modified xsi:type="dcterms:W3CDTF">2026-09-24T22:23:26Z</dcterms:modified>
</cp:coreProperties>
</file>
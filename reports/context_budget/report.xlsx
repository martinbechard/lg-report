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<sst xmlns="http://schemas.openxmlformats.org/spreadsheetml/2006/main" count="731" uniqueCount="222">
  <si>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</si>
  <si>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</si>
  <si>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</si>
  <si>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</si>
  <si>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</si>
  <si>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</si>
  <si>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</si>
  <si>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</si>
  <si>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</si>
  <si>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</si>
  <si>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</si>
  <si>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</si>
  <si>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</si>
  <si>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</si>
  <si>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</si>
  <si>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</si>
  <si>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</si>
  <si>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</si>
  <si>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</si>
  <si>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</si>
  <si>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</si>
  <si>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</si>
  <si>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</si>
  <si>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</si>
  <si>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</si>
  <si>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</si>
  <si>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</si>
  <si>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</si>
  <si>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</si>
  <si>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</si>
  <si>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</si>
  <si>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</si>
  <si>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</si>
  <si>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</si>
  <si>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</si>
  <si>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</si>
  <si>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</si>
  <si>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</si>
  <si>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</si>
  <si>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</si>
  <si>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</si>
  <si>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</si>
  <si>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</si>
  <si>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</si>
  <si>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</si>
  <si>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</si>
  <si>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</si>
  <si>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</si>
  <si>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</si>
  <si>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01a0ccdf-ffbd-7521-8847-91780a32cb2e</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</si>
  <si>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</si>
  <si>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</si>
  <si>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</si>
  <si>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</si>
  <si>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</si>
  <si>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</si>
  <si>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</si>
  <si>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</si>
  <si>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</si>
  <si>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</si>
  <si>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</si>
  <si>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</si>
  <si>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</si>
  <si>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</si>
  <si>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</si>
  <si>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</si>
  <si>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</si>
  <si>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</si>
  <si>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</si>
  <si>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</si>
  <si>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</si>
  <si>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</si>
  <si>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</si>
  <si>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</si>
  <si>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</si>
  <si>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</si>
  <si>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</si>
  <si>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</si>
  <si>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</si>
  <si>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</si>
  <si>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</si>
  <si>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</si>
  <si>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</si>
  <si>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</si>
  <si>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</si>
  <si>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</si>
  <si>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</si>
  <si>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</si>
  <si>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</si>
  <si>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</si>
  <si>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</si>
  <si>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</si>
  <si>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</si>
  <si>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</si>
  <si>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</si>
  <si>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</si>
  <si>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01a0ccdf-ffc4-7e62-923f-ff86097255e9</t>
  </si>
  <si>
    <t>Conversation history · cache read</t>
  </si>
  <si>
    <t>Fresh input</t>
  </si>
  <si>
    <t xml:space="preserve">    Tool definitions</t>
  </si>
  <si>
    <t xml:space="preserve">    System prompt</t>
  </si>
  <si>
    <t>You are the planning peer. Read the latest user request and earlier context. Write a short brief for the responding peer, preserving user constraints. Do not answer the user or call tools.</t>
  </si>
  <si>
    <t xml:space="preserve">    User prompt</t>
  </si>
  <si>
    <t xml:space="preserve">PARENT_ONLY_DETAIL: Answer in French. Explain agent workflow delegation.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
  </si>
  <si>
    <t>Cache write</t>
  </si>
  <si>
    <t>Context · added / total</t>
  </si>
  <si>
    <t>LLM response</t>
  </si>
  <si>
    <t>Reasoning</t>
  </si>
  <si>
    <t>Output</t>
  </si>
  <si>
    <t xml:space="preserve">    Output content</t>
  </si>
  <si>
    <t>[{"id": "rs_09caf27075dc701f006ab36c8c1cb487d286a17462e0a4f991", "summary": [], "type": "reasoning", "content": [], "index": 0, "encrypted_content": "gAAAAABqs2yMi81C8WpxfyW6OvvTtluDIdozRa0NSJR6BLBrQoIHZ8D1iOjr-LCgFgB2J5WACd6s6GZtSbpGPqN-hw7Y4IYfn5z1o1HFwun6T2u_N-s-pIIQjgMm-eAiT1-OTdOwjXKS9vvjN5RbBzTHj_Iu5JiBqgalXlyCJ6k0ZpEGOxOivMmrooi71bmu4UFO_6hnFu7sySiY9VlirArbjdozjY_dOKCYmscCVoAqtRQL4r15IxE_o4Wn3RV3CKrFD9bKUbG54QzsImzc_3Zte3E9jzrCSsmdxgadPutgA0HLi7VaSHJspdbunzNSakpVHrEETWQPyOLOU7rmn1kFJ8h42ItE7yMzU3my-nC7a8PMQ1NDvlv70qJ-wk7WZs7bFBAk7e6z-fn_G692-w30EYfTgIjKekgVF5iUhGbgeu7u3QY67iYWqobQ_YoMbMm3LAafPOifOIsjBxf6KQM0hu-9G-FeVuE0-IR85QHZkAoylLVfsuF96jTs8dTJj2RlYUV6dguznb9xuz2MhSfqvbPDrwMIYfF7XHyo1ZV9mHJxHr3qnhZSnhEuXvRzUJadZvwON3c4TASJ4h4aMd3LS9FEHf_c7x8AdK17M4FKb3BJAyt2s39_3t2ltAPl7gF3WFylHpUoqJC8whCIjq1T4SZARCxnX3z9VjtBMNPllK40l-5Pb0xSlM5XCcTNDLl7sw0aRP7q5UmEsU54lX0M-7gPVbsW__FUIsnjWbarMAESECC2JC89np9EVZF2r-HVny-cL6xdym6KhF-FI-_J2HMbL16dwA7UYCeAibv4IIsFY1kQuR0y1wBIITVGnURR7W4Y8mjyUIYpV9JOAFOnbHrl9UUMEh7tucUXESNapFtpT9JwjzVGN93HfXdbaqQwoudKG0Tu0PYIEG4d30FPnMBwanKh6SpOH-bg3Y2Hj_vlDjqcAslKQLJGSTa98PU0fuGjPOwPMzWuQpQ6FBXY-8P3RaueIi9K-8pxfiG3q2MHARrxVuLFPcMkkrMfRgdp1sfesvZh4OAxxzhDrl8uySLaHreiIXB8CoVJZE6vJ7cwNQ6S6Az8zVcLBWKgIDkH86bliXDkoGj2c60fd6IOCa4QcJwmdffZnKrc0OChDo9fDCyggE14Sj6-wvaoep2wSCrMtGI2cdF1kGQIMLZpQGPf-hkwcxylQqdaFgJFZ0sVbngOlQFlm7-H4HRSLRAuXqv0x12o_v9cUOalKPu4hp9j4IjXAM9e_OaEyQ0Mj-6Z-2d1J_F9QyhFzH3oHZWmr5spiWdlf7PK-OnHZjUq2u00XFJmTgcDnYUsjc1wgVtbayUpXPzz7N9sdur-mZ43MOMuWJdAKwv3xfrlB_lBwdJyzjJVrGEgEnvghqZUKsSKror2AXqM4BjuhS1dB_o4yT0k3MDvjB4Kz3M_PceSGgaogsc2eEd6FngqOcQyOiunY3wpdXAf5yFPCTMRSku2v8EVV9AIGQmvioKm52nCMqmrKgXFXg=="}, {"type": "text", "text": "R\u00e9pondre en fran\u00e7ais et expliquer clairement le fonctionnement de la d\u00e9l\u00e9gation dans un workflow d\u2019agents : identification de la t\u00e2che, attribution \u00e0 l\u2019agent comp\u00e9tent, transmission du contexte et des contraintes, ex\u00e9cution, retour du r\u00e9sultat, puis synth\u00e8se et validation par l\u2019agent principal. Ignorer les r\u00e9p\u00e9titions, qui servent uniquement \u00e0 la d\u00e9monstration de compaction.", "phase": "final_answer", "index": 1, "id": "msg_09caf27075dc701f006ab36c8c9b7087d29ae6a6bcdcd4ea11"}]</t>
  </si>
  <si>
    <t>Call total</t>
  </si>
  <si>
    <t>ok</t>
  </si>
  <si>
    <t>R2</t>
  </si>
  <si>
    <t>01a0cce0-09b3-73b0-8d70-9d9349471117</t>
  </si>
  <si>
    <t>Empty system message (framing only).</t>
  </si>
  <si>
    <t>[{"type": "text", "text": "## SESSION INTENT\n\nR\u00e9pondre en fran\u00e7ais en expliquant le fonctionnement de la d\u00e9l\u00e9gation de workflows entre agents.\n\n## SUMMARY\n\n- La demande utilisateur est de fournir une explication en fran\u00e7ais sur la d\u00e9l\u00e9gation de workflows \u00e0 des agents.\n- Le message contient une longue r\u00e9p\u00e9tition volontaire du m\u00eame contexte, sans exigences suppl\u00e9mentaires ni d\u00e9tails techniques sp\u00e9cifiques.\n- Aucun choix, conclusion, option rejet\u00e9e ou strat\u00e9gie d\u00e9taill\u00e9e n\u2019a encore \u00e9t\u00e9 \u00e9tabli.\n\n## ARTIFACTS\n\nNone.\n\n## NEXT STEPS\n\n- R\u00e9diger une explication claire en fran\u00e7ais couvrant notamment :\n  - l\u2019identification des sous-t\u00e2ches ;\n  - la s\u00e9lection de l\u2019agent appropri\u00e9 ;\n  - la transmission du contexte et des objectifs ;\n  - l\u2019ex\u00e9cution et le suivi du workflow ;\n  - la validation, l\u2019agr\u00e9gation et la restitution du r\u00e9sultat ;\n  - la gestion des erreurs, d\u00e9pendances et escalades.", "phase": "final_answer", "index": 0, "id": "msg_03aac53fd5a07439006ab36c8e4ec087d28c0d264b0dfd392d"}]</t>
  </si>
  <si>
    <t>R3</t>
  </si>
  <si>
    <t>01a0cce0-136f-7c50-b3ef-91ca8646ddaf</t>
  </si>
  <si>
    <t>You are the responding peer. Read the user's request and the planning brief. Delegate an echo demonstration to isolated-subagent using task with a self-contained assignment. Then answer concisely using the returned summary. Preserve user constraints from the shared conversation or its summary.</t>
  </si>
  <si>
    <t>[{"id": "rs_09caf27075dc701f006ab36c90ccb887d2944d51c1977d1b79", "summary": [], "type": "reasoning", "content": [], "index": 0, "encrypted_content": "gAAAAABqs2yRwF24uQU8UWt4sSvJH_kVEQhog5K8t_j8OpcaTq5W7V8YqK2uvdHNRXJFA13yeNZgH28iTlXaeubxgz8pv2G3xcYMXxBgA2FtKkt8qb-0Wj_LujbhlVXkTjWVpUuafhpgdHQWvPtbYplY9EWOOAiwjipShS9zkKSZFBdfgiigmtWJN45ESXAxl7gOm0sGs5Dsjj94kbStt_KTopErVLiFvMO00U2PgOJcPcklO2HLo7cWTfzpv7JjStaJysz3T8Wr4SLPyxgxE4zxDWB7zGIApMH3RQmHpW1XhFQyYrQVZv79dvEdruQB0BqqpCaJNHApqO3ClkKbAucB2btiALb-vC3kMsSewT4cdoEX9BuRf4vNcWf4iGjGvB7RNQxkhZthEG0yipRRq0nioxAfX8HDE4fvmWjnQbePYULcXxaDlRdQtYVasesw9BK7IF2MzEbE7Vy32NIihLMk5B81ztRzYyLtJKsuemm2FFv40TCIJGNxmUZUM5Fd3lmQ1oQiCR3BnJhilJAOi_LirN8OadzgmR-rSOCC6kB7qutUic6MR81moLuVxwJ7-KOGn2L_ZrmUsAqsMnqsbin-IoPaSOIxswM3uBe9X_ZAwe8U73wt1dUDNMHGC1VBG0JrX9ghZuGggspbBrBSwYLAdJ9CMy0JrY401P6APTDlgCo_xT35ugqBsiAO_jFow57RyRNKNZE2knlT6Vbn3_ndXIkbYXNMrQlps9AM_NILbHS9tLR6yw33pmEXuTrxvkdqBP70dFldwTB36SGU_3t1ySTSNBCDcC1-GSKnHvMDGdt_eKbf5wX53yetltwIuj7bJjdMmdJruRBEGzRy0IsYQ31RceKZEa23oH6_RjufxONZCymrgNv6u-8bWZPnRvEG5bQ6C0xkRvnSyupg9W7jCFDpnylzMurmkGVxqcqnf4JcWe_Omdv3RNq1G_G12N8kASgZOKJUdq7v2z0oUgEOrwiYBo34l7rigV3zYCqHY-39iUff_zoo4QYW1oacnC0PUCWeQwUkDNhClZjzZYcT0QskkHQ7DUr5kwnDgxIUQXclhrUvqTlhDiHX238Hd_mp11KhNvTvnahhBQDP8kDBIb4xkOIOr8dscTDhGp_ApglgBOnFOaMDdUBuOQxqMbRbK9WyhlhgAGA0ozxBxi1ET191FU4hNBczFyAxdVt2V0w5p1U9xU6Z8gUV41iC7m5zC7yKjQL8-Dv_aq38jKIkCTUPI1uDaPbYRGsSA24kqfNdtPyES08xnCaO8yb3Lnct0UEMXPLfTePAP5L9CeOpjtw9rXeI2Q=="}, {"type": "function_call", "name": "task", "arguments": "{\"description\":\"D\u00e9monstration d\u2019\u00e9cho : renvoie exactement le texte suivant, sans ajout ni modification : \u00ab La d\u00e9l\u00e9gation consiste \u00e0 d\u00e9couper une t\u00e2che, transmettre le contexte pertinent \u00e0 l\u2019agent appropri\u00e9, suivre son ex\u00e9cution, puis valider et int\u00e9grer son r\u00e9sultat. \u00bb\",\"subagent_type\":\"isolated-subagent\"}", "call_id": "call_n4rx3CTaAgc9cZMogbViPPJW", "id": "fc_09caf27075dc701f006ab36c911d0487d2bcd7504fea3f76fa", "index": 1}]
{"name": "task", "args": {"description": "D\u00e9monstration d\u2019\u00e9cho : renvoie exactement le texte suivant, sans ajout ni modification : \u00ab La d\u00e9l\u00e9gation consiste \u00e0 d\u00e9couper une t\u00e2che, transmettre le contexte pertinent \u00e0 l\u2019agent appropri\u00e9, suivre son ex\u00e9cution, puis valider et int\u00e9grer son r\u00e9sultat. \u00bb", "subagent_type": "isolated-subagent"}, "id": "call_n4rx3CTaAgc9cZMogbViPPJW", "type": "tool_call"}</t>
  </si>
  <si>
    <t>Tool · task</t>
  </si>
  <si>
    <t>01a0cce0-1a6e-7581-b94e-5f2302b4d037</t>
  </si>
  <si>
    <t xml:space="preserve">    Arguments</t>
  </si>
  <si>
    <t>{'description': 'Démonstration d’écho : renvoie exactement le texte suivant, sans ajout ni modification : « La délégation consiste à découper une tâche, transmettre le contexte pertinent à l’agent approprié, suivre son exécution, puis valider et intégrer son résultat. »', 'subagent_type': 'isolated-subagent'}</t>
  </si>
  <si>
    <t xml:space="preserve">    Result</t>
  </si>
  <si>
    <t>Command(update={'messages': [ToolMessage(content='La délégation consiste à découper une tâche, transmettre le contexte pertinent à l’agent approprié, suivre son exécution, puis valider et intégrer son résultat.', tool_call_id='call_n4rx3CTaAgc9cZMogbViPPJW')]})</t>
  </si>
  <si>
    <t>R4</t>
  </si>
  <si>
    <t>01a0cce0-1a75-7953-9221-2cc89d4bc3a6</t>
  </si>
  <si>
    <t>You are a workflow teaching specialist. Call echo_tool with the assigned text, then summarize the returned echo for the parent. The echo repeats supplied input and provides no independent factual evidence. Do not delegate further.</t>
  </si>
  <si>
    <t>[{"id": "rs_073fd4e36e1727c9006ab36c92f6f087d2b31cfaa7731a1dba", "summary": [], "type": "reasoning", "content": [], "index": 0, "encrypted_content": "gAAAAABqs2yTFcFv1wQqZJ6QcO-nuJPnwabPxQXoxFjx_RC-uL1EW_jlkTZnbH5pQ3ntKoqRcMveMPVDc17heagjjSNPyeU5tu1nvvLcyXLWZESw-VkqHZthm18kB_-nU3KWQc1UJ0gn27nbgpTzk5OPAf1M1cBoeAfkuLRr9kd_Xr6WNU0X1FUJ30-P26EP6ueTKc3M-4MZen4r2p8piSBoq8PQuPqFdXrEvq-0yyxwXmmYdpjrzODRTrISUyau7o8FcRprSrHiLTB0QGWUKrHPehhb1LmogStLUt0WpCBoBkYqXGk38CUKYUCtXZu9gwUm4QrZG1e1NN0EBLjTc9AUGzChmhTR3Iam1P6dAdqI30Bhj1LACrKtL_9GcKxIRA63qduvA_uubZl_Ro8Sok2dBYubNheazLU6KLoPz16dlOb9gZYppW16rOR8fDubeG9WbK5nn3-J2kOIxPED1vonWMXk-IgQTnMmCnLnH3jSwhRtxs5NushCQl7ABN5M7SQmewiMUEFNDteyl1bvtX1soBFsGny2QJxVvxDfpkBMWKpLJaL-LjX35kzYKUZWhisdd9U6R6yI3evVDhW-3bV9W9AGyf4cgDADmZqOcj5R6m0dQzrW04Pva2tmu8QZpVd8GVsQ2F3Bp7uVtzBnKs9ntujWYGIOKLpnp5Aj9uGlCbl_HWe2cGGihWKnfPY2V8PRyAlbjAMtHoyUiSryNLNWS3c1pKfuyyuxVf-s4C4sqoTeU2wjwmwNbe07unMfvEh_epsZQ9zFZP1RKJJZ8iAGq_-zC4kiSaksEMhblvr12J1sYQzuKH4Aa5r_pT9HsZnDRDW5VIDcGkGk0p9uao6mkFvBq1WbLAI2-UfzlUrWDdScjz6KD8Lo2GVSjSrPsydkiqiO7vYQhxmTnHqzwRkG10jgk6ahIntT2ZD8-wfvGLmApLwQji201YU1UiKF0qAkiTlD29yBhKl9nCL0QHd1oa1WrnaEPIaWhorPySDdSUS7m52qmEElVHpgIRUubUCg5N_eE6H5e3TzksB305sb1ia-6rBE6UJ1coO0YVwzddqppC78NjPGTqa7UbPAMyQRv9HGdSVzprcS_7XZyy4QEV_tCTddXno_bWl3I92zinFTz35noa0oXSGAWJgzAnu9fwMntHypsRbIX6m78-YkW8h0FT9zSY8Z907ra7twLgx_y6OMH3qO5OfALHszyHk53v0Xku9WljJN_Pw1CstwbQuW04_oVYUajTzDnDXNUDNdiHYe2b0uJ0PnfJnCCmgBA0rpdKQz3pWPc0ON4BRkquIta06dNFQaanykNDvCe2et32XBZPZz-dq6QahBRKP2mbIbqdA0OrjEjfkrPxtbmqOrlYCUqmVyPVztllRjm2QK6_Gz01Zgw-IzFVtKhovseHAGznPsVAxfioIOGykRcGIqPke-RW2nSbxCoGYIVy4Gul4ZptuI5fgj-hp-_LDf70MoHMZrJ1dQIp6atj097tsdzMxw6w=="}, {"type": "function_call", "name": "echo_tool", "arguments": "{\"text\":\"La d\u00e9l\u00e9gation consiste \u00e0 d\u00e9couper une t\u00e2che, transmettre le contexte pertinent \u00e0 l\u2019agent appropri\u00e9, suivre son ex\u00e9cution, puis valider et int\u00e9grer son r\u00e9sultat.\"}", "call_id": "call_6moWoJrTchnjSucoluxRPreZ", "id": "fc_073fd4e36e1727c9006ab36c93c96c87d2af0f94bee3009259", "index": 1}]
{"name": "echo_tool", "args": {"text": "La d\u00e9l\u00e9gation consiste \u00e0 d\u00e9couper une t\u00e2che, transmettre le contexte pertinent \u00e0 l\u2019agent appropri\u00e9, suivre son ex\u00e9cution, puis valider et int\u00e9grer son r\u00e9sultat."}, "id": "call_6moWoJrTchnjSucoluxRPreZ", "type": "tool_call"}</t>
  </si>
  <si>
    <t>Tool · echo_tool</t>
  </si>
  <si>
    <t>01a0cce0-23ce-7e30-9524-b7b61ca15787</t>
  </si>
  <si>
    <t>{'text': 'La délégation consiste à découper une tâche, transmettre le contexte pertinent à l’agent approprié, suivre son exécution, puis valider et intégrer son résultat.'}</t>
  </si>
  <si>
    <t>Your input was: La délégation consiste à découper une tâche, transmettre le contexte pertinent à l’agent approprié, suivre son exécution, puis valider et intégrer son résultat.</t>
  </si>
  <si>
    <t>R5</t>
  </si>
  <si>
    <t>01a0cce0-23d4-79b3-ab55-1c4659c4cecc</t>
  </si>
  <si>
    <t xml:space="preserve">    Tool result</t>
  </si>
  <si>
    <t>[{"id": "rs_073fd4e36e1727c9006ab36c95410087d2a148db611da446a9", "summary": [], "type": "reasoning", "content": [], "index": 0, "encrypted_content": "gAAAAABqs2yVVsyAZmnQpRuBzDYcvkIwiGeHqJL_N8LX6Z6pcvRnb1Anz8oYrElRRDtvnIVO2LXz5SYg8HMnJsKYDN759rovzYyHhF-2CAK0Tap_-l-FjdTzjt_3o9wxTSfIBNeIbZldxBcteh2bTcGQ3IymqxUgWUbsHeOJCv04w5K_kVIVNdljyInh2OQQxSKM4WzWEvaEYCo4Ha5HZLoFGO6N-MKmaQXuq_mCqEqG23SLU_6fpzMkeig1a-oJMkW99NL7iZc3-tXMELX5xzpgIfIifDDcVdx7LNP-fC0kSDImoGuTQ8suLsT9chgbkn0MOcEw6vSaJHsY7TrUPHFSWJe3GlU8PX-zr-k9uWdowEgMX0ybTZ-7ilnjbuCOXHv0aBPwOcnwM1QHIqSCUmIniLp-3azBJkTuoyeOMihwO9ulWg87tAnW0tz2i6CFIZKZ6GvvDojSRIG_VgkGgf7aYXGF5rmV7LbXK6OVXPm4lg3EmZrdiEcP6I8vtCkYGfkEiIfoDGLErhBJdpsg3LPO7G1Z9kbI7HmfxL7eEId4C4Blnd32efLK4-kFcInomZ2BOk4kzS1wTD8zLZnG2TgK49sAGVvzu3LCV9mnWRNfjCswBqoo_N9W8fA13DNW_Nyyi4fxyL5_-292bYQ9B6zyr75sM0ALUxJ94CY18o-cmjc7Xo-xOde_hovVHTUpGi_zTBQWfg3S0aYD8pn9jfXiryFTQbQediRgYKzZRcCCqY09M3qABOJW_EZ56cGNoBlH_k5Nq3KBkm3RLA_mU8sa9rypM9k_gVutEOvbUhhNBAeOtIGCGoAavS_r9KQezucQHx2z5n-2RPjzjbV911gLrvFY1sCPSWo7Mk_tvU1bZpzTzMkFPbsBPLFkzH0E_XOnOh2PQmbEKSPQEx7U_PpHwukHxG3HDy6Qizvk6GUzLkRgeytWfMUZ8dmTbIUm41MHcn3U5JJj-lPlR7QsosuEnSc068hjiMBsHywgkcQIJ_pOScZsMYBI9oIBTAKg3DZOraDkEVmA0xRuATAIA359kkdDbogz0KQaxhbbu5a4tBXouQB7Yt8lk62LFYW2ts3_BA0TPRKBKVgwCkFUdAYuYmxiwdyxY1CVyxgAS4sL7gSmiJR7VJWf92ZnQZuizhiy0CvBAmLebR6QdjOwpbTc7vIhXdr4APlaDnrlG9f3T16edgBS-B6NhjWcLlVewrj0mwOzqmd3WxVZuFa4uo4pruk2zshisMYZAtN7yUBqDQbb0oy6-cXUfiaavtl3YTANt5rotYyRevotpSA4JHpqfFRBYROKEbbsPDdussKHtXU-wJhE5JGHBHh9zTwQ8jNK4H00k57AAyNhIhfpKZPvqiJLO1j0WkLfVI2FaXx4CbfiopDzKZRgLwfRtg99d9EdftTf8B_2D6m1Yvmw_pGiCEqb8cfPErjx5loGUp_AJAOU1lmgo0RiSwlZ48a--vSjrpbPWvlmH_JE2BRUMZuvlw5iaH7Rce-J9W7lkEnBUWIyaRX2Hdqne9UYDnggjzNiPolmR5pU4spxBoBGQyac16VE6c7FPcOfqrx2SDqP5VgcU24m-Hc="}, {"type": "text", "text": "La d\u00e9l\u00e9gation consiste \u00e0 d\u00e9couper une t\u00e2che, transmettre le contexte pertinent \u00e0 l\u2019agent appropri\u00e9, suivre son ex\u00e9cution, puis valider et int\u00e9grer son r\u00e9sultat.", "phase": "final_answer", "index": 1, "id": "msg_073fd4e36e1727c9006ab36c95ee1087d2b737d679a030f12a"}]</t>
  </si>
  <si>
    <t>R6</t>
  </si>
  <si>
    <t>01a0cce0-2b8d-7fd1-aece-acee97594455</t>
  </si>
  <si>
    <t>La délégation consiste à découper une tâche, transmettre le contexte pertinent à l’agent approprié, suivre son exécution, puis valider et intégrer son résultat.</t>
  </si>
  <si>
    <t>[{"id": "rs_09caf27075dc701f006ab36c96eeb887d28b3b6fb27efc58dc", "summary": [], "type": "reasoning", "content": [], "index": 0, "encrypted_content": "gAAAAABqs2yXdHMCk5Q7nUfHM4dmkMX9gIf02ACVgQDOrmpLQ6s71enmakOnoRPN_D40ifFW7LfiKH3aD09ttMcohgFTZGAHQblYImfnaa-GYr6ymipPcg9aGwhB6b9aZY14I6S2n27CHXdEEBTP8Htah0cgeiHtI8dmcQu4rOcnuM5whbsGy0Gw8uQThD-UOg5RL2VZX2PL7DdVUOjUz0drn2BbC_dOiYoPd7AkPQULkloxBzyPyiH5wnipgU2EThJGBIH1yFMSac53-xrzAbeIDiU3A7QCx6MThH0G3mIcWXaLey7nVkKRhofnu0aIQCYn8YElzaQrvOjwmfNebtCdIMgw_-5YRNuifV4rUPtRe6GGX4xwh8tdRSU7Bhid2c2Atl8rLZGmZzG9FXW99j2sqZmvmpidTd9yBC7EZ3wQcIrtSwEMcfyu7BEHOCn1DgFdggOJBPtiAsMEyBE-W7YcG2uSPDpHOcGN2drXCkNZ2D9v1kAZO45jGLlrdAZaJB89tqKucpnoGbR51EomBnJ4S_MPYvt19o9cSzu28412BjNlkR1uh2xnfvSopygyJC-Txgf3ecDRD0frtLbX6BQ9JiahKzzpzLxdFzO9xaiRfhI9v0E-cenoKFY6sUFLjnNaADjMQxAdqguhv_oUKoZp9hXaK8MiKVWnLdE6vaIkHU0lDRixONYdI_h4dGhAr3FrtGZYL68kK0wqEwK-fxziUmFAxfWh0XW1uySuOKD4ciJ3cSHA4KVP7Z-obEF4NGr_8oJab5KD1l8vmRqeIsIzVz7hpVfaCD8RhiyxpQ9eoSomdGBZeLPf_Hu49AqOxgproaE7N5sseDVy0Uz0UK_L4uLdHbMvXx1v9weSnc2S0bfxoVuiyis82HxmsX97490Y3N4L-GsRFoGpDqpi_9ozhOCQoGJA0Qv8za0RfP7EK0w1j510tqRLk8nk9N3uYfLccDsXxfVtQhlWY-k7GTGu6Ogv4IGWZkKwnSzj4gpHIEpt2qEHXNGb9WHzJ3JURTNvjR_Yk-hX3ljCRIcyx2EPJFC284pc-sMDn_a-em0deN9t0Wy6kmBqy-lL_nZ4JK3Rbw-L0MmmvWCQ4rH5xS7ThDrn0vs2v1ufp7vtoZ-WL_mJEBnU6omkI1BurChsD89QyMcFZ1AomTiFZJW6RIO4ySMw5vxxLiiB7PgjdEvIL2Sw_wL75XtipO-nyhuOHUnEK6OUgsHGB5pj3wK3MZ38uabEw82rUaciwnUEbh9kh5QRhLdIBZD7wv3I7SWHsPzM8uoHRlX3RXWDZlaTx4qw0M_IVD-GyQ=="}, {"type": "text", "text": "La d\u00e9l\u00e9gation d\u2019un workflow entre agents suit g\u00e9n\u00e9ralement ces \u00e9tapes :\n\n1. **Identifier les sous-t\u00e2ches** : d\u00e9couper l\u2019objectif global en t\u00e2ches ind\u00e9pendantes ou d\u00e9pendantes.\n2. **Choisir l\u2019agent appropri\u00e9** : attribuer chaque t\u00e2che selon les comp\u00e9tences, outils ou capacit\u00e9s n\u00e9cessaires.\n3. **Transmettre le contexte** : fournir les objectifs, contraintes, donn\u00e9es utiles, format attendu et d\u00e9pendances.\n4. **Lancer et suivre l\u2019ex\u00e9cution** : l\u2019agent r\u00e9alise sa mission et peut signaler son avancement ou ses blocages.\n5. **G\u00e9rer les d\u00e9pendances** : attendre les r\u00e9sultats requis avant de lancer les t\u00e2ches qui en d\u00e9pendent, ou ex\u00e9cuter en parall\u00e8le celles qui sont ind\u00e9pendantes.\n6. **Valider et agr\u00e9ger** : contr\u00f4ler la qualit\u00e9 des r\u00e9ponses, r\u00e9soudre les incoh\u00e9rences, puis combiner les r\u00e9sultats.\n7. **G\u00e9rer les erreurs et escalades** : r\u00e9essayer, reformuler la mission, changer d\u2019agent ou demander une intervention lorsque l\u2019agent \u00e9choue.\n8. **Restituer le r\u00e9sultat final** : l\u2019agent principal synth\u00e9tise les contributions et r\u00e9pond \u00e0 l\u2019utilisateur.\n\nEn r\u00e9sum\u00e9, la d\u00e9l\u00e9gation consiste \u00e0 d\u00e9couper une t\u00e2che, transmettre le contexte pertinent \u00e0 l\u2019agent appropri\u00e9, suivre son ex\u00e9cution, puis valider et int\u00e9grer son r\u00e9sultat.", "phase": "final_answer", "index": 1, "id": "msg_09caf27075dc701f006ab36c972bdc87d2b5da10b59056d8f5"}]</t>
  </si>
  <si>
    <t>Turn 2</t>
  </si>
  <si>
    <t>R7</t>
  </si>
  <si>
    <t>01a0cce0-3a67-7c90-8188-4ed45854b062</t>
  </si>
  <si>
    <t>Now explain how the specialist's tool observations return to its parent.</t>
  </si>
  <si>
    <t>[{"id": "rs_09caf27075dc701f006ab36c9b77f487d2b805479f97c07a35", "summary": [], "type": "reasoning", "content": [], "index": 0, "encrypted_content": "gAAAAABqs2ydGLZETwVVyuoZaPzV4CuqzIrYD0jcgwjewOFrmH896jaZB77BSczL7gDcqVzzTlSQM76qtdgDx9RXX6ihhtxEJi-UDP7XAcsA5HzJ-aFRHBN1HFpGm8W3stBgn5t7vD93hStHVMnM7_iCw9nbOQmTMJI__1SSYPwoHh3DckTWf7PXco1zM7_HgNlalj-vbeiKGJHsByUTjSel4eUjrDK38-4pcWVAyRYzOIzHNt_ffREw9RtJFYI98bz08xTpm7b7Rs4I-Nw2n4JsqqPJFvELQFXcHgH1m1MMg60XGDoL1Z8d3KeaH5nvJTPDEpNLB6MTbmZxpnQa8QeO6yIWii8ujZdmD6GqPYAfFSiJJjWSSoW02pUgPR5qCMXeVWgmBNXK0DGp1PyY38SiQB7TavVePF6ZkSCt9j_Z5WJ43zW95kaCr_-KAw0yo0myqBySxwsvRrK3jwd0QG15UJ95BHGCDvGR95j2w-zBMr_uQ7VerVRs1Pf-35xTrziqCOyZ_7l-5KigL29lly8RsB0Iddz5m_jtgL2FlsBEUYu-r9uksoqwgYPepb-JOJ868MVf5YvW1zuXJOI7IQxDgCS5ZzxSHPg0XLzlYEMhjUMs1GIYNMvz-Oc1zSRHp_brvXBv3QBrdFubCOexViP9A7pcKH8PGzFlPw5T0V0imzO2PloPAw4JM5dBqsCnQwDmYx2DlSaK3AZlpRSuIAxjX4iQkzuAvzU0FzwycS30wEHhR0tHNYPNVNXKzp7aYUIE9N3GQ5Oduc3ye_Y9gqf_A5NnLNk3NU997z31mCMDPb1U89Fsd_4uD4WfzS6zRcird8eUGcV7UngOg1PUZK32wBzvjGoaHs2kRUufNa3SFgiMMHVtQf5iH4Rv1PbrYHdA0V6d9E721KvzvBWCwmEZzH1di2wuTGvxcpL9nBZjO4Q-imm_-gCdufN-Gk-UhOC1-X5t49A_t1Vgp5jdQ-_fYw9Et-Ubn0hoYilHSIcQ9yjWQ6h6sVL1xFXc0LyyMDkaiA2vw2yM8ZS7NzV-Or1UflojAqXg3ZEFnASNkuCP9UoXprLfjr_b55Gb_WM7v9b444-Q-ry7NZfnMgUi-HzBhYWtCTCX5NUxo0rkOhJW_pUhXP1E7Cb6OJ2ohgl6CoA4hCXNopFJfOUU54plLwyBr9ANg3JitjH3jgSEdkYh1TUR_LdIdR64NfiHqbtlmtc677yDw3IJ3_4qhAXoPGGwmNhZBQNNvT7HgI__Ns1Jh7JTzxzegVMBZx0stGaXjpjxcsKz2JedXbs1zhnXJfjsX0sVQVhARy3gR-nHLCXCyAN6cpeKvhd8QzwSi2IiM2Gu3xkxtftnrn0kvG65A7WJjeuTbUd9oTyKp9Q4IYqPQD59cejOQMpwMlCtnGeCu8WzK79Qvj3hu0s7ID34BuVzSrRbpZ_hn-z7Dh4zdlZ-nEZ1q-v-gm6QuJMe_5dFMv2U7uvmNLO-YXHoT7NaXsl0s7XX13_k4WQrurQ48GWm-tGtWdSIBhp_1gA4HVRCvlw4AJlnhXK8dc7Jm-p1ND2VL1svLu9ATicE3SSKI6JZ3hH72-XAa3f1G_V-5jJ2KD9Zi47C8FfoDKNl5KWkrwt2Yr9uJgbtaDvNrojyhQrI3Dv-KBtqdtW5yzWK_OkpDMblEuJ51Sr_rirT85ufT38bPTSKByO-Soj5DmBGV0mUk9pRTrON4zlB0cZd4ZBP4bcnrxlHllAs6ZeVv1INy9eCg_jUWD6tZbeNOXdJE5bdljxuIAnQNx8N7pFeEHt9jTsn8RUsVXD42tZoxypwgo2Txgs5qz7_4CTe41KCQZ9S04uEiytsnGCeTs4Ld2hunBMggrHhhfQ3UEQ-KUe4o_K9CHie9rMOdtQSxz4Cy3saNhzLcijI6MKAh-aZlOsV4fIu6OngJphn1KtDnz65-W3gdG09w3SOCYKhkwRE6ftUVKvXsUw8pC8WV1SbP77DnMyWCttwsjHZdTnlTzgn2K0uvmL9rhktjJ3hHZWZfr0KbIh2WRAdSmA_wcCISHTHXntmX9rxgQ3vc6f_1_AswgsvtnZfZO0CqMwO2epBYjzxDLVFkZZi0CKd092LzH93Ui11QtwhhVI6HujF7-LetsdfPyBjrVq3fmXIwv0iQdjGDE8-GMSbuXAQcjVApUKeL7vgezb8A6VfoW8eCD5fesZFi9jQZhGuAXho5XLBNJ1DpfOFDjpamjM="}, {"type": "text", "text": "Explain that tool observations are first received in the specialist\u2019s own execution context. The specialist interprets them, combines them with its task state, and returns a result to the parent\u2014typically including the conclusion, relevant evidence, status, and any errors or unresolved issues. Clarify that raw tool output is not necessarily forwarded verbatim; the delegation protocol may transmit a summarized or structured payload, while logs and trace IDs can preserve the full observation history for auditing. The parent then validates the response and incorporates it into the broader workflow.", "phase": "final_answer", "index": 1, "id": "msg_09caf27075dc701f006ab36c9d736c87d2a69a468efb209424"}]</t>
  </si>
  <si>
    <t>R8</t>
  </si>
  <si>
    <t>01a0cce0-4ed1-7152-ad25-ac12d5ce86f9</t>
  </si>
  <si>
    <t>[{"id": "rs_09caf27075dc701f006ab36ca013f887d2a2e40c3aecf435d3", "summary": [], "type": "reasoning", "content": [], "index": 0, "encrypted_content": "gAAAAABqs2yg0sVAIQvbsdtvqDepE6hXlj6rhWHeH4XWSRohgnobXjYg4ADwyx0h0j4iAQ4WVpwF6-mQvIkr3HzTUZl-vN4AMARoWhzEvhskxWQdXRVYaHGZEOMVRVGK0H08-Q4gtE8qksnGHjVBvTkus9xeFba75Nyx9hPTN93rItoNi_7wQJteBvuEs9wuq8Lu-qzwceEEvZfwbK5zEzYDaenzbTx8D-6sCTLWZQ5P9OpoHs-qvSYoJdK9p4vOmAwhGwXtBWAfKCVJty6bGmHsYX2SgwuLp36Niputp4S86rfZ5oNaofQicFQin0GSXLKs6Qa3h3KqAK5q7ObIHH8eputHq7yfzAVRpJ9RSKZf7c8taOq1qlefGUTt_3U2gswMJKIWl-sCcCoNbpPNQ8-1EJg-TlnUBlLN-fCUq4X8AWbw1d1iUYzpSdmq-bYKDcOvFT_Ycstr4VcvioO0-39HRKCj5mhvmbKKwJE3Z9qXJILZn9koXtGvZgrpwJHWUnai14nUEHkR_9oNF0D_Q52uBNkhj7Sy7JfRou8KsZSuVifq5B6WAX6MPP-cX4NUqRzKFfgu58dlnuCbMnkXXLlOVCJwXstOS2LsuKQxZvswpZjiVADawIyyOZE7JxVQF_0EW86WxYi1Zy0W6_4TZY6UTN88QX-N1jIX9Yl9RDJgQ-y35P4d0WoRh-6cbSN_b3IC_4GjBYxVkzxETcKi6vSr-Z0codsBpqg-NI89wNd1jGp5hiqqTgGD6_7W2XxigtwD7cUIVkn1YDduz8K316nd8DgVhfZeTwc5_X9fo9dEuXX9K3XdbVE3IgN9XjwHzJ0wYa1KVvXWNeheDCrGvl9FxK26LpoiM42BwbGfrf50AfRWxj4y38zgQ2o7AvtI40NQFZ9BwNm0pBryKc-Kd7O9yUWtmvR6FZuNcgoKsa7lah07XhvMI91oQtFg4VYe-WGt3VNJX3mE7qmWIXPKS5dC8SPsCy404L8nhRm3m7sc0fVUQ9xEoR1mr33GpR_G4OwLyxKzGs3QVSzNGpl5_Nkby43XqcbU3MBo5gFaqc5_8bVFSsmdsjasXHhxadNOUC2Ukzi2HqPaR0n0BqnlAbR3u7q0tmLhVMT-1I2975s4F3cqyCeLmWncoaNY1zFlkS5UwR1rTMWdOK-7DMbOowmlyouvbwNkviP3yVqs26lnMZS4Td5-1dNv5L1fGX1ww-h2dJZVXwG6tVALI12xZiOAyWA-RmiTqgzECO4Ly5-ca18nvZCp06DAwBfJ-tms-9aC-RwYlLSD2p2s9lHwDrT_TiOzj0_c0Vpvo9Lj3YaTkCqHjVXcZ6alBNcNtR1KGg1tt1excpy78u4apeuGz5fNWOdTjw9pX8eEwPeWKzuYtUTj5qpwW7CjB6fifwa32aIqK9WFe1g0p4t9uk9L3bO1go3nq56ixg=="}, {"type": "text", "text": "Explain that tool observations are first received in the specialist\u2019s own execution context. The specialist interprets them, combines them with its task state, and returns a result to the parent\u2014typically including the conclusion, relevant evidence, status, and any errors or unresolved issues. Clarify that raw tool output is not necessarily forwarded verbatim; the delegation protocol may transmit a summarized or structured payload, while logs and trace IDs can preserve the full observation history for auditing. The parent then validates the response and incorporates it into the broader workflow.", "phase": "final_answer", "index": 1, "id": "msg_09caf27075dc701f006ab36ca0931087d29f160e010e7a8d4d"}]</t>
  </si>
  <si>
    <t>context_budget_workflow</t>
  </si>
  <si>
    <t>workflow</t>
  </si>
  <si>
    <t>Execute the context_budget_workflow workflow operation and pass its result to the next graph step.</t>
  </si>
  <si>
    <t>Subtree total</t>
  </si>
  <si>
    <t xml:space="preserve">    planning_peer</t>
  </si>
  <si>
    <t>Execute the planning_peer workflow operation and pass its result to the next graph step.</t>
  </si>
  <si>
    <t>01a0ccdf-ffbf-7dc1-ac76-8c696eca457d</t>
  </si>
  <si>
    <t xml:space="preserve">        run</t>
  </si>
  <si>
    <t>Execute the run workflow operation and pass its result to the next graph step.</t>
  </si>
  <si>
    <t>01a0ccdf-ffc0-7361-96a8-f16d97646ee1</t>
  </si>
  <si>
    <t xml:space="preserve">            context_planner</t>
  </si>
  <si>
    <t>Execute the context_planner workflow operation and pass its result to the next graph step.</t>
  </si>
  <si>
    <t>01a0ccdf-ffc0-7361-96a8-f17740ced8bb</t>
  </si>
  <si>
    <t xml:space="preserve">                SummarizationMiddleware.before_model</t>
  </si>
  <si>
    <t>Execute the SummarizationMiddleware.before_model workflow operation and pass its result to the next graph step.</t>
  </si>
  <si>
    <t>01a0ccdf-ffc1-7f83-b371-9ac2b306a99b</t>
  </si>
  <si>
    <t>No model charge</t>
  </si>
  <si>
    <t xml:space="preserve">                model</t>
  </si>
  <si>
    <t>Prepare the current conversation, run model middleware, and invoke the chat model.</t>
  </si>
  <si>
    <t>01a0ccdf-ffc3-7422-9396-c251a3812ffc</t>
  </si>
  <si>
    <t xml:space="preserve">                    ChatOpenAI</t>
  </si>
  <si>
    <t>model</t>
  </si>
  <si>
    <t>Generate the next assistant message or tool request from the current conversation.</t>
  </si>
  <si>
    <t>Own call</t>
  </si>
  <si>
    <t xml:space="preserve">    responding_peer</t>
  </si>
  <si>
    <t>Execute the responding_peer workflow operation and pass its result to the next graph step.</t>
  </si>
  <si>
    <t>01a0cce0-09af-7431-8f0d-2753d6e9f0d4</t>
  </si>
  <si>
    <t>01a0cce0-09b0-74c0-93e0-f77adc5f4d9c</t>
  </si>
  <si>
    <t xml:space="preserve">            context_responder</t>
  </si>
  <si>
    <t>Execute the context_responder workflow operation and pass its result to the next graph step.</t>
  </si>
  <si>
    <t>01a0cce0-09b0-74c0-93e0-f7874dc7fa03</t>
  </si>
  <si>
    <t>Compaction completed | Trigger context: 2,190 tokens (reported input + output) | After replacement: 802 tokens (local estimate after history replacement) | Compact at: 1,500 context tokens | Input error limit: 4,000 estimated tokens</t>
  </si>
  <si>
    <t>01a0cce0-09b1-7720-ae3f-22d0ed4dc07a</t>
  </si>
  <si>
    <t xml:space="preserve">                    workflow_history_summarizer</t>
  </si>
  <si>
    <t>Execute the workflow_history_summarizer workflow operation and pass its result to the next graph step.</t>
  </si>
  <si>
    <t>01a0cce0-09b2-7a71-8f95-243705aeef39</t>
  </si>
  <si>
    <t xml:space="preserve">                        workflow_history_summarizer</t>
  </si>
  <si>
    <t>01a0cce0-1365-7bf2-8208-7ddaf52f6de2</t>
  </si>
  <si>
    <t xml:space="preserve">                tools</t>
  </si>
  <si>
    <t>Execute tool calls requested by the preceding model response and return their observations.</t>
  </si>
  <si>
    <t>01a0cce0-1a6d-7920-95de-580771fdf317</t>
  </si>
  <si>
    <t xml:space="preserve">                    task</t>
  </si>
  <si>
    <t>tool</t>
  </si>
  <si>
    <t>Launch an ephemeral subagent to handle a complex, multi-step task.
Available agent types and the tools they have access to:
- isolated-subagent: Echoes assigned text with a local tool and summarizes its result.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t>
  </si>
  <si>
    <t xml:space="preserve">                        isolated-subagent</t>
  </si>
  <si>
    <t>Execute the isolated-subagent workflow operation and pass its result to the next graph step.</t>
  </si>
  <si>
    <t>01a0cce0-1a6f-7703-9c5e-f134180f2135</t>
  </si>
  <si>
    <t xml:space="preserve">                            SummarizationMiddleware.before_model</t>
  </si>
  <si>
    <t>01a0cce0-1a71-7da1-8b61-9dab5bdc0864</t>
  </si>
  <si>
    <t xml:space="preserve">                            model</t>
  </si>
  <si>
    <t>01a0cce0-1a73-72a0-9ce3-79a31a00ba05</t>
  </si>
  <si>
    <t xml:space="preserve">                                ChatOpenAI</t>
  </si>
  <si>
    <t xml:space="preserve">                            tools</t>
  </si>
  <si>
    <t>01a0cce0-23cd-7f20-8fdf-719757eb7b48</t>
  </si>
  <si>
    <t xml:space="preserve">                                echo_tool</t>
  </si>
  <si>
    <t>Return the provided text prefixed with "Your input was: ".</t>
  </si>
  <si>
    <t>01a0cce0-23d2-7fb3-aa08-df4df5edc826</t>
  </si>
  <si>
    <t>01a0cce0-23d3-7013-83c5-71954dab4f00</t>
  </si>
  <si>
    <t>01a0cce0-2b8b-7f63-8bbf-73bd83197bcd</t>
  </si>
  <si>
    <t>01a0cce0-2b8c-79e2-861d-4b2329b471ee</t>
  </si>
  <si>
    <t>01a0cce0-3a62-7ca2-bd69-c760eb4ca432</t>
  </si>
  <si>
    <t>01a0cce0-3a63-7951-94a5-da3c61c322db</t>
  </si>
  <si>
    <t>01a0cce0-3a63-7951-94a5-da48815d87d0</t>
  </si>
  <si>
    <t>01a0cce0-3a64-7af2-830f-8c182596ec90</t>
  </si>
  <si>
    <t>01a0cce0-3a64-7af2-830f-8c235729cc9d</t>
  </si>
  <si>
    <t>01a0cce0-3a66-74d2-a2dc-8bdd7e184bdf</t>
  </si>
  <si>
    <t>01a0cce0-4ecc-7b40-9734-0bc1bacdbff7</t>
  </si>
  <si>
    <t>01a0cce0-4ecd-7523-a24f-013cf6e50fa9</t>
  </si>
  <si>
    <t>01a0cce0-4ece-7f60-8eb5-6d17625212a2</t>
  </si>
  <si>
    <t>01a0cce0-4ecf-7652-9516-143226ed39fc</t>
  </si>
  <si>
    <t>01a0cce0-4ed0-7b93-8d2a-ad629af277cf</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</si>
</sst>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16"/>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IF(COUNT('Turns'!E18,'Turns'!E31,'Turns'!E44,'Turns'!E60,'Turns'!E76,'Turns'!E89,'Turns'!E104,'Turns'!E116)=8,SUM('Turns'!E18,'Turns'!E31,'Turns'!E44,'Turns'!E60,'Turns'!E76,'Turns'!E89,'Turns'!E104,'Turns'!E116),"Unknown")</f>
        <v>0.0022816924587</v>
      </c>
      <c r="F2" s="2">
        <f>IF(COUNT('Turns'!F18,'Turns'!F31,'Turns'!F44,'Turns'!F60,'Turns'!F76,'Turns'!F89,'Turns'!F104,'Turns'!F116)=8,SUM('Turns'!F18,'Turns'!F31,'Turns'!F44,'Turns'!F60,'Turns'!F76,'Turns'!F89,'Turns'!F104,'Turns'!F116),"Unknown")</f>
        <v>0.00261551</v>
      </c>
      <c r="G2" s="5">
        <f>IF(ISNUMBER(E2),ROUND(E2*'Reference data'!$B$2,0),"Unknown")</f>
        <v>228.0</v>
      </c>
      <c r="H2" s="5">
        <f>IF(ISNUMBER(F2),ROUND(F2*'Reference data'!$B$2,0),"Unknown")</f>
        <v>262.0</v>
      </c>
    </row>
    <row r="3" spans="1:13" s="4" customFormat="1" ht="24" customHeight="1">
      <c r="B3" s="4">
        <v>1</v>
      </c>
      <c r="C3" s="4" t="s">
        <v>92</v>
      </c>
      <c r="E3" s="2">
        <f>IF(COUNT('Turns'!E18,'Turns'!E31,'Turns'!E44,'Turns'!E60,'Turns'!E76,'Turns'!E89)=6,SUM('Turns'!E18,'Turns'!E31,'Turns'!E44,'Turns'!E60,'Turns'!E76,'Turns'!E89),"Unknown")</f>
        <v>0.0014002061922</v>
      </c>
      <c r="F3" s="2">
        <f>IF(COUNT('Turns'!F18,'Turns'!F31,'Turns'!F44,'Turns'!F60,'Turns'!F76,'Turns'!F89)=6,SUM('Turns'!F18,'Turns'!F31,'Turns'!F44,'Turns'!F60,'Turns'!F76,'Turns'!F89),"Unknown")</f>
        <v>0.00160506</v>
      </c>
      <c r="G3" s="5">
        <f>IF(ISNUMBER(E3),ROUND(E3*'Reference data'!$B$2,0),"Unknown")</f>
        <v>140.0</v>
      </c>
      <c r="H3" s="5">
        <f>IF(ISNUMBER(F3),ROUND(F3*'Reference data'!$B$2,0),"Unknown")</f>
        <v>161.0</v>
      </c>
    </row>
    <row r="4" spans="1:13" s="4" customFormat="1" ht="24" customHeight="1">
      <c r="A4" s="4" t="s">
        <v>93</v>
      </c>
      <c r="B4" s="4">
        <v>1</v>
      </c>
      <c r="C4" s="4" t="s">
        <v>94</v>
      </c>
      <c r="D4" s="4">
        <v>2062</v>
      </c>
      <c r="J4" s="4" t="s">
        <v>95</v>
      </c>
      <c r="M4" s="4" t="s">
        <v>96</v>
      </c>
    </row>
    <row r="5" spans="1:13" ht="24" customHeight="1">
      <c r="A5" t="s">
        <v>93</v>
      </c>
      <c r="B5">
        <v>1</v>
      </c>
      <c r="C5" t="s">
        <v>97</v>
      </c>
      <c r="D5" s="5">
        <v>2059</v>
      </c>
      <c r="E5" s="2">
        <f>IF(AND(ISNUMBER(F5),ISNUMBER('Reference data'!$B$3)),F5*'Reference data'!$B$3,"Unknown")</f>
        <v>3.59241966e-05</v>
      </c>
      <c r="F5" s="2">
        <f>IF(D5=0,0,IF(ISNUMBER('Reference data'!C17),D5*'Reference data'!C17/1000000,"Unknown"))</f>
        <v>4.118e-05</v>
      </c>
      <c r="G5" s="5">
        <f>IF(ISNUMBER(E5),ROUND(E5*'Reference data'!$B$2,0),"Unknown")</f>
        <v>4.0</v>
      </c>
      <c r="H5" s="5">
        <f>IF(ISNUMBER(F5),ROUND(F5*'Reference data'!$B$2,0),"Unknown")</f>
        <v>4.0</v>
      </c>
    </row>
    <row r="6" spans="1:13" ht="24" customHeight="1">
      <c r="A6" t="s">
        <v>93</v>
      </c>
      <c r="B6">
        <v>1</v>
      </c>
      <c r="C6" t="s">
        <v>98</v>
      </c>
      <c r="D6" s="5">
        <v>3</v>
      </c>
      <c r="E6" s="2">
        <f>IF(AND(ISNUMBER(F6),ISNUMBER('Reference data'!$B$3)),F6*'Reference data'!$B$3,"Unknown")</f>
        <v>5.23422e-07</v>
      </c>
      <c r="F6" s="2">
        <f>IF(D6=0,0,IF(ISNUMBER('Reference data'!B17),D6*'Reference data'!B17/1000000,"Unknown"))</f>
        <v>6e-07</v>
      </c>
      <c r="G6" s="5">
        <f>IF(ISNUMBER(E6),ROUND(E6*'Reference data'!$B$2,0),"Unknown")</f>
        <v>0.0</v>
      </c>
      <c r="H6" s="5">
        <f>IF(ISNUMBER(F6),ROUND(F6*'Reference data'!$B$2,0),"Unknown")</f>
        <v>0.0</v>
      </c>
    </row>
    <row r="7" spans="1:13" ht="24" customHeight="1">
      <c r="A7" t="s">
        <v>93</v>
      </c>
      <c r="B7">
        <v>1</v>
      </c>
      <c r="C7" t="s">
        <v>99</v>
      </c>
    </row>
    <row r="8" spans="1:13" ht="47" customHeight="1">
      <c r="A8" t="s">
        <v>93</v>
      </c>
      <c r="B8">
        <v>1</v>
      </c>
      <c r="C8" t="s">
        <v>100</v>
      </c>
      <c r="I8" s="6" t="s">
        <v>101</v>
      </c>
    </row>
    <row r="9" spans="1:13" ht="409" customHeight="1">
      <c r="A9" t="s">
        <v>93</v>
      </c>
      <c r="B9">
        <v>1</v>
      </c>
      <c r="C9" t="s">
        <v>102</v>
      </c>
      <c r="I9" s="6" t="s">
        <v>103</v>
      </c>
    </row>
    <row r="10" spans="1:13" ht="24" customHeight="1">
      <c r="A10" t="s">
        <v>93</v>
      </c>
      <c r="B10">
        <v>1</v>
      </c>
      <c r="C10" t="s">
        <v>104</v>
      </c>
    </row>
    <row r="11" spans="1:13" ht="24" customHeight="1">
      <c r="A11" t="s">
        <v>93</v>
      </c>
      <c r="B11">
        <v>1</v>
      </c>
      <c r="C11" t="s">
        <v>105</v>
      </c>
    </row>
    <row r="12" spans="1:13" s="4" customFormat="1" ht="24" customHeight="1">
      <c r="A12" s="4" t="s">
        <v>93</v>
      </c>
      <c r="B12" s="4">
        <v>1</v>
      </c>
      <c r="C12" s="4" t="s">
        <v>106</v>
      </c>
      <c r="D12" s="4">
        <v>128</v>
      </c>
    </row>
    <row r="13" spans="1:13" ht="24" customHeight="1">
      <c r="A13" t="s">
        <v>93</v>
      </c>
      <c r="B13">
        <v>1</v>
      </c>
      <c r="C13" t="s">
        <v>107</v>
      </c>
      <c r="D13" s="5">
        <v>45</v>
      </c>
      <c r="E13" s="2">
        <f>IF(AND(ISNUMBER(F13),ISNUMBER('Reference data'!$B$3)),F13*'Reference data'!$B$3,"Unknown")</f>
        <v>4.710798e-05</v>
      </c>
      <c r="F13" s="2">
        <f>IF(D13=0,0,IF(ISNUMBER('Reference data'!F17),D13*'Reference data'!F17/1000000,"Unknown"))</f>
        <v>5.4e-05</v>
      </c>
      <c r="G13" s="5">
        <f>IF(ISNUMBER(E13),ROUND(E13*'Reference data'!$B$2,0),"Unknown")</f>
        <v>5.0</v>
      </c>
      <c r="H13" s="5">
        <f>IF(ISNUMBER(F13),ROUND(F13*'Reference data'!$B$2,0),"Unknown")</f>
        <v>5.0</v>
      </c>
    </row>
    <row r="14" spans="1:13" ht="24" customHeight="1">
      <c r="A14" t="s">
        <v>93</v>
      </c>
      <c r="B14">
        <v>1</v>
      </c>
      <c r="C14" t="s">
        <v>108</v>
      </c>
      <c r="D14" s="5">
        <v>83</v>
      </c>
      <c r="E14" s="2">
        <f>IF(AND(ISNUMBER(F14),ISNUMBER('Reference data'!$B$3)),F14*'Reference data'!$B$3,"Unknown")</f>
        <v>8.6888052e-05</v>
      </c>
      <c r="F14" s="2">
        <f>IF(D14=0,0,IF(ISNUMBER('Reference data'!E17),D14*'Reference data'!E17/1000000,"Unknown"))</f>
        <v>9.96e-05</v>
      </c>
      <c r="G14" s="5">
        <f>IF(ISNUMBER(E14),ROUND(E14*'Reference data'!$B$2,0),"Unknown")</f>
        <v>9.0</v>
      </c>
      <c r="H14" s="5">
        <f>IF(ISNUMBER(F14),ROUND(F14*'Reference data'!$B$2,0),"Unknown")</f>
        <v>10.0</v>
      </c>
    </row>
    <row r="15" spans="1:13" ht="346" customHeight="1">
      <c r="A15" t="s">
        <v>93</v>
      </c>
      <c r="B15">
        <v>1</v>
      </c>
      <c r="C15" t="s">
        <v>109</v>
      </c>
      <c r="I15" s="6" t="s">
        <v>110</v>
      </c>
    </row>
    <row r="16" spans="1:13" ht="24" customHeight="1">
      <c r="A16" t="s">
        <v>93</v>
      </c>
      <c r="B16">
        <v>1</v>
      </c>
      <c r="C16" t="s">
        <v>104</v>
      </c>
    </row>
    <row r="17" spans="1:13" ht="24" customHeight="1">
      <c r="A17" t="s">
        <v>93</v>
      </c>
      <c r="B17">
        <v>1</v>
      </c>
      <c r="C17" t="s">
        <v>105</v>
      </c>
    </row>
    <row r="18" spans="1:13" s="4" customFormat="1" ht="24" customHeight="1">
      <c r="A18" s="4" t="s">
        <v>93</v>
      </c>
      <c r="B18" s="4">
        <v>1</v>
      </c>
      <c r="C18" s="4" t="s">
        <v>111</v>
      </c>
      <c r="E18" s="2">
        <f>IF(COUNT('Turns'!E5,'Turns'!E6,'Turns'!E13,'Turns'!E14)=4,SUM('Turns'!E5,'Turns'!E6,'Turns'!E13,'Turns'!E14),"Unknown")</f>
        <v>0.0001704436506</v>
      </c>
      <c r="F18" s="2">
        <f>IF(COUNT('Turns'!F5,'Turns'!F6,'Turns'!F13,'Turns'!F14)=4,SUM('Turns'!F5,'Turns'!F6,'Turns'!F13,'Turns'!F14),"Unknown")</f>
        <v>0.00019538</v>
      </c>
      <c r="G18" s="5">
        <f>IF(ISNUMBER(E18),ROUND(E18*'Reference data'!$B$2,0),"Unknown")</f>
        <v>17.0</v>
      </c>
      <c r="H18" s="5">
        <f>IF(ISNUMBER(F18),ROUND(F18*'Reference data'!$B$2,0),"Unknown")</f>
        <v>20.0</v>
      </c>
      <c r="K18" s="4" t="s">
        <v>112</v>
      </c>
    </row>
    <row r="19" spans="1:13" s="4" customFormat="1" ht="24" customHeight="1">
      <c r="A19" s="4" t="s">
        <v>113</v>
      </c>
      <c r="B19" s="4">
        <v>1</v>
      </c>
      <c r="C19" s="4" t="s">
        <v>94</v>
      </c>
      <c r="D19" s="4">
        <v>2517</v>
      </c>
      <c r="J19" s="4" t="s">
        <v>95</v>
      </c>
      <c r="M19" s="4" t="s">
        <v>114</v>
      </c>
    </row>
    <row r="20" spans="1:13" ht="24" customHeight="1">
      <c r="A20" t="s">
        <v>113</v>
      </c>
      <c r="B20">
        <v>1</v>
      </c>
      <c r="C20" t="s">
        <v>97</v>
      </c>
      <c r="D20" s="5">
        <v>2514</v>
      </c>
      <c r="E20" s="2">
        <f>IF(AND(ISNUMBER(F20),ISNUMBER('Reference data'!$B$3)),F20*'Reference data'!$B$3,"Unknown")</f>
        <v>4.38627636e-05</v>
      </c>
      <c r="F20" s="2">
        <f>IF(D20=0,0,IF(ISNUMBER('Reference data'!C17),D20*'Reference data'!C17/1000000,"Unknown"))</f>
        <v>5.028e-05</v>
      </c>
      <c r="G20" s="5">
        <f>IF(ISNUMBER(E20),ROUND(E20*'Reference data'!$B$2,0),"Unknown")</f>
        <v>4.0</v>
      </c>
      <c r="H20" s="5">
        <f>IF(ISNUMBER(F20),ROUND(F20*'Reference data'!$B$2,0),"Unknown")</f>
        <v>5.0</v>
      </c>
    </row>
    <row r="21" spans="1:13" ht="24" customHeight="1">
      <c r="A21" t="s">
        <v>113</v>
      </c>
      <c r="B21">
        <v>1</v>
      </c>
      <c r="C21" t="s">
        <v>98</v>
      </c>
      <c r="D21" s="5">
        <v>3</v>
      </c>
      <c r="E21" s="2">
        <f>IF(AND(ISNUMBER(F21),ISNUMBER('Reference data'!$B$3)),F21*'Reference data'!$B$3,"Unknown")</f>
        <v>5.23422e-07</v>
      </c>
      <c r="F21" s="2">
        <f>IF(D21=0,0,IF(ISNUMBER('Reference data'!B17),D21*'Reference data'!B17/1000000,"Unknown"))</f>
        <v>6e-07</v>
      </c>
      <c r="G21" s="5">
        <f>IF(ISNUMBER(E21),ROUND(E21*'Reference data'!$B$2,0),"Unknown")</f>
        <v>0.0</v>
      </c>
      <c r="H21" s="5">
        <f>IF(ISNUMBER(F21),ROUND(F21*'Reference data'!$B$2,0),"Unknown")</f>
        <v>0.0</v>
      </c>
    </row>
    <row r="22" spans="1:13" ht="24" customHeight="1">
      <c r="A22" t="s">
        <v>113</v>
      </c>
      <c r="B22">
        <v>1</v>
      </c>
      <c r="C22" t="s">
        <v>99</v>
      </c>
    </row>
    <row r="23" spans="1:13" ht="24" customHeight="1">
      <c r="A23" t="s">
        <v>113</v>
      </c>
      <c r="B23">
        <v>1</v>
      </c>
      <c r="C23" t="s">
        <v>100</v>
      </c>
      <c r="I23" s="6" t="s">
        <v>115</v>
      </c>
    </row>
    <row r="24" spans="1:13" ht="24" customHeight="1">
      <c r="A24" t="s">
        <v>113</v>
      </c>
      <c r="B24">
        <v>1</v>
      </c>
      <c r="C24" t="s">
        <v>104</v>
      </c>
    </row>
    <row r="25" spans="1:13" ht="24" customHeight="1">
      <c r="A25" t="s">
        <v>113</v>
      </c>
      <c r="B25">
        <v>1</v>
      </c>
      <c r="C25" t="s">
        <v>105</v>
      </c>
    </row>
    <row r="26" spans="1:13" s="4" customFormat="1" ht="24" customHeight="1">
      <c r="A26" s="4" t="s">
        <v>113</v>
      </c>
      <c r="B26" s="4">
        <v>1</v>
      </c>
      <c r="C26" s="4" t="s">
        <v>106</v>
      </c>
      <c r="D26" s="4">
        <v>191</v>
      </c>
    </row>
    <row r="27" spans="1:13" ht="24" customHeight="1">
      <c r="A27" t="s">
        <v>113</v>
      </c>
      <c r="B27">
        <v>1</v>
      </c>
      <c r="C27" t="s">
        <v>108</v>
      </c>
      <c r="D27" s="5">
        <v>191</v>
      </c>
      <c r="E27" s="2">
        <f>IF(AND(ISNUMBER(F27),ISNUMBER('Reference data'!$B$3)),F27*'Reference data'!$B$3,"Unknown")</f>
        <v>0.000199947204</v>
      </c>
      <c r="F27" s="2">
        <f>IF(D27=0,0,IF(ISNUMBER('Reference data'!E17),D27*'Reference data'!E17/1000000,"Unknown"))</f>
        <v>0.0002292</v>
      </c>
      <c r="G27" s="5">
        <f>IF(ISNUMBER(E27),ROUND(E27*'Reference data'!$B$2,0),"Unknown")</f>
        <v>20.0</v>
      </c>
      <c r="H27" s="5">
        <f>IF(ISNUMBER(F27),ROUND(F27*'Reference data'!$B$2,0),"Unknown")</f>
        <v>23.0</v>
      </c>
    </row>
    <row r="28" spans="1:13" ht="190" customHeight="1">
      <c r="A28" t="s">
        <v>113</v>
      </c>
      <c r="B28">
        <v>1</v>
      </c>
      <c r="C28" t="s">
        <v>109</v>
      </c>
      <c r="I28" s="6" t="s">
        <v>116</v>
      </c>
    </row>
    <row r="29" spans="1:13" ht="24" customHeight="1">
      <c r="A29" t="s">
        <v>113</v>
      </c>
      <c r="B29">
        <v>1</v>
      </c>
      <c r="C29" t="s">
        <v>104</v>
      </c>
    </row>
    <row r="30" spans="1:13" ht="24" customHeight="1">
      <c r="A30" t="s">
        <v>113</v>
      </c>
      <c r="B30">
        <v>1</v>
      </c>
      <c r="C30" t="s">
        <v>105</v>
      </c>
    </row>
    <row r="31" spans="1:13" s="4" customFormat="1" ht="24" customHeight="1">
      <c r="A31" s="4" t="s">
        <v>113</v>
      </c>
      <c r="B31" s="4">
        <v>1</v>
      </c>
      <c r="C31" s="4" t="s">
        <v>111</v>
      </c>
      <c r="E31" s="2">
        <f>IF(COUNT('Turns'!E20,'Turns'!E21,'Turns'!E27)=3,SUM('Turns'!E20,'Turns'!E21,'Turns'!E27),"Unknown")</f>
        <v>0.0002443333896</v>
      </c>
      <c r="F31" s="2">
        <f>IF(COUNT('Turns'!F20,'Turns'!F21,'Turns'!F27)=3,SUM('Turns'!F20,'Turns'!F21,'Turns'!F27),"Unknown")</f>
        <v>0.00028008</v>
      </c>
      <c r="G31" s="5">
        <f>IF(ISNUMBER(E31),ROUND(E31*'Reference data'!$B$2,0),"Unknown")</f>
        <v>24.0</v>
      </c>
      <c r="H31" s="5">
        <f>IF(ISNUMBER(F31),ROUND(F31*'Reference data'!$B$2,0),"Unknown")</f>
        <v>28.0</v>
      </c>
      <c r="K31" s="4" t="s">
        <v>112</v>
      </c>
    </row>
    <row r="32" spans="1:13" s="4" customFormat="1" ht="24" customHeight="1">
      <c r="A32" s="4" t="s">
        <v>117</v>
      </c>
      <c r="B32" s="4">
        <v>1</v>
      </c>
      <c r="C32" s="4" t="s">
        <v>94</v>
      </c>
      <c r="D32" s="4">
        <v>700</v>
      </c>
      <c r="J32" s="4" t="s">
        <v>95</v>
      </c>
      <c r="M32" s="4" t="s">
        <v>118</v>
      </c>
    </row>
    <row r="33" spans="1:13" ht="24" customHeight="1">
      <c r="A33" t="s">
        <v>117</v>
      </c>
      <c r="B33">
        <v>1</v>
      </c>
      <c r="C33" t="s">
        <v>98</v>
      </c>
      <c r="D33" s="5">
        <v>700</v>
      </c>
      <c r="E33" s="2">
        <f>IF(AND(ISNUMBER(F33),ISNUMBER('Reference data'!$B$3)),F33*'Reference data'!$B$3,"Unknown")</f>
        <v>0.0001221318</v>
      </c>
      <c r="F33" s="2">
        <f>IF(D33=0,0,IF(ISNUMBER('Reference data'!B17),D33*'Reference data'!B17/1000000,"Unknown"))</f>
        <v>0.00014</v>
      </c>
      <c r="G33" s="5">
        <f>IF(ISNUMBER(E33),ROUND(E33*'Reference data'!$B$2,0),"Unknown")</f>
        <v>12.0</v>
      </c>
      <c r="H33" s="5">
        <f>IF(ISNUMBER(F33),ROUND(F33*'Reference data'!$B$2,0),"Unknown")</f>
        <v>14.0</v>
      </c>
    </row>
    <row r="34" spans="1:13" ht="24" customHeight="1">
      <c r="A34" t="s">
        <v>117</v>
      </c>
      <c r="B34">
        <v>1</v>
      </c>
      <c r="C34" t="s">
        <v>99</v>
      </c>
    </row>
    <row r="35" spans="1:13" ht="60" customHeight="1">
      <c r="A35" t="s">
        <v>117</v>
      </c>
      <c r="B35">
        <v>1</v>
      </c>
      <c r="C35" t="s">
        <v>100</v>
      </c>
      <c r="I35" s="6" t="s">
        <v>119</v>
      </c>
    </row>
    <row r="36" spans="1:13" ht="24" customHeight="1">
      <c r="A36" t="s">
        <v>117</v>
      </c>
      <c r="B36">
        <v>1</v>
      </c>
      <c r="C36" t="s">
        <v>104</v>
      </c>
    </row>
    <row r="37" spans="1:13" ht="24" customHeight="1">
      <c r="A37" t="s">
        <v>117</v>
      </c>
      <c r="B37">
        <v>1</v>
      </c>
      <c r="C37" t="s">
        <v>105</v>
      </c>
    </row>
    <row r="38" spans="1:13" s="4" customFormat="1" ht="24" customHeight="1">
      <c r="A38" s="4" t="s">
        <v>117</v>
      </c>
      <c r="B38" s="4">
        <v>1</v>
      </c>
      <c r="C38" s="4" t="s">
        <v>106</v>
      </c>
      <c r="D38" s="4">
        <v>104</v>
      </c>
    </row>
    <row r="39" spans="1:13" ht="24" customHeight="1">
      <c r="A39" t="s">
        <v>117</v>
      </c>
      <c r="B39">
        <v>1</v>
      </c>
      <c r="C39" t="s">
        <v>107</v>
      </c>
      <c r="D39" s="5">
        <v>21</v>
      </c>
      <c r="E39" s="2">
        <f>IF(AND(ISNUMBER(F39),ISNUMBER('Reference data'!$B$3)),F39*'Reference data'!$B$3,"Unknown")</f>
        <v>2.1983724e-05</v>
      </c>
      <c r="F39" s="2">
        <f>IF(D39=0,0,IF(ISNUMBER('Reference data'!F17),D39*'Reference data'!F17/1000000,"Unknown"))</f>
        <v>2.52e-05</v>
      </c>
      <c r="G39" s="5">
        <f>IF(ISNUMBER(E39),ROUND(E39*'Reference data'!$B$2,0),"Unknown")</f>
        <v>2.0</v>
      </c>
      <c r="H39" s="5">
        <f>IF(ISNUMBER(F39),ROUND(F39*'Reference data'!$B$2,0),"Unknown")</f>
        <v>3.0</v>
      </c>
    </row>
    <row r="40" spans="1:13" ht="24" customHeight="1">
      <c r="A40" t="s">
        <v>117</v>
      </c>
      <c r="B40">
        <v>1</v>
      </c>
      <c r="C40" t="s">
        <v>108</v>
      </c>
      <c r="D40" s="5">
        <v>83</v>
      </c>
      <c r="E40" s="2">
        <f>IF(AND(ISNUMBER(F40),ISNUMBER('Reference data'!$B$3)),F40*'Reference data'!$B$3,"Unknown")</f>
        <v>8.6888052e-05</v>
      </c>
      <c r="F40" s="2">
        <f>IF(D40=0,0,IF(ISNUMBER('Reference data'!E17),D40*'Reference data'!E17/1000000,"Unknown"))</f>
        <v>9.96e-05</v>
      </c>
      <c r="G40" s="5">
        <f>IF(ISNUMBER(E40),ROUND(E40*'Reference data'!$B$2,0),"Unknown")</f>
        <v>9.0</v>
      </c>
      <c r="H40" s="5">
        <f>IF(ISNUMBER(F40),ROUND(F40*'Reference data'!$B$2,0),"Unknown")</f>
        <v>10.0</v>
      </c>
    </row>
    <row r="41" spans="1:13" ht="398" customHeight="1">
      <c r="A41" t="s">
        <v>117</v>
      </c>
      <c r="B41">
        <v>1</v>
      </c>
      <c r="C41" t="s">
        <v>109</v>
      </c>
      <c r="I41" s="6" t="s">
        <v>120</v>
      </c>
    </row>
    <row r="42" spans="1:13" ht="24" customHeight="1">
      <c r="A42" t="s">
        <v>117</v>
      </c>
      <c r="B42">
        <v>1</v>
      </c>
      <c r="C42" t="s">
        <v>104</v>
      </c>
    </row>
    <row r="43" spans="1:13" ht="24" customHeight="1">
      <c r="A43" t="s">
        <v>117</v>
      </c>
      <c r="B43">
        <v>1</v>
      </c>
      <c r="C43" t="s">
        <v>105</v>
      </c>
    </row>
    <row r="44" spans="1:13" s="4" customFormat="1" ht="24" customHeight="1">
      <c r="A44" s="4" t="s">
        <v>117</v>
      </c>
      <c r="B44" s="4">
        <v>1</v>
      </c>
      <c r="C44" s="4" t="s">
        <v>111</v>
      </c>
      <c r="E44" s="2">
        <f>IF(COUNT('Turns'!E33,'Turns'!E39,'Turns'!E40)=3,SUM('Turns'!E33,'Turns'!E39,'Turns'!E40),"Unknown")</f>
        <v>0.000231003576</v>
      </c>
      <c r="F44" s="2">
        <f>IF(COUNT('Turns'!F33,'Turns'!F39,'Turns'!F40)=3,SUM('Turns'!F33,'Turns'!F39,'Turns'!F40),"Unknown")</f>
        <v>0.0002648</v>
      </c>
      <c r="G44" s="5">
        <f>IF(ISNUMBER(E44),ROUND(E44*'Reference data'!$B$2,0),"Unknown")</f>
        <v>23.0</v>
      </c>
      <c r="H44" s="5">
        <f>IF(ISNUMBER(F44),ROUND(F44*'Reference data'!$B$2,0),"Unknown")</f>
        <v>26.0</v>
      </c>
      <c r="K44" s="4" t="s">
        <v>112</v>
      </c>
    </row>
    <row r="45" spans="1:13" s="4" customFormat="1" ht="24" customHeight="1">
      <c r="B45" s="4">
        <v>1</v>
      </c>
      <c r="C45" s="4" t="s">
        <v>121</v>
      </c>
      <c r="K45" s="4" t="s">
        <v>112</v>
      </c>
      <c r="M45" s="4" t="s">
        <v>122</v>
      </c>
    </row>
    <row r="46" spans="1:13" ht="60" customHeight="1">
      <c r="B46">
        <v>1</v>
      </c>
      <c r="C46" t="s">
        <v>123</v>
      </c>
      <c r="I46" s="6" t="s">
        <v>124</v>
      </c>
    </row>
    <row r="47" spans="1:13" ht="47" customHeight="1">
      <c r="B47">
        <v>1</v>
      </c>
      <c r="C47" t="s">
        <v>125</v>
      </c>
      <c r="I47" s="6" t="s">
        <v>126</v>
      </c>
    </row>
    <row r="48" spans="1:13" s="4" customFormat="1" ht="24" customHeight="1">
      <c r="A48" s="4" t="s">
        <v>127</v>
      </c>
      <c r="B48" s="4">
        <v>1</v>
      </c>
      <c r="C48" s="4" t="s">
        <v>94</v>
      </c>
      <c r="D48" s="4">
        <v>160</v>
      </c>
      <c r="J48" s="4" t="s">
        <v>95</v>
      </c>
      <c r="M48" s="4" t="s">
        <v>128</v>
      </c>
    </row>
    <row r="49" spans="1:13" ht="24" customHeight="1">
      <c r="A49" t="s">
        <v>127</v>
      </c>
      <c r="B49">
        <v>1</v>
      </c>
      <c r="C49" t="s">
        <v>98</v>
      </c>
      <c r="D49" s="5">
        <v>160</v>
      </c>
      <c r="E49" s="2">
        <f>IF(AND(ISNUMBER(F49),ISNUMBER('Reference data'!$B$3)),F49*'Reference data'!$B$3,"Unknown")</f>
        <v>2.791584e-05</v>
      </c>
      <c r="F49" s="2">
        <f>IF(D49=0,0,IF(ISNUMBER('Reference data'!B17),D49*'Reference data'!B17/1000000,"Unknown"))</f>
        <v>3.2e-05</v>
      </c>
      <c r="G49" s="5">
        <f>IF(ISNUMBER(E49),ROUND(E49*'Reference data'!$B$2,0),"Unknown")</f>
        <v>3.0</v>
      </c>
      <c r="H49" s="5">
        <f>IF(ISNUMBER(F49),ROUND(F49*'Reference data'!$B$2,0),"Unknown")</f>
        <v>3.0</v>
      </c>
    </row>
    <row r="50" spans="1:13" ht="24" customHeight="1">
      <c r="A50" t="s">
        <v>127</v>
      </c>
      <c r="B50">
        <v>1</v>
      </c>
      <c r="C50" t="s">
        <v>99</v>
      </c>
    </row>
    <row r="51" spans="1:13" ht="47" customHeight="1">
      <c r="A51" t="s">
        <v>127</v>
      </c>
      <c r="B51">
        <v>1</v>
      </c>
      <c r="C51" t="s">
        <v>100</v>
      </c>
      <c r="I51" s="6" t="s">
        <v>129</v>
      </c>
    </row>
    <row r="52" spans="1:13" ht="24" customHeight="1">
      <c r="A52" t="s">
        <v>127</v>
      </c>
      <c r="B52">
        <v>1</v>
      </c>
      <c r="C52" t="s">
        <v>104</v>
      </c>
    </row>
    <row r="53" spans="1:13" ht="24" customHeight="1">
      <c r="A53" t="s">
        <v>127</v>
      </c>
      <c r="B53">
        <v>1</v>
      </c>
      <c r="C53" t="s">
        <v>105</v>
      </c>
    </row>
    <row r="54" spans="1:13" s="4" customFormat="1" ht="24" customHeight="1">
      <c r="A54" s="4" t="s">
        <v>127</v>
      </c>
      <c r="B54" s="4">
        <v>1</v>
      </c>
      <c r="C54" s="4" t="s">
        <v>106</v>
      </c>
      <c r="D54" s="4">
        <v>101</v>
      </c>
    </row>
    <row r="55" spans="1:13" ht="24" customHeight="1">
      <c r="A55" t="s">
        <v>127</v>
      </c>
      <c r="B55">
        <v>1</v>
      </c>
      <c r="C55" t="s">
        <v>107</v>
      </c>
      <c r="D55" s="5">
        <v>48</v>
      </c>
      <c r="E55" s="2">
        <f>IF(AND(ISNUMBER(F55),ISNUMBER('Reference data'!$B$3)),F55*'Reference data'!$B$3,"Unknown")</f>
        <v>5.0248512e-05</v>
      </c>
      <c r="F55" s="2">
        <f>IF(D55=0,0,IF(ISNUMBER('Reference data'!F17),D55*'Reference data'!F17/1000000,"Unknown"))</f>
        <v>5.76e-05</v>
      </c>
      <c r="G55" s="5">
        <f>IF(ISNUMBER(E55),ROUND(E55*'Reference data'!$B$2,0),"Unknown")</f>
        <v>5.0</v>
      </c>
      <c r="H55" s="5">
        <f>IF(ISNUMBER(F55),ROUND(F55*'Reference data'!$B$2,0),"Unknown")</f>
        <v>6.0</v>
      </c>
    </row>
    <row r="56" spans="1:13" ht="24" customHeight="1">
      <c r="A56" t="s">
        <v>127</v>
      </c>
      <c r="B56">
        <v>1</v>
      </c>
      <c r="C56" t="s">
        <v>108</v>
      </c>
      <c r="D56" s="5">
        <v>53</v>
      </c>
      <c r="E56" s="2">
        <f>IF(AND(ISNUMBER(F56),ISNUMBER('Reference data'!$B$3)),F56*'Reference data'!$B$3,"Unknown")</f>
        <v>5.5482732e-05</v>
      </c>
      <c r="F56" s="2">
        <f>IF(D56=0,0,IF(ISNUMBER('Reference data'!E17),D56*'Reference data'!E17/1000000,"Unknown"))</f>
        <v>6.36e-05</v>
      </c>
      <c r="G56" s="5">
        <f>IF(ISNUMBER(E56),ROUND(E56*'Reference data'!$B$2,0),"Unknown")</f>
        <v>6.0</v>
      </c>
      <c r="H56" s="5">
        <f>IF(ISNUMBER(F56),ROUND(F56*'Reference data'!$B$2,0),"Unknown")</f>
        <v>6.0</v>
      </c>
    </row>
    <row r="57" spans="1:13" ht="372" customHeight="1">
      <c r="A57" t="s">
        <v>127</v>
      </c>
      <c r="B57">
        <v>1</v>
      </c>
      <c r="C57" t="s">
        <v>109</v>
      </c>
      <c r="I57" s="6" t="s">
        <v>130</v>
      </c>
    </row>
    <row r="58" spans="1:13" ht="24" customHeight="1">
      <c r="A58" t="s">
        <v>127</v>
      </c>
      <c r="B58">
        <v>1</v>
      </c>
      <c r="C58" t="s">
        <v>104</v>
      </c>
    </row>
    <row r="59" spans="1:13" ht="24" customHeight="1">
      <c r="A59" t="s">
        <v>127</v>
      </c>
      <c r="B59">
        <v>1</v>
      </c>
      <c r="C59" t="s">
        <v>105</v>
      </c>
    </row>
    <row r="60" spans="1:13" s="4" customFormat="1" ht="24" customHeight="1">
      <c r="A60" s="4" t="s">
        <v>127</v>
      </c>
      <c r="B60" s="4">
        <v>1</v>
      </c>
      <c r="C60" s="4" t="s">
        <v>111</v>
      </c>
      <c r="E60" s="2">
        <f>IF(COUNT('Turns'!E49,'Turns'!E55,'Turns'!E56)=3,SUM('Turns'!E49,'Turns'!E55,'Turns'!E56),"Unknown")</f>
        <v>0.000133647084</v>
      </c>
      <c r="F60" s="2">
        <f>IF(COUNT('Turns'!F49,'Turns'!F55,'Turns'!F56)=3,SUM('Turns'!F49,'Turns'!F55,'Turns'!F56),"Unknown")</f>
        <v>0.0001532</v>
      </c>
      <c r="G60" s="5">
        <f>IF(ISNUMBER(E60),ROUND(E60*'Reference data'!$B$2,0),"Unknown")</f>
        <v>13.0</v>
      </c>
      <c r="H60" s="5">
        <f>IF(ISNUMBER(F60),ROUND(F60*'Reference data'!$B$2,0),"Unknown")</f>
        <v>15.0</v>
      </c>
      <c r="K60" s="4" t="s">
        <v>112</v>
      </c>
    </row>
    <row r="61" spans="1:13" s="4" customFormat="1" ht="24" customHeight="1">
      <c r="B61" s="4">
        <v>1</v>
      </c>
      <c r="C61" s="4" t="s">
        <v>131</v>
      </c>
      <c r="K61" s="4" t="s">
        <v>112</v>
      </c>
      <c r="M61" s="4" t="s">
        <v>132</v>
      </c>
    </row>
    <row r="62" spans="1:13" ht="34" customHeight="1">
      <c r="B62">
        <v>1</v>
      </c>
      <c r="C62" t="s">
        <v>123</v>
      </c>
      <c r="I62" s="6" t="s">
        <v>133</v>
      </c>
    </row>
    <row r="63" spans="1:13" ht="34" customHeight="1">
      <c r="B63">
        <v>1</v>
      </c>
      <c r="C63" t="s">
        <v>125</v>
      </c>
      <c r="I63" s="6" t="s">
        <v>134</v>
      </c>
    </row>
    <row r="64" spans="1:13" s="4" customFormat="1" ht="24" customHeight="1">
      <c r="A64" s="4" t="s">
        <v>135</v>
      </c>
      <c r="B64" s="4">
        <v>1</v>
      </c>
      <c r="C64" s="4" t="s">
        <v>94</v>
      </c>
      <c r="D64" s="4">
        <v>310</v>
      </c>
      <c r="J64" s="4" t="s">
        <v>95</v>
      </c>
      <c r="M64" s="4" t="s">
        <v>136</v>
      </c>
    </row>
    <row r="65" spans="1:13" ht="24" customHeight="1">
      <c r="A65" t="s">
        <v>135</v>
      </c>
      <c r="B65">
        <v>1</v>
      </c>
      <c r="C65" t="s">
        <v>97</v>
      </c>
      <c r="D65" s="5">
        <v>0</v>
      </c>
      <c r="E65" s="2">
        <f>IF(AND(ISNUMBER(F65),ISNUMBER('Reference data'!$B$3)),F65*'Reference data'!$B$3,"Unknown")</f>
        <v>0.0</v>
      </c>
      <c r="F65" s="2">
        <f>IF(D65=0,0,IF(ISNUMBER('Reference data'!C17),D65*'Reference data'!C17/1000000,"Unknown"))</f>
        <v>0.0</v>
      </c>
      <c r="G65" s="5">
        <f>IF(ISNUMBER(E65),ROUND(E65*'Reference data'!$B$2,0),"Unknown")</f>
        <v>0.0</v>
      </c>
      <c r="H65" s="5">
        <f>IF(ISNUMBER(F65),ROUND(F65*'Reference data'!$B$2,0),"Unknown")</f>
        <v>0.0</v>
      </c>
    </row>
    <row r="66" spans="1:13" ht="24" customHeight="1">
      <c r="A66" t="s">
        <v>135</v>
      </c>
      <c r="B66">
        <v>1</v>
      </c>
      <c r="C66" t="s">
        <v>98</v>
      </c>
      <c r="D66" s="5">
        <v>310</v>
      </c>
      <c r="E66" s="2">
        <f>IF(AND(ISNUMBER(F66),ISNUMBER('Reference data'!$B$3)),F66*'Reference data'!$B$3,"Unknown")</f>
        <v>5.408694e-05</v>
      </c>
      <c r="F66" s="2">
        <f>IF(D66=0,0,IF(ISNUMBER('Reference data'!B17),D66*'Reference data'!B17/1000000,"Unknown"))</f>
        <v>6.2e-05</v>
      </c>
      <c r="G66" s="5">
        <f>IF(ISNUMBER(E66),ROUND(E66*'Reference data'!$B$2,0),"Unknown")</f>
        <v>5.0</v>
      </c>
      <c r="H66" s="5">
        <f>IF(ISNUMBER(F66),ROUND(F66*'Reference data'!$B$2,0),"Unknown")</f>
        <v>6.0</v>
      </c>
    </row>
    <row r="67" spans="1:13" ht="34" customHeight="1">
      <c r="A67" t="s">
        <v>135</v>
      </c>
      <c r="B67">
        <v>1</v>
      </c>
      <c r="C67" t="s">
        <v>137</v>
      </c>
      <c r="I67" s="6" t="s">
        <v>134</v>
      </c>
    </row>
    <row r="68" spans="1:13" ht="24" customHeight="1">
      <c r="A68" t="s">
        <v>135</v>
      </c>
      <c r="B68">
        <v>1</v>
      </c>
      <c r="C68" t="s">
        <v>104</v>
      </c>
    </row>
    <row r="69" spans="1:13" ht="24" customHeight="1">
      <c r="A69" t="s">
        <v>135</v>
      </c>
      <c r="B69">
        <v>1</v>
      </c>
      <c r="C69" t="s">
        <v>105</v>
      </c>
    </row>
    <row r="70" spans="1:13" s="4" customFormat="1" ht="24" customHeight="1">
      <c r="A70" s="4" t="s">
        <v>135</v>
      </c>
      <c r="B70" s="4">
        <v>1</v>
      </c>
      <c r="C70" s="4" t="s">
        <v>106</v>
      </c>
      <c r="D70" s="4">
        <v>95</v>
      </c>
    </row>
    <row r="71" spans="1:13" ht="24" customHeight="1">
      <c r="A71" t="s">
        <v>135</v>
      </c>
      <c r="B71">
        <v>1</v>
      </c>
      <c r="C71" t="s">
        <v>107</v>
      </c>
      <c r="D71" s="5">
        <v>55</v>
      </c>
      <c r="E71" s="2">
        <f>IF(AND(ISNUMBER(F71),ISNUMBER('Reference data'!$B$3)),F71*'Reference data'!$B$3,"Unknown")</f>
        <v>5.757642e-05</v>
      </c>
      <c r="F71" s="2">
        <f>IF(D71=0,0,IF(ISNUMBER('Reference data'!F17),D71*'Reference data'!F17/1000000,"Unknown"))</f>
        <v>6.6e-05</v>
      </c>
      <c r="G71" s="5">
        <f>IF(ISNUMBER(E71),ROUND(E71*'Reference data'!$B$2,0),"Unknown")</f>
        <v>6.0</v>
      </c>
      <c r="H71" s="5">
        <f>IF(ISNUMBER(F71),ROUND(F71*'Reference data'!$B$2,0),"Unknown")</f>
        <v>7.0</v>
      </c>
    </row>
    <row r="72" spans="1:13" ht="24" customHeight="1">
      <c r="A72" t="s">
        <v>135</v>
      </c>
      <c r="B72">
        <v>1</v>
      </c>
      <c r="C72" t="s">
        <v>108</v>
      </c>
      <c r="D72" s="5">
        <v>40</v>
      </c>
      <c r="E72" s="2">
        <f>IF(AND(ISNUMBER(F72),ISNUMBER('Reference data'!$B$3)),F72*'Reference data'!$B$3,"Unknown")</f>
        <v>4.187376e-05</v>
      </c>
      <c r="F72" s="2">
        <f>IF(D72=0,0,IF(ISNUMBER('Reference data'!E17),D72*'Reference data'!E17/1000000,"Unknown"))</f>
        <v>4.8e-05</v>
      </c>
      <c r="G72" s="5">
        <f>IF(ISNUMBER(E72),ROUND(E72*'Reference data'!$B$2,0),"Unknown")</f>
        <v>4.0</v>
      </c>
      <c r="H72" s="5">
        <f>IF(ISNUMBER(F72),ROUND(F72*'Reference data'!$B$2,0),"Unknown")</f>
        <v>5.0</v>
      </c>
    </row>
    <row r="73" spans="1:13" ht="320" customHeight="1">
      <c r="A73" t="s">
        <v>135</v>
      </c>
      <c r="B73">
        <v>1</v>
      </c>
      <c r="C73" t="s">
        <v>109</v>
      </c>
      <c r="I73" s="6" t="s">
        <v>138</v>
      </c>
    </row>
    <row r="74" spans="1:13" ht="24" customHeight="1">
      <c r="A74" t="s">
        <v>135</v>
      </c>
      <c r="B74">
        <v>1</v>
      </c>
      <c r="C74" t="s">
        <v>104</v>
      </c>
    </row>
    <row r="75" spans="1:13" ht="24" customHeight="1">
      <c r="A75" t="s">
        <v>135</v>
      </c>
      <c r="B75">
        <v>1</v>
      </c>
      <c r="C75" t="s">
        <v>105</v>
      </c>
    </row>
    <row r="76" spans="1:13" s="4" customFormat="1" ht="24" customHeight="1">
      <c r="A76" s="4" t="s">
        <v>135</v>
      </c>
      <c r="B76" s="4">
        <v>1</v>
      </c>
      <c r="C76" s="4" t="s">
        <v>111</v>
      </c>
      <c r="E76" s="2">
        <f>IF(COUNT('Turns'!E65,'Turns'!E66,'Turns'!E71,'Turns'!E72)=4,SUM('Turns'!E65,'Turns'!E66,'Turns'!E71,'Turns'!E72),"Unknown")</f>
        <v>0.00015353712</v>
      </c>
      <c r="F76" s="2">
        <f>IF(COUNT('Turns'!F65,'Turns'!F66,'Turns'!F71,'Turns'!F72)=4,SUM('Turns'!F65,'Turns'!F66,'Turns'!F71,'Turns'!F72),"Unknown")</f>
        <v>0.000176</v>
      </c>
      <c r="G76" s="5">
        <f>IF(ISNUMBER(E76),ROUND(E76*'Reference data'!$B$2,0),"Unknown")</f>
        <v>15.0</v>
      </c>
      <c r="H76" s="5">
        <f>IF(ISNUMBER(F76),ROUND(F76*'Reference data'!$B$2,0),"Unknown")</f>
        <v>18.0</v>
      </c>
      <c r="K76" s="4" t="s">
        <v>112</v>
      </c>
    </row>
    <row r="77" spans="1:13" s="4" customFormat="1" ht="24" customHeight="1">
      <c r="A77" s="4" t="s">
        <v>139</v>
      </c>
      <c r="B77" s="4">
        <v>1</v>
      </c>
      <c r="C77" s="4" t="s">
        <v>94</v>
      </c>
      <c r="D77" s="4">
        <v>848</v>
      </c>
      <c r="J77" s="4" t="s">
        <v>95</v>
      </c>
      <c r="M77" s="4" t="s">
        <v>140</v>
      </c>
    </row>
    <row r="78" spans="1:13" ht="24" customHeight="1">
      <c r="A78" t="s">
        <v>139</v>
      </c>
      <c r="B78">
        <v>1</v>
      </c>
      <c r="C78" t="s">
        <v>97</v>
      </c>
      <c r="D78" s="5">
        <v>0</v>
      </c>
      <c r="E78" s="2">
        <f>IF(AND(ISNUMBER(F78),ISNUMBER('Reference data'!$B$3)),F78*'Reference data'!$B$3,"Unknown")</f>
        <v>0.0</v>
      </c>
      <c r="F78" s="2">
        <f>IF(D78=0,0,IF(ISNUMBER('Reference data'!C17),D78*'Reference data'!C17/1000000,"Unknown"))</f>
        <v>0.0</v>
      </c>
      <c r="G78" s="5">
        <f>IF(ISNUMBER(E78),ROUND(E78*'Reference data'!$B$2,0),"Unknown")</f>
        <v>0.0</v>
      </c>
      <c r="H78" s="5">
        <f>IF(ISNUMBER(F78),ROUND(F78*'Reference data'!$B$2,0),"Unknown")</f>
        <v>0.0</v>
      </c>
    </row>
    <row r="79" spans="1:13" ht="24" customHeight="1">
      <c r="A79" t="s">
        <v>139</v>
      </c>
      <c r="B79">
        <v>1</v>
      </c>
      <c r="C79" t="s">
        <v>98</v>
      </c>
      <c r="D79" s="5">
        <v>848</v>
      </c>
      <c r="E79" s="2">
        <f>IF(AND(ISNUMBER(F79),ISNUMBER('Reference data'!$B$3)),F79*'Reference data'!$B$3,"Unknown")</f>
        <v>0.000147953952</v>
      </c>
      <c r="F79" s="2">
        <f>IF(D79=0,0,IF(ISNUMBER('Reference data'!B17),D79*'Reference data'!B17/1000000,"Unknown"))</f>
        <v>0.0001696</v>
      </c>
      <c r="G79" s="5">
        <f>IF(ISNUMBER(E79),ROUND(E79*'Reference data'!$B$2,0),"Unknown")</f>
        <v>15.0</v>
      </c>
      <c r="H79" s="5">
        <f>IF(ISNUMBER(F79),ROUND(F79*'Reference data'!$B$2,0),"Unknown")</f>
        <v>17.0</v>
      </c>
    </row>
    <row r="80" spans="1:13" ht="34" customHeight="1">
      <c r="A80" t="s">
        <v>139</v>
      </c>
      <c r="B80">
        <v>1</v>
      </c>
      <c r="C80" t="s">
        <v>137</v>
      </c>
      <c r="I80" s="6" t="s">
        <v>141</v>
      </c>
    </row>
    <row r="81" spans="1:13" ht="24" customHeight="1">
      <c r="A81" t="s">
        <v>139</v>
      </c>
      <c r="B81">
        <v>1</v>
      </c>
      <c r="C81" t="s">
        <v>104</v>
      </c>
    </row>
    <row r="82" spans="1:13" ht="24" customHeight="1">
      <c r="A82" t="s">
        <v>139</v>
      </c>
      <c r="B82">
        <v>1</v>
      </c>
      <c r="C82" t="s">
        <v>105</v>
      </c>
    </row>
    <row r="83" spans="1:13" s="4" customFormat="1" ht="24" customHeight="1">
      <c r="A83" s="4" t="s">
        <v>139</v>
      </c>
      <c r="B83" s="4">
        <v>1</v>
      </c>
      <c r="C83" s="4" t="s">
        <v>106</v>
      </c>
      <c r="D83" s="4">
        <v>305</v>
      </c>
    </row>
    <row r="84" spans="1:13" ht="24" customHeight="1">
      <c r="A84" t="s">
        <v>139</v>
      </c>
      <c r="B84">
        <v>1</v>
      </c>
      <c r="C84" t="s">
        <v>107</v>
      </c>
      <c r="D84" s="5">
        <v>20</v>
      </c>
      <c r="E84" s="2">
        <f>IF(AND(ISNUMBER(F84),ISNUMBER('Reference data'!$B$3)),F84*'Reference data'!$B$3,"Unknown")</f>
        <v>2.093688e-05</v>
      </c>
      <c r="F84" s="2">
        <f>IF(D84=0,0,IF(ISNUMBER('Reference data'!F17),D84*'Reference data'!F17/1000000,"Unknown"))</f>
        <v>2.4e-05</v>
      </c>
      <c r="G84" s="5">
        <f>IF(ISNUMBER(E84),ROUND(E84*'Reference data'!$B$2,0),"Unknown")</f>
        <v>2.0</v>
      </c>
      <c r="H84" s="5">
        <f>IF(ISNUMBER(F84),ROUND(F84*'Reference data'!$B$2,0),"Unknown")</f>
        <v>2.0</v>
      </c>
    </row>
    <row r="85" spans="1:13" ht="24" customHeight="1">
      <c r="A85" t="s">
        <v>139</v>
      </c>
      <c r="B85">
        <v>1</v>
      </c>
      <c r="C85" t="s">
        <v>108</v>
      </c>
      <c r="D85" s="5">
        <v>285</v>
      </c>
      <c r="E85" s="2">
        <f>IF(AND(ISNUMBER(F85),ISNUMBER('Reference data'!$B$3)),F85*'Reference data'!$B$3,"Unknown")</f>
        <v>0.00029835054</v>
      </c>
      <c r="F85" s="2">
        <f>IF(D85=0,0,IF(ISNUMBER('Reference data'!E17),D85*'Reference data'!E17/1000000,"Unknown"))</f>
        <v>0.000342</v>
      </c>
      <c r="G85" s="5">
        <f>IF(ISNUMBER(E85),ROUND(E85*'Reference data'!$B$2,0),"Unknown")</f>
        <v>30.0</v>
      </c>
      <c r="H85" s="5">
        <f>IF(ISNUMBER(F85),ROUND(F85*'Reference data'!$B$2,0),"Unknown")</f>
        <v>34.0</v>
      </c>
    </row>
    <row r="86" spans="1:13" ht="409" customHeight="1">
      <c r="A86" t="s">
        <v>139</v>
      </c>
      <c r="B86">
        <v>1</v>
      </c>
      <c r="C86" t="s">
        <v>109</v>
      </c>
      <c r="I86" s="6" t="s">
        <v>142</v>
      </c>
    </row>
    <row r="87" spans="1:13" ht="24" customHeight="1">
      <c r="A87" t="s">
        <v>139</v>
      </c>
      <c r="B87">
        <v>1</v>
      </c>
      <c r="C87" t="s">
        <v>104</v>
      </c>
    </row>
    <row r="88" spans="1:13" ht="24" customHeight="1">
      <c r="A88" t="s">
        <v>139</v>
      </c>
      <c r="B88">
        <v>1</v>
      </c>
      <c r="C88" t="s">
        <v>105</v>
      </c>
    </row>
    <row r="89" spans="1:13" s="4" customFormat="1" ht="24" customHeight="1">
      <c r="A89" s="4" t="s">
        <v>139</v>
      </c>
      <c r="B89" s="4">
        <v>1</v>
      </c>
      <c r="C89" s="4" t="s">
        <v>111</v>
      </c>
      <c r="E89" s="2">
        <f>IF(COUNT('Turns'!E78,'Turns'!E79,'Turns'!E84,'Turns'!E85)=4,SUM('Turns'!E78,'Turns'!E79,'Turns'!E84,'Turns'!E85),"Unknown")</f>
        <v>0.000467241372</v>
      </c>
      <c r="F89" s="2">
        <f>IF(COUNT('Turns'!F78,'Turns'!F79,'Turns'!F84,'Turns'!F85)=4,SUM('Turns'!F78,'Turns'!F79,'Turns'!F84,'Turns'!F85),"Unknown")</f>
        <v>0.0005356</v>
      </c>
      <c r="G89" s="5">
        <f>IF(ISNUMBER(E89),ROUND(E89*'Reference data'!$B$2,0),"Unknown")</f>
        <v>47.0</v>
      </c>
      <c r="H89" s="5">
        <f>IF(ISNUMBER(F89),ROUND(F89*'Reference data'!$B$2,0),"Unknown")</f>
        <v>54.0</v>
      </c>
      <c r="K89" s="4" t="s">
        <v>112</v>
      </c>
    </row>
    <row r="90" spans="1:13" s="4" customFormat="1" ht="24" customHeight="1">
      <c r="B90" s="4">
        <v>2</v>
      </c>
      <c r="C90" s="4" t="s">
        <v>143</v>
      </c>
      <c r="E90" s="2">
        <f>IF(COUNT('Turns'!E104,'Turns'!E116)=2,SUM('Turns'!E104,'Turns'!E116),"Unknown")</f>
        <v>0.0008814862665</v>
      </c>
      <c r="F90" s="2">
        <f>IF(COUNT('Turns'!F104,'Turns'!F116)=2,SUM('Turns'!F104,'Turns'!F116),"Unknown")</f>
        <v>0.00101045</v>
      </c>
      <c r="G90" s="5">
        <f>IF(ISNUMBER(E90),ROUND(E90*'Reference data'!$B$2,0),"Unknown")</f>
        <v>88.0</v>
      </c>
      <c r="H90" s="5">
        <f>IF(ISNUMBER(F90),ROUND(F90*'Reference data'!$B$2,0),"Unknown")</f>
        <v>101.0</v>
      </c>
    </row>
    <row r="91" spans="1:13" s="4" customFormat="1" ht="24" customHeight="1">
      <c r="A91" s="4" t="s">
        <v>144</v>
      </c>
      <c r="B91" s="4">
        <v>2</v>
      </c>
      <c r="C91" s="4" t="s">
        <v>94</v>
      </c>
      <c r="D91" s="4">
        <v>846</v>
      </c>
      <c r="J91" s="4" t="s">
        <v>95</v>
      </c>
      <c r="M91" s="4" t="s">
        <v>145</v>
      </c>
    </row>
    <row r="92" spans="1:13" ht="24" customHeight="1">
      <c r="A92" t="s">
        <v>144</v>
      </c>
      <c r="B92">
        <v>2</v>
      </c>
      <c r="C92" t="s">
        <v>97</v>
      </c>
      <c r="D92" s="5">
        <v>0</v>
      </c>
      <c r="E92" s="2">
        <f>IF(AND(ISNUMBER(F92),ISNUMBER('Reference data'!$B$3)),F92*'Reference data'!$B$3,"Unknown")</f>
        <v>0.0</v>
      </c>
      <c r="F92" s="2">
        <f>IF(D92=0,0,IF(ISNUMBER('Reference data'!C17),D92*'Reference data'!C17/1000000,"Unknown"))</f>
        <v>0.0</v>
      </c>
      <c r="G92" s="5">
        <f>IF(ISNUMBER(E92),ROUND(E92*'Reference data'!$B$2,0),"Unknown")</f>
        <v>0.0</v>
      </c>
      <c r="H92" s="5">
        <f>IF(ISNUMBER(F92),ROUND(F92*'Reference data'!$B$2,0),"Unknown")</f>
        <v>0.0</v>
      </c>
    </row>
    <row r="93" spans="1:13" ht="24" customHeight="1">
      <c r="A93" t="s">
        <v>144</v>
      </c>
      <c r="B93">
        <v>2</v>
      </c>
      <c r="C93" t="s">
        <v>98</v>
      </c>
      <c r="D93" s="5">
        <v>846</v>
      </c>
      <c r="E93" s="2">
        <f>IF(AND(ISNUMBER(F93),ISNUMBER('Reference data'!$B$3)),F93*'Reference data'!$B$3,"Unknown")</f>
        <v>0.000147605004</v>
      </c>
      <c r="F93" s="2">
        <f>IF(D93=0,0,IF(ISNUMBER('Reference data'!B17),D93*'Reference data'!B17/1000000,"Unknown"))</f>
        <v>0.0001692</v>
      </c>
      <c r="G93" s="5">
        <f>IF(ISNUMBER(E93),ROUND(E93*'Reference data'!$B$2,0),"Unknown")</f>
        <v>15.0</v>
      </c>
      <c r="H93" s="5">
        <f>IF(ISNUMBER(F93),ROUND(F93*'Reference data'!$B$2,0),"Unknown")</f>
        <v>17.0</v>
      </c>
    </row>
    <row r="94" spans="1:13" ht="24" customHeight="1">
      <c r="A94" t="s">
        <v>144</v>
      </c>
      <c r="B94">
        <v>2</v>
      </c>
      <c r="C94" t="s">
        <v>102</v>
      </c>
      <c r="I94" s="6" t="s">
        <v>146</v>
      </c>
    </row>
    <row r="95" spans="1:13" ht="34" customHeight="1">
      <c r="A95" t="s">
        <v>144</v>
      </c>
      <c r="B95">
        <v>2</v>
      </c>
      <c r="C95" t="s">
        <v>137</v>
      </c>
      <c r="I95" s="6" t="s">
        <v>141</v>
      </c>
    </row>
    <row r="96" spans="1:13" ht="24" customHeight="1">
      <c r="A96" t="s">
        <v>144</v>
      </c>
      <c r="B96">
        <v>2</v>
      </c>
      <c r="C96" t="s">
        <v>104</v>
      </c>
    </row>
    <row r="97" spans="1:13" ht="24" customHeight="1">
      <c r="A97" t="s">
        <v>144</v>
      </c>
      <c r="B97">
        <v>2</v>
      </c>
      <c r="C97" t="s">
        <v>105</v>
      </c>
    </row>
    <row r="98" spans="1:13" s="4" customFormat="1" ht="24" customHeight="1">
      <c r="A98" s="4" t="s">
        <v>144</v>
      </c>
      <c r="B98" s="4">
        <v>2</v>
      </c>
      <c r="C98" s="4" t="s">
        <v>106</v>
      </c>
      <c r="D98" s="4">
        <v>262</v>
      </c>
    </row>
    <row r="99" spans="1:13" ht="24" customHeight="1">
      <c r="A99" t="s">
        <v>144</v>
      </c>
      <c r="B99">
        <v>2</v>
      </c>
      <c r="C99" t="s">
        <v>107</v>
      </c>
      <c r="D99" s="5">
        <v>151</v>
      </c>
      <c r="E99" s="2">
        <f>IF(AND(ISNUMBER(F99),ISNUMBER('Reference data'!$B$3)),F99*'Reference data'!$B$3,"Unknown")</f>
        <v>0.000158073444</v>
      </c>
      <c r="F99" s="2">
        <f>IF(D99=0,0,IF(ISNUMBER('Reference data'!F17),D99*'Reference data'!F17/1000000,"Unknown"))</f>
        <v>0.0001812</v>
      </c>
      <c r="G99" s="5">
        <f>IF(ISNUMBER(E99),ROUND(E99*'Reference data'!$B$2,0),"Unknown")</f>
        <v>16.0</v>
      </c>
      <c r="H99" s="5">
        <f>IF(ISNUMBER(F99),ROUND(F99*'Reference data'!$B$2,0),"Unknown")</f>
        <v>18.0</v>
      </c>
    </row>
    <row r="100" spans="1:13" ht="24" customHeight="1">
      <c r="A100" t="s">
        <v>144</v>
      </c>
      <c r="B100">
        <v>2</v>
      </c>
      <c r="C100" t="s">
        <v>108</v>
      </c>
      <c r="D100" s="5">
        <v>111</v>
      </c>
      <c r="E100" s="2">
        <f>IF(AND(ISNUMBER(F100),ISNUMBER('Reference data'!$B$3)),F100*'Reference data'!$B$3,"Unknown")</f>
        <v>0.000116199684</v>
      </c>
      <c r="F100" s="2">
        <f>IF(D100=0,0,IF(ISNUMBER('Reference data'!E17),D100*'Reference data'!E17/1000000,"Unknown"))</f>
        <v>0.0001332</v>
      </c>
      <c r="G100" s="5">
        <f>IF(ISNUMBER(E100),ROUND(E100*'Reference data'!$B$2,0),"Unknown")</f>
        <v>12.0</v>
      </c>
      <c r="H100" s="5">
        <f>IF(ISNUMBER(F100),ROUND(F100*'Reference data'!$B$2,0),"Unknown")</f>
        <v>13.0</v>
      </c>
    </row>
    <row r="101" spans="1:13" ht="409" customHeight="1">
      <c r="A101" t="s">
        <v>144</v>
      </c>
      <c r="B101">
        <v>2</v>
      </c>
      <c r="C101" t="s">
        <v>109</v>
      </c>
      <c r="I101" s="6" t="s">
        <v>147</v>
      </c>
    </row>
    <row r="102" spans="1:13" ht="24" customHeight="1">
      <c r="A102" t="s">
        <v>144</v>
      </c>
      <c r="B102">
        <v>2</v>
      </c>
      <c r="C102" t="s">
        <v>104</v>
      </c>
    </row>
    <row r="103" spans="1:13" ht="24" customHeight="1">
      <c r="A103" t="s">
        <v>144</v>
      </c>
      <c r="B103">
        <v>2</v>
      </c>
      <c r="C103" t="s">
        <v>105</v>
      </c>
    </row>
    <row r="104" spans="1:13" s="4" customFormat="1" ht="24" customHeight="1">
      <c r="A104" s="4" t="s">
        <v>144</v>
      </c>
      <c r="B104" s="4">
        <v>2</v>
      </c>
      <c r="C104" s="4" t="s">
        <v>111</v>
      </c>
      <c r="E104" s="2">
        <f>IF(COUNT('Turns'!E92,'Turns'!E93,'Turns'!E99,'Turns'!E100)=4,SUM('Turns'!E92,'Turns'!E93,'Turns'!E99,'Turns'!E100),"Unknown")</f>
        <v>0.000421878132</v>
      </c>
      <c r="F104" s="2">
        <f>IF(COUNT('Turns'!F92,'Turns'!F93,'Turns'!F99,'Turns'!F100)=4,SUM('Turns'!F92,'Turns'!F93,'Turns'!F99,'Turns'!F100),"Unknown")</f>
        <v>0.0004836</v>
      </c>
      <c r="G104" s="5">
        <f>IF(ISNUMBER(E104),ROUND(E104*'Reference data'!$B$2,0),"Unknown")</f>
        <v>42.0</v>
      </c>
      <c r="H104" s="5">
        <f>IF(ISNUMBER(F104),ROUND(F104*'Reference data'!$B$2,0),"Unknown")</f>
        <v>48.0</v>
      </c>
      <c r="K104" s="4" t="s">
        <v>112</v>
      </c>
    </row>
    <row r="105" spans="1:13" s="4" customFormat="1" ht="24" customHeight="1">
      <c r="A105" s="4" t="s">
        <v>148</v>
      </c>
      <c r="B105" s="4">
        <v>2</v>
      </c>
      <c r="C105" s="4" t="s">
        <v>94</v>
      </c>
      <c r="D105" s="4">
        <v>1436</v>
      </c>
      <c r="J105" s="4" t="s">
        <v>95</v>
      </c>
      <c r="M105" s="4" t="s">
        <v>149</v>
      </c>
    </row>
    <row r="106" spans="1:13" ht="24" customHeight="1">
      <c r="A106" t="s">
        <v>148</v>
      </c>
      <c r="B106">
        <v>2</v>
      </c>
      <c r="C106" t="s">
        <v>97</v>
      </c>
      <c r="D106" s="5">
        <v>0</v>
      </c>
      <c r="E106" s="2">
        <f>IF(AND(ISNUMBER(F106),ISNUMBER('Reference data'!$B$3)),F106*'Reference data'!$B$3,"Unknown")</f>
        <v>0.0</v>
      </c>
      <c r="F106" s="2">
        <f>IF(D106=0,0,IF(ISNUMBER('Reference data'!C17),D106*'Reference data'!C17/1000000,"Unknown"))</f>
        <v>0.0</v>
      </c>
      <c r="G106" s="5">
        <f>IF(ISNUMBER(E106),ROUND(E106*'Reference data'!$B$2,0),"Unknown")</f>
        <v>0.0</v>
      </c>
      <c r="H106" s="5">
        <f>IF(ISNUMBER(F106),ROUND(F106*'Reference data'!$B$2,0),"Unknown")</f>
        <v>0.0</v>
      </c>
    </row>
    <row r="107" spans="1:13" ht="24" customHeight="1">
      <c r="A107" t="s">
        <v>148</v>
      </c>
      <c r="B107">
        <v>2</v>
      </c>
      <c r="C107" t="s">
        <v>98</v>
      </c>
      <c r="D107" s="5">
        <v>267</v>
      </c>
      <c r="E107" s="2">
        <f>IF(AND(ISNUMBER(F107),ISNUMBER('Reference data'!$B$3)),F107*'Reference data'!$B$3,"Unknown")</f>
        <v>4.6584558e-05</v>
      </c>
      <c r="F107" s="2">
        <f>IF(D107=0,0,IF(ISNUMBER('Reference data'!B17),D107*'Reference data'!B17/1000000,"Unknown"))</f>
        <v>5.34e-05</v>
      </c>
      <c r="G107" s="5">
        <f>IF(ISNUMBER(E107),ROUND(E107*'Reference data'!$B$2,0),"Unknown")</f>
        <v>5.0</v>
      </c>
      <c r="H107" s="5">
        <f>IF(ISNUMBER(F107),ROUND(F107*'Reference data'!$B$2,0),"Unknown")</f>
        <v>5.0</v>
      </c>
    </row>
    <row r="108" spans="1:13" ht="24" customHeight="1">
      <c r="A108" t="s">
        <v>148</v>
      </c>
      <c r="B108">
        <v>2</v>
      </c>
      <c r="C108" t="s">
        <v>104</v>
      </c>
      <c r="D108" s="5">
        <v>1169</v>
      </c>
      <c r="E108" s="2">
        <f>IF(AND(ISNUMBER(F108),ISNUMBER('Reference data'!$B$3)),F108*'Reference data'!$B$3,"Unknown")</f>
        <v>0.0002549501325</v>
      </c>
      <c r="F108" s="2">
        <f>IF(D108=0,0,IF(ISNUMBER('Reference data'!D17),D108*'Reference data'!D17/1000000,"Unknown"))</f>
        <v>0.00029225</v>
      </c>
      <c r="G108" s="5">
        <f>IF(ISNUMBER(E108),ROUND(E108*'Reference data'!$B$2,0),"Unknown")</f>
        <v>25.0</v>
      </c>
      <c r="H108" s="5">
        <f>IF(ISNUMBER(F108),ROUND(F108*'Reference data'!$B$2,0),"Unknown")</f>
        <v>29.0</v>
      </c>
    </row>
    <row r="109" spans="1:13" ht="24" customHeight="1">
      <c r="A109" t="s">
        <v>148</v>
      </c>
      <c r="B109">
        <v>2</v>
      </c>
      <c r="C109" t="s">
        <v>105</v>
      </c>
    </row>
    <row r="110" spans="1:13" s="4" customFormat="1" ht="24" customHeight="1">
      <c r="A110" s="4" t="s">
        <v>148</v>
      </c>
      <c r="B110" s="4">
        <v>2</v>
      </c>
      <c r="C110" s="4" t="s">
        <v>106</v>
      </c>
      <c r="D110" s="4">
        <v>151</v>
      </c>
    </row>
    <row r="111" spans="1:13" ht="24" customHeight="1">
      <c r="A111" t="s">
        <v>148</v>
      </c>
      <c r="B111">
        <v>2</v>
      </c>
      <c r="C111" t="s">
        <v>107</v>
      </c>
      <c r="D111" s="5">
        <v>40</v>
      </c>
      <c r="E111" s="2">
        <f>IF(AND(ISNUMBER(F111),ISNUMBER('Reference data'!$B$3)),F111*'Reference data'!$B$3,"Unknown")</f>
        <v>4.187376e-05</v>
      </c>
      <c r="F111" s="2">
        <f>IF(D111=0,0,IF(ISNUMBER('Reference data'!F17),D111*'Reference data'!F17/1000000,"Unknown"))</f>
        <v>4.8e-05</v>
      </c>
      <c r="G111" s="5">
        <f>IF(ISNUMBER(E111),ROUND(E111*'Reference data'!$B$2,0),"Unknown")</f>
        <v>4.0</v>
      </c>
      <c r="H111" s="5">
        <f>IF(ISNUMBER(F111),ROUND(F111*'Reference data'!$B$2,0),"Unknown")</f>
        <v>5.0</v>
      </c>
    </row>
    <row r="112" spans="1:13" ht="24" customHeight="1">
      <c r="A112" t="s">
        <v>148</v>
      </c>
      <c r="B112">
        <v>2</v>
      </c>
      <c r="C112" t="s">
        <v>108</v>
      </c>
      <c r="D112" s="5">
        <v>111</v>
      </c>
      <c r="E112" s="2">
        <f>IF(AND(ISNUMBER(F112),ISNUMBER('Reference data'!$B$3)),F112*'Reference data'!$B$3,"Unknown")</f>
        <v>0.000116199684</v>
      </c>
      <c r="F112" s="2">
        <f>IF(D112=0,0,IF(ISNUMBER('Reference data'!E17),D112*'Reference data'!E17/1000000,"Unknown"))</f>
        <v>0.0001332</v>
      </c>
      <c r="G112" s="5">
        <f>IF(ISNUMBER(E112),ROUND(E112*'Reference data'!$B$2,0),"Unknown")</f>
        <v>12.0</v>
      </c>
      <c r="H112" s="5">
        <f>IF(ISNUMBER(F112),ROUND(F112*'Reference data'!$B$2,0),"Unknown")</f>
        <v>13.0</v>
      </c>
    </row>
    <row r="113" spans="1:11" ht="359" customHeight="1">
      <c r="A113" t="s">
        <v>148</v>
      </c>
      <c r="B113">
        <v>2</v>
      </c>
      <c r="C113" t="s">
        <v>109</v>
      </c>
      <c r="I113" s="6" t="s">
        <v>150</v>
      </c>
    </row>
    <row r="114" spans="1:11" ht="24" customHeight="1">
      <c r="A114" t="s">
        <v>148</v>
      </c>
      <c r="B114">
        <v>2</v>
      </c>
      <c r="C114" t="s">
        <v>104</v>
      </c>
    </row>
    <row r="115" spans="1:11" ht="24" customHeight="1">
      <c r="A115" t="s">
        <v>148</v>
      </c>
      <c r="B115">
        <v>2</v>
      </c>
      <c r="C115" t="s">
        <v>105</v>
      </c>
    </row>
    <row r="116" spans="1:11" s="4" customFormat="1" ht="24" customHeight="1">
      <c r="A116" s="4" t="s">
        <v>148</v>
      </c>
      <c r="B116" s="4">
        <v>2</v>
      </c>
      <c r="C116" s="4" t="s">
        <v>111</v>
      </c>
      <c r="E116" s="2">
        <f>IF(COUNT('Turns'!E106,'Turns'!E107,'Turns'!E108,'Turns'!E111,'Turns'!E112)=5,SUM('Turns'!E106,'Turns'!E107,'Turns'!E108,'Turns'!E111,'Turns'!E112),"Unknown")</f>
        <v>0.0004596081345</v>
      </c>
      <c r="F116" s="2">
        <f>IF(COUNT('Turns'!F106,'Turns'!F107,'Turns'!F108,'Turns'!F111,'Turns'!F112)=5,SUM('Turns'!F106,'Turns'!F107,'Turns'!F108,'Turns'!F111,'Turns'!F112),"Unknown")</f>
        <v>0.00052685</v>
      </c>
      <c r="G116" s="5">
        <f>IF(ISNUMBER(E116),ROUND(E116*'Reference data'!$B$2,0),"Unknown")</f>
        <v>46.0</v>
      </c>
      <c r="H116" s="5">
        <f>IF(ISNUMBER(F116),ROUND(F116*'Reference data'!$B$2,0),"Unknown")</f>
        <v>53.0</v>
      </c>
      <c r="K116" s="4" t="s">
        <v>112</v>
      </c>
    </row>
  </sheetData>
  <conditionalFormatting sqref="A2:AE116">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43"/>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151</v>
      </c>
      <c r="B2" s="1">
        <v>0</v>
      </c>
      <c r="C2" s="1" t="s">
        <v>152</v>
      </c>
      <c r="D2" s="1" t="s">
        <v>47</v>
      </c>
      <c r="E2" s="1" t="s">
        <v>112</v>
      </c>
      <c r="G2" s="6" t="s">
        <v>153</v>
      </c>
      <c r="H2" t="s">
        <v>49</v>
      </c>
      <c r="J2" s="2">
        <f>IF(COUNT('Turns'!D6,'Turns'!D21,'Turns'!D33,'Turns'!D49,'Turns'!D66,'Turns'!D79)=6,SUM('Turns'!D6,'Turns'!D21,'Turns'!D33,'Turns'!D49,'Turns'!D66,'Turns'!D79),"Unknown")</f>
        <v>2024.0</v>
      </c>
      <c r="K2" s="2">
        <f>IF(COUNT('Turns'!E6,'Turns'!E21,'Turns'!E33,'Turns'!E49,'Turns'!E66,'Turns'!E79)=6,SUM('Turns'!E6,'Turns'!E21,'Turns'!E33,'Turns'!E49,'Turns'!E66,'Turns'!E79),"Unknown")</f>
        <v>0.000353135376</v>
      </c>
      <c r="L2" s="2">
        <f>IF(COUNT('Turns'!F6,'Turns'!F21,'Turns'!F33,'Turns'!F49,'Turns'!F66,'Turns'!F79)=6,SUM('Turns'!F6,'Turns'!F21,'Turns'!F33,'Turns'!F49,'Turns'!F66,'Turns'!F79),"Unknown")</f>
        <v>0.0004048</v>
      </c>
      <c r="M2" s="2">
        <f>IF(COUNT('Turns'!D5,'Turns'!D20,'Turns'!D65,'Turns'!D78)=4,SUM('Turns'!D5,'Turns'!D20,'Turns'!D65,'Turns'!D78),"Unknown")</f>
        <v>4573.0</v>
      </c>
      <c r="N2" s="2">
        <f>IF(COUNT('Turns'!E5,'Turns'!E20,'Turns'!E65,'Turns'!E78)=4,SUM('Turns'!E5,'Turns'!E20,'Turns'!E65,'Turns'!E78),"Unknown")</f>
        <v>7.97869602e-05</v>
      </c>
      <c r="O2" s="2">
        <f>IF(COUNT('Turns'!F5,'Turns'!F20,'Turns'!F65,'Turns'!F78)=4,SUM('Turns'!F5,'Turns'!F20,'Turns'!F65,'Turns'!F78),"Unknown")</f>
        <v>9.146e-05</v>
      </c>
      <c r="P2" s="2">
        <v>0</v>
      </c>
      <c r="Q2" s="2">
        <v>0</v>
      </c>
      <c r="R2" s="2">
        <v>0</v>
      </c>
      <c r="S2" s="2">
        <f>IF(COUNT('Turns'!D14,'Turns'!D27,'Turns'!D40,'Turns'!D56,'Turns'!D72,'Turns'!D85)=6,SUM('Turns'!D14,'Turns'!D27,'Turns'!D40,'Turns'!D56,'Turns'!D72,'Turns'!D85),"Unknown")</f>
        <v>735.0</v>
      </c>
      <c r="T2" s="2">
        <f>IF(COUNT('Turns'!E14,'Turns'!E27,'Turns'!E40,'Turns'!E56,'Turns'!E72,'Turns'!E85)=6,SUM('Turns'!E14,'Turns'!E27,'Turns'!E40,'Turns'!E56,'Turns'!E72,'Turns'!E85),"Unknown")</f>
        <v>0.00076943034</v>
      </c>
      <c r="U2" s="2">
        <f>IF(COUNT('Turns'!F14,'Turns'!F27,'Turns'!F40,'Turns'!F56,'Turns'!F72,'Turns'!F85)=6,SUM('Turns'!F14,'Turns'!F27,'Turns'!F40,'Turns'!F56,'Turns'!F72,'Turns'!F85),"Unknown")</f>
        <v>0.000882</v>
      </c>
      <c r="V2" s="2">
        <f>IF(COUNT('Turns'!D13,'Turns'!D39,'Turns'!D55,'Turns'!D71,'Turns'!D84)=5,SUM('Turns'!D13,'Turns'!D39,'Turns'!D55,'Turns'!D71,'Turns'!D84),"Unknown")</f>
        <v>189.0</v>
      </c>
      <c r="W2" s="2">
        <f>IF(COUNT('Turns'!E13,'Turns'!E39,'Turns'!E55,'Turns'!E71,'Turns'!E84)=5,SUM('Turns'!E13,'Turns'!E39,'Turns'!E55,'Turns'!E71,'Turns'!E84),"Unknown")</f>
        <v>0.000197853516</v>
      </c>
      <c r="X2" s="2">
        <f>IF(COUNT('Turns'!F13,'Turns'!F39,'Turns'!F55,'Turns'!F71,'Turns'!F84)=5,SUM('Turns'!F13,'Turns'!F39,'Turns'!F55,'Turns'!F71,'Turns'!F84),"Unknown")</f>
        <v>0.0002268</v>
      </c>
      <c r="Y2" s="2">
        <f>IF(COUNT('Turns'!E18,'Turns'!E31,'Turns'!E44,'Turns'!E60,'Turns'!E76,'Turns'!E89)=6,SUM('Turns'!E18,'Turns'!E31,'Turns'!E44,'Turns'!E60,'Turns'!E76,'Turns'!E89),"Unknown")</f>
        <v>0.0014002061922</v>
      </c>
      <c r="Z2" s="2">
        <f>IF(COUNT('Turns'!F18,'Turns'!F31,'Turns'!F44,'Turns'!F60,'Turns'!F76,'Turns'!F89)=6,SUM('Turns'!F18,'Turns'!F31,'Turns'!F44,'Turns'!F60,'Turns'!F76,'Turns'!F89),"Unknown")</f>
        <v>0.00160506</v>
      </c>
      <c r="AA2" s="5">
        <f>IF(ISNUMBER(Y2),ROUND(Y2*'Reference data'!$B$2,0),"Unknown")</f>
        <v>140.0</v>
      </c>
      <c r="AB2" s="5">
        <f>IF(ISNUMBER(Z2),ROUND(Z2*'Reference data'!$B$2,0),"Unknown")</f>
        <v>161.0</v>
      </c>
      <c r="AD2" s="1">
        <v>14994.72</v>
      </c>
      <c r="AE2" s="1" t="s">
        <v>154</v>
      </c>
    </row>
    <row r="3" spans="1:31" ht="54" customHeight="1">
      <c r="A3" s="6" t="s">
        <v>155</v>
      </c>
      <c r="B3" s="1">
        <v>1</v>
      </c>
      <c r="C3" s="1" t="s">
        <v>152</v>
      </c>
      <c r="D3" s="1" t="s">
        <v>47</v>
      </c>
      <c r="E3" s="1" t="s">
        <v>112</v>
      </c>
      <c r="G3" s="6" t="s">
        <v>156</v>
      </c>
      <c r="H3" t="s">
        <v>157</v>
      </c>
      <c r="I3" t="s">
        <v>49</v>
      </c>
      <c r="J3" s="2">
        <f>IF(COUNT('Turns'!D6)=1,SUM('Turns'!D6),"Unknown")</f>
        <v>3.0</v>
      </c>
      <c r="K3" s="2">
        <f>IF(COUNT('Turns'!E6)=1,SUM('Turns'!E6),"Unknown")</f>
        <v>5.23422e-07</v>
      </c>
      <c r="L3" s="2">
        <f>IF(COUNT('Turns'!F6)=1,SUM('Turns'!F6),"Unknown")</f>
        <v>6e-07</v>
      </c>
      <c r="M3" s="2">
        <f>IF(COUNT('Turns'!D5)=1,SUM('Turns'!D5),"Unknown")</f>
        <v>2059.0</v>
      </c>
      <c r="N3" s="2">
        <f>IF(COUNT('Turns'!E5)=1,SUM('Turns'!E5),"Unknown")</f>
        <v>3.59241966e-05</v>
      </c>
      <c r="O3" s="2">
        <f>IF(COUNT('Turns'!F5)=1,SUM('Turns'!F5),"Unknown")</f>
        <v>4.118e-05</v>
      </c>
      <c r="P3" s="2">
        <v>0</v>
      </c>
      <c r="Q3" s="2">
        <v>0</v>
      </c>
      <c r="R3" s="2">
        <v>0</v>
      </c>
      <c r="S3" s="2">
        <f>IF(COUNT('Turns'!D14)=1,SUM('Turns'!D14),"Unknown")</f>
        <v>83.0</v>
      </c>
      <c r="T3" s="2">
        <f>IF(COUNT('Turns'!E14)=1,SUM('Turns'!E14),"Unknown")</f>
        <v>8.6888052e-05</v>
      </c>
      <c r="U3" s="2">
        <f>IF(COUNT('Turns'!F14)=1,SUM('Turns'!F14),"Unknown")</f>
        <v>9.96e-05</v>
      </c>
      <c r="V3" s="2">
        <f>IF(COUNT('Turns'!D13)=1,SUM('Turns'!D13),"Unknown")</f>
        <v>45.0</v>
      </c>
      <c r="W3" s="2">
        <f>IF(COUNT('Turns'!E13)=1,SUM('Turns'!E13),"Unknown")</f>
        <v>4.710798e-05</v>
      </c>
      <c r="X3" s="2">
        <f>IF(COUNT('Turns'!F13)=1,SUM('Turns'!F13),"Unknown")</f>
        <v>5.4e-05</v>
      </c>
      <c r="Y3" s="2">
        <f>IF(COUNT('Turns'!E18)=1,SUM('Turns'!E18),"Unknown")</f>
        <v>0.0001704436506</v>
      </c>
      <c r="Z3" s="2">
        <f>IF(COUNT('Turns'!F18)=1,SUM('Turns'!F18),"Unknown")</f>
        <v>0.00019538</v>
      </c>
      <c r="AA3" s="5">
        <f>IF(ISNUMBER(Y3),ROUND(Y3*'Reference data'!$B$2,0),"Unknown")</f>
        <v>17.0</v>
      </c>
      <c r="AB3" s="5">
        <f>IF(ISNUMBER(Z3),ROUND(Z3*'Reference data'!$B$2,0),"Unknown")</f>
        <v>20.0</v>
      </c>
      <c r="AD3" s="1">
        <v>2543.138</v>
      </c>
      <c r="AE3" s="1" t="s">
        <v>154</v>
      </c>
    </row>
    <row r="4" spans="1:31" ht="54" customHeight="1">
      <c r="A4" s="6" t="s">
        <v>158</v>
      </c>
      <c r="B4" s="1">
        <v>2</v>
      </c>
      <c r="C4" s="1" t="s">
        <v>152</v>
      </c>
      <c r="D4" s="1" t="s">
        <v>47</v>
      </c>
      <c r="E4" s="1" t="s">
        <v>112</v>
      </c>
      <c r="G4" s="6" t="s">
        <v>159</v>
      </c>
      <c r="H4" t="s">
        <v>160</v>
      </c>
      <c r="I4" t="s">
        <v>157</v>
      </c>
      <c r="J4" s="2">
        <f>IF(COUNT('Turns'!D6)=1,SUM('Turns'!D6),"Unknown")</f>
        <v>3.0</v>
      </c>
      <c r="K4" s="2">
        <f>IF(COUNT('Turns'!E6)=1,SUM('Turns'!E6),"Unknown")</f>
        <v>5.23422e-07</v>
      </c>
      <c r="L4" s="2">
        <f>IF(COUNT('Turns'!F6)=1,SUM('Turns'!F6),"Unknown")</f>
        <v>6e-07</v>
      </c>
      <c r="M4" s="2">
        <f>IF(COUNT('Turns'!D5)=1,SUM('Turns'!D5),"Unknown")</f>
        <v>2059.0</v>
      </c>
      <c r="N4" s="2">
        <f>IF(COUNT('Turns'!E5)=1,SUM('Turns'!E5),"Unknown")</f>
        <v>3.59241966e-05</v>
      </c>
      <c r="O4" s="2">
        <f>IF(COUNT('Turns'!F5)=1,SUM('Turns'!F5),"Unknown")</f>
        <v>4.118e-05</v>
      </c>
      <c r="P4" s="2">
        <v>0</v>
      </c>
      <c r="Q4" s="2">
        <v>0</v>
      </c>
      <c r="R4" s="2">
        <v>0</v>
      </c>
      <c r="S4" s="2">
        <f>IF(COUNT('Turns'!D14)=1,SUM('Turns'!D14),"Unknown")</f>
        <v>83.0</v>
      </c>
      <c r="T4" s="2">
        <f>IF(COUNT('Turns'!E14)=1,SUM('Turns'!E14),"Unknown")</f>
        <v>8.6888052e-05</v>
      </c>
      <c r="U4" s="2">
        <f>IF(COUNT('Turns'!F14)=1,SUM('Turns'!F14),"Unknown")</f>
        <v>9.96e-05</v>
      </c>
      <c r="V4" s="2">
        <f>IF(COUNT('Turns'!D13)=1,SUM('Turns'!D13),"Unknown")</f>
        <v>45.0</v>
      </c>
      <c r="W4" s="2">
        <f>IF(COUNT('Turns'!E13)=1,SUM('Turns'!E13),"Unknown")</f>
        <v>4.710798e-05</v>
      </c>
      <c r="X4" s="2">
        <f>IF(COUNT('Turns'!F13)=1,SUM('Turns'!F13),"Unknown")</f>
        <v>5.4e-05</v>
      </c>
      <c r="Y4" s="2">
        <f>IF(COUNT('Turns'!E18)=1,SUM('Turns'!E18),"Unknown")</f>
        <v>0.0001704436506</v>
      </c>
      <c r="Z4" s="2">
        <f>IF(COUNT('Turns'!F18)=1,SUM('Turns'!F18),"Unknown")</f>
        <v>0.00019538</v>
      </c>
      <c r="AA4" s="5">
        <f>IF(ISNUMBER(Y4),ROUND(Y4*'Reference data'!$B$2,0),"Unknown")</f>
        <v>17.0</v>
      </c>
      <c r="AB4" s="5">
        <f>IF(ISNUMBER(Z4),ROUND(Z4*'Reference data'!$B$2,0),"Unknown")</f>
        <v>20.0</v>
      </c>
      <c r="AD4" s="1">
        <v>2542.163</v>
      </c>
      <c r="AE4" s="1" t="s">
        <v>154</v>
      </c>
    </row>
    <row r="5" spans="1:31" ht="54" customHeight="1">
      <c r="A5" s="6" t="s">
        <v>161</v>
      </c>
      <c r="B5" s="1">
        <v>3</v>
      </c>
      <c r="C5" s="1" t="s">
        <v>152</v>
      </c>
      <c r="D5" s="1" t="s">
        <v>47</v>
      </c>
      <c r="E5" s="1" t="s">
        <v>112</v>
      </c>
      <c r="G5" s="6" t="s">
        <v>162</v>
      </c>
      <c r="H5" t="s">
        <v>163</v>
      </c>
      <c r="I5" t="s">
        <v>160</v>
      </c>
      <c r="J5" s="2">
        <f>IF(COUNT('Turns'!D6)=1,SUM('Turns'!D6),"Unknown")</f>
        <v>3.0</v>
      </c>
      <c r="K5" s="2">
        <f>IF(COUNT('Turns'!E6)=1,SUM('Turns'!E6),"Unknown")</f>
        <v>5.23422e-07</v>
      </c>
      <c r="L5" s="2">
        <f>IF(COUNT('Turns'!F6)=1,SUM('Turns'!F6),"Unknown")</f>
        <v>6e-07</v>
      </c>
      <c r="M5" s="2">
        <f>IF(COUNT('Turns'!D5)=1,SUM('Turns'!D5),"Unknown")</f>
        <v>2059.0</v>
      </c>
      <c r="N5" s="2">
        <f>IF(COUNT('Turns'!E5)=1,SUM('Turns'!E5),"Unknown")</f>
        <v>3.59241966e-05</v>
      </c>
      <c r="O5" s="2">
        <f>IF(COUNT('Turns'!F5)=1,SUM('Turns'!F5),"Unknown")</f>
        <v>4.118e-05</v>
      </c>
      <c r="P5" s="2">
        <v>0</v>
      </c>
      <c r="Q5" s="2">
        <v>0</v>
      </c>
      <c r="R5" s="2">
        <v>0</v>
      </c>
      <c r="S5" s="2">
        <f>IF(COUNT('Turns'!D14)=1,SUM('Turns'!D14),"Unknown")</f>
        <v>83.0</v>
      </c>
      <c r="T5" s="2">
        <f>IF(COUNT('Turns'!E14)=1,SUM('Turns'!E14),"Unknown")</f>
        <v>8.6888052e-05</v>
      </c>
      <c r="U5" s="2">
        <f>IF(COUNT('Turns'!F14)=1,SUM('Turns'!F14),"Unknown")</f>
        <v>9.96e-05</v>
      </c>
      <c r="V5" s="2">
        <f>IF(COUNT('Turns'!D13)=1,SUM('Turns'!D13),"Unknown")</f>
        <v>45.0</v>
      </c>
      <c r="W5" s="2">
        <f>IF(COUNT('Turns'!E13)=1,SUM('Turns'!E13),"Unknown")</f>
        <v>4.710798e-05</v>
      </c>
      <c r="X5" s="2">
        <f>IF(COUNT('Turns'!F13)=1,SUM('Turns'!F13),"Unknown")</f>
        <v>5.4e-05</v>
      </c>
      <c r="Y5" s="2">
        <f>IF(COUNT('Turns'!E18)=1,SUM('Turns'!E18),"Unknown")</f>
        <v>0.0001704436506</v>
      </c>
      <c r="Z5" s="2">
        <f>IF(COUNT('Turns'!F18)=1,SUM('Turns'!F18),"Unknown")</f>
        <v>0.00019538</v>
      </c>
      <c r="AA5" s="5">
        <f>IF(ISNUMBER(Y5),ROUND(Y5*'Reference data'!$B$2,0),"Unknown")</f>
        <v>17.0</v>
      </c>
      <c r="AB5" s="5">
        <f>IF(ISNUMBER(Z5),ROUND(Z5*'Reference data'!$B$2,0),"Unknown")</f>
        <v>20.0</v>
      </c>
      <c r="AD5" s="1">
        <v>2540.99</v>
      </c>
      <c r="AE5" s="1" t="s">
        <v>154</v>
      </c>
    </row>
    <row r="6" spans="1:31" ht="54" customHeight="1">
      <c r="A6" s="6" t="s">
        <v>164</v>
      </c>
      <c r="B6" s="1">
        <v>4</v>
      </c>
      <c r="C6" s="1" t="s">
        <v>152</v>
      </c>
      <c r="D6" s="1" t="s">
        <v>47</v>
      </c>
      <c r="E6" s="1" t="s">
        <v>112</v>
      </c>
      <c r="G6" s="6" t="s">
        <v>165</v>
      </c>
      <c r="H6" t="s">
        <v>166</v>
      </c>
      <c r="I6" t="s">
        <v>163</v>
      </c>
      <c r="AD6" s="1">
        <v>0.595</v>
      </c>
      <c r="AE6" s="1" t="s">
        <v>167</v>
      </c>
    </row>
    <row r="7" spans="1:31" ht="54" customHeight="1">
      <c r="A7" s="6" t="s">
        <v>168</v>
      </c>
      <c r="B7" s="1">
        <v>4</v>
      </c>
      <c r="C7" s="1" t="s">
        <v>152</v>
      </c>
      <c r="D7" s="1" t="s">
        <v>47</v>
      </c>
      <c r="E7" s="1" t="s">
        <v>112</v>
      </c>
      <c r="G7" s="6" t="s">
        <v>169</v>
      </c>
      <c r="H7" t="s">
        <v>170</v>
      </c>
      <c r="I7" t="s">
        <v>163</v>
      </c>
      <c r="J7" s="2">
        <f>IF(COUNT('Turns'!D6)=1,SUM('Turns'!D6),"Unknown")</f>
        <v>3.0</v>
      </c>
      <c r="K7" s="2">
        <f>IF(COUNT('Turns'!E6)=1,SUM('Turns'!E6),"Unknown")</f>
        <v>5.23422e-07</v>
      </c>
      <c r="L7" s="2">
        <f>IF(COUNT('Turns'!F6)=1,SUM('Turns'!F6),"Unknown")</f>
        <v>6e-07</v>
      </c>
      <c r="M7" s="2">
        <f>IF(COUNT('Turns'!D5)=1,SUM('Turns'!D5),"Unknown")</f>
        <v>2059.0</v>
      </c>
      <c r="N7" s="2">
        <f>IF(COUNT('Turns'!E5)=1,SUM('Turns'!E5),"Unknown")</f>
        <v>3.59241966e-05</v>
      </c>
      <c r="O7" s="2">
        <f>IF(COUNT('Turns'!F5)=1,SUM('Turns'!F5),"Unknown")</f>
        <v>4.118e-05</v>
      </c>
      <c r="P7" s="2">
        <v>0</v>
      </c>
      <c r="Q7" s="2">
        <v>0</v>
      </c>
      <c r="R7" s="2">
        <v>0</v>
      </c>
      <c r="S7" s="2">
        <f>IF(COUNT('Turns'!D14)=1,SUM('Turns'!D14),"Unknown")</f>
        <v>83.0</v>
      </c>
      <c r="T7" s="2">
        <f>IF(COUNT('Turns'!E14)=1,SUM('Turns'!E14),"Unknown")</f>
        <v>8.6888052e-05</v>
      </c>
      <c r="U7" s="2">
        <f>IF(COUNT('Turns'!F14)=1,SUM('Turns'!F14),"Unknown")</f>
        <v>9.96e-05</v>
      </c>
      <c r="V7" s="2">
        <f>IF(COUNT('Turns'!D13)=1,SUM('Turns'!D13),"Unknown")</f>
        <v>45.0</v>
      </c>
      <c r="W7" s="2">
        <f>IF(COUNT('Turns'!E13)=1,SUM('Turns'!E13),"Unknown")</f>
        <v>4.710798e-05</v>
      </c>
      <c r="X7" s="2">
        <f>IF(COUNT('Turns'!F13)=1,SUM('Turns'!F13),"Unknown")</f>
        <v>5.4e-05</v>
      </c>
      <c r="Y7" s="2">
        <f>IF(COUNT('Turns'!E18)=1,SUM('Turns'!E18),"Unknown")</f>
        <v>0.0001704436506</v>
      </c>
      <c r="Z7" s="2">
        <f>IF(COUNT('Turns'!F18)=1,SUM('Turns'!F18),"Unknown")</f>
        <v>0.00019538</v>
      </c>
      <c r="AA7" s="5">
        <f>IF(ISNUMBER(Y7),ROUND(Y7*'Reference data'!$B$2,0),"Unknown")</f>
        <v>17.0</v>
      </c>
      <c r="AB7" s="5">
        <f>IF(ISNUMBER(Z7),ROUND(Z7*'Reference data'!$B$2,0),"Unknown")</f>
        <v>20.0</v>
      </c>
      <c r="AD7" s="1">
        <v>2537.617</v>
      </c>
      <c r="AE7" s="1" t="s">
        <v>154</v>
      </c>
    </row>
    <row r="8" spans="1:31" ht="54" customHeight="1">
      <c r="A8" s="6" t="s">
        <v>171</v>
      </c>
      <c r="B8" s="1">
        <v>5</v>
      </c>
      <c r="C8" s="1" t="s">
        <v>172</v>
      </c>
      <c r="D8" s="1" t="s">
        <v>95</v>
      </c>
      <c r="E8" s="1" t="s">
        <v>112</v>
      </c>
      <c r="F8" s="1">
        <v>2062</v>
      </c>
      <c r="G8" s="6" t="s">
        <v>173</v>
      </c>
      <c r="H8" t="s">
        <v>96</v>
      </c>
      <c r="I8" t="s">
        <v>170</v>
      </c>
      <c r="J8" s="2">
        <f>IF(COUNT('Turns'!D6)=1,SUM('Turns'!D6),"Unknown")</f>
        <v>3.0</v>
      </c>
      <c r="K8" s="2">
        <f>IF(COUNT('Turns'!E6)=1,SUM('Turns'!E6),"Unknown")</f>
        <v>5.23422e-07</v>
      </c>
      <c r="L8" s="2">
        <f>IF(COUNT('Turns'!F6)=1,SUM('Turns'!F6),"Unknown")</f>
        <v>6e-07</v>
      </c>
      <c r="M8" s="2">
        <f>IF(COUNT('Turns'!D5)=1,SUM('Turns'!D5),"Unknown")</f>
        <v>2059.0</v>
      </c>
      <c r="N8" s="2">
        <f>IF(COUNT('Turns'!E5)=1,SUM('Turns'!E5),"Unknown")</f>
        <v>3.59241966e-05</v>
      </c>
      <c r="O8" s="2">
        <f>IF(COUNT('Turns'!F5)=1,SUM('Turns'!F5),"Unknown")</f>
        <v>4.118e-05</v>
      </c>
      <c r="P8" s="2">
        <v>0</v>
      </c>
      <c r="Q8" s="2">
        <v>0</v>
      </c>
      <c r="R8" s="2">
        <v>0</v>
      </c>
      <c r="S8" s="2">
        <f>IF(COUNT('Turns'!D14)=1,SUM('Turns'!D14),"Unknown")</f>
        <v>83.0</v>
      </c>
      <c r="T8" s="2">
        <f>IF(COUNT('Turns'!E14)=1,SUM('Turns'!E14),"Unknown")</f>
        <v>8.6888052e-05</v>
      </c>
      <c r="U8" s="2">
        <f>IF(COUNT('Turns'!F14)=1,SUM('Turns'!F14),"Unknown")</f>
        <v>9.96e-05</v>
      </c>
      <c r="V8" s="2">
        <f>IF(COUNT('Turns'!D13)=1,SUM('Turns'!D13),"Unknown")</f>
        <v>45.0</v>
      </c>
      <c r="W8" s="2">
        <f>IF(COUNT('Turns'!E13)=1,SUM('Turns'!E13),"Unknown")</f>
        <v>4.710798e-05</v>
      </c>
      <c r="X8" s="2">
        <f>IF(COUNT('Turns'!F13)=1,SUM('Turns'!F13),"Unknown")</f>
        <v>5.4e-05</v>
      </c>
      <c r="Y8" s="2">
        <f>IF(COUNT('Turns'!E18)=1,SUM('Turns'!E18),"Unknown")</f>
        <v>0.0001704436506</v>
      </c>
      <c r="Z8" s="2">
        <f>IF(COUNT('Turns'!F18)=1,SUM('Turns'!F18),"Unknown")</f>
        <v>0.00019538</v>
      </c>
      <c r="AA8" s="5">
        <f>IF(ISNUMBER(Y8),ROUND(Y8*'Reference data'!$B$2,0),"Unknown")</f>
        <v>17.0</v>
      </c>
      <c r="AB8" s="5">
        <f>IF(ISNUMBER(Z8),ROUND(Z8*'Reference data'!$B$2,0),"Unknown")</f>
        <v>20.0</v>
      </c>
      <c r="AC8" s="1" t="s">
        <v>93</v>
      </c>
      <c r="AD8" s="1">
        <v>2534.966</v>
      </c>
      <c r="AE8" s="1" t="s">
        <v>174</v>
      </c>
    </row>
    <row r="9" spans="1:31" ht="54" customHeight="1">
      <c r="A9" s="6" t="s">
        <v>175</v>
      </c>
      <c r="B9" s="1">
        <v>1</v>
      </c>
      <c r="C9" s="1" t="s">
        <v>152</v>
      </c>
      <c r="D9" s="1" t="s">
        <v>47</v>
      </c>
      <c r="E9" s="1" t="s">
        <v>112</v>
      </c>
      <c r="G9" s="6" t="s">
        <v>176</v>
      </c>
      <c r="H9" t="s">
        <v>177</v>
      </c>
      <c r="I9" t="s">
        <v>49</v>
      </c>
      <c r="J9" s="2">
        <f>IF(COUNT('Turns'!D21,'Turns'!D33,'Turns'!D49,'Turns'!D66,'Turns'!D79)=5,SUM('Turns'!D21,'Turns'!D33,'Turns'!D49,'Turns'!D66,'Turns'!D79),"Unknown")</f>
        <v>2021.0</v>
      </c>
      <c r="K9" s="2">
        <f>IF(COUNT('Turns'!E21,'Turns'!E33,'Turns'!E49,'Turns'!E66,'Turns'!E79)=5,SUM('Turns'!E21,'Turns'!E33,'Turns'!E49,'Turns'!E66,'Turns'!E79),"Unknown")</f>
        <v>0.000352611954</v>
      </c>
      <c r="L9" s="2">
        <f>IF(COUNT('Turns'!F21,'Turns'!F33,'Turns'!F49,'Turns'!F66,'Turns'!F79)=5,SUM('Turns'!F21,'Turns'!F33,'Turns'!F49,'Turns'!F66,'Turns'!F79),"Unknown")</f>
        <v>0.0004042</v>
      </c>
      <c r="M9" s="2">
        <f>IF(COUNT('Turns'!D20,'Turns'!D65,'Turns'!D78)=3,SUM('Turns'!D20,'Turns'!D65,'Turns'!D78),"Unknown")</f>
        <v>2514.0</v>
      </c>
      <c r="N9" s="2">
        <f>IF(COUNT('Turns'!E20,'Turns'!E65,'Turns'!E78)=3,SUM('Turns'!E20,'Turns'!E65,'Turns'!E78),"Unknown")</f>
        <v>4.38627636e-05</v>
      </c>
      <c r="O9" s="2">
        <f>IF(COUNT('Turns'!F20,'Turns'!F65,'Turns'!F78)=3,SUM('Turns'!F20,'Turns'!F65,'Turns'!F78),"Unknown")</f>
        <v>5.028e-05</v>
      </c>
      <c r="P9" s="2">
        <v>0</v>
      </c>
      <c r="Q9" s="2">
        <v>0</v>
      </c>
      <c r="R9" s="2">
        <v>0</v>
      </c>
      <c r="S9" s="2">
        <f>IF(COUNT('Turns'!D27,'Turns'!D40,'Turns'!D56,'Turns'!D72,'Turns'!D85)=5,SUM('Turns'!D27,'Turns'!D40,'Turns'!D56,'Turns'!D72,'Turns'!D85),"Unknown")</f>
        <v>652.0</v>
      </c>
      <c r="T9" s="2">
        <f>IF(COUNT('Turns'!E27,'Turns'!E40,'Turns'!E56,'Turns'!E72,'Turns'!E85)=5,SUM('Turns'!E27,'Turns'!E40,'Turns'!E56,'Turns'!E72,'Turns'!E85),"Unknown")</f>
        <v>0.000682542288</v>
      </c>
      <c r="U9" s="2">
        <f>IF(COUNT('Turns'!F27,'Turns'!F40,'Turns'!F56,'Turns'!F72,'Turns'!F85)=5,SUM('Turns'!F27,'Turns'!F40,'Turns'!F56,'Turns'!F72,'Turns'!F85),"Unknown")</f>
        <v>0.0007824</v>
      </c>
      <c r="V9" s="2">
        <f>IF(COUNT('Turns'!D39,'Turns'!D55,'Turns'!D71,'Turns'!D84)=4,SUM('Turns'!D39,'Turns'!D55,'Turns'!D71,'Turns'!D84),"Unknown")</f>
        <v>144.0</v>
      </c>
      <c r="W9" s="2">
        <f>IF(COUNT('Turns'!E39,'Turns'!E55,'Turns'!E71,'Turns'!E84)=4,SUM('Turns'!E39,'Turns'!E55,'Turns'!E71,'Turns'!E84),"Unknown")</f>
        <v>0.000150745536</v>
      </c>
      <c r="X9" s="2">
        <f>IF(COUNT('Turns'!F39,'Turns'!F55,'Turns'!F71,'Turns'!F84)=4,SUM('Turns'!F39,'Turns'!F55,'Turns'!F71,'Turns'!F84),"Unknown")</f>
        <v>0.0001728</v>
      </c>
      <c r="Y9" s="2">
        <f>IF(COUNT('Turns'!E31,'Turns'!E44,'Turns'!E60,'Turns'!E76,'Turns'!E89)=5,SUM('Turns'!E31,'Turns'!E44,'Turns'!E60,'Turns'!E76,'Turns'!E89),"Unknown")</f>
        <v>0.0012297625416</v>
      </c>
      <c r="Z9" s="2">
        <f>IF(COUNT('Turns'!F31,'Turns'!F44,'Turns'!F60,'Turns'!F76,'Turns'!F89)=5,SUM('Turns'!F31,'Turns'!F44,'Turns'!F60,'Turns'!F76,'Turns'!F89),"Unknown")</f>
        <v>0.00140968</v>
      </c>
      <c r="AA9" s="5">
        <f>IF(ISNUMBER(Y9),ROUND(Y9*'Reference data'!$B$2,0),"Unknown")</f>
        <v>123.0</v>
      </c>
      <c r="AB9" s="5">
        <f>IF(ISNUMBER(Z9),ROUND(Z9*'Reference data'!$B$2,0),"Unknown")</f>
        <v>141.0</v>
      </c>
      <c r="AD9" s="1">
        <v>12448.533</v>
      </c>
      <c r="AE9" s="1" t="s">
        <v>154</v>
      </c>
    </row>
    <row r="10" spans="1:31" ht="54" customHeight="1">
      <c r="A10" s="6" t="s">
        <v>158</v>
      </c>
      <c r="B10" s="1">
        <v>2</v>
      </c>
      <c r="C10" s="1" t="s">
        <v>152</v>
      </c>
      <c r="D10" s="1" t="s">
        <v>47</v>
      </c>
      <c r="E10" s="1" t="s">
        <v>112</v>
      </c>
      <c r="G10" s="6" t="s">
        <v>159</v>
      </c>
      <c r="H10" t="s">
        <v>178</v>
      </c>
      <c r="I10" t="s">
        <v>177</v>
      </c>
      <c r="J10" s="2">
        <f>IF(COUNT('Turns'!D21,'Turns'!D33,'Turns'!D49,'Turns'!D66,'Turns'!D79)=5,SUM('Turns'!D21,'Turns'!D33,'Turns'!D49,'Turns'!D66,'Turns'!D79),"Unknown")</f>
        <v>2021.0</v>
      </c>
      <c r="K10" s="2">
        <f>IF(COUNT('Turns'!E21,'Turns'!E33,'Turns'!E49,'Turns'!E66,'Turns'!E79)=5,SUM('Turns'!E21,'Turns'!E33,'Turns'!E49,'Turns'!E66,'Turns'!E79),"Unknown")</f>
        <v>0.000352611954</v>
      </c>
      <c r="L10" s="2">
        <f>IF(COUNT('Turns'!F21,'Turns'!F33,'Turns'!F49,'Turns'!F66,'Turns'!F79)=5,SUM('Turns'!F21,'Turns'!F33,'Turns'!F49,'Turns'!F66,'Turns'!F79),"Unknown")</f>
        <v>0.0004042</v>
      </c>
      <c r="M10" s="2">
        <f>IF(COUNT('Turns'!D20,'Turns'!D65,'Turns'!D78)=3,SUM('Turns'!D20,'Turns'!D65,'Turns'!D78),"Unknown")</f>
        <v>2514.0</v>
      </c>
      <c r="N10" s="2">
        <f>IF(COUNT('Turns'!E20,'Turns'!E65,'Turns'!E78)=3,SUM('Turns'!E20,'Turns'!E65,'Turns'!E78),"Unknown")</f>
        <v>4.38627636e-05</v>
      </c>
      <c r="O10" s="2">
        <f>IF(COUNT('Turns'!F20,'Turns'!F65,'Turns'!F78)=3,SUM('Turns'!F20,'Turns'!F65,'Turns'!F78),"Unknown")</f>
        <v>5.028e-05</v>
      </c>
      <c r="P10" s="2">
        <v>0</v>
      </c>
      <c r="Q10" s="2">
        <v>0</v>
      </c>
      <c r="R10" s="2">
        <v>0</v>
      </c>
      <c r="S10" s="2">
        <f>IF(COUNT('Turns'!D27,'Turns'!D40,'Turns'!D56,'Turns'!D72,'Turns'!D85)=5,SUM('Turns'!D27,'Turns'!D40,'Turns'!D56,'Turns'!D72,'Turns'!D85),"Unknown")</f>
        <v>652.0</v>
      </c>
      <c r="T10" s="2">
        <f>IF(COUNT('Turns'!E27,'Turns'!E40,'Turns'!E56,'Turns'!E72,'Turns'!E85)=5,SUM('Turns'!E27,'Turns'!E40,'Turns'!E56,'Turns'!E72,'Turns'!E85),"Unknown")</f>
        <v>0.000682542288</v>
      </c>
      <c r="U10" s="2">
        <f>IF(COUNT('Turns'!F27,'Turns'!F40,'Turns'!F56,'Turns'!F72,'Turns'!F85)=5,SUM('Turns'!F27,'Turns'!F40,'Turns'!F56,'Turns'!F72,'Turns'!F85),"Unknown")</f>
        <v>0.0007824</v>
      </c>
      <c r="V10" s="2">
        <f>IF(COUNT('Turns'!D39,'Turns'!D55,'Turns'!D71,'Turns'!D84)=4,SUM('Turns'!D39,'Turns'!D55,'Turns'!D71,'Turns'!D84),"Unknown")</f>
        <v>144.0</v>
      </c>
      <c r="W10" s="2">
        <f>IF(COUNT('Turns'!E39,'Turns'!E55,'Turns'!E71,'Turns'!E84)=4,SUM('Turns'!E39,'Turns'!E55,'Turns'!E71,'Turns'!E84),"Unknown")</f>
        <v>0.000150745536</v>
      </c>
      <c r="X10" s="2">
        <f>IF(COUNT('Turns'!F39,'Turns'!F55,'Turns'!F71,'Turns'!F84)=4,SUM('Turns'!F39,'Turns'!F55,'Turns'!F71,'Turns'!F84),"Unknown")</f>
        <v>0.0001728</v>
      </c>
      <c r="Y10" s="2">
        <f>IF(COUNT('Turns'!E31,'Turns'!E44,'Turns'!E60,'Turns'!E76,'Turns'!E89)=5,SUM('Turns'!E31,'Turns'!E44,'Turns'!E60,'Turns'!E76,'Turns'!E89),"Unknown")</f>
        <v>0.0012297625416</v>
      </c>
      <c r="Z10" s="2">
        <f>IF(COUNT('Turns'!F31,'Turns'!F44,'Turns'!F60,'Turns'!F76,'Turns'!F89)=5,SUM('Turns'!F31,'Turns'!F44,'Turns'!F60,'Turns'!F76,'Turns'!F89),"Unknown")</f>
        <v>0.00140968</v>
      </c>
      <c r="AA10" s="5">
        <f>IF(ISNUMBER(Y10),ROUND(Y10*'Reference data'!$B$2,0),"Unknown")</f>
        <v>123.0</v>
      </c>
      <c r="AB10" s="5">
        <f>IF(ISNUMBER(Z10),ROUND(Z10*'Reference data'!$B$2,0),"Unknown")</f>
        <v>141.0</v>
      </c>
      <c r="AD10" s="1">
        <v>12447.741</v>
      </c>
      <c r="AE10" s="1" t="s">
        <v>154</v>
      </c>
    </row>
    <row r="11" spans="1:31" ht="54" customHeight="1">
      <c r="A11" s="6" t="s">
        <v>179</v>
      </c>
      <c r="B11" s="1">
        <v>3</v>
      </c>
      <c r="C11" s="1" t="s">
        <v>152</v>
      </c>
      <c r="D11" s="1" t="s">
        <v>47</v>
      </c>
      <c r="E11" s="1" t="s">
        <v>112</v>
      </c>
      <c r="G11" s="6" t="s">
        <v>180</v>
      </c>
      <c r="H11" t="s">
        <v>181</v>
      </c>
      <c r="I11" t="s">
        <v>178</v>
      </c>
      <c r="J11" s="2">
        <f>IF(COUNT('Turns'!D21,'Turns'!D33,'Turns'!D49,'Turns'!D66,'Turns'!D79)=5,SUM('Turns'!D21,'Turns'!D33,'Turns'!D49,'Turns'!D66,'Turns'!D79),"Unknown")</f>
        <v>2021.0</v>
      </c>
      <c r="K11" s="2">
        <f>IF(COUNT('Turns'!E21,'Turns'!E33,'Turns'!E49,'Turns'!E66,'Turns'!E79)=5,SUM('Turns'!E21,'Turns'!E33,'Turns'!E49,'Turns'!E66,'Turns'!E79),"Unknown")</f>
        <v>0.000352611954</v>
      </c>
      <c r="L11" s="2">
        <f>IF(COUNT('Turns'!F21,'Turns'!F33,'Turns'!F49,'Turns'!F66,'Turns'!F79)=5,SUM('Turns'!F21,'Turns'!F33,'Turns'!F49,'Turns'!F66,'Turns'!F79),"Unknown")</f>
        <v>0.0004042</v>
      </c>
      <c r="M11" s="2">
        <f>IF(COUNT('Turns'!D20,'Turns'!D65,'Turns'!D78)=3,SUM('Turns'!D20,'Turns'!D65,'Turns'!D78),"Unknown")</f>
        <v>2514.0</v>
      </c>
      <c r="N11" s="2">
        <f>IF(COUNT('Turns'!E20,'Turns'!E65,'Turns'!E78)=3,SUM('Turns'!E20,'Turns'!E65,'Turns'!E78),"Unknown")</f>
        <v>4.38627636e-05</v>
      </c>
      <c r="O11" s="2">
        <f>IF(COUNT('Turns'!F20,'Turns'!F65,'Turns'!F78)=3,SUM('Turns'!F20,'Turns'!F65,'Turns'!F78),"Unknown")</f>
        <v>5.028e-05</v>
      </c>
      <c r="P11" s="2">
        <v>0</v>
      </c>
      <c r="Q11" s="2">
        <v>0</v>
      </c>
      <c r="R11" s="2">
        <v>0</v>
      </c>
      <c r="S11" s="2">
        <f>IF(COUNT('Turns'!D27,'Turns'!D40,'Turns'!D56,'Turns'!D72,'Turns'!D85)=5,SUM('Turns'!D27,'Turns'!D40,'Turns'!D56,'Turns'!D72,'Turns'!D85),"Unknown")</f>
        <v>652.0</v>
      </c>
      <c r="T11" s="2">
        <f>IF(COUNT('Turns'!E27,'Turns'!E40,'Turns'!E56,'Turns'!E72,'Turns'!E85)=5,SUM('Turns'!E27,'Turns'!E40,'Turns'!E56,'Turns'!E72,'Turns'!E85),"Unknown")</f>
        <v>0.000682542288</v>
      </c>
      <c r="U11" s="2">
        <f>IF(COUNT('Turns'!F27,'Turns'!F40,'Turns'!F56,'Turns'!F72,'Turns'!F85)=5,SUM('Turns'!F27,'Turns'!F40,'Turns'!F56,'Turns'!F72,'Turns'!F85),"Unknown")</f>
        <v>0.0007824</v>
      </c>
      <c r="V11" s="2">
        <f>IF(COUNT('Turns'!D39,'Turns'!D55,'Turns'!D71,'Turns'!D84)=4,SUM('Turns'!D39,'Turns'!D55,'Turns'!D71,'Turns'!D84),"Unknown")</f>
        <v>144.0</v>
      </c>
      <c r="W11" s="2">
        <f>IF(COUNT('Turns'!E39,'Turns'!E55,'Turns'!E71,'Turns'!E84)=4,SUM('Turns'!E39,'Turns'!E55,'Turns'!E71,'Turns'!E84),"Unknown")</f>
        <v>0.000150745536</v>
      </c>
      <c r="X11" s="2">
        <f>IF(COUNT('Turns'!F39,'Turns'!F55,'Turns'!F71,'Turns'!F84)=4,SUM('Turns'!F39,'Turns'!F55,'Turns'!F71,'Turns'!F84),"Unknown")</f>
        <v>0.0001728</v>
      </c>
      <c r="Y11" s="2">
        <f>IF(COUNT('Turns'!E31,'Turns'!E44,'Turns'!E60,'Turns'!E76,'Turns'!E89)=5,SUM('Turns'!E31,'Turns'!E44,'Turns'!E60,'Turns'!E76,'Turns'!E89),"Unknown")</f>
        <v>0.0012297625416</v>
      </c>
      <c r="Z11" s="2">
        <f>IF(COUNT('Turns'!F31,'Turns'!F44,'Turns'!F60,'Turns'!F76,'Turns'!F89)=5,SUM('Turns'!F31,'Turns'!F44,'Turns'!F60,'Turns'!F76,'Turns'!F89),"Unknown")</f>
        <v>0.00140968</v>
      </c>
      <c r="AA11" s="5">
        <f>IF(ISNUMBER(Y11),ROUND(Y11*'Reference data'!$B$2,0),"Unknown")</f>
        <v>123.0</v>
      </c>
      <c r="AB11" s="5">
        <f>IF(ISNUMBER(Z11),ROUND(Z11*'Reference data'!$B$2,0),"Unknown")</f>
        <v>141.0</v>
      </c>
      <c r="AD11" s="1">
        <v>12446.785</v>
      </c>
      <c r="AE11" s="1" t="s">
        <v>154</v>
      </c>
    </row>
    <row r="12" spans="1:31" ht="54" customHeight="1">
      <c r="A12" s="6" t="s">
        <v>164</v>
      </c>
      <c r="B12" s="1">
        <v>4</v>
      </c>
      <c r="C12" s="1" t="s">
        <v>152</v>
      </c>
      <c r="D12" s="1" t="s">
        <v>47</v>
      </c>
      <c r="E12" s="1" t="s">
        <v>112</v>
      </c>
      <c r="G12" s="6" t="s">
        <v>182</v>
      </c>
      <c r="H12" t="s">
        <v>183</v>
      </c>
      <c r="I12" t="s">
        <v>181</v>
      </c>
      <c r="J12" s="2">
        <f>IF(COUNT('Turns'!D21)=1,SUM('Turns'!D21),"Unknown")</f>
        <v>3.0</v>
      </c>
      <c r="K12" s="2">
        <f>IF(COUNT('Turns'!E21)=1,SUM('Turns'!E21),"Unknown")</f>
        <v>5.23422e-07</v>
      </c>
      <c r="L12" s="2">
        <f>IF(COUNT('Turns'!F21)=1,SUM('Turns'!F21),"Unknown")</f>
        <v>6e-07</v>
      </c>
      <c r="M12" s="2">
        <f>IF(COUNT('Turns'!D20)=1,SUM('Turns'!D20),"Unknown")</f>
        <v>2514.0</v>
      </c>
      <c r="N12" s="2">
        <f>IF(COUNT('Turns'!E20)=1,SUM('Turns'!E20),"Unknown")</f>
        <v>4.38627636e-05</v>
      </c>
      <c r="O12" s="2">
        <f>IF(COUNT('Turns'!F20)=1,SUM('Turns'!F20),"Unknown")</f>
        <v>5.028e-05</v>
      </c>
      <c r="P12" s="2">
        <v>0</v>
      </c>
      <c r="Q12" s="2">
        <v>0</v>
      </c>
      <c r="R12" s="2">
        <v>0</v>
      </c>
      <c r="S12" s="2">
        <f>IF(COUNT('Turns'!D27)=1,SUM('Turns'!D27),"Unknown")</f>
        <v>191.0</v>
      </c>
      <c r="T12" s="2">
        <f>IF(COUNT('Turns'!E27)=1,SUM('Turns'!E27),"Unknown")</f>
        <v>0.000199947204</v>
      </c>
      <c r="U12" s="2">
        <f>IF(COUNT('Turns'!F27)=1,SUM('Turns'!F27),"Unknown")</f>
        <v>0.0002292</v>
      </c>
      <c r="V12" s="2">
        <v>0</v>
      </c>
      <c r="W12" s="2">
        <v>0</v>
      </c>
      <c r="X12" s="2">
        <v>0</v>
      </c>
      <c r="Y12" s="2">
        <f>IF(COUNT('Turns'!E31)=1,SUM('Turns'!E31),"Unknown")</f>
        <v>0.0002443333896</v>
      </c>
      <c r="Z12" s="2">
        <f>IF(COUNT('Turns'!F31)=1,SUM('Turns'!F31),"Unknown")</f>
        <v>0.00028008</v>
      </c>
      <c r="AA12" s="5">
        <f>IF(ISNUMBER(Y12),ROUND(Y12*'Reference data'!$B$2,0),"Unknown")</f>
        <v>24.0</v>
      </c>
      <c r="AB12" s="5">
        <f>IF(ISNUMBER(Z12),ROUND(Z12*'Reference data'!$B$2,0),"Unknown")</f>
        <v>28.0</v>
      </c>
      <c r="AD12" s="1">
        <v>2482.612</v>
      </c>
      <c r="AE12" s="1" t="s">
        <v>154</v>
      </c>
    </row>
    <row r="13" spans="1:31" ht="54" customHeight="1">
      <c r="A13" s="6" t="s">
        <v>184</v>
      </c>
      <c r="B13" s="1">
        <v>5</v>
      </c>
      <c r="C13" s="1" t="s">
        <v>152</v>
      </c>
      <c r="D13" s="1" t="s">
        <v>47</v>
      </c>
      <c r="E13" s="1" t="s">
        <v>112</v>
      </c>
      <c r="G13" s="6" t="s">
        <v>185</v>
      </c>
      <c r="H13" t="s">
        <v>186</v>
      </c>
      <c r="I13" t="s">
        <v>183</v>
      </c>
      <c r="J13" s="2">
        <f>IF(COUNT('Turns'!D21)=1,SUM('Turns'!D21),"Unknown")</f>
        <v>3.0</v>
      </c>
      <c r="K13" s="2">
        <f>IF(COUNT('Turns'!E21)=1,SUM('Turns'!E21),"Unknown")</f>
        <v>5.23422e-07</v>
      </c>
      <c r="L13" s="2">
        <f>IF(COUNT('Turns'!F21)=1,SUM('Turns'!F21),"Unknown")</f>
        <v>6e-07</v>
      </c>
      <c r="M13" s="2">
        <f>IF(COUNT('Turns'!D20)=1,SUM('Turns'!D20),"Unknown")</f>
        <v>2514.0</v>
      </c>
      <c r="N13" s="2">
        <f>IF(COUNT('Turns'!E20)=1,SUM('Turns'!E20),"Unknown")</f>
        <v>4.38627636e-05</v>
      </c>
      <c r="O13" s="2">
        <f>IF(COUNT('Turns'!F20)=1,SUM('Turns'!F20),"Unknown")</f>
        <v>5.028e-05</v>
      </c>
      <c r="P13" s="2">
        <v>0</v>
      </c>
      <c r="Q13" s="2">
        <v>0</v>
      </c>
      <c r="R13" s="2">
        <v>0</v>
      </c>
      <c r="S13" s="2">
        <f>IF(COUNT('Turns'!D27)=1,SUM('Turns'!D27),"Unknown")</f>
        <v>191.0</v>
      </c>
      <c r="T13" s="2">
        <f>IF(COUNT('Turns'!E27)=1,SUM('Turns'!E27),"Unknown")</f>
        <v>0.000199947204</v>
      </c>
      <c r="U13" s="2">
        <f>IF(COUNT('Turns'!F27)=1,SUM('Turns'!F27),"Unknown")</f>
        <v>0.0002292</v>
      </c>
      <c r="V13" s="2">
        <v>0</v>
      </c>
      <c r="W13" s="2">
        <v>0</v>
      </c>
      <c r="X13" s="2">
        <v>0</v>
      </c>
      <c r="Y13" s="2">
        <f>IF(COUNT('Turns'!E31)=1,SUM('Turns'!E31),"Unknown")</f>
        <v>0.0002443333896</v>
      </c>
      <c r="Z13" s="2">
        <f>IF(COUNT('Turns'!F31)=1,SUM('Turns'!F31),"Unknown")</f>
        <v>0.00028008</v>
      </c>
      <c r="AA13" s="5">
        <f>IF(ISNUMBER(Y13),ROUND(Y13*'Reference data'!$B$2,0),"Unknown")</f>
        <v>24.0</v>
      </c>
      <c r="AB13" s="5">
        <f>IF(ISNUMBER(Z13),ROUND(Z13*'Reference data'!$B$2,0),"Unknown")</f>
        <v>28.0</v>
      </c>
      <c r="AD13" s="1">
        <v>2480.996</v>
      </c>
      <c r="AE13" s="1" t="s">
        <v>154</v>
      </c>
    </row>
    <row r="14" spans="1:31" ht="54" customHeight="1">
      <c r="A14" s="6" t="s">
        <v>187</v>
      </c>
      <c r="B14" s="1">
        <v>6</v>
      </c>
      <c r="C14" s="1" t="s">
        <v>172</v>
      </c>
      <c r="D14" s="1" t="s">
        <v>95</v>
      </c>
      <c r="E14" s="1" t="s">
        <v>112</v>
      </c>
      <c r="F14" s="1">
        <v>2517</v>
      </c>
      <c r="G14" s="6" t="s">
        <v>173</v>
      </c>
      <c r="H14" t="s">
        <v>114</v>
      </c>
      <c r="I14" t="s">
        <v>186</v>
      </c>
      <c r="J14" s="2">
        <f>IF(COUNT('Turns'!D21)=1,SUM('Turns'!D21),"Unknown")</f>
        <v>3.0</v>
      </c>
      <c r="K14" s="2">
        <f>IF(COUNT('Turns'!E21)=1,SUM('Turns'!E21),"Unknown")</f>
        <v>5.23422e-07</v>
      </c>
      <c r="L14" s="2">
        <f>IF(COUNT('Turns'!F21)=1,SUM('Turns'!F21),"Unknown")</f>
        <v>6e-07</v>
      </c>
      <c r="M14" s="2">
        <f>IF(COUNT('Turns'!D20)=1,SUM('Turns'!D20),"Unknown")</f>
        <v>2514.0</v>
      </c>
      <c r="N14" s="2">
        <f>IF(COUNT('Turns'!E20)=1,SUM('Turns'!E20),"Unknown")</f>
        <v>4.38627636e-05</v>
      </c>
      <c r="O14" s="2">
        <f>IF(COUNT('Turns'!F20)=1,SUM('Turns'!F20),"Unknown")</f>
        <v>5.028e-05</v>
      </c>
      <c r="P14" s="2">
        <v>0</v>
      </c>
      <c r="Q14" s="2">
        <v>0</v>
      </c>
      <c r="R14" s="2">
        <v>0</v>
      </c>
      <c r="S14" s="2">
        <f>IF(COUNT('Turns'!D27)=1,SUM('Turns'!D27),"Unknown")</f>
        <v>191.0</v>
      </c>
      <c r="T14" s="2">
        <f>IF(COUNT('Turns'!E27)=1,SUM('Turns'!E27),"Unknown")</f>
        <v>0.000199947204</v>
      </c>
      <c r="U14" s="2">
        <f>IF(COUNT('Turns'!F27)=1,SUM('Turns'!F27),"Unknown")</f>
        <v>0.0002292</v>
      </c>
      <c r="V14" s="2">
        <v>0</v>
      </c>
      <c r="W14" s="2">
        <v>0</v>
      </c>
      <c r="X14" s="2">
        <v>0</v>
      </c>
      <c r="Y14" s="2">
        <f>IF(COUNT('Turns'!E31)=1,SUM('Turns'!E31),"Unknown")</f>
        <v>0.0002443333896</v>
      </c>
      <c r="Z14" s="2">
        <f>IF(COUNT('Turns'!F31)=1,SUM('Turns'!F31),"Unknown")</f>
        <v>0.00028008</v>
      </c>
      <c r="AA14" s="5">
        <f>IF(ISNUMBER(Y14),ROUND(Y14*'Reference data'!$B$2,0),"Unknown")</f>
        <v>24.0</v>
      </c>
      <c r="AB14" s="5">
        <f>IF(ISNUMBER(Z14),ROUND(Z14*'Reference data'!$B$2,0),"Unknown")</f>
        <v>28.0</v>
      </c>
      <c r="AC14" s="1" t="s">
        <v>113</v>
      </c>
      <c r="AD14" s="1">
        <v>2479.519</v>
      </c>
      <c r="AE14" s="1" t="s">
        <v>174</v>
      </c>
    </row>
    <row r="15" spans="1:31" ht="54" customHeight="1">
      <c r="A15" s="6" t="s">
        <v>168</v>
      </c>
      <c r="B15" s="1">
        <v>4</v>
      </c>
      <c r="C15" s="1" t="s">
        <v>152</v>
      </c>
      <c r="D15" s="1" t="s">
        <v>47</v>
      </c>
      <c r="E15" s="1" t="s">
        <v>112</v>
      </c>
      <c r="G15" s="6" t="s">
        <v>169</v>
      </c>
      <c r="H15" t="s">
        <v>188</v>
      </c>
      <c r="I15" t="s">
        <v>181</v>
      </c>
      <c r="J15" s="2">
        <f>IF(COUNT('Turns'!D33)=1,SUM('Turns'!D33),"Unknown")</f>
        <v>700.0</v>
      </c>
      <c r="K15" s="2">
        <f>IF(COUNT('Turns'!E33)=1,SUM('Turns'!E33),"Unknown")</f>
        <v>0.0001221318</v>
      </c>
      <c r="L15" s="2">
        <f>IF(COUNT('Turns'!F33)=1,SUM('Turns'!F33),"Unknown")</f>
        <v>0.00014</v>
      </c>
      <c r="M15" s="2">
        <v>0</v>
      </c>
      <c r="N15" s="2">
        <v>0</v>
      </c>
      <c r="O15" s="2">
        <v>0</v>
      </c>
      <c r="P15" s="2">
        <v>0</v>
      </c>
      <c r="Q15" s="2">
        <v>0</v>
      </c>
      <c r="R15" s="2">
        <v>0</v>
      </c>
      <c r="S15" s="2">
        <f>IF(COUNT('Turns'!D40)=1,SUM('Turns'!D40),"Unknown")</f>
        <v>83.0</v>
      </c>
      <c r="T15" s="2">
        <f>IF(COUNT('Turns'!E40)=1,SUM('Turns'!E40),"Unknown")</f>
        <v>8.6888052e-05</v>
      </c>
      <c r="U15" s="2">
        <f>IF(COUNT('Turns'!F40)=1,SUM('Turns'!F40),"Unknown")</f>
        <v>9.96e-05</v>
      </c>
      <c r="V15" s="2">
        <f>IF(COUNT('Turns'!D39)=1,SUM('Turns'!D39),"Unknown")</f>
        <v>21.0</v>
      </c>
      <c r="W15" s="2">
        <f>IF(COUNT('Turns'!E39)=1,SUM('Turns'!E39),"Unknown")</f>
        <v>2.1983724e-05</v>
      </c>
      <c r="X15" s="2">
        <f>IF(COUNT('Turns'!F39)=1,SUM('Turns'!F39),"Unknown")</f>
        <v>2.52e-05</v>
      </c>
      <c r="Y15" s="2">
        <f>IF(COUNT('Turns'!E44)=1,SUM('Turns'!E44),"Unknown")</f>
        <v>0.000231003576</v>
      </c>
      <c r="Z15" s="2">
        <f>IF(COUNT('Turns'!F44)=1,SUM('Turns'!F44),"Unknown")</f>
        <v>0.0002648</v>
      </c>
      <c r="AA15" s="5">
        <f>IF(ISNUMBER(Y15),ROUND(Y15*'Reference data'!$B$2,0),"Unknown")</f>
        <v>23.0</v>
      </c>
      <c r="AB15" s="5">
        <f>IF(ISNUMBER(Z15),ROUND(Z15*'Reference data'!$B$2,0),"Unknown")</f>
        <v>26.0</v>
      </c>
      <c r="AD15" s="1">
        <v>1799.019</v>
      </c>
      <c r="AE15" s="1" t="s">
        <v>154</v>
      </c>
    </row>
    <row r="16" spans="1:31" ht="54" customHeight="1">
      <c r="A16" s="6" t="s">
        <v>171</v>
      </c>
      <c r="B16" s="1">
        <v>5</v>
      </c>
      <c r="C16" s="1" t="s">
        <v>172</v>
      </c>
      <c r="D16" s="1" t="s">
        <v>95</v>
      </c>
      <c r="E16" s="1" t="s">
        <v>112</v>
      </c>
      <c r="F16" s="1">
        <v>700</v>
      </c>
      <c r="G16" s="6" t="s">
        <v>173</v>
      </c>
      <c r="H16" t="s">
        <v>118</v>
      </c>
      <c r="I16" t="s">
        <v>188</v>
      </c>
      <c r="J16" s="2">
        <f>IF(COUNT('Turns'!D33)=1,SUM('Turns'!D33),"Unknown")</f>
        <v>700.0</v>
      </c>
      <c r="K16" s="2">
        <f>IF(COUNT('Turns'!E33)=1,SUM('Turns'!E33),"Unknown")</f>
        <v>0.0001221318</v>
      </c>
      <c r="L16" s="2">
        <f>IF(COUNT('Turns'!F33)=1,SUM('Turns'!F33),"Unknown")</f>
        <v>0.00014</v>
      </c>
      <c r="M16" s="2">
        <v>0</v>
      </c>
      <c r="N16" s="2">
        <v>0</v>
      </c>
      <c r="O16" s="2">
        <v>0</v>
      </c>
      <c r="P16" s="2">
        <v>0</v>
      </c>
      <c r="Q16" s="2">
        <v>0</v>
      </c>
      <c r="R16" s="2">
        <v>0</v>
      </c>
      <c r="S16" s="2">
        <f>IF(COUNT('Turns'!D40)=1,SUM('Turns'!D40),"Unknown")</f>
        <v>83.0</v>
      </c>
      <c r="T16" s="2">
        <f>IF(COUNT('Turns'!E40)=1,SUM('Turns'!E40),"Unknown")</f>
        <v>8.6888052e-05</v>
      </c>
      <c r="U16" s="2">
        <f>IF(COUNT('Turns'!F40)=1,SUM('Turns'!F40),"Unknown")</f>
        <v>9.96e-05</v>
      </c>
      <c r="V16" s="2">
        <f>IF(COUNT('Turns'!D39)=1,SUM('Turns'!D39),"Unknown")</f>
        <v>21.0</v>
      </c>
      <c r="W16" s="2">
        <f>IF(COUNT('Turns'!E39)=1,SUM('Turns'!E39),"Unknown")</f>
        <v>2.1983724e-05</v>
      </c>
      <c r="X16" s="2">
        <f>IF(COUNT('Turns'!F39)=1,SUM('Turns'!F39),"Unknown")</f>
        <v>2.52e-05</v>
      </c>
      <c r="Y16" s="2">
        <f>IF(COUNT('Turns'!E44)=1,SUM('Turns'!E44),"Unknown")</f>
        <v>0.000231003576</v>
      </c>
      <c r="Z16" s="2">
        <f>IF(COUNT('Turns'!F44)=1,SUM('Turns'!F44),"Unknown")</f>
        <v>0.0002648</v>
      </c>
      <c r="AA16" s="5">
        <f>IF(ISNUMBER(Y16),ROUND(Y16*'Reference data'!$B$2,0),"Unknown")</f>
        <v>23.0</v>
      </c>
      <c r="AB16" s="5">
        <f>IF(ISNUMBER(Z16),ROUND(Z16*'Reference data'!$B$2,0),"Unknown")</f>
        <v>26.0</v>
      </c>
      <c r="AC16" s="1" t="s">
        <v>117</v>
      </c>
      <c r="AD16" s="1">
        <v>1787.821</v>
      </c>
      <c r="AE16" s="1" t="s">
        <v>174</v>
      </c>
    </row>
    <row r="17" spans="1:31" ht="54" customHeight="1">
      <c r="A17" s="6" t="s">
        <v>189</v>
      </c>
      <c r="B17" s="1">
        <v>4</v>
      </c>
      <c r="C17" s="1" t="s">
        <v>152</v>
      </c>
      <c r="D17" s="1" t="s">
        <v>47</v>
      </c>
      <c r="E17" s="1" t="s">
        <v>112</v>
      </c>
      <c r="G17" s="6" t="s">
        <v>190</v>
      </c>
      <c r="H17" t="s">
        <v>191</v>
      </c>
      <c r="I17" t="s">
        <v>181</v>
      </c>
      <c r="J17" s="2">
        <f>IF(COUNT('Turns'!D49,'Turns'!D66)=2,SUM('Turns'!D49,'Turns'!D66),"Unknown")</f>
        <v>470.0</v>
      </c>
      <c r="K17" s="2">
        <f>IF(COUNT('Turns'!E49,'Turns'!E66)=2,SUM('Turns'!E49,'Turns'!E66),"Unknown")</f>
        <v>8.200278e-05</v>
      </c>
      <c r="L17" s="2">
        <f>IF(COUNT('Turns'!F49,'Turns'!F66)=2,SUM('Turns'!F49,'Turns'!F66),"Unknown")</f>
        <v>9.4e-05</v>
      </c>
      <c r="M17" s="2">
        <f>IF(COUNT('Turns'!D65)=1,SUM('Turns'!D65),"Unknown")</f>
        <v>0.0</v>
      </c>
      <c r="N17" s="2">
        <f>IF(COUNT('Turns'!E65)=1,SUM('Turns'!E65),"Unknown")</f>
        <v>0.0</v>
      </c>
      <c r="O17" s="2">
        <f>IF(COUNT('Turns'!F65)=1,SUM('Turns'!F65),"Unknown")</f>
        <v>0.0</v>
      </c>
      <c r="P17" s="2">
        <v>0</v>
      </c>
      <c r="Q17" s="2">
        <v>0</v>
      </c>
      <c r="R17" s="2">
        <v>0</v>
      </c>
      <c r="S17" s="2">
        <f>IF(COUNT('Turns'!D56,'Turns'!D72)=2,SUM('Turns'!D56,'Turns'!D72),"Unknown")</f>
        <v>93.0</v>
      </c>
      <c r="T17" s="2">
        <f>IF(COUNT('Turns'!E56,'Turns'!E72)=2,SUM('Turns'!E56,'Turns'!E72),"Unknown")</f>
        <v>9.7356492e-05</v>
      </c>
      <c r="U17" s="2">
        <f>IF(COUNT('Turns'!F56,'Turns'!F72)=2,SUM('Turns'!F56,'Turns'!F72),"Unknown")</f>
        <v>0.0001116</v>
      </c>
      <c r="V17" s="2">
        <f>IF(COUNT('Turns'!D55,'Turns'!D71)=2,SUM('Turns'!D55,'Turns'!D71),"Unknown")</f>
        <v>103.0</v>
      </c>
      <c r="W17" s="2">
        <f>IF(COUNT('Turns'!E55,'Turns'!E71)=2,SUM('Turns'!E55,'Turns'!E71),"Unknown")</f>
        <v>0.000107824932</v>
      </c>
      <c r="X17" s="2">
        <f>IF(COUNT('Turns'!F55,'Turns'!F71)=2,SUM('Turns'!F55,'Turns'!F71),"Unknown")</f>
        <v>0.0001236</v>
      </c>
      <c r="Y17" s="2">
        <f>IF(COUNT('Turns'!E60,'Turns'!E76)=2,SUM('Turns'!E60,'Turns'!E76),"Unknown")</f>
        <v>0.000287184204</v>
      </c>
      <c r="Z17" s="2">
        <f>IF(COUNT('Turns'!F60,'Turns'!F76)=2,SUM('Turns'!F60,'Turns'!F76),"Unknown")</f>
        <v>0.0003292</v>
      </c>
      <c r="AA17" s="5">
        <f>IF(ISNUMBER(Y17),ROUND(Y17*'Reference data'!$B$2,0),"Unknown")</f>
        <v>29.0</v>
      </c>
      <c r="AB17" s="5">
        <f>IF(ISNUMBER(Z17),ROUND(Z17*'Reference data'!$B$2,0),"Unknown")</f>
        <v>33.0</v>
      </c>
      <c r="AD17" s="1">
        <v>4381.77</v>
      </c>
      <c r="AE17" s="1" t="s">
        <v>154</v>
      </c>
    </row>
    <row r="18" spans="1:31" ht="54" customHeight="1">
      <c r="A18" s="6" t="s">
        <v>192</v>
      </c>
      <c r="B18" s="1">
        <v>5</v>
      </c>
      <c r="C18" s="1" t="s">
        <v>193</v>
      </c>
      <c r="D18" s="1" t="s">
        <v>47</v>
      </c>
      <c r="E18" s="1" t="s">
        <v>112</v>
      </c>
      <c r="G18" s="6" t="s">
        <v>194</v>
      </c>
      <c r="H18" t="s">
        <v>122</v>
      </c>
      <c r="I18" t="s">
        <v>191</v>
      </c>
      <c r="J18" s="2">
        <f>IF(COUNT('Turns'!D49,'Turns'!D66)=2,SUM('Turns'!D49,'Turns'!D66),"Unknown")</f>
        <v>470.0</v>
      </c>
      <c r="K18" s="2">
        <f>IF(COUNT('Turns'!E49,'Turns'!E66)=2,SUM('Turns'!E49,'Turns'!E66),"Unknown")</f>
        <v>8.200278e-05</v>
      </c>
      <c r="L18" s="2">
        <f>IF(COUNT('Turns'!F49,'Turns'!F66)=2,SUM('Turns'!F49,'Turns'!F66),"Unknown")</f>
        <v>9.4e-05</v>
      </c>
      <c r="M18" s="2">
        <f>IF(COUNT('Turns'!D65)=1,SUM('Turns'!D65),"Unknown")</f>
        <v>0.0</v>
      </c>
      <c r="N18" s="2">
        <f>IF(COUNT('Turns'!E65)=1,SUM('Turns'!E65),"Unknown")</f>
        <v>0.0</v>
      </c>
      <c r="O18" s="2">
        <f>IF(COUNT('Turns'!F65)=1,SUM('Turns'!F65),"Unknown")</f>
        <v>0.0</v>
      </c>
      <c r="P18" s="2">
        <v>0</v>
      </c>
      <c r="Q18" s="2">
        <v>0</v>
      </c>
      <c r="R18" s="2">
        <v>0</v>
      </c>
      <c r="S18" s="2">
        <f>IF(COUNT('Turns'!D56,'Turns'!D72)=2,SUM('Turns'!D56,'Turns'!D72),"Unknown")</f>
        <v>93.0</v>
      </c>
      <c r="T18" s="2">
        <f>IF(COUNT('Turns'!E56,'Turns'!E72)=2,SUM('Turns'!E56,'Turns'!E72),"Unknown")</f>
        <v>9.7356492e-05</v>
      </c>
      <c r="U18" s="2">
        <f>IF(COUNT('Turns'!F56,'Turns'!F72)=2,SUM('Turns'!F56,'Turns'!F72),"Unknown")</f>
        <v>0.0001116</v>
      </c>
      <c r="V18" s="2">
        <f>IF(COUNT('Turns'!D55,'Turns'!D71)=2,SUM('Turns'!D55,'Turns'!D71),"Unknown")</f>
        <v>103.0</v>
      </c>
      <c r="W18" s="2">
        <f>IF(COUNT('Turns'!E55,'Turns'!E71)=2,SUM('Turns'!E55,'Turns'!E71),"Unknown")</f>
        <v>0.000107824932</v>
      </c>
      <c r="X18" s="2">
        <f>IF(COUNT('Turns'!F55,'Turns'!F71)=2,SUM('Turns'!F55,'Turns'!F71),"Unknown")</f>
        <v>0.0001236</v>
      </c>
      <c r="Y18" s="2">
        <f>IF(COUNT('Turns'!E60,'Turns'!E76)=2,SUM('Turns'!E60,'Turns'!E76),"Unknown")</f>
        <v>0.000287184204</v>
      </c>
      <c r="Z18" s="2">
        <f>IF(COUNT('Turns'!F60,'Turns'!F76)=2,SUM('Turns'!F60,'Turns'!F76),"Unknown")</f>
        <v>0.0003292</v>
      </c>
      <c r="AA18" s="5">
        <f>IF(ISNUMBER(Y18),ROUND(Y18*'Reference data'!$B$2,0),"Unknown")</f>
        <v>29.0</v>
      </c>
      <c r="AB18" s="5">
        <f>IF(ISNUMBER(Z18),ROUND(Z18*'Reference data'!$B$2,0),"Unknown")</f>
        <v>33.0</v>
      </c>
      <c r="AD18" s="1">
        <v>4380.211</v>
      </c>
      <c r="AE18" s="1" t="s">
        <v>154</v>
      </c>
    </row>
    <row r="19" spans="1:31" ht="54" customHeight="1">
      <c r="A19" s="6" t="s">
        <v>195</v>
      </c>
      <c r="B19" s="1">
        <v>6</v>
      </c>
      <c r="C19" s="1" t="s">
        <v>152</v>
      </c>
      <c r="D19" s="1" t="s">
        <v>47</v>
      </c>
      <c r="E19" s="1" t="s">
        <v>112</v>
      </c>
      <c r="G19" s="6" t="s">
        <v>196</v>
      </c>
      <c r="H19" t="s">
        <v>197</v>
      </c>
      <c r="I19" t="s">
        <v>122</v>
      </c>
      <c r="J19" s="2">
        <f>IF(COUNT('Turns'!D49,'Turns'!D66)=2,SUM('Turns'!D49,'Turns'!D66),"Unknown")</f>
        <v>470.0</v>
      </c>
      <c r="K19" s="2">
        <f>IF(COUNT('Turns'!E49,'Turns'!E66)=2,SUM('Turns'!E49,'Turns'!E66),"Unknown")</f>
        <v>8.200278e-05</v>
      </c>
      <c r="L19" s="2">
        <f>IF(COUNT('Turns'!F49,'Turns'!F66)=2,SUM('Turns'!F49,'Turns'!F66),"Unknown")</f>
        <v>9.4e-05</v>
      </c>
      <c r="M19" s="2">
        <f>IF(COUNT('Turns'!D65)=1,SUM('Turns'!D65),"Unknown")</f>
        <v>0.0</v>
      </c>
      <c r="N19" s="2">
        <f>IF(COUNT('Turns'!E65)=1,SUM('Turns'!E65),"Unknown")</f>
        <v>0.0</v>
      </c>
      <c r="O19" s="2">
        <f>IF(COUNT('Turns'!F65)=1,SUM('Turns'!F65),"Unknown")</f>
        <v>0.0</v>
      </c>
      <c r="P19" s="2">
        <v>0</v>
      </c>
      <c r="Q19" s="2">
        <v>0</v>
      </c>
      <c r="R19" s="2">
        <v>0</v>
      </c>
      <c r="S19" s="2">
        <f>IF(COUNT('Turns'!D56,'Turns'!D72)=2,SUM('Turns'!D56,'Turns'!D72),"Unknown")</f>
        <v>93.0</v>
      </c>
      <c r="T19" s="2">
        <f>IF(COUNT('Turns'!E56,'Turns'!E72)=2,SUM('Turns'!E56,'Turns'!E72),"Unknown")</f>
        <v>9.7356492e-05</v>
      </c>
      <c r="U19" s="2">
        <f>IF(COUNT('Turns'!F56,'Turns'!F72)=2,SUM('Turns'!F56,'Turns'!F72),"Unknown")</f>
        <v>0.0001116</v>
      </c>
      <c r="V19" s="2">
        <f>IF(COUNT('Turns'!D55,'Turns'!D71)=2,SUM('Turns'!D55,'Turns'!D71),"Unknown")</f>
        <v>103.0</v>
      </c>
      <c r="W19" s="2">
        <f>IF(COUNT('Turns'!E55,'Turns'!E71)=2,SUM('Turns'!E55,'Turns'!E71),"Unknown")</f>
        <v>0.000107824932</v>
      </c>
      <c r="X19" s="2">
        <f>IF(COUNT('Turns'!F55,'Turns'!F71)=2,SUM('Turns'!F55,'Turns'!F71),"Unknown")</f>
        <v>0.0001236</v>
      </c>
      <c r="Y19" s="2">
        <f>IF(COUNT('Turns'!E60,'Turns'!E76)=2,SUM('Turns'!E60,'Turns'!E76),"Unknown")</f>
        <v>0.000287184204</v>
      </c>
      <c r="Z19" s="2">
        <f>IF(COUNT('Turns'!F60,'Turns'!F76)=2,SUM('Turns'!F60,'Turns'!F76),"Unknown")</f>
        <v>0.0003292</v>
      </c>
      <c r="AA19" s="5">
        <f>IF(ISNUMBER(Y19),ROUND(Y19*'Reference data'!$B$2,0),"Unknown")</f>
        <v>29.0</v>
      </c>
      <c r="AB19" s="5">
        <f>IF(ISNUMBER(Z19),ROUND(Z19*'Reference data'!$B$2,0),"Unknown")</f>
        <v>33.0</v>
      </c>
      <c r="AD19" s="1">
        <v>4378.3</v>
      </c>
      <c r="AE19" s="1" t="s">
        <v>154</v>
      </c>
    </row>
    <row r="20" spans="1:31" ht="54" customHeight="1">
      <c r="A20" s="6" t="s">
        <v>198</v>
      </c>
      <c r="B20" s="1">
        <v>7</v>
      </c>
      <c r="C20" s="1" t="s">
        <v>152</v>
      </c>
      <c r="D20" s="1" t="s">
        <v>47</v>
      </c>
      <c r="E20" s="1" t="s">
        <v>112</v>
      </c>
      <c r="G20" s="6" t="s">
        <v>165</v>
      </c>
      <c r="H20" t="s">
        <v>199</v>
      </c>
      <c r="I20" t="s">
        <v>197</v>
      </c>
      <c r="AD20" s="1">
        <v>0.888</v>
      </c>
      <c r="AE20" s="1" t="s">
        <v>167</v>
      </c>
    </row>
    <row r="21" spans="1:31" ht="54" customHeight="1">
      <c r="A21" s="6" t="s">
        <v>200</v>
      </c>
      <c r="B21" s="1">
        <v>7</v>
      </c>
      <c r="C21" s="1" t="s">
        <v>152</v>
      </c>
      <c r="D21" s="1" t="s">
        <v>47</v>
      </c>
      <c r="E21" s="1" t="s">
        <v>112</v>
      </c>
      <c r="G21" s="6" t="s">
        <v>169</v>
      </c>
      <c r="H21" t="s">
        <v>201</v>
      </c>
      <c r="I21" t="s">
        <v>197</v>
      </c>
      <c r="J21" s="2">
        <f>IF(COUNT('Turns'!D49)=1,SUM('Turns'!D49),"Unknown")</f>
        <v>160.0</v>
      </c>
      <c r="K21" s="2">
        <f>IF(COUNT('Turns'!E49)=1,SUM('Turns'!E49),"Unknown")</f>
        <v>2.791584e-05</v>
      </c>
      <c r="L21" s="2">
        <f>IF(COUNT('Turns'!F49)=1,SUM('Turns'!F49),"Unknown")</f>
        <v>3.2e-05</v>
      </c>
      <c r="M21" s="2">
        <v>0</v>
      </c>
      <c r="N21" s="2">
        <v>0</v>
      </c>
      <c r="O21" s="2">
        <v>0</v>
      </c>
      <c r="P21" s="2">
        <v>0</v>
      </c>
      <c r="Q21" s="2">
        <v>0</v>
      </c>
      <c r="R21" s="2">
        <v>0</v>
      </c>
      <c r="S21" s="2">
        <f>IF(COUNT('Turns'!D56)=1,SUM('Turns'!D56),"Unknown")</f>
        <v>53.0</v>
      </c>
      <c r="T21" s="2">
        <f>IF(COUNT('Turns'!E56)=1,SUM('Turns'!E56),"Unknown")</f>
        <v>5.5482732e-05</v>
      </c>
      <c r="U21" s="2">
        <f>IF(COUNT('Turns'!F56)=1,SUM('Turns'!F56),"Unknown")</f>
        <v>6.36e-05</v>
      </c>
      <c r="V21" s="2">
        <f>IF(COUNT('Turns'!D55)=1,SUM('Turns'!D55),"Unknown")</f>
        <v>48.0</v>
      </c>
      <c r="W21" s="2">
        <f>IF(COUNT('Turns'!E55)=1,SUM('Turns'!E55),"Unknown")</f>
        <v>5.0248512e-05</v>
      </c>
      <c r="X21" s="2">
        <f>IF(COUNT('Turns'!F55)=1,SUM('Turns'!F55),"Unknown")</f>
        <v>5.76e-05</v>
      </c>
      <c r="Y21" s="2">
        <f>IF(COUNT('Turns'!E60)=1,SUM('Turns'!E60),"Unknown")</f>
        <v>0.000133647084</v>
      </c>
      <c r="Z21" s="2">
        <f>IF(COUNT('Turns'!F60)=1,SUM('Turns'!F60),"Unknown")</f>
        <v>0.0001532</v>
      </c>
      <c r="AA21" s="5">
        <f>IF(ISNUMBER(Y21),ROUND(Y21*'Reference data'!$B$2,0),"Unknown")</f>
        <v>13.0</v>
      </c>
      <c r="AB21" s="5">
        <f>IF(ISNUMBER(Z21),ROUND(Z21*'Reference data'!$B$2,0),"Unknown")</f>
        <v>15.0</v>
      </c>
      <c r="AD21" s="1">
        <v>2392.484</v>
      </c>
      <c r="AE21" s="1" t="s">
        <v>154</v>
      </c>
    </row>
    <row r="22" spans="1:31" ht="54" customHeight="1">
      <c r="A22" s="6" t="s">
        <v>202</v>
      </c>
      <c r="B22" s="1">
        <v>8</v>
      </c>
      <c r="C22" s="1" t="s">
        <v>172</v>
      </c>
      <c r="D22" s="1" t="s">
        <v>95</v>
      </c>
      <c r="E22" s="1" t="s">
        <v>112</v>
      </c>
      <c r="F22" s="1">
        <v>160</v>
      </c>
      <c r="G22" s="6" t="s">
        <v>173</v>
      </c>
      <c r="H22" t="s">
        <v>128</v>
      </c>
      <c r="I22" t="s">
        <v>201</v>
      </c>
      <c r="J22" s="2">
        <f>IF(COUNT('Turns'!D49)=1,SUM('Turns'!D49),"Unknown")</f>
        <v>160.0</v>
      </c>
      <c r="K22" s="2">
        <f>IF(COUNT('Turns'!E49)=1,SUM('Turns'!E49),"Unknown")</f>
        <v>2.791584e-05</v>
      </c>
      <c r="L22" s="2">
        <f>IF(COUNT('Turns'!F49)=1,SUM('Turns'!F49),"Unknown")</f>
        <v>3.2e-05</v>
      </c>
      <c r="M22" s="2">
        <v>0</v>
      </c>
      <c r="N22" s="2">
        <v>0</v>
      </c>
      <c r="O22" s="2">
        <v>0</v>
      </c>
      <c r="P22" s="2">
        <v>0</v>
      </c>
      <c r="Q22" s="2">
        <v>0</v>
      </c>
      <c r="R22" s="2">
        <v>0</v>
      </c>
      <c r="S22" s="2">
        <f>IF(COUNT('Turns'!D56)=1,SUM('Turns'!D56),"Unknown")</f>
        <v>53.0</v>
      </c>
      <c r="T22" s="2">
        <f>IF(COUNT('Turns'!E56)=1,SUM('Turns'!E56),"Unknown")</f>
        <v>5.5482732e-05</v>
      </c>
      <c r="U22" s="2">
        <f>IF(COUNT('Turns'!F56)=1,SUM('Turns'!F56),"Unknown")</f>
        <v>6.36e-05</v>
      </c>
      <c r="V22" s="2">
        <f>IF(COUNT('Turns'!D55)=1,SUM('Turns'!D55),"Unknown")</f>
        <v>48.0</v>
      </c>
      <c r="W22" s="2">
        <f>IF(COUNT('Turns'!E55)=1,SUM('Turns'!E55),"Unknown")</f>
        <v>5.0248512e-05</v>
      </c>
      <c r="X22" s="2">
        <f>IF(COUNT('Turns'!F55)=1,SUM('Turns'!F55),"Unknown")</f>
        <v>5.76e-05</v>
      </c>
      <c r="Y22" s="2">
        <f>IF(COUNT('Turns'!E60)=1,SUM('Turns'!E60),"Unknown")</f>
        <v>0.000133647084</v>
      </c>
      <c r="Z22" s="2">
        <f>IF(COUNT('Turns'!F60)=1,SUM('Turns'!F60),"Unknown")</f>
        <v>0.0001532</v>
      </c>
      <c r="AA22" s="5">
        <f>IF(ISNUMBER(Y22),ROUND(Y22*'Reference data'!$B$2,0),"Unknown")</f>
        <v>13.0</v>
      </c>
      <c r="AB22" s="5">
        <f>IF(ISNUMBER(Z22),ROUND(Z22*'Reference data'!$B$2,0),"Unknown")</f>
        <v>15.0</v>
      </c>
      <c r="AC22" s="1" t="s">
        <v>127</v>
      </c>
      <c r="AD22" s="1">
        <v>2382.356</v>
      </c>
      <c r="AE22" s="1" t="s">
        <v>174</v>
      </c>
    </row>
    <row r="23" spans="1:31" ht="54" customHeight="1">
      <c r="A23" s="6" t="s">
        <v>203</v>
      </c>
      <c r="B23" s="1">
        <v>7</v>
      </c>
      <c r="C23" s="1" t="s">
        <v>152</v>
      </c>
      <c r="D23" s="1" t="s">
        <v>47</v>
      </c>
      <c r="E23" s="1" t="s">
        <v>112</v>
      </c>
      <c r="G23" s="6" t="s">
        <v>190</v>
      </c>
      <c r="H23" t="s">
        <v>204</v>
      </c>
      <c r="I23" t="s">
        <v>197</v>
      </c>
      <c r="AD23" s="1">
        <v>4.134</v>
      </c>
      <c r="AE23" s="1" t="s">
        <v>167</v>
      </c>
    </row>
    <row r="24" spans="1:31" ht="54" customHeight="1">
      <c r="A24" s="6" t="s">
        <v>205</v>
      </c>
      <c r="B24" s="1">
        <v>8</v>
      </c>
      <c r="C24" s="1" t="s">
        <v>193</v>
      </c>
      <c r="D24" s="1" t="s">
        <v>47</v>
      </c>
      <c r="E24" s="1" t="s">
        <v>112</v>
      </c>
      <c r="G24" s="6" t="s">
        <v>206</v>
      </c>
      <c r="H24" t="s">
        <v>132</v>
      </c>
      <c r="I24" t="s">
        <v>204</v>
      </c>
      <c r="AD24" s="1">
        <v>1.109</v>
      </c>
      <c r="AE24" s="1" t="s">
        <v>167</v>
      </c>
    </row>
    <row r="25" spans="1:31" ht="54" customHeight="1">
      <c r="A25" s="6" t="s">
        <v>198</v>
      </c>
      <c r="B25" s="1">
        <v>7</v>
      </c>
      <c r="C25" s="1" t="s">
        <v>152</v>
      </c>
      <c r="D25" s="1" t="s">
        <v>47</v>
      </c>
      <c r="E25" s="1" t="s">
        <v>112</v>
      </c>
      <c r="G25" s="6" t="s">
        <v>165</v>
      </c>
      <c r="H25" t="s">
        <v>207</v>
      </c>
      <c r="I25" t="s">
        <v>197</v>
      </c>
      <c r="AD25" s="1">
        <v>0.637</v>
      </c>
      <c r="AE25" s="1" t="s">
        <v>167</v>
      </c>
    </row>
    <row r="26" spans="1:31" ht="54" customHeight="1">
      <c r="A26" s="6" t="s">
        <v>200</v>
      </c>
      <c r="B26" s="1">
        <v>7</v>
      </c>
      <c r="C26" s="1" t="s">
        <v>152</v>
      </c>
      <c r="D26" s="1" t="s">
        <v>47</v>
      </c>
      <c r="E26" s="1" t="s">
        <v>112</v>
      </c>
      <c r="G26" s="6" t="s">
        <v>169</v>
      </c>
      <c r="H26" t="s">
        <v>208</v>
      </c>
      <c r="I26" t="s">
        <v>197</v>
      </c>
      <c r="J26" s="2">
        <f>IF(COUNT('Turns'!D66)=1,SUM('Turns'!D66),"Unknown")</f>
        <v>310.0</v>
      </c>
      <c r="K26" s="2">
        <f>IF(COUNT('Turns'!E66)=1,SUM('Turns'!E66),"Unknown")</f>
        <v>5.408694e-05</v>
      </c>
      <c r="L26" s="2">
        <f>IF(COUNT('Turns'!F66)=1,SUM('Turns'!F66),"Unknown")</f>
        <v>6.2e-05</v>
      </c>
      <c r="M26" s="2">
        <f>IF(COUNT('Turns'!D65)=1,SUM('Turns'!D65),"Unknown")</f>
        <v>0.0</v>
      </c>
      <c r="N26" s="2">
        <f>IF(COUNT('Turns'!E65)=1,SUM('Turns'!E65),"Unknown")</f>
        <v>0.0</v>
      </c>
      <c r="O26" s="2">
        <f>IF(COUNT('Turns'!F65)=1,SUM('Turns'!F65),"Unknown")</f>
        <v>0.0</v>
      </c>
      <c r="P26" s="2">
        <v>0</v>
      </c>
      <c r="Q26" s="2">
        <v>0</v>
      </c>
      <c r="R26" s="2">
        <v>0</v>
      </c>
      <c r="S26" s="2">
        <f>IF(COUNT('Turns'!D72)=1,SUM('Turns'!D72),"Unknown")</f>
        <v>40.0</v>
      </c>
      <c r="T26" s="2">
        <f>IF(COUNT('Turns'!E72)=1,SUM('Turns'!E72),"Unknown")</f>
        <v>4.187376e-05</v>
      </c>
      <c r="U26" s="2">
        <f>IF(COUNT('Turns'!F72)=1,SUM('Turns'!F72),"Unknown")</f>
        <v>4.8e-05</v>
      </c>
      <c r="V26" s="2">
        <f>IF(COUNT('Turns'!D71)=1,SUM('Turns'!D71),"Unknown")</f>
        <v>55.0</v>
      </c>
      <c r="W26" s="2">
        <f>IF(COUNT('Turns'!E71)=1,SUM('Turns'!E71),"Unknown")</f>
        <v>5.757642e-05</v>
      </c>
      <c r="X26" s="2">
        <f>IF(COUNT('Turns'!F71)=1,SUM('Turns'!F71),"Unknown")</f>
        <v>6.6e-05</v>
      </c>
      <c r="Y26" s="2">
        <f>IF(COUNT('Turns'!E76)=1,SUM('Turns'!E76),"Unknown")</f>
        <v>0.00015353712</v>
      </c>
      <c r="Z26" s="2">
        <f>IF(COUNT('Turns'!F76)=1,SUM('Turns'!F76),"Unknown")</f>
        <v>0.000176</v>
      </c>
      <c r="AA26" s="5">
        <f>IF(ISNUMBER(Y26),ROUND(Y26*'Reference data'!$B$2,0),"Unknown")</f>
        <v>15.0</v>
      </c>
      <c r="AB26" s="5">
        <f>IF(ISNUMBER(Z26),ROUND(Z26*'Reference data'!$B$2,0),"Unknown")</f>
        <v>18.0</v>
      </c>
      <c r="AD26" s="1">
        <v>1973.291</v>
      </c>
      <c r="AE26" s="1" t="s">
        <v>154</v>
      </c>
    </row>
    <row r="27" spans="1:31" ht="54" customHeight="1">
      <c r="A27" s="6" t="s">
        <v>202</v>
      </c>
      <c r="B27" s="1">
        <v>8</v>
      </c>
      <c r="C27" s="1" t="s">
        <v>172</v>
      </c>
      <c r="D27" s="1" t="s">
        <v>95</v>
      </c>
      <c r="E27" s="1" t="s">
        <v>112</v>
      </c>
      <c r="F27" s="1">
        <v>310</v>
      </c>
      <c r="G27" s="6" t="s">
        <v>173</v>
      </c>
      <c r="H27" t="s">
        <v>136</v>
      </c>
      <c r="I27" t="s">
        <v>208</v>
      </c>
      <c r="J27" s="2">
        <f>IF(COUNT('Turns'!D66)=1,SUM('Turns'!D66),"Unknown")</f>
        <v>310.0</v>
      </c>
      <c r="K27" s="2">
        <f>IF(COUNT('Turns'!E66)=1,SUM('Turns'!E66),"Unknown")</f>
        <v>5.408694e-05</v>
      </c>
      <c r="L27" s="2">
        <f>IF(COUNT('Turns'!F66)=1,SUM('Turns'!F66),"Unknown")</f>
        <v>6.2e-05</v>
      </c>
      <c r="M27" s="2">
        <f>IF(COUNT('Turns'!D65)=1,SUM('Turns'!D65),"Unknown")</f>
        <v>0.0</v>
      </c>
      <c r="N27" s="2">
        <f>IF(COUNT('Turns'!E65)=1,SUM('Turns'!E65),"Unknown")</f>
        <v>0.0</v>
      </c>
      <c r="O27" s="2">
        <f>IF(COUNT('Turns'!F65)=1,SUM('Turns'!F65),"Unknown")</f>
        <v>0.0</v>
      </c>
      <c r="P27" s="2">
        <v>0</v>
      </c>
      <c r="Q27" s="2">
        <v>0</v>
      </c>
      <c r="R27" s="2">
        <v>0</v>
      </c>
      <c r="S27" s="2">
        <f>IF(COUNT('Turns'!D72)=1,SUM('Turns'!D72),"Unknown")</f>
        <v>40.0</v>
      </c>
      <c r="T27" s="2">
        <f>IF(COUNT('Turns'!E72)=1,SUM('Turns'!E72),"Unknown")</f>
        <v>4.187376e-05</v>
      </c>
      <c r="U27" s="2">
        <f>IF(COUNT('Turns'!F72)=1,SUM('Turns'!F72),"Unknown")</f>
        <v>4.8e-05</v>
      </c>
      <c r="V27" s="2">
        <f>IF(COUNT('Turns'!D71)=1,SUM('Turns'!D71),"Unknown")</f>
        <v>55.0</v>
      </c>
      <c r="W27" s="2">
        <f>IF(COUNT('Turns'!E71)=1,SUM('Turns'!E71),"Unknown")</f>
        <v>5.757642e-05</v>
      </c>
      <c r="X27" s="2">
        <f>IF(COUNT('Turns'!F71)=1,SUM('Turns'!F71),"Unknown")</f>
        <v>6.6e-05</v>
      </c>
      <c r="Y27" s="2">
        <f>IF(COUNT('Turns'!E76)=1,SUM('Turns'!E76),"Unknown")</f>
        <v>0.00015353712</v>
      </c>
      <c r="Z27" s="2">
        <f>IF(COUNT('Turns'!F76)=1,SUM('Turns'!F76),"Unknown")</f>
        <v>0.000176</v>
      </c>
      <c r="AA27" s="5">
        <f>IF(ISNUMBER(Y27),ROUND(Y27*'Reference data'!$B$2,0),"Unknown")</f>
        <v>15.0</v>
      </c>
      <c r="AB27" s="5">
        <f>IF(ISNUMBER(Z27),ROUND(Z27*'Reference data'!$B$2,0),"Unknown")</f>
        <v>18.0</v>
      </c>
      <c r="AC27" s="1" t="s">
        <v>135</v>
      </c>
      <c r="AD27" s="1">
        <v>1971.505</v>
      </c>
      <c r="AE27" s="1" t="s">
        <v>174</v>
      </c>
    </row>
    <row r="28" spans="1:31" ht="54" customHeight="1">
      <c r="A28" s="6" t="s">
        <v>164</v>
      </c>
      <c r="B28" s="1">
        <v>4</v>
      </c>
      <c r="C28" s="1" t="s">
        <v>152</v>
      </c>
      <c r="D28" s="1" t="s">
        <v>47</v>
      </c>
      <c r="E28" s="1" t="s">
        <v>112</v>
      </c>
      <c r="G28" s="6" t="s">
        <v>165</v>
      </c>
      <c r="H28" t="s">
        <v>209</v>
      </c>
      <c r="I28" t="s">
        <v>181</v>
      </c>
      <c r="AD28" s="1">
        <v>0.418</v>
      </c>
      <c r="AE28" s="1" t="s">
        <v>167</v>
      </c>
    </row>
    <row r="29" spans="1:31" ht="54" customHeight="1">
      <c r="A29" s="6" t="s">
        <v>168</v>
      </c>
      <c r="B29" s="1">
        <v>4</v>
      </c>
      <c r="C29" s="1" t="s">
        <v>152</v>
      </c>
      <c r="D29" s="1" t="s">
        <v>47</v>
      </c>
      <c r="E29" s="1" t="s">
        <v>112</v>
      </c>
      <c r="G29" s="6" t="s">
        <v>169</v>
      </c>
      <c r="H29" t="s">
        <v>210</v>
      </c>
      <c r="I29" t="s">
        <v>181</v>
      </c>
      <c r="J29" s="2">
        <f>IF(COUNT('Turns'!D79)=1,SUM('Turns'!D79),"Unknown")</f>
        <v>848.0</v>
      </c>
      <c r="K29" s="2">
        <f>IF(COUNT('Turns'!E79)=1,SUM('Turns'!E79),"Unknown")</f>
        <v>0.000147953952</v>
      </c>
      <c r="L29" s="2">
        <f>IF(COUNT('Turns'!F79)=1,SUM('Turns'!F79),"Unknown")</f>
        <v>0.0001696</v>
      </c>
      <c r="M29" s="2">
        <f>IF(COUNT('Turns'!D78)=1,SUM('Turns'!D78),"Unknown")</f>
        <v>0.0</v>
      </c>
      <c r="N29" s="2">
        <f>IF(COUNT('Turns'!E78)=1,SUM('Turns'!E78),"Unknown")</f>
        <v>0.0</v>
      </c>
      <c r="O29" s="2">
        <f>IF(COUNT('Turns'!F78)=1,SUM('Turns'!F78),"Unknown")</f>
        <v>0.0</v>
      </c>
      <c r="P29" s="2">
        <v>0</v>
      </c>
      <c r="Q29" s="2">
        <v>0</v>
      </c>
      <c r="R29" s="2">
        <v>0</v>
      </c>
      <c r="S29" s="2">
        <f>IF(COUNT('Turns'!D85)=1,SUM('Turns'!D85),"Unknown")</f>
        <v>285.0</v>
      </c>
      <c r="T29" s="2">
        <f>IF(COUNT('Turns'!E85)=1,SUM('Turns'!E85),"Unknown")</f>
        <v>0.00029835054</v>
      </c>
      <c r="U29" s="2">
        <f>IF(COUNT('Turns'!F85)=1,SUM('Turns'!F85),"Unknown")</f>
        <v>0.000342</v>
      </c>
      <c r="V29" s="2">
        <f>IF(COUNT('Turns'!D84)=1,SUM('Turns'!D84),"Unknown")</f>
        <v>20.0</v>
      </c>
      <c r="W29" s="2">
        <f>IF(COUNT('Turns'!E84)=1,SUM('Turns'!E84),"Unknown")</f>
        <v>2.093688e-05</v>
      </c>
      <c r="X29" s="2">
        <f>IF(COUNT('Turns'!F84)=1,SUM('Turns'!F84),"Unknown")</f>
        <v>2.4e-05</v>
      </c>
      <c r="Y29" s="2">
        <f>IF(COUNT('Turns'!E89)=1,SUM('Turns'!E89),"Unknown")</f>
        <v>0.000467241372</v>
      </c>
      <c r="Z29" s="2">
        <f>IF(COUNT('Turns'!F89)=1,SUM('Turns'!F89),"Unknown")</f>
        <v>0.0005356</v>
      </c>
      <c r="AA29" s="5">
        <f>IF(ISNUMBER(Y29),ROUND(Y29*'Reference data'!$B$2,0),"Unknown")</f>
        <v>47.0</v>
      </c>
      <c r="AB29" s="5">
        <f>IF(ISNUMBER(Z29),ROUND(Z29*'Reference data'!$B$2,0),"Unknown")</f>
        <v>54.0</v>
      </c>
      <c r="AD29" s="1">
        <v>3778.292</v>
      </c>
      <c r="AE29" s="1" t="s">
        <v>154</v>
      </c>
    </row>
    <row r="30" spans="1:31" ht="54" customHeight="1">
      <c r="A30" s="6" t="s">
        <v>171</v>
      </c>
      <c r="B30" s="1">
        <v>5</v>
      </c>
      <c r="C30" s="1" t="s">
        <v>172</v>
      </c>
      <c r="D30" s="1" t="s">
        <v>95</v>
      </c>
      <c r="E30" s="1" t="s">
        <v>112</v>
      </c>
      <c r="F30" s="1">
        <v>848</v>
      </c>
      <c r="G30" s="6" t="s">
        <v>173</v>
      </c>
      <c r="H30" t="s">
        <v>140</v>
      </c>
      <c r="I30" t="s">
        <v>210</v>
      </c>
      <c r="J30" s="2">
        <f>IF(COUNT('Turns'!D79)=1,SUM('Turns'!D79),"Unknown")</f>
        <v>848.0</v>
      </c>
      <c r="K30" s="2">
        <f>IF(COUNT('Turns'!E79)=1,SUM('Turns'!E79),"Unknown")</f>
        <v>0.000147953952</v>
      </c>
      <c r="L30" s="2">
        <f>IF(COUNT('Turns'!F79)=1,SUM('Turns'!F79),"Unknown")</f>
        <v>0.0001696</v>
      </c>
      <c r="M30" s="2">
        <f>IF(COUNT('Turns'!D78)=1,SUM('Turns'!D78),"Unknown")</f>
        <v>0.0</v>
      </c>
      <c r="N30" s="2">
        <f>IF(COUNT('Turns'!E78)=1,SUM('Turns'!E78),"Unknown")</f>
        <v>0.0</v>
      </c>
      <c r="O30" s="2">
        <f>IF(COUNT('Turns'!F78)=1,SUM('Turns'!F78),"Unknown")</f>
        <v>0.0</v>
      </c>
      <c r="P30" s="2">
        <v>0</v>
      </c>
      <c r="Q30" s="2">
        <v>0</v>
      </c>
      <c r="R30" s="2">
        <v>0</v>
      </c>
      <c r="S30" s="2">
        <f>IF(COUNT('Turns'!D85)=1,SUM('Turns'!D85),"Unknown")</f>
        <v>285.0</v>
      </c>
      <c r="T30" s="2">
        <f>IF(COUNT('Turns'!E85)=1,SUM('Turns'!E85),"Unknown")</f>
        <v>0.00029835054</v>
      </c>
      <c r="U30" s="2">
        <f>IF(COUNT('Turns'!F85)=1,SUM('Turns'!F85),"Unknown")</f>
        <v>0.000342</v>
      </c>
      <c r="V30" s="2">
        <f>IF(COUNT('Turns'!D84)=1,SUM('Turns'!D84),"Unknown")</f>
        <v>20.0</v>
      </c>
      <c r="W30" s="2">
        <f>IF(COUNT('Turns'!E84)=1,SUM('Turns'!E84),"Unknown")</f>
        <v>2.093688e-05</v>
      </c>
      <c r="X30" s="2">
        <f>IF(COUNT('Turns'!F84)=1,SUM('Turns'!F84),"Unknown")</f>
        <v>2.4e-05</v>
      </c>
      <c r="Y30" s="2">
        <f>IF(COUNT('Turns'!E89)=1,SUM('Turns'!E89),"Unknown")</f>
        <v>0.000467241372</v>
      </c>
      <c r="Z30" s="2">
        <f>IF(COUNT('Turns'!F89)=1,SUM('Turns'!F89),"Unknown")</f>
        <v>0.0005356</v>
      </c>
      <c r="AA30" s="5">
        <f>IF(ISNUMBER(Y30),ROUND(Y30*'Reference data'!$B$2,0),"Unknown")</f>
        <v>47.0</v>
      </c>
      <c r="AB30" s="5">
        <f>IF(ISNUMBER(Z30),ROUND(Z30*'Reference data'!$B$2,0),"Unknown")</f>
        <v>54.0</v>
      </c>
      <c r="AC30" s="1" t="s">
        <v>139</v>
      </c>
      <c r="AD30" s="1">
        <v>3776.193</v>
      </c>
      <c r="AE30" s="1" t="s">
        <v>174</v>
      </c>
    </row>
    <row r="31" spans="1:31" ht="54" customHeight="1">
      <c r="A31" s="6" t="s">
        <v>151</v>
      </c>
      <c r="B31" s="1">
        <v>0</v>
      </c>
      <c r="C31" s="1" t="s">
        <v>152</v>
      </c>
      <c r="D31" s="1" t="s">
        <v>47</v>
      </c>
      <c r="E31" s="1" t="s">
        <v>112</v>
      </c>
      <c r="G31" s="6" t="s">
        <v>153</v>
      </c>
      <c r="H31" t="s">
        <v>211</v>
      </c>
      <c r="J31" s="2">
        <f>IF(COUNT('Turns'!D93,'Turns'!D107)=2,SUM('Turns'!D93,'Turns'!D107),"Unknown")</f>
        <v>1113.0</v>
      </c>
      <c r="K31" s="2">
        <f>IF(COUNT('Turns'!E93,'Turns'!E107)=2,SUM('Turns'!E93,'Turns'!E107),"Unknown")</f>
        <v>0.000194189562</v>
      </c>
      <c r="L31" s="2">
        <f>IF(COUNT('Turns'!F93,'Turns'!F107)=2,SUM('Turns'!F93,'Turns'!F107),"Unknown")</f>
        <v>0.0002226</v>
      </c>
      <c r="M31" s="2">
        <f>IF(COUNT('Turns'!D92,'Turns'!D106)=2,SUM('Turns'!D92,'Turns'!D106),"Unknown")</f>
        <v>0.0</v>
      </c>
      <c r="N31" s="2">
        <f>IF(COUNT('Turns'!E92,'Turns'!E106)=2,SUM('Turns'!E92,'Turns'!E106),"Unknown")</f>
        <v>0.0</v>
      </c>
      <c r="O31" s="2">
        <f>IF(COUNT('Turns'!F92,'Turns'!F106)=2,SUM('Turns'!F92,'Turns'!F106),"Unknown")</f>
        <v>0.0</v>
      </c>
      <c r="P31" s="2">
        <f>IF(COUNT('Turns'!D108)=1,SUM('Turns'!D108),"Unknown")</f>
        <v>1169.0</v>
      </c>
      <c r="Q31" s="2">
        <f>IF(COUNT('Turns'!E108)=1,SUM('Turns'!E108),"Unknown")</f>
        <v>0.0002549501325</v>
      </c>
      <c r="R31" s="2">
        <f>IF(COUNT('Turns'!F108)=1,SUM('Turns'!F108),"Unknown")</f>
        <v>0.00029225</v>
      </c>
      <c r="S31" s="2">
        <f>IF(COUNT('Turns'!D100,'Turns'!D112)=2,SUM('Turns'!D100,'Turns'!D112),"Unknown")</f>
        <v>222.0</v>
      </c>
      <c r="T31" s="2">
        <f>IF(COUNT('Turns'!E100,'Turns'!E112)=2,SUM('Turns'!E100,'Turns'!E112),"Unknown")</f>
        <v>0.000232399368</v>
      </c>
      <c r="U31" s="2">
        <f>IF(COUNT('Turns'!F100,'Turns'!F112)=2,SUM('Turns'!F100,'Turns'!F112),"Unknown")</f>
        <v>0.0002664</v>
      </c>
      <c r="V31" s="2">
        <f>IF(COUNT('Turns'!D99,'Turns'!D111)=2,SUM('Turns'!D99,'Turns'!D111),"Unknown")</f>
        <v>191.0</v>
      </c>
      <c r="W31" s="2">
        <f>IF(COUNT('Turns'!E99,'Turns'!E111)=2,SUM('Turns'!E99,'Turns'!E111),"Unknown")</f>
        <v>0.000199947204</v>
      </c>
      <c r="X31" s="2">
        <f>IF(COUNT('Turns'!F99,'Turns'!F111)=2,SUM('Turns'!F99,'Turns'!F111),"Unknown")</f>
        <v>0.0002292</v>
      </c>
      <c r="Y31" s="2">
        <f>IF(COUNT('Turns'!E104,'Turns'!E116)=2,SUM('Turns'!E104,'Turns'!E116),"Unknown")</f>
        <v>0.0008814862665</v>
      </c>
      <c r="Z31" s="2">
        <f>IF(COUNT('Turns'!F104,'Turns'!F116)=2,SUM('Turns'!F104,'Turns'!F116),"Unknown")</f>
        <v>0.00101045</v>
      </c>
      <c r="AA31" s="5">
        <f>IF(ISNUMBER(Y31),ROUND(Y31*'Reference data'!$B$2,0),"Unknown")</f>
        <v>88.0</v>
      </c>
      <c r="AB31" s="5">
        <f>IF(ISNUMBER(Z31),ROUND(Z31*'Reference data'!$B$2,0),"Unknown")</f>
        <v>101.0</v>
      </c>
      <c r="AD31" s="1">
        <v>7128.909</v>
      </c>
      <c r="AE31" s="1" t="s">
        <v>154</v>
      </c>
    </row>
    <row r="32" spans="1:31" ht="54" customHeight="1">
      <c r="A32" s="6" t="s">
        <v>155</v>
      </c>
      <c r="B32" s="1">
        <v>1</v>
      </c>
      <c r="C32" s="1" t="s">
        <v>152</v>
      </c>
      <c r="D32" s="1" t="s">
        <v>47</v>
      </c>
      <c r="E32" s="1" t="s">
        <v>112</v>
      </c>
      <c r="G32" s="6" t="s">
        <v>156</v>
      </c>
      <c r="H32" t="s">
        <v>212</v>
      </c>
      <c r="I32" t="s">
        <v>211</v>
      </c>
      <c r="J32" s="2">
        <f>IF(COUNT('Turns'!D93)=1,SUM('Turns'!D93),"Unknown")</f>
        <v>846.0</v>
      </c>
      <c r="K32" s="2">
        <f>IF(COUNT('Turns'!E93)=1,SUM('Turns'!E93),"Unknown")</f>
        <v>0.000147605004</v>
      </c>
      <c r="L32" s="2">
        <f>IF(COUNT('Turns'!F93)=1,SUM('Turns'!F93),"Unknown")</f>
        <v>0.0001692</v>
      </c>
      <c r="M32" s="2">
        <f>IF(COUNT('Turns'!D92)=1,SUM('Turns'!D92),"Unknown")</f>
        <v>0.0</v>
      </c>
      <c r="N32" s="2">
        <f>IF(COUNT('Turns'!E92)=1,SUM('Turns'!E92),"Unknown")</f>
        <v>0.0</v>
      </c>
      <c r="O32" s="2">
        <f>IF(COUNT('Turns'!F92)=1,SUM('Turns'!F92),"Unknown")</f>
        <v>0.0</v>
      </c>
      <c r="P32" s="2">
        <v>0</v>
      </c>
      <c r="Q32" s="2">
        <v>0</v>
      </c>
      <c r="R32" s="2">
        <v>0</v>
      </c>
      <c r="S32" s="2">
        <f>IF(COUNT('Turns'!D100)=1,SUM('Turns'!D100),"Unknown")</f>
        <v>111.0</v>
      </c>
      <c r="T32" s="2">
        <f>IF(COUNT('Turns'!E100)=1,SUM('Turns'!E100),"Unknown")</f>
        <v>0.000116199684</v>
      </c>
      <c r="U32" s="2">
        <f>IF(COUNT('Turns'!F100)=1,SUM('Turns'!F100),"Unknown")</f>
        <v>0.0001332</v>
      </c>
      <c r="V32" s="2">
        <f>IF(COUNT('Turns'!D99)=1,SUM('Turns'!D99),"Unknown")</f>
        <v>151.0</v>
      </c>
      <c r="W32" s="2">
        <f>IF(COUNT('Turns'!E99)=1,SUM('Turns'!E99),"Unknown")</f>
        <v>0.000158073444</v>
      </c>
      <c r="X32" s="2">
        <f>IF(COUNT('Turns'!F99)=1,SUM('Turns'!F99),"Unknown")</f>
        <v>0.0001812</v>
      </c>
      <c r="Y32" s="2">
        <f>IF(COUNT('Turns'!E104)=1,SUM('Turns'!E104),"Unknown")</f>
        <v>0.000421878132</v>
      </c>
      <c r="Z32" s="2">
        <f>IF(COUNT('Turns'!F104)=1,SUM('Turns'!F104),"Unknown")</f>
        <v>0.0004836</v>
      </c>
      <c r="AA32" s="5">
        <f>IF(ISNUMBER(Y32),ROUND(Y32*'Reference data'!$B$2,0),"Unknown")</f>
        <v>42.0</v>
      </c>
      <c r="AB32" s="5">
        <f>IF(ISNUMBER(Z32),ROUND(Z32*'Reference data'!$B$2,0),"Unknown")</f>
        <v>48.0</v>
      </c>
      <c r="AD32" s="1">
        <v>5224.539</v>
      </c>
      <c r="AE32" s="1" t="s">
        <v>154</v>
      </c>
    </row>
    <row r="33" spans="1:31" ht="54" customHeight="1">
      <c r="A33" s="6" t="s">
        <v>158</v>
      </c>
      <c r="B33" s="1">
        <v>2</v>
      </c>
      <c r="C33" s="1" t="s">
        <v>152</v>
      </c>
      <c r="D33" s="1" t="s">
        <v>47</v>
      </c>
      <c r="E33" s="1" t="s">
        <v>112</v>
      </c>
      <c r="G33" s="6" t="s">
        <v>159</v>
      </c>
      <c r="H33" t="s">
        <v>213</v>
      </c>
      <c r="I33" t="s">
        <v>212</v>
      </c>
      <c r="J33" s="2">
        <f>IF(COUNT('Turns'!D93)=1,SUM('Turns'!D93),"Unknown")</f>
        <v>846.0</v>
      </c>
      <c r="K33" s="2">
        <f>IF(COUNT('Turns'!E93)=1,SUM('Turns'!E93),"Unknown")</f>
        <v>0.000147605004</v>
      </c>
      <c r="L33" s="2">
        <f>IF(COUNT('Turns'!F93)=1,SUM('Turns'!F93),"Unknown")</f>
        <v>0.0001692</v>
      </c>
      <c r="M33" s="2">
        <f>IF(COUNT('Turns'!D92)=1,SUM('Turns'!D92),"Unknown")</f>
        <v>0.0</v>
      </c>
      <c r="N33" s="2">
        <f>IF(COUNT('Turns'!E92)=1,SUM('Turns'!E92),"Unknown")</f>
        <v>0.0</v>
      </c>
      <c r="O33" s="2">
        <f>IF(COUNT('Turns'!F92)=1,SUM('Turns'!F92),"Unknown")</f>
        <v>0.0</v>
      </c>
      <c r="P33" s="2">
        <v>0</v>
      </c>
      <c r="Q33" s="2">
        <v>0</v>
      </c>
      <c r="R33" s="2">
        <v>0</v>
      </c>
      <c r="S33" s="2">
        <f>IF(COUNT('Turns'!D100)=1,SUM('Turns'!D100),"Unknown")</f>
        <v>111.0</v>
      </c>
      <c r="T33" s="2">
        <f>IF(COUNT('Turns'!E100)=1,SUM('Turns'!E100),"Unknown")</f>
        <v>0.000116199684</v>
      </c>
      <c r="U33" s="2">
        <f>IF(COUNT('Turns'!F100)=1,SUM('Turns'!F100),"Unknown")</f>
        <v>0.0001332</v>
      </c>
      <c r="V33" s="2">
        <f>IF(COUNT('Turns'!D99)=1,SUM('Turns'!D99),"Unknown")</f>
        <v>151.0</v>
      </c>
      <c r="W33" s="2">
        <f>IF(COUNT('Turns'!E99)=1,SUM('Turns'!E99),"Unknown")</f>
        <v>0.000158073444</v>
      </c>
      <c r="X33" s="2">
        <f>IF(COUNT('Turns'!F99)=1,SUM('Turns'!F99),"Unknown")</f>
        <v>0.0001812</v>
      </c>
      <c r="Y33" s="2">
        <f>IF(COUNT('Turns'!E104)=1,SUM('Turns'!E104),"Unknown")</f>
        <v>0.000421878132</v>
      </c>
      <c r="Z33" s="2">
        <f>IF(COUNT('Turns'!F104)=1,SUM('Turns'!F104),"Unknown")</f>
        <v>0.0004836</v>
      </c>
      <c r="AA33" s="5">
        <f>IF(ISNUMBER(Y33),ROUND(Y33*'Reference data'!$B$2,0),"Unknown")</f>
        <v>42.0</v>
      </c>
      <c r="AB33" s="5">
        <f>IF(ISNUMBER(Z33),ROUND(Z33*'Reference data'!$B$2,0),"Unknown")</f>
        <v>48.0</v>
      </c>
      <c r="AD33" s="1">
        <v>5223.696</v>
      </c>
      <c r="AE33" s="1" t="s">
        <v>154</v>
      </c>
    </row>
    <row r="34" spans="1:31" ht="54" customHeight="1">
      <c r="A34" s="6" t="s">
        <v>161</v>
      </c>
      <c r="B34" s="1">
        <v>3</v>
      </c>
      <c r="C34" s="1" t="s">
        <v>152</v>
      </c>
      <c r="D34" s="1" t="s">
        <v>47</v>
      </c>
      <c r="E34" s="1" t="s">
        <v>112</v>
      </c>
      <c r="G34" s="6" t="s">
        <v>162</v>
      </c>
      <c r="H34" t="s">
        <v>214</v>
      </c>
      <c r="I34" t="s">
        <v>213</v>
      </c>
      <c r="J34" s="2">
        <f>IF(COUNT('Turns'!D93)=1,SUM('Turns'!D93),"Unknown")</f>
        <v>846.0</v>
      </c>
      <c r="K34" s="2">
        <f>IF(COUNT('Turns'!E93)=1,SUM('Turns'!E93),"Unknown")</f>
        <v>0.000147605004</v>
      </c>
      <c r="L34" s="2">
        <f>IF(COUNT('Turns'!F93)=1,SUM('Turns'!F93),"Unknown")</f>
        <v>0.0001692</v>
      </c>
      <c r="M34" s="2">
        <f>IF(COUNT('Turns'!D92)=1,SUM('Turns'!D92),"Unknown")</f>
        <v>0.0</v>
      </c>
      <c r="N34" s="2">
        <f>IF(COUNT('Turns'!E92)=1,SUM('Turns'!E92),"Unknown")</f>
        <v>0.0</v>
      </c>
      <c r="O34" s="2">
        <f>IF(COUNT('Turns'!F92)=1,SUM('Turns'!F92),"Unknown")</f>
        <v>0.0</v>
      </c>
      <c r="P34" s="2">
        <v>0</v>
      </c>
      <c r="Q34" s="2">
        <v>0</v>
      </c>
      <c r="R34" s="2">
        <v>0</v>
      </c>
      <c r="S34" s="2">
        <f>IF(COUNT('Turns'!D100)=1,SUM('Turns'!D100),"Unknown")</f>
        <v>111.0</v>
      </c>
      <c r="T34" s="2">
        <f>IF(COUNT('Turns'!E100)=1,SUM('Turns'!E100),"Unknown")</f>
        <v>0.000116199684</v>
      </c>
      <c r="U34" s="2">
        <f>IF(COUNT('Turns'!F100)=1,SUM('Turns'!F100),"Unknown")</f>
        <v>0.0001332</v>
      </c>
      <c r="V34" s="2">
        <f>IF(COUNT('Turns'!D99)=1,SUM('Turns'!D99),"Unknown")</f>
        <v>151.0</v>
      </c>
      <c r="W34" s="2">
        <f>IF(COUNT('Turns'!E99)=1,SUM('Turns'!E99),"Unknown")</f>
        <v>0.000158073444</v>
      </c>
      <c r="X34" s="2">
        <f>IF(COUNT('Turns'!F99)=1,SUM('Turns'!F99),"Unknown")</f>
        <v>0.0001812</v>
      </c>
      <c r="Y34" s="2">
        <f>IF(COUNT('Turns'!E104)=1,SUM('Turns'!E104),"Unknown")</f>
        <v>0.000421878132</v>
      </c>
      <c r="Z34" s="2">
        <f>IF(COUNT('Turns'!F104)=1,SUM('Turns'!F104),"Unknown")</f>
        <v>0.0004836</v>
      </c>
      <c r="AA34" s="5">
        <f>IF(ISNUMBER(Y34),ROUND(Y34*'Reference data'!$B$2,0),"Unknown")</f>
        <v>42.0</v>
      </c>
      <c r="AB34" s="5">
        <f>IF(ISNUMBER(Z34),ROUND(Z34*'Reference data'!$B$2,0),"Unknown")</f>
        <v>48.0</v>
      </c>
      <c r="AD34" s="1">
        <v>5222.779</v>
      </c>
      <c r="AE34" s="1" t="s">
        <v>154</v>
      </c>
    </row>
    <row r="35" spans="1:31" ht="54" customHeight="1">
      <c r="A35" s="6" t="s">
        <v>164</v>
      </c>
      <c r="B35" s="1">
        <v>4</v>
      </c>
      <c r="C35" s="1" t="s">
        <v>152</v>
      </c>
      <c r="D35" s="1" t="s">
        <v>47</v>
      </c>
      <c r="E35" s="1" t="s">
        <v>112</v>
      </c>
      <c r="G35" s="6" t="s">
        <v>165</v>
      </c>
      <c r="H35" t="s">
        <v>215</v>
      </c>
      <c r="I35" t="s">
        <v>214</v>
      </c>
      <c r="AD35" s="1">
        <v>1.046</v>
      </c>
      <c r="AE35" s="1" t="s">
        <v>167</v>
      </c>
    </row>
    <row r="36" spans="1:31" ht="54" customHeight="1">
      <c r="A36" s="6" t="s">
        <v>168</v>
      </c>
      <c r="B36" s="1">
        <v>4</v>
      </c>
      <c r="C36" s="1" t="s">
        <v>152</v>
      </c>
      <c r="D36" s="1" t="s">
        <v>47</v>
      </c>
      <c r="E36" s="1" t="s">
        <v>112</v>
      </c>
      <c r="G36" s="6" t="s">
        <v>169</v>
      </c>
      <c r="H36" t="s">
        <v>216</v>
      </c>
      <c r="I36" t="s">
        <v>214</v>
      </c>
      <c r="J36" s="2">
        <f>IF(COUNT('Turns'!D93)=1,SUM('Turns'!D93),"Unknown")</f>
        <v>846.0</v>
      </c>
      <c r="K36" s="2">
        <f>IF(COUNT('Turns'!E93)=1,SUM('Turns'!E93),"Unknown")</f>
        <v>0.000147605004</v>
      </c>
      <c r="L36" s="2">
        <f>IF(COUNT('Turns'!F93)=1,SUM('Turns'!F93),"Unknown")</f>
        <v>0.0001692</v>
      </c>
      <c r="M36" s="2">
        <f>IF(COUNT('Turns'!D92)=1,SUM('Turns'!D92),"Unknown")</f>
        <v>0.0</v>
      </c>
      <c r="N36" s="2">
        <f>IF(COUNT('Turns'!E92)=1,SUM('Turns'!E92),"Unknown")</f>
        <v>0.0</v>
      </c>
      <c r="O36" s="2">
        <f>IF(COUNT('Turns'!F92)=1,SUM('Turns'!F92),"Unknown")</f>
        <v>0.0</v>
      </c>
      <c r="P36" s="2">
        <v>0</v>
      </c>
      <c r="Q36" s="2">
        <v>0</v>
      </c>
      <c r="R36" s="2">
        <v>0</v>
      </c>
      <c r="S36" s="2">
        <f>IF(COUNT('Turns'!D100)=1,SUM('Turns'!D100),"Unknown")</f>
        <v>111.0</v>
      </c>
      <c r="T36" s="2">
        <f>IF(COUNT('Turns'!E100)=1,SUM('Turns'!E100),"Unknown")</f>
        <v>0.000116199684</v>
      </c>
      <c r="U36" s="2">
        <f>IF(COUNT('Turns'!F100)=1,SUM('Turns'!F100),"Unknown")</f>
        <v>0.0001332</v>
      </c>
      <c r="V36" s="2">
        <f>IF(COUNT('Turns'!D99)=1,SUM('Turns'!D99),"Unknown")</f>
        <v>151.0</v>
      </c>
      <c r="W36" s="2">
        <f>IF(COUNT('Turns'!E99)=1,SUM('Turns'!E99),"Unknown")</f>
        <v>0.000158073444</v>
      </c>
      <c r="X36" s="2">
        <f>IF(COUNT('Turns'!F99)=1,SUM('Turns'!F99),"Unknown")</f>
        <v>0.0001812</v>
      </c>
      <c r="Y36" s="2">
        <f>IF(COUNT('Turns'!E104)=1,SUM('Turns'!E104),"Unknown")</f>
        <v>0.000421878132</v>
      </c>
      <c r="Z36" s="2">
        <f>IF(COUNT('Turns'!F104)=1,SUM('Turns'!F104),"Unknown")</f>
        <v>0.0004836</v>
      </c>
      <c r="AA36" s="5">
        <f>IF(ISNUMBER(Y36),ROUND(Y36*'Reference data'!$B$2,0),"Unknown")</f>
        <v>42.0</v>
      </c>
      <c r="AB36" s="5">
        <f>IF(ISNUMBER(Z36),ROUND(Z36*'Reference data'!$B$2,0),"Unknown")</f>
        <v>48.0</v>
      </c>
      <c r="AD36" s="1">
        <v>5219.692</v>
      </c>
      <c r="AE36" s="1" t="s">
        <v>154</v>
      </c>
    </row>
    <row r="37" spans="1:31" ht="54" customHeight="1">
      <c r="A37" s="6" t="s">
        <v>171</v>
      </c>
      <c r="B37" s="1">
        <v>5</v>
      </c>
      <c r="C37" s="1" t="s">
        <v>172</v>
      </c>
      <c r="D37" s="1" t="s">
        <v>95</v>
      </c>
      <c r="E37" s="1" t="s">
        <v>112</v>
      </c>
      <c r="F37" s="1">
        <v>846</v>
      </c>
      <c r="G37" s="6" t="s">
        <v>173</v>
      </c>
      <c r="H37" t="s">
        <v>145</v>
      </c>
      <c r="I37" t="s">
        <v>216</v>
      </c>
      <c r="J37" s="2">
        <f>IF(COUNT('Turns'!D93)=1,SUM('Turns'!D93),"Unknown")</f>
        <v>846.0</v>
      </c>
      <c r="K37" s="2">
        <f>IF(COUNT('Turns'!E93)=1,SUM('Turns'!E93),"Unknown")</f>
        <v>0.000147605004</v>
      </c>
      <c r="L37" s="2">
        <f>IF(COUNT('Turns'!F93)=1,SUM('Turns'!F93),"Unknown")</f>
        <v>0.0001692</v>
      </c>
      <c r="M37" s="2">
        <f>IF(COUNT('Turns'!D92)=1,SUM('Turns'!D92),"Unknown")</f>
        <v>0.0</v>
      </c>
      <c r="N37" s="2">
        <f>IF(COUNT('Turns'!E92)=1,SUM('Turns'!E92),"Unknown")</f>
        <v>0.0</v>
      </c>
      <c r="O37" s="2">
        <f>IF(COUNT('Turns'!F92)=1,SUM('Turns'!F92),"Unknown")</f>
        <v>0.0</v>
      </c>
      <c r="P37" s="2">
        <v>0</v>
      </c>
      <c r="Q37" s="2">
        <v>0</v>
      </c>
      <c r="R37" s="2">
        <v>0</v>
      </c>
      <c r="S37" s="2">
        <f>IF(COUNT('Turns'!D100)=1,SUM('Turns'!D100),"Unknown")</f>
        <v>111.0</v>
      </c>
      <c r="T37" s="2">
        <f>IF(COUNT('Turns'!E100)=1,SUM('Turns'!E100),"Unknown")</f>
        <v>0.000116199684</v>
      </c>
      <c r="U37" s="2">
        <f>IF(COUNT('Turns'!F100)=1,SUM('Turns'!F100),"Unknown")</f>
        <v>0.0001332</v>
      </c>
      <c r="V37" s="2">
        <f>IF(COUNT('Turns'!D99)=1,SUM('Turns'!D99),"Unknown")</f>
        <v>151.0</v>
      </c>
      <c r="W37" s="2">
        <f>IF(COUNT('Turns'!E99)=1,SUM('Turns'!E99),"Unknown")</f>
        <v>0.000158073444</v>
      </c>
      <c r="X37" s="2">
        <f>IF(COUNT('Turns'!F99)=1,SUM('Turns'!F99),"Unknown")</f>
        <v>0.0001812</v>
      </c>
      <c r="Y37" s="2">
        <f>IF(COUNT('Turns'!E104)=1,SUM('Turns'!E104),"Unknown")</f>
        <v>0.000421878132</v>
      </c>
      <c r="Z37" s="2">
        <f>IF(COUNT('Turns'!F104)=1,SUM('Turns'!F104),"Unknown")</f>
        <v>0.0004836</v>
      </c>
      <c r="AA37" s="5">
        <f>IF(ISNUMBER(Y37),ROUND(Y37*'Reference data'!$B$2,0),"Unknown")</f>
        <v>42.0</v>
      </c>
      <c r="AB37" s="5">
        <f>IF(ISNUMBER(Z37),ROUND(Z37*'Reference data'!$B$2,0),"Unknown")</f>
        <v>48.0</v>
      </c>
      <c r="AC37" s="1" t="s">
        <v>144</v>
      </c>
      <c r="AD37" s="1">
        <v>5217.114</v>
      </c>
      <c r="AE37" s="1" t="s">
        <v>174</v>
      </c>
    </row>
    <row r="38" spans="1:31" ht="54" customHeight="1">
      <c r="A38" s="6" t="s">
        <v>175</v>
      </c>
      <c r="B38" s="1">
        <v>1</v>
      </c>
      <c r="C38" s="1" t="s">
        <v>152</v>
      </c>
      <c r="D38" s="1" t="s">
        <v>47</v>
      </c>
      <c r="E38" s="1" t="s">
        <v>112</v>
      </c>
      <c r="G38" s="6" t="s">
        <v>176</v>
      </c>
      <c r="H38" t="s">
        <v>217</v>
      </c>
      <c r="I38" t="s">
        <v>211</v>
      </c>
      <c r="J38" s="2">
        <f>IF(COUNT('Turns'!D107)=1,SUM('Turns'!D107),"Unknown")</f>
        <v>267.0</v>
      </c>
      <c r="K38" s="2">
        <f>IF(COUNT('Turns'!E107)=1,SUM('Turns'!E107),"Unknown")</f>
        <v>4.6584558e-05</v>
      </c>
      <c r="L38" s="2">
        <f>IF(COUNT('Turns'!F107)=1,SUM('Turns'!F107),"Unknown")</f>
        <v>5.34e-05</v>
      </c>
      <c r="M38" s="2">
        <f>IF(COUNT('Turns'!D106)=1,SUM('Turns'!D106),"Unknown")</f>
        <v>0.0</v>
      </c>
      <c r="N38" s="2">
        <f>IF(COUNT('Turns'!E106)=1,SUM('Turns'!E106),"Unknown")</f>
        <v>0.0</v>
      </c>
      <c r="O38" s="2">
        <f>IF(COUNT('Turns'!F106)=1,SUM('Turns'!F106),"Unknown")</f>
        <v>0.0</v>
      </c>
      <c r="P38" s="2">
        <f>IF(COUNT('Turns'!D108)=1,SUM('Turns'!D108),"Unknown")</f>
        <v>1169.0</v>
      </c>
      <c r="Q38" s="2">
        <f>IF(COUNT('Turns'!E108)=1,SUM('Turns'!E108),"Unknown")</f>
        <v>0.0002549501325</v>
      </c>
      <c r="R38" s="2">
        <f>IF(COUNT('Turns'!F108)=1,SUM('Turns'!F108),"Unknown")</f>
        <v>0.00029225</v>
      </c>
      <c r="S38" s="2">
        <f>IF(COUNT('Turns'!D112)=1,SUM('Turns'!D112),"Unknown")</f>
        <v>111.0</v>
      </c>
      <c r="T38" s="2">
        <f>IF(COUNT('Turns'!E112)=1,SUM('Turns'!E112),"Unknown")</f>
        <v>0.000116199684</v>
      </c>
      <c r="U38" s="2">
        <f>IF(COUNT('Turns'!F112)=1,SUM('Turns'!F112),"Unknown")</f>
        <v>0.0001332</v>
      </c>
      <c r="V38" s="2">
        <f>IF(COUNT('Turns'!D111)=1,SUM('Turns'!D111),"Unknown")</f>
        <v>40.0</v>
      </c>
      <c r="W38" s="2">
        <f>IF(COUNT('Turns'!E111)=1,SUM('Turns'!E111),"Unknown")</f>
        <v>4.187376e-05</v>
      </c>
      <c r="X38" s="2">
        <f>IF(COUNT('Turns'!F111)=1,SUM('Turns'!F111),"Unknown")</f>
        <v>4.8e-05</v>
      </c>
      <c r="Y38" s="2">
        <f>IF(COUNT('Turns'!E116)=1,SUM('Turns'!E116),"Unknown")</f>
        <v>0.0004596081345</v>
      </c>
      <c r="Z38" s="2">
        <f>IF(COUNT('Turns'!F116)=1,SUM('Turns'!F116),"Unknown")</f>
        <v>0.00052685</v>
      </c>
      <c r="AA38" s="5">
        <f>IF(ISNUMBER(Y38),ROUND(Y38*'Reference data'!$B$2,0),"Unknown")</f>
        <v>46.0</v>
      </c>
      <c r="AB38" s="5">
        <f>IF(ISNUMBER(Z38),ROUND(Z38*'Reference data'!$B$2,0),"Unknown")</f>
        <v>53.0</v>
      </c>
      <c r="AD38" s="1">
        <v>1901.489</v>
      </c>
      <c r="AE38" s="1" t="s">
        <v>154</v>
      </c>
    </row>
    <row r="39" spans="1:31" ht="54" customHeight="1">
      <c r="A39" s="6" t="s">
        <v>158</v>
      </c>
      <c r="B39" s="1">
        <v>2</v>
      </c>
      <c r="C39" s="1" t="s">
        <v>152</v>
      </c>
      <c r="D39" s="1" t="s">
        <v>47</v>
      </c>
      <c r="E39" s="1" t="s">
        <v>112</v>
      </c>
      <c r="G39" s="6" t="s">
        <v>159</v>
      </c>
      <c r="H39" t="s">
        <v>218</v>
      </c>
      <c r="I39" t="s">
        <v>217</v>
      </c>
      <c r="J39" s="2">
        <f>IF(COUNT('Turns'!D107)=1,SUM('Turns'!D107),"Unknown")</f>
        <v>267.0</v>
      </c>
      <c r="K39" s="2">
        <f>IF(COUNT('Turns'!E107)=1,SUM('Turns'!E107),"Unknown")</f>
        <v>4.6584558e-05</v>
      </c>
      <c r="L39" s="2">
        <f>IF(COUNT('Turns'!F107)=1,SUM('Turns'!F107),"Unknown")</f>
        <v>5.34e-05</v>
      </c>
      <c r="M39" s="2">
        <f>IF(COUNT('Turns'!D106)=1,SUM('Turns'!D106),"Unknown")</f>
        <v>0.0</v>
      </c>
      <c r="N39" s="2">
        <f>IF(COUNT('Turns'!E106)=1,SUM('Turns'!E106),"Unknown")</f>
        <v>0.0</v>
      </c>
      <c r="O39" s="2">
        <f>IF(COUNT('Turns'!F106)=1,SUM('Turns'!F106),"Unknown")</f>
        <v>0.0</v>
      </c>
      <c r="P39" s="2">
        <f>IF(COUNT('Turns'!D108)=1,SUM('Turns'!D108),"Unknown")</f>
        <v>1169.0</v>
      </c>
      <c r="Q39" s="2">
        <f>IF(COUNT('Turns'!E108)=1,SUM('Turns'!E108),"Unknown")</f>
        <v>0.0002549501325</v>
      </c>
      <c r="R39" s="2">
        <f>IF(COUNT('Turns'!F108)=1,SUM('Turns'!F108),"Unknown")</f>
        <v>0.00029225</v>
      </c>
      <c r="S39" s="2">
        <f>IF(COUNT('Turns'!D112)=1,SUM('Turns'!D112),"Unknown")</f>
        <v>111.0</v>
      </c>
      <c r="T39" s="2">
        <f>IF(COUNT('Turns'!E112)=1,SUM('Turns'!E112),"Unknown")</f>
        <v>0.000116199684</v>
      </c>
      <c r="U39" s="2">
        <f>IF(COUNT('Turns'!F112)=1,SUM('Turns'!F112),"Unknown")</f>
        <v>0.0001332</v>
      </c>
      <c r="V39" s="2">
        <f>IF(COUNT('Turns'!D111)=1,SUM('Turns'!D111),"Unknown")</f>
        <v>40.0</v>
      </c>
      <c r="W39" s="2">
        <f>IF(COUNT('Turns'!E111)=1,SUM('Turns'!E111),"Unknown")</f>
        <v>4.187376e-05</v>
      </c>
      <c r="X39" s="2">
        <f>IF(COUNT('Turns'!F111)=1,SUM('Turns'!F111),"Unknown")</f>
        <v>4.8e-05</v>
      </c>
      <c r="Y39" s="2">
        <f>IF(COUNT('Turns'!E116)=1,SUM('Turns'!E116),"Unknown")</f>
        <v>0.0004596081345</v>
      </c>
      <c r="Z39" s="2">
        <f>IF(COUNT('Turns'!F116)=1,SUM('Turns'!F116),"Unknown")</f>
        <v>0.00052685</v>
      </c>
      <c r="AA39" s="5">
        <f>IF(ISNUMBER(Y39),ROUND(Y39*'Reference data'!$B$2,0),"Unknown")</f>
        <v>46.0</v>
      </c>
      <c r="AB39" s="5">
        <f>IF(ISNUMBER(Z39),ROUND(Z39*'Reference data'!$B$2,0),"Unknown")</f>
        <v>53.0</v>
      </c>
      <c r="AD39" s="1">
        <v>1900.359</v>
      </c>
      <c r="AE39" s="1" t="s">
        <v>154</v>
      </c>
    </row>
    <row r="40" spans="1:31" ht="54" customHeight="1">
      <c r="A40" s="6" t="s">
        <v>179</v>
      </c>
      <c r="B40" s="1">
        <v>3</v>
      </c>
      <c r="C40" s="1" t="s">
        <v>152</v>
      </c>
      <c r="D40" s="1" t="s">
        <v>47</v>
      </c>
      <c r="E40" s="1" t="s">
        <v>112</v>
      </c>
      <c r="G40" s="6" t="s">
        <v>180</v>
      </c>
      <c r="H40" t="s">
        <v>219</v>
      </c>
      <c r="I40" t="s">
        <v>218</v>
      </c>
      <c r="J40" s="2">
        <f>IF(COUNT('Turns'!D107)=1,SUM('Turns'!D107),"Unknown")</f>
        <v>267.0</v>
      </c>
      <c r="K40" s="2">
        <f>IF(COUNT('Turns'!E107)=1,SUM('Turns'!E107),"Unknown")</f>
        <v>4.6584558e-05</v>
      </c>
      <c r="L40" s="2">
        <f>IF(COUNT('Turns'!F107)=1,SUM('Turns'!F107),"Unknown")</f>
        <v>5.34e-05</v>
      </c>
      <c r="M40" s="2">
        <f>IF(COUNT('Turns'!D106)=1,SUM('Turns'!D106),"Unknown")</f>
        <v>0.0</v>
      </c>
      <c r="N40" s="2">
        <f>IF(COUNT('Turns'!E106)=1,SUM('Turns'!E106),"Unknown")</f>
        <v>0.0</v>
      </c>
      <c r="O40" s="2">
        <f>IF(COUNT('Turns'!F106)=1,SUM('Turns'!F106),"Unknown")</f>
        <v>0.0</v>
      </c>
      <c r="P40" s="2">
        <f>IF(COUNT('Turns'!D108)=1,SUM('Turns'!D108),"Unknown")</f>
        <v>1169.0</v>
      </c>
      <c r="Q40" s="2">
        <f>IF(COUNT('Turns'!E108)=1,SUM('Turns'!E108),"Unknown")</f>
        <v>0.0002549501325</v>
      </c>
      <c r="R40" s="2">
        <f>IF(COUNT('Turns'!F108)=1,SUM('Turns'!F108),"Unknown")</f>
        <v>0.00029225</v>
      </c>
      <c r="S40" s="2">
        <f>IF(COUNT('Turns'!D112)=1,SUM('Turns'!D112),"Unknown")</f>
        <v>111.0</v>
      </c>
      <c r="T40" s="2">
        <f>IF(COUNT('Turns'!E112)=1,SUM('Turns'!E112),"Unknown")</f>
        <v>0.000116199684</v>
      </c>
      <c r="U40" s="2">
        <f>IF(COUNT('Turns'!F112)=1,SUM('Turns'!F112),"Unknown")</f>
        <v>0.0001332</v>
      </c>
      <c r="V40" s="2">
        <f>IF(COUNT('Turns'!D111)=1,SUM('Turns'!D111),"Unknown")</f>
        <v>40.0</v>
      </c>
      <c r="W40" s="2">
        <f>IF(COUNT('Turns'!E111)=1,SUM('Turns'!E111),"Unknown")</f>
        <v>4.187376e-05</v>
      </c>
      <c r="X40" s="2">
        <f>IF(COUNT('Turns'!F111)=1,SUM('Turns'!F111),"Unknown")</f>
        <v>4.8e-05</v>
      </c>
      <c r="Y40" s="2">
        <f>IF(COUNT('Turns'!E116)=1,SUM('Turns'!E116),"Unknown")</f>
        <v>0.0004596081345</v>
      </c>
      <c r="Z40" s="2">
        <f>IF(COUNT('Turns'!F116)=1,SUM('Turns'!F116),"Unknown")</f>
        <v>0.00052685</v>
      </c>
      <c r="AA40" s="5">
        <f>IF(ISNUMBER(Y40),ROUND(Y40*'Reference data'!$B$2,0),"Unknown")</f>
        <v>46.0</v>
      </c>
      <c r="AB40" s="5">
        <f>IF(ISNUMBER(Z40),ROUND(Z40*'Reference data'!$B$2,0),"Unknown")</f>
        <v>53.0</v>
      </c>
      <c r="AD40" s="1">
        <v>1899.423</v>
      </c>
      <c r="AE40" s="1" t="s">
        <v>154</v>
      </c>
    </row>
    <row r="41" spans="1:31" ht="54" customHeight="1">
      <c r="A41" s="6" t="s">
        <v>164</v>
      </c>
      <c r="B41" s="1">
        <v>4</v>
      </c>
      <c r="C41" s="1" t="s">
        <v>152</v>
      </c>
      <c r="D41" s="1" t="s">
        <v>47</v>
      </c>
      <c r="E41" s="1" t="s">
        <v>112</v>
      </c>
      <c r="G41" s="6" t="s">
        <v>165</v>
      </c>
      <c r="H41" t="s">
        <v>220</v>
      </c>
      <c r="I41" t="s">
        <v>219</v>
      </c>
      <c r="AD41" s="1">
        <v>0.634</v>
      </c>
      <c r="AE41" s="1" t="s">
        <v>167</v>
      </c>
    </row>
    <row r="42" spans="1:31" ht="54" customHeight="1">
      <c r="A42" s="6" t="s">
        <v>168</v>
      </c>
      <c r="B42" s="1">
        <v>4</v>
      </c>
      <c r="C42" s="1" t="s">
        <v>152</v>
      </c>
      <c r="D42" s="1" t="s">
        <v>47</v>
      </c>
      <c r="E42" s="1" t="s">
        <v>112</v>
      </c>
      <c r="G42" s="6" t="s">
        <v>169</v>
      </c>
      <c r="H42" t="s">
        <v>221</v>
      </c>
      <c r="I42" t="s">
        <v>219</v>
      </c>
      <c r="J42" s="2">
        <f>IF(COUNT('Turns'!D107)=1,SUM('Turns'!D107),"Unknown")</f>
        <v>267.0</v>
      </c>
      <c r="K42" s="2">
        <f>IF(COUNT('Turns'!E107)=1,SUM('Turns'!E107),"Unknown")</f>
        <v>4.6584558e-05</v>
      </c>
      <c r="L42" s="2">
        <f>IF(COUNT('Turns'!F107)=1,SUM('Turns'!F107),"Unknown")</f>
        <v>5.34e-05</v>
      </c>
      <c r="M42" s="2">
        <f>IF(COUNT('Turns'!D106)=1,SUM('Turns'!D106),"Unknown")</f>
        <v>0.0</v>
      </c>
      <c r="N42" s="2">
        <f>IF(COUNT('Turns'!E106)=1,SUM('Turns'!E106),"Unknown")</f>
        <v>0.0</v>
      </c>
      <c r="O42" s="2">
        <f>IF(COUNT('Turns'!F106)=1,SUM('Turns'!F106),"Unknown")</f>
        <v>0.0</v>
      </c>
      <c r="P42" s="2">
        <f>IF(COUNT('Turns'!D108)=1,SUM('Turns'!D108),"Unknown")</f>
        <v>1169.0</v>
      </c>
      <c r="Q42" s="2">
        <f>IF(COUNT('Turns'!E108)=1,SUM('Turns'!E108),"Unknown")</f>
        <v>0.0002549501325</v>
      </c>
      <c r="R42" s="2">
        <f>IF(COUNT('Turns'!F108)=1,SUM('Turns'!F108),"Unknown")</f>
        <v>0.00029225</v>
      </c>
      <c r="S42" s="2">
        <f>IF(COUNT('Turns'!D112)=1,SUM('Turns'!D112),"Unknown")</f>
        <v>111.0</v>
      </c>
      <c r="T42" s="2">
        <f>IF(COUNT('Turns'!E112)=1,SUM('Turns'!E112),"Unknown")</f>
        <v>0.000116199684</v>
      </c>
      <c r="U42" s="2">
        <f>IF(COUNT('Turns'!F112)=1,SUM('Turns'!F112),"Unknown")</f>
        <v>0.0001332</v>
      </c>
      <c r="V42" s="2">
        <f>IF(COUNT('Turns'!D111)=1,SUM('Turns'!D111),"Unknown")</f>
        <v>40.0</v>
      </c>
      <c r="W42" s="2">
        <f>IF(COUNT('Turns'!E111)=1,SUM('Turns'!E111),"Unknown")</f>
        <v>4.187376e-05</v>
      </c>
      <c r="X42" s="2">
        <f>IF(COUNT('Turns'!F111)=1,SUM('Turns'!F111),"Unknown")</f>
        <v>4.8e-05</v>
      </c>
      <c r="Y42" s="2">
        <f>IF(COUNT('Turns'!E116)=1,SUM('Turns'!E116),"Unknown")</f>
        <v>0.0004596081345</v>
      </c>
      <c r="Z42" s="2">
        <f>IF(COUNT('Turns'!F116)=1,SUM('Turns'!F116),"Unknown")</f>
        <v>0.00052685</v>
      </c>
      <c r="AA42" s="5">
        <f>IF(ISNUMBER(Y42),ROUND(Y42*'Reference data'!$B$2,0),"Unknown")</f>
        <v>46.0</v>
      </c>
      <c r="AB42" s="5">
        <f>IF(ISNUMBER(Z42),ROUND(Z42*'Reference data'!$B$2,0),"Unknown")</f>
        <v>53.0</v>
      </c>
      <c r="AD42" s="1">
        <v>1896.732</v>
      </c>
      <c r="AE42" s="1" t="s">
        <v>154</v>
      </c>
    </row>
    <row r="43" spans="1:31" ht="54" customHeight="1">
      <c r="A43" s="6" t="s">
        <v>171</v>
      </c>
      <c r="B43" s="1">
        <v>5</v>
      </c>
      <c r="C43" s="1" t="s">
        <v>172</v>
      </c>
      <c r="D43" s="1" t="s">
        <v>95</v>
      </c>
      <c r="E43" s="1" t="s">
        <v>112</v>
      </c>
      <c r="F43" s="1">
        <v>1436</v>
      </c>
      <c r="G43" s="6" t="s">
        <v>173</v>
      </c>
      <c r="H43" t="s">
        <v>149</v>
      </c>
      <c r="I43" t="s">
        <v>221</v>
      </c>
      <c r="J43" s="2">
        <f>IF(COUNT('Turns'!D107)=1,SUM('Turns'!D107),"Unknown")</f>
        <v>267.0</v>
      </c>
      <c r="K43" s="2">
        <f>IF(COUNT('Turns'!E107)=1,SUM('Turns'!E107),"Unknown")</f>
        <v>4.6584558e-05</v>
      </c>
      <c r="L43" s="2">
        <f>IF(COUNT('Turns'!F107)=1,SUM('Turns'!F107),"Unknown")</f>
        <v>5.34e-05</v>
      </c>
      <c r="M43" s="2">
        <f>IF(COUNT('Turns'!D106)=1,SUM('Turns'!D106),"Unknown")</f>
        <v>0.0</v>
      </c>
      <c r="N43" s="2">
        <f>IF(COUNT('Turns'!E106)=1,SUM('Turns'!E106),"Unknown")</f>
        <v>0.0</v>
      </c>
      <c r="O43" s="2">
        <f>IF(COUNT('Turns'!F106)=1,SUM('Turns'!F106),"Unknown")</f>
        <v>0.0</v>
      </c>
      <c r="P43" s="2">
        <f>IF(COUNT('Turns'!D108)=1,SUM('Turns'!D108),"Unknown")</f>
        <v>1169.0</v>
      </c>
      <c r="Q43" s="2">
        <f>IF(COUNT('Turns'!E108)=1,SUM('Turns'!E108),"Unknown")</f>
        <v>0.0002549501325</v>
      </c>
      <c r="R43" s="2">
        <f>IF(COUNT('Turns'!F108)=1,SUM('Turns'!F108),"Unknown")</f>
        <v>0.00029225</v>
      </c>
      <c r="S43" s="2">
        <f>IF(COUNT('Turns'!D112)=1,SUM('Turns'!D112),"Unknown")</f>
        <v>111.0</v>
      </c>
      <c r="T43" s="2">
        <f>IF(COUNT('Turns'!E112)=1,SUM('Turns'!E112),"Unknown")</f>
        <v>0.000116199684</v>
      </c>
      <c r="U43" s="2">
        <f>IF(COUNT('Turns'!F112)=1,SUM('Turns'!F112),"Unknown")</f>
        <v>0.0001332</v>
      </c>
      <c r="V43" s="2">
        <f>IF(COUNT('Turns'!D111)=1,SUM('Turns'!D111),"Unknown")</f>
        <v>40.0</v>
      </c>
      <c r="W43" s="2">
        <f>IF(COUNT('Turns'!E111)=1,SUM('Turns'!E111),"Unknown")</f>
        <v>4.187376e-05</v>
      </c>
      <c r="X43" s="2">
        <f>IF(COUNT('Turns'!F111)=1,SUM('Turns'!F111),"Unknown")</f>
        <v>4.8e-05</v>
      </c>
      <c r="Y43" s="2">
        <f>IF(COUNT('Turns'!E116)=1,SUM('Turns'!E116),"Unknown")</f>
        <v>0.0004596081345</v>
      </c>
      <c r="Z43" s="2">
        <f>IF(COUNT('Turns'!F116)=1,SUM('Turns'!F116),"Unknown")</f>
        <v>0.00052685</v>
      </c>
      <c r="AA43" s="5">
        <f>IF(ISNUMBER(Y43),ROUND(Y43*'Reference data'!$B$2,0),"Unknown")</f>
        <v>46.0</v>
      </c>
      <c r="AB43" s="5">
        <f>IF(ISNUMBER(Z43),ROUND(Z43*'Reference data'!$B$2,0),"Unknown")</f>
        <v>53.0</v>
      </c>
      <c r="AC43" s="1" t="s">
        <v>148</v>
      </c>
      <c r="AD43" s="1">
        <v>1894.447</v>
      </c>
      <c r="AE43" s="1" t="s">
        <v>174</v>
      </c>
    </row>
  </sheetData>
  <conditionalFormatting sqref="A2:AE43">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2026-09-23T06:07:30Z</dcterms:created>
  <dcterms:modified xsi:type="dcterms:W3CDTF">2026-09-23T06:07:30Z</dcterms:modified>
</cp:coreProperties>
</file>
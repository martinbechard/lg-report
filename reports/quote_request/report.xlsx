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<sst xmlns="http://schemas.openxmlformats.org/spreadsheetml/2006/main" count="335" uniqueCount="157">
  <si>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</si>
  <si>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</si>
  <si>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</si>
  <si>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</si>
  <si>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</si>
  <si>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</si>
  <si>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</si>
  <si>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</si>
  <si>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</si>
  <si>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</si>
  <si>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</si>
  <si>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</si>
  <si>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</si>
  <si>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</si>
  <si>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</si>
  <si>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</si>
  <si>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</si>
  <si>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</si>
  <si>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</si>
  <si>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</si>
  <si>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</si>
  <si>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</si>
  <si>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</si>
  <si>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</si>
  <si>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</si>
  <si>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</si>
  <si>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</si>
  <si>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</si>
  <si>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</si>
  <si>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</si>
  <si>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</si>
  <si>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</si>
  <si>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</si>
  <si>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</si>
  <si>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</si>
  <si>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</si>
  <si>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</si>
  <si>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</si>
  <si>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</si>
  <si>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</si>
  <si>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</si>
  <si>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</si>
  <si>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</si>
  <si>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</si>
  <si>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</si>
  <si>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</si>
  <si>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</si>
  <si>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</si>
  <si>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</si>
  <si>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01a0cce1-6165-70b3-957d-80fbb84ddf37</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</si>
  <si>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</si>
  <si>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</si>
  <si>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</si>
  <si>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</si>
  <si>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</si>
  <si>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</si>
  <si>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</si>
  <si>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</si>
  <si>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</si>
  <si>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</si>
  <si>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</si>
  <si>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</si>
  <si>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</si>
  <si>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</si>
  <si>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</si>
  <si>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</si>
  <si>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</si>
  <si>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</si>
  <si>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</si>
  <si>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</si>
  <si>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</si>
  <si>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</si>
  <si>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</si>
  <si>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</si>
  <si>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</si>
  <si>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</si>
  <si>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</si>
  <si>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</si>
  <si>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</si>
  <si>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</si>
  <si>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</si>
  <si>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</si>
  <si>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</si>
  <si>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</si>
  <si>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</si>
  <si>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</si>
  <si>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</si>
  <si>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</si>
  <si>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</si>
  <si>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</si>
  <si>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</si>
  <si>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</si>
  <si>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</si>
  <si>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</si>
  <si>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</si>
  <si>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</si>
  <si>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01a0cce1-616e-7210-909f-7e5d1c18b4f1</t>
  </si>
  <si>
    <t>Fresh input</t>
  </si>
  <si>
    <t xml:space="preserve">    Tool definitions</t>
  </si>
  <si>
    <t xml:space="preserve">    System prompt</t>
  </si>
  <si>
    <t xml:space="preserve">You help a human prepare a quote request. Read the entire request
and clarification conversation. Decide whether its meaning is clear enough to
prepare an accurate request. Notice conflicting requirements, implausible scope,
ambiguous units, and assumptions that would materially change the quote. Ask the
human a focused question in your own words when their judgment or information is
needed. Check for multiple independent issues across the whole request, not just
the first inconsistency. Keep all unresolved issues in view after every answer.
You may group closely related questions; do not complete while a material issue
remains unresolved. Explain the concrete uncertainty. This is a conversation, not a required
field checklist. Do not silently repair contradictions or invent requirements,
prices, feasibility guarantees, or human answers. Reconsider the request after
every answer; an unclear answer may need another question. Complete without a
question when the request is already coherent. Completion summarizes the agreed
scope and any explicitly accepted uncertainty; it does not send a quote or
promise supplier acceptance. Return exactly one QuoteDecision tool call.
</t>
  </si>
  <si>
    <t xml:space="preserve">    User prompt</t>
  </si>
  <si>
    <t>{"initial_request": {"name": "Alex", "email": "alex@example.com", "service": "Print 500 individually addressed invitations. Use the exact same text on every copy; no variable printing.", "quantity": 500, "recipients": "650 guests, each must receive their own invitation.", "delivery": "One batch to our office; we will mail them ourselves."}, "conversation": []}</t>
  </si>
  <si>
    <t>Cache write</t>
  </si>
  <si>
    <t>Context · added / total</t>
  </si>
  <si>
    <t>LLM response</t>
  </si>
  <si>
    <t>Reasoning</t>
  </si>
  <si>
    <t>Output</t>
  </si>
  <si>
    <t xml:space="preserve">    Output content</t>
  </si>
  <si>
    <t>[{"id": "rs_0c1d5dd7d637d504006ab36ce68a3c87d2be22fc4920ffd396", "summary": [], "type": "reasoning", "content": [], "index": 0, "encrypted_content": "gAAAAABqs2znOmFUz75G8RO033GJWf6EZCl4UNa0xgCXsb422ShMxrR0h4QhWXwsltqh8SPAVt_BhXbm3Dxec7fw5m1gfJl972_FWek47J7mHq9LHmj2RaL6C65p5axWqLepbKxOxlNKpG19C-6javLcoKSxvwkHKDsYE8iFQhlHZjxNu1DXTyflmk5lpSP-2c_HQX95sA1eKXHji0oJTjNC8wy_CYsCfWEnwfNhiR0CawCZ85RvQ5y9xsjPuh84wL87_fwIZUbL8fNY9ajEU0vzcU9OZ13Tcey9NM6YENhpDjiEeBnLlfg8YlqpHtIndYXCZfjxOBAWL0PLHU_ksQ5AvWJTLVil8u7GMCq-OaxQLR8gaULleMvrYxw995hZmckjsF2ULYDhP0psIkk-6o1Klez4K3tTq7IPVzvjgNMKVth9K679sW-BdithDY2Yc8sNQWYjcMgRRO3xvu64zNhiznWUl_UmZSn1RW6QrLe3eycx08LCCmikGUlE7lrvEpocH3d7rU3S13ZanFab9oaZlP3ZAGmqAH1gJu86FyZTxgqnQfx7GVE9zX-beJZUeOW4YPTnH-zI1qRzZfMcdy0MXN0mnaPcFWU4t10ZhrxXQ8BJ41IxDxo1Z_KD2yF0B-qH1uRBgCWtLL64oTVFIHZBxbjgNt_5Gsa6chV9wTCrtYpImaXhSrW1r4rEP7bI9OtR7vK7OEj9JZGom43YqXvNad-ZoJarFMunI9o_WMMdc1uHf_4Q6d8Msm1NXYPWuDzfVEs_KOCqwedkzCu8hCDhPW0akfMP0schPRiEcQ3QH7BYIRMc48DEiYZxF2JZWFE2hU6NTZIkkG7NpDPyV6LlloxuN-U6YFmQDJo-3_LoNtfgOG-iRsl5TIHsa3sv5I0kNzrtFq-iQRdPB01r4xUwmsM-6ExgPW33TOeokIX6u7_uztvw1OEBtBfPSuMWdlxynduB-NyjE3SpbJ7FwE3PDvThhHMol8IldatOiaZH55nMXSs00gw9hXBjsUw_HXBsl6s204ZmXR5mwe3u3ySGqCq5Ye61t6fSksVkTw6qMHfL-Q-sy6ZHw9ctOraIGwOUigIBI7RQ3ixaEAWQQkGgChiGb5_ZIUINuH5GAVYr5n_5K7geAJd4quugfU8VybyFeAm8Qzh0temShCgYOnbfc8nGo9q_FD--vThON1JXlELnc-64TJCcoQZheX91lC-GFgtfpWwKTa3FMJ49AHjBWyg4adH9DCGlQvdtUqt4xCYdewdcALKTwsuo8-wn6fy3NwpfTqQiJLI-ncxecqBx4xxQojQXoxNBOcnBRmcB78JLDxIj7YvjVCe8APri8r118JULcXIFXlbvfNijCnk8YKGNqi7IX7X1Y5cVR-K4tQo-_vC3XegUa-egNOi36_Jo_5xCOsSgbWcUAvZkGJulijvQLmMSMxoxojh0cNFccRfSWwWkOwKv84tnTxYHiVJDsiwgcNGL-HnooUVtjLA9R5yhzhLKN5J5GfsqpiWQZAJg6L64I0GOQ9xC4A0WEbtoKMePCLGgheadUDf3h5iJgmXD_jbDnA=="}, {"type": "function_call", "name": "QuoteDecision", "arguments": "{\"action\":\"ask\",\"reason\":\"The request has two material conflicts: 500 invitations cannot cover 650 guests if each guest must receive one, and individually addressing them requires recipient-specific information or variable printing, which conflicts with using exactly the same text on every copy.\",\"text\":\"Should the order be for 650 invitations, and do you want each invitation individually addressed? If so, please confirm whether recipient names/addresses should be variable-printed or supplied separately; otherwise, clarify what you mean by \u201cindividually addressed\u201d while keeping identical text.\"}", "call_id": "call_eDH551q9MfMltpzk9bCVU808", "id": "fc_0c1d5dd7d637d504006ab36ce783ec87d2a9e4ceb1960dd50a", "index": 1}]
{"name": "QuoteDecision", "args": {"action": "ask", "reason": "The request has two material conflicts: 500 invitations cannot cover 650 guests if each guest must receive one, and individually addressing them requires recipient-specific information or variable printing, which conflicts with using exactly the same text on every copy.", "text": "Should the order be for 650 invitations, and do you want each invitation individually addressed? If so, please confirm whether recipient names/addresses should be variable-printed or supplied separately; otherwise, clarify what you mean by \u201cindividually addressed\u201d while keeping identical text."}, "id": "call_eDH551q9MfMltpzk9bCVU808", "type": "tool_call"}</t>
  </si>
  <si>
    <t>Call total</t>
  </si>
  <si>
    <t>ok</t>
  </si>
  <si>
    <t>R2</t>
  </si>
  <si>
    <t>01a0cce1-b698-79e0-97be-7b21c9eb79a4</t>
  </si>
  <si>
    <t>Conversation history · cache read</t>
  </si>
  <si>
    <t>[{"id": "rs_0d864b2ca1e38a23006ab36cfca06487d2ab204b69bb29728c", "summary": [], "type": "reasoning", "content": [], "index": 0, "encrypted_content": "gAAAAABqs2z9j4W3kooN1KD0xKDm5DxsTMZjxAMRaBh5f6FalAwtJltIO2yqm0jz8SmQgXdda88jZvVm9eUETmzx1piCS_yZ_v646N7RwciPiD5Q1dB-dZxrOEqTcZia9-_weSDsVgc5Fs6xWuyIYxIzXIGTsyYaBeUhwJvXJv6XelcW4eLgm_OQq5OjEt4-d5pY5iSdX1CpWXb9302YMa0PLHNiyXiqbSpY6u6wBjhVgMj9eTYlcDVAIdY9juHuTsCy0hiqEGqyU-49dijf6OIbslmGus2VUFEdVKSlLlgkxd2ZsNLBwgPMebZ75Wv2YFpF35vrtFh14XEa0wG_kpBjwmMHbq7Q-KTNThrPtO0zASTCNfKb4UEm0nhFBKlcEHd4CHJ_jQ1j1cJU82bLHUEjYKTVWRrNJjyxkrUDdkRnFn6r-srUxKHiSl3zuo0ni34T2ZP_bVxTR3DIrXAfq1_Uu67hZ9VeC0YLlZj4yMkyD8Mawab2gE0RroBBiqHKMrjWLAxMjP2uNH7XTZJSqJDhhql0XlO_B3l_ShyPW2CxPO1CmnO2i5Dgifc1ahi9soBra5_ZKEKobBnYsLsODMATF4hzUg5DG_dLBhCSo3wevSBXexcrCzDpU6nGHGXX_x8MtfsVUZRrOufKFi2vR65QbnLzxv3jrfZkOMNUQ6j8sGQVz3y_ZgvoPTtE0Awsxqw75DTrhV6PTFSCHJKbXG5mlphX4hpQi3T5i-h37t00hvq9fKE65radOk5dfQXdWDytWiapH0S5tjSKURXI6wTODnoLn5r0B1_2F7Mj3Hw09rYa5gzTJ6f8ZWZpjMwmTdO2xrDJj1eNsLAKVPbJdvMFtjBRrZjvCWh9dxMYpnajCg6Eew2bWQ0GoDU2nOewj8rcLtQkNKY11nwk6JcduAgyWA-YJ_xX7uhZ0cXvLutoErj7SHI8C1Zcbjo5kyN5MpER-JudM1Wv1hkxzmxF697nSU-oc8IuZoc9zOVtIJT1hQgfnKObOw3AMLMjBZOLTUS2S6-ZHoFIiD6qLoMKf-3WFt8dAWptunH8f1upSICzTGBECPFd0seqXsVuafCIL7CGWhlk7PJyBKT9dXoBT4T3TP1i_SE-6MXyq6Qt4NvFW-saMMbEuXZsDu9o2BXSFdqlOGIDcBnqksxwk6c7ZJSS0M1f2MENW_qOiCoDCV7zzsvO6kPG3yu1c6cYhCupaEes9mmtF5_fCoW36bLiz0w2GULrTksilBU8_23zjLC8k6nEJfA0Bx3YV11PSWGcjnq4DLpgYatFZCCemupzReNmFizOR1TaGpBF4SuOxgW3wz1IdFAzPClVDTgtNE9aH7w75YqeurSAZ1QKb3cYdfTPgt1-12xnjQ47pYo1p4XPClrQv1dOyR_mVHoGsTd0yBvgwf4Xb5GjaFgaVIKovQdGnA8YucbFe2ZEfWgVJQsLyiMbCuf6AEoZw8aIa-B5R6KwBSpWDzaVMcF7CYiQ31j-NImgNuKISdweTLmKjMcUsjipIniTOYNJ9ISZ3CtRe970zhE-HxwqPQ1PMx0VrK-tp6d59VMQUE91hy7DrxqrjcZo0jy98CKEjFa715WijapnbyCMxiev"}, {"type": "function_call", "name": "QuoteDecision", "arguments": "{\"action\":\"complete\",\"reason\":\"The quantity and recipient scope are reconciled: 500 households among 650 guests, with one invitation per household. The invitation text is identical, and the household names and addresses will be printed on 500 envelopes using the customer's spreadsheet. Delivery and mailing responsibility are also clear.\",\"text\":\"Prepare a quote for 500 identical-text invitations and 500 envelopes, with each household's supplied name and address printed on its envelope. The customer will provide the spreadsheet, receive the complete order in one batch at their office, and handle mailing themselves.\"}", "call_id": "call_iV4eY6YTKofFQcS5UldKUg6W", "id": "fc_0d864b2ca1e38a23006ab36cfdfebc87d292aaf5c2ec7395e3", "index": 1}]
{"name": "QuoteDecision", "args": {"action": "complete", "reason": "The quantity and recipient scope are reconciled: 500 households among 650 guests, with one invitation per household. The invitation text is identical, and the household names and addresses will be printed on 500 envelopes using the customer's spreadsheet. Delivery and mailing responsibility are also clear.", "text": "Prepare a quote for 500 identical-text invitations and 500 envelopes, with each household's supplied name and address printed on its envelope. The customer will provide the spreadsheet, receive the complete order in one batch at their office, and handle mailing themselves."}, "id": "call_iV4eY6YTKofFQcS5UldKUg6W", "type": "tool_call"}</t>
  </si>
  <si>
    <t>LangGraph</t>
  </si>
  <si>
    <t>workflow</t>
  </si>
  <si>
    <t>Execute the LangGraph workflow operation and pass its result to the next graph step.</t>
  </si>
  <si>
    <t>Subtree total</t>
  </si>
  <si>
    <t xml:space="preserve">    begin</t>
  </si>
  <si>
    <t>Execute the begin workflow operation and pass its result to the next graph step.</t>
  </si>
  <si>
    <t>01a0cce1-6169-71e2-8aab-9e6bd4736ee5</t>
  </si>
  <si>
    <t>No model charge</t>
  </si>
  <si>
    <t xml:space="preserve">    assess</t>
  </si>
  <si>
    <t>Execute the assess workflow operation and pass its result to the next graph step.</t>
  </si>
  <si>
    <t>01a0cce1-616b-7b12-a39a-e8bc1e07d74f</t>
  </si>
  <si>
    <t xml:space="preserve">        quote_interpreter</t>
  </si>
  <si>
    <t>Interpret quote scope and request human clarification when needed.</t>
  </si>
  <si>
    <t>01a0cce1-616b-7b12-a39a-e8cddd06482a</t>
  </si>
  <si>
    <t xml:space="preserve">            quote_interpreter</t>
  </si>
  <si>
    <t>01a0cce1-616c-7af0-85c8-5eb3499a67ef</t>
  </si>
  <si>
    <t xml:space="preserve">                model</t>
  </si>
  <si>
    <t>01a0cce1-616d-7960-bb2d-64b1a1fe878a</t>
  </si>
  <si>
    <t xml:space="preserve">                    ChatOpenAI</t>
  </si>
  <si>
    <t>model</t>
  </si>
  <si>
    <t>Own call</t>
  </si>
  <si>
    <t xml:space="preserve">        route_after_assessment</t>
  </si>
  <si>
    <t>Execute the route_after_assessment workflow operation and pass its result to the next graph step.</t>
  </si>
  <si>
    <t>01a0cce1-6ff6-7e42-a8f5-334ac65d2743</t>
  </si>
  <si>
    <t xml:space="preserve">    ask</t>
  </si>
  <si>
    <t>interrupted</t>
  </si>
  <si>
    <t>Execute the ask workflow operation and pass its result to the next graph step.</t>
  </si>
  <si>
    <t>01a0cce1-6ff8-75b3-9b6b-131ec955b34f</t>
  </si>
  <si>
    <t>01a0cce1-b68f-7c51-8560-adf8e99061cd</t>
  </si>
  <si>
    <t>01a0cce1-b691-72a2-802b-a4c8eaf554cd</t>
  </si>
  <si>
    <t xml:space="preserve">        route_after_answer</t>
  </si>
  <si>
    <t>Execute the route_after_answer workflow operation and pass its result to the next graph step.</t>
  </si>
  <si>
    <t>01a0cce1-b691-72a2-802b-a4d1becd1d43</t>
  </si>
  <si>
    <t>01a0cce1-b693-70e1-a394-b812adf39488</t>
  </si>
  <si>
    <t>01a0cce1-b693-70e1-a394-b822b4212b7f</t>
  </si>
  <si>
    <t>01a0cce1-b694-7e60-9fb8-2b73f2f4ff4b</t>
  </si>
  <si>
    <t>01a0cce1-b695-74d2-8a78-82541c7a0a82</t>
  </si>
  <si>
    <t>01a0cce1-c7a5-71c3-b636-cc0023379662</t>
  </si>
  <si>
    <t xml:space="preserve">    complete</t>
  </si>
  <si>
    <t>Execute the complete workflow operation and pass its result to the next graph step.</t>
  </si>
  <si>
    <t>01a0cce1-c7a6-7622-8620-9e4966d5a5ff</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</si>
</sst>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29"/>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IF(COUNT('Turns'!E17,'Turns'!E29)=2,SUM('Turns'!E17,'Turns'!E29),"Unknown")</f>
        <v>0.000589373172</v>
      </c>
      <c r="F2" s="2">
        <f>IF(COUNT('Turns'!F17,'Turns'!F29)=2,SUM('Turns'!F17,'Turns'!F29),"Unknown")</f>
        <v>0.0006756</v>
      </c>
      <c r="G2" s="5">
        <f>IF(ISNUMBER(E2),ROUND(E2*'Reference data'!$B$2,0),"Unknown")</f>
        <v>59.0</v>
      </c>
      <c r="H2" s="5">
        <f>IF(ISNUMBER(F2),ROUND(F2*'Reference data'!$B$2,0),"Unknown")</f>
        <v>68.0</v>
      </c>
    </row>
    <row r="3" spans="1:13" s="4" customFormat="1" ht="24" customHeight="1">
      <c r="B3" s="4">
        <v>1</v>
      </c>
      <c r="C3" s="4" t="s">
        <v>92</v>
      </c>
      <c r="E3" s="2">
        <f>IF(COUNT('Turns'!E17,'Turns'!E29)=2,SUM('Turns'!E17,'Turns'!E29),"Unknown")</f>
        <v>0.000589373172</v>
      </c>
      <c r="F3" s="2">
        <f>IF(COUNT('Turns'!F17,'Turns'!F29)=2,SUM('Turns'!F17,'Turns'!F29),"Unknown")</f>
        <v>0.0006756</v>
      </c>
      <c r="G3" s="5">
        <f>IF(ISNUMBER(E3),ROUND(E3*'Reference data'!$B$2,0),"Unknown")</f>
        <v>59.0</v>
      </c>
      <c r="H3" s="5">
        <f>IF(ISNUMBER(F3),ROUND(F3*'Reference data'!$B$2,0),"Unknown")</f>
        <v>68.0</v>
      </c>
    </row>
    <row r="4" spans="1:13" s="4" customFormat="1" ht="24" customHeight="1">
      <c r="A4" s="4" t="s">
        <v>93</v>
      </c>
      <c r="B4" s="4">
        <v>1</v>
      </c>
      <c r="C4" s="4" t="s">
        <v>94</v>
      </c>
      <c r="D4" s="4">
        <v>493</v>
      </c>
      <c r="J4" s="4" t="s">
        <v>95</v>
      </c>
      <c r="M4" s="4" t="s">
        <v>96</v>
      </c>
    </row>
    <row r="5" spans="1:13" ht="24" customHeight="1">
      <c r="A5" t="s">
        <v>93</v>
      </c>
      <c r="B5">
        <v>1</v>
      </c>
      <c r="C5" t="s">
        <v>97</v>
      </c>
      <c r="D5" s="5">
        <v>493</v>
      </c>
      <c r="E5" s="2">
        <f>IF(AND(ISNUMBER(F5),ISNUMBER('Reference data'!$B$3)),F5*'Reference data'!$B$3,"Unknown")</f>
        <v>8.6015682e-05</v>
      </c>
      <c r="F5" s="2">
        <f>IF(D5=0,0,IF(ISNUMBER('Reference data'!B17),D5*'Reference data'!B17/1000000,"Unknown"))</f>
        <v>9.86e-05</v>
      </c>
      <c r="G5" s="5">
        <f>IF(ISNUMBER(E5),ROUND(E5*'Reference data'!$B$2,0),"Unknown")</f>
        <v>9.0</v>
      </c>
      <c r="H5" s="5">
        <f>IF(ISNUMBER(F5),ROUND(F5*'Reference data'!$B$2,0),"Unknown")</f>
        <v>10.0</v>
      </c>
    </row>
    <row r="6" spans="1:13" ht="24" customHeight="1">
      <c r="A6" t="s">
        <v>93</v>
      </c>
      <c r="B6">
        <v>1</v>
      </c>
      <c r="C6" t="s">
        <v>98</v>
      </c>
    </row>
    <row r="7" spans="1:13" ht="216" customHeight="1">
      <c r="A7" t="s">
        <v>93</v>
      </c>
      <c r="B7">
        <v>1</v>
      </c>
      <c r="C7" t="s">
        <v>99</v>
      </c>
      <c r="I7" s="6" t="s">
        <v>100</v>
      </c>
    </row>
    <row r="8" spans="1:13" ht="73"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183</v>
      </c>
    </row>
    <row r="12" spans="1:13" ht="24" customHeight="1">
      <c r="A12" t="s">
        <v>93</v>
      </c>
      <c r="B12">
        <v>1</v>
      </c>
      <c r="C12" t="s">
        <v>106</v>
      </c>
      <c r="D12" s="5">
        <v>56</v>
      </c>
      <c r="E12" s="2">
        <f>IF(AND(ISNUMBER(F12),ISNUMBER('Reference data'!$B$3)),F12*'Reference data'!$B$3,"Unknown")</f>
        <v>5.8623264e-05</v>
      </c>
      <c r="F12" s="2">
        <f>IF(D12=0,0,IF(ISNUMBER('Reference data'!F17),D12*'Reference data'!F17/1000000,"Unknown"))</f>
        <v>6.72e-05</v>
      </c>
      <c r="G12" s="5">
        <f>IF(ISNUMBER(E12),ROUND(E12*'Reference data'!$B$2,0),"Unknown")</f>
        <v>6.0</v>
      </c>
      <c r="H12" s="5">
        <f>IF(ISNUMBER(F12),ROUND(F12*'Reference data'!$B$2,0),"Unknown")</f>
        <v>7.0</v>
      </c>
    </row>
    <row r="13" spans="1:13" ht="24" customHeight="1">
      <c r="A13" t="s">
        <v>93</v>
      </c>
      <c r="B13">
        <v>1</v>
      </c>
      <c r="C13" t="s">
        <v>107</v>
      </c>
      <c r="D13" s="5">
        <v>127</v>
      </c>
      <c r="E13" s="2">
        <f>IF(AND(ISNUMBER(F13),ISNUMBER('Reference data'!$B$3)),F13*'Reference data'!$B$3,"Unknown")</f>
        <v>0.000132949188</v>
      </c>
      <c r="F13" s="2">
        <f>IF(D13=0,0,IF(ISNUMBER('Reference data'!E17),D13*'Reference data'!E17/1000000,"Unknown"))</f>
        <v>0.0001524</v>
      </c>
      <c r="G13" s="5">
        <f>IF(ISNUMBER(E13),ROUND(E13*'Reference data'!$B$2,0),"Unknown")</f>
        <v>13.0</v>
      </c>
      <c r="H13" s="5">
        <f>IF(ISNUMBER(F13),ROUND(F13*'Reference data'!$B$2,0),"Unknown")</f>
        <v>15.0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0.000277588134</v>
      </c>
      <c r="F17" s="2">
        <f>IF(COUNT('Turns'!F5,'Turns'!F12,'Turns'!F13)=3,SUM('Turns'!F5,'Turns'!F12,'Turns'!F13),"Unknown")</f>
        <v>0.0003182</v>
      </c>
      <c r="G17" s="5">
        <f>IF(ISNUMBER(E17),ROUND(E17*'Reference data'!$B$2,0),"Unknown")</f>
        <v>28.0</v>
      </c>
      <c r="H17" s="5">
        <f>IF(ISNUMBER(F17),ROUND(F17*'Reference data'!$B$2,0),"Unknown")</f>
        <v>32.0</v>
      </c>
      <c r="K17" s="4" t="s">
        <v>111</v>
      </c>
    </row>
    <row r="18" spans="1:13" s="4" customFormat="1" ht="24" customHeight="1">
      <c r="A18" s="4" t="s">
        <v>112</v>
      </c>
      <c r="B18" s="4">
        <v>1</v>
      </c>
      <c r="C18" s="4" t="s">
        <v>94</v>
      </c>
      <c r="D18" s="4">
        <v>623</v>
      </c>
      <c r="J18" s="4" t="s">
        <v>95</v>
      </c>
      <c r="M18" s="4" t="s">
        <v>113</v>
      </c>
    </row>
    <row r="19" spans="1:13" ht="24" customHeight="1">
      <c r="A19" t="s">
        <v>112</v>
      </c>
      <c r="B19">
        <v>1</v>
      </c>
      <c r="C19" t="s">
        <v>114</v>
      </c>
      <c r="D19" s="5">
        <v>0</v>
      </c>
      <c r="E19" s="2">
        <f>IF(AND(ISNUMBER(F19),ISNUMBER('Reference data'!$B$3)),F19*'Reference data'!$B$3,"Unknown")</f>
        <v>0.0</v>
      </c>
      <c r="F19" s="2">
        <f>IF(D19=0,0,IF(ISNUMBER('Reference data'!C17),D19*'Reference data'!C17/1000000,"Unknown"))</f>
        <v>0.0</v>
      </c>
      <c r="G19" s="5">
        <f>IF(ISNUMBER(E19),ROUND(E19*'Reference data'!$B$2,0),"Unknown")</f>
        <v>0.0</v>
      </c>
      <c r="H19" s="5">
        <f>IF(ISNUMBER(F19),ROUND(F19*'Reference data'!$B$2,0),"Unknown")</f>
        <v>0.0</v>
      </c>
    </row>
    <row r="20" spans="1:13" ht="24" customHeight="1">
      <c r="A20" t="s">
        <v>112</v>
      </c>
      <c r="B20">
        <v>1</v>
      </c>
      <c r="C20" t="s">
        <v>97</v>
      </c>
      <c r="D20" s="5">
        <v>623</v>
      </c>
      <c r="E20" s="2">
        <f>IF(AND(ISNUMBER(F20),ISNUMBER('Reference data'!$B$3)),F20*'Reference data'!$B$3,"Unknown")</f>
        <v>0.000108697302</v>
      </c>
      <c r="F20" s="2">
        <f>IF(D20=0,0,IF(ISNUMBER('Reference data'!B17),D20*'Reference data'!B17/1000000,"Unknown"))</f>
        <v>0.0001246</v>
      </c>
      <c r="G20" s="5">
        <f>IF(ISNUMBER(E20),ROUND(E20*'Reference data'!$B$2,0),"Unknown")</f>
        <v>11.0</v>
      </c>
      <c r="H20" s="5">
        <f>IF(ISNUMBER(F20),ROUND(F20*'Reference data'!$B$2,0),"Unknown")</f>
        <v>12.0</v>
      </c>
    </row>
    <row r="21" spans="1:13" ht="24" customHeight="1">
      <c r="A21" t="s">
        <v>112</v>
      </c>
      <c r="B21">
        <v>1</v>
      </c>
      <c r="C21" t="s">
        <v>103</v>
      </c>
    </row>
    <row r="22" spans="1:13" ht="24" customHeight="1">
      <c r="A22" t="s">
        <v>112</v>
      </c>
      <c r="B22">
        <v>1</v>
      </c>
      <c r="C22" t="s">
        <v>104</v>
      </c>
    </row>
    <row r="23" spans="1:13" s="4" customFormat="1" ht="24" customHeight="1">
      <c r="A23" s="4" t="s">
        <v>112</v>
      </c>
      <c r="B23" s="4">
        <v>1</v>
      </c>
      <c r="C23" s="4" t="s">
        <v>105</v>
      </c>
      <c r="D23" s="4">
        <v>194</v>
      </c>
    </row>
    <row r="24" spans="1:13" ht="24" customHeight="1">
      <c r="A24" t="s">
        <v>112</v>
      </c>
      <c r="B24">
        <v>1</v>
      </c>
      <c r="C24" t="s">
        <v>106</v>
      </c>
      <c r="D24" s="5">
        <v>63</v>
      </c>
      <c r="E24" s="2">
        <f>IF(AND(ISNUMBER(F24),ISNUMBER('Reference data'!$B$3)),F24*'Reference data'!$B$3,"Unknown")</f>
        <v>6.5951172e-05</v>
      </c>
      <c r="F24" s="2">
        <f>IF(D24=0,0,IF(ISNUMBER('Reference data'!F17),D24*'Reference data'!F17/1000000,"Unknown"))</f>
        <v>7.56e-05</v>
      </c>
      <c r="G24" s="5">
        <f>IF(ISNUMBER(E24),ROUND(E24*'Reference data'!$B$2,0),"Unknown")</f>
        <v>7.0</v>
      </c>
      <c r="H24" s="5">
        <f>IF(ISNUMBER(F24),ROUND(F24*'Reference data'!$B$2,0),"Unknown")</f>
        <v>8.0</v>
      </c>
    </row>
    <row r="25" spans="1:13" ht="24" customHeight="1">
      <c r="A25" t="s">
        <v>112</v>
      </c>
      <c r="B25">
        <v>1</v>
      </c>
      <c r="C25" t="s">
        <v>107</v>
      </c>
      <c r="D25" s="5">
        <v>131</v>
      </c>
      <c r="E25" s="2">
        <f>IF(AND(ISNUMBER(F25),ISNUMBER('Reference data'!$B$3)),F25*'Reference data'!$B$3,"Unknown")</f>
        <v>0.000137136564</v>
      </c>
      <c r="F25" s="2">
        <f>IF(D25=0,0,IF(ISNUMBER('Reference data'!E17),D25*'Reference data'!E17/1000000,"Unknown"))</f>
        <v>0.0001572</v>
      </c>
      <c r="G25" s="5">
        <f>IF(ISNUMBER(E25),ROUND(E25*'Reference data'!$B$2,0),"Unknown")</f>
        <v>14.0</v>
      </c>
      <c r="H25" s="5">
        <f>IF(ISNUMBER(F25),ROUND(F25*'Reference data'!$B$2,0),"Unknown")</f>
        <v>16.0</v>
      </c>
    </row>
    <row r="26" spans="1:13" ht="409" customHeight="1">
      <c r="A26" t="s">
        <v>112</v>
      </c>
      <c r="B26">
        <v>1</v>
      </c>
      <c r="C26" t="s">
        <v>108</v>
      </c>
      <c r="I26" s="6" t="s">
        <v>115</v>
      </c>
    </row>
    <row r="27" spans="1:13" ht="24" customHeight="1">
      <c r="A27" t="s">
        <v>112</v>
      </c>
      <c r="B27">
        <v>1</v>
      </c>
      <c r="C27" t="s">
        <v>103</v>
      </c>
    </row>
    <row r="28" spans="1:13" ht="24" customHeight="1">
      <c r="A28" t="s">
        <v>112</v>
      </c>
      <c r="B28">
        <v>1</v>
      </c>
      <c r="C28" t="s">
        <v>104</v>
      </c>
    </row>
    <row r="29" spans="1:13" s="4" customFormat="1" ht="24" customHeight="1">
      <c r="A29" s="4" t="s">
        <v>112</v>
      </c>
      <c r="B29" s="4">
        <v>1</v>
      </c>
      <c r="C29" s="4" t="s">
        <v>110</v>
      </c>
      <c r="E29" s="2">
        <f>IF(COUNT('Turns'!E19,'Turns'!E20,'Turns'!E24,'Turns'!E25)=4,SUM('Turns'!E19,'Turns'!E20,'Turns'!E24,'Turns'!E25),"Unknown")</f>
        <v>0.000311785038</v>
      </c>
      <c r="F29" s="2">
        <f>IF(COUNT('Turns'!F19,'Turns'!F20,'Turns'!F24,'Turns'!F25)=4,SUM('Turns'!F19,'Turns'!F20,'Turns'!F24,'Turns'!F25),"Unknown")</f>
        <v>0.0003574</v>
      </c>
      <c r="G29" s="5">
        <f>IF(ISNUMBER(E29),ROUND(E29*'Reference data'!$B$2,0),"Unknown")</f>
        <v>31.0</v>
      </c>
      <c r="H29" s="5">
        <f>IF(ISNUMBER(F29),ROUND(F29*'Reference data'!$B$2,0),"Unknown")</f>
        <v>36.0</v>
      </c>
      <c r="K29" s="4" t="s">
        <v>111</v>
      </c>
    </row>
  </sheetData>
  <conditionalFormatting sqref="A2:AE29">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20"/>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116</v>
      </c>
      <c r="B2" s="1">
        <v>0</v>
      </c>
      <c r="C2" s="1" t="s">
        <v>117</v>
      </c>
      <c r="D2" s="1" t="s">
        <v>47</v>
      </c>
      <c r="E2" s="1" t="s">
        <v>111</v>
      </c>
      <c r="G2" s="6" t="s">
        <v>118</v>
      </c>
      <c r="H2" t="s">
        <v>49</v>
      </c>
      <c r="J2" s="2">
        <f>IF(COUNT('Turns'!D5)=1,SUM('Turns'!D5),"Unknown")</f>
        <v>493.0</v>
      </c>
      <c r="K2" s="2">
        <f>IF(COUNT('Turns'!E5)=1,SUM('Turns'!E5),"Unknown")</f>
        <v>8.6015682e-05</v>
      </c>
      <c r="L2" s="2">
        <f>IF(COUNT('Turns'!F5)=1,SUM('Turns'!F5),"Unknown")</f>
        <v>9.86e-05</v>
      </c>
      <c r="M2" s="2">
        <v>0</v>
      </c>
      <c r="N2" s="2">
        <v>0</v>
      </c>
      <c r="O2" s="2">
        <v>0</v>
      </c>
      <c r="P2" s="2">
        <v>0</v>
      </c>
      <c r="Q2" s="2">
        <v>0</v>
      </c>
      <c r="R2" s="2">
        <v>0</v>
      </c>
      <c r="S2" s="2">
        <f>IF(COUNT('Turns'!D13)=1,SUM('Turns'!D13),"Unknown")</f>
        <v>127.0</v>
      </c>
      <c r="T2" s="2">
        <f>IF(COUNT('Turns'!E13)=1,SUM('Turns'!E13),"Unknown")</f>
        <v>0.000132949188</v>
      </c>
      <c r="U2" s="2">
        <f>IF(COUNT('Turns'!F13)=1,SUM('Turns'!F13),"Unknown")</f>
        <v>0.0001524</v>
      </c>
      <c r="V2" s="2">
        <f>IF(COUNT('Turns'!D12)=1,SUM('Turns'!D12),"Unknown")</f>
        <v>56.0</v>
      </c>
      <c r="W2" s="2">
        <f>IF(COUNT('Turns'!E12)=1,SUM('Turns'!E12),"Unknown")</f>
        <v>5.8623264e-05</v>
      </c>
      <c r="X2" s="2">
        <f>IF(COUNT('Turns'!F12)=1,SUM('Turns'!F12),"Unknown")</f>
        <v>6.72e-05</v>
      </c>
      <c r="Y2" s="2">
        <f>IF(COUNT('Turns'!E17)=1,SUM('Turns'!E17),"Unknown")</f>
        <v>0.000277588134</v>
      </c>
      <c r="Z2" s="2">
        <f>IF(COUNT('Turns'!F17)=1,SUM('Turns'!F17),"Unknown")</f>
        <v>0.0003182</v>
      </c>
      <c r="AA2" s="5">
        <f>IF(ISNUMBER(Y2),ROUND(Y2*'Reference data'!$B$2,0),"Unknown")</f>
        <v>28.0</v>
      </c>
      <c r="AB2" s="5">
        <f>IF(ISNUMBER(Z2),ROUND(Z2*'Reference data'!$B$2,0),"Unknown")</f>
        <v>32.0</v>
      </c>
      <c r="AD2" s="1">
        <v>3729.158</v>
      </c>
      <c r="AE2" s="1" t="s">
        <v>119</v>
      </c>
    </row>
    <row r="3" spans="1:31" ht="54" customHeight="1">
      <c r="A3" s="6" t="s">
        <v>120</v>
      </c>
      <c r="B3" s="1">
        <v>1</v>
      </c>
      <c r="C3" s="1" t="s">
        <v>117</v>
      </c>
      <c r="D3" s="1" t="s">
        <v>47</v>
      </c>
      <c r="E3" s="1" t="s">
        <v>111</v>
      </c>
      <c r="G3" s="6" t="s">
        <v>121</v>
      </c>
      <c r="H3" t="s">
        <v>122</v>
      </c>
      <c r="I3" t="s">
        <v>49</v>
      </c>
      <c r="AD3" s="1">
        <v>0.519</v>
      </c>
      <c r="AE3" s="1" t="s">
        <v>123</v>
      </c>
    </row>
    <row r="4" spans="1:31" ht="54" customHeight="1">
      <c r="A4" s="6" t="s">
        <v>124</v>
      </c>
      <c r="B4" s="1">
        <v>1</v>
      </c>
      <c r="C4" s="1" t="s">
        <v>117</v>
      </c>
      <c r="D4" s="1" t="s">
        <v>47</v>
      </c>
      <c r="E4" s="1" t="s">
        <v>111</v>
      </c>
      <c r="G4" s="6" t="s">
        <v>125</v>
      </c>
      <c r="H4" t="s">
        <v>126</v>
      </c>
      <c r="I4" t="s">
        <v>49</v>
      </c>
      <c r="J4" s="2">
        <f>IF(COUNT('Turns'!D5)=1,SUM('Turns'!D5),"Unknown")</f>
        <v>493.0</v>
      </c>
      <c r="K4" s="2">
        <f>IF(COUNT('Turns'!E5)=1,SUM('Turns'!E5),"Unknown")</f>
        <v>8.6015682e-05</v>
      </c>
      <c r="L4" s="2">
        <f>IF(COUNT('Turns'!F5)=1,SUM('Turns'!F5),"Unknown")</f>
        <v>9.86e-05</v>
      </c>
      <c r="M4" s="2">
        <v>0</v>
      </c>
      <c r="N4" s="2">
        <v>0</v>
      </c>
      <c r="O4" s="2">
        <v>0</v>
      </c>
      <c r="P4" s="2">
        <v>0</v>
      </c>
      <c r="Q4" s="2">
        <v>0</v>
      </c>
      <c r="R4" s="2">
        <v>0</v>
      </c>
      <c r="S4" s="2">
        <f>IF(COUNT('Turns'!D13)=1,SUM('Turns'!D13),"Unknown")</f>
        <v>127.0</v>
      </c>
      <c r="T4" s="2">
        <f>IF(COUNT('Turns'!E13)=1,SUM('Turns'!E13),"Unknown")</f>
        <v>0.000132949188</v>
      </c>
      <c r="U4" s="2">
        <f>IF(COUNT('Turns'!F13)=1,SUM('Turns'!F13),"Unknown")</f>
        <v>0.0001524</v>
      </c>
      <c r="V4" s="2">
        <f>IF(COUNT('Turns'!D12)=1,SUM('Turns'!D12),"Unknown")</f>
        <v>56.0</v>
      </c>
      <c r="W4" s="2">
        <f>IF(COUNT('Turns'!E12)=1,SUM('Turns'!E12),"Unknown")</f>
        <v>5.8623264e-05</v>
      </c>
      <c r="X4" s="2">
        <f>IF(COUNT('Turns'!F12)=1,SUM('Turns'!F12),"Unknown")</f>
        <v>6.72e-05</v>
      </c>
      <c r="Y4" s="2">
        <f>IF(COUNT('Turns'!E17)=1,SUM('Turns'!E17),"Unknown")</f>
        <v>0.000277588134</v>
      </c>
      <c r="Z4" s="2">
        <f>IF(COUNT('Turns'!F17)=1,SUM('Turns'!F17),"Unknown")</f>
        <v>0.0003182</v>
      </c>
      <c r="AA4" s="5">
        <f>IF(ISNUMBER(Y4),ROUND(Y4*'Reference data'!$B$2,0),"Unknown")</f>
        <v>28.0</v>
      </c>
      <c r="AB4" s="5">
        <f>IF(ISNUMBER(Z4),ROUND(Z4*'Reference data'!$B$2,0),"Unknown")</f>
        <v>32.0</v>
      </c>
      <c r="AD4" s="1">
        <v>3724.375</v>
      </c>
      <c r="AE4" s="1" t="s">
        <v>119</v>
      </c>
    </row>
    <row r="5" spans="1:31" ht="54" customHeight="1">
      <c r="A5" s="6" t="s">
        <v>127</v>
      </c>
      <c r="B5" s="1">
        <v>2</v>
      </c>
      <c r="C5" s="1" t="s">
        <v>117</v>
      </c>
      <c r="D5" s="1" t="s">
        <v>47</v>
      </c>
      <c r="E5" s="1" t="s">
        <v>111</v>
      </c>
      <c r="G5" s="6" t="s">
        <v>128</v>
      </c>
      <c r="H5" t="s">
        <v>129</v>
      </c>
      <c r="I5" t="s">
        <v>126</v>
      </c>
      <c r="J5" s="2">
        <f>IF(COUNT('Turns'!D5)=1,SUM('Turns'!D5),"Unknown")</f>
        <v>493.0</v>
      </c>
      <c r="K5" s="2">
        <f>IF(COUNT('Turns'!E5)=1,SUM('Turns'!E5),"Unknown")</f>
        <v>8.6015682e-05</v>
      </c>
      <c r="L5" s="2">
        <f>IF(COUNT('Turns'!F5)=1,SUM('Turns'!F5),"Unknown")</f>
        <v>9.86e-05</v>
      </c>
      <c r="M5" s="2">
        <v>0</v>
      </c>
      <c r="N5" s="2">
        <v>0</v>
      </c>
      <c r="O5" s="2">
        <v>0</v>
      </c>
      <c r="P5" s="2">
        <v>0</v>
      </c>
      <c r="Q5" s="2">
        <v>0</v>
      </c>
      <c r="R5" s="2">
        <v>0</v>
      </c>
      <c r="S5" s="2">
        <f>IF(COUNT('Turns'!D13)=1,SUM('Turns'!D13),"Unknown")</f>
        <v>127.0</v>
      </c>
      <c r="T5" s="2">
        <f>IF(COUNT('Turns'!E13)=1,SUM('Turns'!E13),"Unknown")</f>
        <v>0.000132949188</v>
      </c>
      <c r="U5" s="2">
        <f>IF(COUNT('Turns'!F13)=1,SUM('Turns'!F13),"Unknown")</f>
        <v>0.0001524</v>
      </c>
      <c r="V5" s="2">
        <f>IF(COUNT('Turns'!D12)=1,SUM('Turns'!D12),"Unknown")</f>
        <v>56.0</v>
      </c>
      <c r="W5" s="2">
        <f>IF(COUNT('Turns'!E12)=1,SUM('Turns'!E12),"Unknown")</f>
        <v>5.8623264e-05</v>
      </c>
      <c r="X5" s="2">
        <f>IF(COUNT('Turns'!F12)=1,SUM('Turns'!F12),"Unknown")</f>
        <v>6.72e-05</v>
      </c>
      <c r="Y5" s="2">
        <f>IF(COUNT('Turns'!E17)=1,SUM('Turns'!E17),"Unknown")</f>
        <v>0.000277588134</v>
      </c>
      <c r="Z5" s="2">
        <f>IF(COUNT('Turns'!F17)=1,SUM('Turns'!F17),"Unknown")</f>
        <v>0.0003182</v>
      </c>
      <c r="AA5" s="5">
        <f>IF(ISNUMBER(Y5),ROUND(Y5*'Reference data'!$B$2,0),"Unknown")</f>
        <v>28.0</v>
      </c>
      <c r="AB5" s="5">
        <f>IF(ISNUMBER(Z5),ROUND(Z5*'Reference data'!$B$2,0),"Unknown")</f>
        <v>32.0</v>
      </c>
      <c r="AD5" s="1">
        <v>3721.981</v>
      </c>
      <c r="AE5" s="1" t="s">
        <v>119</v>
      </c>
    </row>
    <row r="6" spans="1:31" ht="54" customHeight="1">
      <c r="A6" s="6" t="s">
        <v>130</v>
      </c>
      <c r="B6" s="1">
        <v>3</v>
      </c>
      <c r="C6" s="1" t="s">
        <v>117</v>
      </c>
      <c r="D6" s="1" t="s">
        <v>47</v>
      </c>
      <c r="E6" s="1" t="s">
        <v>111</v>
      </c>
      <c r="G6" s="6" t="s">
        <v>128</v>
      </c>
      <c r="H6" t="s">
        <v>131</v>
      </c>
      <c r="I6" t="s">
        <v>129</v>
      </c>
      <c r="J6" s="2">
        <f>IF(COUNT('Turns'!D5)=1,SUM('Turns'!D5),"Unknown")</f>
        <v>493.0</v>
      </c>
      <c r="K6" s="2">
        <f>IF(COUNT('Turns'!E5)=1,SUM('Turns'!E5),"Unknown")</f>
        <v>8.6015682e-05</v>
      </c>
      <c r="L6" s="2">
        <f>IF(COUNT('Turns'!F5)=1,SUM('Turns'!F5),"Unknown")</f>
        <v>9.86e-05</v>
      </c>
      <c r="M6" s="2">
        <v>0</v>
      </c>
      <c r="N6" s="2">
        <v>0</v>
      </c>
      <c r="O6" s="2">
        <v>0</v>
      </c>
      <c r="P6" s="2">
        <v>0</v>
      </c>
      <c r="Q6" s="2">
        <v>0</v>
      </c>
      <c r="R6" s="2">
        <v>0</v>
      </c>
      <c r="S6" s="2">
        <f>IF(COUNT('Turns'!D13)=1,SUM('Turns'!D13),"Unknown")</f>
        <v>127.0</v>
      </c>
      <c r="T6" s="2">
        <f>IF(COUNT('Turns'!E13)=1,SUM('Turns'!E13),"Unknown")</f>
        <v>0.000132949188</v>
      </c>
      <c r="U6" s="2">
        <f>IF(COUNT('Turns'!F13)=1,SUM('Turns'!F13),"Unknown")</f>
        <v>0.0001524</v>
      </c>
      <c r="V6" s="2">
        <f>IF(COUNT('Turns'!D12)=1,SUM('Turns'!D12),"Unknown")</f>
        <v>56.0</v>
      </c>
      <c r="W6" s="2">
        <f>IF(COUNT('Turns'!E12)=1,SUM('Turns'!E12),"Unknown")</f>
        <v>5.8623264e-05</v>
      </c>
      <c r="X6" s="2">
        <f>IF(COUNT('Turns'!F12)=1,SUM('Turns'!F12),"Unknown")</f>
        <v>6.72e-05</v>
      </c>
      <c r="Y6" s="2">
        <f>IF(COUNT('Turns'!E17)=1,SUM('Turns'!E17),"Unknown")</f>
        <v>0.000277588134</v>
      </c>
      <c r="Z6" s="2">
        <f>IF(COUNT('Turns'!F17)=1,SUM('Turns'!F17),"Unknown")</f>
        <v>0.0003182</v>
      </c>
      <c r="AA6" s="5">
        <f>IF(ISNUMBER(Y6),ROUND(Y6*'Reference data'!$B$2,0),"Unknown")</f>
        <v>28.0</v>
      </c>
      <c r="AB6" s="5">
        <f>IF(ISNUMBER(Z6),ROUND(Z6*'Reference data'!$B$2,0),"Unknown")</f>
        <v>32.0</v>
      </c>
      <c r="AD6" s="1">
        <v>3720.672</v>
      </c>
      <c r="AE6" s="1" t="s">
        <v>119</v>
      </c>
    </row>
    <row r="7" spans="1:31" ht="54" customHeight="1">
      <c r="A7" s="6" t="s">
        <v>132</v>
      </c>
      <c r="B7" s="1">
        <v>4</v>
      </c>
      <c r="C7" s="1" t="s">
        <v>117</v>
      </c>
      <c r="D7" s="1" t="s">
        <v>47</v>
      </c>
      <c r="E7" s="1" t="s">
        <v>111</v>
      </c>
      <c r="G7" s="6" t="s">
        <v>128</v>
      </c>
      <c r="H7" t="s">
        <v>133</v>
      </c>
      <c r="I7" t="s">
        <v>131</v>
      </c>
      <c r="J7" s="2">
        <f>IF(COUNT('Turns'!D5)=1,SUM('Turns'!D5),"Unknown")</f>
        <v>493.0</v>
      </c>
      <c r="K7" s="2">
        <f>IF(COUNT('Turns'!E5)=1,SUM('Turns'!E5),"Unknown")</f>
        <v>8.6015682e-05</v>
      </c>
      <c r="L7" s="2">
        <f>IF(COUNT('Turns'!F5)=1,SUM('Turns'!F5),"Unknown")</f>
        <v>9.86e-05</v>
      </c>
      <c r="M7" s="2">
        <v>0</v>
      </c>
      <c r="N7" s="2">
        <v>0</v>
      </c>
      <c r="O7" s="2">
        <v>0</v>
      </c>
      <c r="P7" s="2">
        <v>0</v>
      </c>
      <c r="Q7" s="2">
        <v>0</v>
      </c>
      <c r="R7" s="2">
        <v>0</v>
      </c>
      <c r="S7" s="2">
        <f>IF(COUNT('Turns'!D13)=1,SUM('Turns'!D13),"Unknown")</f>
        <v>127.0</v>
      </c>
      <c r="T7" s="2">
        <f>IF(COUNT('Turns'!E13)=1,SUM('Turns'!E13),"Unknown")</f>
        <v>0.000132949188</v>
      </c>
      <c r="U7" s="2">
        <f>IF(COUNT('Turns'!F13)=1,SUM('Turns'!F13),"Unknown")</f>
        <v>0.0001524</v>
      </c>
      <c r="V7" s="2">
        <f>IF(COUNT('Turns'!D12)=1,SUM('Turns'!D12),"Unknown")</f>
        <v>56.0</v>
      </c>
      <c r="W7" s="2">
        <f>IF(COUNT('Turns'!E12)=1,SUM('Turns'!E12),"Unknown")</f>
        <v>5.8623264e-05</v>
      </c>
      <c r="X7" s="2">
        <f>IF(COUNT('Turns'!F12)=1,SUM('Turns'!F12),"Unknown")</f>
        <v>6.72e-05</v>
      </c>
      <c r="Y7" s="2">
        <f>IF(COUNT('Turns'!E17)=1,SUM('Turns'!E17),"Unknown")</f>
        <v>0.000277588134</v>
      </c>
      <c r="Z7" s="2">
        <f>IF(COUNT('Turns'!F17)=1,SUM('Turns'!F17),"Unknown")</f>
        <v>0.0003182</v>
      </c>
      <c r="AA7" s="5">
        <f>IF(ISNUMBER(Y7),ROUND(Y7*'Reference data'!$B$2,0),"Unknown")</f>
        <v>28.0</v>
      </c>
      <c r="AB7" s="5">
        <f>IF(ISNUMBER(Z7),ROUND(Z7*'Reference data'!$B$2,0),"Unknown")</f>
        <v>32.0</v>
      </c>
      <c r="AD7" s="1">
        <v>3718.433</v>
      </c>
      <c r="AE7" s="1" t="s">
        <v>119</v>
      </c>
    </row>
    <row r="8" spans="1:31" ht="54" customHeight="1">
      <c r="A8" s="6" t="s">
        <v>134</v>
      </c>
      <c r="B8" s="1">
        <v>5</v>
      </c>
      <c r="C8" s="1" t="s">
        <v>135</v>
      </c>
      <c r="D8" s="1" t="s">
        <v>95</v>
      </c>
      <c r="E8" s="1" t="s">
        <v>111</v>
      </c>
      <c r="F8" s="1">
        <v>493</v>
      </c>
      <c r="G8" s="6" t="s">
        <v>128</v>
      </c>
      <c r="H8" t="s">
        <v>96</v>
      </c>
      <c r="I8" t="s">
        <v>133</v>
      </c>
      <c r="J8" s="2">
        <f>IF(COUNT('Turns'!D5)=1,SUM('Turns'!D5),"Unknown")</f>
        <v>493.0</v>
      </c>
      <c r="K8" s="2">
        <f>IF(COUNT('Turns'!E5)=1,SUM('Turns'!E5),"Unknown")</f>
        <v>8.6015682e-05</v>
      </c>
      <c r="L8" s="2">
        <f>IF(COUNT('Turns'!F5)=1,SUM('Turns'!F5),"Unknown")</f>
        <v>9.86e-05</v>
      </c>
      <c r="M8" s="2">
        <v>0</v>
      </c>
      <c r="N8" s="2">
        <v>0</v>
      </c>
      <c r="O8" s="2">
        <v>0</v>
      </c>
      <c r="P8" s="2">
        <v>0</v>
      </c>
      <c r="Q8" s="2">
        <v>0</v>
      </c>
      <c r="R8" s="2">
        <v>0</v>
      </c>
      <c r="S8" s="2">
        <f>IF(COUNT('Turns'!D13)=1,SUM('Turns'!D13),"Unknown")</f>
        <v>127.0</v>
      </c>
      <c r="T8" s="2">
        <f>IF(COUNT('Turns'!E13)=1,SUM('Turns'!E13),"Unknown")</f>
        <v>0.000132949188</v>
      </c>
      <c r="U8" s="2">
        <f>IF(COUNT('Turns'!F13)=1,SUM('Turns'!F13),"Unknown")</f>
        <v>0.0001524</v>
      </c>
      <c r="V8" s="2">
        <f>IF(COUNT('Turns'!D12)=1,SUM('Turns'!D12),"Unknown")</f>
        <v>56.0</v>
      </c>
      <c r="W8" s="2">
        <f>IF(COUNT('Turns'!E12)=1,SUM('Turns'!E12),"Unknown")</f>
        <v>5.8623264e-05</v>
      </c>
      <c r="X8" s="2">
        <f>IF(COUNT('Turns'!F12)=1,SUM('Turns'!F12),"Unknown")</f>
        <v>6.72e-05</v>
      </c>
      <c r="Y8" s="2">
        <f>IF(COUNT('Turns'!E17)=1,SUM('Turns'!E17),"Unknown")</f>
        <v>0.000277588134</v>
      </c>
      <c r="Z8" s="2">
        <f>IF(COUNT('Turns'!F17)=1,SUM('Turns'!F17),"Unknown")</f>
        <v>0.0003182</v>
      </c>
      <c r="AA8" s="5">
        <f>IF(ISNUMBER(Y8),ROUND(Y8*'Reference data'!$B$2,0),"Unknown")</f>
        <v>28.0</v>
      </c>
      <c r="AB8" s="5">
        <f>IF(ISNUMBER(Z8),ROUND(Z8*'Reference data'!$B$2,0),"Unknown")</f>
        <v>32.0</v>
      </c>
      <c r="AC8" s="1" t="s">
        <v>93</v>
      </c>
      <c r="AD8" s="1">
        <v>3716.362</v>
      </c>
      <c r="AE8" s="1" t="s">
        <v>136</v>
      </c>
    </row>
    <row r="9" spans="1:31" ht="54" customHeight="1">
      <c r="A9" s="6" t="s">
        <v>137</v>
      </c>
      <c r="B9" s="1">
        <v>2</v>
      </c>
      <c r="C9" s="1" t="s">
        <v>117</v>
      </c>
      <c r="D9" s="1" t="s">
        <v>47</v>
      </c>
      <c r="E9" s="1" t="s">
        <v>111</v>
      </c>
      <c r="G9" s="6" t="s">
        <v>138</v>
      </c>
      <c r="H9" t="s">
        <v>139</v>
      </c>
      <c r="I9" t="s">
        <v>126</v>
      </c>
      <c r="AD9" s="1">
        <v>0.337</v>
      </c>
      <c r="AE9" s="1" t="s">
        <v>123</v>
      </c>
    </row>
    <row r="10" spans="1:31" ht="54" customHeight="1">
      <c r="A10" s="6" t="s">
        <v>140</v>
      </c>
      <c r="B10" s="1">
        <v>1</v>
      </c>
      <c r="C10" s="1" t="s">
        <v>117</v>
      </c>
      <c r="D10" s="1" t="s">
        <v>47</v>
      </c>
      <c r="E10" s="1" t="s">
        <v>141</v>
      </c>
      <c r="G10" s="6" t="s">
        <v>142</v>
      </c>
      <c r="H10" t="s">
        <v>143</v>
      </c>
      <c r="I10" t="s">
        <v>49</v>
      </c>
      <c r="AD10" s="1">
        <v>0.405</v>
      </c>
      <c r="AE10" s="1" t="s">
        <v>123</v>
      </c>
    </row>
    <row r="11" spans="1:31" ht="54" customHeight="1">
      <c r="A11" s="6" t="s">
        <v>116</v>
      </c>
      <c r="B11" s="1">
        <v>0</v>
      </c>
      <c r="C11" s="1" t="s">
        <v>117</v>
      </c>
      <c r="D11" s="1" t="s">
        <v>47</v>
      </c>
      <c r="E11" s="1" t="s">
        <v>111</v>
      </c>
      <c r="G11" s="6" t="s">
        <v>118</v>
      </c>
      <c r="H11" t="s">
        <v>144</v>
      </c>
      <c r="J11" s="2">
        <f>IF(COUNT('Turns'!D20)=1,SUM('Turns'!D20),"Unknown")</f>
        <v>623.0</v>
      </c>
      <c r="K11" s="2">
        <f>IF(COUNT('Turns'!E20)=1,SUM('Turns'!E20),"Unknown")</f>
        <v>0.000108697302</v>
      </c>
      <c r="L11" s="2">
        <f>IF(COUNT('Turns'!F20)=1,SUM('Turns'!F20),"Unknown")</f>
        <v>0.0001246</v>
      </c>
      <c r="M11" s="2">
        <f>IF(COUNT('Turns'!D19)=1,SUM('Turns'!D19),"Unknown")</f>
        <v>0.0</v>
      </c>
      <c r="N11" s="2">
        <f>IF(COUNT('Turns'!E19)=1,SUM('Turns'!E19),"Unknown")</f>
        <v>0.0</v>
      </c>
      <c r="O11" s="2">
        <f>IF(COUNT('Turns'!F19)=1,SUM('Turns'!F19),"Unknown")</f>
        <v>0.0</v>
      </c>
      <c r="P11" s="2">
        <v>0</v>
      </c>
      <c r="Q11" s="2">
        <v>0</v>
      </c>
      <c r="R11" s="2">
        <v>0</v>
      </c>
      <c r="S11" s="2">
        <f>IF(COUNT('Turns'!D25)=1,SUM('Turns'!D25),"Unknown")</f>
        <v>131.0</v>
      </c>
      <c r="T11" s="2">
        <f>IF(COUNT('Turns'!E25)=1,SUM('Turns'!E25),"Unknown")</f>
        <v>0.000137136564</v>
      </c>
      <c r="U11" s="2">
        <f>IF(COUNT('Turns'!F25)=1,SUM('Turns'!F25),"Unknown")</f>
        <v>0.0001572</v>
      </c>
      <c r="V11" s="2">
        <f>IF(COUNT('Turns'!D24)=1,SUM('Turns'!D24),"Unknown")</f>
        <v>63.0</v>
      </c>
      <c r="W11" s="2">
        <f>IF(COUNT('Turns'!E24)=1,SUM('Turns'!E24),"Unknown")</f>
        <v>6.5951172e-05</v>
      </c>
      <c r="X11" s="2">
        <f>IF(COUNT('Turns'!F24)=1,SUM('Turns'!F24),"Unknown")</f>
        <v>7.56e-05</v>
      </c>
      <c r="Y11" s="2">
        <f>IF(COUNT('Turns'!E29)=1,SUM('Turns'!E29),"Unknown")</f>
        <v>0.000311785038</v>
      </c>
      <c r="Z11" s="2">
        <f>IF(COUNT('Turns'!F29)=1,SUM('Turns'!F29),"Unknown")</f>
        <v>0.0003574</v>
      </c>
      <c r="AA11" s="5">
        <f>IF(ISNUMBER(Y11),ROUND(Y11*'Reference data'!$B$2,0),"Unknown")</f>
        <v>31.0</v>
      </c>
      <c r="AB11" s="5">
        <f>IF(ISNUMBER(Z11),ROUND(Z11*'Reference data'!$B$2,0),"Unknown")</f>
        <v>36.0</v>
      </c>
      <c r="AD11" s="1">
        <v>4376.078</v>
      </c>
      <c r="AE11" s="1" t="s">
        <v>119</v>
      </c>
    </row>
    <row r="12" spans="1:31" ht="54" customHeight="1">
      <c r="A12" s="6" t="s">
        <v>140</v>
      </c>
      <c r="B12" s="1">
        <v>1</v>
      </c>
      <c r="C12" s="1" t="s">
        <v>117</v>
      </c>
      <c r="D12" s="1" t="s">
        <v>47</v>
      </c>
      <c r="E12" s="1" t="s">
        <v>111</v>
      </c>
      <c r="G12" s="6" t="s">
        <v>142</v>
      </c>
      <c r="H12" t="s">
        <v>145</v>
      </c>
      <c r="I12" t="s">
        <v>144</v>
      </c>
      <c r="AD12" s="1">
        <v>1.455</v>
      </c>
      <c r="AE12" s="1" t="s">
        <v>123</v>
      </c>
    </row>
    <row r="13" spans="1:31" ht="54" customHeight="1">
      <c r="A13" s="6" t="s">
        <v>146</v>
      </c>
      <c r="B13" s="1">
        <v>2</v>
      </c>
      <c r="C13" s="1" t="s">
        <v>117</v>
      </c>
      <c r="D13" s="1" t="s">
        <v>47</v>
      </c>
      <c r="E13" s="1" t="s">
        <v>111</v>
      </c>
      <c r="G13" s="6" t="s">
        <v>147</v>
      </c>
      <c r="H13" t="s">
        <v>148</v>
      </c>
      <c r="I13" t="s">
        <v>145</v>
      </c>
      <c r="AD13" s="1">
        <v>0.299</v>
      </c>
      <c r="AE13" s="1" t="s">
        <v>123</v>
      </c>
    </row>
    <row r="14" spans="1:31" ht="54" customHeight="1">
      <c r="A14" s="6" t="s">
        <v>124</v>
      </c>
      <c r="B14" s="1">
        <v>1</v>
      </c>
      <c r="C14" s="1" t="s">
        <v>117</v>
      </c>
      <c r="D14" s="1" t="s">
        <v>47</v>
      </c>
      <c r="E14" s="1" t="s">
        <v>111</v>
      </c>
      <c r="G14" s="6" t="s">
        <v>125</v>
      </c>
      <c r="H14" t="s">
        <v>149</v>
      </c>
      <c r="I14" t="s">
        <v>144</v>
      </c>
      <c r="J14" s="2">
        <f>IF(COUNT('Turns'!D20)=1,SUM('Turns'!D20),"Unknown")</f>
        <v>623.0</v>
      </c>
      <c r="K14" s="2">
        <f>IF(COUNT('Turns'!E20)=1,SUM('Turns'!E20),"Unknown")</f>
        <v>0.000108697302</v>
      </c>
      <c r="L14" s="2">
        <f>IF(COUNT('Turns'!F20)=1,SUM('Turns'!F20),"Unknown")</f>
        <v>0.0001246</v>
      </c>
      <c r="M14" s="2">
        <f>IF(COUNT('Turns'!D19)=1,SUM('Turns'!D19),"Unknown")</f>
        <v>0.0</v>
      </c>
      <c r="N14" s="2">
        <f>IF(COUNT('Turns'!E19)=1,SUM('Turns'!E19),"Unknown")</f>
        <v>0.0</v>
      </c>
      <c r="O14" s="2">
        <f>IF(COUNT('Turns'!F19)=1,SUM('Turns'!F19),"Unknown")</f>
        <v>0.0</v>
      </c>
      <c r="P14" s="2">
        <v>0</v>
      </c>
      <c r="Q14" s="2">
        <v>0</v>
      </c>
      <c r="R14" s="2">
        <v>0</v>
      </c>
      <c r="S14" s="2">
        <f>IF(COUNT('Turns'!D25)=1,SUM('Turns'!D25),"Unknown")</f>
        <v>131.0</v>
      </c>
      <c r="T14" s="2">
        <f>IF(COUNT('Turns'!E25)=1,SUM('Turns'!E25),"Unknown")</f>
        <v>0.000137136564</v>
      </c>
      <c r="U14" s="2">
        <f>IF(COUNT('Turns'!F25)=1,SUM('Turns'!F25),"Unknown")</f>
        <v>0.0001572</v>
      </c>
      <c r="V14" s="2">
        <f>IF(COUNT('Turns'!D24)=1,SUM('Turns'!D24),"Unknown")</f>
        <v>63.0</v>
      </c>
      <c r="W14" s="2">
        <f>IF(COUNT('Turns'!E24)=1,SUM('Turns'!E24),"Unknown")</f>
        <v>6.5951172e-05</v>
      </c>
      <c r="X14" s="2">
        <f>IF(COUNT('Turns'!F24)=1,SUM('Turns'!F24),"Unknown")</f>
        <v>7.56e-05</v>
      </c>
      <c r="Y14" s="2">
        <f>IF(COUNT('Turns'!E29)=1,SUM('Turns'!E29),"Unknown")</f>
        <v>0.000311785038</v>
      </c>
      <c r="Z14" s="2">
        <f>IF(COUNT('Turns'!F29)=1,SUM('Turns'!F29),"Unknown")</f>
        <v>0.0003574</v>
      </c>
      <c r="AA14" s="5">
        <f>IF(ISNUMBER(Y14),ROUND(Y14*'Reference data'!$B$2,0),"Unknown")</f>
        <v>31.0</v>
      </c>
      <c r="AB14" s="5">
        <f>IF(ISNUMBER(Z14),ROUND(Z14*'Reference data'!$B$2,0),"Unknown")</f>
        <v>36.0</v>
      </c>
      <c r="AD14" s="1">
        <v>4370.533</v>
      </c>
      <c r="AE14" s="1" t="s">
        <v>119</v>
      </c>
    </row>
    <row r="15" spans="1:31" ht="54" customHeight="1">
      <c r="A15" s="6" t="s">
        <v>127</v>
      </c>
      <c r="B15" s="1">
        <v>2</v>
      </c>
      <c r="C15" s="1" t="s">
        <v>117</v>
      </c>
      <c r="D15" s="1" t="s">
        <v>47</v>
      </c>
      <c r="E15" s="1" t="s">
        <v>111</v>
      </c>
      <c r="G15" s="6" t="s">
        <v>128</v>
      </c>
      <c r="H15" t="s">
        <v>150</v>
      </c>
      <c r="I15" t="s">
        <v>149</v>
      </c>
      <c r="J15" s="2">
        <f>IF(COUNT('Turns'!D20)=1,SUM('Turns'!D20),"Unknown")</f>
        <v>623.0</v>
      </c>
      <c r="K15" s="2">
        <f>IF(COUNT('Turns'!E20)=1,SUM('Turns'!E20),"Unknown")</f>
        <v>0.000108697302</v>
      </c>
      <c r="L15" s="2">
        <f>IF(COUNT('Turns'!F20)=1,SUM('Turns'!F20),"Unknown")</f>
        <v>0.0001246</v>
      </c>
      <c r="M15" s="2">
        <f>IF(COUNT('Turns'!D19)=1,SUM('Turns'!D19),"Unknown")</f>
        <v>0.0</v>
      </c>
      <c r="N15" s="2">
        <f>IF(COUNT('Turns'!E19)=1,SUM('Turns'!E19),"Unknown")</f>
        <v>0.0</v>
      </c>
      <c r="O15" s="2">
        <f>IF(COUNT('Turns'!F19)=1,SUM('Turns'!F19),"Unknown")</f>
        <v>0.0</v>
      </c>
      <c r="P15" s="2">
        <v>0</v>
      </c>
      <c r="Q15" s="2">
        <v>0</v>
      </c>
      <c r="R15" s="2">
        <v>0</v>
      </c>
      <c r="S15" s="2">
        <f>IF(COUNT('Turns'!D25)=1,SUM('Turns'!D25),"Unknown")</f>
        <v>131.0</v>
      </c>
      <c r="T15" s="2">
        <f>IF(COUNT('Turns'!E25)=1,SUM('Turns'!E25),"Unknown")</f>
        <v>0.000137136564</v>
      </c>
      <c r="U15" s="2">
        <f>IF(COUNT('Turns'!F25)=1,SUM('Turns'!F25),"Unknown")</f>
        <v>0.0001572</v>
      </c>
      <c r="V15" s="2">
        <f>IF(COUNT('Turns'!D24)=1,SUM('Turns'!D24),"Unknown")</f>
        <v>63.0</v>
      </c>
      <c r="W15" s="2">
        <f>IF(COUNT('Turns'!E24)=1,SUM('Turns'!E24),"Unknown")</f>
        <v>6.5951172e-05</v>
      </c>
      <c r="X15" s="2">
        <f>IF(COUNT('Turns'!F24)=1,SUM('Turns'!F24),"Unknown")</f>
        <v>7.56e-05</v>
      </c>
      <c r="Y15" s="2">
        <f>IF(COUNT('Turns'!E29)=1,SUM('Turns'!E29),"Unknown")</f>
        <v>0.000311785038</v>
      </c>
      <c r="Z15" s="2">
        <f>IF(COUNT('Turns'!F29)=1,SUM('Turns'!F29),"Unknown")</f>
        <v>0.0003574</v>
      </c>
      <c r="AA15" s="5">
        <f>IF(ISNUMBER(Y15),ROUND(Y15*'Reference data'!$B$2,0),"Unknown")</f>
        <v>31.0</v>
      </c>
      <c r="AB15" s="5">
        <f>IF(ISNUMBER(Z15),ROUND(Z15*'Reference data'!$B$2,0),"Unknown")</f>
        <v>36.0</v>
      </c>
      <c r="AD15" s="1">
        <v>4369.011</v>
      </c>
      <c r="AE15" s="1" t="s">
        <v>119</v>
      </c>
    </row>
    <row r="16" spans="1:31" ht="54" customHeight="1">
      <c r="A16" s="6" t="s">
        <v>130</v>
      </c>
      <c r="B16" s="1">
        <v>3</v>
      </c>
      <c r="C16" s="1" t="s">
        <v>117</v>
      </c>
      <c r="D16" s="1" t="s">
        <v>47</v>
      </c>
      <c r="E16" s="1" t="s">
        <v>111</v>
      </c>
      <c r="G16" s="6" t="s">
        <v>128</v>
      </c>
      <c r="H16" t="s">
        <v>151</v>
      </c>
      <c r="I16" t="s">
        <v>150</v>
      </c>
      <c r="J16" s="2">
        <f>IF(COUNT('Turns'!D20)=1,SUM('Turns'!D20),"Unknown")</f>
        <v>623.0</v>
      </c>
      <c r="K16" s="2">
        <f>IF(COUNT('Turns'!E20)=1,SUM('Turns'!E20),"Unknown")</f>
        <v>0.000108697302</v>
      </c>
      <c r="L16" s="2">
        <f>IF(COUNT('Turns'!F20)=1,SUM('Turns'!F20),"Unknown")</f>
        <v>0.0001246</v>
      </c>
      <c r="M16" s="2">
        <f>IF(COUNT('Turns'!D19)=1,SUM('Turns'!D19),"Unknown")</f>
        <v>0.0</v>
      </c>
      <c r="N16" s="2">
        <f>IF(COUNT('Turns'!E19)=1,SUM('Turns'!E19),"Unknown")</f>
        <v>0.0</v>
      </c>
      <c r="O16" s="2">
        <f>IF(COUNT('Turns'!F19)=1,SUM('Turns'!F19),"Unknown")</f>
        <v>0.0</v>
      </c>
      <c r="P16" s="2">
        <v>0</v>
      </c>
      <c r="Q16" s="2">
        <v>0</v>
      </c>
      <c r="R16" s="2">
        <v>0</v>
      </c>
      <c r="S16" s="2">
        <f>IF(COUNT('Turns'!D25)=1,SUM('Turns'!D25),"Unknown")</f>
        <v>131.0</v>
      </c>
      <c r="T16" s="2">
        <f>IF(COUNT('Turns'!E25)=1,SUM('Turns'!E25),"Unknown")</f>
        <v>0.000137136564</v>
      </c>
      <c r="U16" s="2">
        <f>IF(COUNT('Turns'!F25)=1,SUM('Turns'!F25),"Unknown")</f>
        <v>0.0001572</v>
      </c>
      <c r="V16" s="2">
        <f>IF(COUNT('Turns'!D24)=1,SUM('Turns'!D24),"Unknown")</f>
        <v>63.0</v>
      </c>
      <c r="W16" s="2">
        <f>IF(COUNT('Turns'!E24)=1,SUM('Turns'!E24),"Unknown")</f>
        <v>6.5951172e-05</v>
      </c>
      <c r="X16" s="2">
        <f>IF(COUNT('Turns'!F24)=1,SUM('Turns'!F24),"Unknown")</f>
        <v>7.56e-05</v>
      </c>
      <c r="Y16" s="2">
        <f>IF(COUNT('Turns'!E29)=1,SUM('Turns'!E29),"Unknown")</f>
        <v>0.000311785038</v>
      </c>
      <c r="Z16" s="2">
        <f>IF(COUNT('Turns'!F29)=1,SUM('Turns'!F29),"Unknown")</f>
        <v>0.0003574</v>
      </c>
      <c r="AA16" s="5">
        <f>IF(ISNUMBER(Y16),ROUND(Y16*'Reference data'!$B$2,0),"Unknown")</f>
        <v>31.0</v>
      </c>
      <c r="AB16" s="5">
        <f>IF(ISNUMBER(Z16),ROUND(Z16*'Reference data'!$B$2,0),"Unknown")</f>
        <v>36.0</v>
      </c>
      <c r="AD16" s="1">
        <v>4367.631</v>
      </c>
      <c r="AE16" s="1" t="s">
        <v>119</v>
      </c>
    </row>
    <row r="17" spans="1:31" ht="54" customHeight="1">
      <c r="A17" s="6" t="s">
        <v>132</v>
      </c>
      <c r="B17" s="1">
        <v>4</v>
      </c>
      <c r="C17" s="1" t="s">
        <v>117</v>
      </c>
      <c r="D17" s="1" t="s">
        <v>47</v>
      </c>
      <c r="E17" s="1" t="s">
        <v>111</v>
      </c>
      <c r="G17" s="6" t="s">
        <v>128</v>
      </c>
      <c r="H17" t="s">
        <v>152</v>
      </c>
      <c r="I17" t="s">
        <v>151</v>
      </c>
      <c r="J17" s="2">
        <f>IF(COUNT('Turns'!D20)=1,SUM('Turns'!D20),"Unknown")</f>
        <v>623.0</v>
      </c>
      <c r="K17" s="2">
        <f>IF(COUNT('Turns'!E20)=1,SUM('Turns'!E20),"Unknown")</f>
        <v>0.000108697302</v>
      </c>
      <c r="L17" s="2">
        <f>IF(COUNT('Turns'!F20)=1,SUM('Turns'!F20),"Unknown")</f>
        <v>0.0001246</v>
      </c>
      <c r="M17" s="2">
        <f>IF(COUNT('Turns'!D19)=1,SUM('Turns'!D19),"Unknown")</f>
        <v>0.0</v>
      </c>
      <c r="N17" s="2">
        <f>IF(COUNT('Turns'!E19)=1,SUM('Turns'!E19),"Unknown")</f>
        <v>0.0</v>
      </c>
      <c r="O17" s="2">
        <f>IF(COUNT('Turns'!F19)=1,SUM('Turns'!F19),"Unknown")</f>
        <v>0.0</v>
      </c>
      <c r="P17" s="2">
        <v>0</v>
      </c>
      <c r="Q17" s="2">
        <v>0</v>
      </c>
      <c r="R17" s="2">
        <v>0</v>
      </c>
      <c r="S17" s="2">
        <f>IF(COUNT('Turns'!D25)=1,SUM('Turns'!D25),"Unknown")</f>
        <v>131.0</v>
      </c>
      <c r="T17" s="2">
        <f>IF(COUNT('Turns'!E25)=1,SUM('Turns'!E25),"Unknown")</f>
        <v>0.000137136564</v>
      </c>
      <c r="U17" s="2">
        <f>IF(COUNT('Turns'!F25)=1,SUM('Turns'!F25),"Unknown")</f>
        <v>0.0001572</v>
      </c>
      <c r="V17" s="2">
        <f>IF(COUNT('Turns'!D24)=1,SUM('Turns'!D24),"Unknown")</f>
        <v>63.0</v>
      </c>
      <c r="W17" s="2">
        <f>IF(COUNT('Turns'!E24)=1,SUM('Turns'!E24),"Unknown")</f>
        <v>6.5951172e-05</v>
      </c>
      <c r="X17" s="2">
        <f>IF(COUNT('Turns'!F24)=1,SUM('Turns'!F24),"Unknown")</f>
        <v>7.56e-05</v>
      </c>
      <c r="Y17" s="2">
        <f>IF(COUNT('Turns'!E29)=1,SUM('Turns'!E29),"Unknown")</f>
        <v>0.000311785038</v>
      </c>
      <c r="Z17" s="2">
        <f>IF(COUNT('Turns'!F29)=1,SUM('Turns'!F29),"Unknown")</f>
        <v>0.0003574</v>
      </c>
      <c r="AA17" s="5">
        <f>IF(ISNUMBER(Y17),ROUND(Y17*'Reference data'!$B$2,0),"Unknown")</f>
        <v>31.0</v>
      </c>
      <c r="AB17" s="5">
        <f>IF(ISNUMBER(Z17),ROUND(Z17*'Reference data'!$B$2,0),"Unknown")</f>
        <v>36.0</v>
      </c>
      <c r="AD17" s="1">
        <v>4365.756</v>
      </c>
      <c r="AE17" s="1" t="s">
        <v>119</v>
      </c>
    </row>
    <row r="18" spans="1:31" ht="54" customHeight="1">
      <c r="A18" s="6" t="s">
        <v>134</v>
      </c>
      <c r="B18" s="1">
        <v>5</v>
      </c>
      <c r="C18" s="1" t="s">
        <v>135</v>
      </c>
      <c r="D18" s="1" t="s">
        <v>95</v>
      </c>
      <c r="E18" s="1" t="s">
        <v>111</v>
      </c>
      <c r="F18" s="1">
        <v>623</v>
      </c>
      <c r="G18" s="6" t="s">
        <v>128</v>
      </c>
      <c r="H18" t="s">
        <v>113</v>
      </c>
      <c r="I18" t="s">
        <v>152</v>
      </c>
      <c r="J18" s="2">
        <f>IF(COUNT('Turns'!D20)=1,SUM('Turns'!D20),"Unknown")</f>
        <v>623.0</v>
      </c>
      <c r="K18" s="2">
        <f>IF(COUNT('Turns'!E20)=1,SUM('Turns'!E20),"Unknown")</f>
        <v>0.000108697302</v>
      </c>
      <c r="L18" s="2">
        <f>IF(COUNT('Turns'!F20)=1,SUM('Turns'!F20),"Unknown")</f>
        <v>0.0001246</v>
      </c>
      <c r="M18" s="2">
        <f>IF(COUNT('Turns'!D19)=1,SUM('Turns'!D19),"Unknown")</f>
        <v>0.0</v>
      </c>
      <c r="N18" s="2">
        <f>IF(COUNT('Turns'!E19)=1,SUM('Turns'!E19),"Unknown")</f>
        <v>0.0</v>
      </c>
      <c r="O18" s="2">
        <f>IF(COUNT('Turns'!F19)=1,SUM('Turns'!F19),"Unknown")</f>
        <v>0.0</v>
      </c>
      <c r="P18" s="2">
        <v>0</v>
      </c>
      <c r="Q18" s="2">
        <v>0</v>
      </c>
      <c r="R18" s="2">
        <v>0</v>
      </c>
      <c r="S18" s="2">
        <f>IF(COUNT('Turns'!D25)=1,SUM('Turns'!D25),"Unknown")</f>
        <v>131.0</v>
      </c>
      <c r="T18" s="2">
        <f>IF(COUNT('Turns'!E25)=1,SUM('Turns'!E25),"Unknown")</f>
        <v>0.000137136564</v>
      </c>
      <c r="U18" s="2">
        <f>IF(COUNT('Turns'!F25)=1,SUM('Turns'!F25),"Unknown")</f>
        <v>0.0001572</v>
      </c>
      <c r="V18" s="2">
        <f>IF(COUNT('Turns'!D24)=1,SUM('Turns'!D24),"Unknown")</f>
        <v>63.0</v>
      </c>
      <c r="W18" s="2">
        <f>IF(COUNT('Turns'!E24)=1,SUM('Turns'!E24),"Unknown")</f>
        <v>6.5951172e-05</v>
      </c>
      <c r="X18" s="2">
        <f>IF(COUNT('Turns'!F24)=1,SUM('Turns'!F24),"Unknown")</f>
        <v>7.56e-05</v>
      </c>
      <c r="Y18" s="2">
        <f>IF(COUNT('Turns'!E29)=1,SUM('Turns'!E29),"Unknown")</f>
        <v>0.000311785038</v>
      </c>
      <c r="Z18" s="2">
        <f>IF(COUNT('Turns'!F29)=1,SUM('Turns'!F29),"Unknown")</f>
        <v>0.0003574</v>
      </c>
      <c r="AA18" s="5">
        <f>IF(ISNUMBER(Y18),ROUND(Y18*'Reference data'!$B$2,0),"Unknown")</f>
        <v>31.0</v>
      </c>
      <c r="AB18" s="5">
        <f>IF(ISNUMBER(Z18),ROUND(Z18*'Reference data'!$B$2,0),"Unknown")</f>
        <v>36.0</v>
      </c>
      <c r="AC18" s="1" t="s">
        <v>112</v>
      </c>
      <c r="AD18" s="1">
        <v>4362.213</v>
      </c>
      <c r="AE18" s="1" t="s">
        <v>136</v>
      </c>
    </row>
    <row r="19" spans="1:31" ht="54" customHeight="1">
      <c r="A19" s="6" t="s">
        <v>137</v>
      </c>
      <c r="B19" s="1">
        <v>2</v>
      </c>
      <c r="C19" s="1" t="s">
        <v>117</v>
      </c>
      <c r="D19" s="1" t="s">
        <v>47</v>
      </c>
      <c r="E19" s="1" t="s">
        <v>111</v>
      </c>
      <c r="G19" s="6" t="s">
        <v>138</v>
      </c>
      <c r="H19" t="s">
        <v>153</v>
      </c>
      <c r="I19" t="s">
        <v>149</v>
      </c>
      <c r="AD19" s="1">
        <v>0.348</v>
      </c>
      <c r="AE19" s="1" t="s">
        <v>123</v>
      </c>
    </row>
    <row r="20" spans="1:31" ht="54" customHeight="1">
      <c r="A20" s="6" t="s">
        <v>154</v>
      </c>
      <c r="B20" s="1">
        <v>1</v>
      </c>
      <c r="C20" s="1" t="s">
        <v>117</v>
      </c>
      <c r="D20" s="1" t="s">
        <v>47</v>
      </c>
      <c r="E20" s="1" t="s">
        <v>111</v>
      </c>
      <c r="G20" s="6" t="s">
        <v>155</v>
      </c>
      <c r="H20" t="s">
        <v>156</v>
      </c>
      <c r="I20" t="s">
        <v>144</v>
      </c>
      <c r="AD20" s="1">
        <v>0.5570000000000001</v>
      </c>
      <c r="AE20" s="1" t="s">
        <v>123</v>
      </c>
    </row>
  </sheetData>
  <conditionalFormatting sqref="A2:AE20">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2026-09-23T06:09:25Z</dcterms:created>
  <dcterms:modified xsi:type="dcterms:W3CDTF">2026-09-23T06:09:25Z</dcterms:modified>
</cp:coreProperties>
</file>
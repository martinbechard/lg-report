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<sst xmlns="http://schemas.openxmlformats.org/spreadsheetml/2006/main" count="335" uniqueCount="157">
  <si>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</si>
  <si>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</si>
  <si>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</si>
  <si>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</si>
  <si>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</si>
  <si>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</si>
  <si>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</si>
  <si>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</si>
  <si>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</si>
  <si>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</si>
  <si>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</si>
  <si>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</si>
  <si>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</si>
  <si>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</si>
  <si>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</si>
  <si>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</si>
  <si>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</si>
  <si>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</si>
  <si>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</si>
  <si>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</si>
  <si>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</si>
  <si>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</si>
  <si>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</si>
  <si>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</si>
  <si>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</si>
  <si>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</si>
  <si>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</si>
  <si>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</si>
  <si>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</si>
  <si>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</si>
  <si>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</si>
  <si>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</si>
  <si>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</si>
  <si>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</si>
  <si>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</si>
  <si>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</si>
  <si>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</si>
  <si>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</si>
  <si>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</si>
  <si>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</si>
  <si>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</si>
  <si>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</si>
  <si>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</si>
  <si>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</si>
  <si>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</si>
  <si>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</si>
  <si>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</si>
  <si>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</si>
  <si>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</si>
  <si>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01a0d586-29a9-7c20-a6bd-7c96a4fb8a80</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</si>
  <si>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</si>
  <si>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</si>
  <si>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</si>
  <si>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</si>
  <si>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</si>
  <si>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</si>
  <si>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</si>
  <si>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</si>
  <si>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</si>
  <si>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</si>
  <si>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</si>
  <si>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</si>
  <si>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</si>
  <si>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</si>
  <si>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</si>
  <si>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</si>
  <si>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</si>
  <si>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</si>
  <si>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</si>
  <si>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</si>
  <si>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</si>
  <si>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</si>
  <si>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</si>
  <si>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</si>
  <si>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</si>
  <si>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</si>
  <si>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</si>
  <si>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</si>
  <si>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</si>
  <si>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</si>
  <si>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</si>
  <si>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</si>
  <si>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</si>
  <si>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</si>
  <si>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</si>
  <si>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</si>
  <si>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</si>
  <si>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</si>
  <si>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</si>
  <si>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</si>
  <si>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</si>
  <si>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</si>
  <si>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</si>
  <si>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</si>
  <si>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</si>
  <si>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</si>
  <si>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01a0d586-29b1-7463-a700-fe4f009e7f59</t>
  </si>
  <si>
    <t>Input at standard rate</t>
  </si>
  <si>
    <t xml:space="preserve">    Tool definitions</t>
  </si>
  <si>
    <t xml:space="preserve">    System prompt</t>
  </si>
  <si>
    <t xml:space="preserve">You help a human prepare a quote request. Read the entire request
and clarification conversation. Decide whether its meaning is clear enough to
prepare an accurate request. Notice conflicting requirements, implausible scope,
ambiguous units, and assumptions that would materially change the quote. Ask the
human a focused question in your own words when their judgment or information is
needed. Check for multiple independent issues across the whole request, not just
the first inconsistency. Keep all unresolved issues in view after every answer.
You may group closely related questions; do not complete while a material issue
remains unresolved. Explain the concrete uncertainty. This is a conversation, not a required
field checklist. Do not silently repair contradictions or invent requirements,
prices, feasibility guarantees, or human answers. Reconsider the request after
every answer; an unclear answer may need another question. Complete without a
question when the request is already coherent. Completion summarizes the agreed
scope and any explicitly accepted uncertainty; it does not send a quote or
promise supplier acceptance. Return exactly one QuoteDecision tool call.
</t>
  </si>
  <si>
    <t xml:space="preserve">    User prompt</t>
  </si>
  <si>
    <t>{"initial_request": {"name": "Alex", "email": "alex@example.com", "service": "Print 500 individually addressed invitations. Use the exact same text on every copy; no variable printing.", "quantity": 500, "recipients": "650 guests, each must receive their own invitation.", "delivery": "One batch to our office; we will mail them ourselves."}, "conversation": []}</t>
  </si>
  <si>
    <t>Cache write</t>
  </si>
  <si>
    <t>Context · added / total</t>
  </si>
  <si>
    <t>LLM response</t>
  </si>
  <si>
    <t>Reasoning</t>
  </si>
  <si>
    <t>Output</t>
  </si>
  <si>
    <t xml:space="preserve">    Output content</t>
  </si>
  <si>
    <t>[{"id": "rs_0795837696be5b5c006ab5a35f689887d2b3d3061601afff98", "summary": [], "type": "reasoning", "content": [], "index": 0, "encrypted_content": "gAAAAABqtaNgNdwz4f5TbCIRlK_E2zLD-kTbjeArpX34VE7wzTwg4tIEMEhn62MAK5SoP_twyxBWDFJ2WRZTQhJQCFt8jbiSYwGPkUqFVICY2Iwf7aXxlqmQc1i9cBxJXqoC0e66iM68czIVjdeCzK7Nzx2QW9L6mmOuT2bgDAfRws4EywQs_BuZhnWe0pmbi7deze3WGw1mHeDB1jPt0_Ph_OhgXv8YrbBgC_CJb88bB3nwc0JUh_xSmnyh7zi3Hu3wVws43viYkWkHqdLUETvV1zGVeqS1Fzw-L4Wpvb23oN1O_VI0pqqvAO8MpH-jfqfSKyfa0LCxZx0ixpJ_nv8ys5hRa9EcPXG1WeRaA-1aJbSqAxrDoZ8GzzGmxV1J2tunYKuJaSVITf236XBoudNFkBR7T9M_Md-AyX-3lljWS9U0vpB0MtPnZvbdmE2cEDIpR0UqaVS2OCAZbmvQ_3YcYDJR3BcOT7Eynoqr1EbqSm8jfmLU3lcZxrHQfmD1vX_YDHK-bSGjP9ZBf9rS7hB0r_blZp7LlYXFo03GOcWAzSzH-hjC9wfU9vql6-Lr1Ql6gzgO9Lbnk4mXiksZGgCOM4F0h4992P-v8eZh2ze0X1DSV9FQJBhZf6WlFeS-hn5s6sOk1cB_Sz72uu38Y1lm3pa8n9TfpDlfCMNU7bkyQpdAupB04iP2RTI3yWN5ZsC-CW0ALgkQfcXiwlccVdHuAA7hSPnBMYnxBPl1xUWp9WzBDEiZ9f5v0TaWWwhBAlZgVdC-VznsFbZC7V8kZOMKI1lLhDwWI2rZq0g-VOcjwIRgOh55RAGrQskH8j4haJkvaifN4R9oMSKIz05Cs9vgk79-Wck8vFSTKP3WIeJuRPz1y8yzi87B1CIse4P_-zYNibdwhQkjyDDmIkztoc1pH09rp3Hnhn6z07n4hHya_ahYfiphKCv4RePqk8ktuwpE7DUBdBEDLNZD7XT0FdACC2mgonr0ajA-V4MZkSIwMv1r6ZxWgSiIdOOyIyNZklkHgQzhplmlH1-_1D_SZQDIXE5N-k0EvoQokLvo6GhFfQA-AZVMXhpvHDPb7cYH_riMlwabBRORCWc92zOyVtm1Ftb79vil2RCkWnV78grVfrykEpoMk3NIRScNkX2pPxC_HQJTgXTTvf0iQ5APN_rECqMELAKp8glRWnPSI5bGTchNGxCz55L6Dbzp0UhBJwNSCddQQmjR10VMm1ilWkiXLj6d4D7d_FOcXVdyMxALDIaqgOgIV4M1E82ziL37ldy-iFxeQ0xE8gp2Hj2_VayqW2K0Ups2LHv9oDe7q6gRD63OcjJB2rARjRgYi3Pi0ISh6QLUaLmaib-clRSX17b5mcAdIOAUEXnhseX0W386i4vV7hsO7yVEH6tcQwcShloVE80LwSGnXOhLalCWEkjqDnK_JXmcYhGh2nT_QqDrZ2nr2yooYyxST3qK9jqn0LzZnIaIFKF5RR-Ue2iJS7hmsAodtS2s1A3VOCJCOKBrBZIcjPyIDUNbUjhU-V8YboaEcNhuMiBRCiWwyu-Kw2iWMhP4BUc3ZMz43PnRCUfYzv2N8xIdSsECYOeOEhcRxvsLbGSR2J1jTMFD4_Cff3CRgyXuMIjAMYouCyfZKvilyoQucPDcYj-b_2tjHnX2QuSoHK-nAgie5LjOmk6S86HOAgXwIClO5HkaNvNEYO7rqsPxu823vcXzq5Wb0YinUlfLJvjqIKKihjaVyVkk4MJnVyEzv81TiHTBlzFW9SwstYdcGecXCgnKMQfM-Y2T5vDfZc0A9bkUjYr__OKNutGZGNfLo5gU8A=="}, {"type": "function_call", "name": "QuoteDecision", "arguments": "{\"action\":\"ask\",\"reason\":\"The request has two material conflicts: 500 invitations cannot cover 650 guests if every guest must receive one, and \u201cindividually addressed\u201d conflicts with using exactly the same text with no variable printing. The delivery instruction also says your office will mail them, so it is unclear whether the supplier should print addresses at all.\",\"text\":\"Should the quoted quantity be 650 invitations, and do you want the supplier to print each recipient\u2019s address (which requires variable data), or should all invitations be identical and unaddressed for your office to address and mail?\"}", "call_id": "call_UOJ6McM9alRrOgSWrrRSliAm", "id": "fc_0795837696be5b5c006ab5a360b44c87d29034e02c4151750a", "index": 1}]
{"name": "QuoteDecision", "args": {"action": "ask", "reason": "The request has two material conflicts: 500 invitations cannot cover 650 guests if every guest must receive one, and \u201cindividually addressed\u201d conflicts with using exactly the same text with no variable printing. The delivery instruction also says your office will mail them, so it is unclear whether the supplier should print addresses at all.", "text": "Should the quoted quantity be 650 invitations, and do you want the supplier to print each recipient\u2019s address (which requires variable data), or should all invitations be identical and unaddressed for your office to address and mail?"}, "id": "call_UOJ6McM9alRrOgSWrrRSliAm", "type": "tool_call"}</t>
  </si>
  <si>
    <t>Call total</t>
  </si>
  <si>
    <t>ok</t>
  </si>
  <si>
    <t>R2</t>
  </si>
  <si>
    <t>01a0d586-650a-7112-8b67-eccdf97e95f7</t>
  </si>
  <si>
    <t>Conversation history · cache read</t>
  </si>
  <si>
    <t>[{"id": "rs_07e1467c2e1bc806006ab5a36e6c5487d2911b18dc8a9fd786", "summary": [], "type": "reasoning", "content": [], "index": 0, "encrypted_content": "gAAAAABqtaNvFGn2IyTOsbBW7qcWybEEXD4VSoii48ErZCtn_id50myuKZswi713sMYvmgJJ8dRW1msbHxRodvjII-fTRjac2mfJeBoFy6dwF3cwkhZtonwTRdG9gZF7MJG5lUaj58u1dY-MQoMEXHo7sY_XzPBF3s_OjjvJSHHYTDDfHnZ7EMFIOBArhV7frcl7srTHSUfzhOxDZDF3Ar2f76BoxOTggHiTKfGR_xHKzmHSNdBlC3e2pgAeXTG0f8-dZY_uh_opPoNLlIn9VwvXIQjuuCL5zk5gXOTygqrZMCOZ2xW_xNaPNBaGL2PYVVXym57KkhtK9ZlcBGftJhqmpdu_vD8mG7ORZF784P6Gqqm8AgAxxPl4ezpE9uuFm-gLnZZGQrZ822nDKbzkmDeUJf2GariLbvC0qiMEVNvTB32EwX7hB2asGTyIcDF8DYnWDr9wHPr4ggKo8RzMRwaSYUfWBWf_pQ_o67xDBGMuDHALdEDqJSXw8Bmn1Jo5dFFdLRECdmmUnbTc5uh0KM4FcLBntcUhj-9rCtxecy8vIGRqM52IdD0GKCJrtB_hSmgixe46pu42vSvJopnRvEBRIu0fXGyikWYuTEEsWgL9B1Kd2LkHh6mzsJ4fbFFikIM6zIB_8O8IC8Q0ckeQ3MleExNFIMPIWh_MW-6gO_kq5_986eJfdH-yg9iiBDLb29O3EBGRKqc_imnP2KRCeb1W2DTaMWOxlF7Z8vDFDScCVJ-xmc6GuWZi0DgbhqoeyC85nsOvN3Y0jL4O7Xlh-dDU3SAmmYUnbEfVXasx8Qcrht2QMV4u3hoHujRMwOv2jfBHPZ_Y7RynyABMVbO_kn3mioic3cfaIpto3pMr-T00E63WT7jXNdd_iOdP-CSTsAi_SnXxlCSATB-Hz2AqaHErqTSJJTkxxCm3bq9NfdU_Aoi8MnmBj-ZTIOL6FULxLwq8qmIsx4hUZQ7LIRzoIjxa4ZfrdrxlRbzQ17dT7qYRBV8w1cAdZjqJ2EPEyMxwV6fHmqKQypXOi-0-N6U8SiZ9RUNuwe1201L46npGujaeC1B0qDdBtf_tvviyYJGy-UR6RRNHhNrwnz1RBtQ12mlaY6eRFqMIWNd7guQ_71cjAYXMg3yJQOrJJu_r6RbNl4QnYUeZIvl5VEVQKOVix5YTh5kKtsL6t7QMnDWBxJPQ4UyG7x0pA9gBDPR-XBqUM9sSi1Dn7ntY5vziqnOnLvpyG8y2LjVXoKzzIer1ItiloXXwdeXSPZ6WgPBZVgdqxgJ_gGuHyuW6JF3UonHXfoQnvvU_6Gg9OVCe5aSNwNFi0B5O78qCHM3dnf2vIEhmU9wfDaOMqY5e7cY8oLFzBA8WW6da9pmJDN0sUJ4my4Tt5Ed_9JoEOs3bfNrWsEhCPP7yNtr8BUaoHE4ALtmynKb8Jrb9miXdYNf7LWQjNijvJhyE3otrSixWN2xBHZjH1fhOc-kJ-yLkhSWaRrJXWHSF2zbrVrk8UWB60WSPC6LCTiQ-bkDvaVpHkRBxhGhKEsk7V2IQxe3cE5WEj-G31tiT0ZGQDfl0o7CyvujdTQjOA45v6065--AP3V7Y3R2P2tjTuMgTWI1PpzLRfanH6ufJw8FdXNlb9OIQoYZiLbGBlHyYyJsMOzG-ed-UdjkzvzoHi0g8r3SMwOfPV_znV4tkc_BfzbsHZEkizj7oAU2O08_gg48lsrqu-bTVxBkW_Belp3de6UU9kwdJAjmON7dH5_Sn2e5SaRx54WQjkiZhsNlCqqcL7FsCUj403dJXTtDusIsOBlHBZGEn2Ld-LB6oMxe3xwJqn49qrEoWaQaQC5_NgLsYqhqVUrISRjCQ1nM1ksoy7nudkrL6Yvi5TmMHBq2qoI3jQwl5Zx2WxXmiQdmOoasaOuWzIbXH6QGI2jG5tqmFq3FqbLNL14zEBdZyHsjmF9m2aQ=="}, {"type": "function_call", "name": "QuoteDecision", "arguments": "{\"action\":\"complete\",\"reason\":\"The clarification resolves the apparent quantity and personalization conflict: the 650 guests are grouped into 500 households, with one invitation per household. The invitation text remains identical, while each of 500 envelopes is personalized with the household name and address from the supplied spreadsheet. Delivery is one batch to the office for self-mailing.\",\"text\":\"Please quote 500 identical invitations and 500 printed, individually addressed envelopes, using the customer-supplied spreadsheet of 500 household names and addresses. Deliver the complete batch to our office; we will mail it ourselves. No variable printing is needed on the invitations.\"}", "call_id": "call_D7m8nMhebMx9AazzLEsIXGs7", "id": "fc_07e1467c2e1bc806006ab5a36fa4e887d2b40038750e049eb7", "index": 1}]
{"name": "QuoteDecision", "args": {"action": "complete", "reason": "The clarification resolves the apparent quantity and personalization conflict: the 650 guests are grouped into 500 households, with one invitation per household. The invitation text remains identical, while each of 500 envelopes is personalized with the household name and address from the supplied spreadsheet. Delivery is one batch to the office for self-mailing.", "text": "Please quote 500 identical invitations and 500 printed, individually addressed envelopes, using the customer-supplied spreadsheet of 500 household names and addresses. Deliver the complete batch to our office; we will mail it ourselves. No variable printing is needed on the invitations."}, "id": "call_D7m8nMhebMx9AazzLEsIXGs7", "type": "tool_call"}</t>
  </si>
  <si>
    <t>LangGraph</t>
  </si>
  <si>
    <t>workflow</t>
  </si>
  <si>
    <t>Execute the LangGraph workflow operation and pass its result to the next graph step.</t>
  </si>
  <si>
    <t>Subtree total</t>
  </si>
  <si>
    <t xml:space="preserve">    begin</t>
  </si>
  <si>
    <t>Execute the begin workflow operation and pass its result to the next graph step.</t>
  </si>
  <si>
    <t>01a0d586-29ac-73e0-aa12-7e0d4b78443c</t>
  </si>
  <si>
    <t>No model charge</t>
  </si>
  <si>
    <t xml:space="preserve">    assess</t>
  </si>
  <si>
    <t>Execute the assess workflow operation and pass its result to the next graph step.</t>
  </si>
  <si>
    <t>01a0d586-29ad-7f00-933f-4a1869c6f01a</t>
  </si>
  <si>
    <t xml:space="preserve">        quote_interpreter</t>
  </si>
  <si>
    <t>Interpret quote scope and request human clarification when needed.</t>
  </si>
  <si>
    <t>01a0d586-29ae-7d31-8584-22502446603a</t>
  </si>
  <si>
    <t xml:space="preserve">            quote_interpreter</t>
  </si>
  <si>
    <t>01a0d586-29ae-7d31-8584-22668b17cf65</t>
  </si>
  <si>
    <t xml:space="preserve">                model</t>
  </si>
  <si>
    <t>01a0d586-29b0-77b2-86c2-2adc71e0623c</t>
  </si>
  <si>
    <t xml:space="preserve">                    ChatOpenAI</t>
  </si>
  <si>
    <t>model</t>
  </si>
  <si>
    <t>Own call</t>
  </si>
  <si>
    <t xml:space="preserve">        route_after_assessment</t>
  </si>
  <si>
    <t>Execute the route_after_assessment workflow operation and pass its result to the next graph step.</t>
  </si>
  <si>
    <t>01a0d586-36e4-7c81-ba1c-002eabcf0010</t>
  </si>
  <si>
    <t xml:space="preserve">    ask</t>
  </si>
  <si>
    <t>interrupted</t>
  </si>
  <si>
    <t>Execute the ask workflow operation and pass its result to the next graph step.</t>
  </si>
  <si>
    <t>01a0d586-36e6-7a91-ab82-0cddd71acbfa</t>
  </si>
  <si>
    <t>01a0d586-64fc-76c0-9a93-52b55355d776</t>
  </si>
  <si>
    <t>01a0d586-64fe-79e0-92c7-7d635e5b7943</t>
  </si>
  <si>
    <t xml:space="preserve">        route_after_answer</t>
  </si>
  <si>
    <t>Execute the route_after_answer workflow operation and pass its result to the next graph step.</t>
  </si>
  <si>
    <t>01a0d586-64ff-7b42-96a5-ca7b52101fae</t>
  </si>
  <si>
    <t>01a0d586-6505-72d2-a28a-c2cf67362d5c</t>
  </si>
  <si>
    <t>01a0d586-6506-75e0-b33a-9d881e387c1c</t>
  </si>
  <si>
    <t>01a0d586-6507-74e2-9a36-c84f586a0943</t>
  </si>
  <si>
    <t>01a0d586-6509-79c2-b34a-02dc7e39f31d</t>
  </si>
  <si>
    <t>01a0d586-712c-7ba1-89f2-1205dfba65b2</t>
  </si>
  <si>
    <t xml:space="preserve">    complete</t>
  </si>
  <si>
    <t>Execute the complete workflow operation and pass its result to the next graph step.</t>
  </si>
  <si>
    <t>01a0d586-712e-7351-92af-152a88fad5c0</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</si>
</sst>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29"/>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IF(COUNT('Turns'!E17,'Turns'!E29)=2,SUM('Turns'!E17,'Turns'!E29),"Unknown")</f>
        <v>0.000696930028</v>
      </c>
      <c r="F2" s="2">
        <f>IF(COUNT('Turns'!F17,'Turns'!F29)=2,SUM('Turns'!F17,'Turns'!F29),"Unknown")</f>
        <v>0.0007922</v>
      </c>
      <c r="G2" s="5">
        <f>IF(ISNUMBER(E2),ROUND(E2*'Reference data'!$B$2,0),"Unknown")</f>
        <v>70.0</v>
      </c>
      <c r="H2" s="5">
        <f>IF(ISNUMBER(F2),ROUND(F2*'Reference data'!$B$2,0),"Unknown")</f>
        <v>79.0</v>
      </c>
    </row>
    <row r="3" spans="1:13" s="4" customFormat="1" ht="24" customHeight="1">
      <c r="B3" s="4">
        <v>1</v>
      </c>
      <c r="C3" s="4" t="s">
        <v>92</v>
      </c>
      <c r="E3" s="2">
        <f>IF(COUNT('Turns'!E17,'Turns'!E29)=2,SUM('Turns'!E17,'Turns'!E29),"Unknown")</f>
        <v>0.000696930028</v>
      </c>
      <c r="F3" s="2">
        <f>IF(COUNT('Turns'!F17,'Turns'!F29)=2,SUM('Turns'!F17,'Turns'!F29),"Unknown")</f>
        <v>0.0007922</v>
      </c>
      <c r="G3" s="5">
        <f>IF(ISNUMBER(E3),ROUND(E3*'Reference data'!$B$2,0),"Unknown")</f>
        <v>70.0</v>
      </c>
      <c r="H3" s="5">
        <f>IF(ISNUMBER(F3),ROUND(F3*'Reference data'!$B$2,0),"Unknown")</f>
        <v>79.0</v>
      </c>
    </row>
    <row r="4" spans="1:13" s="4" customFormat="1" ht="24" customHeight="1">
      <c r="A4" s="4" t="s">
        <v>93</v>
      </c>
      <c r="B4" s="4">
        <v>1</v>
      </c>
      <c r="C4" s="4" t="s">
        <v>94</v>
      </c>
      <c r="D4" s="4">
        <v>493</v>
      </c>
      <c r="J4" s="4" t="s">
        <v>95</v>
      </c>
      <c r="M4" s="4" t="s">
        <v>96</v>
      </c>
    </row>
    <row r="5" spans="1:13" ht="24" customHeight="1">
      <c r="A5" t="s">
        <v>93</v>
      </c>
      <c r="B5">
        <v>1</v>
      </c>
      <c r="C5" t="s">
        <v>97</v>
      </c>
      <c r="D5" s="5">
        <v>493</v>
      </c>
      <c r="E5" s="2">
        <f>IF(AND(ISNUMBER(F5),ISNUMBER('Reference data'!$B$3)),F5*'Reference data'!$B$3,"Unknown")</f>
        <v>8.6742364e-05</v>
      </c>
      <c r="F5" s="2">
        <f>IF(D5=0,0,IF(ISNUMBER('Reference data'!B17),D5*'Reference data'!B17/1000000,"Unknown"))</f>
        <v>9.86e-05</v>
      </c>
      <c r="G5" s="5">
        <f>IF(ISNUMBER(E5),ROUND(E5*'Reference data'!$B$2,0),"Unknown")</f>
        <v>9.0</v>
      </c>
      <c r="H5" s="5">
        <f>IF(ISNUMBER(F5),ROUND(F5*'Reference data'!$B$2,0),"Unknown")</f>
        <v>10.0</v>
      </c>
    </row>
    <row r="6" spans="1:13" ht="24" customHeight="1">
      <c r="A6" t="s">
        <v>93</v>
      </c>
      <c r="B6">
        <v>1</v>
      </c>
      <c r="C6" t="s">
        <v>98</v>
      </c>
    </row>
    <row r="7" spans="1:13" ht="216" customHeight="1">
      <c r="A7" t="s">
        <v>93</v>
      </c>
      <c r="B7">
        <v>1</v>
      </c>
      <c r="C7" t="s">
        <v>99</v>
      </c>
      <c r="I7" s="6" t="s">
        <v>100</v>
      </c>
    </row>
    <row r="8" spans="1:13" ht="73"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226</v>
      </c>
    </row>
    <row r="12" spans="1:13" ht="24" customHeight="1">
      <c r="A12" t="s">
        <v>93</v>
      </c>
      <c r="B12">
        <v>1</v>
      </c>
      <c r="C12" t="s">
        <v>106</v>
      </c>
      <c r="D12" s="5">
        <v>90</v>
      </c>
      <c r="E12" s="2">
        <f>IF(AND(ISNUMBER(F12),ISNUMBER('Reference data'!$B$3)),F12*'Reference data'!$B$3,"Unknown")</f>
        <v>9.501192e-05</v>
      </c>
      <c r="F12" s="2">
        <f>IF(D12=0,0,IF(ISNUMBER('Reference data'!F17),D12*'Reference data'!F17/1000000,"Unknown"))</f>
        <v>0.000108</v>
      </c>
      <c r="G12" s="5">
        <f>IF(ISNUMBER(E12),ROUND(E12*'Reference data'!$B$2,0),"Unknown")</f>
        <v>10.0</v>
      </c>
      <c r="H12" s="5">
        <f>IF(ISNUMBER(F12),ROUND(F12*'Reference data'!$B$2,0),"Unknown")</f>
        <v>11.0</v>
      </c>
    </row>
    <row r="13" spans="1:13" ht="24" customHeight="1">
      <c r="A13" t="s">
        <v>93</v>
      </c>
      <c r="B13">
        <v>1</v>
      </c>
      <c r="C13" t="s">
        <v>107</v>
      </c>
      <c r="D13" s="5">
        <v>136</v>
      </c>
      <c r="E13" s="2">
        <f>IF(AND(ISNUMBER(F13),ISNUMBER('Reference data'!$B$3)),F13*'Reference data'!$B$3,"Unknown")</f>
        <v>0.000143573568</v>
      </c>
      <c r="F13" s="2">
        <f>IF(D13=0,0,IF(ISNUMBER('Reference data'!E17),D13*'Reference data'!E17/1000000,"Unknown"))</f>
        <v>0.0001632</v>
      </c>
      <c r="G13" s="5">
        <f>IF(ISNUMBER(E13),ROUND(E13*'Reference data'!$B$2,0),"Unknown")</f>
        <v>14.0</v>
      </c>
      <c r="H13" s="5">
        <f>IF(ISNUMBER(F13),ROUND(F13*'Reference data'!$B$2,0),"Unknown")</f>
        <v>16.0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0.000325327852</v>
      </c>
      <c r="F17" s="2">
        <f>IF(COUNT('Turns'!F5,'Turns'!F12,'Turns'!F13)=3,SUM('Turns'!F5,'Turns'!F12,'Turns'!F13),"Unknown")</f>
        <v>0.0003698</v>
      </c>
      <c r="G17" s="5">
        <f>IF(ISNUMBER(E17),ROUND(E17*'Reference data'!$B$2,0),"Unknown")</f>
        <v>33.0</v>
      </c>
      <c r="H17" s="5">
        <f>IF(ISNUMBER(F17),ROUND(F17*'Reference data'!$B$2,0),"Unknown")</f>
        <v>37.0</v>
      </c>
      <c r="K17" s="4" t="s">
        <v>111</v>
      </c>
    </row>
    <row r="18" spans="1:13" s="4" customFormat="1" ht="24" customHeight="1">
      <c r="A18" s="4" t="s">
        <v>112</v>
      </c>
      <c r="B18" s="4">
        <v>1</v>
      </c>
      <c r="C18" s="4" t="s">
        <v>94</v>
      </c>
      <c r="D18" s="4">
        <v>600</v>
      </c>
      <c r="J18" s="4" t="s">
        <v>95</v>
      </c>
      <c r="M18" s="4" t="s">
        <v>113</v>
      </c>
    </row>
    <row r="19" spans="1:13" ht="24" customHeight="1">
      <c r="A19" t="s">
        <v>112</v>
      </c>
      <c r="B19">
        <v>1</v>
      </c>
      <c r="C19" t="s">
        <v>114</v>
      </c>
      <c r="D19" s="5">
        <v>0</v>
      </c>
      <c r="E19" s="2">
        <f>IF(AND(ISNUMBER(F19),ISNUMBER('Reference data'!$B$3)),F19*'Reference data'!$B$3,"Unknown")</f>
        <v>0.0</v>
      </c>
      <c r="F19" s="2">
        <f>IF(D19=0,0,IF(ISNUMBER('Reference data'!C17),D19*'Reference data'!C17/1000000,"Unknown"))</f>
        <v>0.0</v>
      </c>
      <c r="G19" s="5">
        <f>IF(ISNUMBER(E19),ROUND(E19*'Reference data'!$B$2,0),"Unknown")</f>
        <v>0.0</v>
      </c>
      <c r="H19" s="5">
        <f>IF(ISNUMBER(F19),ROUND(F19*'Reference data'!$B$2,0),"Unknown")</f>
        <v>0.0</v>
      </c>
    </row>
    <row r="20" spans="1:13" ht="24" customHeight="1">
      <c r="A20" t="s">
        <v>112</v>
      </c>
      <c r="B20">
        <v>1</v>
      </c>
      <c r="C20" t="s">
        <v>97</v>
      </c>
      <c r="D20" s="5">
        <v>600</v>
      </c>
      <c r="E20" s="2">
        <f>IF(AND(ISNUMBER(F20),ISNUMBER('Reference data'!$B$3)),F20*'Reference data'!$B$3,"Unknown")</f>
        <v>0.0001055688</v>
      </c>
      <c r="F20" s="2">
        <f>IF(D20=0,0,IF(ISNUMBER('Reference data'!B17),D20*'Reference data'!B17/1000000,"Unknown"))</f>
        <v>0.00012</v>
      </c>
      <c r="G20" s="5">
        <f>IF(ISNUMBER(E20),ROUND(E20*'Reference data'!$B$2,0),"Unknown")</f>
        <v>11.0</v>
      </c>
      <c r="H20" s="5">
        <f>IF(ISNUMBER(F20),ROUND(F20*'Reference data'!$B$2,0),"Unknown")</f>
        <v>12.0</v>
      </c>
    </row>
    <row r="21" spans="1:13" ht="24" customHeight="1">
      <c r="A21" t="s">
        <v>112</v>
      </c>
      <c r="B21">
        <v>1</v>
      </c>
      <c r="C21" t="s">
        <v>103</v>
      </c>
    </row>
    <row r="22" spans="1:13" ht="24" customHeight="1">
      <c r="A22" t="s">
        <v>112</v>
      </c>
      <c r="B22">
        <v>1</v>
      </c>
      <c r="C22" t="s">
        <v>104</v>
      </c>
    </row>
    <row r="23" spans="1:13" s="4" customFormat="1" ht="24" customHeight="1">
      <c r="A23" s="4" t="s">
        <v>112</v>
      </c>
      <c r="B23" s="4">
        <v>1</v>
      </c>
      <c r="C23" s="4" t="s">
        <v>105</v>
      </c>
      <c r="D23" s="4">
        <v>252</v>
      </c>
    </row>
    <row r="24" spans="1:13" ht="24" customHeight="1">
      <c r="A24" t="s">
        <v>112</v>
      </c>
      <c r="B24">
        <v>1</v>
      </c>
      <c r="C24" t="s">
        <v>106</v>
      </c>
      <c r="D24" s="5">
        <v>109</v>
      </c>
      <c r="E24" s="2">
        <f>IF(AND(ISNUMBER(F24),ISNUMBER('Reference data'!$B$3)),F24*'Reference data'!$B$3,"Unknown")</f>
        <v>0.000115069992</v>
      </c>
      <c r="F24" s="2">
        <f>IF(D24=0,0,IF(ISNUMBER('Reference data'!F17),D24*'Reference data'!F17/1000000,"Unknown"))</f>
        <v>0.0001308</v>
      </c>
      <c r="G24" s="5">
        <f>IF(ISNUMBER(E24),ROUND(E24*'Reference data'!$B$2,0),"Unknown")</f>
        <v>12.0</v>
      </c>
      <c r="H24" s="5">
        <f>IF(ISNUMBER(F24),ROUND(F24*'Reference data'!$B$2,0),"Unknown")</f>
        <v>13.0</v>
      </c>
    </row>
    <row r="25" spans="1:13" ht="24" customHeight="1">
      <c r="A25" t="s">
        <v>112</v>
      </c>
      <c r="B25">
        <v>1</v>
      </c>
      <c r="C25" t="s">
        <v>107</v>
      </c>
      <c r="D25" s="5">
        <v>143</v>
      </c>
      <c r="E25" s="2">
        <f>IF(AND(ISNUMBER(F25),ISNUMBER('Reference data'!$B$3)),F25*'Reference data'!$B$3,"Unknown")</f>
        <v>0.000150963384</v>
      </c>
      <c r="F25" s="2">
        <f>IF(D25=0,0,IF(ISNUMBER('Reference data'!E17),D25*'Reference data'!E17/1000000,"Unknown"))</f>
        <v>0.0001716</v>
      </c>
      <c r="G25" s="5">
        <f>IF(ISNUMBER(E25),ROUND(E25*'Reference data'!$B$2,0),"Unknown")</f>
        <v>15.0</v>
      </c>
      <c r="H25" s="5">
        <f>IF(ISNUMBER(F25),ROUND(F25*'Reference data'!$B$2,0),"Unknown")</f>
        <v>17.0</v>
      </c>
    </row>
    <row r="26" spans="1:13" ht="409" customHeight="1">
      <c r="A26" t="s">
        <v>112</v>
      </c>
      <c r="B26">
        <v>1</v>
      </c>
      <c r="C26" t="s">
        <v>108</v>
      </c>
      <c r="I26" s="6" t="s">
        <v>115</v>
      </c>
    </row>
    <row r="27" spans="1:13" ht="24" customHeight="1">
      <c r="A27" t="s">
        <v>112</v>
      </c>
      <c r="B27">
        <v>1</v>
      </c>
      <c r="C27" t="s">
        <v>103</v>
      </c>
    </row>
    <row r="28" spans="1:13" ht="24" customHeight="1">
      <c r="A28" t="s">
        <v>112</v>
      </c>
      <c r="B28">
        <v>1</v>
      </c>
      <c r="C28" t="s">
        <v>104</v>
      </c>
    </row>
    <row r="29" spans="1:13" s="4" customFormat="1" ht="24" customHeight="1">
      <c r="A29" s="4" t="s">
        <v>112</v>
      </c>
      <c r="B29" s="4">
        <v>1</v>
      </c>
      <c r="C29" s="4" t="s">
        <v>110</v>
      </c>
      <c r="E29" s="2">
        <f>IF(COUNT('Turns'!E19,'Turns'!E20,'Turns'!E24,'Turns'!E25)=4,SUM('Turns'!E19,'Turns'!E20,'Turns'!E24,'Turns'!E25),"Unknown")</f>
        <v>0.000371602176</v>
      </c>
      <c r="F29" s="2">
        <f>IF(COUNT('Turns'!F19,'Turns'!F20,'Turns'!F24,'Turns'!F25)=4,SUM('Turns'!F19,'Turns'!F20,'Turns'!F24,'Turns'!F25),"Unknown")</f>
        <v>0.0004224</v>
      </c>
      <c r="G29" s="5">
        <f>IF(ISNUMBER(E29),ROUND(E29*'Reference data'!$B$2,0),"Unknown")</f>
        <v>37.0</v>
      </c>
      <c r="H29" s="5">
        <f>IF(ISNUMBER(F29),ROUND(F29*'Reference data'!$B$2,0),"Unknown")</f>
        <v>42.0</v>
      </c>
      <c r="K29" s="4" t="s">
        <v>111</v>
      </c>
    </row>
  </sheetData>
  <conditionalFormatting sqref="A2:AE29">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20"/>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116</v>
      </c>
      <c r="B2" s="1">
        <v>0</v>
      </c>
      <c r="C2" s="1" t="s">
        <v>117</v>
      </c>
      <c r="D2" s="1" t="s">
        <v>47</v>
      </c>
      <c r="E2" s="1" t="s">
        <v>111</v>
      </c>
      <c r="G2" s="6" t="s">
        <v>118</v>
      </c>
      <c r="H2" t="s">
        <v>49</v>
      </c>
      <c r="J2" s="2">
        <f>IF(COUNT('Turns'!D5)=1,SUM('Turns'!D5),"Unknown")</f>
        <v>493.0</v>
      </c>
      <c r="K2" s="2">
        <f>IF(COUNT('Turns'!E5)=1,SUM('Turns'!E5),"Unknown")</f>
        <v>8.6742364e-05</v>
      </c>
      <c r="L2" s="2">
        <f>IF(COUNT('Turns'!F5)=1,SUM('Turns'!F5),"Unknown")</f>
        <v>9.86e-05</v>
      </c>
      <c r="M2" s="2">
        <v>0</v>
      </c>
      <c r="N2" s="2">
        <v>0</v>
      </c>
      <c r="O2" s="2">
        <v>0</v>
      </c>
      <c r="P2" s="2">
        <v>0</v>
      </c>
      <c r="Q2" s="2">
        <v>0</v>
      </c>
      <c r="R2" s="2">
        <v>0</v>
      </c>
      <c r="S2" s="2">
        <f>IF(COUNT('Turns'!D13)=1,SUM('Turns'!D13),"Unknown")</f>
        <v>136.0</v>
      </c>
      <c r="T2" s="2">
        <f>IF(COUNT('Turns'!E13)=1,SUM('Turns'!E13),"Unknown")</f>
        <v>0.000143573568</v>
      </c>
      <c r="U2" s="2">
        <f>IF(COUNT('Turns'!F13)=1,SUM('Turns'!F13),"Unknown")</f>
        <v>0.0001632</v>
      </c>
      <c r="V2" s="2">
        <f>IF(COUNT('Turns'!D12)=1,SUM('Turns'!D12),"Unknown")</f>
        <v>90.0</v>
      </c>
      <c r="W2" s="2">
        <f>IF(COUNT('Turns'!E12)=1,SUM('Turns'!E12),"Unknown")</f>
        <v>9.501192e-05</v>
      </c>
      <c r="X2" s="2">
        <f>IF(COUNT('Turns'!F12)=1,SUM('Turns'!F12),"Unknown")</f>
        <v>0.000108</v>
      </c>
      <c r="Y2" s="2">
        <f>IF(COUNT('Turns'!E17)=1,SUM('Turns'!E17),"Unknown")</f>
        <v>0.000325327852</v>
      </c>
      <c r="Z2" s="2">
        <f>IF(COUNT('Turns'!F17)=1,SUM('Turns'!F17),"Unknown")</f>
        <v>0.0003698</v>
      </c>
      <c r="AA2" s="5">
        <f>IF(ISNUMBER(Y2),ROUND(Y2*'Reference data'!$B$2,0),"Unknown")</f>
        <v>33.0</v>
      </c>
      <c r="AB2" s="5">
        <f>IF(ISNUMBER(Z2),ROUND(Z2*'Reference data'!$B$2,0),"Unknown")</f>
        <v>37.0</v>
      </c>
      <c r="AD2" s="1">
        <v>3388.058</v>
      </c>
      <c r="AE2" s="1" t="s">
        <v>119</v>
      </c>
    </row>
    <row r="3" spans="1:31" ht="54" customHeight="1">
      <c r="A3" s="6" t="s">
        <v>120</v>
      </c>
      <c r="B3" s="1">
        <v>1</v>
      </c>
      <c r="C3" s="1" t="s">
        <v>117</v>
      </c>
      <c r="D3" s="1" t="s">
        <v>47</v>
      </c>
      <c r="E3" s="1" t="s">
        <v>111</v>
      </c>
      <c r="G3" s="6" t="s">
        <v>121</v>
      </c>
      <c r="H3" t="s">
        <v>122</v>
      </c>
      <c r="I3" t="s">
        <v>49</v>
      </c>
      <c r="AD3" s="1">
        <v>0.476</v>
      </c>
      <c r="AE3" s="1" t="s">
        <v>123</v>
      </c>
    </row>
    <row r="4" spans="1:31" ht="54" customHeight="1">
      <c r="A4" s="6" t="s">
        <v>124</v>
      </c>
      <c r="B4" s="1">
        <v>1</v>
      </c>
      <c r="C4" s="1" t="s">
        <v>117</v>
      </c>
      <c r="D4" s="1" t="s">
        <v>47</v>
      </c>
      <c r="E4" s="1" t="s">
        <v>111</v>
      </c>
      <c r="G4" s="6" t="s">
        <v>125</v>
      </c>
      <c r="H4" t="s">
        <v>126</v>
      </c>
      <c r="I4" t="s">
        <v>49</v>
      </c>
      <c r="J4" s="2">
        <f>IF(COUNT('Turns'!D5)=1,SUM('Turns'!D5),"Unknown")</f>
        <v>493.0</v>
      </c>
      <c r="K4" s="2">
        <f>IF(COUNT('Turns'!E5)=1,SUM('Turns'!E5),"Unknown")</f>
        <v>8.6742364e-05</v>
      </c>
      <c r="L4" s="2">
        <f>IF(COUNT('Turns'!F5)=1,SUM('Turns'!F5),"Unknown")</f>
        <v>9.86e-05</v>
      </c>
      <c r="M4" s="2">
        <v>0</v>
      </c>
      <c r="N4" s="2">
        <v>0</v>
      </c>
      <c r="O4" s="2">
        <v>0</v>
      </c>
      <c r="P4" s="2">
        <v>0</v>
      </c>
      <c r="Q4" s="2">
        <v>0</v>
      </c>
      <c r="R4" s="2">
        <v>0</v>
      </c>
      <c r="S4" s="2">
        <f>IF(COUNT('Turns'!D13)=1,SUM('Turns'!D13),"Unknown")</f>
        <v>136.0</v>
      </c>
      <c r="T4" s="2">
        <f>IF(COUNT('Turns'!E13)=1,SUM('Turns'!E13),"Unknown")</f>
        <v>0.000143573568</v>
      </c>
      <c r="U4" s="2">
        <f>IF(COUNT('Turns'!F13)=1,SUM('Turns'!F13),"Unknown")</f>
        <v>0.0001632</v>
      </c>
      <c r="V4" s="2">
        <f>IF(COUNT('Turns'!D12)=1,SUM('Turns'!D12),"Unknown")</f>
        <v>90.0</v>
      </c>
      <c r="W4" s="2">
        <f>IF(COUNT('Turns'!E12)=1,SUM('Turns'!E12),"Unknown")</f>
        <v>9.501192e-05</v>
      </c>
      <c r="X4" s="2">
        <f>IF(COUNT('Turns'!F12)=1,SUM('Turns'!F12),"Unknown")</f>
        <v>0.000108</v>
      </c>
      <c r="Y4" s="2">
        <f>IF(COUNT('Turns'!E17)=1,SUM('Turns'!E17),"Unknown")</f>
        <v>0.000325327852</v>
      </c>
      <c r="Z4" s="2">
        <f>IF(COUNT('Turns'!F17)=1,SUM('Turns'!F17),"Unknown")</f>
        <v>0.0003698</v>
      </c>
      <c r="AA4" s="5">
        <f>IF(ISNUMBER(Y4),ROUND(Y4*'Reference data'!$B$2,0),"Unknown")</f>
        <v>33.0</v>
      </c>
      <c r="AB4" s="5">
        <f>IF(ISNUMBER(Z4),ROUND(Z4*'Reference data'!$B$2,0),"Unknown")</f>
        <v>37.0</v>
      </c>
      <c r="AD4" s="1">
        <v>3383.573</v>
      </c>
      <c r="AE4" s="1" t="s">
        <v>119</v>
      </c>
    </row>
    <row r="5" spans="1:31" ht="54" customHeight="1">
      <c r="A5" s="6" t="s">
        <v>127</v>
      </c>
      <c r="B5" s="1">
        <v>2</v>
      </c>
      <c r="C5" s="1" t="s">
        <v>117</v>
      </c>
      <c r="D5" s="1" t="s">
        <v>47</v>
      </c>
      <c r="E5" s="1" t="s">
        <v>111</v>
      </c>
      <c r="G5" s="6" t="s">
        <v>128</v>
      </c>
      <c r="H5" t="s">
        <v>129</v>
      </c>
      <c r="I5" t="s">
        <v>126</v>
      </c>
      <c r="J5" s="2">
        <f>IF(COUNT('Turns'!D5)=1,SUM('Turns'!D5),"Unknown")</f>
        <v>493.0</v>
      </c>
      <c r="K5" s="2">
        <f>IF(COUNT('Turns'!E5)=1,SUM('Turns'!E5),"Unknown")</f>
        <v>8.6742364e-05</v>
      </c>
      <c r="L5" s="2">
        <f>IF(COUNT('Turns'!F5)=1,SUM('Turns'!F5),"Unknown")</f>
        <v>9.86e-05</v>
      </c>
      <c r="M5" s="2">
        <v>0</v>
      </c>
      <c r="N5" s="2">
        <v>0</v>
      </c>
      <c r="O5" s="2">
        <v>0</v>
      </c>
      <c r="P5" s="2">
        <v>0</v>
      </c>
      <c r="Q5" s="2">
        <v>0</v>
      </c>
      <c r="R5" s="2">
        <v>0</v>
      </c>
      <c r="S5" s="2">
        <f>IF(COUNT('Turns'!D13)=1,SUM('Turns'!D13),"Unknown")</f>
        <v>136.0</v>
      </c>
      <c r="T5" s="2">
        <f>IF(COUNT('Turns'!E13)=1,SUM('Turns'!E13),"Unknown")</f>
        <v>0.000143573568</v>
      </c>
      <c r="U5" s="2">
        <f>IF(COUNT('Turns'!F13)=1,SUM('Turns'!F13),"Unknown")</f>
        <v>0.0001632</v>
      </c>
      <c r="V5" s="2">
        <f>IF(COUNT('Turns'!D12)=1,SUM('Turns'!D12),"Unknown")</f>
        <v>90.0</v>
      </c>
      <c r="W5" s="2">
        <f>IF(COUNT('Turns'!E12)=1,SUM('Turns'!E12),"Unknown")</f>
        <v>9.501192e-05</v>
      </c>
      <c r="X5" s="2">
        <f>IF(COUNT('Turns'!F12)=1,SUM('Turns'!F12),"Unknown")</f>
        <v>0.000108</v>
      </c>
      <c r="Y5" s="2">
        <f>IF(COUNT('Turns'!E17)=1,SUM('Turns'!E17),"Unknown")</f>
        <v>0.000325327852</v>
      </c>
      <c r="Z5" s="2">
        <f>IF(COUNT('Turns'!F17)=1,SUM('Turns'!F17),"Unknown")</f>
        <v>0.0003698</v>
      </c>
      <c r="AA5" s="5">
        <f>IF(ISNUMBER(Y5),ROUND(Y5*'Reference data'!$B$2,0),"Unknown")</f>
        <v>33.0</v>
      </c>
      <c r="AB5" s="5">
        <f>IF(ISNUMBER(Z5),ROUND(Z5*'Reference data'!$B$2,0),"Unknown")</f>
        <v>37.0</v>
      </c>
      <c r="AD5" s="1">
        <v>3381.904</v>
      </c>
      <c r="AE5" s="1" t="s">
        <v>119</v>
      </c>
    </row>
    <row r="6" spans="1:31" ht="54" customHeight="1">
      <c r="A6" s="6" t="s">
        <v>130</v>
      </c>
      <c r="B6" s="1">
        <v>3</v>
      </c>
      <c r="C6" s="1" t="s">
        <v>117</v>
      </c>
      <c r="D6" s="1" t="s">
        <v>47</v>
      </c>
      <c r="E6" s="1" t="s">
        <v>111</v>
      </c>
      <c r="G6" s="6" t="s">
        <v>128</v>
      </c>
      <c r="H6" t="s">
        <v>131</v>
      </c>
      <c r="I6" t="s">
        <v>129</v>
      </c>
      <c r="J6" s="2">
        <f>IF(COUNT('Turns'!D5)=1,SUM('Turns'!D5),"Unknown")</f>
        <v>493.0</v>
      </c>
      <c r="K6" s="2">
        <f>IF(COUNT('Turns'!E5)=1,SUM('Turns'!E5),"Unknown")</f>
        <v>8.6742364e-05</v>
      </c>
      <c r="L6" s="2">
        <f>IF(COUNT('Turns'!F5)=1,SUM('Turns'!F5),"Unknown")</f>
        <v>9.86e-05</v>
      </c>
      <c r="M6" s="2">
        <v>0</v>
      </c>
      <c r="N6" s="2">
        <v>0</v>
      </c>
      <c r="O6" s="2">
        <v>0</v>
      </c>
      <c r="P6" s="2">
        <v>0</v>
      </c>
      <c r="Q6" s="2">
        <v>0</v>
      </c>
      <c r="R6" s="2">
        <v>0</v>
      </c>
      <c r="S6" s="2">
        <f>IF(COUNT('Turns'!D13)=1,SUM('Turns'!D13),"Unknown")</f>
        <v>136.0</v>
      </c>
      <c r="T6" s="2">
        <f>IF(COUNT('Turns'!E13)=1,SUM('Turns'!E13),"Unknown")</f>
        <v>0.000143573568</v>
      </c>
      <c r="U6" s="2">
        <f>IF(COUNT('Turns'!F13)=1,SUM('Turns'!F13),"Unknown")</f>
        <v>0.0001632</v>
      </c>
      <c r="V6" s="2">
        <f>IF(COUNT('Turns'!D12)=1,SUM('Turns'!D12),"Unknown")</f>
        <v>90.0</v>
      </c>
      <c r="W6" s="2">
        <f>IF(COUNT('Turns'!E12)=1,SUM('Turns'!E12),"Unknown")</f>
        <v>9.501192e-05</v>
      </c>
      <c r="X6" s="2">
        <f>IF(COUNT('Turns'!F12)=1,SUM('Turns'!F12),"Unknown")</f>
        <v>0.000108</v>
      </c>
      <c r="Y6" s="2">
        <f>IF(COUNT('Turns'!E17)=1,SUM('Turns'!E17),"Unknown")</f>
        <v>0.000325327852</v>
      </c>
      <c r="Z6" s="2">
        <f>IF(COUNT('Turns'!F17)=1,SUM('Turns'!F17),"Unknown")</f>
        <v>0.0003698</v>
      </c>
      <c r="AA6" s="5">
        <f>IF(ISNUMBER(Y6),ROUND(Y6*'Reference data'!$B$2,0),"Unknown")</f>
        <v>33.0</v>
      </c>
      <c r="AB6" s="5">
        <f>IF(ISNUMBER(Z6),ROUND(Z6*'Reference data'!$B$2,0),"Unknown")</f>
        <v>37.0</v>
      </c>
      <c r="AD6" s="1">
        <v>3380.67</v>
      </c>
      <c r="AE6" s="1" t="s">
        <v>119</v>
      </c>
    </row>
    <row r="7" spans="1:31" ht="54" customHeight="1">
      <c r="A7" s="6" t="s">
        <v>132</v>
      </c>
      <c r="B7" s="1">
        <v>4</v>
      </c>
      <c r="C7" s="1" t="s">
        <v>117</v>
      </c>
      <c r="D7" s="1" t="s">
        <v>47</v>
      </c>
      <c r="E7" s="1" t="s">
        <v>111</v>
      </c>
      <c r="G7" s="6" t="s">
        <v>128</v>
      </c>
      <c r="H7" t="s">
        <v>133</v>
      </c>
      <c r="I7" t="s">
        <v>131</v>
      </c>
      <c r="J7" s="2">
        <f>IF(COUNT('Turns'!D5)=1,SUM('Turns'!D5),"Unknown")</f>
        <v>493.0</v>
      </c>
      <c r="K7" s="2">
        <f>IF(COUNT('Turns'!E5)=1,SUM('Turns'!E5),"Unknown")</f>
        <v>8.6742364e-05</v>
      </c>
      <c r="L7" s="2">
        <f>IF(COUNT('Turns'!F5)=1,SUM('Turns'!F5),"Unknown")</f>
        <v>9.86e-05</v>
      </c>
      <c r="M7" s="2">
        <v>0</v>
      </c>
      <c r="N7" s="2">
        <v>0</v>
      </c>
      <c r="O7" s="2">
        <v>0</v>
      </c>
      <c r="P7" s="2">
        <v>0</v>
      </c>
      <c r="Q7" s="2">
        <v>0</v>
      </c>
      <c r="R7" s="2">
        <v>0</v>
      </c>
      <c r="S7" s="2">
        <f>IF(COUNT('Turns'!D13)=1,SUM('Turns'!D13),"Unknown")</f>
        <v>136.0</v>
      </c>
      <c r="T7" s="2">
        <f>IF(COUNT('Turns'!E13)=1,SUM('Turns'!E13),"Unknown")</f>
        <v>0.000143573568</v>
      </c>
      <c r="U7" s="2">
        <f>IF(COUNT('Turns'!F13)=1,SUM('Turns'!F13),"Unknown")</f>
        <v>0.0001632</v>
      </c>
      <c r="V7" s="2">
        <f>IF(COUNT('Turns'!D12)=1,SUM('Turns'!D12),"Unknown")</f>
        <v>90.0</v>
      </c>
      <c r="W7" s="2">
        <f>IF(COUNT('Turns'!E12)=1,SUM('Turns'!E12),"Unknown")</f>
        <v>9.501192e-05</v>
      </c>
      <c r="X7" s="2">
        <f>IF(COUNT('Turns'!F12)=1,SUM('Turns'!F12),"Unknown")</f>
        <v>0.000108</v>
      </c>
      <c r="Y7" s="2">
        <f>IF(COUNT('Turns'!E17)=1,SUM('Turns'!E17),"Unknown")</f>
        <v>0.000325327852</v>
      </c>
      <c r="Z7" s="2">
        <f>IF(COUNT('Turns'!F17)=1,SUM('Turns'!F17),"Unknown")</f>
        <v>0.0003698</v>
      </c>
      <c r="AA7" s="5">
        <f>IF(ISNUMBER(Y7),ROUND(Y7*'Reference data'!$B$2,0),"Unknown")</f>
        <v>33.0</v>
      </c>
      <c r="AB7" s="5">
        <f>IF(ISNUMBER(Z7),ROUND(Z7*'Reference data'!$B$2,0),"Unknown")</f>
        <v>37.0</v>
      </c>
      <c r="AD7" s="1">
        <v>3378.523</v>
      </c>
      <c r="AE7" s="1" t="s">
        <v>119</v>
      </c>
    </row>
    <row r="8" spans="1:31" ht="54" customHeight="1">
      <c r="A8" s="6" t="s">
        <v>134</v>
      </c>
      <c r="B8" s="1">
        <v>5</v>
      </c>
      <c r="C8" s="1" t="s">
        <v>135</v>
      </c>
      <c r="D8" s="1" t="s">
        <v>95</v>
      </c>
      <c r="E8" s="1" t="s">
        <v>111</v>
      </c>
      <c r="F8" s="1">
        <v>493</v>
      </c>
      <c r="G8" s="6" t="s">
        <v>128</v>
      </c>
      <c r="H8" t="s">
        <v>96</v>
      </c>
      <c r="I8" t="s">
        <v>133</v>
      </c>
      <c r="J8" s="2">
        <f>IF(COUNT('Turns'!D5)=1,SUM('Turns'!D5),"Unknown")</f>
        <v>493.0</v>
      </c>
      <c r="K8" s="2">
        <f>IF(COUNT('Turns'!E5)=1,SUM('Turns'!E5),"Unknown")</f>
        <v>8.6742364e-05</v>
      </c>
      <c r="L8" s="2">
        <f>IF(COUNT('Turns'!F5)=1,SUM('Turns'!F5),"Unknown")</f>
        <v>9.86e-05</v>
      </c>
      <c r="M8" s="2">
        <v>0</v>
      </c>
      <c r="N8" s="2">
        <v>0</v>
      </c>
      <c r="O8" s="2">
        <v>0</v>
      </c>
      <c r="P8" s="2">
        <v>0</v>
      </c>
      <c r="Q8" s="2">
        <v>0</v>
      </c>
      <c r="R8" s="2">
        <v>0</v>
      </c>
      <c r="S8" s="2">
        <f>IF(COUNT('Turns'!D13)=1,SUM('Turns'!D13),"Unknown")</f>
        <v>136.0</v>
      </c>
      <c r="T8" s="2">
        <f>IF(COUNT('Turns'!E13)=1,SUM('Turns'!E13),"Unknown")</f>
        <v>0.000143573568</v>
      </c>
      <c r="U8" s="2">
        <f>IF(COUNT('Turns'!F13)=1,SUM('Turns'!F13),"Unknown")</f>
        <v>0.0001632</v>
      </c>
      <c r="V8" s="2">
        <f>IF(COUNT('Turns'!D12)=1,SUM('Turns'!D12),"Unknown")</f>
        <v>90.0</v>
      </c>
      <c r="W8" s="2">
        <f>IF(COUNT('Turns'!E12)=1,SUM('Turns'!E12),"Unknown")</f>
        <v>9.501192e-05</v>
      </c>
      <c r="X8" s="2">
        <f>IF(COUNT('Turns'!F12)=1,SUM('Turns'!F12),"Unknown")</f>
        <v>0.000108</v>
      </c>
      <c r="Y8" s="2">
        <f>IF(COUNT('Turns'!E17)=1,SUM('Turns'!E17),"Unknown")</f>
        <v>0.000325327852</v>
      </c>
      <c r="Z8" s="2">
        <f>IF(COUNT('Turns'!F17)=1,SUM('Turns'!F17),"Unknown")</f>
        <v>0.0003698</v>
      </c>
      <c r="AA8" s="5">
        <f>IF(ISNUMBER(Y8),ROUND(Y8*'Reference data'!$B$2,0),"Unknown")</f>
        <v>33.0</v>
      </c>
      <c r="AB8" s="5">
        <f>IF(ISNUMBER(Z8),ROUND(Z8*'Reference data'!$B$2,0),"Unknown")</f>
        <v>37.0</v>
      </c>
      <c r="AC8" s="1" t="s">
        <v>93</v>
      </c>
      <c r="AD8" s="1">
        <v>3376.031</v>
      </c>
      <c r="AE8" s="1" t="s">
        <v>136</v>
      </c>
    </row>
    <row r="9" spans="1:31" ht="54" customHeight="1">
      <c r="A9" s="6" t="s">
        <v>137</v>
      </c>
      <c r="B9" s="1">
        <v>2</v>
      </c>
      <c r="C9" s="1" t="s">
        <v>117</v>
      </c>
      <c r="D9" s="1" t="s">
        <v>47</v>
      </c>
      <c r="E9" s="1" t="s">
        <v>111</v>
      </c>
      <c r="G9" s="6" t="s">
        <v>138</v>
      </c>
      <c r="H9" t="s">
        <v>139</v>
      </c>
      <c r="I9" t="s">
        <v>126</v>
      </c>
      <c r="AD9" s="1">
        <v>0.32</v>
      </c>
      <c r="AE9" s="1" t="s">
        <v>123</v>
      </c>
    </row>
    <row r="10" spans="1:31" ht="54" customHeight="1">
      <c r="A10" s="6" t="s">
        <v>140</v>
      </c>
      <c r="B10" s="1">
        <v>1</v>
      </c>
      <c r="C10" s="1" t="s">
        <v>117</v>
      </c>
      <c r="D10" s="1" t="s">
        <v>47</v>
      </c>
      <c r="E10" s="1" t="s">
        <v>141</v>
      </c>
      <c r="G10" s="6" t="s">
        <v>142</v>
      </c>
      <c r="H10" t="s">
        <v>143</v>
      </c>
      <c r="I10" t="s">
        <v>49</v>
      </c>
      <c r="AD10" s="1">
        <v>0.401</v>
      </c>
      <c r="AE10" s="1" t="s">
        <v>123</v>
      </c>
    </row>
    <row r="11" spans="1:31" ht="54" customHeight="1">
      <c r="A11" s="6" t="s">
        <v>116</v>
      </c>
      <c r="B11" s="1">
        <v>0</v>
      </c>
      <c r="C11" s="1" t="s">
        <v>117</v>
      </c>
      <c r="D11" s="1" t="s">
        <v>47</v>
      </c>
      <c r="E11" s="1" t="s">
        <v>111</v>
      </c>
      <c r="G11" s="6" t="s">
        <v>118</v>
      </c>
      <c r="H11" t="s">
        <v>144</v>
      </c>
      <c r="J11" s="2">
        <f>IF(COUNT('Turns'!D20)=1,SUM('Turns'!D20),"Unknown")</f>
        <v>600.0</v>
      </c>
      <c r="K11" s="2">
        <f>IF(COUNT('Turns'!E20)=1,SUM('Turns'!E20),"Unknown")</f>
        <v>0.0001055688</v>
      </c>
      <c r="L11" s="2">
        <f>IF(COUNT('Turns'!F20)=1,SUM('Turns'!F20),"Unknown")</f>
        <v>0.00012</v>
      </c>
      <c r="M11" s="2">
        <f>IF(COUNT('Turns'!D19)=1,SUM('Turns'!D19),"Unknown")</f>
        <v>0.0</v>
      </c>
      <c r="N11" s="2">
        <f>IF(COUNT('Turns'!E19)=1,SUM('Turns'!E19),"Unknown")</f>
        <v>0.0</v>
      </c>
      <c r="O11" s="2">
        <f>IF(COUNT('Turns'!F19)=1,SUM('Turns'!F19),"Unknown")</f>
        <v>0.0</v>
      </c>
      <c r="P11" s="2">
        <v>0</v>
      </c>
      <c r="Q11" s="2">
        <v>0</v>
      </c>
      <c r="R11" s="2">
        <v>0</v>
      </c>
      <c r="S11" s="2">
        <f>IF(COUNT('Turns'!D25)=1,SUM('Turns'!D25),"Unknown")</f>
        <v>143.0</v>
      </c>
      <c r="T11" s="2">
        <f>IF(COUNT('Turns'!E25)=1,SUM('Turns'!E25),"Unknown")</f>
        <v>0.000150963384</v>
      </c>
      <c r="U11" s="2">
        <f>IF(COUNT('Turns'!F25)=1,SUM('Turns'!F25),"Unknown")</f>
        <v>0.0001716</v>
      </c>
      <c r="V11" s="2">
        <f>IF(COUNT('Turns'!D24)=1,SUM('Turns'!D24),"Unknown")</f>
        <v>109.0</v>
      </c>
      <c r="W11" s="2">
        <f>IF(COUNT('Turns'!E24)=1,SUM('Turns'!E24),"Unknown")</f>
        <v>0.000115069992</v>
      </c>
      <c r="X11" s="2">
        <f>IF(COUNT('Turns'!F24)=1,SUM('Turns'!F24),"Unknown")</f>
        <v>0.0001308</v>
      </c>
      <c r="Y11" s="2">
        <f>IF(COUNT('Turns'!E29)=1,SUM('Turns'!E29),"Unknown")</f>
        <v>0.000371602176</v>
      </c>
      <c r="Z11" s="2">
        <f>IF(COUNT('Turns'!F29)=1,SUM('Turns'!F29),"Unknown")</f>
        <v>0.0004224</v>
      </c>
      <c r="AA11" s="5">
        <f>IF(ISNUMBER(Y11),ROUND(Y11*'Reference data'!$B$2,0),"Unknown")</f>
        <v>37.0</v>
      </c>
      <c r="AB11" s="5">
        <f>IF(ISNUMBER(Z11),ROUND(Z11*'Reference data'!$B$2,0),"Unknown")</f>
        <v>42.0</v>
      </c>
      <c r="AD11" s="1">
        <v>3125.131</v>
      </c>
      <c r="AE11" s="1" t="s">
        <v>119</v>
      </c>
    </row>
    <row r="12" spans="1:31" ht="54" customHeight="1">
      <c r="A12" s="6" t="s">
        <v>140</v>
      </c>
      <c r="B12" s="1">
        <v>1</v>
      </c>
      <c r="C12" s="1" t="s">
        <v>117</v>
      </c>
      <c r="D12" s="1" t="s">
        <v>47</v>
      </c>
      <c r="E12" s="1" t="s">
        <v>111</v>
      </c>
      <c r="G12" s="6" t="s">
        <v>142</v>
      </c>
      <c r="H12" t="s">
        <v>145</v>
      </c>
      <c r="I12" t="s">
        <v>144</v>
      </c>
      <c r="AD12" s="1">
        <v>5.405</v>
      </c>
      <c r="AE12" s="1" t="s">
        <v>123</v>
      </c>
    </row>
    <row r="13" spans="1:31" ht="54" customHeight="1">
      <c r="A13" s="6" t="s">
        <v>146</v>
      </c>
      <c r="B13" s="1">
        <v>2</v>
      </c>
      <c r="C13" s="1" t="s">
        <v>117</v>
      </c>
      <c r="D13" s="1" t="s">
        <v>47</v>
      </c>
      <c r="E13" s="1" t="s">
        <v>111</v>
      </c>
      <c r="G13" s="6" t="s">
        <v>147</v>
      </c>
      <c r="H13" t="s">
        <v>148</v>
      </c>
      <c r="I13" t="s">
        <v>145</v>
      </c>
      <c r="AD13" s="1">
        <v>0.527</v>
      </c>
      <c r="AE13" s="1" t="s">
        <v>123</v>
      </c>
    </row>
    <row r="14" spans="1:31" ht="54" customHeight="1">
      <c r="A14" s="6" t="s">
        <v>124</v>
      </c>
      <c r="B14" s="1">
        <v>1</v>
      </c>
      <c r="C14" s="1" t="s">
        <v>117</v>
      </c>
      <c r="D14" s="1" t="s">
        <v>47</v>
      </c>
      <c r="E14" s="1" t="s">
        <v>111</v>
      </c>
      <c r="G14" s="6" t="s">
        <v>125</v>
      </c>
      <c r="H14" t="s">
        <v>149</v>
      </c>
      <c r="I14" t="s">
        <v>144</v>
      </c>
      <c r="J14" s="2">
        <f>IF(COUNT('Turns'!D20)=1,SUM('Turns'!D20),"Unknown")</f>
        <v>600.0</v>
      </c>
      <c r="K14" s="2">
        <f>IF(COUNT('Turns'!E20)=1,SUM('Turns'!E20),"Unknown")</f>
        <v>0.0001055688</v>
      </c>
      <c r="L14" s="2">
        <f>IF(COUNT('Turns'!F20)=1,SUM('Turns'!F20),"Unknown")</f>
        <v>0.00012</v>
      </c>
      <c r="M14" s="2">
        <f>IF(COUNT('Turns'!D19)=1,SUM('Turns'!D19),"Unknown")</f>
        <v>0.0</v>
      </c>
      <c r="N14" s="2">
        <f>IF(COUNT('Turns'!E19)=1,SUM('Turns'!E19),"Unknown")</f>
        <v>0.0</v>
      </c>
      <c r="O14" s="2">
        <f>IF(COUNT('Turns'!F19)=1,SUM('Turns'!F19),"Unknown")</f>
        <v>0.0</v>
      </c>
      <c r="P14" s="2">
        <v>0</v>
      </c>
      <c r="Q14" s="2">
        <v>0</v>
      </c>
      <c r="R14" s="2">
        <v>0</v>
      </c>
      <c r="S14" s="2">
        <f>IF(COUNT('Turns'!D25)=1,SUM('Turns'!D25),"Unknown")</f>
        <v>143.0</v>
      </c>
      <c r="T14" s="2">
        <f>IF(COUNT('Turns'!E25)=1,SUM('Turns'!E25),"Unknown")</f>
        <v>0.000150963384</v>
      </c>
      <c r="U14" s="2">
        <f>IF(COUNT('Turns'!F25)=1,SUM('Turns'!F25),"Unknown")</f>
        <v>0.0001716</v>
      </c>
      <c r="V14" s="2">
        <f>IF(COUNT('Turns'!D24)=1,SUM('Turns'!D24),"Unknown")</f>
        <v>109.0</v>
      </c>
      <c r="W14" s="2">
        <f>IF(COUNT('Turns'!E24)=1,SUM('Turns'!E24),"Unknown")</f>
        <v>0.000115069992</v>
      </c>
      <c r="X14" s="2">
        <f>IF(COUNT('Turns'!F24)=1,SUM('Turns'!F24),"Unknown")</f>
        <v>0.0001308</v>
      </c>
      <c r="Y14" s="2">
        <f>IF(COUNT('Turns'!E29)=1,SUM('Turns'!E29),"Unknown")</f>
        <v>0.000371602176</v>
      </c>
      <c r="Z14" s="2">
        <f>IF(COUNT('Turns'!F29)=1,SUM('Turns'!F29),"Unknown")</f>
        <v>0.0004224</v>
      </c>
      <c r="AA14" s="5">
        <f>IF(ISNUMBER(Y14),ROUND(Y14*'Reference data'!$B$2,0),"Unknown")</f>
        <v>37.0</v>
      </c>
      <c r="AB14" s="5">
        <f>IF(ISNUMBER(Z14),ROUND(Z14*'Reference data'!$B$2,0),"Unknown")</f>
        <v>42.0</v>
      </c>
      <c r="AD14" s="1">
        <v>3112.328</v>
      </c>
      <c r="AE14" s="1" t="s">
        <v>119</v>
      </c>
    </row>
    <row r="15" spans="1:31" ht="54" customHeight="1">
      <c r="A15" s="6" t="s">
        <v>127</v>
      </c>
      <c r="B15" s="1">
        <v>2</v>
      </c>
      <c r="C15" s="1" t="s">
        <v>117</v>
      </c>
      <c r="D15" s="1" t="s">
        <v>47</v>
      </c>
      <c r="E15" s="1" t="s">
        <v>111</v>
      </c>
      <c r="G15" s="6" t="s">
        <v>128</v>
      </c>
      <c r="H15" t="s">
        <v>150</v>
      </c>
      <c r="I15" t="s">
        <v>149</v>
      </c>
      <c r="J15" s="2">
        <f>IF(COUNT('Turns'!D20)=1,SUM('Turns'!D20),"Unknown")</f>
        <v>600.0</v>
      </c>
      <c r="K15" s="2">
        <f>IF(COUNT('Turns'!E20)=1,SUM('Turns'!E20),"Unknown")</f>
        <v>0.0001055688</v>
      </c>
      <c r="L15" s="2">
        <f>IF(COUNT('Turns'!F20)=1,SUM('Turns'!F20),"Unknown")</f>
        <v>0.00012</v>
      </c>
      <c r="M15" s="2">
        <f>IF(COUNT('Turns'!D19)=1,SUM('Turns'!D19),"Unknown")</f>
        <v>0.0</v>
      </c>
      <c r="N15" s="2">
        <f>IF(COUNT('Turns'!E19)=1,SUM('Turns'!E19),"Unknown")</f>
        <v>0.0</v>
      </c>
      <c r="O15" s="2">
        <f>IF(COUNT('Turns'!F19)=1,SUM('Turns'!F19),"Unknown")</f>
        <v>0.0</v>
      </c>
      <c r="P15" s="2">
        <v>0</v>
      </c>
      <c r="Q15" s="2">
        <v>0</v>
      </c>
      <c r="R15" s="2">
        <v>0</v>
      </c>
      <c r="S15" s="2">
        <f>IF(COUNT('Turns'!D25)=1,SUM('Turns'!D25),"Unknown")</f>
        <v>143.0</v>
      </c>
      <c r="T15" s="2">
        <f>IF(COUNT('Turns'!E25)=1,SUM('Turns'!E25),"Unknown")</f>
        <v>0.000150963384</v>
      </c>
      <c r="U15" s="2">
        <f>IF(COUNT('Turns'!F25)=1,SUM('Turns'!F25),"Unknown")</f>
        <v>0.0001716</v>
      </c>
      <c r="V15" s="2">
        <f>IF(COUNT('Turns'!D24)=1,SUM('Turns'!D24),"Unknown")</f>
        <v>109.0</v>
      </c>
      <c r="W15" s="2">
        <f>IF(COUNT('Turns'!E24)=1,SUM('Turns'!E24),"Unknown")</f>
        <v>0.000115069992</v>
      </c>
      <c r="X15" s="2">
        <f>IF(COUNT('Turns'!F24)=1,SUM('Turns'!F24),"Unknown")</f>
        <v>0.0001308</v>
      </c>
      <c r="Y15" s="2">
        <f>IF(COUNT('Turns'!E29)=1,SUM('Turns'!E29),"Unknown")</f>
        <v>0.000371602176</v>
      </c>
      <c r="Z15" s="2">
        <f>IF(COUNT('Turns'!F29)=1,SUM('Turns'!F29),"Unknown")</f>
        <v>0.0004224</v>
      </c>
      <c r="AA15" s="5">
        <f>IF(ISNUMBER(Y15),ROUND(Y15*'Reference data'!$B$2,0),"Unknown")</f>
        <v>37.0</v>
      </c>
      <c r="AB15" s="5">
        <f>IF(ISNUMBER(Z15),ROUND(Z15*'Reference data'!$B$2,0),"Unknown")</f>
        <v>42.0</v>
      </c>
      <c r="AD15" s="1">
        <v>3109.665</v>
      </c>
      <c r="AE15" s="1" t="s">
        <v>119</v>
      </c>
    </row>
    <row r="16" spans="1:31" ht="54" customHeight="1">
      <c r="A16" s="6" t="s">
        <v>130</v>
      </c>
      <c r="B16" s="1">
        <v>3</v>
      </c>
      <c r="C16" s="1" t="s">
        <v>117</v>
      </c>
      <c r="D16" s="1" t="s">
        <v>47</v>
      </c>
      <c r="E16" s="1" t="s">
        <v>111</v>
      </c>
      <c r="G16" s="6" t="s">
        <v>128</v>
      </c>
      <c r="H16" t="s">
        <v>151</v>
      </c>
      <c r="I16" t="s">
        <v>150</v>
      </c>
      <c r="J16" s="2">
        <f>IF(COUNT('Turns'!D20)=1,SUM('Turns'!D20),"Unknown")</f>
        <v>600.0</v>
      </c>
      <c r="K16" s="2">
        <f>IF(COUNT('Turns'!E20)=1,SUM('Turns'!E20),"Unknown")</f>
        <v>0.0001055688</v>
      </c>
      <c r="L16" s="2">
        <f>IF(COUNT('Turns'!F20)=1,SUM('Turns'!F20),"Unknown")</f>
        <v>0.00012</v>
      </c>
      <c r="M16" s="2">
        <f>IF(COUNT('Turns'!D19)=1,SUM('Turns'!D19),"Unknown")</f>
        <v>0.0</v>
      </c>
      <c r="N16" s="2">
        <f>IF(COUNT('Turns'!E19)=1,SUM('Turns'!E19),"Unknown")</f>
        <v>0.0</v>
      </c>
      <c r="O16" s="2">
        <f>IF(COUNT('Turns'!F19)=1,SUM('Turns'!F19),"Unknown")</f>
        <v>0.0</v>
      </c>
      <c r="P16" s="2">
        <v>0</v>
      </c>
      <c r="Q16" s="2">
        <v>0</v>
      </c>
      <c r="R16" s="2">
        <v>0</v>
      </c>
      <c r="S16" s="2">
        <f>IF(COUNT('Turns'!D25)=1,SUM('Turns'!D25),"Unknown")</f>
        <v>143.0</v>
      </c>
      <c r="T16" s="2">
        <f>IF(COUNT('Turns'!E25)=1,SUM('Turns'!E25),"Unknown")</f>
        <v>0.000150963384</v>
      </c>
      <c r="U16" s="2">
        <f>IF(COUNT('Turns'!F25)=1,SUM('Turns'!F25),"Unknown")</f>
        <v>0.0001716</v>
      </c>
      <c r="V16" s="2">
        <f>IF(COUNT('Turns'!D24)=1,SUM('Turns'!D24),"Unknown")</f>
        <v>109.0</v>
      </c>
      <c r="W16" s="2">
        <f>IF(COUNT('Turns'!E24)=1,SUM('Turns'!E24),"Unknown")</f>
        <v>0.000115069992</v>
      </c>
      <c r="X16" s="2">
        <f>IF(COUNT('Turns'!F24)=1,SUM('Turns'!F24),"Unknown")</f>
        <v>0.0001308</v>
      </c>
      <c r="Y16" s="2">
        <f>IF(COUNT('Turns'!E29)=1,SUM('Turns'!E29),"Unknown")</f>
        <v>0.000371602176</v>
      </c>
      <c r="Z16" s="2">
        <f>IF(COUNT('Turns'!F29)=1,SUM('Turns'!F29),"Unknown")</f>
        <v>0.0004224</v>
      </c>
      <c r="AA16" s="5">
        <f>IF(ISNUMBER(Y16),ROUND(Y16*'Reference data'!$B$2,0),"Unknown")</f>
        <v>37.0</v>
      </c>
      <c r="AB16" s="5">
        <f>IF(ISNUMBER(Z16),ROUND(Z16*'Reference data'!$B$2,0),"Unknown")</f>
        <v>42.0</v>
      </c>
      <c r="AD16" s="1">
        <v>3107.373</v>
      </c>
      <c r="AE16" s="1" t="s">
        <v>119</v>
      </c>
    </row>
    <row r="17" spans="1:31" ht="54" customHeight="1">
      <c r="A17" s="6" t="s">
        <v>132</v>
      </c>
      <c r="B17" s="1">
        <v>4</v>
      </c>
      <c r="C17" s="1" t="s">
        <v>117</v>
      </c>
      <c r="D17" s="1" t="s">
        <v>47</v>
      </c>
      <c r="E17" s="1" t="s">
        <v>111</v>
      </c>
      <c r="G17" s="6" t="s">
        <v>128</v>
      </c>
      <c r="H17" t="s">
        <v>152</v>
      </c>
      <c r="I17" t="s">
        <v>151</v>
      </c>
      <c r="J17" s="2">
        <f>IF(COUNT('Turns'!D20)=1,SUM('Turns'!D20),"Unknown")</f>
        <v>600.0</v>
      </c>
      <c r="K17" s="2">
        <f>IF(COUNT('Turns'!E20)=1,SUM('Turns'!E20),"Unknown")</f>
        <v>0.0001055688</v>
      </c>
      <c r="L17" s="2">
        <f>IF(COUNT('Turns'!F20)=1,SUM('Turns'!F20),"Unknown")</f>
        <v>0.00012</v>
      </c>
      <c r="M17" s="2">
        <f>IF(COUNT('Turns'!D19)=1,SUM('Turns'!D19),"Unknown")</f>
        <v>0.0</v>
      </c>
      <c r="N17" s="2">
        <f>IF(COUNT('Turns'!E19)=1,SUM('Turns'!E19),"Unknown")</f>
        <v>0.0</v>
      </c>
      <c r="O17" s="2">
        <f>IF(COUNT('Turns'!F19)=1,SUM('Turns'!F19),"Unknown")</f>
        <v>0.0</v>
      </c>
      <c r="P17" s="2">
        <v>0</v>
      </c>
      <c r="Q17" s="2">
        <v>0</v>
      </c>
      <c r="R17" s="2">
        <v>0</v>
      </c>
      <c r="S17" s="2">
        <f>IF(COUNT('Turns'!D25)=1,SUM('Turns'!D25),"Unknown")</f>
        <v>143.0</v>
      </c>
      <c r="T17" s="2">
        <f>IF(COUNT('Turns'!E25)=1,SUM('Turns'!E25),"Unknown")</f>
        <v>0.000150963384</v>
      </c>
      <c r="U17" s="2">
        <f>IF(COUNT('Turns'!F25)=1,SUM('Turns'!F25),"Unknown")</f>
        <v>0.0001716</v>
      </c>
      <c r="V17" s="2">
        <f>IF(COUNT('Turns'!D24)=1,SUM('Turns'!D24),"Unknown")</f>
        <v>109.0</v>
      </c>
      <c r="W17" s="2">
        <f>IF(COUNT('Turns'!E24)=1,SUM('Turns'!E24),"Unknown")</f>
        <v>0.000115069992</v>
      </c>
      <c r="X17" s="2">
        <f>IF(COUNT('Turns'!F24)=1,SUM('Turns'!F24),"Unknown")</f>
        <v>0.0001308</v>
      </c>
      <c r="Y17" s="2">
        <f>IF(COUNT('Turns'!E29)=1,SUM('Turns'!E29),"Unknown")</f>
        <v>0.000371602176</v>
      </c>
      <c r="Z17" s="2">
        <f>IF(COUNT('Turns'!F29)=1,SUM('Turns'!F29),"Unknown")</f>
        <v>0.0004224</v>
      </c>
      <c r="AA17" s="5">
        <f>IF(ISNUMBER(Y17),ROUND(Y17*'Reference data'!$B$2,0),"Unknown")</f>
        <v>37.0</v>
      </c>
      <c r="AB17" s="5">
        <f>IF(ISNUMBER(Z17),ROUND(Z17*'Reference data'!$B$2,0),"Unknown")</f>
        <v>42.0</v>
      </c>
      <c r="AD17" s="1">
        <v>3103.544</v>
      </c>
      <c r="AE17" s="1" t="s">
        <v>119</v>
      </c>
    </row>
    <row r="18" spans="1:31" ht="54" customHeight="1">
      <c r="A18" s="6" t="s">
        <v>134</v>
      </c>
      <c r="B18" s="1">
        <v>5</v>
      </c>
      <c r="C18" s="1" t="s">
        <v>135</v>
      </c>
      <c r="D18" s="1" t="s">
        <v>95</v>
      </c>
      <c r="E18" s="1" t="s">
        <v>111</v>
      </c>
      <c r="F18" s="1">
        <v>600</v>
      </c>
      <c r="G18" s="6" t="s">
        <v>128</v>
      </c>
      <c r="H18" t="s">
        <v>113</v>
      </c>
      <c r="I18" t="s">
        <v>152</v>
      </c>
      <c r="J18" s="2">
        <f>IF(COUNT('Turns'!D20)=1,SUM('Turns'!D20),"Unknown")</f>
        <v>600.0</v>
      </c>
      <c r="K18" s="2">
        <f>IF(COUNT('Turns'!E20)=1,SUM('Turns'!E20),"Unknown")</f>
        <v>0.0001055688</v>
      </c>
      <c r="L18" s="2">
        <f>IF(COUNT('Turns'!F20)=1,SUM('Turns'!F20),"Unknown")</f>
        <v>0.00012</v>
      </c>
      <c r="M18" s="2">
        <f>IF(COUNT('Turns'!D19)=1,SUM('Turns'!D19),"Unknown")</f>
        <v>0.0</v>
      </c>
      <c r="N18" s="2">
        <f>IF(COUNT('Turns'!E19)=1,SUM('Turns'!E19),"Unknown")</f>
        <v>0.0</v>
      </c>
      <c r="O18" s="2">
        <f>IF(COUNT('Turns'!F19)=1,SUM('Turns'!F19),"Unknown")</f>
        <v>0.0</v>
      </c>
      <c r="P18" s="2">
        <v>0</v>
      </c>
      <c r="Q18" s="2">
        <v>0</v>
      </c>
      <c r="R18" s="2">
        <v>0</v>
      </c>
      <c r="S18" s="2">
        <f>IF(COUNT('Turns'!D25)=1,SUM('Turns'!D25),"Unknown")</f>
        <v>143.0</v>
      </c>
      <c r="T18" s="2">
        <f>IF(COUNT('Turns'!E25)=1,SUM('Turns'!E25),"Unknown")</f>
        <v>0.000150963384</v>
      </c>
      <c r="U18" s="2">
        <f>IF(COUNT('Turns'!F25)=1,SUM('Turns'!F25),"Unknown")</f>
        <v>0.0001716</v>
      </c>
      <c r="V18" s="2">
        <f>IF(COUNT('Turns'!D24)=1,SUM('Turns'!D24),"Unknown")</f>
        <v>109.0</v>
      </c>
      <c r="W18" s="2">
        <f>IF(COUNT('Turns'!E24)=1,SUM('Turns'!E24),"Unknown")</f>
        <v>0.000115069992</v>
      </c>
      <c r="X18" s="2">
        <f>IF(COUNT('Turns'!F24)=1,SUM('Turns'!F24),"Unknown")</f>
        <v>0.0001308</v>
      </c>
      <c r="Y18" s="2">
        <f>IF(COUNT('Turns'!E29)=1,SUM('Turns'!E29),"Unknown")</f>
        <v>0.000371602176</v>
      </c>
      <c r="Z18" s="2">
        <f>IF(COUNT('Turns'!F29)=1,SUM('Turns'!F29),"Unknown")</f>
        <v>0.0004224</v>
      </c>
      <c r="AA18" s="5">
        <f>IF(ISNUMBER(Y18),ROUND(Y18*'Reference data'!$B$2,0),"Unknown")</f>
        <v>37.0</v>
      </c>
      <c r="AB18" s="5">
        <f>IF(ISNUMBER(Z18),ROUND(Z18*'Reference data'!$B$2,0),"Unknown")</f>
        <v>42.0</v>
      </c>
      <c r="AC18" s="1" t="s">
        <v>112</v>
      </c>
      <c r="AD18" s="1">
        <v>3101.371</v>
      </c>
      <c r="AE18" s="1" t="s">
        <v>136</v>
      </c>
    </row>
    <row r="19" spans="1:31" ht="54" customHeight="1">
      <c r="A19" s="6" t="s">
        <v>137</v>
      </c>
      <c r="B19" s="1">
        <v>2</v>
      </c>
      <c r="C19" s="1" t="s">
        <v>117</v>
      </c>
      <c r="D19" s="1" t="s">
        <v>47</v>
      </c>
      <c r="E19" s="1" t="s">
        <v>111</v>
      </c>
      <c r="G19" s="6" t="s">
        <v>138</v>
      </c>
      <c r="H19" t="s">
        <v>153</v>
      </c>
      <c r="I19" t="s">
        <v>149</v>
      </c>
      <c r="AD19" s="1">
        <v>0.533</v>
      </c>
      <c r="AE19" s="1" t="s">
        <v>123</v>
      </c>
    </row>
    <row r="20" spans="1:31" ht="54" customHeight="1">
      <c r="A20" s="6" t="s">
        <v>154</v>
      </c>
      <c r="B20" s="1">
        <v>1</v>
      </c>
      <c r="C20" s="1" t="s">
        <v>117</v>
      </c>
      <c r="D20" s="1" t="s">
        <v>47</v>
      </c>
      <c r="E20" s="1" t="s">
        <v>111</v>
      </c>
      <c r="G20" s="6" t="s">
        <v>155</v>
      </c>
      <c r="H20" t="s">
        <v>156</v>
      </c>
      <c r="I20" t="s">
        <v>144</v>
      </c>
      <c r="AD20" s="1">
        <v>1.474</v>
      </c>
      <c r="AE20" s="1" t="s">
        <v>123</v>
      </c>
    </row>
  </sheetData>
  <conditionalFormatting sqref="A2:AE20">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2026-09-24T22:26:13Z</dcterms:created>
  <dcterms:modified xsi:type="dcterms:W3CDTF">2026-09-24T22:26:13Z</dcterms:modified>
</cp:coreProperties>
</file>
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074974231d4262" /></Relationships>
</file>

<file path=xl/workbook.xml><?xml version="1.0" encoding="utf-8"?>
<x:workbook xmlns:x="http://schemas.openxmlformats.org/spreadsheetml/2006/main">
  <x:sheets>
    <x:sheet xmlns:r="http://schemas.openxmlformats.org/officeDocument/2006/relationships" name="Turns" sheetId="1" r:id="R309dd8f57fc9403d"/>
    <x:sheet xmlns:r="http://schemas.openxmlformats.org/officeDocument/2006/relationships" name="Execution tree" sheetId="2" r:id="Rc651a363677c430b"/>
    <x:sheet xmlns:r="http://schemas.openxmlformats.org/officeDocument/2006/relationships" name="Reference data" sheetId="3" r:id="R689c6f636d9a473e"/>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yyyy-mm-dd"/>
    <x:numFmt numFmtId="203" formatCode="yyyy-mm-dd hh:mm:ss"/>
    <x:numFmt numFmtId="204" formatCode="0.00"/>
  </x:numFmts>
  <x:fonts count="5">
    <x:font>
      <x:sz val="11"/>
      <x:name val="Carlito"/>
    </x:font>
    <x:font>
      <x:sz val="10"/>
      <x:color rgb="FF193E42"/>
      <x:name val="Arial"/>
    </x:font>
    <x:font>
      <x:b/>
      <x:sz val="10"/>
      <x:color rgb="FFFFFFFF"/>
      <x:name val="Arial"/>
    </x:font>
    <x:font>
      <x:b/>
      <x:sz val="10"/>
      <x:color rgb="FF173B70"/>
      <x:name val="Arial"/>
    </x:font>
    <x:font>
      <x:b/>
      <x:sz val="10"/>
      <x:color rgb="FF193E42"/>
      <x:name val="Arial"/>
    </x:font>
  </x:fonts>
  <x:fills count="8">
    <x:fill>
      <x:patternFill patternType="none"/>
    </x:fill>
    <x:fill>
      <x:patternFill patternType="gray125"/>
    </x:fill>
    <x:fill>
      <x:patternFill patternType="solid">
        <x:fgColor rgb="FF173B70"/>
      </x:patternFill>
    </x:fill>
    <x:fill>
      <x:patternFill patternType="solid">
        <x:fgColor rgb="FFFFF1B8"/>
      </x:patternFill>
    </x:fill>
    <x:fill>
      <x:patternFill patternType="solid">
        <x:fgColor rgb="FFDBE5F1"/>
      </x:patternFill>
    </x:fill>
    <x:fill>
      <x:patternFill patternType="solid">
        <x:fgColor rgb="FFF0F5FC"/>
      </x:patternFill>
    </x:fill>
    <x:fill>
      <x:patternFill patternType="solid">
        <x:fgColor rgb="FFE8EEF7"/>
      </x:patternFill>
    </x:fill>
    <x:fill>
      <x:patternFill patternType="solid">
        <x:fgColor rgb="FFFFFFFF"/>
      </x:patternFill>
    </x:fill>
  </x:fills>
  <x:borders count="1">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x:xf>
    <x:xf numFmtId="0" fontId="3" fillId="3" borderId="0" xfId="0" applyNumberFormat="1" applyFont="1" applyFill="1" applyBorder="1" applyAlignment="1">
      <x:alignment vertical="top"/>
    </x:xf>
    <x:xf numFmtId="200" fontId="3" fillId="3" borderId="0" xfId="0" applyNumberFormat="1" applyFont="1" applyFill="1" applyBorder="1" applyAlignment="1">
      <x:alignment vertical="top"/>
    </x:xf>
    <x:xf numFmtId="201"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4" borderId="0" xfId="0" applyNumberFormat="1" applyFont="1" applyFill="1" applyBorder="1" applyAlignment="1">
      <x:alignment vertical="top"/>
    </x:xf>
    <x:xf numFmtId="0" fontId="3" fillId="4" borderId="0" xfId="0" applyNumberFormat="1" applyFont="1" applyFill="1" applyBorder="1" applyAlignment="1">
      <x:alignment vertical="top"/>
    </x:xf>
    <x:xf numFmtId="0" fontId="1" fillId="5" borderId="0" xfId="0" applyNumberFormat="1" applyFont="1" applyFill="1" applyBorder="1" applyAlignment="1">
      <x:alignment vertical="top"/>
    </x:xf>
    <x:xf numFmtId="0" fontId="3" fillId="5" borderId="0" xfId="0" applyNumberFormat="1" applyFont="1" applyFill="1" applyBorder="1" applyAlignment="1">
      <x:alignment vertical="top"/>
    </x:xf>
    <x:xf numFmtId="0" fontId="4" fillId="0"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201" fontId="3" fillId="4" borderId="0" xfId="0" applyNumberFormat="1" applyFont="1" applyFill="1" applyBorder="1" applyAlignment="1">
      <x:alignment vertical="top"/>
    </x:xf>
    <x:xf numFmtId="201" fontId="3" fillId="5" borderId="0" xfId="0" applyNumberFormat="1" applyFont="1" applyFill="1" applyBorder="1" applyAlignment="1">
      <x:alignment vertical="top"/>
    </x:xf>
    <x:xf numFmtId="200" fontId="3" fillId="4" borderId="0" xfId="0" applyNumberFormat="1" applyFont="1" applyFill="1" applyBorder="1" applyAlignment="1">
      <x:alignment vertical="top"/>
    </x:xf>
    <x:xf numFmtId="200" fontId="3" fillId="5" borderId="0" xfId="0" applyNumberFormat="1" applyFont="1" applyFill="1" applyBorder="1" applyAlignment="1">
      <x:alignment vertical="top"/>
    </x:xf>
    <x:xf numFmtId="200" fontId="1" fillId="0" borderId="0" xfId="0" applyNumberFormat="1" applyFont="1" applyFill="1" applyBorder="1" applyAlignment="1">
      <x:alignment vertical="top"/>
    </x:xf>
    <x:xf numFmtId="0" fontId="1" fillId="6" borderId="0" xfId="0" applyNumberFormat="1" applyFont="1" applyFill="1" applyBorder="1" applyAlignment="1">
      <x:alignment vertical="top"/>
    </x:xf>
    <x:xf numFmtId="0" fontId="1" fillId="7" borderId="0" xfId="0" applyNumberFormat="1" applyFont="1" applyFill="1" applyBorder="1" applyAlignment="1">
      <x:alignment vertical="top"/>
    </x:xf>
    <x:xf numFmtId="200" fontId="1" fillId="6" borderId="0" xfId="0" applyNumberFormat="1" applyFont="1" applyFill="1" applyBorder="1" applyAlignment="1">
      <x:alignment vertical="top"/>
    </x:xf>
    <x:xf numFmtId="200" fontId="1" fillId="7" borderId="0" xfId="0" applyNumberFormat="1" applyFont="1" applyFill="1" applyBorder="1" applyAlignment="1">
      <x:alignment vertical="top"/>
    </x:xf>
    <x:xf numFmtId="200" fontId="1" fillId="5" borderId="0" xfId="0" applyNumberFormat="1" applyFont="1" applyFill="1" applyBorder="1" applyAlignment="1">
      <x:alignment vertical="top"/>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4" fontId="1" fillId="0" borderId="0" xfId="0" applyNumberFormat="1" applyFont="1" applyFill="1" applyBorder="1" applyAlignment="1">
      <x:alignment vertical="top"/>
    </x:xf>
  </x:cellXfs>
  <x:cellStyles count="1">
    <x:cellStyle name="Normal" xfId="0"/>
  </x:cellStyles>
  <x:dxfs count="4">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
      <x:font>
        <x:color rgb="FF8B1010"/>
      </x:font>
      <x:fill>
        <x:patternFill patternType="solid">
          <x:bgColor rgb="FFFFD3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fc798532cba40b4" /><Relationship Type="http://schemas.openxmlformats.org/officeDocument/2006/relationships/theme" Target="/xl/theme/theme1.xml" Id="Rdb8bdad228484ac3" /><Relationship Type="http://schemas.openxmlformats.org/officeDocument/2006/relationships/sharedStrings" Target="/xl/sharedStrings.xml" Id="R3281836afb134a46" /><Relationship Type="http://schemas.openxmlformats.org/officeDocument/2006/relationships/worksheet" Target="/xl/worksheets/sheet1.xml" Id="R309dd8f57fc9403d" /><Relationship Type="http://schemas.openxmlformats.org/officeDocument/2006/relationships/worksheet" Target="/xl/worksheets/sheet2.xml" Id="Rc651a363677c430b" /><Relationship Type="http://schemas.openxmlformats.org/officeDocument/2006/relationships/worksheet" Target="/xl/worksheets/sheet3.xml" Id="R689c6f636d9a473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10" hidden="0" customWidth="1"/>
    <x:col min="2" max="2" width="10" hidden="0" customWidth="1"/>
    <x:col min="3" max="3" width="38" hidden="0" customWidth="1"/>
    <x:col min="4" max="4" width="14" hidden="0" customWidth="1"/>
    <x:col min="5" max="5" width="22" hidden="0" customWidth="1"/>
    <x:col min="6" max="6" width="22" hidden="0" customWidth="1"/>
    <x:col min="7" max="7" width="18" hidden="0" customWidth="1"/>
    <x:col min="8" max="8" width="18" hidden="0" customWidth="1"/>
    <x:col min="9" max="9" width="100" hidden="0" customWidth="1"/>
    <x:col min="10" max="10" width="26" hidden="0" customWidth="1"/>
    <x:col min="11" max="11" width="18" hidden="0" customWidth="1"/>
    <x:col min="12" max="12" width="18" hidden="0" customWidth="1"/>
    <x:col min="13" max="13" width="38" hidden="0" customWidth="1"/>
  </x:cols>
  <x:sheetData>
    <x:row r="1" ht="44" customHeight="1">
      <x:c r="A1" s="7" t="str">
        <x:v>Request</x:v>
      </x:c>
      <x:c r="B1" s="7" t="str">
        <x:v>Turn</x:v>
      </x:c>
      <x:c r="C1" s="7" t="str">
        <x:v>Sequence</x:v>
      </x:c>
      <x:c r="D1" s="7" t="str">
        <x:v>Tokens</x:v>
      </x:c>
      <x:c r="E1" s="7" t="str">
        <x:v>EUR / execution</x:v>
      </x:c>
      <x:c r="F1" s="7" t="str">
        <x:v>USD / execution</x:v>
      </x:c>
      <x:c r="G1" s="7" t="str">
        <x:v>Projected EUR</x:v>
      </x:c>
      <x:c r="H1" s="7" t="str">
        <x:v>Projected USD</x:v>
      </x:c>
      <x:c r="I1" s="7" t="str">
        <x:v>Content</x:v>
      </x:c>
      <x:c r="J1" s="7" t="str">
        <x:v>Model · effort</x:v>
      </x:c>
      <x:c r="K1" s="7" t="str">
        <x:v>Status</x:v>
      </x:c>
      <x:c r="L1" s="7" t="str">
        <x:v>Context total tokens</x:v>
      </x:c>
      <x:c r="M1" s="7" t="str">
        <x:v>Span ID</x:v>
      </x:c>
    </x:row>
    <x:row r="2" ht="24" customHeight="1">
      <x:c r="A2" s="19"/>
      <x:c r="B2" s="19"/>
      <x:c r="C2" s="19" t="str">
        <x:v>Run total</x:v>
      </x:c>
      <x:c r="D2" s="27"/>
      <x:c r="E2" s="25" t="n">
        <x:f>IF(COUNT(E17,E29)=2,SUM(E17,E29),"Unknown")</x:f>
        <x:v>0.00062513064</x:v>
      </x:c>
      <x:c r="F2" s="25" t="n">
        <x:f>IF(COUNT(F17,F29)=2,SUM(F17,F29),"Unknown")</x:f>
        <x:v>0.0007164000000000001</x:v>
      </x:c>
      <x:c r="G2" s="27" t="n">
        <x:f>IF(ISNUMBER(E2),ROUND(E2*'Reference data'!$B$2,0),"Unknown")</x:f>
        <x:v>63</x:v>
      </x:c>
      <x:c r="H2" s="27" t="n">
        <x:f>IF(ISNUMBER(F2),ROUND(F2*'Reference data'!$B$2,0),"Unknown")</x:f>
        <x:v>72</x:v>
      </x:c>
      <x:c r="I2" s="23"/>
      <x:c r="J2" s="19"/>
      <x:c r="K2" s="19"/>
      <x:c r="L2" s="27"/>
      <x:c r="M2" s="19"/>
    </x:row>
    <x:row r="3" ht="24" customHeight="1">
      <x:c r="A3" s="19"/>
      <x:c r="B3" s="19" t="n">
        <x:v>1</x:v>
      </x:c>
      <x:c r="C3" s="19" t="str">
        <x:v>Turn 1</x:v>
      </x:c>
      <x:c r="D3" s="27"/>
      <x:c r="E3" s="25" t="n">
        <x:f>IF(COUNT(E17,E29)=2,SUM(E17,E29),"Unknown")</x:f>
        <x:v>0.00062513064</x:v>
      </x:c>
      <x:c r="F3" s="25" t="n">
        <x:f>IF(COUNT(F17,F29)=2,SUM(F17,F29),"Unknown")</x:f>
        <x:v>0.0007164000000000001</x:v>
      </x:c>
      <x:c r="G3" s="27" t="n">
        <x:f>IF(ISNUMBER(E3),ROUND(E3*'Reference data'!$B$2,0),"Unknown")</x:f>
        <x:v>63</x:v>
      </x:c>
      <x:c r="H3" s="27" t="n">
        <x:f>IF(ISNUMBER(F3),ROUND(F3*'Reference data'!$B$2,0),"Unknown")</x:f>
        <x:v>72</x:v>
      </x:c>
      <x:c r="I3" s="23"/>
      <x:c r="J3" s="19"/>
      <x:c r="K3" s="19"/>
      <x:c r="L3" s="27"/>
      <x:c r="M3" s="19"/>
    </x:row>
    <x:row r="4" ht="24" customHeight="1">
      <x:c r="A4" s="21" t="str">
        <x:v>R1</x:v>
      </x:c>
      <x:c r="B4" s="21" t="n">
        <x:v>1</x:v>
      </x:c>
      <x:c r="C4" s="21" t="str">
        <x:v>LLM request</x:v>
      </x:c>
      <x:c r="D4" s="28" t="n">
        <x:v>493</x:v>
      </x:c>
      <x:c r="E4" s="26"/>
      <x:c r="F4" s="26"/>
      <x:c r="G4" s="28"/>
      <x:c r="H4" s="28"/>
      <x:c r="I4" s="24"/>
      <x:c r="J4" s="21" t="str">
        <x:v>gpt-5.6-luna</x:v>
      </x:c>
      <x:c r="K4" s="21"/>
      <x:c r="L4" s="28"/>
      <x:c r="M4" s="21" t="str">
        <x:v>01a0c411-32b0-7fe3-9a38-88fc1cafec02</x:v>
      </x:c>
    </x:row>
    <x:row r="5" ht="24" customHeight="1">
      <x:c r="A5" s="2" t="str">
        <x:v>R1</x:v>
      </x:c>
      <x:c r="B5" s="2" t="n">
        <x:v>1</x:v>
      </x:c>
      <x:c r="C5" s="22" t="str">
        <x:v>Fresh input</x:v>
      </x:c>
      <x:c r="D5" s="29" t="n">
        <x:v>493</x:v>
      </x:c>
      <x:c r="E5" s="11" t="n">
        <x:f>IF(AND(ISNUMBER(F5),ISNUMBER('Reference data'!$B$3)),F5*'Reference data'!$B$3,"Unknown")</x:f>
        <x:v>0.00008603836000000002</x:v>
      </x:c>
      <x:c r="F5" s="11" t="n">
        <x:f>IF(D5=0,0,IF(ISNUMBER('Reference data'!B17),D5*'Reference data'!B17/1000000,"Unknown"))</x:f>
        <x:v>0.00009860000000000001</x:v>
      </x:c>
      <x:c r="G5" s="29" t="n">
        <x:f>IF(ISNUMBER(E5),ROUND(E5*'Reference data'!$B$2,0),"Unknown")</x:f>
        <x:v>9</x:v>
      </x:c>
      <x:c r="H5" s="29" t="n">
        <x:f>IF(ISNUMBER(F5),ROUND(F5*'Reference data'!$B$2,0),"Unknown")</x:f>
        <x:v>10</x:v>
      </x:c>
      <x:c r="I5" s="14"/>
      <x:c r="J5" s="2"/>
      <x:c r="K5" s="2"/>
      <x:c r="L5" s="29"/>
      <x:c r="M5" s="2"/>
    </x:row>
    <x:row r="6" ht="24" customHeight="1">
      <x:c r="A6" s="2" t="str">
        <x:v>R1</x:v>
      </x:c>
      <x:c r="B6" s="2" t="n">
        <x:v>1</x:v>
      </x:c>
      <x:c r="C6" s="2" t="str">
        <x:v>    Tool definitions</x:v>
      </x:c>
      <x:c r="D6" s="29"/>
      <x:c r="E6" s="11"/>
      <x:c r="F6" s="11"/>
      <x:c r="G6" s="29"/>
      <x:c r="H6" s="29"/>
      <x:c r="I6" s="14"/>
      <x:c r="J6" s="2"/>
      <x:c r="K6" s="2"/>
      <x:c r="L6" s="29"/>
      <x:c r="M6" s="2"/>
    </x:row>
    <x:row r="7" ht="229" customHeight="1">
      <x:c r="A7" s="2" t="str">
        <x:v>R1</x:v>
      </x:c>
      <x:c r="B7" s="2" t="n">
        <x:v>1</x:v>
      </x:c>
      <x:c r="C7" s="2" t="str">
        <x:v>    System prompt</x:v>
      </x:c>
      <x:c r="D7" s="29"/>
      <x:c r="E7" s="11"/>
      <x:c r="F7" s="11"/>
      <x:c r="G7" s="29"/>
      <x:c r="H7" s="29"/>
      <x:c r="I7" s="14" t="str">
        <x:v>You help a human prepare a quote request. Read the entire request
and clarification conversation. Decide whether its meaning is clear enough to
prepare an accurate request. Notice conflicting requirements, implausible scope,
ambiguous units, and assumptions that would materially change the quote. Ask the
human a focused question in your own words when their judgment or information is
needed. Check for multiple independent issues across the whole request, not just
the first inconsistency. Keep all unresolved issues in view after every answer.
You may group closely related questions; do not complete while a material issue
remains unresolved. Explain the concrete uncertainty. This is a conversation, not a required
field checklist. Do not silently repair contradictions or invent requirements,
prices, feasibility guarantees, or human answers. Reconsider the request after
every answer; an unclear answer may need another question. Complete without a
question when the request is already coherent. Completion summarizes the agreed
scope and any explicitly accepted uncertainty; it does not send a quote or
promise supplier acceptance. Return exactly one QuoteDecision tool call.
</x:v>
      </x:c>
      <x:c r="J7" s="2"/>
      <x:c r="K7" s="2"/>
      <x:c r="L7" s="29"/>
      <x:c r="M7" s="2"/>
    </x:row>
    <x:row r="8" ht="73" customHeight="1">
      <x:c r="A8" s="2" t="str">
        <x:v>R1</x:v>
      </x:c>
      <x:c r="B8" s="2" t="n">
        <x:v>1</x:v>
      </x:c>
      <x:c r="C8" s="2" t="str">
        <x:v>    User prompt</x:v>
      </x:c>
      <x:c r="D8" s="29"/>
      <x:c r="E8" s="11"/>
      <x:c r="F8" s="11"/>
      <x:c r="G8" s="29"/>
      <x:c r="H8" s="29"/>
      <x:c r="I8" s="14" t="str">
        <x:v>{"initial_request": {"name": "Alex", "email": "alex@example.com", "service": "Print 500 individually addressed invitations. Use the exact same text on every copy; no variable printing.", "quantity": 500, "recipients": "650 guests, each must receive their own invitation.", "delivery": "One batch to our office; we will mail them ourselves."}, "conversation": []}</x:v>
      </x:c>
      <x:c r="J8" s="2"/>
      <x:c r="K8" s="2"/>
      <x:c r="L8" s="29"/>
      <x:c r="M8" s="2"/>
    </x:row>
    <x:row r="9" ht="24" customHeight="1">
      <x:c r="A9" s="2" t="str">
        <x:v>R1</x:v>
      </x:c>
      <x:c r="B9" s="2" t="n">
        <x:v>1</x:v>
      </x:c>
      <x:c r="C9" s="2" t="str">
        <x:v>Cache write</x:v>
      </x:c>
      <x:c r="D9" s="29"/>
      <x:c r="E9" s="11"/>
      <x:c r="F9" s="11"/>
      <x:c r="G9" s="29"/>
      <x:c r="H9" s="29"/>
      <x:c r="I9" s="14"/>
      <x:c r="J9" s="2"/>
      <x:c r="K9" s="2"/>
      <x:c r="L9" s="29"/>
      <x:c r="M9" s="2"/>
    </x:row>
    <x:row r="10" ht="24" customHeight="1">
      <x:c r="A10" s="2" t="str">
        <x:v>R1</x:v>
      </x:c>
      <x:c r="B10" s="2" t="n">
        <x:v>1</x:v>
      </x:c>
      <x:c r="C10" s="2" t="str">
        <x:v>Context · added / total</x:v>
      </x:c>
      <x:c r="D10" s="29"/>
      <x:c r="E10" s="11"/>
      <x:c r="F10" s="11"/>
      <x:c r="G10" s="29"/>
      <x:c r="H10" s="29"/>
      <x:c r="I10" s="14"/>
      <x:c r="J10" s="2"/>
      <x:c r="K10" s="2"/>
      <x:c r="L10" s="29"/>
      <x:c r="M10" s="2"/>
    </x:row>
    <x:row r="11" ht="24" customHeight="1">
      <x:c r="A11" s="21" t="str">
        <x:v>R1</x:v>
      </x:c>
      <x:c r="B11" s="21" t="n">
        <x:v>1</x:v>
      </x:c>
      <x:c r="C11" s="21" t="str">
        <x:v>LLM response</x:v>
      </x:c>
      <x:c r="D11" s="28" t="n">
        <x:v>177</x:v>
      </x:c>
      <x:c r="E11" s="26"/>
      <x:c r="F11" s="26"/>
      <x:c r="G11" s="28"/>
      <x:c r="H11" s="28"/>
      <x:c r="I11" s="24"/>
      <x:c r="J11" s="21"/>
      <x:c r="K11" s="21"/>
      <x:c r="L11" s="28"/>
      <x:c r="M11" s="21"/>
    </x:row>
    <x:row r="12" ht="24" customHeight="1">
      <x:c r="A12" s="2" t="str">
        <x:v>R1</x:v>
      </x:c>
      <x:c r="B12" s="2" t="n">
        <x:v>1</x:v>
      </x:c>
      <x:c r="C12" s="22" t="str">
        <x:v>Reasoning</x:v>
      </x:c>
      <x:c r="D12" s="29" t="n">
        <x:v>45</x:v>
      </x:c>
      <x:c r="E12" s="11" t="n">
        <x:f>IF(AND(ISNUMBER(F12),ISNUMBER('Reference data'!$B$3)),F12*'Reference data'!$B$3,"Unknown")</x:f>
        <x:v>0.000047120400000000004</x:v>
      </x:c>
      <x:c r="F12" s="11" t="n">
        <x:f>IF(D12=0,0,IF(ISNUMBER('Reference data'!F17),D12*'Reference data'!F17/1000000,"Unknown"))</x:f>
        <x:v>0.000054</x:v>
      </x:c>
      <x:c r="G12" s="29" t="n">
        <x:f>IF(ISNUMBER(E12),ROUND(E12*'Reference data'!$B$2,0),"Unknown")</x:f>
        <x:v>5</x:v>
      </x:c>
      <x:c r="H12" s="29" t="n">
        <x:f>IF(ISNUMBER(F12),ROUND(F12*'Reference data'!$B$2,0),"Unknown")</x:f>
        <x:v>5</x:v>
      </x:c>
      <x:c r="I12" s="14"/>
      <x:c r="J12" s="2"/>
      <x:c r="K12" s="2"/>
      <x:c r="L12" s="29"/>
      <x:c r="M12" s="2"/>
    </x:row>
    <x:row r="13" ht="24" customHeight="1">
      <x:c r="A13" s="2" t="str">
        <x:v>R1</x:v>
      </x:c>
      <x:c r="B13" s="2" t="n">
        <x:v>1</x:v>
      </x:c>
      <x:c r="C13" s="22" t="str">
        <x:v>Output</x:v>
      </x:c>
      <x:c r="D13" s="29" t="n">
        <x:v>132</x:v>
      </x:c>
      <x:c r="E13" s="11" t="n">
        <x:f>IF(AND(ISNUMBER(F13),ISNUMBER('Reference data'!$B$3)),F13*'Reference data'!$B$3,"Unknown")</x:f>
        <x:v>0.00013821984</x:v>
      </x:c>
      <x:c r="F13" s="11" t="n">
        <x:f>IF(D13=0,0,IF(ISNUMBER('Reference data'!E17),D13*'Reference data'!E17/1000000,"Unknown"))</x:f>
        <x:v>0.0001584</x:v>
      </x:c>
      <x:c r="G13" s="29" t="n">
        <x:f>IF(ISNUMBER(E13),ROUND(E13*'Reference data'!$B$2,0),"Unknown")</x:f>
        <x:v>14</x:v>
      </x:c>
      <x:c r="H13" s="29" t="n">
        <x:f>IF(ISNUMBER(F13),ROUND(F13*'Reference data'!$B$2,0),"Unknown")</x:f>
        <x:v>16</x:v>
      </x:c>
      <x:c r="I13" s="14"/>
      <x:c r="J13" s="2"/>
      <x:c r="K13" s="2"/>
      <x:c r="L13" s="29"/>
      <x:c r="M13" s="2"/>
    </x:row>
    <x:row r="14" ht="476" customHeight="1">
      <x:c r="A14" s="2" t="str">
        <x:v>R1</x:v>
      </x:c>
      <x:c r="B14" s="2" t="n">
        <x:v>1</x:v>
      </x:c>
      <x:c r="C14" s="2" t="str">
        <x:v>    Output content</x:v>
      </x:c>
      <x:c r="D14" s="29"/>
      <x:c r="E14" s="11"/>
      <x:c r="F14" s="11"/>
      <x:c r="G14" s="29"/>
      <x:c r="H14" s="29"/>
      <x:c r="I14" s="14" t="str">
        <x:v>[{"id":"rs_04325eba3e9f61dd006ab12b5164e887d2a567f708170e9116","summary":[],"type":"reasoning","content":[],"index":0,"encrypted_content":"gAAAAABqsStS9j-mv2P1pEu06whDkCWNtavaE2yMWseiQzIryocELRldUeUfE7-YmD1G2Z0Y2RRrSRpGJqoFpLQNlr1IRksvOs7gJax772SCUxMCrAvtHl31-ZL2aGiE6_SIKnXdWiftcuw1hwavBL_EnshUXNrbyLnk1yL62AsHTp7DJS5Xuru1WDbNWT4DvI-Jqke-aZ02rb2fUe9U3UayttYLGcKyTQl8Uyqc3LEN280rOQgxeOuBicWe28zAcGpi5_cPojZIwkH14EOVsnm2c2XHc9MKuEqAddpSwFOoWU-nibQqR35YvqxplRexaWJ0vlVpT7UA4SVW8pME2VFvRpro4VN7qHk5S18Vwd-EEOGErABGIM1a-TH0JiGsqlIwMevVpc5kKY9E8O45OXkjMKCY3cCaIiA2YJ0afqSAcryvDX0lQw4lWxR28-x7LcqyZ7M3T7ekH6xakxMXFbX2-q02wX6iYsLxgWw9cuzsa9DluKeG7dCJ4czChPRv3OZ6ycjtt0zCoyXzZazeAZA1lP5D25Oq4pJ0qmpOKheUlEpbeUqhOCGEIiZBiPLxfkc3jeMHaRFttzVzq5KsQc7DoSIUpyjNvBqQ_i-Ux5lnCL8xD5cH4Ya0YJu2zmeK6QMea7118z_9RPXvvOhtuIAUzw-ilQ52GKqDT5GFHSeLTrkeu0Sh8mKsFN4n_4XOlXlAknfJ-9n3DhwFU0TNIIjOl0YPvG23fDa41k4wjCjG9TbwFAcL40VOMhRQb6tJiadsIPNn7td9A4J6ttS4TqM9OBYNPCrMb1-G0zWwS0nqYjM2BzkhOAblVHogJfiBUXwJuQRXTqrQjADSNP2a6lHIdtkU3ltwYk8SJpIpFYI4KWSSDe4mDZitE2BSmgeD6RuuXelumBqWKP7Nfn1cjtFSQ1RsSWU8Q2yw4dOn6Wv_vOG4slwqOa1xAEEoVG2LVANzAIwHnGDeLaiYKaZSFC0TJKaXMDwJDVTjuUSCYhiuN_GKuy4IRv_NCw1EmZKP7_IYL-geKTvmZlOLpoLrwuP8EtbuGDbn8TE8ebOpgoY_qU5UWNi_McHdRugb8L824jCSF-2eBa5wCOrhAOwyJPqtCpzhnaCI4WxMVyCk4mkH-fphPA3kMN1m7VXY2Iy7kXpKCXwJ2mL9NP8BTkSqXyaFCbLZ-OCpIZ2-Lmfwh54sJgFBPZvNDQRaJHaZwb5wVBJ61Qu1itxxEXXDEugCNA1CBT8JXM2UUTZcq21JQhx7AQ_a02swxGZFdbGncJR7u9SOKXdB5oaysg3XLW3o7si2Mub589nqC4wT93SE5X6So0uuPEfjx66lLEzUz7Bk9nI44fgvvPzMG1J6V1r9wtCm7485pVZvg24ckMUWldWjbUCFuWnEWJClfiAVfK40xSyJUUki29JJrtkMApTWNp_ZzMeghPJ6fyahGdcAvTS9PXfVNDxgTQM="},{"type":"function_call","name":"QuoteDecision","arguments":"{\"action\":\"ask\",\"reason\":\"Two material requirements conflict: the request specifies 500 invitations, but says all 650 guests must receive one, and it also requests individual addressing while requiring identical text with no variable printing. The quantity and addressing method need to be confirmed before an accurate quote request can be prepared.\",\"text\":\"Should the quoted quantity be 650 invitations (one per guest) or 500? Also, do you want guest names/addresses printed on each invitation or envelope, or should all pieces remain completely identical and be supplied unaddressed for you to mail?\"}","call_id":"call_VP4znsiPUyTWPjEMQN0adKs8","id":"fc_04325eba3e9f61dd006ab12b523b5c87d28ec55119841994bc","index":1}]
{"name":"QuoteDecision","args":{"action":"ask","reason":"Two material requirements conflict: the request specifies 500 invitations, but says all 650 guests must receive one, and it also requests individual addressing while requiring identical text with no variable printing. The quantity and addressing method need to be confirmed before an accurate quote request can be prepared.","text":"Should the quoted quantity be 650 invitations (one per guest) or 500? Also, do you want guest names/addresses printed on each invitation or envelope, or should all pieces remain completely identical and be supplied unaddressed for you to mail?"},"id":"call_VP4znsiPUyTWPjEMQN0adKs8","type":"tool_call"}</x:v>
      </x:c>
      <x:c r="J14" s="2"/>
      <x:c r="K14" s="2"/>
      <x:c r="L14" s="29"/>
      <x:c r="M14" s="2"/>
    </x:row>
    <x:row r="15" ht="24" customHeight="1">
      <x:c r="A15" s="2" t="str">
        <x:v>R1</x:v>
      </x:c>
      <x:c r="B15" s="2" t="n">
        <x:v>1</x:v>
      </x:c>
      <x:c r="C15" s="2" t="str">
        <x:v>Cache write</x:v>
      </x:c>
      <x:c r="D15" s="29"/>
      <x:c r="E15" s="11"/>
      <x:c r="F15" s="11"/>
      <x:c r="G15" s="29"/>
      <x:c r="H15" s="29"/>
      <x:c r="I15" s="14"/>
      <x:c r="J15" s="2"/>
      <x:c r="K15" s="2"/>
      <x:c r="L15" s="29"/>
      <x:c r="M15" s="2"/>
    </x:row>
    <x:row r="16" ht="24" customHeight="1">
      <x:c r="A16" s="2" t="str">
        <x:v>R1</x:v>
      </x:c>
      <x:c r="B16" s="2" t="n">
        <x:v>1</x:v>
      </x:c>
      <x:c r="C16" s="2" t="str">
        <x:v>Context · added / total</x:v>
      </x:c>
      <x:c r="D16" s="29"/>
      <x:c r="E16" s="11"/>
      <x:c r="F16" s="11"/>
      <x:c r="G16" s="29"/>
      <x:c r="H16" s="29"/>
      <x:c r="I16" s="14"/>
      <x:c r="J16" s="2"/>
      <x:c r="K16" s="2"/>
      <x:c r="L16" s="29"/>
      <x:c r="M16" s="2"/>
    </x:row>
    <x:row r="17" ht="24" customHeight="1">
      <x:c r="A17" s="21" t="str">
        <x:v>R1</x:v>
      </x:c>
      <x:c r="B17" s="21" t="n">
        <x:v>1</x:v>
      </x:c>
      <x:c r="C17" s="21" t="str">
        <x:v>Call total</x:v>
      </x:c>
      <x:c r="D17" s="28"/>
      <x:c r="E17" s="26" t="n">
        <x:f>IF(COUNT(E5,E12,E13)=3,SUM(E5,E12,E13),"Unknown")</x:f>
        <x:v>0.00027137860000000006</x:v>
      </x:c>
      <x:c r="F17" s="26" t="n">
        <x:f>IF(COUNT(F5,F12,F13)=3,SUM(F5,F12,F13),"Unknown")</x:f>
        <x:v>0.000311</x:v>
      </x:c>
      <x:c r="G17" s="28" t="n">
        <x:f>IF(ISNUMBER(E17),ROUND(E17*'Reference data'!$B$2,0),"Unknown")</x:f>
        <x:v>27</x:v>
      </x:c>
      <x:c r="H17" s="28" t="n">
        <x:f>IF(ISNUMBER(F17),ROUND(F17*'Reference data'!$B$2,0),"Unknown")</x:f>
        <x:v>31</x:v>
      </x:c>
      <x:c r="I17" s="24"/>
      <x:c r="J17" s="21"/>
      <x:c r="K17" s="21" t="str">
        <x:v>ok</x:v>
      </x:c>
      <x:c r="L17" s="28"/>
      <x:c r="M17" s="21"/>
    </x:row>
    <x:row r="18" ht="24" customHeight="1">
      <x:c r="A18" s="21" t="str">
        <x:v>R2</x:v>
      </x:c>
      <x:c r="B18" s="21" t="n">
        <x:v>1</x:v>
      </x:c>
      <x:c r="C18" s="21" t="str">
        <x:v>LLM request</x:v>
      </x:c>
      <x:c r="D18" s="28" t="n">
        <x:v>617</x:v>
      </x:c>
      <x:c r="E18" s="26"/>
      <x:c r="F18" s="26"/>
      <x:c r="G18" s="28"/>
      <x:c r="H18" s="28"/>
      <x:c r="I18" s="24"/>
      <x:c r="J18" s="21" t="str">
        <x:v>gpt-5.6-luna</x:v>
      </x:c>
      <x:c r="K18" s="21"/>
      <x:c r="L18" s="28"/>
      <x:c r="M18" s="21" t="str">
        <x:v>01a0c411-5ce7-72b0-8f0a-c6b3ca42aae3</x:v>
      </x:c>
    </x:row>
    <x:row r="19" ht="24" customHeight="1">
      <x:c r="A19" s="2" t="str">
        <x:v>R2</x:v>
      </x:c>
      <x:c r="B19" s="2" t="n">
        <x:v>1</x:v>
      </x:c>
      <x:c r="C19" s="22" t="str">
        <x:v>Conversation history · cache read</x:v>
      </x:c>
      <x:c r="D19" s="29" t="n">
        <x:v>0</x:v>
      </x:c>
      <x:c r="E19" s="11" t="n">
        <x:f>IF(AND(ISNUMBER(F19),ISNUMBER('Reference data'!$B$3)),F19*'Reference data'!$B$3,"Unknown")</x:f>
        <x:v>0</x:v>
      </x:c>
      <x:c r="F19" s="11" t="n">
        <x:f>IF(D19=0,0,IF(ISNUMBER('Reference data'!C17),D19*'Reference data'!C17/1000000,"Unknown"))</x:f>
        <x:v>0</x:v>
      </x:c>
      <x:c r="G19" s="29" t="n">
        <x:f>IF(ISNUMBER(E19),ROUND(E19*'Reference data'!$B$2,0),"Unknown")</x:f>
        <x:v>0</x:v>
      </x:c>
      <x:c r="H19" s="29" t="n">
        <x:f>IF(ISNUMBER(F19),ROUND(F19*'Reference data'!$B$2,0),"Unknown")</x:f>
        <x:v>0</x:v>
      </x:c>
      <x:c r="I19" s="14"/>
      <x:c r="J19" s="2"/>
      <x:c r="K19" s="2"/>
      <x:c r="L19" s="29"/>
      <x:c r="M19" s="2"/>
    </x:row>
    <x:row r="20" ht="24" customHeight="1">
      <x:c r="A20" s="2" t="str">
        <x:v>R2</x:v>
      </x:c>
      <x:c r="B20" s="2" t="n">
        <x:v>1</x:v>
      </x:c>
      <x:c r="C20" s="22" t="str">
        <x:v>Fresh input</x:v>
      </x:c>
      <x:c r="D20" s="29" t="n">
        <x:v>617</x:v>
      </x:c>
      <x:c r="E20" s="11" t="n">
        <x:f>IF(AND(ISNUMBER(F20),ISNUMBER('Reference data'!$B$3)),F20*'Reference data'!$B$3,"Unknown")</x:f>
        <x:v>0.00010767884000000003</x:v>
      </x:c>
      <x:c r="F20" s="11" t="n">
        <x:f>IF(D20=0,0,IF(ISNUMBER('Reference data'!B17),D20*'Reference data'!B17/1000000,"Unknown"))</x:f>
        <x:v>0.00012340000000000002</x:v>
      </x:c>
      <x:c r="G20" s="29" t="n">
        <x:f>IF(ISNUMBER(E20),ROUND(E20*'Reference data'!$B$2,0),"Unknown")</x:f>
        <x:v>11</x:v>
      </x:c>
      <x:c r="H20" s="29" t="n">
        <x:f>IF(ISNUMBER(F20),ROUND(F20*'Reference data'!$B$2,0),"Unknown")</x:f>
        <x:v>12</x:v>
      </x:c>
      <x:c r="I20" s="14"/>
      <x:c r="J20" s="2"/>
      <x:c r="K20" s="2"/>
      <x:c r="L20" s="29"/>
      <x:c r="M20" s="2"/>
    </x:row>
    <x:row r="21" ht="24" customHeight="1">
      <x:c r="A21" s="2" t="str">
        <x:v>R2</x:v>
      </x:c>
      <x:c r="B21" s="2" t="n">
        <x:v>1</x:v>
      </x:c>
      <x:c r="C21" s="2" t="str">
        <x:v>Cache write</x:v>
      </x:c>
      <x:c r="D21" s="29"/>
      <x:c r="E21" s="11"/>
      <x:c r="F21" s="11"/>
      <x:c r="G21" s="29"/>
      <x:c r="H21" s="29"/>
      <x:c r="I21" s="14"/>
      <x:c r="J21" s="2"/>
      <x:c r="K21" s="2"/>
      <x:c r="L21" s="29"/>
      <x:c r="M21" s="2"/>
    </x:row>
    <x:row r="22" ht="24" customHeight="1">
      <x:c r="A22" s="2" t="str">
        <x:v>R2</x:v>
      </x:c>
      <x:c r="B22" s="2" t="n">
        <x:v>1</x:v>
      </x:c>
      <x:c r="C22" s="2" t="str">
        <x:v>Context · added / total</x:v>
      </x:c>
      <x:c r="D22" s="29"/>
      <x:c r="E22" s="11"/>
      <x:c r="F22" s="11"/>
      <x:c r="G22" s="29"/>
      <x:c r="H22" s="29"/>
      <x:c r="I22" s="14"/>
      <x:c r="J22" s="2"/>
      <x:c r="K22" s="2"/>
      <x:c r="L22" s="29"/>
      <x:c r="M22" s="2"/>
    </x:row>
    <x:row r="23" ht="24" customHeight="1">
      <x:c r="A23" s="21" t="str">
        <x:v>R2</x:v>
      </x:c>
      <x:c r="B23" s="21" t="n">
        <x:v>1</x:v>
      </x:c>
      <x:c r="C23" s="21" t="str">
        <x:v>LLM response</x:v>
      </x:c>
      <x:c r="D23" s="28" t="n">
        <x:v>235</x:v>
      </x:c>
      <x:c r="E23" s="26"/>
      <x:c r="F23" s="26"/>
      <x:c r="G23" s="28"/>
      <x:c r="H23" s="28"/>
      <x:c r="I23" s="24"/>
      <x:c r="J23" s="21"/>
      <x:c r="K23" s="21"/>
      <x:c r="L23" s="28"/>
      <x:c r="M23" s="21"/>
    </x:row>
    <x:row r="24" ht="24" customHeight="1">
      <x:c r="A24" s="2" t="str">
        <x:v>R2</x:v>
      </x:c>
      <x:c r="B24" s="2" t="n">
        <x:v>1</x:v>
      </x:c>
      <x:c r="C24" s="22" t="str">
        <x:v>Reasoning</x:v>
      </x:c>
      <x:c r="D24" s="29" t="n">
        <x:v>87</x:v>
      </x:c>
      <x:c r="E24" s="11" t="n">
        <x:f>IF(AND(ISNUMBER(F24),ISNUMBER('Reference data'!$B$3)),F24*'Reference data'!$B$3,"Unknown")</x:f>
        <x:v>0.00009109944</x:v>
      </x:c>
      <x:c r="F24" s="11" t="n">
        <x:f>IF(D24=0,0,IF(ISNUMBER('Reference data'!F17),D24*'Reference data'!F17/1000000,"Unknown"))</x:f>
        <x:v>0.00010439999999999999</x:v>
      </x:c>
      <x:c r="G24" s="29" t="n">
        <x:f>IF(ISNUMBER(E24),ROUND(E24*'Reference data'!$B$2,0),"Unknown")</x:f>
        <x:v>9</x:v>
      </x:c>
      <x:c r="H24" s="29" t="n">
        <x:f>IF(ISNUMBER(F24),ROUND(F24*'Reference data'!$B$2,0),"Unknown")</x:f>
        <x:v>10</x:v>
      </x:c>
      <x:c r="I24" s="14"/>
      <x:c r="J24" s="2"/>
      <x:c r="K24" s="2"/>
      <x:c r="L24" s="29"/>
      <x:c r="M24" s="2"/>
    </x:row>
    <x:row r="25" ht="24" customHeight="1">
      <x:c r="A25" s="2" t="str">
        <x:v>R2</x:v>
      </x:c>
      <x:c r="B25" s="2" t="n">
        <x:v>1</x:v>
      </x:c>
      <x:c r="C25" s="22" t="str">
        <x:v>Output</x:v>
      </x:c>
      <x:c r="D25" s="29" t="n">
        <x:v>148</x:v>
      </x:c>
      <x:c r="E25" s="11" t="n">
        <x:f>IF(AND(ISNUMBER(F25),ISNUMBER('Reference data'!$B$3)),F25*'Reference data'!$B$3,"Unknown")</x:f>
        <x:v>0.00015497376</x:v>
      </x:c>
      <x:c r="F25" s="11" t="n">
        <x:f>IF(D25=0,0,IF(ISNUMBER('Reference data'!E17),D25*'Reference data'!E17/1000000,"Unknown"))</x:f>
        <x:v>0.0001776</x:v>
      </x:c>
      <x:c r="G25" s="29" t="n">
        <x:f>IF(ISNUMBER(E25),ROUND(E25*'Reference data'!$B$2,0),"Unknown")</x:f>
        <x:v>15</x:v>
      </x:c>
      <x:c r="H25" s="29" t="n">
        <x:f>IF(ISNUMBER(F25),ROUND(F25*'Reference data'!$B$2,0),"Unknown")</x:f>
        <x:v>18</x:v>
      </x:c>
      <x:c r="I25" s="14"/>
      <x:c r="J25" s="2"/>
      <x:c r="K25" s="2"/>
      <x:c r="L25" s="29"/>
      <x:c r="M25" s="2"/>
    </x:row>
    <x:row r="26" ht="554" customHeight="1">
      <x:c r="A26" s="2" t="str">
        <x:v>R2</x:v>
      </x:c>
      <x:c r="B26" s="2" t="n">
        <x:v>1</x:v>
      </x:c>
      <x:c r="C26" s="2" t="str">
        <x:v>    Output content</x:v>
      </x:c>
      <x:c r="D26" s="29"/>
      <x:c r="E26" s="11"/>
      <x:c r="F26" s="11"/>
      <x:c r="G26" s="29"/>
      <x:c r="H26" s="29"/>
      <x:c r="I26" s="14" t="str">
        <x:v>[{"id":"rs_098d4f09c8601da0006ab12b5c29c087d2a794c04572730105","summary":[],"type":"reasoning","content":[],"index":0,"encrypted_content":"gAAAAABqsStdqKZJ7mDlWA70dZf9Bh74sqhfjJfyF-lZDmc8uMW2l-TI56ixtNm0-765y0lBL3gAtVahIeP85UTpe3LQ_AQTLpYplFz8pWXziK5TnFdXSuaj9acYeZBrFBckJR0fgEM5AqR2Zmf7QC58j0CQzqrMfOnX83KzWTDBV_bHus73j79q8MxJcN0OubMA18__1z_A0js0Mhzp_1jeKJGG83OODhlZPwSHLsTwUMsbLuhaRKpQSNXPnd_wmdAi_QNGWZ98RNW1zzeLs1ZrOmiEEfdXgK6FbZrhuygXdqMWCocCYSj12Ki4KIG3jyxj2sOjP6wCmanB59e62aElHOrKpjTBjntEPQJIbpkNV7HUZx_I18BaSam6D8XmTx1kxAijddZRHe2mXhm2NLXzQPQx2GPpeiNA_0Rhyv7eQZj_Fy3KajhrZA07vZFWM6RrdVjTG1xOBeqhu3iY5PfYyl2hdN3ucbuEca-nNE48q1iCppeVOqvqoq4vQN_ju6qLWH4nFbT9EWoWUxMxyTB_0PSI7PFvub6FBkuNxLJblq7S62TsPWco6u8P9meuLoroQdQw_s6EipURFVw5bJC1cQLd9vfqVIFVXEn5by2Z0FTkMuBU7F-Lf2jV1ijfMIQNJ_vHSOyCdTLWLODNeXHZEUz_KUtl71xYbiyb36r3BGe3626ceuu-F8Vdtg0_FMb_jmu0SNMjVfCIMaByGWjzvW0PlGqI2w7k40tNQ7hCS483BCFhwfUIvHbCmYjdT0IKK__bxhDX_vNLoKszQfhnWfqccFPkSSxAVhSq_ILx5xn3vToiYyF86BioBPNjJIZh4vT_X-bWaf4L_wa-mS0W-Zqv4oGQrsXIT0sbSaYxssP6dms-Ti_-4PNrZ9Xz3Fz-qp_CB048_zgkK5htmCZhB3AsYrK-krbdWUaHuDyKkAAi9r4zToiH2ql03_ivW8zjL31SYGZoZgb7UzvCW2cJajR2HLC3syl82oAwUMPloMKZOh4DpWaada1cvDg_C3WO9wUqGAdT4s0-lr0nrnUuK7Q8r4OkTdpASpEWPezveTHSENBydpq9ZoB1kj77GEuaAwFADgUlCmcqxomUCod20Ki9JoLrHJeELXcnn7qx0aBMeur8tnDn4Yi-7gohJ20sPjB6smiDH3AFVQxsBni_VVtYQLBlvTemdzXOkUjCfQC4UB8UouYgsbX5nlepkfx2pX-7hSTj6z_BJdvqlvhZdXJhPins0sX1Ug1I2gfCihf5jY4PEIWaorv_4aAxu7MALvEX0UyjS9xSls5zfgl5CBxOMpJlztFjxmQ9vgcrU_MyVtvROF9sxZlFlbMJugYbRLlhEVz95tU9d4NGkH9TmnupotZdauqZm9oetWeTJJlWGV1G3GkDiYSaDaXRjsHR6nIJSiOkoqPBPCMrzC9a_sHtRUslqI9kCfqMCccCle8D-_IYiIMu7xxoQPRKqbI0ZP5mngvRhT7A3F7ct7bgp3henc0CWRsn_kFVJprZ276-j2EEwSIOrxjuUfgkUGFkcRrq-gO7wG1ok1wGdan46cDz-hNg9G9gAxkC2e1AH4Y4CWyzxcDO9cI7TGfA31hCHw5O9Pp4NhMLfnr-wCjcbtGEm9ecwtuyBrS2WezHWyMSlaPfAzU4NI-pKGwinS-KjB5SnmC7f-D9-GyMDMSGBhwNUG5RKStzuJBE0aZoU5SFXnV1cg-q4r_5bISwnpxVsVZPhylSpEypvlS7xbQ7VQeESIgRq2LhAJUVBsPc2l2XTeNuFJvhZr_mIvo179WwL85yxQHjleU8vB7jzuKxwX6fykhbqQ=="},{"type":"function_call","name":"QuoteDecision","arguments":"{\"action\":\"complete\",\"reason\":\"The quantity and mailing-unit discrepancy is resolved: there are 500 households, so the order is for 500 identical invitations. Variable information is limited to each household's name and address printed on its envelope, with 500 envelopes supplied and the address spreadsheet provided by the customer. Delivery is one batch to the office for customer mailing.\",\"text\":\"Please quote 500 invitations, all with identical text, plus 500 printed envelopes addressed with the supplied household names and addresses. The 650 guests are grouped into 500 households, with one invitation per household. Deliver the complete batch to our office; we will mail it ourselves.\"}","call_id":"call_VA2nVNPFLZ7oLF2Qk1fuXq3T","id":"fc_098d4f09c8601da0006ab12b5d70fc87d296b525e1d0ac4869","index":1}]
{"name":"QuoteDecision","args":{"action":"complete","reason":"The quantity and mailing-unit discrepancy is resolved: there are 500 households, so the order is for 500 identical invitations. Variable information is limited to each household's name and address printed on its envelope, with 500 envelopes supplied and the address spreadsheet provided by the customer. Delivery is one batch to the office for customer mailing.","text":"Please quote 500 invitations, all with identical text, plus 500 printed envelopes addressed with the supplied household names and addresses. The 650 guests are grouped into 500 households, with one invitation per household. Deliver the complete batch to our office; we will mail it ourselves."},"id":"call_VA2nVNPFLZ7oLF2Qk1fuXq3T","type":"tool_call"}</x:v>
      </x:c>
      <x:c r="J26" s="2"/>
      <x:c r="K26" s="2"/>
      <x:c r="L26" s="29"/>
      <x:c r="M26" s="2"/>
    </x:row>
    <x:row r="27" ht="24" customHeight="1">
      <x:c r="A27" s="2" t="str">
        <x:v>R2</x:v>
      </x:c>
      <x:c r="B27" s="2" t="n">
        <x:v>1</x:v>
      </x:c>
      <x:c r="C27" s="2" t="str">
        <x:v>Cache write</x:v>
      </x:c>
      <x:c r="D27" s="29"/>
      <x:c r="E27" s="11"/>
      <x:c r="F27" s="11"/>
      <x:c r="G27" s="29"/>
      <x:c r="H27" s="29"/>
      <x:c r="I27" s="14"/>
      <x:c r="J27" s="2"/>
      <x:c r="K27" s="2"/>
      <x:c r="L27" s="29"/>
      <x:c r="M27" s="2"/>
    </x:row>
    <x:row r="28" ht="24" customHeight="1">
      <x:c r="A28" s="2" t="str">
        <x:v>R2</x:v>
      </x:c>
      <x:c r="B28" s="2" t="n">
        <x:v>1</x:v>
      </x:c>
      <x:c r="C28" s="2" t="str">
        <x:v>Context · added / total</x:v>
      </x:c>
      <x:c r="D28" s="29"/>
      <x:c r="E28" s="11"/>
      <x:c r="F28" s="11"/>
      <x:c r="G28" s="29"/>
      <x:c r="H28" s="29"/>
      <x:c r="I28" s="14"/>
      <x:c r="J28" s="2"/>
      <x:c r="K28" s="2"/>
      <x:c r="L28" s="29"/>
      <x:c r="M28" s="2"/>
    </x:row>
    <x:row r="29" ht="24" customHeight="1">
      <x:c r="A29" s="21" t="str">
        <x:v>R2</x:v>
      </x:c>
      <x:c r="B29" s="21" t="n">
        <x:v>1</x:v>
      </x:c>
      <x:c r="C29" s="21" t="str">
        <x:v>Call total</x:v>
      </x:c>
      <x:c r="D29" s="28"/>
      <x:c r="E29" s="26" t="n">
        <x:f>IF(COUNT(E19,E20,E24,E25)=4,SUM(E19,E20,E24,E25),"Unknown")</x:f>
        <x:v>0.00035375204</x:v>
      </x:c>
      <x:c r="F29" s="26" t="n">
        <x:f>IF(COUNT(F19,F20,F24,F25)=4,SUM(F19,F20,F24,F25),"Unknown")</x:f>
        <x:v>0.0004054</x:v>
      </x:c>
      <x:c r="G29" s="28" t="n">
        <x:f>IF(ISNUMBER(E29),ROUND(E29*'Reference data'!$B$2,0),"Unknown")</x:f>
        <x:v>35</x:v>
      </x:c>
      <x:c r="H29" s="28" t="n">
        <x:f>IF(ISNUMBER(F29),ROUND(F29*'Reference data'!$B$2,0),"Unknown")</x:f>
        <x:v>41</x:v>
      </x:c>
      <x:c r="I29" s="24"/>
      <x:c r="J29" s="21"/>
      <x:c r="K29" s="21" t="str">
        <x:v>ok</x:v>
      </x:c>
      <x:c r="L29" s="28"/>
      <x:c r="M29" s="21"/>
    </x:row>
  </x:sheetData>
  <x:conditionalFormatting sqref="A2:M29">
    <x:cfRule type="expression" dxfId="2" priority="1">
      <x:formula>$K2="error"</x:formula>
    </x:cfRule>
  </x:conditionalFormatting>
  <x:pageMargins left="0.7" right="0.7" top="0.75" bottom="0.75" header="0.3" footer="0.3"/>
</x:worksheet>
</file>

<file path=xl/worksheets/sheet2.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48" hidden="0" customWidth="1"/>
    <x:col min="2" max="2" width="12" hidden="0" customWidth="1"/>
    <x:col min="3" max="3" width="12" hidden="0" customWidth="1"/>
    <x:col min="4" max="4" width="26" hidden="0" customWidth="1"/>
    <x:col min="5" max="5" width="18" hidden="0" customWidth="1"/>
    <x:col min="6" max="6" width="18" hidden="0" customWidth="1"/>
    <x:col min="7" max="7" width="62" hidden="0" customWidth="1"/>
    <x:col min="8" max="8" width="38" hidden="0" customWidth="1"/>
    <x:col min="9" max="9" width="3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s>
  <x:sheetData>
    <x:row r="1" ht="44" customHeight="1">
      <x:c r="A1" s="7" t="str">
        <x:v>Operation</x:v>
      </x:c>
      <x:c r="B1" s="7" t="str">
        <x:v>Depth</x:v>
      </x:c>
      <x:c r="C1" s="7" t="str">
        <x:v>Type</x:v>
      </x:c>
      <x:c r="D1" s="7" t="str">
        <x:v>Model · effort</x:v>
      </x:c>
      <x:c r="E1" s="7" t="str">
        <x:v>Status</x:v>
      </x:c>
      <x:c r="F1" s="7" t="str">
        <x:v>Input context tokens</x:v>
      </x:c>
      <x:c r="G1" s="7" t="str">
        <x:v>Description</x:v>
      </x:c>
      <x:c r="H1" s="7" t="str">
        <x:v>Span ID</x:v>
      </x:c>
      <x:c r="I1" s="7" t="str">
        <x:v>Parent ID</x:v>
      </x:c>
      <x:c r="J1" s="7" t="str">
        <x:v>Fresh input tokens</x:v>
      </x:c>
      <x:c r="K1" s="7" t="str">
        <x:v>Fresh input EUR</x:v>
      </x:c>
      <x:c r="L1" s="7" t="str">
        <x:v>Fresh input USD</x:v>
      </x:c>
      <x:c r="M1" s="7" t="str">
        <x:v>Cache read tokens</x:v>
      </x:c>
      <x:c r="N1" s="7" t="str">
        <x:v>Cache read EUR</x:v>
      </x:c>
      <x:c r="O1" s="7" t="str">
        <x:v>Cache read USD</x:v>
      </x:c>
      <x:c r="P1" s="7" t="str">
        <x:v>Cache write tokens</x:v>
      </x:c>
      <x:c r="Q1" s="7" t="str">
        <x:v>Cache write EUR</x:v>
      </x:c>
      <x:c r="R1" s="7" t="str">
        <x:v>Cache write USD</x:v>
      </x:c>
      <x:c r="S1" s="7" t="str">
        <x:v>Output (non-reasoning) tokens</x:v>
      </x:c>
      <x:c r="T1" s="7" t="str">
        <x:v>Output (non-reasoning) EUR</x:v>
      </x:c>
      <x:c r="U1" s="7" t="str">
        <x:v>Output (non-reasoning) USD</x:v>
      </x:c>
      <x:c r="V1" s="7" t="str">
        <x:v>Reasoning tokens</x:v>
      </x:c>
      <x:c r="W1" s="7" t="str">
        <x:v>Reasoning EUR</x:v>
      </x:c>
      <x:c r="X1" s="7" t="str">
        <x:v>Reasoning USD</x:v>
      </x:c>
      <x:c r="Y1" s="7" t="str">
        <x:v>Total EUR</x:v>
      </x:c>
      <x:c r="Z1" s="7" t="str">
        <x:v>Total USD</x:v>
      </x:c>
      <x:c r="AA1" s="7" t="str">
        <x:v>Projected EUR</x:v>
      </x:c>
      <x:c r="AB1" s="7" t="str">
        <x:v>Projected USD</x:v>
      </x:c>
      <x:c r="AC1" s="7" t="str">
        <x:v>Request</x:v>
      </x:c>
      <x:c r="AD1" s="7" t="str">
        <x:v>Elapsed ms</x:v>
      </x:c>
      <x:c r="AE1" s="7" t="str">
        <x:v>Accounting</x:v>
      </x:c>
    </x:row>
    <x:row r="2" ht="54" customHeight="1">
      <x:c r="A2" s="35" t="str">
        <x:v>LangGraph</x:v>
      </x:c>
      <x:c r="B2" s="30" t="n">
        <x:v>0</x:v>
      </x:c>
      <x:c r="C2" s="30" t="str">
        <x:v>workflow</x:v>
      </x:c>
      <x:c r="D2" s="30" t="str"/>
      <x:c r="E2" s="30" t="str">
        <x:v>ok</x:v>
      </x:c>
      <x:c r="F2" s="32"/>
      <x:c r="G2" s="35" t="str">
        <x:v>Execute the LangGraph workflow operation and pass its result to the next graph step.</x:v>
      </x:c>
      <x:c r="H2" s="30" t="str">
        <x:v>01a0c411-32ab-7943-b22c-b8860b5bd621</x:v>
      </x:c>
      <x:c r="I2" s="30"/>
      <x:c r="J2" s="29" t="n">
        <x:f>IF(COUNT('Turns'!D5)=1,SUM('Turns'!D5),"Unknown")</x:f>
        <x:v>493</x:v>
      </x:c>
      <x:c r="K2" s="11" t="n">
        <x:f>IF(COUNT('Turns'!E5)=1,SUM('Turns'!E5),"Unknown")</x:f>
        <x:v>0.00008603836000000002</x:v>
      </x:c>
      <x:c r="L2" s="11" t="n">
        <x:f>IF(COUNT('Turns'!F5)=1,SUM('Turns'!F5),"Unknown")</x:f>
        <x:v>0.00009860000000000001</x:v>
      </x:c>
      <x:c r="M2" s="29" t="n">
        <x:v>0</x:v>
      </x:c>
      <x:c r="N2" s="11" t="n">
        <x:v>0</x:v>
      </x:c>
      <x:c r="O2" s="11" t="n">
        <x:v>0</x:v>
      </x:c>
      <x:c r="P2" s="29" t="n">
        <x:v>0</x:v>
      </x:c>
      <x:c r="Q2" s="11" t="n">
        <x:v>0</x:v>
      </x:c>
      <x:c r="R2" s="11" t="n">
        <x:v>0</x:v>
      </x:c>
      <x:c r="S2" s="29" t="n">
        <x:f>IF(COUNT('Turns'!D13)=1,SUM('Turns'!D13),"Unknown")</x:f>
        <x:v>132</x:v>
      </x:c>
      <x:c r="T2" s="11" t="n">
        <x:f>IF(COUNT('Turns'!E13)=1,SUM('Turns'!E13),"Unknown")</x:f>
        <x:v>0.00013821984</x:v>
      </x:c>
      <x:c r="U2" s="11" t="n">
        <x:f>IF(COUNT('Turns'!F13)=1,SUM('Turns'!F13),"Unknown")</x:f>
        <x:v>0.0001584</x:v>
      </x:c>
      <x:c r="V2" s="29" t="n">
        <x:f>IF(COUNT('Turns'!D12)=1,SUM('Turns'!D12),"Unknown")</x:f>
        <x:v>45</x:v>
      </x:c>
      <x:c r="W2" s="11" t="n">
        <x:f>IF(COUNT('Turns'!E12)=1,SUM('Turns'!E12),"Unknown")</x:f>
        <x:v>0.000047120400000000004</x:v>
      </x:c>
      <x:c r="X2" s="11" t="n">
        <x:f>IF(COUNT('Turns'!F12)=1,SUM('Turns'!F12),"Unknown")</x:f>
        <x:v>0.000054</x:v>
      </x:c>
      <x:c r="Y2" s="11" t="n">
        <x:f>IF(COUNT('Turns'!E17)=1,SUM('Turns'!E17),"Unknown")</x:f>
        <x:v>0.00027137860000000006</x:v>
      </x:c>
      <x:c r="Z2" s="11" t="n">
        <x:f>IF(COUNT('Turns'!F17)=1,SUM('Turns'!F17),"Unknown")</x:f>
        <x:v>0.000311</x:v>
      </x:c>
      <x:c r="AA2" s="29" t="n">
        <x:f>IF(ISNUMBER(Y2),ROUND(Y2*'Reference data'!$B$2,0),"Unknown")</x:f>
        <x:v>27</x:v>
      </x:c>
      <x:c r="AB2" s="29" t="n">
        <x:f>IF(ISNUMBER(Z2),ROUND(Z2*'Reference data'!$B$2,0),"Unknown")</x:f>
        <x:v>31</x:v>
      </x:c>
      <x:c r="AC2" s="2"/>
      <x:c r="AD2" s="38" t="n">
        <x:v>3539.44704</x:v>
      </x:c>
      <x:c r="AE2" s="2" t="str">
        <x:v>Subtree total</x:v>
      </x:c>
    </x:row>
    <x:row r="3" ht="54" customHeight="1">
      <x:c r="A3" s="36" t="str">
        <x:v>    begin</x:v>
      </x:c>
      <x:c r="B3" s="31" t="n">
        <x:v>1</x:v>
      </x:c>
      <x:c r="C3" s="31" t="str">
        <x:v>workflow</x:v>
      </x:c>
      <x:c r="D3" s="31" t="str"/>
      <x:c r="E3" s="31" t="str">
        <x:v>ok</x:v>
      </x:c>
      <x:c r="F3" s="33"/>
      <x:c r="G3" s="36" t="str">
        <x:v>Execute the begin workflow operation and pass its result to the next graph step.</x:v>
      </x:c>
      <x:c r="H3" s="31" t="str">
        <x:v>01a0c411-32ae-7101-a50a-2c2b435740d4</x:v>
      </x:c>
      <x:c r="I3" s="31" t="str">
        <x:v>01a0c411-32ab-7943-b22c-b8860b5bd621</x:v>
      </x:c>
      <x:c r="J3" s="29"/>
      <x:c r="K3" s="11"/>
      <x:c r="L3" s="11"/>
      <x:c r="M3" s="29"/>
      <x:c r="N3" s="11"/>
      <x:c r="O3" s="11"/>
      <x:c r="P3" s="29"/>
      <x:c r="Q3" s="11"/>
      <x:c r="R3" s="11"/>
      <x:c r="S3" s="29"/>
      <x:c r="T3" s="11"/>
      <x:c r="U3" s="11"/>
      <x:c r="V3" s="29"/>
      <x:c r="W3" s="11"/>
      <x:c r="X3" s="11"/>
      <x:c r="Y3" s="11"/>
      <x:c r="Z3" s="11"/>
      <x:c r="AA3" s="29"/>
      <x:c r="AB3" s="29"/>
      <x:c r="AC3" s="2"/>
      <x:c r="AD3" s="38" t="n">
        <x:v>0.382208</x:v>
      </x:c>
      <x:c r="AE3" s="2" t="str">
        <x:v>No model charge</x:v>
      </x:c>
    </x:row>
    <x:row r="4" ht="54" customHeight="1">
      <x:c r="A4" s="36" t="str">
        <x:v>    assess</x:v>
      </x:c>
      <x:c r="B4" s="31" t="n">
        <x:v>1</x:v>
      </x:c>
      <x:c r="C4" s="31" t="str">
        <x:v>workflow</x:v>
      </x:c>
      <x:c r="D4" s="31" t="str"/>
      <x:c r="E4" s="31" t="str">
        <x:v>ok</x:v>
      </x:c>
      <x:c r="F4" s="33"/>
      <x:c r="G4" s="36" t="str">
        <x:v>Execute the assess workflow operation and pass its result to the next graph step.</x:v>
      </x:c>
      <x:c r="H4" s="31" t="str">
        <x:v>01a0c411-32af-7113-af89-5a9a792fbd60</x:v>
      </x:c>
      <x:c r="I4" s="31" t="str">
        <x:v>01a0c411-32ab-7943-b22c-b8860b5bd621</x:v>
      </x:c>
      <x:c r="J4" s="29" t="n">
        <x:f>IF(COUNT('Turns'!D5)=1,SUM('Turns'!D5),"Unknown")</x:f>
        <x:v>493</x:v>
      </x:c>
      <x:c r="K4" s="11" t="n">
        <x:f>IF(COUNT('Turns'!E5)=1,SUM('Turns'!E5),"Unknown")</x:f>
        <x:v>0.00008603836000000002</x:v>
      </x:c>
      <x:c r="L4" s="11" t="n">
        <x:f>IF(COUNT('Turns'!F5)=1,SUM('Turns'!F5),"Unknown")</x:f>
        <x:v>0.00009860000000000001</x:v>
      </x:c>
      <x:c r="M4" s="29" t="n">
        <x:v>0</x:v>
      </x:c>
      <x:c r="N4" s="11" t="n">
        <x:v>0</x:v>
      </x:c>
      <x:c r="O4" s="11" t="n">
        <x:v>0</x:v>
      </x:c>
      <x:c r="P4" s="29" t="n">
        <x:v>0</x:v>
      </x:c>
      <x:c r="Q4" s="11" t="n">
        <x:v>0</x:v>
      </x:c>
      <x:c r="R4" s="11" t="n">
        <x:v>0</x:v>
      </x:c>
      <x:c r="S4" s="29" t="n">
        <x:f>IF(COUNT('Turns'!D13)=1,SUM('Turns'!D13),"Unknown")</x:f>
        <x:v>132</x:v>
      </x:c>
      <x:c r="T4" s="11" t="n">
        <x:f>IF(COUNT('Turns'!E13)=1,SUM('Turns'!E13),"Unknown")</x:f>
        <x:v>0.00013821984</x:v>
      </x:c>
      <x:c r="U4" s="11" t="n">
        <x:f>IF(COUNT('Turns'!F13)=1,SUM('Turns'!F13),"Unknown")</x:f>
        <x:v>0.0001584</x:v>
      </x:c>
      <x:c r="V4" s="29" t="n">
        <x:f>IF(COUNT('Turns'!D12)=1,SUM('Turns'!D12),"Unknown")</x:f>
        <x:v>45</x:v>
      </x:c>
      <x:c r="W4" s="11" t="n">
        <x:f>IF(COUNT('Turns'!E12)=1,SUM('Turns'!E12),"Unknown")</x:f>
        <x:v>0.000047120400000000004</x:v>
      </x:c>
      <x:c r="X4" s="11" t="n">
        <x:f>IF(COUNT('Turns'!F12)=1,SUM('Turns'!F12),"Unknown")</x:f>
        <x:v>0.000054</x:v>
      </x:c>
      <x:c r="Y4" s="11" t="n">
        <x:f>IF(COUNT('Turns'!E17)=1,SUM('Turns'!E17),"Unknown")</x:f>
        <x:v>0.00027137860000000006</x:v>
      </x:c>
      <x:c r="Z4" s="11" t="n">
        <x:f>IF(COUNT('Turns'!F17)=1,SUM('Turns'!F17),"Unknown")</x:f>
        <x:v>0.000311</x:v>
      </x:c>
      <x:c r="AA4" s="29" t="n">
        <x:f>IF(ISNUMBER(Y4),ROUND(Y4*'Reference data'!$B$2,0),"Unknown")</x:f>
        <x:v>27</x:v>
      </x:c>
      <x:c r="AB4" s="29" t="n">
        <x:f>IF(ISNUMBER(Z4),ROUND(Z4*'Reference data'!$B$2,0),"Unknown")</x:f>
        <x:v>31</x:v>
      </x:c>
      <x:c r="AC4" s="2"/>
      <x:c r="AD4" s="38" t="n">
        <x:v>3535.40992</x:v>
      </x:c>
      <x:c r="AE4" s="2" t="str">
        <x:v>Subtree total</x:v>
      </x:c>
    </x:row>
    <x:row r="5" ht="54" customHeight="1">
      <x:c r="A5" s="36" t="str">
        <x:v>        quote_interpreter</x:v>
      </x:c>
      <x:c r="B5" s="31" t="n">
        <x:v>2</x:v>
      </x:c>
      <x:c r="C5" s="31" t="str">
        <x:v>workflow</x:v>
      </x:c>
      <x:c r="D5" s="31" t="str"/>
      <x:c r="E5" s="31" t="str">
        <x:v>ok</x:v>
      </x:c>
      <x:c r="F5" s="33"/>
      <x:c r="G5" s="36" t="str">
        <x:v>Interpret quote scope and request human clarification when needed.</x:v>
      </x:c>
      <x:c r="H5" s="31" t="str">
        <x:v>01a0c411-32af-7113-af89-5aa450703c57</x:v>
      </x:c>
      <x:c r="I5" s="31" t="str">
        <x:v>01a0c411-32af-7113-af89-5a9a792fbd60</x:v>
      </x:c>
      <x:c r="J5" s="29" t="n">
        <x:f>IF(COUNT('Turns'!D5)=1,SUM('Turns'!D5),"Unknown")</x:f>
        <x:v>493</x:v>
      </x:c>
      <x:c r="K5" s="11" t="n">
        <x:f>IF(COUNT('Turns'!E5)=1,SUM('Turns'!E5),"Unknown")</x:f>
        <x:v>0.00008603836000000002</x:v>
      </x:c>
      <x:c r="L5" s="11" t="n">
        <x:f>IF(COUNT('Turns'!F5)=1,SUM('Turns'!F5),"Unknown")</x:f>
        <x:v>0.00009860000000000001</x:v>
      </x:c>
      <x:c r="M5" s="29" t="n">
        <x:v>0</x:v>
      </x:c>
      <x:c r="N5" s="11" t="n">
        <x:v>0</x:v>
      </x:c>
      <x:c r="O5" s="11" t="n">
        <x:v>0</x:v>
      </x:c>
      <x:c r="P5" s="29" t="n">
        <x:v>0</x:v>
      </x:c>
      <x:c r="Q5" s="11" t="n">
        <x:v>0</x:v>
      </x:c>
      <x:c r="R5" s="11" t="n">
        <x:v>0</x:v>
      </x:c>
      <x:c r="S5" s="29" t="n">
        <x:f>IF(COUNT('Turns'!D13)=1,SUM('Turns'!D13),"Unknown")</x:f>
        <x:v>132</x:v>
      </x:c>
      <x:c r="T5" s="11" t="n">
        <x:f>IF(COUNT('Turns'!E13)=1,SUM('Turns'!E13),"Unknown")</x:f>
        <x:v>0.00013821984</x:v>
      </x:c>
      <x:c r="U5" s="11" t="n">
        <x:f>IF(COUNT('Turns'!F13)=1,SUM('Turns'!F13),"Unknown")</x:f>
        <x:v>0.0001584</x:v>
      </x:c>
      <x:c r="V5" s="29" t="n">
        <x:f>IF(COUNT('Turns'!D12)=1,SUM('Turns'!D12),"Unknown")</x:f>
        <x:v>45</x:v>
      </x:c>
      <x:c r="W5" s="11" t="n">
        <x:f>IF(COUNT('Turns'!E12)=1,SUM('Turns'!E12),"Unknown")</x:f>
        <x:v>0.000047120400000000004</x:v>
      </x:c>
      <x:c r="X5" s="11" t="n">
        <x:f>IF(COUNT('Turns'!F12)=1,SUM('Turns'!F12),"Unknown")</x:f>
        <x:v>0.000054</x:v>
      </x:c>
      <x:c r="Y5" s="11" t="n">
        <x:f>IF(COUNT('Turns'!E17)=1,SUM('Turns'!E17),"Unknown")</x:f>
        <x:v>0.00027137860000000006</x:v>
      </x:c>
      <x:c r="Z5" s="11" t="n">
        <x:f>IF(COUNT('Turns'!F17)=1,SUM('Turns'!F17),"Unknown")</x:f>
        <x:v>0.000311</x:v>
      </x:c>
      <x:c r="AA5" s="29" t="n">
        <x:f>IF(ISNUMBER(Y5),ROUND(Y5*'Reference data'!$B$2,0),"Unknown")</x:f>
        <x:v>27</x:v>
      </x:c>
      <x:c r="AB5" s="29" t="n">
        <x:f>IF(ISNUMBER(Z5),ROUND(Z5*'Reference data'!$B$2,0),"Unknown")</x:f>
        <x:v>31</x:v>
      </x:c>
      <x:c r="AC5" s="2"/>
      <x:c r="AD5" s="38" t="n">
        <x:v>3533.426944</x:v>
      </x:c>
      <x:c r="AE5" s="2" t="str">
        <x:v>Subtree total</x:v>
      </x:c>
    </x:row>
    <x:row r="6" ht="54" customHeight="1">
      <x:c r="A6" s="37" t="str">
        <x:v>            ChatOpenAI</x:v>
      </x:c>
      <x:c r="B6" s="20" t="n">
        <x:v>3</x:v>
      </x:c>
      <x:c r="C6" s="20" t="str">
        <x:v>model</x:v>
      </x:c>
      <x:c r="D6" s="20" t="str">
        <x:v>gpt-5.6-luna</x:v>
      </x:c>
      <x:c r="E6" s="20" t="str">
        <x:v>ok</x:v>
      </x:c>
      <x:c r="F6" s="34" t="n">
        <x:v>493</x:v>
      </x:c>
      <x:c r="G6" s="37" t="str">
        <x:v>Interpret quote scope and request human clarification when needed.</x:v>
      </x:c>
      <x:c r="H6" s="20" t="str">
        <x:v>01a0c411-32b0-7fe3-9a38-88fc1cafec02</x:v>
      </x:c>
      <x:c r="I6" s="20" t="str">
        <x:v>01a0c411-32af-7113-af89-5aa450703c57</x:v>
      </x:c>
      <x:c r="J6" s="29" t="n">
        <x:f>IF(COUNT('Turns'!D5)=1,SUM('Turns'!D5),"Unknown")</x:f>
        <x:v>493</x:v>
      </x:c>
      <x:c r="K6" s="11" t="n">
        <x:f>IF(COUNT('Turns'!E5)=1,SUM('Turns'!E5),"Unknown")</x:f>
        <x:v>0.00008603836000000002</x:v>
      </x:c>
      <x:c r="L6" s="11" t="n">
        <x:f>IF(COUNT('Turns'!F5)=1,SUM('Turns'!F5),"Unknown")</x:f>
        <x:v>0.00009860000000000001</x:v>
      </x:c>
      <x:c r="M6" s="29" t="n">
        <x:v>0</x:v>
      </x:c>
      <x:c r="N6" s="11" t="n">
        <x:v>0</x:v>
      </x:c>
      <x:c r="O6" s="11" t="n">
        <x:v>0</x:v>
      </x:c>
      <x:c r="P6" s="29" t="n">
        <x:v>0</x:v>
      </x:c>
      <x:c r="Q6" s="11" t="n">
        <x:v>0</x:v>
      </x:c>
      <x:c r="R6" s="11" t="n">
        <x:v>0</x:v>
      </x:c>
      <x:c r="S6" s="29" t="n">
        <x:f>IF(COUNT('Turns'!D13)=1,SUM('Turns'!D13),"Unknown")</x:f>
        <x:v>132</x:v>
      </x:c>
      <x:c r="T6" s="11" t="n">
        <x:f>IF(COUNT('Turns'!E13)=1,SUM('Turns'!E13),"Unknown")</x:f>
        <x:v>0.00013821984</x:v>
      </x:c>
      <x:c r="U6" s="11" t="n">
        <x:f>IF(COUNT('Turns'!F13)=1,SUM('Turns'!F13),"Unknown")</x:f>
        <x:v>0.0001584</x:v>
      </x:c>
      <x:c r="V6" s="29" t="n">
        <x:f>IF(COUNT('Turns'!D12)=1,SUM('Turns'!D12),"Unknown")</x:f>
        <x:v>45</x:v>
      </x:c>
      <x:c r="W6" s="11" t="n">
        <x:f>IF(COUNT('Turns'!E12)=1,SUM('Turns'!E12),"Unknown")</x:f>
        <x:v>0.000047120400000000004</x:v>
      </x:c>
      <x:c r="X6" s="11" t="n">
        <x:f>IF(COUNT('Turns'!F12)=1,SUM('Turns'!F12),"Unknown")</x:f>
        <x:v>0.000054</x:v>
      </x:c>
      <x:c r="Y6" s="11" t="n">
        <x:f>IF(COUNT('Turns'!E17)=1,SUM('Turns'!E17),"Unknown")</x:f>
        <x:v>0.00027137860000000006</x:v>
      </x:c>
      <x:c r="Z6" s="11" t="n">
        <x:f>IF(COUNT('Turns'!F17)=1,SUM('Turns'!F17),"Unknown")</x:f>
        <x:v>0.000311</x:v>
      </x:c>
      <x:c r="AA6" s="29" t="n">
        <x:f>IF(ISNUMBER(Y6),ROUND(Y6*'Reference data'!$B$2,0),"Unknown")</x:f>
        <x:v>27</x:v>
      </x:c>
      <x:c r="AB6" s="29" t="n">
        <x:f>IF(ISNUMBER(Z6),ROUND(Z6*'Reference data'!$B$2,0),"Unknown")</x:f>
        <x:v>31</x:v>
      </x:c>
      <x:c r="AC6" s="2" t="str">
        <x:v>R1</x:v>
      </x:c>
      <x:c r="AD6" s="38" t="n">
        <x:v>3532.039936</x:v>
      </x:c>
      <x:c r="AE6" s="2" t="str">
        <x:v>Own call</x:v>
      </x:c>
    </x:row>
    <x:row r="7" ht="54" customHeight="1">
      <x:c r="A7" s="36" t="str">
        <x:v>        route_after_assessment</x:v>
      </x:c>
      <x:c r="B7" s="31" t="n">
        <x:v>2</x:v>
      </x:c>
      <x:c r="C7" s="31" t="str">
        <x:v>workflow</x:v>
      </x:c>
      <x:c r="D7" s="31" t="str"/>
      <x:c r="E7" s="31" t="str">
        <x:v>ok</x:v>
      </x:c>
      <x:c r="F7" s="33"/>
      <x:c r="G7" s="36" t="str">
        <x:v>Execute the route_after_assessment workflow operation and pass its result to the next graph step.</x:v>
      </x:c>
      <x:c r="H7" s="31" t="str">
        <x:v>01a0c411-407d-79e2-946c-f7d56cc40cd2</x:v>
      </x:c>
      <x:c r="I7" s="31" t="str">
        <x:v>01a0c411-32af-7113-af89-5a9a792fbd60</x:v>
      </x:c>
      <x:c r="J7" s="29"/>
      <x:c r="K7" s="11"/>
      <x:c r="L7" s="11"/>
      <x:c r="M7" s="29"/>
      <x:c r="N7" s="11"/>
      <x:c r="O7" s="11"/>
      <x:c r="P7" s="29"/>
      <x:c r="Q7" s="11"/>
      <x:c r="R7" s="11"/>
      <x:c r="S7" s="29"/>
      <x:c r="T7" s="11"/>
      <x:c r="U7" s="11"/>
      <x:c r="V7" s="29"/>
      <x:c r="W7" s="11"/>
      <x:c r="X7" s="11"/>
      <x:c r="Y7" s="11"/>
      <x:c r="Z7" s="11"/>
      <x:c r="AA7" s="29"/>
      <x:c r="AB7" s="29"/>
      <x:c r="AC7" s="2"/>
      <x:c r="AD7" s="38" t="n">
        <x:v>0.416</x:v>
      </x:c>
      <x:c r="AE7" s="2" t="str">
        <x:v>No model charge</x:v>
      </x:c>
    </x:row>
    <x:row r="8" ht="54" customHeight="1">
      <x:c r="A8" s="36" t="str">
        <x:v>    ask</x:v>
      </x:c>
      <x:c r="B8" s="31" t="n">
        <x:v>1</x:v>
      </x:c>
      <x:c r="C8" s="31" t="str">
        <x:v>workflow</x:v>
      </x:c>
      <x:c r="D8" s="31" t="str"/>
      <x:c r="E8" s="31" t="str">
        <x:v>interrupted</x:v>
      </x:c>
      <x:c r="F8" s="33"/>
      <x:c r="G8" s="36" t="str">
        <x:v>Execute the ask workflow operation and pass its result to the next graph step.</x:v>
      </x:c>
      <x:c r="H8" s="31" t="str">
        <x:v>01a0c411-407f-7960-8aa9-708d84ebf4bf</x:v>
      </x:c>
      <x:c r="I8" s="31" t="str">
        <x:v>01a0c411-32ab-7943-b22c-b8860b5bd621</x:v>
      </x:c>
      <x:c r="J8" s="29"/>
      <x:c r="K8" s="11"/>
      <x:c r="L8" s="11"/>
      <x:c r="M8" s="29"/>
      <x:c r="N8" s="11"/>
      <x:c r="O8" s="11"/>
      <x:c r="P8" s="29"/>
      <x:c r="Q8" s="11"/>
      <x:c r="R8" s="11"/>
      <x:c r="S8" s="29"/>
      <x:c r="T8" s="11"/>
      <x:c r="U8" s="11"/>
      <x:c r="V8" s="29"/>
      <x:c r="W8" s="11"/>
      <x:c r="X8" s="11"/>
      <x:c r="Y8" s="11"/>
      <x:c r="Z8" s="11"/>
      <x:c r="AA8" s="29"/>
      <x:c r="AB8" s="29"/>
      <x:c r="AC8" s="2"/>
      <x:c r="AD8" s="38" t="n">
        <x:v>0.408832</x:v>
      </x:c>
      <x:c r="AE8" s="2" t="str">
        <x:v>No model charge</x:v>
      </x:c>
    </x:row>
    <x:row r="9" ht="54" customHeight="1">
      <x:c r="A9" s="35" t="str">
        <x:v>LangGraph</x:v>
      </x:c>
      <x:c r="B9" s="30" t="n">
        <x:v>0</x:v>
      </x:c>
      <x:c r="C9" s="30" t="str">
        <x:v>workflow</x:v>
      </x:c>
      <x:c r="D9" s="30" t="str"/>
      <x:c r="E9" s="30" t="str">
        <x:v>ok</x:v>
      </x:c>
      <x:c r="F9" s="32"/>
      <x:c r="G9" s="35" t="str">
        <x:v>Execute the LangGraph workflow operation and pass its result to the next graph step.</x:v>
      </x:c>
      <x:c r="H9" s="30" t="str">
        <x:v>01a0c411-5ce3-70e1-aa66-9d18a7765328</x:v>
      </x:c>
      <x:c r="I9" s="30"/>
      <x:c r="J9" s="29" t="n">
        <x:f>IF(COUNT('Turns'!D20)=1,SUM('Turns'!D20),"Unknown")</x:f>
        <x:v>617</x:v>
      </x:c>
      <x:c r="K9" s="11" t="n">
        <x:f>IF(COUNT('Turns'!E20)=1,SUM('Turns'!E20),"Unknown")</x:f>
        <x:v>0.00010767884000000003</x:v>
      </x:c>
      <x:c r="L9" s="11" t="n">
        <x:f>IF(COUNT('Turns'!F20)=1,SUM('Turns'!F20),"Unknown")</x:f>
        <x:v>0.00012340000000000002</x:v>
      </x:c>
      <x:c r="M9" s="29" t="n">
        <x:f>IF(COUNT('Turns'!D19)=1,SUM('Turns'!D19),"Unknown")</x:f>
        <x:v>0</x:v>
      </x:c>
      <x:c r="N9" s="11" t="n">
        <x:f>IF(COUNT('Turns'!E19)=1,SUM('Turns'!E19),"Unknown")</x:f>
        <x:v>0</x:v>
      </x:c>
      <x:c r="O9" s="11" t="n">
        <x:f>IF(COUNT('Turns'!F19)=1,SUM('Turns'!F19),"Unknown")</x:f>
        <x:v>0</x:v>
      </x:c>
      <x:c r="P9" s="29" t="n">
        <x:v>0</x:v>
      </x:c>
      <x:c r="Q9" s="11" t="n">
        <x:v>0</x:v>
      </x:c>
      <x:c r="R9" s="11" t="n">
        <x:v>0</x:v>
      </x:c>
      <x:c r="S9" s="29" t="n">
        <x:f>IF(COUNT('Turns'!D25)=1,SUM('Turns'!D25),"Unknown")</x:f>
        <x:v>148</x:v>
      </x:c>
      <x:c r="T9" s="11" t="n">
        <x:f>IF(COUNT('Turns'!E25)=1,SUM('Turns'!E25),"Unknown")</x:f>
        <x:v>0.00015497376</x:v>
      </x:c>
      <x:c r="U9" s="11" t="n">
        <x:f>IF(COUNT('Turns'!F25)=1,SUM('Turns'!F25),"Unknown")</x:f>
        <x:v>0.0001776</x:v>
      </x:c>
      <x:c r="V9" s="29" t="n">
        <x:f>IF(COUNT('Turns'!D24)=1,SUM('Turns'!D24),"Unknown")</x:f>
        <x:v>87</x:v>
      </x:c>
      <x:c r="W9" s="11" t="n">
        <x:f>IF(COUNT('Turns'!E24)=1,SUM('Turns'!E24),"Unknown")</x:f>
        <x:v>0.00009109944</x:v>
      </x:c>
      <x:c r="X9" s="11" t="n">
        <x:f>IF(COUNT('Turns'!F24)=1,SUM('Turns'!F24),"Unknown")</x:f>
        <x:v>0.00010439999999999999</x:v>
      </x:c>
      <x:c r="Y9" s="11" t="n">
        <x:f>IF(COUNT('Turns'!E29)=1,SUM('Turns'!E29),"Unknown")</x:f>
        <x:v>0.00035375204</x:v>
      </x:c>
      <x:c r="Z9" s="11" t="n">
        <x:f>IF(COUNT('Turns'!F29)=1,SUM('Turns'!F29),"Unknown")</x:f>
        <x:v>0.0004054</x:v>
      </x:c>
      <x:c r="AA9" s="29" t="n">
        <x:f>IF(ISNUMBER(Y9),ROUND(Y9*'Reference data'!$B$2,0),"Unknown")</x:f>
        <x:v>35</x:v>
      </x:c>
      <x:c r="AB9" s="29" t="n">
        <x:f>IF(ISNUMBER(Z9),ROUND(Z9*'Reference data'!$B$2,0),"Unknown")</x:f>
        <x:v>41</x:v>
      </x:c>
      <x:c r="AC9" s="2"/>
      <x:c r="AD9" s="38" t="n">
        <x:v>4005.459968</x:v>
      </x:c>
      <x:c r="AE9" s="2" t="str">
        <x:v>Subtree total</x:v>
      </x:c>
    </x:row>
    <x:row r="10" ht="54" customHeight="1">
      <x:c r="A10" s="36" t="str">
        <x:v>    ask</x:v>
      </x:c>
      <x:c r="B10" s="31" t="n">
        <x:v>1</x:v>
      </x:c>
      <x:c r="C10" s="31" t="str">
        <x:v>workflow</x:v>
      </x:c>
      <x:c r="D10" s="31" t="str"/>
      <x:c r="E10" s="31" t="str">
        <x:v>ok</x:v>
      </x:c>
      <x:c r="F10" s="33"/>
      <x:c r="G10" s="36" t="str">
        <x:v>Execute the ask workflow operation and pass its result to the next graph step.</x:v>
      </x:c>
      <x:c r="H10" s="31" t="str">
        <x:v>01a0c411-5ce4-72c2-b320-4dd805a7b5af</x:v>
      </x:c>
      <x:c r="I10" s="31" t="str">
        <x:v>01a0c411-5ce3-70e1-aa66-9d18a7765328</x:v>
      </x:c>
      <x:c r="J10" s="29"/>
      <x:c r="K10" s="11"/>
      <x:c r="L10" s="11"/>
      <x:c r="M10" s="29"/>
      <x:c r="N10" s="11"/>
      <x:c r="O10" s="11"/>
      <x:c r="P10" s="29"/>
      <x:c r="Q10" s="11"/>
      <x:c r="R10" s="11"/>
      <x:c r="S10" s="29"/>
      <x:c r="T10" s="11"/>
      <x:c r="U10" s="11"/>
      <x:c r="V10" s="29"/>
      <x:c r="W10" s="11"/>
      <x:c r="X10" s="11"/>
      <x:c r="Y10" s="11"/>
      <x:c r="Z10" s="11"/>
      <x:c r="AA10" s="29"/>
      <x:c r="AB10" s="29"/>
      <x:c r="AC10" s="2"/>
      <x:c r="AD10" s="38" t="n">
        <x:v>1.157888</x:v>
      </x:c>
      <x:c r="AE10" s="2" t="str">
        <x:v>No model charge</x:v>
      </x:c>
    </x:row>
    <x:row r="11" ht="54" customHeight="1">
      <x:c r="A11" s="36" t="str">
        <x:v>        route_after_answer</x:v>
      </x:c>
      <x:c r="B11" s="31" t="n">
        <x:v>2</x:v>
      </x:c>
      <x:c r="C11" s="31" t="str">
        <x:v>workflow</x:v>
      </x:c>
      <x:c r="D11" s="31" t="str"/>
      <x:c r="E11" s="31" t="str">
        <x:v>ok</x:v>
      </x:c>
      <x:c r="F11" s="33"/>
      <x:c r="G11" s="36" t="str">
        <x:v>Execute the route_after_answer workflow operation and pass its result to the next graph step.</x:v>
      </x:c>
      <x:c r="H11" s="31" t="str">
        <x:v>01a0c411-5ce4-72c2-b320-4de762094299</x:v>
      </x:c>
      <x:c r="I11" s="31" t="str">
        <x:v>01a0c411-5ce4-72c2-b320-4dd805a7b5af</x:v>
      </x:c>
      <x:c r="J11" s="29"/>
      <x:c r="K11" s="11"/>
      <x:c r="L11" s="11"/>
      <x:c r="M11" s="29"/>
      <x:c r="N11" s="11"/>
      <x:c r="O11" s="11"/>
      <x:c r="P11" s="29"/>
      <x:c r="Q11" s="11"/>
      <x:c r="R11" s="11"/>
      <x:c r="S11" s="29"/>
      <x:c r="T11" s="11"/>
      <x:c r="U11" s="11"/>
      <x:c r="V11" s="29"/>
      <x:c r="W11" s="11"/>
      <x:c r="X11" s="11"/>
      <x:c r="Y11" s="11"/>
      <x:c r="Z11" s="11"/>
      <x:c r="AA11" s="29"/>
      <x:c r="AB11" s="29"/>
      <x:c r="AC11" s="2"/>
      <x:c r="AD11" s="38" t="n">
        <x:v>0.284928</x:v>
      </x:c>
      <x:c r="AE11" s="2" t="str">
        <x:v>No model charge</x:v>
      </x:c>
    </x:row>
    <x:row r="12" ht="54" customHeight="1">
      <x:c r="A12" s="36" t="str">
        <x:v>    assess</x:v>
      </x:c>
      <x:c r="B12" s="31" t="n">
        <x:v>1</x:v>
      </x:c>
      <x:c r="C12" s="31" t="str">
        <x:v>workflow</x:v>
      </x:c>
      <x:c r="D12" s="31" t="str"/>
      <x:c r="E12" s="31" t="str">
        <x:v>ok</x:v>
      </x:c>
      <x:c r="F12" s="33"/>
      <x:c r="G12" s="36" t="str">
        <x:v>Execute the assess workflow operation and pass its result to the next graph step.</x:v>
      </x:c>
      <x:c r="H12" s="31" t="str">
        <x:v>01a0c411-5ce6-7bf0-bb63-9bafb2923a03</x:v>
      </x:c>
      <x:c r="I12" s="31" t="str">
        <x:v>01a0c411-5ce3-70e1-aa66-9d18a7765328</x:v>
      </x:c>
      <x:c r="J12" s="29" t="n">
        <x:f>IF(COUNT('Turns'!D20)=1,SUM('Turns'!D20),"Unknown")</x:f>
        <x:v>617</x:v>
      </x:c>
      <x:c r="K12" s="11" t="n">
        <x:f>IF(COUNT('Turns'!E20)=1,SUM('Turns'!E20),"Unknown")</x:f>
        <x:v>0.00010767884000000003</x:v>
      </x:c>
      <x:c r="L12" s="11" t="n">
        <x:f>IF(COUNT('Turns'!F20)=1,SUM('Turns'!F20),"Unknown")</x:f>
        <x:v>0.00012340000000000002</x:v>
      </x:c>
      <x:c r="M12" s="29" t="n">
        <x:f>IF(COUNT('Turns'!D19)=1,SUM('Turns'!D19),"Unknown")</x:f>
        <x:v>0</x:v>
      </x:c>
      <x:c r="N12" s="11" t="n">
        <x:f>IF(COUNT('Turns'!E19)=1,SUM('Turns'!E19),"Unknown")</x:f>
        <x:v>0</x:v>
      </x:c>
      <x:c r="O12" s="11" t="n">
        <x:f>IF(COUNT('Turns'!F19)=1,SUM('Turns'!F19),"Unknown")</x:f>
        <x:v>0</x:v>
      </x:c>
      <x:c r="P12" s="29" t="n">
        <x:v>0</x:v>
      </x:c>
      <x:c r="Q12" s="11" t="n">
        <x:v>0</x:v>
      </x:c>
      <x:c r="R12" s="11" t="n">
        <x:v>0</x:v>
      </x:c>
      <x:c r="S12" s="29" t="n">
        <x:f>IF(COUNT('Turns'!D25)=1,SUM('Turns'!D25),"Unknown")</x:f>
        <x:v>148</x:v>
      </x:c>
      <x:c r="T12" s="11" t="n">
        <x:f>IF(COUNT('Turns'!E25)=1,SUM('Turns'!E25),"Unknown")</x:f>
        <x:v>0.00015497376</x:v>
      </x:c>
      <x:c r="U12" s="11" t="n">
        <x:f>IF(COUNT('Turns'!F25)=1,SUM('Turns'!F25),"Unknown")</x:f>
        <x:v>0.0001776</x:v>
      </x:c>
      <x:c r="V12" s="29" t="n">
        <x:f>IF(COUNT('Turns'!D24)=1,SUM('Turns'!D24),"Unknown")</x:f>
        <x:v>87</x:v>
      </x:c>
      <x:c r="W12" s="11" t="n">
        <x:f>IF(COUNT('Turns'!E24)=1,SUM('Turns'!E24),"Unknown")</x:f>
        <x:v>0.00009109944</x:v>
      </x:c>
      <x:c r="X12" s="11" t="n">
        <x:f>IF(COUNT('Turns'!F24)=1,SUM('Turns'!F24),"Unknown")</x:f>
        <x:v>0.00010439999999999999</x:v>
      </x:c>
      <x:c r="Y12" s="11" t="n">
        <x:f>IF(COUNT('Turns'!E29)=1,SUM('Turns'!E29),"Unknown")</x:f>
        <x:v>0.00035375204</x:v>
      </x:c>
      <x:c r="Z12" s="11" t="n">
        <x:f>IF(COUNT('Turns'!F29)=1,SUM('Turns'!F29),"Unknown")</x:f>
        <x:v>0.0004054</x:v>
      </x:c>
      <x:c r="AA12" s="29" t="n">
        <x:f>IF(ISNUMBER(Y12),ROUND(Y12*'Reference data'!$B$2,0),"Unknown")</x:f>
        <x:v>35</x:v>
      </x:c>
      <x:c r="AB12" s="29" t="n">
        <x:f>IF(ISNUMBER(Z12),ROUND(Z12*'Reference data'!$B$2,0),"Unknown")</x:f>
        <x:v>41</x:v>
      </x:c>
      <x:c r="AC12" s="2"/>
      <x:c r="AD12" s="38" t="n">
        <x:v>3999.483136</x:v>
      </x:c>
      <x:c r="AE12" s="2" t="str">
        <x:v>Subtree total</x:v>
      </x:c>
    </x:row>
    <x:row r="13" ht="54" customHeight="1">
      <x:c r="A13" s="36" t="str">
        <x:v>        quote_interpreter</x:v>
      </x:c>
      <x:c r="B13" s="31" t="n">
        <x:v>2</x:v>
      </x:c>
      <x:c r="C13" s="31" t="str">
        <x:v>workflow</x:v>
      </x:c>
      <x:c r="D13" s="31" t="str"/>
      <x:c r="E13" s="31" t="str">
        <x:v>ok</x:v>
      </x:c>
      <x:c r="F13" s="33"/>
      <x:c r="G13" s="36" t="str">
        <x:v>Interpret quote scope and request human clarification when needed.</x:v>
      </x:c>
      <x:c r="H13" s="31" t="str">
        <x:v>01a0c411-5ce6-7bf0-bb63-9bbeb9818cab</x:v>
      </x:c>
      <x:c r="I13" s="31" t="str">
        <x:v>01a0c411-5ce6-7bf0-bb63-9bafb2923a03</x:v>
      </x:c>
      <x:c r="J13" s="29" t="n">
        <x:f>IF(COUNT('Turns'!D20)=1,SUM('Turns'!D20),"Unknown")</x:f>
        <x:v>617</x:v>
      </x:c>
      <x:c r="K13" s="11" t="n">
        <x:f>IF(COUNT('Turns'!E20)=1,SUM('Turns'!E20),"Unknown")</x:f>
        <x:v>0.00010767884000000003</x:v>
      </x:c>
      <x:c r="L13" s="11" t="n">
        <x:f>IF(COUNT('Turns'!F20)=1,SUM('Turns'!F20),"Unknown")</x:f>
        <x:v>0.00012340000000000002</x:v>
      </x:c>
      <x:c r="M13" s="29" t="n">
        <x:f>IF(COUNT('Turns'!D19)=1,SUM('Turns'!D19),"Unknown")</x:f>
        <x:v>0</x:v>
      </x:c>
      <x:c r="N13" s="11" t="n">
        <x:f>IF(COUNT('Turns'!E19)=1,SUM('Turns'!E19),"Unknown")</x:f>
        <x:v>0</x:v>
      </x:c>
      <x:c r="O13" s="11" t="n">
        <x:f>IF(COUNT('Turns'!F19)=1,SUM('Turns'!F19),"Unknown")</x:f>
        <x:v>0</x:v>
      </x:c>
      <x:c r="P13" s="29" t="n">
        <x:v>0</x:v>
      </x:c>
      <x:c r="Q13" s="11" t="n">
        <x:v>0</x:v>
      </x:c>
      <x:c r="R13" s="11" t="n">
        <x:v>0</x:v>
      </x:c>
      <x:c r="S13" s="29" t="n">
        <x:f>IF(COUNT('Turns'!D25)=1,SUM('Turns'!D25),"Unknown")</x:f>
        <x:v>148</x:v>
      </x:c>
      <x:c r="T13" s="11" t="n">
        <x:f>IF(COUNT('Turns'!E25)=1,SUM('Turns'!E25),"Unknown")</x:f>
        <x:v>0.00015497376</x:v>
      </x:c>
      <x:c r="U13" s="11" t="n">
        <x:f>IF(COUNT('Turns'!F25)=1,SUM('Turns'!F25),"Unknown")</x:f>
        <x:v>0.0001776</x:v>
      </x:c>
      <x:c r="V13" s="29" t="n">
        <x:f>IF(COUNT('Turns'!D24)=1,SUM('Turns'!D24),"Unknown")</x:f>
        <x:v>87</x:v>
      </x:c>
      <x:c r="W13" s="11" t="n">
        <x:f>IF(COUNT('Turns'!E24)=1,SUM('Turns'!E24),"Unknown")</x:f>
        <x:v>0.00009109944</x:v>
      </x:c>
      <x:c r="X13" s="11" t="n">
        <x:f>IF(COUNT('Turns'!F24)=1,SUM('Turns'!F24),"Unknown")</x:f>
        <x:v>0.00010439999999999999</x:v>
      </x:c>
      <x:c r="Y13" s="11" t="n">
        <x:f>IF(COUNT('Turns'!E29)=1,SUM('Turns'!E29),"Unknown")</x:f>
        <x:v>0.00035375204</x:v>
      </x:c>
      <x:c r="Z13" s="11" t="n">
        <x:f>IF(COUNT('Turns'!F29)=1,SUM('Turns'!F29),"Unknown")</x:f>
        <x:v>0.0004054</x:v>
      </x:c>
      <x:c r="AA13" s="29" t="n">
        <x:f>IF(ISNUMBER(Y13),ROUND(Y13*'Reference data'!$B$2,0),"Unknown")</x:f>
        <x:v>35</x:v>
      </x:c>
      <x:c r="AB13" s="29" t="n">
        <x:f>IF(ISNUMBER(Z13),ROUND(Z13*'Reference data'!$B$2,0),"Unknown")</x:f>
        <x:v>41</x:v>
      </x:c>
      <x:c r="AC13" s="2"/>
      <x:c r="AD13" s="38" t="n">
        <x:v>3996.20608</x:v>
      </x:c>
      <x:c r="AE13" s="2" t="str">
        <x:v>Subtree total</x:v>
      </x:c>
    </x:row>
    <x:row r="14" ht="54" customHeight="1">
      <x:c r="A14" s="37" t="str">
        <x:v>            ChatOpenAI</x:v>
      </x:c>
      <x:c r="B14" s="20" t="n">
        <x:v>3</x:v>
      </x:c>
      <x:c r="C14" s="20" t="str">
        <x:v>model</x:v>
      </x:c>
      <x:c r="D14" s="20" t="str">
        <x:v>gpt-5.6-luna</x:v>
      </x:c>
      <x:c r="E14" s="20" t="str">
        <x:v>ok</x:v>
      </x:c>
      <x:c r="F14" s="34" t="n">
        <x:v>617</x:v>
      </x:c>
      <x:c r="G14" s="37" t="str">
        <x:v>Interpret quote scope and request human clarification when needed.</x:v>
      </x:c>
      <x:c r="H14" s="20" t="str">
        <x:v>01a0c411-5ce7-72b0-8f0a-c6b3ca42aae3</x:v>
      </x:c>
      <x:c r="I14" s="20" t="str">
        <x:v>01a0c411-5ce6-7bf0-bb63-9bbeb9818cab</x:v>
      </x:c>
      <x:c r="J14" s="29" t="n">
        <x:f>IF(COUNT('Turns'!D20)=1,SUM('Turns'!D20),"Unknown")</x:f>
        <x:v>617</x:v>
      </x:c>
      <x:c r="K14" s="11" t="n">
        <x:f>IF(COUNT('Turns'!E20)=1,SUM('Turns'!E20),"Unknown")</x:f>
        <x:v>0.00010767884000000003</x:v>
      </x:c>
      <x:c r="L14" s="11" t="n">
        <x:f>IF(COUNT('Turns'!F20)=1,SUM('Turns'!F20),"Unknown")</x:f>
        <x:v>0.00012340000000000002</x:v>
      </x:c>
      <x:c r="M14" s="29" t="n">
        <x:f>IF(COUNT('Turns'!D19)=1,SUM('Turns'!D19),"Unknown")</x:f>
        <x:v>0</x:v>
      </x:c>
      <x:c r="N14" s="11" t="n">
        <x:f>IF(COUNT('Turns'!E19)=1,SUM('Turns'!E19),"Unknown")</x:f>
        <x:v>0</x:v>
      </x:c>
      <x:c r="O14" s="11" t="n">
        <x:f>IF(COUNT('Turns'!F19)=1,SUM('Turns'!F19),"Unknown")</x:f>
        <x:v>0</x:v>
      </x:c>
      <x:c r="P14" s="29" t="n">
        <x:v>0</x:v>
      </x:c>
      <x:c r="Q14" s="11" t="n">
        <x:v>0</x:v>
      </x:c>
      <x:c r="R14" s="11" t="n">
        <x:v>0</x:v>
      </x:c>
      <x:c r="S14" s="29" t="n">
        <x:f>IF(COUNT('Turns'!D25)=1,SUM('Turns'!D25),"Unknown")</x:f>
        <x:v>148</x:v>
      </x:c>
      <x:c r="T14" s="11" t="n">
        <x:f>IF(COUNT('Turns'!E25)=1,SUM('Turns'!E25),"Unknown")</x:f>
        <x:v>0.00015497376</x:v>
      </x:c>
      <x:c r="U14" s="11" t="n">
        <x:f>IF(COUNT('Turns'!F25)=1,SUM('Turns'!F25),"Unknown")</x:f>
        <x:v>0.0001776</x:v>
      </x:c>
      <x:c r="V14" s="29" t="n">
        <x:f>IF(COUNT('Turns'!D24)=1,SUM('Turns'!D24),"Unknown")</x:f>
        <x:v>87</x:v>
      </x:c>
      <x:c r="W14" s="11" t="n">
        <x:f>IF(COUNT('Turns'!E24)=1,SUM('Turns'!E24),"Unknown")</x:f>
        <x:v>0.00009109944</x:v>
      </x:c>
      <x:c r="X14" s="11" t="n">
        <x:f>IF(COUNT('Turns'!F24)=1,SUM('Turns'!F24),"Unknown")</x:f>
        <x:v>0.00010439999999999999</x:v>
      </x:c>
      <x:c r="Y14" s="11" t="n">
        <x:f>IF(COUNT('Turns'!E29)=1,SUM('Turns'!E29),"Unknown")</x:f>
        <x:v>0.00035375204</x:v>
      </x:c>
      <x:c r="Z14" s="11" t="n">
        <x:f>IF(COUNT('Turns'!F29)=1,SUM('Turns'!F29),"Unknown")</x:f>
        <x:v>0.0004054</x:v>
      </x:c>
      <x:c r="AA14" s="29" t="n">
        <x:f>IF(ISNUMBER(Y14),ROUND(Y14*'Reference data'!$B$2,0),"Unknown")</x:f>
        <x:v>35</x:v>
      </x:c>
      <x:c r="AB14" s="29" t="n">
        <x:f>IF(ISNUMBER(Z14),ROUND(Z14*'Reference data'!$B$2,0),"Unknown")</x:f>
        <x:v>41</x:v>
      </x:c>
      <x:c r="AC14" s="2" t="str">
        <x:v>R2</x:v>
      </x:c>
      <x:c r="AD14" s="38" t="n">
        <x:v>3994.019072</x:v>
      </x:c>
      <x:c r="AE14" s="2" t="str">
        <x:v>Own call</x:v>
      </x:c>
    </x:row>
    <x:row r="15" ht="54" customHeight="1">
      <x:c r="A15" s="36" t="str">
        <x:v>        route_after_assessment</x:v>
      </x:c>
      <x:c r="B15" s="31" t="n">
        <x:v>2</x:v>
      </x:c>
      <x:c r="C15" s="31" t="str">
        <x:v>workflow</x:v>
      </x:c>
      <x:c r="D15" s="31" t="str"/>
      <x:c r="E15" s="31" t="str">
        <x:v>ok</x:v>
      </x:c>
      <x:c r="F15" s="33"/>
      <x:c r="G15" s="36" t="str">
        <x:v>Execute the route_after_assessment workflow operation and pass its result to the next graph step.</x:v>
      </x:c>
      <x:c r="H15" s="31" t="str">
        <x:v>01a0c411-6c83-7ab1-ad6c-32df5b05b145</x:v>
      </x:c>
      <x:c r="I15" s="31" t="str">
        <x:v>01a0c411-5ce6-7bf0-bb63-9bafb2923a03</x:v>
      </x:c>
      <x:c r="J15" s="29"/>
      <x:c r="K15" s="11"/>
      <x:c r="L15" s="11"/>
      <x:c r="M15" s="29"/>
      <x:c r="N15" s="11"/>
      <x:c r="O15" s="11"/>
      <x:c r="P15" s="29"/>
      <x:c r="Q15" s="11"/>
      <x:c r="R15" s="11"/>
      <x:c r="S15" s="29"/>
      <x:c r="T15" s="11"/>
      <x:c r="U15" s="11"/>
      <x:c r="V15" s="29"/>
      <x:c r="W15" s="11"/>
      <x:c r="X15" s="11"/>
      <x:c r="Y15" s="11"/>
      <x:c r="Z15" s="11"/>
      <x:c r="AA15" s="29"/>
      <x:c r="AB15" s="29"/>
      <x:c r="AC15" s="2"/>
      <x:c r="AD15" s="38" t="n">
        <x:v>0.641024</x:v>
      </x:c>
      <x:c r="AE15" s="2" t="str">
        <x:v>No model charge</x:v>
      </x:c>
    </x:row>
    <x:row r="16" ht="54" customHeight="1">
      <x:c r="A16" s="36" t="str">
        <x:v>    complete</x:v>
      </x:c>
      <x:c r="B16" s="31" t="n">
        <x:v>1</x:v>
      </x:c>
      <x:c r="C16" s="31" t="str">
        <x:v>workflow</x:v>
      </x:c>
      <x:c r="D16" s="31" t="str"/>
      <x:c r="E16" s="31" t="str">
        <x:v>ok</x:v>
      </x:c>
      <x:c r="F16" s="33"/>
      <x:c r="G16" s="36" t="str">
        <x:v>Execute the complete workflow operation and pass its result to the next graph step.</x:v>
      </x:c>
      <x:c r="H16" s="31" t="str">
        <x:v>01a0c411-6c86-77e3-b2e5-dc809c1c9335</x:v>
      </x:c>
      <x:c r="I16" s="31" t="str">
        <x:v>01a0c411-5ce3-70e1-aa66-9d18a7765328</x:v>
      </x:c>
      <x:c r="J16" s="29"/>
      <x:c r="K16" s="11"/>
      <x:c r="L16" s="11"/>
      <x:c r="M16" s="29"/>
      <x:c r="N16" s="11"/>
      <x:c r="O16" s="11"/>
      <x:c r="P16" s="29"/>
      <x:c r="Q16" s="11"/>
      <x:c r="R16" s="11"/>
      <x:c r="S16" s="29"/>
      <x:c r="T16" s="11"/>
      <x:c r="U16" s="11"/>
      <x:c r="V16" s="29"/>
      <x:c r="W16" s="11"/>
      <x:c r="X16" s="11"/>
      <x:c r="Y16" s="11"/>
      <x:c r="Z16" s="11"/>
      <x:c r="AA16" s="29"/>
      <x:c r="AB16" s="29"/>
      <x:c r="AC16" s="2"/>
      <x:c r="AD16" s="38" t="n">
        <x:v>0.796928</x:v>
      </x:c>
      <x:c r="AE16" s="2" t="str">
        <x:v>No model charge</x:v>
      </x:c>
    </x:row>
  </x:sheetData>
  <x:conditionalFormatting sqref="A2:AE16">
    <x:cfRule type="expression" dxfId="3" priority="1">
      <x:formula>$E2="error"</x:formula>
    </x:cfRule>
  </x:conditionalFormatting>
  <x:pageMargins left="0.7" right="0.7" top="0.75" bottom="0.75" header="0.3" footer="0.3"/>
</x:worksheet>
</file>

<file path=xl/worksheets/sheet3.xml><?xml version="1.0" encoding="utf-8"?>
<x:worksheet xmlns:x="http://schemas.openxmlformats.org/spreadsheetml/2006/main">
  <x:sheetPr>
    <x:tabColor rgb="FF173B70"/>
  </x:sheetPr>
  <x:sheetViews>
    <x:sheetView showGridLines="0" workbookViewId="0">
      <x:pane xSplit="1" ySplit="1" topLeftCell="B2" activePane="bottomRight" state="frozen"/>
    </x:sheetView>
  </x:sheetViews>
  <x:sheetFormatPr defaultRowHeight="15"/>
  <x:cols>
    <x:col min="1" max="1" width="34" hidden="0" customWidth="1"/>
    <x:col min="2" max="2" width="52" hidden="0" customWidth="1"/>
    <x:col min="3" max="3" width="18" hidden="0" customWidth="1"/>
    <x:col min="4" max="4" width="18" hidden="0" customWidth="1"/>
    <x:col min="5" max="5" width="18" hidden="0" customWidth="1"/>
    <x:col min="6" max="6" width="18" hidden="0" customWidth="1"/>
    <x:col min="7" max="7" width="18" hidden="0" customWidth="1"/>
    <x:col min="8" max="8" width="65" hidden="0" customWidth="1"/>
    <x:col min="9" max="9" width="40" hidden="0" customWidth="1"/>
  </x:cols>
  <x:sheetData>
    <x:row r="1" ht="44" customHeight="1">
      <x:c r="A1" s="7" t="str">
        <x:v>Parameter</x:v>
      </x:c>
      <x:c r="B1" s="7" t="str">
        <x:v>Value</x:v>
      </x:c>
      <x:c r="C1" s="7" t="str">
        <x:v>Unit</x:v>
      </x:c>
      <x:c r="D1" s="7" t="str"/>
      <x:c r="E1" s="7" t="str"/>
      <x:c r="F1" s="7" t="str"/>
      <x:c r="G1" s="7" t="str"/>
      <x:c r="H1" s="7" t="str"/>
      <x:c r="I1" s="7" t="str"/>
    </x:row>
    <x:row r="2" ht="24" customHeight="1">
      <x:c r="A2" s="2" t="str">
        <x:v>Number of executions</x:v>
      </x:c>
      <x:c r="B2" s="10" t="n">
        <x:v>100000</x:v>
      </x:c>
      <x:c r="C2" s="2" t="str">
        <x:v>executions</x:v>
      </x:c>
      <x:c r="D2" s="2"/>
      <x:c r="E2" s="2"/>
      <x:c r="F2" s="2"/>
      <x:c r="G2" s="2"/>
      <x:c r="H2" s="2"/>
      <x:c r="I2" s="2"/>
    </x:row>
    <x:row r="3" ht="24" customHeight="1">
      <x:c r="A3" s="2" t="str">
        <x:v>USD → EUR</x:v>
      </x:c>
      <x:c r="B3" s="11" t="n">
        <x:v>0.8726</x:v>
      </x:c>
      <x:c r="C3" s="2" t="str">
        <x:v>EUR per USD</x:v>
      </x:c>
      <x:c r="D3" s="2"/>
      <x:c r="E3" s="2"/>
      <x:c r="F3" s="2"/>
      <x:c r="G3" s="2"/>
      <x:c r="H3" s="2"/>
      <x:c r="I3" s="2"/>
    </x:row>
    <x:row r="4" ht="24" customHeight="1">
      <x:c r="A4" s="2" t="str">
        <x:v>Cache duration</x:v>
      </x:c>
      <x:c r="B4" s="2" t="str">
        <x:v>5m</x:v>
      </x:c>
      <x:c r="C4" s="2" t="str"/>
      <x:c r="D4" s="2"/>
      <x:c r="E4" s="2"/>
      <x:c r="F4" s="2"/>
      <x:c r="G4" s="2"/>
      <x:c r="H4" s="2"/>
      <x:c r="I4" s="2"/>
    </x:row>
    <x:row r="5" ht="28" customHeight="1">
      <x:c r="A5" s="2" t="str">
        <x:v>Run ID</x:v>
      </x:c>
      <x:c r="B5" s="14" t="str">
        <x:v>01a0c411-32ab-7943-b22c-b8860b5bd621</x:v>
      </x:c>
      <x:c r="C5" s="2" t="str"/>
      <x:c r="D5" s="2"/>
      <x:c r="E5" s="2"/>
      <x:c r="F5" s="2"/>
      <x:c r="G5" s="2"/>
      <x:c r="H5" s="2"/>
      <x:c r="I5" s="2"/>
    </x:row>
    <x:row r="6" ht="28" customHeight="1">
      <x:c r="A6" s="2" t="str">
        <x:v>Recording</x:v>
      </x:c>
      <x:c r="B6" s="14" t="str">
        <x:v>Provider trace</x:v>
      </x:c>
      <x:c r="C6" s="2" t="str"/>
      <x:c r="D6" s="2"/>
      <x:c r="E6" s="2"/>
      <x:c r="F6" s="2"/>
      <x:c r="G6" s="2"/>
      <x:c r="H6" s="2"/>
      <x:c r="I6" s="2"/>
    </x:row>
    <x:row r="7" ht="28" customHeight="1">
      <x:c r="A7" s="2" t="str">
        <x:v>FX reference date</x:v>
      </x:c>
      <x:c r="B7" s="15" t="n">
        <x:v>46283</x:v>
      </x:c>
      <x:c r="C7" s="2" t="str"/>
      <x:c r="D7" s="2"/>
      <x:c r="E7" s="2"/>
      <x:c r="F7" s="2"/>
      <x:c r="G7" s="2"/>
      <x:c r="H7" s="2"/>
      <x:c r="I7" s="2"/>
    </x:row>
    <x:row r="8" ht="28" customHeight="1">
      <x:c r="A8" s="2" t="str">
        <x:v>FX fetched at</x:v>
      </x:c>
      <x:c r="B8" s="16" t="n">
        <x:v>46286.54460900463</x:v>
      </x:c>
      <x:c r="C8" s="2" t="str">
        <x:v>UTC</x:v>
      </x:c>
      <x:c r="D8" s="2"/>
      <x:c r="E8" s="2"/>
      <x:c r="F8" s="2"/>
      <x:c r="G8" s="2"/>
      <x:c r="H8" s="2"/>
      <x:c r="I8" s="2"/>
    </x:row>
    <x:row r="9" ht="56" customHeight="1">
      <x:c r="A9" s="2" t="str">
        <x:v>FX source</x:v>
      </x:c>
      <x:c r="B9" s="14" t="str">
        <x:v>https://api.frankfurter.dev/v2/rate/usd/eur?providers=ecb</x:v>
      </x:c>
      <x:c r="C9" s="2" t="str"/>
      <x:c r="D9" s="2"/>
      <x:c r="E9" s="2"/>
      <x:c r="F9" s="2"/>
      <x:c r="G9" s="2"/>
      <x:c r="H9" s="2"/>
      <x:c r="I9" s="2"/>
    </x:row>
    <x:row r="10" ht="56" customHeight="1">
      <x:c r="A10" s="2" t="str">
        <x:v>Rounding</x:v>
      </x:c>
      <x:c r="B10" s="14" t="str">
        <x:v>Only projected costs: ROUND(cost × executions, 0)</x:v>
      </x:c>
      <x:c r="C10" s="2" t="str"/>
      <x:c r="D10" s="2"/>
      <x:c r="E10" s="2"/>
      <x:c r="F10" s="2"/>
      <x:c r="G10" s="2"/>
      <x:c r="H10" s="2"/>
      <x:c r="I10" s="2"/>
    </x:row>
    <x:row r="11" ht="56" customHeight="1">
      <x:c r="A11" s="2" t="str">
        <x:v>Tree totals</x:v>
      </x:c>
      <x:c r="B11" s="14" t="str">
        <x:v>Parent rows include descendants; do not sum all tree rows.</x:v>
      </x:c>
      <x:c r="C11" s="2" t="str"/>
      <x:c r="D11" s="2"/>
      <x:c r="E11" s="2"/>
      <x:c r="F11" s="2"/>
      <x:c r="G11" s="2"/>
      <x:c r="H11" s="2"/>
      <x:c r="I11" s="2"/>
    </x:row>
    <x:row r="12" ht="56" customHeight="1">
      <x:c r="A12" s="2" t="str">
        <x:v>Cache writes</x:v>
      </x:c>
      <x:c r="B12" s="14" t="str">
        <x:v>Simulation cache movements are shown separately from provider-billed writes.</x:v>
      </x:c>
      <x:c r="C12" s="2" t="str"/>
      <x:c r="D12" s="2"/>
      <x:c r="E12" s="2"/>
      <x:c r="F12" s="2"/>
      <x:c r="G12" s="2"/>
      <x:c r="H12" s="2"/>
      <x:c r="I12" s="2"/>
    </x:row>
    <x:row r="13" ht="56" customHeight="1">
      <x:c r="A13" s="2" t="str">
        <x:v>Pricing scope</x:v>
      </x:c>
      <x:c r="B13" s="14" t="str">
        <x:v>Standard online token rates. Verify rates and model access before use. Cache writes with unspecified lifetime use the 5-minute rate unless an explicit cache_write rate is configured. No batch, regional, long-context, tool, or negotiated pricing adjustments are applied.</x:v>
      </x:c>
      <x:c r="C13" s="2" t="str"/>
      <x:c r="D13" s="2"/>
      <x:c r="E13" s="2"/>
      <x:c r="F13" s="2"/>
      <x:c r="G13" s="2"/>
      <x:c r="H13" s="2"/>
      <x:c r="I13" s="2"/>
    </x:row>
    <x:row r="14" ht="24" customHeight="1">
      <x:c r="A14" s="2"/>
      <x:c r="B14" s="2"/>
      <x:c r="C14" s="2"/>
      <x:c r="D14" s="2"/>
      <x:c r="E14" s="2"/>
      <x:c r="F14" s="2"/>
      <x:c r="G14" s="2"/>
      <x:c r="H14" s="2"/>
      <x:c r="I14" s="2"/>
    </x:row>
    <x:row r="15" ht="44" customHeight="1">
      <x:c r="A15" s="5" t="str">
        <x:v>Model</x:v>
      </x:c>
      <x:c r="B15" s="5" t="str">
        <x:v>Input USD / 1M tokens</x:v>
      </x:c>
      <x:c r="C15" s="5" t="str">
        <x:v>Cache read USD / 1M tokens</x:v>
      </x:c>
      <x:c r="D15" s="5" t="str">
        <x:v>Cache write USD / 1M tokens</x:v>
      </x:c>
      <x:c r="E15" s="5" t="str">
        <x:v>Output USD / 1M tokens</x:v>
      </x:c>
      <x:c r="F15" s="5" t="str">
        <x:v>Reasoning USD / 1M tokens</x:v>
      </x:c>
      <x:c r="G15" s="5" t="str">
        <x:v>Verified date</x:v>
      </x:c>
      <x:c r="H15" s="5" t="str">
        <x:v>Source</x:v>
      </x:c>
      <x:c r="I15" s="5" t="str">
        <x:v>Notes</x:v>
      </x:c>
    </x:row>
    <x:row r="16" ht="72" customHeight="1">
      <x:c r="A16" s="14" t="str">
        <x:v>openai:gpt-5.5</x:v>
      </x:c>
      <x:c r="B16" s="17" t="n">
        <x:v>5</x:v>
      </x:c>
      <x:c r="C16" s="17" t="n">
        <x:v>0.5</x:v>
      </x:c>
      <x:c r="D16" s="17"/>
      <x:c r="E16" s="17" t="n">
        <x:v>30</x:v>
      </x:c>
      <x:c r="F16" s="17" t="n">
        <x:v>30</x:v>
      </x:c>
      <x:c r="G16" s="15" t="n">
        <x:v>46283</x:v>
      </x:c>
      <x:c r="H16" s="14" t="str">
        <x:v>https://developers.openai.com/api/docs/models/gpt-5.5.md</x:v>
      </x:c>
      <x:c r="I16" s="14" t="str">
        <x:v>Cache write assumes 5m when unspecified</x:v>
      </x:c>
    </x:row>
    <x:row r="17" ht="72" customHeight="1">
      <x:c r="A17" s="14" t="str">
        <x:v>openai:gpt-5.6-luna</x:v>
      </x:c>
      <x:c r="B17" s="17" t="n">
        <x:v>0.2</x:v>
      </x:c>
      <x:c r="C17" s="17" t="n">
        <x:v>0.02</x:v>
      </x:c>
      <x:c r="D17" s="17" t="n">
        <x:v>0.25</x:v>
      </x:c>
      <x:c r="E17" s="17" t="n">
        <x:v>1.2</x:v>
      </x:c>
      <x:c r="F17" s="17" t="n">
        <x:v>1.2</x:v>
      </x:c>
      <x:c r="G17" s="15" t="n">
        <x:v>46283</x:v>
      </x:c>
      <x:c r="H17" s="14" t="str">
        <x:v>https://developers.openai.com/api/docs/models/gpt-5.6-luna.md</x:v>
      </x:c>
      <x:c r="I17" s="14" t="str">
        <x:v>Cache write assumes 5m when unspecified</x:v>
      </x:c>
    </x:row>
    <x:row r="18" ht="72" customHeight="1">
      <x:c r="A18" s="14" t="str">
        <x:v>openai:gpt-5.6-sol</x:v>
      </x:c>
      <x:c r="B18" s="17" t="n">
        <x:v>4</x:v>
      </x:c>
      <x:c r="C18" s="17" t="n">
        <x:v>0.4</x:v>
      </x:c>
      <x:c r="D18" s="17" t="n">
        <x:v>5</x:v>
      </x:c>
      <x:c r="E18" s="17" t="n">
        <x:v>20</x:v>
      </x:c>
      <x:c r="F18" s="17" t="n">
        <x:v>20</x:v>
      </x:c>
      <x:c r="G18" s="15" t="n">
        <x:v>46283</x:v>
      </x:c>
      <x:c r="H18" s="14" t="str">
        <x:v>https://developers.openai.com/api/docs/models/gpt-5.6-sol.md</x:v>
      </x:c>
      <x:c r="I18" s="14" t="str">
        <x:v>Cache write assumes 5m when unspecified</x:v>
      </x:c>
    </x:row>
    <x:row r="19" ht="72" customHeight="1">
      <x:c r="A19" s="14" t="str">
        <x:v>anthropic:claude-sonnet-5</x:v>
      </x:c>
      <x:c r="B19" s="17" t="n">
        <x:v>2</x:v>
      </x:c>
      <x:c r="C19" s="17" t="n">
        <x:v>0.2</x:v>
      </x:c>
      <x:c r="D19" s="17" t="n">
        <x:v>2.5</x:v>
      </x:c>
      <x:c r="E19" s="17" t="n">
        <x:v>10</x:v>
      </x:c>
      <x:c r="F19" s="17" t="n">
        <x:v>10</x:v>
      </x:c>
      <x:c r="G19" s="15" t="n">
        <x:v>46283</x:v>
      </x:c>
      <x:c r="H19" s="14" t="str">
        <x:v>https://platform.claude.com/docs/en/about-claude/pricing</x:v>
      </x:c>
      <x:c r="I19" s="14" t="str">
        <x:v>Cache write assumes 5m when unspecified</x:v>
      </x:c>
    </x:row>
    <x:row r="20" ht="72" customHeight="1">
      <x:c r="A20" s="14" t="str">
        <x:v>anthropic:claude-opus-4-8</x:v>
      </x:c>
      <x:c r="B20" s="17" t="n">
        <x:v>5</x:v>
      </x:c>
      <x:c r="C20" s="17" t="n">
        <x:v>0.5</x:v>
      </x:c>
      <x:c r="D20" s="17" t="n">
        <x:v>6.25</x:v>
      </x:c>
      <x:c r="E20" s="17" t="n">
        <x:v>25</x:v>
      </x:c>
      <x:c r="F20" s="17" t="n">
        <x:v>25</x:v>
      </x:c>
      <x:c r="G20" s="15" t="n">
        <x:v>46283</x:v>
      </x:c>
      <x:c r="H20" s="14" t="str">
        <x:v>https://platform.claude.com/docs/en/about-claude/pricing</x:v>
      </x:c>
      <x:c r="I20" s="14" t="str">
        <x:v>Cache write assumes 5m when unspecified</x:v>
      </x:c>
    </x:row>
    <x:row r="21" ht="72" customHeight="1">
      <x:c r="A21" s="14" t="str">
        <x:v>anthropic:claude-fable-5-1</x:v>
      </x:c>
      <x:c r="B21" s="17" t="n">
        <x:v>10</x:v>
      </x:c>
      <x:c r="C21" s="17" t="n">
        <x:v>0.25</x:v>
      </x:c>
      <x:c r="D21" s="17" t="n">
        <x:v>12.5</x:v>
      </x:c>
      <x:c r="E21" s="17" t="n">
        <x:v>50</x:v>
      </x:c>
      <x:c r="F21" s="17" t="n">
        <x:v>50</x:v>
      </x:c>
      <x:c r="G21" s="15" t="n">
        <x:v>46283</x:v>
      </x:c>
      <x:c r="H21" s="14" t="str">
        <x:v>https://platform.claude.com/docs/en/about-claude/pricing</x:v>
      </x:c>
      <x:c r="I21" s="14" t="str">
        <x:v>Cache write assumes 5m when unspecified</x:v>
      </x:c>
    </x:row>
    <x:row r="22" ht="72" customHeight="1">
      <x:c r="A22" s="14" t="str">
        <x:v>demo:scripted-chat</x:v>
      </x:c>
      <x:c r="B22" s="17" t="n">
        <x:v>0.2</x:v>
      </x:c>
      <x:c r="C22" s="17" t="n">
        <x:v>0.02</x:v>
      </x:c>
      <x:c r="D22" s="17" t="n">
        <x:v>0.25</x:v>
      </x:c>
      <x:c r="E22" s="17" t="n">
        <x:v>1.2</x:v>
      </x:c>
      <x:c r="F22" s="17" t="n">
        <x:v>1.2</x:v>
      </x:c>
      <x:c r="G22" s="15" t="n">
        <x:v>46283</x:v>
      </x:c>
      <x:c r="H22" s="14" t="str">
        <x:v>Illustrative demo rates based on openai:gpt-5.6-luna; no provider billing</x:v>
      </x:c>
      <x:c r="I22" s="14" t="str">
        <x:v>Cache write assumes 5m when unspecified</x:v>
      </x:c>
    </x:row>
    <x:row r="23" ht="24" customHeight="1">
      <x:c r="A23" s="2"/>
      <x:c r="B23" s="2"/>
      <x:c r="C23" s="2"/>
      <x:c r="D23" s="2"/>
      <x:c r="E23" s="2"/>
      <x:c r="F23" s="2"/>
      <x:c r="G23" s="2"/>
      <x:c r="H23" s="2"/>
      <x:c r="I23" s="2"/>
    </x:row>
    <x:row r="24" ht="24" customHeight="1">
      <x:c r="A24" s="2"/>
      <x:c r="B24" s="2"/>
      <x:c r="C24" s="2"/>
      <x:c r="D24" s="2"/>
      <x:c r="E24" s="2"/>
      <x:c r="F24" s="2"/>
      <x:c r="G24" s="2"/>
      <x:c r="H24" s="2"/>
      <x:c r="I24" s="2"/>
    </x:row>
    <x:row r="25" ht="24" customHeight="1">
      <x:c r="A25" s="2"/>
      <x:c r="B25" s="2"/>
      <x:c r="C25" s="2"/>
      <x:c r="D25" s="2"/>
      <x:c r="E25" s="2"/>
      <x:c r="F25" s="2"/>
      <x:c r="G25" s="2"/>
      <x:c r="H25" s="2"/>
      <x:c r="I25" s="2"/>
    </x:row>
    <x:row r="26" ht="24" customHeight="1">
      <x:c r="A26" s="2"/>
      <x:c r="B26" s="2"/>
      <x:c r="C26" s="2"/>
      <x:c r="D26" s="2"/>
      <x:c r="E26" s="2"/>
      <x:c r="F26" s="2"/>
      <x:c r="G26" s="2"/>
      <x:c r="H26" s="2"/>
      <x:c r="I26" s="2"/>
    </x:row>
    <x:row r="27" ht="24" customHeight="1">
      <x:c r="A27" s="2"/>
      <x:c r="B27" s="2"/>
      <x:c r="C27" s="2"/>
      <x:c r="D27" s="2"/>
      <x:c r="E27" s="2"/>
      <x:c r="F27" s="2"/>
      <x:c r="G27" s="2"/>
      <x:c r="H27" s="2"/>
      <x:c r="I27" s="2"/>
    </x:row>
    <x:row r="28" ht="24" customHeight="1">
      <x:c r="A28" s="2"/>
      <x:c r="B28" s="2"/>
      <x:c r="C28" s="2"/>
      <x:c r="D28" s="2"/>
      <x:c r="E28" s="2"/>
      <x:c r="F28" s="2"/>
      <x:c r="G28" s="2"/>
      <x:c r="H28" s="2"/>
      <x:c r="I28" s="2"/>
    </x:row>
    <x:row r="29" ht="24" customHeight="1">
      <x:c r="A29" s="2"/>
      <x:c r="B29" s="2"/>
      <x:c r="C29" s="2"/>
      <x:c r="D29" s="2"/>
      <x:c r="E29" s="2"/>
      <x:c r="F29" s="2"/>
      <x:c r="G29" s="2"/>
      <x:c r="H29" s="2"/>
      <x:c r="I29" s="2"/>
    </x:row>
    <x:row r="30" ht="24" customHeight="1">
      <x:c r="A30" s="2"/>
      <x:c r="B30" s="2"/>
      <x:c r="C30" s="2"/>
      <x:c r="D30" s="2"/>
      <x:c r="E30" s="2"/>
      <x:c r="F30" s="2"/>
      <x:c r="G30" s="2"/>
      <x:c r="H30" s="2"/>
      <x:c r="I30" s="2"/>
    </x:row>
  </x:sheetData>
  <x:conditionalFormatting sqref="G16:G22">
    <x:cfRule type="expression" dxfId="0" priority="1">
      <x:formula>G16&lt;TODAY()</x:formula>
    </x:cfRule>
  </x:conditionalFormatting>
  <x:conditionalFormatting sqref="B7:B7">
    <x:cfRule type="expression" dxfId="1" priority="2">
      <x:formula>B7&lt;TODAY()</x:formula>
    </x:cfRule>
  </x:conditionalFormatting>
  <x:dataValidations count="1">
    <x:dataValidation type="whole" operator="greaterThanOrEqual" sqref="B2">
      <x:formula1>0</x:formula1>
    </x:dataValidation>
  </x:dataValidations>
  <x:pageMargins left="0.7" right="0.7" top="0.75" bottom="0.75" header="0.3" footer="0.3"/>
</x:worksheet>
</file>
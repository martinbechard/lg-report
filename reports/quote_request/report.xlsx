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<sst xmlns="http://schemas.openxmlformats.org/spreadsheetml/2006/main" count="443" uniqueCount="169">
  <si>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</si>
  <si>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</si>
  <si>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</si>
  <si>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</si>
  <si>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</si>
  <si>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</si>
  <si>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</si>
  <si>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</si>
  <si>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</si>
  <si>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</si>
  <si>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</si>
  <si>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</si>
  <si>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</si>
  <si>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</si>
  <si>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</si>
  <si>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</si>
  <si>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</si>
  <si>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</si>
  <si>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</si>
  <si>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</si>
  <si>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</si>
  <si>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</si>
  <si>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</si>
  <si>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</si>
  <si>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</si>
  <si>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</si>
  <si>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</si>
  <si>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</si>
  <si>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</si>
  <si>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</si>
  <si>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</si>
  <si>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</si>
  <si>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</si>
  <si>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</si>
  <si>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</si>
  <si>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</si>
  <si>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</si>
  <si>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</si>
  <si>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</si>
  <si>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</si>
  <si>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</si>
  <si>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</si>
  <si>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</si>
  <si>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</si>
  <si>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</si>
  <si>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</si>
  <si>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</si>
  <si>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</si>
  <si>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</si>
  <si>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01a0cc5f-b3ae-7721-af82-09855e44935e</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</si>
  <si>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</si>
  <si>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</si>
  <si>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</si>
  <si>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</si>
  <si>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</si>
  <si>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</si>
  <si>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</si>
  <si>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</si>
  <si>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</si>
  <si>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</si>
  <si>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</si>
  <si>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</si>
  <si>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</si>
  <si>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</si>
  <si>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</si>
  <si>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</si>
  <si>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</si>
  <si>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</si>
  <si>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</si>
  <si>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</si>
  <si>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</si>
  <si>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</si>
  <si>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</si>
  <si>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</si>
  <si>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</si>
  <si>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</si>
  <si>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</si>
  <si>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</si>
  <si>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</si>
  <si>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</si>
  <si>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</si>
  <si>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</si>
  <si>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</si>
  <si>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</si>
  <si>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</si>
  <si>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</si>
  <si>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</si>
  <si>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</si>
  <si>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</si>
  <si>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</si>
  <si>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</si>
  <si>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</si>
  <si>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</si>
  <si>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</si>
  <si>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</si>
  <si>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</si>
  <si>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01a0cc5f-b3b5-7980-b56a-9b035d16741a</t>
  </si>
  <si>
    <t>Fresh input</t>
  </si>
  <si>
    <t xml:space="preserve">    Tool definitions</t>
  </si>
  <si>
    <t xml:space="preserve">    System prompt</t>
  </si>
  <si>
    <t xml:space="preserve">You help a human prepare a quote request. Read the entire request
and clarification conversation. Decide whether its meaning is clear enough to
prepare an accurate request. Notice conflicting requirements, implausible scope,
ambiguous units, and assumptions that would materially change the quote. Ask the
human a focused question in your own words when their judgment or information is
needed. Check for multiple independent issues across the whole request, not just
the first inconsistency. Keep all unresolved issues in view after every answer.
You may group closely related questions; do not complete while a material issue
remains unresolved. Explain the concrete uncertainty. This is a conversation, not a required
field checklist. Do not silently repair contradictions or invent requirements,
prices, feasibility guarantees, or human answers. Reconsider the request after
every answer; an unclear answer may need another question. Complete without a
question when the request is already coherent. Completion summarizes the agreed
scope and any explicitly accepted uncertainty; it does not send a quote or
promise supplier acceptance. Return exactly one QuoteDecision tool call.
</t>
  </si>
  <si>
    <t xml:space="preserve">    User prompt</t>
  </si>
  <si>
    <t>{"initial_request": {"name": "Alex", "email": "alex@example.com", "service": "Print 500 individually addressed invitations. Use the exact same text on every copy; no variable printing.", "quantity": 500, "recipients": "650 guests, each must receive their own invitation.", "delivery": "One batch to our office; we will mail them ourselves."}, "conversation": []}</t>
  </si>
  <si>
    <t>Cache write</t>
  </si>
  <si>
    <t>Context · added / total</t>
  </si>
  <si>
    <t>LLM response</t>
  </si>
  <si>
    <t>Reasoning</t>
  </si>
  <si>
    <t>Output</t>
  </si>
  <si>
    <t xml:space="preserve">    Output content</t>
  </si>
  <si>
    <t>[{"id": "rs_097f8bf2fe8e699d006ab34bb4486087d2a06ce236430e6867", "summary": [], "type": "reasoning", "content": [], "index": 0, "encrypted_content": "gAAAAABqs0u0bS_InBim6hoX7C9Zptxg1LrYo5tGvjqUNuZyPOEUsnD9wz2LVvWn7EJZjuipnaV5lK4ORx4CtWQH1_nLJSY6gXMViBAF3J8ZhWeawimfArZ1y1wykpX3iHH2NT5A0WMkBqZ0jG7699SpgfToibu4jIQusdQ5KtAIgWMfq9V2MQaQTo4xlpfJC9PZCRtcXm-ZQMNHEOP6DpS95d2f29enm-PmpGNEQ9DcqZDnYKEP1eB9sNiYz8jeXROI1Yg4VC6FmjLIGVjj_DP9poKANhYXkrs0YgtpcUWs_0pbHY_cbk3fKK4BO3z7Lm-d-ROR739Ue8g8GmS0qWp6d-2P_aAVYkqtHUfMDptm_EYa2HeRSZzulos8IwZ0nGrXl-ndcIQieSuTE8PVcbzv2oBw5rRV8ObI5VxHJIZnpfMVwc8JQ_YtGdoFCu0HGSYGqqbOrskDQ5R3ndpf5RO5Ut443qDtchswh6NvOq8FHTIJrjAYpJ72E3I3BZdWDWMMcAS85DZ_jYNY8Rm4D_vGYTsPMKEmYN2c_8yrZM3IMw_5yG9ER5_-CQSEJ_C90la0KqoiVgd35Vy7Ct1fCU80EDihfQPLITkuu62-LvEKp01RxlThGtAt7P63UwSUwxSLOVSM7xjF1u1VWXPdFluTpX0PZo1PtMZQQvQHxmeUgydb4dKv-OcQRM-U22g_FRyCaNYbniYazO4W-cgMdKbHpdW4eo7kHLRCU0kWVo7sfKdeKkvgrBXrAoN8h6LB4P3L0eRJLroLZ0aZ6yb8vawtMYYHKXwS434mv7Othwnl4yE6JTtndMZTKzEuPlCn5c-woDCIuizb65abzvaqXwSVu52--mua_nVvbJWuTrkTNEi4gDd-wT9pkvg1HB-kzH69lKnOQiLMRpu6rITvZyI4Vm0NMBk-U-kMg3T5igEFZz_Qc4kVwopNNTQbQtsYn6yQhauM4tEHoZT81gdY_zo4rSBOjP-it6KtAhUBriknoEzcv0y6eLDEZYNFCYY-VeD8UW21T6P94pcJ10dkYWpcp3oO4mdiB1iBprXOUMIBnuxS20Nnj9xImhfriHNyfnAXXugsw7q5nG8bGn-RHll9CT94QL-xdrKqwGL2LIMaMBXZmAN2r7K4yt-f6UHLRTHZFZLyy2-WCyw-586jj9meXkAFXZoUi_DfMV9kZHzJM06rK4hT0ClpzO5aCTY14gJ2O6OgCOp-5ufFZqG5uRKNoWEzUgANqb-FPSGbOfeczJ-fyE0dqUCcqGMgPoC1hstNQWuOd03mfrEK4Wsv7Qiae4vX9j_8vKSPckw49opPNnBDMIO7cs5EEyJPLs9pCdHb-F38Vz6ypYZj6i-0slXOZ2vaYu-2SqIeD9HBfoWGIg3Q_n1HzJWmXDKmjkJAQNW9pUCI0dOoXZr7rgyDDciiF94wbniM7usmWe0nZ0dycV0hLxaUqck="}, {"type": "function_call", "name": "QuoteDecision", "arguments": "{\"action\":\"ask\",\"reason\":\"The request contains two material conflicts: it asks for 500 invitations but says all 650 guests must receive one, and it asks for individually addressed invitations while also requiring identical text with no variable printing. The delivery instruction suggests you will mail them yourselves, but it is unclear whether the printer should print or apply recipient addresses.\",\"text\":\"Should the quote be for 650 invitations (one per guest) or 500? Also, do you want the printer to add each guest\u2019s address/name, or should all copies be identical and you will handle all addressing and mailing after receiving one office batch?\"}", "call_id": "call_H7Gp596s6z8GDVdl2qVp9c2F", "id": "fc_097f8bf2fe8e699d006ab34bb4d14887d28fbc673fccfa9243", "index": 1}]
{"name": "QuoteDecision", "args": {"action": "ask", "reason": "The request contains two material conflicts: it asks for 500 invitations but says all 650 guests must receive one, and it asks for individually addressed invitations while also requiring identical text with no variable printing. The delivery instruction suggests you will mail them yourselves, but it is unclear whether the printer should print or apply recipient addresses.", "text": "Should the quote be for 650 invitations (one per guest) or 500? Also, do you want the printer to add each guest\u2019s address/name, or should all copies be identical and you will handle all addressing and mailing after receiving one office batch?"}, "id": "call_H7Gp596s6z8GDVdl2qVp9c2F", "type": "tool_call"}</t>
  </si>
  <si>
    <t>Call total</t>
  </si>
  <si>
    <t>ok</t>
  </si>
  <si>
    <t>R2</t>
  </si>
  <si>
    <t>01a0cc5f-e6bf-7681-8636-86cb3d48ea53</t>
  </si>
  <si>
    <t>Conversation history · cache read</t>
  </si>
  <si>
    <t>[{"id": "rs_08128df96d415dab006ab34bc1532c87d285906ca7501a2f36", "summary": [], "type": "reasoning", "content": [], "index": 0, "encrypted_content": "gAAAAABqs0vDa2zzUsL6_KfsId9poxlgrMRYemZD8s2-5Qiv8-GqezovFsIEWDu2ygqmitGs1l63atItgcfMG4gm6s06ImivX016jVhZNwGdNrgmA0rHDYsJdD8OHTHhl7KeZri1_dFBypzCUt273bcv4acchcbaxVa-CfrTkcBBujWP4aZJgmO2aDtOBZaO122D-F-BhhGw3--AU0y3wEXQ91tolnMIBcWsJZnOiNcY6RiPY3_Rw3ATkQA76YtXA2i5RI7jVPtsv8nAT4DnUSyp6wXTzj-B12Q9n36Hm0rZ3o7w7bumvCIl2Z36LNgI8OuEh7pkFZ8e_x_BDirMsiKZpZv0Nn4YFO2coFzWbCx3mJl0Dxx6DhjUBaYWr0gYv37Odb169O-O0fR5dT83j9IQRggGAFlms0biBUJUTWgU8UybRL7pIAarxtNwBa-zxOjHa0LXpeiLYCZ_c6sJ_N7Rk5oxHQag4UodznFXOGql5PPxsh-tHSzrtY0Ew_S_CWwI8lHeZ1JUyoWLNFDBzbT-LUbNYg-iOpyF8R7-28XnnUXpnU9XLvZqIf5nl07GUKbUn4agAbIxH8r2i9bOsUrLmhskRSlC2eWu8U3zhXTSS_OKssyH5UpDtOdQiz5ZK5QZQbW8Xt-Iq66abeIqUssP3KXKTcG61yHJZayn2thNPSlUjXSsY7aCDhFxrU4wVc5lugrPwGJMFw0wtUt0XG-kKcSi90eMXSfir8Veg3hMG9kXiV20LbOIeYyYvHO1H7EsHP4fSirD5Dkfy7gtUhRClm0TCA8reAMAQwy5I2aXorZ6wpnGKJiILn6gBnhM52Jta4ulKaIdHvBXBKDOEcCREHq6o08oMZPD3SkOyZq6i1wj4AcDP8XmuNkRCDSe1gF7bv8vbzO_nt7cEHtOg1VfiR0Fzhsj4oquJXp4P7vsrgFNMd4JxNeAkxMekx8ZAuZP7jmP2jUm5GunITSvo4qzC8O6FcQfh2nZCmOtqLmNaxwmGC3R71a45dyfnDH0TQI9DBKZT6I1DyhrWp43KezhOdSf0YHvJnrt8UH2Ma0otbgaKI8PRIVKYAoIK55VIolOHgVTgPNnL2USsbO-aBmbBMoXsHBRz4NEpAATIMIGpvPkdXIkp_HxUCD1jT-wObNjJgmrNzvCfpJOXIXwT5ejEV48F4gnZbS6Cn6NuO3ZDPnyTTEsM1UAH_pjjhqt9_eEZv92COG04GMDflZn3SShE0DCQ9lkIrChBAfaxeD14ewkIoKn4UCtuSEpudjSBoo_JUhwpZyGxDh-yTAXTmOZoG8LAz6Y7yfCuOzeUltsY6F4g9iYjQtrx9vyBCQccrqBWWvVjTmY3LbJnFkPFc9e-FqJUTRn5Lo4g2Y_Q2uSY6bLcabq-44-Mc3FbUDAbTBhvETeFytdim7NRaNtFzeohBdLjyzK6a1mv82Jyb5gObuPeH5yQz2U18y-f9K4CYZKYu5QkN3nJRP720eTULASFXTUaWrkm8Nzbi1zlpMmc8kWhV-H3Xtx_4vVCilmXeHneGT2OsTOZ1j1IB03Jap63VgBh8ED3cK3GF3pUXW__zFKJMbalgdtVRAVPxPi1zsasRiCnngov9NSJ6bH8Alnbw1g9aWvMy5N2EXDt1_0HJUsCLokoqI5xHH_bldC1UKfmrXM238TOE0Iu3ZA5fTNNpXQKIkkUC4HLpsf6zN0DKyc3q-wXl4SIHISKjmi9XGkCJp5iyFhW6X4F4SojKhyPyH1BbS4XA7YWLs91GHs3MhEQXsQ_GAGlDuTOqzTZWhcSSx-tTluSSEsZf1mNMq2mYYsD9Vl0gri9TjX3Ejjp1N46ch3-Vu2DoSUeAT5aMO2T8HU3uiljnZvCtMkaUyAJ0k1uiKBLXFgh6Y00_giCJx0UgQP572AowCeOmYP3GvHoqIYVX-WjoxJTbnIvHj7I0nXgOmoIptBN8QMtEA7npB93UvSZSBXCn0CdYs28gfeg0LMZr-h7uofoD2qUa0kGFQgvQDHKEO0MTWSfHTIsFgNU1k1W5uu0UnjD4SfPDZdBCMhB_SOkEsz0nQGXRhqioqGCQAhes8CEdjqhro3Slsq6gR8QVoZ3SI_6hc1pmURmfCIezOfUOo7mZcwnojgn94w8O8527M7XR-AXkmtazAY0mGeQoS5ADSGFxMljvFRG0qV3DDvD2Lsd_7KfcyGtzbicbpZ3l8hyYKkEd3s4eR22e0SbMZ-vfGoS06Yby6nrFjukjPEtEePoJk609tRIDjjKImSDQ=="}, {"type": "function_call", "name": "QuoteDecision", "arguments": "{\"action\":\"ask\",\"reason\":\"The quantity and identical invitation text are now clear: 500 invitations, one per household, for 650 guests. However, \u201cput each guest\u2019s name and address on the envelopes\u201d conflicts slightly with one-envelope-per-household and does not specify how household names should appear. The production scope also needs confirmation because supplying a spreadsheet implies the printer will address the envelopes, despite the original request saying you would mail them yourselves.\",\"text\":\"Please confirm: should the printer print/address each of the 500 envelopes using the spreadsheet, with one envelope per household? If a household contains multiple guests, should the envelope list all guests\u2019 names or use one designated household/addressee name? The printer would deliver the 500 addressed envelopes and invitations in one batch to your office, and you would handle mailing\u2014correct?\"}", "call_id": "call_JjQIdcAcQcF8yDKcjkj1cj2v", "id": "fc_08128df96d415dab006ab34bc3143487d2aa77f38b5f9b490a", "index": 1}]
{"name": "QuoteDecision", "args": {"action": "ask", "reason": "The quantity and identical invitation text are now clear: 500 invitations, one per household, for 650 guests. However, \u201cput each guest\u2019s name and address on the envelopes\u201d conflicts slightly with one-envelope-per-household and does not specify how household names should appear. The production scope also needs confirmation because supplying a spreadsheet implies the printer will address the envelopes, despite the original request saying you would mail them yourselves.", "text": "Please confirm: should the printer print/address each of the 500 envelopes using the spreadsheet, with one envelope per household? If a household contains multiple guests, should the envelope list all guests\u2019 names or use one designated household/addressee name? The printer would deliver the 500 addressed envelopes and invitations in one batch to your office, and you would handle mailing\u2014correct?"}, "id": "call_JjQIdcAcQcF8yDKcjkj1cj2v", "type": "tool_call"}</t>
  </si>
  <si>
    <t>R3</t>
  </si>
  <si>
    <t>01a0cc60-724b-79d0-9769-89c24988f6ba</t>
  </si>
  <si>
    <t>[{"id": "rs_05d14159d75f55a1006ab34be4e2e887d298fa12763cb8eb29", "summary": [], "type": "reasoning", "content": [], "index": 0, "encrypted_content": "gAAAAABqs0vmoFuPvQ6l_MYvCbSnG1SKw88uP0HyIgL1tCszlzDn37KFSiY7d1dIMqCwwz4WnQ9BkSThkrc9mZJcsKxOXb9Vx8hyppYKNKTidU35HSgYQxl2BhN9Laq8OBc7v6Lis0J3xjk8OTqSfgvjNy9b3pMDSH0epGwbSlN9pSsXQiLGw_9yBdbv4lLyepiR4URTUbIHkNkCdaed-RmY3Nb4wDus6Ow6GCZ_zET70FGyymgVIaCuAzZUAOUmijHla7y6woBEX2Pf2GtYm4t-WLbtZ1HqQo91ZPYli6XqTVnicVrl7NVKvmNm3kIDwMWtwHntOfAaQkDDQ_DUFY0NuzPt29LvoczrPQd7LBq2nTQL0Pg2FulyVs3Fcf_BSkAvTVQHwFzXORZOga411rf9yvZLmyZTtcny6xL1HUhJyPoPQd1u7vgNxlM0KeTWjCXVvUZejLVUB2pk5WUIJSGwrPGwCh9efUYXXl51ayBdBvHfliKarF8Y_vUbbxoh6R4X0UqheNewCjdxfRSBI7_nBpkslPBIek_byHQ4RwdCb99SM7dHeserjPcTgSnpbazAIlEBXyAi9SQFOQWU6vAD1GKojQSUbjaSRky4ae5WVdhR3od9SqpFcXx_45KlUCtAksqZDsg2_bKP46zVg_HmbTpq5fvAZNPolmZffk7WQH803ST8lMtGkKE7CECE2t1y-GBpza90mYVT7aAX2QfK1Nj_hLGVmsZw4j1Aih-_i7HxW-iQB8JWCW8j1JGvzO8UFljKN2l-c2P--XR5EmAEQk6oCFU89fkjJZF7s9BkYbO7OIJVYIPBWXcNV61J3xlTDQTwRS3WGOgmGCOLf5s74gEzjGDsV15pOFGdbvJOUt8HfvWVLigfD5djar7HrIw9hJKdUeooSkYAwzpGfxo3YbAvR0LF5GzRi3nGJN2bCzRcvaUroZ2dI9m3AHDUlFRRhI0T9caZupt4acEw5o93VfSUJ0cS3qrLK_Sz6irHF7uqRRD2I0Q4qEVKCYRnKR_elGA7KxtA4XvGJL6Tx4tp7mS6No1QiIR9V-w1beA5sSp4fJ5VVpNp8bmpNG3AmgXOQAZsVC6QK67AqCXZKtbvZd26DN9D6UEBPHAhOlqLTSe1DIWEgkdXkll99p8ndEJmvaefBPA_u0cpJuKwh7bWxgF2zsr5L8z2HfhJl9W8uiPnfwP_-9vGIAcJmOrVg3PkInw5bMHQaszeMkewG7wItbbMgmOH2CrO8hTQGvMbMKgozEo9SnSmcPm_GyBPRfWuwkL1jklqMQLoe8huomgRcIdZfIw8zK-cfbnVL3leycvFhLzimQd9eqN1QTCF9HOCOEoT_Ua1MC5fPgKp3UDR4jECpgNTI-xVasSaBn_4dOcnkkSHUkX1jtbeJkfXBNEhRIUywV2poyiW8vJiuaSfFrpFTrBwarIXxg9BMQvLqsmP4ybI4WH_0XQZJnl65Kkfn9RV6mOGGf24UC1FuaGuWdU_I08yYGXsT3OF7nPO_OJBS7Yzdk9_6FExqbd6XZEeQIGSsxlLqJoSCLCsNETYJx84i0MHDQ68fdtdzT-mG21zzcDqZcJEbrdkhEFwYU4bRAVpoVMpOymlfkes8L7Lh_ZDqXwWgBYhoNcVf53FTmSFP5yVFFYz31oeLGSCTAETNgfLY8LvDQlPhzc-ZnC39MAA0VGMF7eAOwO_-HQbn0a-DH17B5ccrJYY69oKhfQ2LXTiU8w1nwSLCGpW1Z1SBlooT7TkI8ninTFvkRg1LEGBwBXO5E1oz4UF_AyiGU0OyzBTHj2BrP-Tt6omJFK5j3eZME2PlT3tBvzJWWmOB3ONnzr3CzaKAO-QOf0gdABGN06elyyaPeQGxsg7EFg8_ngoDagADi1ERLvDKEQJnQcVpysHzKHrWIEtKftqXxtPWsec5BXQ_fA_fRibKDBJdh1_E2kYzPpHLiVJJZzD6u0FJSTzmLs="}, {"type": "function_call", "name": "QuoteDecision", "arguments": "{\"action\":\"complete\",\"reason\":\"The clarification resolves the material quantity and addressing conflicts: 500 households means 500 identical invitations and 500 envelopes, with one spreadsheet row per household. The envelopes\u2014not the invitations\u2014will be individually addressed using the supplied names and addresses, and both items will be delivered together in one batch for the customer to mail.\",\"text\":\"Prepare a quote for Alex (alex@example.com) for 500 identical printed invitations with no variable text, plus 500 printed envelopes individually addressed from the customer\u2019s spreadsheet, one envelope per household/row. Deliver the invitations and addressed envelopes together in one batch to the customer\u2019s office; the customer will handle mailing. Envelope addressee names and addresses must be reproduced exactly as supplied.\"}", "call_id": "call_WKOY63dAwDwMh5DNDHoddbtM", "id": "fc_05d14159d75f55a1006ab34be63cec87d2b8bdf9f456b64c71", "index": 1}]
{"name": "QuoteDecision", "args": {"action": "complete", "reason": "The clarification resolves the material quantity and addressing conflicts: 500 households means 500 identical invitations and 500 envelopes, with one spreadsheet row per household. The envelopes\u2014not the invitations\u2014will be individually addressed using the supplied names and addresses, and both items will be delivered together in one batch for the customer to mail.", "text": "Prepare a quote for Alex (alex@example.com) for 500 identical printed invitations with no variable text, plus 500 printed envelopes individually addressed from the customer\u2019s spreadsheet, one envelope per household/row. Deliver the invitations and addressed envelopes together in one batch to the customer\u2019s office; the customer will handle mailing. Envelope addressee names and addresses must be reproduced exactly as supplied."}, "id": "call_WKOY63dAwDwMh5DNDHoddbtM", "type": "tool_call"}</t>
  </si>
  <si>
    <t>LangGraph</t>
  </si>
  <si>
    <t>workflow</t>
  </si>
  <si>
    <t>Execute the LangGraph workflow operation and pass its result to the next graph step.</t>
  </si>
  <si>
    <t>Subtree total</t>
  </si>
  <si>
    <t xml:space="preserve">    begin</t>
  </si>
  <si>
    <t>Execute the begin workflow operation and pass its result to the next graph step.</t>
  </si>
  <si>
    <t>01a0cc5f-b3b1-77a3-893b-6c5fd33b188d</t>
  </si>
  <si>
    <t>No model charge</t>
  </si>
  <si>
    <t xml:space="preserve">    assess</t>
  </si>
  <si>
    <t>Execute the assess workflow operation and pass its result to the next graph step.</t>
  </si>
  <si>
    <t>01a0cc5f-b3b2-72e3-804d-01eb34c489f5</t>
  </si>
  <si>
    <t xml:space="preserve">        quote_interpreter</t>
  </si>
  <si>
    <t>Interpret quote scope and request human clarification when needed.</t>
  </si>
  <si>
    <t>01a0cc5f-b3b3-7490-bf29-d827c55ca539</t>
  </si>
  <si>
    <t xml:space="preserve">            quote_interpreter</t>
  </si>
  <si>
    <t>01a0cc5f-b3b3-7490-bf29-d83d801bd75e</t>
  </si>
  <si>
    <t xml:space="preserve">                model</t>
  </si>
  <si>
    <t>01a0cc5f-b3b4-7cb0-ba8b-ddf151a7053c</t>
  </si>
  <si>
    <t xml:space="preserve">                    ChatOpenAI</t>
  </si>
  <si>
    <t>model</t>
  </si>
  <si>
    <t>Own call</t>
  </si>
  <si>
    <t xml:space="preserve">        route_after_assessment</t>
  </si>
  <si>
    <t>Execute the route_after_assessment workflow operation and pass its result to the next graph step.</t>
  </si>
  <si>
    <t>01a0cc5f-c090-7422-9174-a0c38817c268</t>
  </si>
  <si>
    <t xml:space="preserve">    ask</t>
  </si>
  <si>
    <t>interrupted</t>
  </si>
  <si>
    <t>Execute the ask workflow operation and pass its result to the next graph step.</t>
  </si>
  <si>
    <t>01a0cc5f-c091-7fb3-83f4-2f65c3a245b0</t>
  </si>
  <si>
    <t>01a0cc5f-e6b2-7970-9769-cb49463ab471</t>
  </si>
  <si>
    <t>01a0cc5f-e6b5-77e2-bcc9-7ae32b342cf5</t>
  </si>
  <si>
    <t xml:space="preserve">        route_after_answer</t>
  </si>
  <si>
    <t>Execute the route_after_answer workflow operation and pass its result to the next graph step.</t>
  </si>
  <si>
    <t>01a0cc5f-e6b6-76f2-ade6-39cf56a4bd80</t>
  </si>
  <si>
    <t>01a0cc5f-e6b9-71d1-822a-561d6282d019</t>
  </si>
  <si>
    <t>01a0cc5f-e6b9-71d1-822a-562a6847ca18</t>
  </si>
  <si>
    <t>01a0cc5f-e6bb-7ac3-b3af-0be7c4e70de5</t>
  </si>
  <si>
    <t>01a0cc5f-e6bd-74a0-a182-da8ffba208ed</t>
  </si>
  <si>
    <t>01a0cc5f-fa01-7020-9aa5-103efa52c67d</t>
  </si>
  <si>
    <t>01a0cc5f-fa03-7be2-8677-c2bfd1bc2379</t>
  </si>
  <si>
    <t>01a0cc60-7240-7191-b09b-df3f860d74e5</t>
  </si>
  <si>
    <t>01a0cc60-7244-71f2-a540-b114ee39df2d</t>
  </si>
  <si>
    <t>01a0cc60-7245-7000-91ed-1e9f3b6f5a00</t>
  </si>
  <si>
    <t>01a0cc60-7247-7861-8eaf-7abadc01c826</t>
  </si>
  <si>
    <t>01a0cc60-7247-7861-8eaf-7ac54a7af9b4</t>
  </si>
  <si>
    <t>01a0cc60-7249-7263-92aa-b8a04d16be3a</t>
  </si>
  <si>
    <t>01a0cc60-724a-7961-b538-69992e8a0783</t>
  </si>
  <si>
    <t>01a0cc60-80a1-7891-942a-30232802268f</t>
  </si>
  <si>
    <t xml:space="preserve">    complete</t>
  </si>
  <si>
    <t>Execute the complete workflow operation and pass its result to the next graph step.</t>
  </si>
  <si>
    <t>01a0cc60-80a2-77a2-a0d2-ca7d6497d269</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</si>
</sst>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41"/>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IF(COUNT('Turns'!E17,'Turns'!E29,'Turns'!E41)=3,SUM('Turns'!E17,'Turns'!E29,'Turns'!E41),"Unknown")</f>
        <v>0.001149958134</v>
      </c>
      <c r="F2" s="2">
        <f>IF(COUNT('Turns'!F17,'Turns'!F29,'Turns'!F41)=3,SUM('Turns'!F17,'Turns'!F29,'Turns'!F41),"Unknown")</f>
        <v>0.0013182</v>
      </c>
      <c r="G2" s="5">
        <f>IF(ISNUMBER(E2),ROUND(E2*'Reference data'!$B$2,0),"Unknown")</f>
        <v>115.0</v>
      </c>
      <c r="H2" s="5">
        <f>IF(ISNUMBER(F2),ROUND(F2*'Reference data'!$B$2,0),"Unknown")</f>
        <v>132.0</v>
      </c>
    </row>
    <row r="3" spans="1:13" s="4" customFormat="1" ht="24" customHeight="1">
      <c r="B3" s="4">
        <v>1</v>
      </c>
      <c r="C3" s="4" t="s">
        <v>92</v>
      </c>
      <c r="E3" s="2">
        <f>IF(COUNT('Turns'!E17,'Turns'!E29,'Turns'!E41)=3,SUM('Turns'!E17,'Turns'!E29,'Turns'!E41),"Unknown")</f>
        <v>0.001149958134</v>
      </c>
      <c r="F3" s="2">
        <f>IF(COUNT('Turns'!F17,'Turns'!F29,'Turns'!F41)=3,SUM('Turns'!F17,'Turns'!F29,'Turns'!F41),"Unknown")</f>
        <v>0.0013182</v>
      </c>
      <c r="G3" s="5">
        <f>IF(ISNUMBER(E3),ROUND(E3*'Reference data'!$B$2,0),"Unknown")</f>
        <v>115.0</v>
      </c>
      <c r="H3" s="5">
        <f>IF(ISNUMBER(F3),ROUND(F3*'Reference data'!$B$2,0),"Unknown")</f>
        <v>132.0</v>
      </c>
    </row>
    <row r="4" spans="1:13" s="4" customFormat="1" ht="24" customHeight="1">
      <c r="A4" s="4" t="s">
        <v>93</v>
      </c>
      <c r="B4" s="4">
        <v>1</v>
      </c>
      <c r="C4" s="4" t="s">
        <v>94</v>
      </c>
      <c r="D4" s="4">
        <v>493</v>
      </c>
      <c r="J4" s="4" t="s">
        <v>95</v>
      </c>
      <c r="M4" s="4" t="s">
        <v>96</v>
      </c>
    </row>
    <row r="5" spans="1:13" ht="24" customHeight="1">
      <c r="A5" t="s">
        <v>93</v>
      </c>
      <c r="B5">
        <v>1</v>
      </c>
      <c r="C5" t="s">
        <v>97</v>
      </c>
      <c r="D5" s="5">
        <v>493</v>
      </c>
      <c r="E5" s="2">
        <f>IF(AND(ISNUMBER(F5),ISNUMBER('Reference data'!$B$3)),F5*'Reference data'!$B$3,"Unknown")</f>
        <v>8.6015682e-05</v>
      </c>
      <c r="F5" s="2">
        <f>IF(D5=0,0,IF(ISNUMBER('Reference data'!B17),D5*'Reference data'!B17/1000000,"Unknown"))</f>
        <v>9.86e-05</v>
      </c>
      <c r="G5" s="5">
        <f>IF(ISNUMBER(E5),ROUND(E5*'Reference data'!$B$2,0),"Unknown")</f>
        <v>9.0</v>
      </c>
      <c r="H5" s="5">
        <f>IF(ISNUMBER(F5),ROUND(F5*'Reference data'!$B$2,0),"Unknown")</f>
        <v>10.0</v>
      </c>
    </row>
    <row r="6" spans="1:13" ht="24" customHeight="1">
      <c r="A6" t="s">
        <v>93</v>
      </c>
      <c r="B6">
        <v>1</v>
      </c>
      <c r="C6" t="s">
        <v>98</v>
      </c>
    </row>
    <row r="7" spans="1:13" ht="216" customHeight="1">
      <c r="A7" t="s">
        <v>93</v>
      </c>
      <c r="B7">
        <v>1</v>
      </c>
      <c r="C7" t="s">
        <v>99</v>
      </c>
      <c r="I7" s="6" t="s">
        <v>100</v>
      </c>
    </row>
    <row r="8" spans="1:13" ht="73"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185</v>
      </c>
    </row>
    <row r="12" spans="1:13" ht="24" customHeight="1">
      <c r="A12" t="s">
        <v>93</v>
      </c>
      <c r="B12">
        <v>1</v>
      </c>
      <c r="C12" t="s">
        <v>106</v>
      </c>
      <c r="D12" s="5">
        <v>43</v>
      </c>
      <c r="E12" s="2">
        <f>IF(AND(ISNUMBER(F12),ISNUMBER('Reference data'!$B$3)),F12*'Reference data'!$B$3,"Unknown")</f>
        <v>4.5014292e-05</v>
      </c>
      <c r="F12" s="2">
        <f>IF(D12=0,0,IF(ISNUMBER('Reference data'!F17),D12*'Reference data'!F17/1000000,"Unknown"))</f>
        <v>5.16e-05</v>
      </c>
      <c r="G12" s="5">
        <f>IF(ISNUMBER(E12),ROUND(E12*'Reference data'!$B$2,0),"Unknown")</f>
        <v>5.0</v>
      </c>
      <c r="H12" s="5">
        <f>IF(ISNUMBER(F12),ROUND(F12*'Reference data'!$B$2,0),"Unknown")</f>
        <v>5.0</v>
      </c>
    </row>
    <row r="13" spans="1:13" ht="24" customHeight="1">
      <c r="A13" t="s">
        <v>93</v>
      </c>
      <c r="B13">
        <v>1</v>
      </c>
      <c r="C13" t="s">
        <v>107</v>
      </c>
      <c r="D13" s="5">
        <v>142</v>
      </c>
      <c r="E13" s="2">
        <f>IF(AND(ISNUMBER(F13),ISNUMBER('Reference data'!$B$3)),F13*'Reference data'!$B$3,"Unknown")</f>
        <v>0.000148651848</v>
      </c>
      <c r="F13" s="2">
        <f>IF(D13=0,0,IF(ISNUMBER('Reference data'!E17),D13*'Reference data'!E17/1000000,"Unknown"))</f>
        <v>0.0001704</v>
      </c>
      <c r="G13" s="5">
        <f>IF(ISNUMBER(E13),ROUND(E13*'Reference data'!$B$2,0),"Unknown")</f>
        <v>15.0</v>
      </c>
      <c r="H13" s="5">
        <f>IF(ISNUMBER(F13),ROUND(F13*'Reference data'!$B$2,0),"Unknown")</f>
        <v>17.0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0.000279681822</v>
      </c>
      <c r="F17" s="2">
        <f>IF(COUNT('Turns'!F5,'Turns'!F12,'Turns'!F13)=3,SUM('Turns'!F5,'Turns'!F12,'Turns'!F13),"Unknown")</f>
        <v>0.0003206</v>
      </c>
      <c r="G17" s="5">
        <f>IF(ISNUMBER(E17),ROUND(E17*'Reference data'!$B$2,0),"Unknown")</f>
        <v>28.0</v>
      </c>
      <c r="H17" s="5">
        <f>IF(ISNUMBER(F17),ROUND(F17*'Reference data'!$B$2,0),"Unknown")</f>
        <v>32.0</v>
      </c>
      <c r="K17" s="4" t="s">
        <v>111</v>
      </c>
    </row>
    <row r="18" spans="1:13" s="4" customFormat="1" ht="24" customHeight="1">
      <c r="A18" s="4" t="s">
        <v>112</v>
      </c>
      <c r="B18" s="4">
        <v>1</v>
      </c>
      <c r="C18" s="4" t="s">
        <v>94</v>
      </c>
      <c r="D18" s="4">
        <v>607</v>
      </c>
      <c r="J18" s="4" t="s">
        <v>95</v>
      </c>
      <c r="M18" s="4" t="s">
        <v>113</v>
      </c>
    </row>
    <row r="19" spans="1:13" ht="24" customHeight="1">
      <c r="A19" t="s">
        <v>112</v>
      </c>
      <c r="B19">
        <v>1</v>
      </c>
      <c r="C19" t="s">
        <v>114</v>
      </c>
      <c r="D19" s="5">
        <v>0</v>
      </c>
      <c r="E19" s="2">
        <f>IF(AND(ISNUMBER(F19),ISNUMBER('Reference data'!$B$3)),F19*'Reference data'!$B$3,"Unknown")</f>
        <v>0.0</v>
      </c>
      <c r="F19" s="2">
        <f>IF(D19=0,0,IF(ISNUMBER('Reference data'!C17),D19*'Reference data'!C17/1000000,"Unknown"))</f>
        <v>0.0</v>
      </c>
      <c r="G19" s="5">
        <f>IF(ISNUMBER(E19),ROUND(E19*'Reference data'!$B$2,0),"Unknown")</f>
        <v>0.0</v>
      </c>
      <c r="H19" s="5">
        <f>IF(ISNUMBER(F19),ROUND(F19*'Reference data'!$B$2,0),"Unknown")</f>
        <v>0.0</v>
      </c>
    </row>
    <row r="20" spans="1:13" ht="24" customHeight="1">
      <c r="A20" t="s">
        <v>112</v>
      </c>
      <c r="B20">
        <v>1</v>
      </c>
      <c r="C20" t="s">
        <v>97</v>
      </c>
      <c r="D20" s="5">
        <v>607</v>
      </c>
      <c r="E20" s="2">
        <f>IF(AND(ISNUMBER(F20),ISNUMBER('Reference data'!$B$3)),F20*'Reference data'!$B$3,"Unknown")</f>
        <v>0.000105905718</v>
      </c>
      <c r="F20" s="2">
        <f>IF(D20=0,0,IF(ISNUMBER('Reference data'!B17),D20*'Reference data'!B17/1000000,"Unknown"))</f>
        <v>0.0001214</v>
      </c>
      <c r="G20" s="5">
        <f>IF(ISNUMBER(E20),ROUND(E20*'Reference data'!$B$2,0),"Unknown")</f>
        <v>11.0</v>
      </c>
      <c r="H20" s="5">
        <f>IF(ISNUMBER(F20),ROUND(F20*'Reference data'!$B$2,0),"Unknown")</f>
        <v>12.0</v>
      </c>
    </row>
    <row r="21" spans="1:13" ht="24" customHeight="1">
      <c r="A21" t="s">
        <v>112</v>
      </c>
      <c r="B21">
        <v>1</v>
      </c>
      <c r="C21" t="s">
        <v>103</v>
      </c>
    </row>
    <row r="22" spans="1:13" ht="24" customHeight="1">
      <c r="A22" t="s">
        <v>112</v>
      </c>
      <c r="B22">
        <v>1</v>
      </c>
      <c r="C22" t="s">
        <v>104</v>
      </c>
    </row>
    <row r="23" spans="1:13" s="4" customFormat="1" ht="24" customHeight="1">
      <c r="A23" s="4" t="s">
        <v>112</v>
      </c>
      <c r="B23" s="4">
        <v>1</v>
      </c>
      <c r="C23" s="4" t="s">
        <v>105</v>
      </c>
      <c r="D23" s="4">
        <v>335</v>
      </c>
    </row>
    <row r="24" spans="1:13" ht="24" customHeight="1">
      <c r="A24" t="s">
        <v>112</v>
      </c>
      <c r="B24">
        <v>1</v>
      </c>
      <c r="C24" t="s">
        <v>106</v>
      </c>
      <c r="D24" s="5">
        <v>150</v>
      </c>
      <c r="E24" s="2">
        <f>IF(AND(ISNUMBER(F24),ISNUMBER('Reference data'!$B$3)),F24*'Reference data'!$B$3,"Unknown")</f>
        <v>0.0001570266</v>
      </c>
      <c r="F24" s="2">
        <f>IF(D24=0,0,IF(ISNUMBER('Reference data'!F17),D24*'Reference data'!F17/1000000,"Unknown"))</f>
        <v>0.00018</v>
      </c>
      <c r="G24" s="5">
        <f>IF(ISNUMBER(E24),ROUND(E24*'Reference data'!$B$2,0),"Unknown")</f>
        <v>16.0</v>
      </c>
      <c r="H24" s="5">
        <f>IF(ISNUMBER(F24),ROUND(F24*'Reference data'!$B$2,0),"Unknown")</f>
        <v>18.0</v>
      </c>
    </row>
    <row r="25" spans="1:13" ht="24" customHeight="1">
      <c r="A25" t="s">
        <v>112</v>
      </c>
      <c r="B25">
        <v>1</v>
      </c>
      <c r="C25" t="s">
        <v>107</v>
      </c>
      <c r="D25" s="5">
        <v>185</v>
      </c>
      <c r="E25" s="2">
        <f>IF(AND(ISNUMBER(F25),ISNUMBER('Reference data'!$B$3)),F25*'Reference data'!$B$3,"Unknown")</f>
        <v>0.00019366614</v>
      </c>
      <c r="F25" s="2">
        <f>IF(D25=0,0,IF(ISNUMBER('Reference data'!E17),D25*'Reference data'!E17/1000000,"Unknown"))</f>
        <v>0.000222</v>
      </c>
      <c r="G25" s="5">
        <f>IF(ISNUMBER(E25),ROUND(E25*'Reference data'!$B$2,0),"Unknown")</f>
        <v>19.0</v>
      </c>
      <c r="H25" s="5">
        <f>IF(ISNUMBER(F25),ROUND(F25*'Reference data'!$B$2,0),"Unknown")</f>
        <v>22.0</v>
      </c>
    </row>
    <row r="26" spans="1:13" ht="409" customHeight="1">
      <c r="A26" t="s">
        <v>112</v>
      </c>
      <c r="B26">
        <v>1</v>
      </c>
      <c r="C26" t="s">
        <v>108</v>
      </c>
      <c r="I26" s="6" t="s">
        <v>115</v>
      </c>
    </row>
    <row r="27" spans="1:13" ht="24" customHeight="1">
      <c r="A27" t="s">
        <v>112</v>
      </c>
      <c r="B27">
        <v>1</v>
      </c>
      <c r="C27" t="s">
        <v>103</v>
      </c>
    </row>
    <row r="28" spans="1:13" ht="24" customHeight="1">
      <c r="A28" t="s">
        <v>112</v>
      </c>
      <c r="B28">
        <v>1</v>
      </c>
      <c r="C28" t="s">
        <v>104</v>
      </c>
    </row>
    <row r="29" spans="1:13" s="4" customFormat="1" ht="24" customHeight="1">
      <c r="A29" s="4" t="s">
        <v>112</v>
      </c>
      <c r="B29" s="4">
        <v>1</v>
      </c>
      <c r="C29" s="4" t="s">
        <v>110</v>
      </c>
      <c r="E29" s="2">
        <f>IF(COUNT('Turns'!E19,'Turns'!E20,'Turns'!E24,'Turns'!E25)=4,SUM('Turns'!E19,'Turns'!E20,'Turns'!E24,'Turns'!E25),"Unknown")</f>
        <v>0.000456598458</v>
      </c>
      <c r="F29" s="2">
        <f>IF(COUNT('Turns'!F19,'Turns'!F20,'Turns'!F24,'Turns'!F25)=4,SUM('Turns'!F19,'Turns'!F20,'Turns'!F24,'Turns'!F25),"Unknown")</f>
        <v>0.0005234</v>
      </c>
      <c r="G29" s="5">
        <f>IF(ISNUMBER(E29),ROUND(E29*'Reference data'!$B$2,0),"Unknown")</f>
        <v>46.0</v>
      </c>
      <c r="H29" s="5">
        <f>IF(ISNUMBER(F29),ROUND(F29*'Reference data'!$B$2,0),"Unknown")</f>
        <v>52.0</v>
      </c>
      <c r="K29" s="4" t="s">
        <v>111</v>
      </c>
    </row>
    <row r="30" spans="1:13" s="4" customFormat="1" ht="24" customHeight="1">
      <c r="A30" s="4" t="s">
        <v>116</v>
      </c>
      <c r="B30" s="4">
        <v>1</v>
      </c>
      <c r="C30" s="4" t="s">
        <v>94</v>
      </c>
      <c r="D30" s="4">
        <v>751</v>
      </c>
      <c r="J30" s="4" t="s">
        <v>95</v>
      </c>
      <c r="M30" s="4" t="s">
        <v>117</v>
      </c>
    </row>
    <row r="31" spans="1:13" ht="24" customHeight="1">
      <c r="A31" t="s">
        <v>116</v>
      </c>
      <c r="B31">
        <v>1</v>
      </c>
      <c r="C31" t="s">
        <v>114</v>
      </c>
      <c r="D31" s="5">
        <v>0</v>
      </c>
      <c r="E31" s="2">
        <f>IF(AND(ISNUMBER(F31),ISNUMBER('Reference data'!$B$3)),F31*'Reference data'!$B$3,"Unknown")</f>
        <v>0.0</v>
      </c>
      <c r="F31" s="2">
        <f>IF(D31=0,0,IF(ISNUMBER('Reference data'!C17),D31*'Reference data'!C17/1000000,"Unknown"))</f>
        <v>0.0</v>
      </c>
      <c r="G31" s="5">
        <f>IF(ISNUMBER(E31),ROUND(E31*'Reference data'!$B$2,0),"Unknown")</f>
        <v>0.0</v>
      </c>
      <c r="H31" s="5">
        <f>IF(ISNUMBER(F31),ROUND(F31*'Reference data'!$B$2,0),"Unknown")</f>
        <v>0.0</v>
      </c>
    </row>
    <row r="32" spans="1:13" ht="24" customHeight="1">
      <c r="A32" t="s">
        <v>116</v>
      </c>
      <c r="B32">
        <v>1</v>
      </c>
      <c r="C32" t="s">
        <v>97</v>
      </c>
      <c r="D32" s="5">
        <v>751</v>
      </c>
      <c r="E32" s="2">
        <f>IF(AND(ISNUMBER(F32),ISNUMBER('Reference data'!$B$3)),F32*'Reference data'!$B$3,"Unknown")</f>
        <v>0.000131029974</v>
      </c>
      <c r="F32" s="2">
        <f>IF(D32=0,0,IF(ISNUMBER('Reference data'!B17),D32*'Reference data'!B17/1000000,"Unknown"))</f>
        <v>0.0001502</v>
      </c>
      <c r="G32" s="5">
        <f>IF(ISNUMBER(E32),ROUND(E32*'Reference data'!$B$2,0),"Unknown")</f>
        <v>13.0</v>
      </c>
      <c r="H32" s="5">
        <f>IF(ISNUMBER(F32),ROUND(F32*'Reference data'!$B$2,0),"Unknown")</f>
        <v>15.0</v>
      </c>
    </row>
    <row r="33" spans="1:11" ht="24" customHeight="1">
      <c r="A33" t="s">
        <v>116</v>
      </c>
      <c r="B33">
        <v>1</v>
      </c>
      <c r="C33" t="s">
        <v>103</v>
      </c>
    </row>
    <row r="34" spans="1:11" ht="24" customHeight="1">
      <c r="A34" t="s">
        <v>116</v>
      </c>
      <c r="B34">
        <v>1</v>
      </c>
      <c r="C34" t="s">
        <v>104</v>
      </c>
    </row>
    <row r="35" spans="1:11" s="4" customFormat="1" ht="24" customHeight="1">
      <c r="A35" s="4" t="s">
        <v>116</v>
      </c>
      <c r="B35" s="4">
        <v>1</v>
      </c>
      <c r="C35" s="4" t="s">
        <v>105</v>
      </c>
      <c r="D35" s="4">
        <v>270</v>
      </c>
    </row>
    <row r="36" spans="1:11" ht="24" customHeight="1">
      <c r="A36" t="s">
        <v>116</v>
      </c>
      <c r="B36">
        <v>1</v>
      </c>
      <c r="C36" t="s">
        <v>106</v>
      </c>
      <c r="D36" s="5">
        <v>104</v>
      </c>
      <c r="E36" s="2">
        <f>IF(AND(ISNUMBER(F36),ISNUMBER('Reference data'!$B$3)),F36*'Reference data'!$B$3,"Unknown")</f>
        <v>0.000108871776</v>
      </c>
      <c r="F36" s="2">
        <f>IF(D36=0,0,IF(ISNUMBER('Reference data'!F17),D36*'Reference data'!F17/1000000,"Unknown"))</f>
        <v>0.0001248</v>
      </c>
      <c r="G36" s="5">
        <f>IF(ISNUMBER(E36),ROUND(E36*'Reference data'!$B$2,0),"Unknown")</f>
        <v>11.0</v>
      </c>
      <c r="H36" s="5">
        <f>IF(ISNUMBER(F36),ROUND(F36*'Reference data'!$B$2,0),"Unknown")</f>
        <v>12.0</v>
      </c>
    </row>
    <row r="37" spans="1:11" ht="24" customHeight="1">
      <c r="A37" t="s">
        <v>116</v>
      </c>
      <c r="B37">
        <v>1</v>
      </c>
      <c r="C37" t="s">
        <v>107</v>
      </c>
      <c r="D37" s="5">
        <v>166</v>
      </c>
      <c r="E37" s="2">
        <f>IF(AND(ISNUMBER(F37),ISNUMBER('Reference data'!$B$3)),F37*'Reference data'!$B$3,"Unknown")</f>
        <v>0.000173776104</v>
      </c>
      <c r="F37" s="2">
        <f>IF(D37=0,0,IF(ISNUMBER('Reference data'!E17),D37*'Reference data'!E17/1000000,"Unknown"))</f>
        <v>0.0001992</v>
      </c>
      <c r="G37" s="5">
        <f>IF(ISNUMBER(E37),ROUND(E37*'Reference data'!$B$2,0),"Unknown")</f>
        <v>17.0</v>
      </c>
      <c r="H37" s="5">
        <f>IF(ISNUMBER(F37),ROUND(F37*'Reference data'!$B$2,0),"Unknown")</f>
        <v>20.0</v>
      </c>
    </row>
    <row r="38" spans="1:11" ht="409" customHeight="1">
      <c r="A38" t="s">
        <v>116</v>
      </c>
      <c r="B38">
        <v>1</v>
      </c>
      <c r="C38" t="s">
        <v>108</v>
      </c>
      <c r="I38" s="6" t="s">
        <v>118</v>
      </c>
    </row>
    <row r="39" spans="1:11" ht="24" customHeight="1">
      <c r="A39" t="s">
        <v>116</v>
      </c>
      <c r="B39">
        <v>1</v>
      </c>
      <c r="C39" t="s">
        <v>103</v>
      </c>
    </row>
    <row r="40" spans="1:11" ht="24" customHeight="1">
      <c r="A40" t="s">
        <v>116</v>
      </c>
      <c r="B40">
        <v>1</v>
      </c>
      <c r="C40" t="s">
        <v>104</v>
      </c>
    </row>
    <row r="41" spans="1:11" s="4" customFormat="1" ht="24" customHeight="1">
      <c r="A41" s="4" t="s">
        <v>116</v>
      </c>
      <c r="B41" s="4">
        <v>1</v>
      </c>
      <c r="C41" s="4" t="s">
        <v>110</v>
      </c>
      <c r="E41" s="2">
        <f>IF(COUNT('Turns'!E31,'Turns'!E32,'Turns'!E36,'Turns'!E37)=4,SUM('Turns'!E31,'Turns'!E32,'Turns'!E36,'Turns'!E37),"Unknown")</f>
        <v>0.000413677854</v>
      </c>
      <c r="F41" s="2">
        <f>IF(COUNT('Turns'!F31,'Turns'!F32,'Turns'!F36,'Turns'!F37)=4,SUM('Turns'!F31,'Turns'!F32,'Turns'!F36,'Turns'!F37),"Unknown")</f>
        <v>0.0004742</v>
      </c>
      <c r="G41" s="5">
        <f>IF(ISNUMBER(E41),ROUND(E41*'Reference data'!$B$2,0),"Unknown")</f>
        <v>41.0</v>
      </c>
      <c r="H41" s="5">
        <f>IF(ISNUMBER(F41),ROUND(F41*'Reference data'!$B$2,0),"Unknown")</f>
        <v>47.0</v>
      </c>
      <c r="K41" s="4" t="s">
        <v>111</v>
      </c>
    </row>
  </sheetData>
  <conditionalFormatting sqref="A2:AE41">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30"/>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119</v>
      </c>
      <c r="B2" s="1">
        <v>0</v>
      </c>
      <c r="C2" s="1" t="s">
        <v>120</v>
      </c>
      <c r="D2" s="1" t="s">
        <v>47</v>
      </c>
      <c r="E2" s="1" t="s">
        <v>111</v>
      </c>
      <c r="G2" s="6" t="s">
        <v>121</v>
      </c>
      <c r="H2" t="s">
        <v>49</v>
      </c>
      <c r="J2" s="2">
        <f>IF(COUNT('Turns'!D5)=1,SUM('Turns'!D5),"Unknown")</f>
        <v>493.0</v>
      </c>
      <c r="K2" s="2">
        <f>IF(COUNT('Turns'!E5)=1,SUM('Turns'!E5),"Unknown")</f>
        <v>8.6015682e-05</v>
      </c>
      <c r="L2" s="2">
        <f>IF(COUNT('Turns'!F5)=1,SUM('Turns'!F5),"Unknown")</f>
        <v>9.86e-05</v>
      </c>
      <c r="M2" s="2">
        <v>0</v>
      </c>
      <c r="N2" s="2">
        <v>0</v>
      </c>
      <c r="O2" s="2">
        <v>0</v>
      </c>
      <c r="P2" s="2">
        <v>0</v>
      </c>
      <c r="Q2" s="2">
        <v>0</v>
      </c>
      <c r="R2" s="2">
        <v>0</v>
      </c>
      <c r="S2" s="2">
        <f>IF(COUNT('Turns'!D13)=1,SUM('Turns'!D13),"Unknown")</f>
        <v>142.0</v>
      </c>
      <c r="T2" s="2">
        <f>IF(COUNT('Turns'!E13)=1,SUM('Turns'!E13),"Unknown")</f>
        <v>0.000148651848</v>
      </c>
      <c r="U2" s="2">
        <f>IF(COUNT('Turns'!F13)=1,SUM('Turns'!F13),"Unknown")</f>
        <v>0.0001704</v>
      </c>
      <c r="V2" s="2">
        <f>IF(COUNT('Turns'!D12)=1,SUM('Turns'!D12),"Unknown")</f>
        <v>43.0</v>
      </c>
      <c r="W2" s="2">
        <f>IF(COUNT('Turns'!E12)=1,SUM('Turns'!E12),"Unknown")</f>
        <v>4.5014292e-05</v>
      </c>
      <c r="X2" s="2">
        <f>IF(COUNT('Turns'!F12)=1,SUM('Turns'!F12),"Unknown")</f>
        <v>5.16e-05</v>
      </c>
      <c r="Y2" s="2">
        <f>IF(COUNT('Turns'!E17)=1,SUM('Turns'!E17),"Unknown")</f>
        <v>0.000279681822</v>
      </c>
      <c r="Z2" s="2">
        <f>IF(COUNT('Turns'!F17)=1,SUM('Turns'!F17),"Unknown")</f>
        <v>0.0003206</v>
      </c>
      <c r="AA2" s="5">
        <f>IF(ISNUMBER(Y2),ROUND(Y2*'Reference data'!$B$2,0),"Unknown")</f>
        <v>28.0</v>
      </c>
      <c r="AB2" s="5">
        <f>IF(ISNUMBER(Z2),ROUND(Z2*'Reference data'!$B$2,0),"Unknown")</f>
        <v>32.0</v>
      </c>
      <c r="AD2" s="1">
        <v>3299.193</v>
      </c>
      <c r="AE2" s="1" t="s">
        <v>122</v>
      </c>
    </row>
    <row r="3" spans="1:31" ht="54" customHeight="1">
      <c r="A3" s="6" t="s">
        <v>123</v>
      </c>
      <c r="B3" s="1">
        <v>1</v>
      </c>
      <c r="C3" s="1" t="s">
        <v>120</v>
      </c>
      <c r="D3" s="1" t="s">
        <v>47</v>
      </c>
      <c r="E3" s="1" t="s">
        <v>111</v>
      </c>
      <c r="G3" s="6" t="s">
        <v>124</v>
      </c>
      <c r="H3" t="s">
        <v>125</v>
      </c>
      <c r="I3" t="s">
        <v>49</v>
      </c>
      <c r="AD3" s="1">
        <v>0.443</v>
      </c>
      <c r="AE3" s="1" t="s">
        <v>126</v>
      </c>
    </row>
    <row r="4" spans="1:31" ht="54" customHeight="1">
      <c r="A4" s="6" t="s">
        <v>127</v>
      </c>
      <c r="B4" s="1">
        <v>1</v>
      </c>
      <c r="C4" s="1" t="s">
        <v>120</v>
      </c>
      <c r="D4" s="1" t="s">
        <v>47</v>
      </c>
      <c r="E4" s="1" t="s">
        <v>111</v>
      </c>
      <c r="G4" s="6" t="s">
        <v>128</v>
      </c>
      <c r="H4" t="s">
        <v>129</v>
      </c>
      <c r="I4" t="s">
        <v>49</v>
      </c>
      <c r="J4" s="2">
        <f>IF(COUNT('Turns'!D5)=1,SUM('Turns'!D5),"Unknown")</f>
        <v>493.0</v>
      </c>
      <c r="K4" s="2">
        <f>IF(COUNT('Turns'!E5)=1,SUM('Turns'!E5),"Unknown")</f>
        <v>8.6015682e-05</v>
      </c>
      <c r="L4" s="2">
        <f>IF(COUNT('Turns'!F5)=1,SUM('Turns'!F5),"Unknown")</f>
        <v>9.86e-05</v>
      </c>
      <c r="M4" s="2">
        <v>0</v>
      </c>
      <c r="N4" s="2">
        <v>0</v>
      </c>
      <c r="O4" s="2">
        <v>0</v>
      </c>
      <c r="P4" s="2">
        <v>0</v>
      </c>
      <c r="Q4" s="2">
        <v>0</v>
      </c>
      <c r="R4" s="2">
        <v>0</v>
      </c>
      <c r="S4" s="2">
        <f>IF(COUNT('Turns'!D13)=1,SUM('Turns'!D13),"Unknown")</f>
        <v>142.0</v>
      </c>
      <c r="T4" s="2">
        <f>IF(COUNT('Turns'!E13)=1,SUM('Turns'!E13),"Unknown")</f>
        <v>0.000148651848</v>
      </c>
      <c r="U4" s="2">
        <f>IF(COUNT('Turns'!F13)=1,SUM('Turns'!F13),"Unknown")</f>
        <v>0.0001704</v>
      </c>
      <c r="V4" s="2">
        <f>IF(COUNT('Turns'!D12)=1,SUM('Turns'!D12),"Unknown")</f>
        <v>43.0</v>
      </c>
      <c r="W4" s="2">
        <f>IF(COUNT('Turns'!E12)=1,SUM('Turns'!E12),"Unknown")</f>
        <v>4.5014292e-05</v>
      </c>
      <c r="X4" s="2">
        <f>IF(COUNT('Turns'!F12)=1,SUM('Turns'!F12),"Unknown")</f>
        <v>5.16e-05</v>
      </c>
      <c r="Y4" s="2">
        <f>IF(COUNT('Turns'!E17)=1,SUM('Turns'!E17),"Unknown")</f>
        <v>0.000279681822</v>
      </c>
      <c r="Z4" s="2">
        <f>IF(COUNT('Turns'!F17)=1,SUM('Turns'!F17),"Unknown")</f>
        <v>0.0003206</v>
      </c>
      <c r="AA4" s="5">
        <f>IF(ISNUMBER(Y4),ROUND(Y4*'Reference data'!$B$2,0),"Unknown")</f>
        <v>28.0</v>
      </c>
      <c r="AB4" s="5">
        <f>IF(ISNUMBER(Z4),ROUND(Z4*'Reference data'!$B$2,0),"Unknown")</f>
        <v>32.0</v>
      </c>
      <c r="AD4" s="1">
        <v>3294.254</v>
      </c>
      <c r="AE4" s="1" t="s">
        <v>122</v>
      </c>
    </row>
    <row r="5" spans="1:31" ht="54" customHeight="1">
      <c r="A5" s="6" t="s">
        <v>130</v>
      </c>
      <c r="B5" s="1">
        <v>2</v>
      </c>
      <c r="C5" s="1" t="s">
        <v>120</v>
      </c>
      <c r="D5" s="1" t="s">
        <v>47</v>
      </c>
      <c r="E5" s="1" t="s">
        <v>111</v>
      </c>
      <c r="G5" s="6" t="s">
        <v>131</v>
      </c>
      <c r="H5" t="s">
        <v>132</v>
      </c>
      <c r="I5" t="s">
        <v>129</v>
      </c>
      <c r="J5" s="2">
        <f>IF(COUNT('Turns'!D5)=1,SUM('Turns'!D5),"Unknown")</f>
        <v>493.0</v>
      </c>
      <c r="K5" s="2">
        <f>IF(COUNT('Turns'!E5)=1,SUM('Turns'!E5),"Unknown")</f>
        <v>8.6015682e-05</v>
      </c>
      <c r="L5" s="2">
        <f>IF(COUNT('Turns'!F5)=1,SUM('Turns'!F5),"Unknown")</f>
        <v>9.86e-05</v>
      </c>
      <c r="M5" s="2">
        <v>0</v>
      </c>
      <c r="N5" s="2">
        <v>0</v>
      </c>
      <c r="O5" s="2">
        <v>0</v>
      </c>
      <c r="P5" s="2">
        <v>0</v>
      </c>
      <c r="Q5" s="2">
        <v>0</v>
      </c>
      <c r="R5" s="2">
        <v>0</v>
      </c>
      <c r="S5" s="2">
        <f>IF(COUNT('Turns'!D13)=1,SUM('Turns'!D13),"Unknown")</f>
        <v>142.0</v>
      </c>
      <c r="T5" s="2">
        <f>IF(COUNT('Turns'!E13)=1,SUM('Turns'!E13),"Unknown")</f>
        <v>0.000148651848</v>
      </c>
      <c r="U5" s="2">
        <f>IF(COUNT('Turns'!F13)=1,SUM('Turns'!F13),"Unknown")</f>
        <v>0.0001704</v>
      </c>
      <c r="V5" s="2">
        <f>IF(COUNT('Turns'!D12)=1,SUM('Turns'!D12),"Unknown")</f>
        <v>43.0</v>
      </c>
      <c r="W5" s="2">
        <f>IF(COUNT('Turns'!E12)=1,SUM('Turns'!E12),"Unknown")</f>
        <v>4.5014292e-05</v>
      </c>
      <c r="X5" s="2">
        <f>IF(COUNT('Turns'!F12)=1,SUM('Turns'!F12),"Unknown")</f>
        <v>5.16e-05</v>
      </c>
      <c r="Y5" s="2">
        <f>IF(COUNT('Turns'!E17)=1,SUM('Turns'!E17),"Unknown")</f>
        <v>0.000279681822</v>
      </c>
      <c r="Z5" s="2">
        <f>IF(COUNT('Turns'!F17)=1,SUM('Turns'!F17),"Unknown")</f>
        <v>0.0003206</v>
      </c>
      <c r="AA5" s="5">
        <f>IF(ISNUMBER(Y5),ROUND(Y5*'Reference data'!$B$2,0),"Unknown")</f>
        <v>28.0</v>
      </c>
      <c r="AB5" s="5">
        <f>IF(ISNUMBER(Z5),ROUND(Z5*'Reference data'!$B$2,0),"Unknown")</f>
        <v>32.0</v>
      </c>
      <c r="AD5" s="1">
        <v>3292.558</v>
      </c>
      <c r="AE5" s="1" t="s">
        <v>122</v>
      </c>
    </row>
    <row r="6" spans="1:31" ht="54" customHeight="1">
      <c r="A6" s="6" t="s">
        <v>133</v>
      </c>
      <c r="B6" s="1">
        <v>3</v>
      </c>
      <c r="C6" s="1" t="s">
        <v>120</v>
      </c>
      <c r="D6" s="1" t="s">
        <v>47</v>
      </c>
      <c r="E6" s="1" t="s">
        <v>111</v>
      </c>
      <c r="G6" s="6" t="s">
        <v>131</v>
      </c>
      <c r="H6" t="s">
        <v>134</v>
      </c>
      <c r="I6" t="s">
        <v>132</v>
      </c>
      <c r="J6" s="2">
        <f>IF(COUNT('Turns'!D5)=1,SUM('Turns'!D5),"Unknown")</f>
        <v>493.0</v>
      </c>
      <c r="K6" s="2">
        <f>IF(COUNT('Turns'!E5)=1,SUM('Turns'!E5),"Unknown")</f>
        <v>8.6015682e-05</v>
      </c>
      <c r="L6" s="2">
        <f>IF(COUNT('Turns'!F5)=1,SUM('Turns'!F5),"Unknown")</f>
        <v>9.86e-05</v>
      </c>
      <c r="M6" s="2">
        <v>0</v>
      </c>
      <c r="N6" s="2">
        <v>0</v>
      </c>
      <c r="O6" s="2">
        <v>0</v>
      </c>
      <c r="P6" s="2">
        <v>0</v>
      </c>
      <c r="Q6" s="2">
        <v>0</v>
      </c>
      <c r="R6" s="2">
        <v>0</v>
      </c>
      <c r="S6" s="2">
        <f>IF(COUNT('Turns'!D13)=1,SUM('Turns'!D13),"Unknown")</f>
        <v>142.0</v>
      </c>
      <c r="T6" s="2">
        <f>IF(COUNT('Turns'!E13)=1,SUM('Turns'!E13),"Unknown")</f>
        <v>0.000148651848</v>
      </c>
      <c r="U6" s="2">
        <f>IF(COUNT('Turns'!F13)=1,SUM('Turns'!F13),"Unknown")</f>
        <v>0.0001704</v>
      </c>
      <c r="V6" s="2">
        <f>IF(COUNT('Turns'!D12)=1,SUM('Turns'!D12),"Unknown")</f>
        <v>43.0</v>
      </c>
      <c r="W6" s="2">
        <f>IF(COUNT('Turns'!E12)=1,SUM('Turns'!E12),"Unknown")</f>
        <v>4.5014292e-05</v>
      </c>
      <c r="X6" s="2">
        <f>IF(COUNT('Turns'!F12)=1,SUM('Turns'!F12),"Unknown")</f>
        <v>5.16e-05</v>
      </c>
      <c r="Y6" s="2">
        <f>IF(COUNT('Turns'!E17)=1,SUM('Turns'!E17),"Unknown")</f>
        <v>0.000279681822</v>
      </c>
      <c r="Z6" s="2">
        <f>IF(COUNT('Turns'!F17)=1,SUM('Turns'!F17),"Unknown")</f>
        <v>0.0003206</v>
      </c>
      <c r="AA6" s="5">
        <f>IF(ISNUMBER(Y6),ROUND(Y6*'Reference data'!$B$2,0),"Unknown")</f>
        <v>28.0</v>
      </c>
      <c r="AB6" s="5">
        <f>IF(ISNUMBER(Z6),ROUND(Z6*'Reference data'!$B$2,0),"Unknown")</f>
        <v>32.0</v>
      </c>
      <c r="AD6" s="1">
        <v>3291.458</v>
      </c>
      <c r="AE6" s="1" t="s">
        <v>122</v>
      </c>
    </row>
    <row r="7" spans="1:31" ht="54" customHeight="1">
      <c r="A7" s="6" t="s">
        <v>135</v>
      </c>
      <c r="B7" s="1">
        <v>4</v>
      </c>
      <c r="C7" s="1" t="s">
        <v>120</v>
      </c>
      <c r="D7" s="1" t="s">
        <v>47</v>
      </c>
      <c r="E7" s="1" t="s">
        <v>111</v>
      </c>
      <c r="G7" s="6" t="s">
        <v>131</v>
      </c>
      <c r="H7" t="s">
        <v>136</v>
      </c>
      <c r="I7" t="s">
        <v>134</v>
      </c>
      <c r="J7" s="2">
        <f>IF(COUNT('Turns'!D5)=1,SUM('Turns'!D5),"Unknown")</f>
        <v>493.0</v>
      </c>
      <c r="K7" s="2">
        <f>IF(COUNT('Turns'!E5)=1,SUM('Turns'!E5),"Unknown")</f>
        <v>8.6015682e-05</v>
      </c>
      <c r="L7" s="2">
        <f>IF(COUNT('Turns'!F5)=1,SUM('Turns'!F5),"Unknown")</f>
        <v>9.86e-05</v>
      </c>
      <c r="M7" s="2">
        <v>0</v>
      </c>
      <c r="N7" s="2">
        <v>0</v>
      </c>
      <c r="O7" s="2">
        <v>0</v>
      </c>
      <c r="P7" s="2">
        <v>0</v>
      </c>
      <c r="Q7" s="2">
        <v>0</v>
      </c>
      <c r="R7" s="2">
        <v>0</v>
      </c>
      <c r="S7" s="2">
        <f>IF(COUNT('Turns'!D13)=1,SUM('Turns'!D13),"Unknown")</f>
        <v>142.0</v>
      </c>
      <c r="T7" s="2">
        <f>IF(COUNT('Turns'!E13)=1,SUM('Turns'!E13),"Unknown")</f>
        <v>0.000148651848</v>
      </c>
      <c r="U7" s="2">
        <f>IF(COUNT('Turns'!F13)=1,SUM('Turns'!F13),"Unknown")</f>
        <v>0.0001704</v>
      </c>
      <c r="V7" s="2">
        <f>IF(COUNT('Turns'!D12)=1,SUM('Turns'!D12),"Unknown")</f>
        <v>43.0</v>
      </c>
      <c r="W7" s="2">
        <f>IF(COUNT('Turns'!E12)=1,SUM('Turns'!E12),"Unknown")</f>
        <v>4.5014292e-05</v>
      </c>
      <c r="X7" s="2">
        <f>IF(COUNT('Turns'!F12)=1,SUM('Turns'!F12),"Unknown")</f>
        <v>5.16e-05</v>
      </c>
      <c r="Y7" s="2">
        <f>IF(COUNT('Turns'!E17)=1,SUM('Turns'!E17),"Unknown")</f>
        <v>0.000279681822</v>
      </c>
      <c r="Z7" s="2">
        <f>IF(COUNT('Turns'!F17)=1,SUM('Turns'!F17),"Unknown")</f>
        <v>0.0003206</v>
      </c>
      <c r="AA7" s="5">
        <f>IF(ISNUMBER(Y7),ROUND(Y7*'Reference data'!$B$2,0),"Unknown")</f>
        <v>28.0</v>
      </c>
      <c r="AB7" s="5">
        <f>IF(ISNUMBER(Z7),ROUND(Z7*'Reference data'!$B$2,0),"Unknown")</f>
        <v>32.0</v>
      </c>
      <c r="AD7" s="1">
        <v>3289.153</v>
      </c>
      <c r="AE7" s="1" t="s">
        <v>122</v>
      </c>
    </row>
    <row r="8" spans="1:31" ht="54" customHeight="1">
      <c r="A8" s="6" t="s">
        <v>137</v>
      </c>
      <c r="B8" s="1">
        <v>5</v>
      </c>
      <c r="C8" s="1" t="s">
        <v>138</v>
      </c>
      <c r="D8" s="1" t="s">
        <v>95</v>
      </c>
      <c r="E8" s="1" t="s">
        <v>111</v>
      </c>
      <c r="F8" s="1">
        <v>493</v>
      </c>
      <c r="G8" s="6" t="s">
        <v>131</v>
      </c>
      <c r="H8" t="s">
        <v>96</v>
      </c>
      <c r="I8" t="s">
        <v>136</v>
      </c>
      <c r="J8" s="2">
        <f>IF(COUNT('Turns'!D5)=1,SUM('Turns'!D5),"Unknown")</f>
        <v>493.0</v>
      </c>
      <c r="K8" s="2">
        <f>IF(COUNT('Turns'!E5)=1,SUM('Turns'!E5),"Unknown")</f>
        <v>8.6015682e-05</v>
      </c>
      <c r="L8" s="2">
        <f>IF(COUNT('Turns'!F5)=1,SUM('Turns'!F5),"Unknown")</f>
        <v>9.86e-05</v>
      </c>
      <c r="M8" s="2">
        <v>0</v>
      </c>
      <c r="N8" s="2">
        <v>0</v>
      </c>
      <c r="O8" s="2">
        <v>0</v>
      </c>
      <c r="P8" s="2">
        <v>0</v>
      </c>
      <c r="Q8" s="2">
        <v>0</v>
      </c>
      <c r="R8" s="2">
        <v>0</v>
      </c>
      <c r="S8" s="2">
        <f>IF(COUNT('Turns'!D13)=1,SUM('Turns'!D13),"Unknown")</f>
        <v>142.0</v>
      </c>
      <c r="T8" s="2">
        <f>IF(COUNT('Turns'!E13)=1,SUM('Turns'!E13),"Unknown")</f>
        <v>0.000148651848</v>
      </c>
      <c r="U8" s="2">
        <f>IF(COUNT('Turns'!F13)=1,SUM('Turns'!F13),"Unknown")</f>
        <v>0.0001704</v>
      </c>
      <c r="V8" s="2">
        <f>IF(COUNT('Turns'!D12)=1,SUM('Turns'!D12),"Unknown")</f>
        <v>43.0</v>
      </c>
      <c r="W8" s="2">
        <f>IF(COUNT('Turns'!E12)=1,SUM('Turns'!E12),"Unknown")</f>
        <v>4.5014292e-05</v>
      </c>
      <c r="X8" s="2">
        <f>IF(COUNT('Turns'!F12)=1,SUM('Turns'!F12),"Unknown")</f>
        <v>5.16e-05</v>
      </c>
      <c r="Y8" s="2">
        <f>IF(COUNT('Turns'!E17)=1,SUM('Turns'!E17),"Unknown")</f>
        <v>0.000279681822</v>
      </c>
      <c r="Z8" s="2">
        <f>IF(COUNT('Turns'!F17)=1,SUM('Turns'!F17),"Unknown")</f>
        <v>0.0003206</v>
      </c>
      <c r="AA8" s="5">
        <f>IF(ISNUMBER(Y8),ROUND(Y8*'Reference data'!$B$2,0),"Unknown")</f>
        <v>28.0</v>
      </c>
      <c r="AB8" s="5">
        <f>IF(ISNUMBER(Z8),ROUND(Z8*'Reference data'!$B$2,0),"Unknown")</f>
        <v>32.0</v>
      </c>
      <c r="AC8" s="1" t="s">
        <v>93</v>
      </c>
      <c r="AD8" s="1">
        <v>3284.91</v>
      </c>
      <c r="AE8" s="1" t="s">
        <v>139</v>
      </c>
    </row>
    <row r="9" spans="1:31" ht="54" customHeight="1">
      <c r="A9" s="6" t="s">
        <v>140</v>
      </c>
      <c r="B9" s="1">
        <v>2</v>
      </c>
      <c r="C9" s="1" t="s">
        <v>120</v>
      </c>
      <c r="D9" s="1" t="s">
        <v>47</v>
      </c>
      <c r="E9" s="1" t="s">
        <v>111</v>
      </c>
      <c r="G9" s="6" t="s">
        <v>141</v>
      </c>
      <c r="H9" t="s">
        <v>142</v>
      </c>
      <c r="I9" t="s">
        <v>129</v>
      </c>
      <c r="AD9" s="1">
        <v>0.323</v>
      </c>
      <c r="AE9" s="1" t="s">
        <v>126</v>
      </c>
    </row>
    <row r="10" spans="1:31" ht="54" customHeight="1">
      <c r="A10" s="6" t="s">
        <v>143</v>
      </c>
      <c r="B10" s="1">
        <v>1</v>
      </c>
      <c r="C10" s="1" t="s">
        <v>120</v>
      </c>
      <c r="D10" s="1" t="s">
        <v>47</v>
      </c>
      <c r="E10" s="1" t="s">
        <v>144</v>
      </c>
      <c r="G10" s="6" t="s">
        <v>145</v>
      </c>
      <c r="H10" t="s">
        <v>146</v>
      </c>
      <c r="I10" t="s">
        <v>49</v>
      </c>
      <c r="AD10" s="1">
        <v>0.5639999999999999</v>
      </c>
      <c r="AE10" s="1" t="s">
        <v>126</v>
      </c>
    </row>
    <row r="11" spans="1:31" ht="54" customHeight="1">
      <c r="A11" s="6" t="s">
        <v>119</v>
      </c>
      <c r="B11" s="1">
        <v>0</v>
      </c>
      <c r="C11" s="1" t="s">
        <v>120</v>
      </c>
      <c r="D11" s="1" t="s">
        <v>47</v>
      </c>
      <c r="E11" s="1" t="s">
        <v>111</v>
      </c>
      <c r="G11" s="6" t="s">
        <v>121</v>
      </c>
      <c r="H11" t="s">
        <v>147</v>
      </c>
      <c r="J11" s="2">
        <f>IF(COUNT('Turns'!D20)=1,SUM('Turns'!D20),"Unknown")</f>
        <v>607.0</v>
      </c>
      <c r="K11" s="2">
        <f>IF(COUNT('Turns'!E20)=1,SUM('Turns'!E20),"Unknown")</f>
        <v>0.000105905718</v>
      </c>
      <c r="L11" s="2">
        <f>IF(COUNT('Turns'!F20)=1,SUM('Turns'!F20),"Unknown")</f>
        <v>0.0001214</v>
      </c>
      <c r="M11" s="2">
        <f>IF(COUNT('Turns'!D19)=1,SUM('Turns'!D19),"Unknown")</f>
        <v>0.0</v>
      </c>
      <c r="N11" s="2">
        <f>IF(COUNT('Turns'!E19)=1,SUM('Turns'!E19),"Unknown")</f>
        <v>0.0</v>
      </c>
      <c r="O11" s="2">
        <f>IF(COUNT('Turns'!F19)=1,SUM('Turns'!F19),"Unknown")</f>
        <v>0.0</v>
      </c>
      <c r="P11" s="2">
        <v>0</v>
      </c>
      <c r="Q11" s="2">
        <v>0</v>
      </c>
      <c r="R11" s="2">
        <v>0</v>
      </c>
      <c r="S11" s="2">
        <f>IF(COUNT('Turns'!D25)=1,SUM('Turns'!D25),"Unknown")</f>
        <v>185.0</v>
      </c>
      <c r="T11" s="2">
        <f>IF(COUNT('Turns'!E25)=1,SUM('Turns'!E25),"Unknown")</f>
        <v>0.00019366614</v>
      </c>
      <c r="U11" s="2">
        <f>IF(COUNT('Turns'!F25)=1,SUM('Turns'!F25),"Unknown")</f>
        <v>0.000222</v>
      </c>
      <c r="V11" s="2">
        <f>IF(COUNT('Turns'!D24)=1,SUM('Turns'!D24),"Unknown")</f>
        <v>150.0</v>
      </c>
      <c r="W11" s="2">
        <f>IF(COUNT('Turns'!E24)=1,SUM('Turns'!E24),"Unknown")</f>
        <v>0.0001570266</v>
      </c>
      <c r="X11" s="2">
        <f>IF(COUNT('Turns'!F24)=1,SUM('Turns'!F24),"Unknown")</f>
        <v>0.00018</v>
      </c>
      <c r="Y11" s="2">
        <f>IF(COUNT('Turns'!E29)=1,SUM('Turns'!E29),"Unknown")</f>
        <v>0.000456598458</v>
      </c>
      <c r="Z11" s="2">
        <f>IF(COUNT('Turns'!F29)=1,SUM('Turns'!F29),"Unknown")</f>
        <v>0.0005234</v>
      </c>
      <c r="AA11" s="5">
        <f>IF(ISNUMBER(Y11),ROUND(Y11*'Reference data'!$B$2,0),"Unknown")</f>
        <v>46.0</v>
      </c>
      <c r="AB11" s="5">
        <f>IF(ISNUMBER(Z11),ROUND(Z11*'Reference data'!$B$2,0),"Unknown")</f>
        <v>52.0</v>
      </c>
      <c r="AD11" s="1">
        <v>4944.435</v>
      </c>
      <c r="AE11" s="1" t="s">
        <v>122</v>
      </c>
    </row>
    <row r="12" spans="1:31" ht="54" customHeight="1">
      <c r="A12" s="6" t="s">
        <v>143</v>
      </c>
      <c r="B12" s="1">
        <v>1</v>
      </c>
      <c r="C12" s="1" t="s">
        <v>120</v>
      </c>
      <c r="D12" s="1" t="s">
        <v>47</v>
      </c>
      <c r="E12" s="1" t="s">
        <v>111</v>
      </c>
      <c r="G12" s="6" t="s">
        <v>145</v>
      </c>
      <c r="H12" t="s">
        <v>148</v>
      </c>
      <c r="I12" t="s">
        <v>147</v>
      </c>
      <c r="AD12" s="1">
        <v>2.065</v>
      </c>
      <c r="AE12" s="1" t="s">
        <v>126</v>
      </c>
    </row>
    <row r="13" spans="1:31" ht="54" customHeight="1">
      <c r="A13" s="6" t="s">
        <v>149</v>
      </c>
      <c r="B13" s="1">
        <v>2</v>
      </c>
      <c r="C13" s="1" t="s">
        <v>120</v>
      </c>
      <c r="D13" s="1" t="s">
        <v>47</v>
      </c>
      <c r="E13" s="1" t="s">
        <v>111</v>
      </c>
      <c r="G13" s="6" t="s">
        <v>150</v>
      </c>
      <c r="H13" t="s">
        <v>151</v>
      </c>
      <c r="I13" t="s">
        <v>148</v>
      </c>
      <c r="AD13" s="1">
        <v>0.467</v>
      </c>
      <c r="AE13" s="1" t="s">
        <v>126</v>
      </c>
    </row>
    <row r="14" spans="1:31" ht="54" customHeight="1">
      <c r="A14" s="6" t="s">
        <v>127</v>
      </c>
      <c r="B14" s="1">
        <v>1</v>
      </c>
      <c r="C14" s="1" t="s">
        <v>120</v>
      </c>
      <c r="D14" s="1" t="s">
        <v>47</v>
      </c>
      <c r="E14" s="1" t="s">
        <v>111</v>
      </c>
      <c r="G14" s="6" t="s">
        <v>128</v>
      </c>
      <c r="H14" t="s">
        <v>152</v>
      </c>
      <c r="I14" t="s">
        <v>147</v>
      </c>
      <c r="J14" s="2">
        <f>IF(COUNT('Turns'!D20)=1,SUM('Turns'!D20),"Unknown")</f>
        <v>607.0</v>
      </c>
      <c r="K14" s="2">
        <f>IF(COUNT('Turns'!E20)=1,SUM('Turns'!E20),"Unknown")</f>
        <v>0.000105905718</v>
      </c>
      <c r="L14" s="2">
        <f>IF(COUNT('Turns'!F20)=1,SUM('Turns'!F20),"Unknown")</f>
        <v>0.0001214</v>
      </c>
      <c r="M14" s="2">
        <f>IF(COUNT('Turns'!D19)=1,SUM('Turns'!D19),"Unknown")</f>
        <v>0.0</v>
      </c>
      <c r="N14" s="2">
        <f>IF(COUNT('Turns'!E19)=1,SUM('Turns'!E19),"Unknown")</f>
        <v>0.0</v>
      </c>
      <c r="O14" s="2">
        <f>IF(COUNT('Turns'!F19)=1,SUM('Turns'!F19),"Unknown")</f>
        <v>0.0</v>
      </c>
      <c r="P14" s="2">
        <v>0</v>
      </c>
      <c r="Q14" s="2">
        <v>0</v>
      </c>
      <c r="R14" s="2">
        <v>0</v>
      </c>
      <c r="S14" s="2">
        <f>IF(COUNT('Turns'!D25)=1,SUM('Turns'!D25),"Unknown")</f>
        <v>185.0</v>
      </c>
      <c r="T14" s="2">
        <f>IF(COUNT('Turns'!E25)=1,SUM('Turns'!E25),"Unknown")</f>
        <v>0.00019366614</v>
      </c>
      <c r="U14" s="2">
        <f>IF(COUNT('Turns'!F25)=1,SUM('Turns'!F25),"Unknown")</f>
        <v>0.000222</v>
      </c>
      <c r="V14" s="2">
        <f>IF(COUNT('Turns'!D24)=1,SUM('Turns'!D24),"Unknown")</f>
        <v>150.0</v>
      </c>
      <c r="W14" s="2">
        <f>IF(COUNT('Turns'!E24)=1,SUM('Turns'!E24),"Unknown")</f>
        <v>0.0001570266</v>
      </c>
      <c r="X14" s="2">
        <f>IF(COUNT('Turns'!F24)=1,SUM('Turns'!F24),"Unknown")</f>
        <v>0.00018</v>
      </c>
      <c r="Y14" s="2">
        <f>IF(COUNT('Turns'!E29)=1,SUM('Turns'!E29),"Unknown")</f>
        <v>0.000456598458</v>
      </c>
      <c r="Z14" s="2">
        <f>IF(COUNT('Turns'!F29)=1,SUM('Turns'!F29),"Unknown")</f>
        <v>0.0005234</v>
      </c>
      <c r="AA14" s="5">
        <f>IF(ISNUMBER(Y14),ROUND(Y14*'Reference data'!$B$2,0),"Unknown")</f>
        <v>46.0</v>
      </c>
      <c r="AB14" s="5">
        <f>IF(ISNUMBER(Z14),ROUND(Z14*'Reference data'!$B$2,0),"Unknown")</f>
        <v>52.0</v>
      </c>
      <c r="AD14" s="1">
        <v>4937.977</v>
      </c>
      <c r="AE14" s="1" t="s">
        <v>122</v>
      </c>
    </row>
    <row r="15" spans="1:31" ht="54" customHeight="1">
      <c r="A15" s="6" t="s">
        <v>130</v>
      </c>
      <c r="B15" s="1">
        <v>2</v>
      </c>
      <c r="C15" s="1" t="s">
        <v>120</v>
      </c>
      <c r="D15" s="1" t="s">
        <v>47</v>
      </c>
      <c r="E15" s="1" t="s">
        <v>111</v>
      </c>
      <c r="G15" s="6" t="s">
        <v>131</v>
      </c>
      <c r="H15" t="s">
        <v>153</v>
      </c>
      <c r="I15" t="s">
        <v>152</v>
      </c>
      <c r="J15" s="2">
        <f>IF(COUNT('Turns'!D20)=1,SUM('Turns'!D20),"Unknown")</f>
        <v>607.0</v>
      </c>
      <c r="K15" s="2">
        <f>IF(COUNT('Turns'!E20)=1,SUM('Turns'!E20),"Unknown")</f>
        <v>0.000105905718</v>
      </c>
      <c r="L15" s="2">
        <f>IF(COUNT('Turns'!F20)=1,SUM('Turns'!F20),"Unknown")</f>
        <v>0.0001214</v>
      </c>
      <c r="M15" s="2">
        <f>IF(COUNT('Turns'!D19)=1,SUM('Turns'!D19),"Unknown")</f>
        <v>0.0</v>
      </c>
      <c r="N15" s="2">
        <f>IF(COUNT('Turns'!E19)=1,SUM('Turns'!E19),"Unknown")</f>
        <v>0.0</v>
      </c>
      <c r="O15" s="2">
        <f>IF(COUNT('Turns'!F19)=1,SUM('Turns'!F19),"Unknown")</f>
        <v>0.0</v>
      </c>
      <c r="P15" s="2">
        <v>0</v>
      </c>
      <c r="Q15" s="2">
        <v>0</v>
      </c>
      <c r="R15" s="2">
        <v>0</v>
      </c>
      <c r="S15" s="2">
        <f>IF(COUNT('Turns'!D25)=1,SUM('Turns'!D25),"Unknown")</f>
        <v>185.0</v>
      </c>
      <c r="T15" s="2">
        <f>IF(COUNT('Turns'!E25)=1,SUM('Turns'!E25),"Unknown")</f>
        <v>0.00019366614</v>
      </c>
      <c r="U15" s="2">
        <f>IF(COUNT('Turns'!F25)=1,SUM('Turns'!F25),"Unknown")</f>
        <v>0.000222</v>
      </c>
      <c r="V15" s="2">
        <f>IF(COUNT('Turns'!D24)=1,SUM('Turns'!D24),"Unknown")</f>
        <v>150.0</v>
      </c>
      <c r="W15" s="2">
        <f>IF(COUNT('Turns'!E24)=1,SUM('Turns'!E24),"Unknown")</f>
        <v>0.0001570266</v>
      </c>
      <c r="X15" s="2">
        <f>IF(COUNT('Turns'!F24)=1,SUM('Turns'!F24),"Unknown")</f>
        <v>0.00018</v>
      </c>
      <c r="Y15" s="2">
        <f>IF(COUNT('Turns'!E29)=1,SUM('Turns'!E29),"Unknown")</f>
        <v>0.000456598458</v>
      </c>
      <c r="Z15" s="2">
        <f>IF(COUNT('Turns'!F29)=1,SUM('Turns'!F29),"Unknown")</f>
        <v>0.0005234</v>
      </c>
      <c r="AA15" s="5">
        <f>IF(ISNUMBER(Y15),ROUND(Y15*'Reference data'!$B$2,0),"Unknown")</f>
        <v>46.0</v>
      </c>
      <c r="AB15" s="5">
        <f>IF(ISNUMBER(Z15),ROUND(Z15*'Reference data'!$B$2,0),"Unknown")</f>
        <v>52.0</v>
      </c>
      <c r="AD15" s="1">
        <v>4935.422</v>
      </c>
      <c r="AE15" s="1" t="s">
        <v>122</v>
      </c>
    </row>
    <row r="16" spans="1:31" ht="54" customHeight="1">
      <c r="A16" s="6" t="s">
        <v>133</v>
      </c>
      <c r="B16" s="1">
        <v>3</v>
      </c>
      <c r="C16" s="1" t="s">
        <v>120</v>
      </c>
      <c r="D16" s="1" t="s">
        <v>47</v>
      </c>
      <c r="E16" s="1" t="s">
        <v>111</v>
      </c>
      <c r="G16" s="6" t="s">
        <v>131</v>
      </c>
      <c r="H16" t="s">
        <v>154</v>
      </c>
      <c r="I16" t="s">
        <v>153</v>
      </c>
      <c r="J16" s="2">
        <f>IF(COUNT('Turns'!D20)=1,SUM('Turns'!D20),"Unknown")</f>
        <v>607.0</v>
      </c>
      <c r="K16" s="2">
        <f>IF(COUNT('Turns'!E20)=1,SUM('Turns'!E20),"Unknown")</f>
        <v>0.000105905718</v>
      </c>
      <c r="L16" s="2">
        <f>IF(COUNT('Turns'!F20)=1,SUM('Turns'!F20),"Unknown")</f>
        <v>0.0001214</v>
      </c>
      <c r="M16" s="2">
        <f>IF(COUNT('Turns'!D19)=1,SUM('Turns'!D19),"Unknown")</f>
        <v>0.0</v>
      </c>
      <c r="N16" s="2">
        <f>IF(COUNT('Turns'!E19)=1,SUM('Turns'!E19),"Unknown")</f>
        <v>0.0</v>
      </c>
      <c r="O16" s="2">
        <f>IF(COUNT('Turns'!F19)=1,SUM('Turns'!F19),"Unknown")</f>
        <v>0.0</v>
      </c>
      <c r="P16" s="2">
        <v>0</v>
      </c>
      <c r="Q16" s="2">
        <v>0</v>
      </c>
      <c r="R16" s="2">
        <v>0</v>
      </c>
      <c r="S16" s="2">
        <f>IF(COUNT('Turns'!D25)=1,SUM('Turns'!D25),"Unknown")</f>
        <v>185.0</v>
      </c>
      <c r="T16" s="2">
        <f>IF(COUNT('Turns'!E25)=1,SUM('Turns'!E25),"Unknown")</f>
        <v>0.00019366614</v>
      </c>
      <c r="U16" s="2">
        <f>IF(COUNT('Turns'!F25)=1,SUM('Turns'!F25),"Unknown")</f>
        <v>0.000222</v>
      </c>
      <c r="V16" s="2">
        <f>IF(COUNT('Turns'!D24)=1,SUM('Turns'!D24),"Unknown")</f>
        <v>150.0</v>
      </c>
      <c r="W16" s="2">
        <f>IF(COUNT('Turns'!E24)=1,SUM('Turns'!E24),"Unknown")</f>
        <v>0.0001570266</v>
      </c>
      <c r="X16" s="2">
        <f>IF(COUNT('Turns'!F24)=1,SUM('Turns'!F24),"Unknown")</f>
        <v>0.00018</v>
      </c>
      <c r="Y16" s="2">
        <f>IF(COUNT('Turns'!E29)=1,SUM('Turns'!E29),"Unknown")</f>
        <v>0.000456598458</v>
      </c>
      <c r="Z16" s="2">
        <f>IF(COUNT('Turns'!F29)=1,SUM('Turns'!F29),"Unknown")</f>
        <v>0.0005234</v>
      </c>
      <c r="AA16" s="5">
        <f>IF(ISNUMBER(Y16),ROUND(Y16*'Reference data'!$B$2,0),"Unknown")</f>
        <v>46.0</v>
      </c>
      <c r="AB16" s="5">
        <f>IF(ISNUMBER(Z16),ROUND(Z16*'Reference data'!$B$2,0),"Unknown")</f>
        <v>52.0</v>
      </c>
      <c r="AD16" s="1">
        <v>4933.177</v>
      </c>
      <c r="AE16" s="1" t="s">
        <v>122</v>
      </c>
    </row>
    <row r="17" spans="1:31" ht="54" customHeight="1">
      <c r="A17" s="6" t="s">
        <v>135</v>
      </c>
      <c r="B17" s="1">
        <v>4</v>
      </c>
      <c r="C17" s="1" t="s">
        <v>120</v>
      </c>
      <c r="D17" s="1" t="s">
        <v>47</v>
      </c>
      <c r="E17" s="1" t="s">
        <v>111</v>
      </c>
      <c r="G17" s="6" t="s">
        <v>131</v>
      </c>
      <c r="H17" t="s">
        <v>155</v>
      </c>
      <c r="I17" t="s">
        <v>154</v>
      </c>
      <c r="J17" s="2">
        <f>IF(COUNT('Turns'!D20)=1,SUM('Turns'!D20),"Unknown")</f>
        <v>607.0</v>
      </c>
      <c r="K17" s="2">
        <f>IF(COUNT('Turns'!E20)=1,SUM('Turns'!E20),"Unknown")</f>
        <v>0.000105905718</v>
      </c>
      <c r="L17" s="2">
        <f>IF(COUNT('Turns'!F20)=1,SUM('Turns'!F20),"Unknown")</f>
        <v>0.0001214</v>
      </c>
      <c r="M17" s="2">
        <f>IF(COUNT('Turns'!D19)=1,SUM('Turns'!D19),"Unknown")</f>
        <v>0.0</v>
      </c>
      <c r="N17" s="2">
        <f>IF(COUNT('Turns'!E19)=1,SUM('Turns'!E19),"Unknown")</f>
        <v>0.0</v>
      </c>
      <c r="O17" s="2">
        <f>IF(COUNT('Turns'!F19)=1,SUM('Turns'!F19),"Unknown")</f>
        <v>0.0</v>
      </c>
      <c r="P17" s="2">
        <v>0</v>
      </c>
      <c r="Q17" s="2">
        <v>0</v>
      </c>
      <c r="R17" s="2">
        <v>0</v>
      </c>
      <c r="S17" s="2">
        <f>IF(COUNT('Turns'!D25)=1,SUM('Turns'!D25),"Unknown")</f>
        <v>185.0</v>
      </c>
      <c r="T17" s="2">
        <f>IF(COUNT('Turns'!E25)=1,SUM('Turns'!E25),"Unknown")</f>
        <v>0.00019366614</v>
      </c>
      <c r="U17" s="2">
        <f>IF(COUNT('Turns'!F25)=1,SUM('Turns'!F25),"Unknown")</f>
        <v>0.000222</v>
      </c>
      <c r="V17" s="2">
        <f>IF(COUNT('Turns'!D24)=1,SUM('Turns'!D24),"Unknown")</f>
        <v>150.0</v>
      </c>
      <c r="W17" s="2">
        <f>IF(COUNT('Turns'!E24)=1,SUM('Turns'!E24),"Unknown")</f>
        <v>0.0001570266</v>
      </c>
      <c r="X17" s="2">
        <f>IF(COUNT('Turns'!F24)=1,SUM('Turns'!F24),"Unknown")</f>
        <v>0.00018</v>
      </c>
      <c r="Y17" s="2">
        <f>IF(COUNT('Turns'!E29)=1,SUM('Turns'!E29),"Unknown")</f>
        <v>0.000456598458</v>
      </c>
      <c r="Z17" s="2">
        <f>IF(COUNT('Turns'!F29)=1,SUM('Turns'!F29),"Unknown")</f>
        <v>0.0005234</v>
      </c>
      <c r="AA17" s="5">
        <f>IF(ISNUMBER(Y17),ROUND(Y17*'Reference data'!$B$2,0),"Unknown")</f>
        <v>46.0</v>
      </c>
      <c r="AB17" s="5">
        <f>IF(ISNUMBER(Z17),ROUND(Z17*'Reference data'!$B$2,0),"Unknown")</f>
        <v>52.0</v>
      </c>
      <c r="AD17" s="1">
        <v>4929.877</v>
      </c>
      <c r="AE17" s="1" t="s">
        <v>122</v>
      </c>
    </row>
    <row r="18" spans="1:31" ht="54" customHeight="1">
      <c r="A18" s="6" t="s">
        <v>137</v>
      </c>
      <c r="B18" s="1">
        <v>5</v>
      </c>
      <c r="C18" s="1" t="s">
        <v>138</v>
      </c>
      <c r="D18" s="1" t="s">
        <v>95</v>
      </c>
      <c r="E18" s="1" t="s">
        <v>111</v>
      </c>
      <c r="F18" s="1">
        <v>607</v>
      </c>
      <c r="G18" s="6" t="s">
        <v>131</v>
      </c>
      <c r="H18" t="s">
        <v>113</v>
      </c>
      <c r="I18" t="s">
        <v>155</v>
      </c>
      <c r="J18" s="2">
        <f>IF(COUNT('Turns'!D20)=1,SUM('Turns'!D20),"Unknown")</f>
        <v>607.0</v>
      </c>
      <c r="K18" s="2">
        <f>IF(COUNT('Turns'!E20)=1,SUM('Turns'!E20),"Unknown")</f>
        <v>0.000105905718</v>
      </c>
      <c r="L18" s="2">
        <f>IF(COUNT('Turns'!F20)=1,SUM('Turns'!F20),"Unknown")</f>
        <v>0.0001214</v>
      </c>
      <c r="M18" s="2">
        <f>IF(COUNT('Turns'!D19)=1,SUM('Turns'!D19),"Unknown")</f>
        <v>0.0</v>
      </c>
      <c r="N18" s="2">
        <f>IF(COUNT('Turns'!E19)=1,SUM('Turns'!E19),"Unknown")</f>
        <v>0.0</v>
      </c>
      <c r="O18" s="2">
        <f>IF(COUNT('Turns'!F19)=1,SUM('Turns'!F19),"Unknown")</f>
        <v>0.0</v>
      </c>
      <c r="P18" s="2">
        <v>0</v>
      </c>
      <c r="Q18" s="2">
        <v>0</v>
      </c>
      <c r="R18" s="2">
        <v>0</v>
      </c>
      <c r="S18" s="2">
        <f>IF(COUNT('Turns'!D25)=1,SUM('Turns'!D25),"Unknown")</f>
        <v>185.0</v>
      </c>
      <c r="T18" s="2">
        <f>IF(COUNT('Turns'!E25)=1,SUM('Turns'!E25),"Unknown")</f>
        <v>0.00019366614</v>
      </c>
      <c r="U18" s="2">
        <f>IF(COUNT('Turns'!F25)=1,SUM('Turns'!F25),"Unknown")</f>
        <v>0.000222</v>
      </c>
      <c r="V18" s="2">
        <f>IF(COUNT('Turns'!D24)=1,SUM('Turns'!D24),"Unknown")</f>
        <v>150.0</v>
      </c>
      <c r="W18" s="2">
        <f>IF(COUNT('Turns'!E24)=1,SUM('Turns'!E24),"Unknown")</f>
        <v>0.0001570266</v>
      </c>
      <c r="X18" s="2">
        <f>IF(COUNT('Turns'!F24)=1,SUM('Turns'!F24),"Unknown")</f>
        <v>0.00018</v>
      </c>
      <c r="Y18" s="2">
        <f>IF(COUNT('Turns'!E29)=1,SUM('Turns'!E29),"Unknown")</f>
        <v>0.000456598458</v>
      </c>
      <c r="Z18" s="2">
        <f>IF(COUNT('Turns'!F29)=1,SUM('Turns'!F29),"Unknown")</f>
        <v>0.0005234</v>
      </c>
      <c r="AA18" s="5">
        <f>IF(ISNUMBER(Y18),ROUND(Y18*'Reference data'!$B$2,0),"Unknown")</f>
        <v>46.0</v>
      </c>
      <c r="AB18" s="5">
        <f>IF(ISNUMBER(Z18),ROUND(Z18*'Reference data'!$B$2,0),"Unknown")</f>
        <v>52.0</v>
      </c>
      <c r="AC18" s="1" t="s">
        <v>112</v>
      </c>
      <c r="AD18" s="1">
        <v>4926.947</v>
      </c>
      <c r="AE18" s="1" t="s">
        <v>139</v>
      </c>
    </row>
    <row r="19" spans="1:31" ht="54" customHeight="1">
      <c r="A19" s="6" t="s">
        <v>140</v>
      </c>
      <c r="B19" s="1">
        <v>2</v>
      </c>
      <c r="C19" s="1" t="s">
        <v>120</v>
      </c>
      <c r="D19" s="1" t="s">
        <v>47</v>
      </c>
      <c r="E19" s="1" t="s">
        <v>111</v>
      </c>
      <c r="G19" s="6" t="s">
        <v>141</v>
      </c>
      <c r="H19" t="s">
        <v>156</v>
      </c>
      <c r="I19" t="s">
        <v>152</v>
      </c>
      <c r="AD19" s="1">
        <v>0.914</v>
      </c>
      <c r="AE19" s="1" t="s">
        <v>126</v>
      </c>
    </row>
    <row r="20" spans="1:31" ht="54" customHeight="1">
      <c r="A20" s="6" t="s">
        <v>143</v>
      </c>
      <c r="B20" s="1">
        <v>1</v>
      </c>
      <c r="C20" s="1" t="s">
        <v>120</v>
      </c>
      <c r="D20" s="1" t="s">
        <v>47</v>
      </c>
      <c r="E20" s="1" t="s">
        <v>144</v>
      </c>
      <c r="G20" s="6" t="s">
        <v>145</v>
      </c>
      <c r="H20" t="s">
        <v>157</v>
      </c>
      <c r="I20" t="s">
        <v>147</v>
      </c>
      <c r="AD20" s="1">
        <v>0.387</v>
      </c>
      <c r="AE20" s="1" t="s">
        <v>126</v>
      </c>
    </row>
    <row r="21" spans="1:31" ht="54" customHeight="1">
      <c r="A21" s="6" t="s">
        <v>119</v>
      </c>
      <c r="B21" s="1">
        <v>0</v>
      </c>
      <c r="C21" s="1" t="s">
        <v>120</v>
      </c>
      <c r="D21" s="1" t="s">
        <v>47</v>
      </c>
      <c r="E21" s="1" t="s">
        <v>111</v>
      </c>
      <c r="G21" s="6" t="s">
        <v>121</v>
      </c>
      <c r="H21" t="s">
        <v>158</v>
      </c>
      <c r="J21" s="2">
        <f>IF(COUNT('Turns'!D32)=1,SUM('Turns'!D32),"Unknown")</f>
        <v>751.0</v>
      </c>
      <c r="K21" s="2">
        <f>IF(COUNT('Turns'!E32)=1,SUM('Turns'!E32),"Unknown")</f>
        <v>0.000131029974</v>
      </c>
      <c r="L21" s="2">
        <f>IF(COUNT('Turns'!F32)=1,SUM('Turns'!F32),"Unknown")</f>
        <v>0.0001502</v>
      </c>
      <c r="M21" s="2">
        <f>IF(COUNT('Turns'!D31)=1,SUM('Turns'!D31),"Unknown")</f>
        <v>0.0</v>
      </c>
      <c r="N21" s="2">
        <f>IF(COUNT('Turns'!E31)=1,SUM('Turns'!E31),"Unknown")</f>
        <v>0.0</v>
      </c>
      <c r="O21" s="2">
        <f>IF(COUNT('Turns'!F31)=1,SUM('Turns'!F31),"Unknown")</f>
        <v>0.0</v>
      </c>
      <c r="P21" s="2">
        <v>0</v>
      </c>
      <c r="Q21" s="2">
        <v>0</v>
      </c>
      <c r="R21" s="2">
        <v>0</v>
      </c>
      <c r="S21" s="2">
        <f>IF(COUNT('Turns'!D37)=1,SUM('Turns'!D37),"Unknown")</f>
        <v>166.0</v>
      </c>
      <c r="T21" s="2">
        <f>IF(COUNT('Turns'!E37)=1,SUM('Turns'!E37),"Unknown")</f>
        <v>0.000173776104</v>
      </c>
      <c r="U21" s="2">
        <f>IF(COUNT('Turns'!F37)=1,SUM('Turns'!F37),"Unknown")</f>
        <v>0.0001992</v>
      </c>
      <c r="V21" s="2">
        <f>IF(COUNT('Turns'!D36)=1,SUM('Turns'!D36),"Unknown")</f>
        <v>104.0</v>
      </c>
      <c r="W21" s="2">
        <f>IF(COUNT('Turns'!E36)=1,SUM('Turns'!E36),"Unknown")</f>
        <v>0.000108871776</v>
      </c>
      <c r="X21" s="2">
        <f>IF(COUNT('Turns'!F36)=1,SUM('Turns'!F36),"Unknown")</f>
        <v>0.0001248</v>
      </c>
      <c r="Y21" s="2">
        <f>IF(COUNT('Turns'!E41)=1,SUM('Turns'!E41),"Unknown")</f>
        <v>0.000413677854</v>
      </c>
      <c r="Z21" s="2">
        <f>IF(COUNT('Turns'!F41)=1,SUM('Turns'!F41),"Unknown")</f>
        <v>0.0004742</v>
      </c>
      <c r="AA21" s="5">
        <f>IF(ISNUMBER(Y21),ROUND(Y21*'Reference data'!$B$2,0),"Unknown")</f>
        <v>41.0</v>
      </c>
      <c r="AB21" s="5">
        <f>IF(ISNUMBER(Z21),ROUND(Z21*'Reference data'!$B$2,0),"Unknown")</f>
        <v>47.0</v>
      </c>
      <c r="AD21" s="1">
        <v>3683.237</v>
      </c>
      <c r="AE21" s="1" t="s">
        <v>122</v>
      </c>
    </row>
    <row r="22" spans="1:31" ht="54" customHeight="1">
      <c r="A22" s="6" t="s">
        <v>143</v>
      </c>
      <c r="B22" s="1">
        <v>1</v>
      </c>
      <c r="C22" s="1" t="s">
        <v>120</v>
      </c>
      <c r="D22" s="1" t="s">
        <v>47</v>
      </c>
      <c r="E22" s="1" t="s">
        <v>111</v>
      </c>
      <c r="G22" s="6" t="s">
        <v>145</v>
      </c>
      <c r="H22" t="s">
        <v>159</v>
      </c>
      <c r="I22" t="s">
        <v>158</v>
      </c>
      <c r="AD22" s="1">
        <v>1.988</v>
      </c>
      <c r="AE22" s="1" t="s">
        <v>126</v>
      </c>
    </row>
    <row r="23" spans="1:31" ht="54" customHeight="1">
      <c r="A23" s="6" t="s">
        <v>149</v>
      </c>
      <c r="B23" s="1">
        <v>2</v>
      </c>
      <c r="C23" s="1" t="s">
        <v>120</v>
      </c>
      <c r="D23" s="1" t="s">
        <v>47</v>
      </c>
      <c r="E23" s="1" t="s">
        <v>111</v>
      </c>
      <c r="G23" s="6" t="s">
        <v>150</v>
      </c>
      <c r="H23" t="s">
        <v>160</v>
      </c>
      <c r="I23" t="s">
        <v>159</v>
      </c>
      <c r="AD23" s="1">
        <v>0.379</v>
      </c>
      <c r="AE23" s="1" t="s">
        <v>126</v>
      </c>
    </row>
    <row r="24" spans="1:31" ht="54" customHeight="1">
      <c r="A24" s="6" t="s">
        <v>127</v>
      </c>
      <c r="B24" s="1">
        <v>1</v>
      </c>
      <c r="C24" s="1" t="s">
        <v>120</v>
      </c>
      <c r="D24" s="1" t="s">
        <v>47</v>
      </c>
      <c r="E24" s="1" t="s">
        <v>111</v>
      </c>
      <c r="G24" s="6" t="s">
        <v>128</v>
      </c>
      <c r="H24" t="s">
        <v>161</v>
      </c>
      <c r="I24" t="s">
        <v>158</v>
      </c>
      <c r="J24" s="2">
        <f>IF(COUNT('Turns'!D32)=1,SUM('Turns'!D32),"Unknown")</f>
        <v>751.0</v>
      </c>
      <c r="K24" s="2">
        <f>IF(COUNT('Turns'!E32)=1,SUM('Turns'!E32),"Unknown")</f>
        <v>0.000131029974</v>
      </c>
      <c r="L24" s="2">
        <f>IF(COUNT('Turns'!F32)=1,SUM('Turns'!F32),"Unknown")</f>
        <v>0.0001502</v>
      </c>
      <c r="M24" s="2">
        <f>IF(COUNT('Turns'!D31)=1,SUM('Turns'!D31),"Unknown")</f>
        <v>0.0</v>
      </c>
      <c r="N24" s="2">
        <f>IF(COUNT('Turns'!E31)=1,SUM('Turns'!E31),"Unknown")</f>
        <v>0.0</v>
      </c>
      <c r="O24" s="2">
        <f>IF(COUNT('Turns'!F31)=1,SUM('Turns'!F31),"Unknown")</f>
        <v>0.0</v>
      </c>
      <c r="P24" s="2">
        <v>0</v>
      </c>
      <c r="Q24" s="2">
        <v>0</v>
      </c>
      <c r="R24" s="2">
        <v>0</v>
      </c>
      <c r="S24" s="2">
        <f>IF(COUNT('Turns'!D37)=1,SUM('Turns'!D37),"Unknown")</f>
        <v>166.0</v>
      </c>
      <c r="T24" s="2">
        <f>IF(COUNT('Turns'!E37)=1,SUM('Turns'!E37),"Unknown")</f>
        <v>0.000173776104</v>
      </c>
      <c r="U24" s="2">
        <f>IF(COUNT('Turns'!F37)=1,SUM('Turns'!F37),"Unknown")</f>
        <v>0.0001992</v>
      </c>
      <c r="V24" s="2">
        <f>IF(COUNT('Turns'!D36)=1,SUM('Turns'!D36),"Unknown")</f>
        <v>104.0</v>
      </c>
      <c r="W24" s="2">
        <f>IF(COUNT('Turns'!E36)=1,SUM('Turns'!E36),"Unknown")</f>
        <v>0.000108871776</v>
      </c>
      <c r="X24" s="2">
        <f>IF(COUNT('Turns'!F36)=1,SUM('Turns'!F36),"Unknown")</f>
        <v>0.0001248</v>
      </c>
      <c r="Y24" s="2">
        <f>IF(COUNT('Turns'!E41)=1,SUM('Turns'!E41),"Unknown")</f>
        <v>0.000413677854</v>
      </c>
      <c r="Z24" s="2">
        <f>IF(COUNT('Turns'!F41)=1,SUM('Turns'!F41),"Unknown")</f>
        <v>0.0004742</v>
      </c>
      <c r="AA24" s="5">
        <f>IF(ISNUMBER(Y24),ROUND(Y24*'Reference data'!$B$2,0),"Unknown")</f>
        <v>41.0</v>
      </c>
      <c r="AB24" s="5">
        <f>IF(ISNUMBER(Z24),ROUND(Z24*'Reference data'!$B$2,0),"Unknown")</f>
        <v>47.0</v>
      </c>
      <c r="AD24" s="1">
        <v>3674.826</v>
      </c>
      <c r="AE24" s="1" t="s">
        <v>122</v>
      </c>
    </row>
    <row r="25" spans="1:31" ht="54" customHeight="1">
      <c r="A25" s="6" t="s">
        <v>130</v>
      </c>
      <c r="B25" s="1">
        <v>2</v>
      </c>
      <c r="C25" s="1" t="s">
        <v>120</v>
      </c>
      <c r="D25" s="1" t="s">
        <v>47</v>
      </c>
      <c r="E25" s="1" t="s">
        <v>111</v>
      </c>
      <c r="G25" s="6" t="s">
        <v>131</v>
      </c>
      <c r="H25" t="s">
        <v>162</v>
      </c>
      <c r="I25" t="s">
        <v>161</v>
      </c>
      <c r="J25" s="2">
        <f>IF(COUNT('Turns'!D32)=1,SUM('Turns'!D32),"Unknown")</f>
        <v>751.0</v>
      </c>
      <c r="K25" s="2">
        <f>IF(COUNT('Turns'!E32)=1,SUM('Turns'!E32),"Unknown")</f>
        <v>0.000131029974</v>
      </c>
      <c r="L25" s="2">
        <f>IF(COUNT('Turns'!F32)=1,SUM('Turns'!F32),"Unknown")</f>
        <v>0.0001502</v>
      </c>
      <c r="M25" s="2">
        <f>IF(COUNT('Turns'!D31)=1,SUM('Turns'!D31),"Unknown")</f>
        <v>0.0</v>
      </c>
      <c r="N25" s="2">
        <f>IF(COUNT('Turns'!E31)=1,SUM('Turns'!E31),"Unknown")</f>
        <v>0.0</v>
      </c>
      <c r="O25" s="2">
        <f>IF(COUNT('Turns'!F31)=1,SUM('Turns'!F31),"Unknown")</f>
        <v>0.0</v>
      </c>
      <c r="P25" s="2">
        <v>0</v>
      </c>
      <c r="Q25" s="2">
        <v>0</v>
      </c>
      <c r="R25" s="2">
        <v>0</v>
      </c>
      <c r="S25" s="2">
        <f>IF(COUNT('Turns'!D37)=1,SUM('Turns'!D37),"Unknown")</f>
        <v>166.0</v>
      </c>
      <c r="T25" s="2">
        <f>IF(COUNT('Turns'!E37)=1,SUM('Turns'!E37),"Unknown")</f>
        <v>0.000173776104</v>
      </c>
      <c r="U25" s="2">
        <f>IF(COUNT('Turns'!F37)=1,SUM('Turns'!F37),"Unknown")</f>
        <v>0.0001992</v>
      </c>
      <c r="V25" s="2">
        <f>IF(COUNT('Turns'!D36)=1,SUM('Turns'!D36),"Unknown")</f>
        <v>104.0</v>
      </c>
      <c r="W25" s="2">
        <f>IF(COUNT('Turns'!E36)=1,SUM('Turns'!E36),"Unknown")</f>
        <v>0.000108871776</v>
      </c>
      <c r="X25" s="2">
        <f>IF(COUNT('Turns'!F36)=1,SUM('Turns'!F36),"Unknown")</f>
        <v>0.0001248</v>
      </c>
      <c r="Y25" s="2">
        <f>IF(COUNT('Turns'!E41)=1,SUM('Turns'!E41),"Unknown")</f>
        <v>0.000413677854</v>
      </c>
      <c r="Z25" s="2">
        <f>IF(COUNT('Turns'!F41)=1,SUM('Turns'!F41),"Unknown")</f>
        <v>0.0004742</v>
      </c>
      <c r="AA25" s="5">
        <f>IF(ISNUMBER(Y25),ROUND(Y25*'Reference data'!$B$2,0),"Unknown")</f>
        <v>41.0</v>
      </c>
      <c r="AB25" s="5">
        <f>IF(ISNUMBER(Z25),ROUND(Z25*'Reference data'!$B$2,0),"Unknown")</f>
        <v>47.0</v>
      </c>
      <c r="AD25" s="1">
        <v>3673.373</v>
      </c>
      <c r="AE25" s="1" t="s">
        <v>122</v>
      </c>
    </row>
    <row r="26" spans="1:31" ht="54" customHeight="1">
      <c r="A26" s="6" t="s">
        <v>133</v>
      </c>
      <c r="B26" s="1">
        <v>3</v>
      </c>
      <c r="C26" s="1" t="s">
        <v>120</v>
      </c>
      <c r="D26" s="1" t="s">
        <v>47</v>
      </c>
      <c r="E26" s="1" t="s">
        <v>111</v>
      </c>
      <c r="G26" s="6" t="s">
        <v>131</v>
      </c>
      <c r="H26" t="s">
        <v>163</v>
      </c>
      <c r="I26" t="s">
        <v>162</v>
      </c>
      <c r="J26" s="2">
        <f>IF(COUNT('Turns'!D32)=1,SUM('Turns'!D32),"Unknown")</f>
        <v>751.0</v>
      </c>
      <c r="K26" s="2">
        <f>IF(COUNT('Turns'!E32)=1,SUM('Turns'!E32),"Unknown")</f>
        <v>0.000131029974</v>
      </c>
      <c r="L26" s="2">
        <f>IF(COUNT('Turns'!F32)=1,SUM('Turns'!F32),"Unknown")</f>
        <v>0.0001502</v>
      </c>
      <c r="M26" s="2">
        <f>IF(COUNT('Turns'!D31)=1,SUM('Turns'!D31),"Unknown")</f>
        <v>0.0</v>
      </c>
      <c r="N26" s="2">
        <f>IF(COUNT('Turns'!E31)=1,SUM('Turns'!E31),"Unknown")</f>
        <v>0.0</v>
      </c>
      <c r="O26" s="2">
        <f>IF(COUNT('Turns'!F31)=1,SUM('Turns'!F31),"Unknown")</f>
        <v>0.0</v>
      </c>
      <c r="P26" s="2">
        <v>0</v>
      </c>
      <c r="Q26" s="2">
        <v>0</v>
      </c>
      <c r="R26" s="2">
        <v>0</v>
      </c>
      <c r="S26" s="2">
        <f>IF(COUNT('Turns'!D37)=1,SUM('Turns'!D37),"Unknown")</f>
        <v>166.0</v>
      </c>
      <c r="T26" s="2">
        <f>IF(COUNT('Turns'!E37)=1,SUM('Turns'!E37),"Unknown")</f>
        <v>0.000173776104</v>
      </c>
      <c r="U26" s="2">
        <f>IF(COUNT('Turns'!F37)=1,SUM('Turns'!F37),"Unknown")</f>
        <v>0.0001992</v>
      </c>
      <c r="V26" s="2">
        <f>IF(COUNT('Turns'!D36)=1,SUM('Turns'!D36),"Unknown")</f>
        <v>104.0</v>
      </c>
      <c r="W26" s="2">
        <f>IF(COUNT('Turns'!E36)=1,SUM('Turns'!E36),"Unknown")</f>
        <v>0.000108871776</v>
      </c>
      <c r="X26" s="2">
        <f>IF(COUNT('Turns'!F36)=1,SUM('Turns'!F36),"Unknown")</f>
        <v>0.0001248</v>
      </c>
      <c r="Y26" s="2">
        <f>IF(COUNT('Turns'!E41)=1,SUM('Turns'!E41),"Unknown")</f>
        <v>0.000413677854</v>
      </c>
      <c r="Z26" s="2">
        <f>IF(COUNT('Turns'!F41)=1,SUM('Turns'!F41),"Unknown")</f>
        <v>0.0004742</v>
      </c>
      <c r="AA26" s="5">
        <f>IF(ISNUMBER(Y26),ROUND(Y26*'Reference data'!$B$2,0),"Unknown")</f>
        <v>41.0</v>
      </c>
      <c r="AB26" s="5">
        <f>IF(ISNUMBER(Z26),ROUND(Z26*'Reference data'!$B$2,0),"Unknown")</f>
        <v>47.0</v>
      </c>
      <c r="AD26" s="1">
        <v>3671.9</v>
      </c>
      <c r="AE26" s="1" t="s">
        <v>122</v>
      </c>
    </row>
    <row r="27" spans="1:31" ht="54" customHeight="1">
      <c r="A27" s="6" t="s">
        <v>135</v>
      </c>
      <c r="B27" s="1">
        <v>4</v>
      </c>
      <c r="C27" s="1" t="s">
        <v>120</v>
      </c>
      <c r="D27" s="1" t="s">
        <v>47</v>
      </c>
      <c r="E27" s="1" t="s">
        <v>111</v>
      </c>
      <c r="G27" s="6" t="s">
        <v>131</v>
      </c>
      <c r="H27" t="s">
        <v>164</v>
      </c>
      <c r="I27" t="s">
        <v>163</v>
      </c>
      <c r="J27" s="2">
        <f>IF(COUNT('Turns'!D32)=1,SUM('Turns'!D32),"Unknown")</f>
        <v>751.0</v>
      </c>
      <c r="K27" s="2">
        <f>IF(COUNT('Turns'!E32)=1,SUM('Turns'!E32),"Unknown")</f>
        <v>0.000131029974</v>
      </c>
      <c r="L27" s="2">
        <f>IF(COUNT('Turns'!F32)=1,SUM('Turns'!F32),"Unknown")</f>
        <v>0.0001502</v>
      </c>
      <c r="M27" s="2">
        <f>IF(COUNT('Turns'!D31)=1,SUM('Turns'!D31),"Unknown")</f>
        <v>0.0</v>
      </c>
      <c r="N27" s="2">
        <f>IF(COUNT('Turns'!E31)=1,SUM('Turns'!E31),"Unknown")</f>
        <v>0.0</v>
      </c>
      <c r="O27" s="2">
        <f>IF(COUNT('Turns'!F31)=1,SUM('Turns'!F31),"Unknown")</f>
        <v>0.0</v>
      </c>
      <c r="P27" s="2">
        <v>0</v>
      </c>
      <c r="Q27" s="2">
        <v>0</v>
      </c>
      <c r="R27" s="2">
        <v>0</v>
      </c>
      <c r="S27" s="2">
        <f>IF(COUNT('Turns'!D37)=1,SUM('Turns'!D37),"Unknown")</f>
        <v>166.0</v>
      </c>
      <c r="T27" s="2">
        <f>IF(COUNT('Turns'!E37)=1,SUM('Turns'!E37),"Unknown")</f>
        <v>0.000173776104</v>
      </c>
      <c r="U27" s="2">
        <f>IF(COUNT('Turns'!F37)=1,SUM('Turns'!F37),"Unknown")</f>
        <v>0.0001992</v>
      </c>
      <c r="V27" s="2">
        <f>IF(COUNT('Turns'!D36)=1,SUM('Turns'!D36),"Unknown")</f>
        <v>104.0</v>
      </c>
      <c r="W27" s="2">
        <f>IF(COUNT('Turns'!E36)=1,SUM('Turns'!E36),"Unknown")</f>
        <v>0.000108871776</v>
      </c>
      <c r="X27" s="2">
        <f>IF(COUNT('Turns'!F36)=1,SUM('Turns'!F36),"Unknown")</f>
        <v>0.0001248</v>
      </c>
      <c r="Y27" s="2">
        <f>IF(COUNT('Turns'!E41)=1,SUM('Turns'!E41),"Unknown")</f>
        <v>0.000413677854</v>
      </c>
      <c r="Z27" s="2">
        <f>IF(COUNT('Turns'!F41)=1,SUM('Turns'!F41),"Unknown")</f>
        <v>0.0004742</v>
      </c>
      <c r="AA27" s="5">
        <f>IF(ISNUMBER(Y27),ROUND(Y27*'Reference data'!$B$2,0),"Unknown")</f>
        <v>41.0</v>
      </c>
      <c r="AB27" s="5">
        <f>IF(ISNUMBER(Z27),ROUND(Z27*'Reference data'!$B$2,0),"Unknown")</f>
        <v>47.0</v>
      </c>
      <c r="AD27" s="1">
        <v>3669.979</v>
      </c>
      <c r="AE27" s="1" t="s">
        <v>122</v>
      </c>
    </row>
    <row r="28" spans="1:31" ht="54" customHeight="1">
      <c r="A28" s="6" t="s">
        <v>137</v>
      </c>
      <c r="B28" s="1">
        <v>5</v>
      </c>
      <c r="C28" s="1" t="s">
        <v>138</v>
      </c>
      <c r="D28" s="1" t="s">
        <v>95</v>
      </c>
      <c r="E28" s="1" t="s">
        <v>111</v>
      </c>
      <c r="F28" s="1">
        <v>751</v>
      </c>
      <c r="G28" s="6" t="s">
        <v>131</v>
      </c>
      <c r="H28" t="s">
        <v>117</v>
      </c>
      <c r="I28" t="s">
        <v>164</v>
      </c>
      <c r="J28" s="2">
        <f>IF(COUNT('Turns'!D32)=1,SUM('Turns'!D32),"Unknown")</f>
        <v>751.0</v>
      </c>
      <c r="K28" s="2">
        <f>IF(COUNT('Turns'!E32)=1,SUM('Turns'!E32),"Unknown")</f>
        <v>0.000131029974</v>
      </c>
      <c r="L28" s="2">
        <f>IF(COUNT('Turns'!F32)=1,SUM('Turns'!F32),"Unknown")</f>
        <v>0.0001502</v>
      </c>
      <c r="M28" s="2">
        <f>IF(COUNT('Turns'!D31)=1,SUM('Turns'!D31),"Unknown")</f>
        <v>0.0</v>
      </c>
      <c r="N28" s="2">
        <f>IF(COUNT('Turns'!E31)=1,SUM('Turns'!E31),"Unknown")</f>
        <v>0.0</v>
      </c>
      <c r="O28" s="2">
        <f>IF(COUNT('Turns'!F31)=1,SUM('Turns'!F31),"Unknown")</f>
        <v>0.0</v>
      </c>
      <c r="P28" s="2">
        <v>0</v>
      </c>
      <c r="Q28" s="2">
        <v>0</v>
      </c>
      <c r="R28" s="2">
        <v>0</v>
      </c>
      <c r="S28" s="2">
        <f>IF(COUNT('Turns'!D37)=1,SUM('Turns'!D37),"Unknown")</f>
        <v>166.0</v>
      </c>
      <c r="T28" s="2">
        <f>IF(COUNT('Turns'!E37)=1,SUM('Turns'!E37),"Unknown")</f>
        <v>0.000173776104</v>
      </c>
      <c r="U28" s="2">
        <f>IF(COUNT('Turns'!F37)=1,SUM('Turns'!F37),"Unknown")</f>
        <v>0.0001992</v>
      </c>
      <c r="V28" s="2">
        <f>IF(COUNT('Turns'!D36)=1,SUM('Turns'!D36),"Unknown")</f>
        <v>104.0</v>
      </c>
      <c r="W28" s="2">
        <f>IF(COUNT('Turns'!E36)=1,SUM('Turns'!E36),"Unknown")</f>
        <v>0.000108871776</v>
      </c>
      <c r="X28" s="2">
        <f>IF(COUNT('Turns'!F36)=1,SUM('Turns'!F36),"Unknown")</f>
        <v>0.0001248</v>
      </c>
      <c r="Y28" s="2">
        <f>IF(COUNT('Turns'!E41)=1,SUM('Turns'!E41),"Unknown")</f>
        <v>0.000413677854</v>
      </c>
      <c r="Z28" s="2">
        <f>IF(COUNT('Turns'!F41)=1,SUM('Turns'!F41),"Unknown")</f>
        <v>0.0004742</v>
      </c>
      <c r="AA28" s="5">
        <f>IF(ISNUMBER(Y28),ROUND(Y28*'Reference data'!$B$2,0),"Unknown")</f>
        <v>41.0</v>
      </c>
      <c r="AB28" s="5">
        <f>IF(ISNUMBER(Z28),ROUND(Z28*'Reference data'!$B$2,0),"Unknown")</f>
        <v>47.0</v>
      </c>
      <c r="AC28" s="1" t="s">
        <v>116</v>
      </c>
      <c r="AD28" s="1">
        <v>3667.604</v>
      </c>
      <c r="AE28" s="1" t="s">
        <v>139</v>
      </c>
    </row>
    <row r="29" spans="1:31" ht="54" customHeight="1">
      <c r="A29" s="6" t="s">
        <v>140</v>
      </c>
      <c r="B29" s="1">
        <v>2</v>
      </c>
      <c r="C29" s="1" t="s">
        <v>120</v>
      </c>
      <c r="D29" s="1" t="s">
        <v>47</v>
      </c>
      <c r="E29" s="1" t="s">
        <v>111</v>
      </c>
      <c r="G29" s="6" t="s">
        <v>141</v>
      </c>
      <c r="H29" t="s">
        <v>165</v>
      </c>
      <c r="I29" t="s">
        <v>161</v>
      </c>
      <c r="AD29" s="1">
        <v>0.234</v>
      </c>
      <c r="AE29" s="1" t="s">
        <v>126</v>
      </c>
    </row>
    <row r="30" spans="1:31" ht="54" customHeight="1">
      <c r="A30" s="6" t="s">
        <v>166</v>
      </c>
      <c r="B30" s="1">
        <v>1</v>
      </c>
      <c r="C30" s="1" t="s">
        <v>120</v>
      </c>
      <c r="D30" s="1" t="s">
        <v>47</v>
      </c>
      <c r="E30" s="1" t="s">
        <v>111</v>
      </c>
      <c r="G30" s="6" t="s">
        <v>167</v>
      </c>
      <c r="H30" t="s">
        <v>168</v>
      </c>
      <c r="I30" t="s">
        <v>158</v>
      </c>
      <c r="AD30" s="1">
        <v>0.439</v>
      </c>
      <c r="AE30" s="1" t="s">
        <v>126</v>
      </c>
    </row>
  </sheetData>
  <conditionalFormatting sqref="A2:AE30">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2026-09-23T03:48:12Z</dcterms:created>
  <dcterms:modified xsi:type="dcterms:W3CDTF">2026-09-23T03:48:12Z</dcterms:modified>
</cp:coreProperties>
</file>
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urns" sheetId="1" r:id="rId1"/>
    <sheet name="Execution tree" sheetId="2" r:id="rId2"/>
    <sheet name="Reference data" sheetId="3" r:id="rId3"/>
  </sheets>
  <calcPr calcId="124519" fullCalcOnLoad="1"/>
</workbook>
</file>

<file path=xl/sharedStrings.xml><?xml version="1.0" encoding="utf-8"?>
<sst xmlns="http://schemas.openxmlformats.org/spreadsheetml/2006/main" count="466" uniqueCount="170">
  <si>
    <t>Request</t>
  </si>
  <si>
    <t>Turn</t>
  </si>
  <si>
    <t>Sequence</t>
  </si>
  <si>
    <t>Tokens</t>
  </si>
  <si>
    <t>EUR / execution</t>
  </si>
  <si>
    <t>USD / execution</t>
  </si>
  <si>
    <t>Projected EUR</t>
  </si>
  <si>
    <t>Projected USD</t>
  </si>
  <si>
    <t>Content</t>
  </si>
  <si>
    <t>Model · effort</t>
  </si>
  <si>
    <t>Status</t>
  </si>
  <si>
    <t>Context total tokens</t>
  </si>
  <si>
    <t>Span ID</t>
  </si>
  <si>
    <t>Operation</t>
  </si>
  <si>
    <t>Depth</t>
  </si>
  <si>
    <t>Type</t>
  </si>
  <si>
    <t>Input context tokens</t>
  </si>
  <si>
    <t>Description</t>
  </si>
  <si>
    <t>Parent ID</t>
  </si>
  <si>
    <t>Input at standard rate tokens</t>
  </si>
  <si>
    <t>Input at standard rate EUR</t>
  </si>
  <si>
    <t>Input at standard rate USD</t>
  </si>
  <si>
    <t>Cache read tokens</t>
  </si>
  <si>
    <t>Cache read EUR</t>
  </si>
  <si>
    <t>Cache read USD</t>
  </si>
  <si>
    <t>Cache write tokens</t>
  </si>
  <si>
    <t>Cache write EUR</t>
  </si>
  <si>
    <t>Cache write USD</t>
  </si>
  <si>
    <t>Output (non-reasoning) tokens</t>
  </si>
  <si>
    <t>Output (non-reasoning) EUR</t>
  </si>
  <si>
    <t>Output (non-reasoning) USD</t>
  </si>
  <si>
    <t>Reasoning tokens</t>
  </si>
  <si>
    <t>Reasoning EUR</t>
  </si>
  <si>
    <t>Reasoning USD</t>
  </si>
  <si>
    <t>Total EUR</t>
  </si>
  <si>
    <t>Total USD</t>
  </si>
  <si>
    <t>Elapsed ms</t>
  </si>
  <si>
    <t>Accounting</t>
  </si>
  <si>
    <t>Parameter</t>
  </si>
  <si>
    <t>Value</t>
  </si>
  <si>
    <t>Unit</t>
  </si>
  <si>
    <t>Number of executions</t>
  </si>
  <si>
    <t>executions</t>
  </si>
  <si>
    <t>USD → EUR</t>
  </si>
  <si>
    <t>EUR per USD</t>
  </si>
  <si>
    <t>Cache duration</t>
  </si>
  <si>
    <t>5m</t>
  </si>
  <si>
    <t/>
  </si>
  <si>
    <t>Run ID</t>
  </si>
  <si>
    <t>01a0d132-b474-79e2-bebb-1d3cde2984ea</t>
  </si>
  <si>
    <t>Recording</t>
  </si>
  <si>
    <t>Provider trace</t>
  </si>
  <si>
    <t>FX reference date</t>
  </si>
  <si>
    <t>2026-09-23</t>
  </si>
  <si>
    <t>FX fetched at</t>
  </si>
  <si>
    <t>2026-09-24T02:09:35.117183Z</t>
  </si>
  <si>
    <t>UTC</t>
  </si>
  <si>
    <t>FX source</t>
  </si>
  <si>
    <t>https://api.frankfurter.dev/v2/rate/usd/eur?providers=ecb</t>
  </si>
  <si>
    <t>Rounding</t>
  </si>
  <si>
    <t>Only projected costs: ROUND(cost × executions, 0)</t>
  </si>
  <si>
    <t>Tree totals</t>
  </si>
  <si>
    <t>Parent rows include descendants; do not sum all tree rows.</t>
  </si>
  <si>
    <t>Cache writes</t>
  </si>
  <si>
    <t>Simulated context movement is not a provider-billed write.</t>
  </si>
  <si>
    <t>Pricing scope</t>
  </si>
  <si>
    <t>Standard online token rates. Verify rates and model access before use. Cache writes with unspecified lifetime use the 5-minute rate unless an explicit cache_write rate is configured. No batch, regional, long-context, tool, or negotiated pricing adjustments are applied.</t>
  </si>
  <si>
    <t>Model</t>
  </si>
  <si>
    <t>Input USD / 1M tokens</t>
  </si>
  <si>
    <t>Cache read USD / 1M tokens</t>
  </si>
  <si>
    <t>Cache write USD / 1M tokens</t>
  </si>
  <si>
    <t>Output USD / 1M tokens</t>
  </si>
  <si>
    <t>Reasoning USD / 1M tokens</t>
  </si>
  <si>
    <t>Verified date</t>
  </si>
  <si>
    <t>Source</t>
  </si>
  <si>
    <t>Notes</t>
  </si>
  <si>
    <t>openai:gpt-5.5</t>
  </si>
  <si>
    <t>Unknown</t>
  </si>
  <si>
    <t>2026-09-18</t>
  </si>
  <si>
    <t>https://developers.openai.com/api/docs/models/gpt-5.5.md</t>
  </si>
  <si>
    <t>Cache write assumes 5m when unspecified</t>
  </si>
  <si>
    <t>openai:gpt-5.6-luna</t>
  </si>
  <si>
    <t>https://developers.openai.com/api/docs/models/gpt-5.6-luna.md</t>
  </si>
  <si>
    <t>openai:gpt-5.6-sol</t>
  </si>
  <si>
    <t>https://developers.openai.com/api/docs/models/gpt-5.6-sol.md</t>
  </si>
  <si>
    <t>anthropic:claude-sonnet-5</t>
  </si>
  <si>
    <t>https://platform.claude.com/docs/en/about-claude/pricing</t>
  </si>
  <si>
    <t>anthropic:claude-opus-4-8</t>
  </si>
  <si>
    <t>anthropic:claude-fable-5-1</t>
  </si>
  <si>
    <t>demo:scripted-chat</t>
  </si>
  <si>
    <t>Illustrative demo rates based on openai:gpt-5.6-luna; no provider billing</t>
  </si>
  <si>
    <t>Run total</t>
  </si>
  <si>
    <t>Turn 1</t>
  </si>
  <si>
    <t>R1</t>
  </si>
  <si>
    <t>LLM request</t>
  </si>
  <si>
    <t>gpt-5.6-luna</t>
  </si>
  <si>
    <t>01a0d132-b47a-7da0-b744-558a9097def7</t>
  </si>
  <si>
    <t>Input at standard rate</t>
  </si>
  <si>
    <t xml:space="preserve">    Tool definitions</t>
  </si>
  <si>
    <t xml:space="preserve">    System prompt</t>
  </si>
  <si>
    <t xml:space="preserve">You help a human prepare a quote request. Read the entire request
and clarification conversation. Decide whether its meaning is clear enough to
prepare an accurate request. Notice conflicting requirements, implausible scope,
ambiguous units, and assumptions that would materially change the quote. Ask the
human a focused question in your own words when their judgment or information is
needed. Check for multiple independent issues across the whole request, not just
the first inconsistency. Keep all unresolved issues in view after every answer.
You may group closely related questions; do not complete while a material issue
remains unresolved. Explain the concrete uncertainty. This is a conversation, not a required
field checklist. Do not silently repair contradictions or invent requirements,
prices, feasibility guarantees, or human answers. Reconsider the request after
every answer; an unclear answer may need another question. Complete without a
question when the request is already coherent. Completion summarizes the agreed
scope and any explicitly accepted uncertainty; it does not send a quote or
promise supplier acceptance. Return exactly one QuoteDecision tool call.
</t>
  </si>
  <si>
    <t xml:space="preserve">    User prompt</t>
  </si>
  <si>
    <t>{"initial_request": {"name": "Alex", "email": "alex@example.com", "service": "Print 500 individually addressed invitations. Use the exact same text on every copy; no variable printing.", "quantity": 500, "recipients": "650 guests, each must receive their own invitation.", "delivery": "One batch to our office; we will mail them ourselves."}, "conversation": []}</t>
  </si>
  <si>
    <t>Cache write</t>
  </si>
  <si>
    <t>Context · added / total</t>
  </si>
  <si>
    <t>LLM response</t>
  </si>
  <si>
    <t>Reasoning</t>
  </si>
  <si>
    <t>Output</t>
  </si>
  <si>
    <t xml:space="preserve">    Output content</t>
  </si>
  <si>
    <t>[{"id": "rs_01970afda7ee6687006ab487dd7f6087d290b1326b94b985ff", "summary": [], "type": "reasoning", "content": [], "index": 0, "encrypted_content": "gAAAAABqtIfeO3KWbOdBkRAL-UlrJ7XblOkm6Bv4NRXpP4AscxWSRzIA8hSatVWPX-gt3klOWP-DOAHtPK4XmrZQdrLbyjvHWZgxC2uqp2Sf5XnqhVTXgYkn23_7Lh3_W6b7PM08enJ6XuTEX-SqeI1xtbYKMRaRLhc77pTmAxJT6tSIlc3O5HsiODkkYA-e97iPRxe6RpRkuBO_QSMyNhulgrnAO3u_prWrrUMiS46btTeFgC9bebvWrdZihED0y-IvsYIqJnw2BsFqq9nBCOFVTbP-LK80Pzh8MZT2LJ8ivuVQDDBCqrxPywXcXWVe1pgHmsXKgBz1NZY1Qg1_eHdrD4WlHotQl0-aSKvAmzCzA4tdMGbEas7vcyNH1uwBCLV89HW645K7iiZcb_AtL4qYoSM2JDXkzMCapee_mOIllJ9aMwksTIqK0jnn-W7RB41hrK614QyRTS9JEIKPgNRJsxNlR2Ss-FHCy3Xmzw4Vb1_mXfIwjAOZMMxbOwlUzFNzW6aT0NQ-jvzMjDXzKbK2Kg9BcCtpr-3PwtTzfgDfThutYGGqX2Na2pIF3j-yShXGn9m12yOq-EeeXNY8UjS6R7pUGUWCWVY8V0n3ioGHLvL8bXH7gUZWv38-RCuI_AHrAeEyhaar6DEC3GPFw-QixLXMFmlSixk3SXGnw1cIhu7uBwSPHZvl_DShWq4AxTEy-9rg_0jnITJJOfO2GXxDqOELWvUOfa3fKQh59l-8ztJR1MWPpx9dvOBiIemLV3zRynj1oYYEzPmbrElJbSdonANXIhuekaQnETih08iQwpuL4YR8odjAV8GAuE_-SZD1JNCy4r8z6SJ6lSLIuQ8epikCjC06XCeDj9FlA_nmLluR3E0Nb-PmnQkAMvAu6fftWntBbukrqdOqLk7koso0JavsUVwPPjK7VmNxI4MzARtJc5qfwEg7viIQ0SB196MwM4LyKPS7-ghcqPU7bR4SF3R17c22Ok1R-5vMimpEqt6K2jddZpuTHAPonSqfYJafr2WSKExfVB5zfQ7FUwtRj-A_6EyVjB0DgtwLH54RKIFGspgHy6CGuCaRqEvTwq5TuwBk9xtyyWnFWRruPQk1dcTSSg6FdSqoAL3RQwgGukNEq4NC-VSiDbjli1THaBaKXN7lEjv3IQjCkS2Ot8ffJs6JSFJgtHg5Fm9yiLwFnPnIlhVomODU85DnIqel4kPRZB3NJx-xLkE48zF5uDfbQUGokeEc1aE8cQxOlDHhP4UpKHYDQ2_FTqADy9tR5XDgFxNCcYjZSb-4xBc_vx4Hgd_8EirJoefHS1pVTy0WigfDR9PRgKR7g9hHaF3uf1n72ff_YUhZ2xQx0ixllmauZC2J76Qhz5IRrz1K6JTJHoKXvzz9DU7mI3IbiVs7R-db4SAPIZds5qIhXk1-cnOv29Ba2myqj1t5ls7rcT8ojvdauwSMIi4cQDeW41ZC3j2elvkLfWlu6YUYRbTnkBE-uUAClM2-jY-0gMOwBJmUYma-adHAOYjldiQCkzcYQ7naua-9Om0C_kazC2Ut9OnTlfDUS47ZeoXyxjedkjbFTsRBlZV9gpIfQInZoJAq42CAcTKxvLPt"}, {"type": "function_call", "name": "QuoteDecision", "arguments": "{\"action\":\"ask\",\"reason\":\"The request contains two material scope conflicts: it specifies 500 invitations but 650 guests who must each receive one, and it asks for individually addressed pieces while also requiring identical text with no variable printing.\",\"text\":\"Should the quantity be 650 invitations (one per guest) or 500? Also, do you want the printer to add each guest\u2019s address/name, or should all 650 printed invitations have identical content with your office handling all addressing and mailing?\"}", "call_id": "call_az0rpqrY0qTXBQFVU5BDuxyg", "id": "fc_01970afda7ee6687006ab487dea7d887d2951d38abc69f89c4", "index": 1}]
{"name": "QuoteDecision", "args": {"action": "ask", "reason": "The request contains two material scope conflicts: it specifies 500 invitations but 650 guests who must each receive one, and it asks for individually addressed pieces while also requiring identical text with no variable printing.", "text": "Should the quantity be 650 invitations (one per guest) or 500? Also, do you want the printer to add each guest\u2019s address/name, or should all 650 printed invitations have identical content with your office handling all addressing and mailing?"}, "id": "call_az0rpqrY0qTXBQFVU5BDuxyg", "type": "tool_call"}</t>
  </si>
  <si>
    <t>Call total</t>
  </si>
  <si>
    <t>ok</t>
  </si>
  <si>
    <t>R2</t>
  </si>
  <si>
    <t>01a0d133-118a-7ce3-a1cf-76986af715ce</t>
  </si>
  <si>
    <t>Conversation history · cache read</t>
  </si>
  <si>
    <t>[{"id": "rs_0a7e38912863ce39006ab487f500a487d29fc0a39c06c94d65", "summary": [], "type": "reasoning", "content": [], "index": 0, "encrypted_content": "gAAAAABqtIf4hgNhLoT9OZru5REcX-pIxfrRw0fVUb_GeNBBzJ4SDZEVdnV-xodhbRl9AcfhG-Zq9xqUPpULTGxdzD5SZ4-uwXQ_T45ymrvnmyyvE7XYPL-_M3Myvsu9hT6n55-hQ9lgi--r17R8qHoydqjMdykdykCTgf1G61uzceFo_dZIMYsuQ92rBHq9Apdnxei_Q5rHo_ZAgxnhFwCb206b5hobit9_WxdLoF38untW8-DXRBCFIBkT1hAvQ6tSE3qKXcrMd5pjHp_1jvpfuLx3KJ_gTPrGrwI6JB5xvg-aNzBx1oST3HrBiby9Q2wTYApmJKw2_V4M5Mhw51srAYB2KdRYXYBLMTnKFQWGMzIWPpQLXG37T5RbQ8LO8Tjh_kJRBfwvI4hPJ193O1tuveQa7RPGW2MHcquBPpGuXD5wLsdmsGkhtP3wqcirBTU5zsC5HyZXwQtnIuiaOB2lyaxpAXs7qHmt2L61tT5jEea3SQObJpkuamD4aOpyZVDh5hlkbDcY7pjVVLHETDgxiX-DeCMEQgYWc9kC0UgqMesouz6s7Mycg6apGGyRcUbNpFXw9O-1rk9_JSWmAuukqjwd1V0JYIXfKJ4OUCKYX38V18dBKLd3g_gsL_s3kc7sXD-gtxtVgfJbBAihN6s_zxgcR68j2v-DetUwAlg7vzBlhD1zDklxwBnjGFdexE2m5mAWG4lNyZG5JwmXWdFA0nLVCu7IKgyDJXu2TQ3UqJmwoNhAQjWqx3sRD9WkVkt8ovkDtjPwXbNGiqdBBquHdggWwxMM9mYzVs3y1OnDO5pDu8YX87FPGpY4A24-x7YQ06o5DxbEIr_U8r72MQRZEs1NC1wgpOe_IlsPu1XzgVIFILv8IjczT_U0ejkGwlcnN581IWeVjTO6D29VNx8DOx4Hd22tisW_HjvRd9AAXfQ_PRJMKvVjhf-MV2NpiqVGTgud83fO2H6v5n3K11fDuODcJYdU5p7n_A2RZvqKaqII58z_n9PFTaQSQKuiOmGFeUMpFMuxuFwCmNAVrSgpYNx74U_lCwIWeKCtM_VNdRA3q2hundjzeR6lIhRVticxdhQ27maWhl7U7UJaxLMyWyuXxLdy00UkQz6lnzKEVzpBq_vhNr8BSifouNdZJBm8fLzTB5FDCr650uLxNd-T_ftmJ2ZDi_l1wYecKEry2_9kCeJRv-odOGX2urqc9s5kfcrDHYRWu_TxNkfu7kQufBcHRvTZMasiN8_YJl77Z6QLoubxEbOAsrKgGD0hv0I0rPzsvvU67dtD20fhXwDPr4Gnxf0gm5ETegl07N8m1VW94pqCxRbVY1SjY3O78fkRKPkp6StzQgCPpWs4iARGFXU1VBOX03f5fM8UzYLAdUx4ldoPnJpttwiYPDJPiTfs76tC1zhBo8iCe4zqsj2_rIicRIhFaS1_OR4_ykn0OqIl6ty_mUTfJs-HfLvvR4YmM3mEnnp2TRmN9P_YbwFDjHBxaKi_OqbWjB42PxBCEulliNxcNMHw1MSLBSrskehLaShL60awDA_cJb2mZIAoOsQXiCXmR2CJFHWvbmvO2mYFz8WIp7OtnuB5obacvTIhpC-rZ_vJbqc9szTVXxV-l77XsBaEVB83G9sThqFCLJtZzhMIeQQOVjgKA7ozh58_K7kHrk2_-Rjn307ask1NUFZkxiAXLFxzBf2L-rLbBjjhfbdvfCm2cNtUlEqnGwteQ6H4HT8WV9PLxyVm8eR7Zv8ukJkTqVcUGTbWBvmgGtsinsOXs-T69Q0gNJ7HpOyXG7uKlCb9vjrntZF9tdjbKAjF8o9PnY5e-xdZf-X4LbPIFMx_ySHDeD7v1EiCl57XqmfFmCAJIWGOkQNrVkaHcgGrc_aZgajVFq3Vyd3rixB9-IvJ-DBfjeMu1JxEpHxbNcCTguOBJm4RK1sPub4JxEzMlRwpbGEFk72iNKidu5uc2ybr8XKRI6MH9e4r8zSXTg822zby_XH2v0njI0NPuE2ygiY6vodtFf_NDZ49azIUnWFeFF1ApK00O0oW_X7pw2Fc5x4c0klBXySLfBzH1cJsv156YnbKjPIO4J-PnWVTkbogCAEUJ2lKUzFA1Yq6e_KPgdjI95wlFZKTAJ8xw7hk44cT_PK8OFHKt5y1uXrqh9aFu1KWQcDdn0WNaJ9y_4H9wAtk9GN7HJJvYyZtQDkIdk23EcQy3fLQxDIEfGeg-j1pWObTEmqd9Y78noDWjtVpgILsnZa67_y3MvASfDCRDgTiEYELDxiOhkx_FHMS1QNHL8d3_EqIaKWcz6XV1UQkmdxiSprgXX15zTgmTGITQJ85IWKwHytLc4ZDiwYptUkgxt5OXAy5JTfteZL3_RSqo3mcBg_wMo-UOD1XmGOgczu1N91LJo9XjE00Lt0a5kf3yu547wdtrUnpm6NMue4WxFu4tKCVKzdqVYyg5o-Fe4OArT3ziETkx6gA11g5CWljsawsgdL2u8Ouem_1SE781Bo_bSb2qCSUb5e7-cnoxdhJfKFwhwzeBAsTCXoIkgyUdsxecikvMHiLPTyWfSuqEzkpozB_Xu6uMxUHD3jG9DBMgQ=="}, {"type": "function_call", "name": "QuoteDecision", "arguments": "{\"action\":\"ask\",\"reason\":\"The quantity and addressing scope are now consistent: 500 household invitations, each with identical text, plus 500 envelopes addressed from the supplied spreadsheet. However, it is unclear whether the printer should assemble the pieces by inserting each invitation into its corresponding addressed envelope (and, if so, seal them), or deliver the invitations and addressed envelopes separately.\",\"text\":\"Should the printer insert each invitation into its matching addressed envelope and seal/assemble the 500 pieces, or should the invitations and addressed envelopes be delivered separately for your office to assemble?\"}", "call_id": "call_DQ45b1X9ULyLlOEg0TYixrZh", "id": "fc_0a7e38912863ce39006ab487f8560487d288cfa0b10851cfa1", "index": 1}]
{"name": "QuoteDecision", "args": {"action": "ask", "reason": "The quantity and addressing scope are now consistent: 500 household invitations, each with identical text, plus 500 envelopes addressed from the supplied spreadsheet. However, it is unclear whether the printer should assemble the pieces by inserting each invitation into its corresponding addressed envelope (and, if so, seal them), or deliver the invitations and addressed envelopes separately.", "text": "Should the printer insert each invitation into its matching addressed envelope and seal/assemble the 500 pieces, or should the invitations and addressed envelopes be delivered separately for your office to assemble?"}, "id": "call_DQ45b1X9ULyLlOEg0TYixrZh", "type": "tool_call"}</t>
  </si>
  <si>
    <t>R3</t>
  </si>
  <si>
    <t>01a0d133-a99c-7e60-8aea-8333e658ca6a</t>
  </si>
  <si>
    <t>[{"id": "rs_0a2c09f56a55c5db006ab4881c7a8487d28449fbe438a7f063", "summary": [], "type": "reasoning", "content": [], "index": 0, "encrypted_content": "gAAAAABqtIgeuA24LoKv2SpEH5gg6GH8x-b8bAffq_NCjlyJQxbVJkVy_TEV7v6Ov9NWCsHjCze6jgVrJ4nHeH92ximm_F5NJNFq9S8rdO_XqUYQqrvudrulGF6K7Fcnqk12ep8J5-IiiWDzzUydhWZQUE-o4x_UxZzCBpL_g2NcV90hb1fggPK7DAMIr8b0FYd85S42BXdrQuXoz1mKVmau_FKaP1eQYUFDlbhhD6vC1d3rp5IK8hTM8QrrESwfAjQrWm9viaWnlnj2fXuk2GcKm6zqxziDP5VXuD2cqOjYEcAENbm5E_L9D0YqIEP5MLpe6SzYalHkaAHugtMLp8I4hlwo4rYy7Su8Q_M7nuIAkTE3I-96G7WhoE3lCXztXOSMWEd3SPN2SUSp08g0TWVM4xZrZ9sceiVeolzfSqNHgS8E_WXE-2YjtIoKkmg0JyxMWNWTbHDas9XIejSeHO9ipL7FGcn1k257izjXPotPl4AVb_30EnUbTm72J11EBtPfaQ5QZSGBJGFvG9bPdGlM7btEUjg5ILDL7vRUD5w4CSU7ZPywcl4AYtZ9cyQctQDm4yoL6G53o9631eR-ALXfG9DRgUxn082FbKZ2sVEHJ6B6_oqVtMyVgX0HqkVAq4NOlFaIdMVQZQLpA3Jyq0RqVfrQcZuY9ANw0MVLSbuynIn39UPboCfQfVS2f9NnptcsLRfaEK42zwUt0CgT33dpecYbHQn0OWGIW2ncRpzcW307BURZUCuWsTinTpOFLj4ppX3kzQcpWd7zgGvibG4e_p8vf2RHyJ0Ef1gHtTTpkMPYKX5ZWdI0sPspnstzK3UyRFp-D_b1T3ltIF6pou_Z2Q3fd4wr3eGh7ReTET0OZaPbLBIcWIGcZfcK8d40FxFQVZZ12RL3EawfTntKxpFhi1sNqmsEvssLLmFGPku4Cp3KCBdaGtIAfoFG8SSwmlPm-VZAJ-doc0nXXD6BZBVKluehwgw1nyZkIU0So8dopy-xacVtjYwIm_Vk0HaLbkzG8Ygz13Ta7VTOvbIekfqkXZleb7I88hI5cHkr28qYuEY83qsDSqgLlMJ8EhAHy4FjFYCMqpOEHK2L6Z0M8m1x0Qm91trIi6cViAU21stQT9wOLr6GrSG79H3qRCQDS_1OwQLoyHC1PNeZJwdcPTvYu7sDQX2fWyjBAgdXO6H5xldO2wuGPxfnDyCZvwiNmLxz3obNqyu3X5pxzbeHlFfiz9YwukzhiwMY5pY5X4eu1KwIumpY5bQt_C0bTnY9vEnHVNVOHVMjK04YDdRS1U8Shuwwh3aMF1y96qwnGz95OBNQH6LzHgJOnfrD2Hc-6pPUEr0GD6h0JImkT8H_3sQ94udDf1MKkBDeDoVXy8ffnSHQGTx9UtLQnp_rTF0H7k9Oil-ClH2fUc4Mg4D58jH-RncClGukYE_xqnJpIDiPEl5CugAslg5Pzv_mPT6Hefse5PrVkGpUqmwcMunXBAlNATUK-yOLCYUJ6qP36e6VgKrIQDxk3ZxIHjP4e5BNCrD_Y-aN49eT7YzHyJX-A58q3IoitR9OqSwz213UcD28DjpBQmwUyM18y35PhcRpPiiKFjyB_zyh3ungUXFLeD04_jCL0vMy_fl1RA1Bf6aa-KuhujulcjKvxAgPMoQ97Ktw-Mzj_u7YD94yqN0bw4aq7s1uHFkz9-lc5Niz6puWvB2Q3fbw30lZQrMx_o9zKtj9bEOb5zKab1YMCM3MtoIM_CoEU8tnQO5x2NE_UMVDGeuFgBS02KsLUs_Vv7Jef3UWUEgK_4_GjMffuNokwM9SDXpPZ-Fc6pu2Fg0Fh3Xb_g3CbHLIZuFNOPb5giQdUPnHMm5Di3lUASuUBOAIxoPVeorGPmbQEWH8V0uWJIQB4_NBIzTUpJZ-KqclCUKA5jPeN_I9r6xp"}, {"type": "function_call", "name": "QuoteDecision", "arguments": "{\"action\":\"ask\",\"reason\":\"The quantity and addressing method are clear: 500 identical invitations, one per household, with 500 addressed envelopes for 650 guests. However, it is still unclear whether the printer should insert each invitation into its matching envelope (and possibly seal them) or deliver the invitations and addressed envelopes separately for your office to assemble before mailing.\",\"text\":\"Should the printer deliver 500 invitations and 500 addressed envelopes separately, or insert each invitation into its matching envelope (and seal them) before sending the batch to your office?\"}", "call_id": "call_5bIEcg65zxEWxporkThfN2EP", "id": "fc_0a2c09f56a55c5db006ab4881e329487d2a40a9c9d6e7d471d", "index": 1}]
{"name": "QuoteDecision", "args": {"action": "ask", "reason": "The quantity and addressing method are clear: 500 identical invitations, one per household, with 500 addressed envelopes for 650 guests. However, it is still unclear whether the printer should insert each invitation into its matching envelope (and possibly seal them) or deliver the invitations and addressed envelopes separately for your office to assemble before mailing.", "text": "Should the printer deliver 500 invitations and 500 addressed envelopes separately, or insert each invitation into its matching envelope (and seal them) before sending the batch to your office?"}, "id": "call_5bIEcg65zxEWxporkThfN2EP", "type": "tool_call"}</t>
  </si>
  <si>
    <t>LangGraph</t>
  </si>
  <si>
    <t>workflow</t>
  </si>
  <si>
    <t>Execute the LangGraph workflow operation and pass its result to the next graph step.</t>
  </si>
  <si>
    <t>Subtree total</t>
  </si>
  <si>
    <t xml:space="preserve">    begin</t>
  </si>
  <si>
    <t>Execute the begin workflow operation and pass its result to the next graph step.</t>
  </si>
  <si>
    <t>01a0d132-b476-7663-a711-a6b17af32faf</t>
  </si>
  <si>
    <t>No model charge</t>
  </si>
  <si>
    <t xml:space="preserve">    assess</t>
  </si>
  <si>
    <t>Execute the assess workflow operation and pass its result to the next graph step.</t>
  </si>
  <si>
    <t>01a0d132-b478-7dc2-ba3f-c8229bf4d00f</t>
  </si>
  <si>
    <t xml:space="preserve">        quote_interpreter</t>
  </si>
  <si>
    <t>Interpret quote scope and request human clarification when needed.</t>
  </si>
  <si>
    <t>01a0d132-b478-7dc2-ba3f-c83965587b76</t>
  </si>
  <si>
    <t xml:space="preserve">            quote_interpreter</t>
  </si>
  <si>
    <t>01a0d132-b479-7172-a853-94c430ea0c22</t>
  </si>
  <si>
    <t xml:space="preserve">                model</t>
  </si>
  <si>
    <t>01a0d132-b479-7172-a853-94d1a50047c4</t>
  </si>
  <si>
    <t xml:space="preserve">                    ChatOpenAI</t>
  </si>
  <si>
    <t>model</t>
  </si>
  <si>
    <t>Own call</t>
  </si>
  <si>
    <t xml:space="preserve">        route_after_assessment</t>
  </si>
  <si>
    <t>Execute the route_after_assessment workflow operation and pass its result to the next graph step.</t>
  </si>
  <si>
    <t>01a0d132-c37a-7e32-983e-5632d71a7d69</t>
  </si>
  <si>
    <t xml:space="preserve">    ask</t>
  </si>
  <si>
    <t>interrupted</t>
  </si>
  <si>
    <t>Execute the ask workflow operation and pass its result to the next graph step.</t>
  </si>
  <si>
    <t>01a0d132-c37b-7222-8913-854965114e1e</t>
  </si>
  <si>
    <t>01a0d133-117e-7412-a0e6-e01193fa09a8</t>
  </si>
  <si>
    <t>01a0d133-117f-7d83-aa06-63185f83ad93</t>
  </si>
  <si>
    <t xml:space="preserve">        route_after_answer</t>
  </si>
  <si>
    <t>Execute the route_after_answer workflow operation and pass its result to the next graph step.</t>
  </si>
  <si>
    <t>01a0d133-1180-7270-866d-0c9dd907bde1</t>
  </si>
  <si>
    <t>01a0d133-1184-7871-b971-e47d33011813</t>
  </si>
  <si>
    <t>01a0d133-1185-7b63-bb1f-e8eefc719b54</t>
  </si>
  <si>
    <t>01a0d133-1186-7842-b2fa-bed9045fbb69</t>
  </si>
  <si>
    <t>01a0d133-1189-7511-974a-d5358dde7c37</t>
  </si>
  <si>
    <t>01a0d133-293b-7c40-b4c1-4ab184998a15</t>
  </si>
  <si>
    <t>01a0d133-293d-7640-b1f5-6d6a5e4cf7fa</t>
  </si>
  <si>
    <t>01a0d133-a990-7020-bcb1-e6bdf0ea3b0c</t>
  </si>
  <si>
    <t>01a0d133-a993-7572-83c9-41bb34523e45</t>
  </si>
  <si>
    <t>01a0d133-a994-7192-af2f-8c42f1fa2726</t>
  </si>
  <si>
    <t>01a0d133-a997-7f12-a380-e6d1a5350a86</t>
  </si>
  <si>
    <t>01a0d133-a998-7eb1-a02c-60bfd6776ae5</t>
  </si>
  <si>
    <t>01a0d133-a99a-75a1-ae01-3125ed1cdf9f</t>
  </si>
  <si>
    <t>01a0d133-a99b-7f83-a110-9f23643bd343</t>
  </si>
  <si>
    <t>01a0d133-bb75-7d21-9e45-fe5f7dc4d9e9</t>
  </si>
  <si>
    <t>01a0d133-bb78-7f83-be1f-0e66998fc57b</t>
  </si>
  <si>
    <t>01a0d134-1e7b-72a0-a391-742e647aa97d</t>
  </si>
  <si>
    <t>01a0d134-1e7e-7a73-b27e-6a89544ed930</t>
  </si>
  <si>
    <t>01a0d134-1e7f-7ae1-a52d-3808669adb78</t>
  </si>
</sst>
</file>

<file path=xl/styles.xml><?xml version="1.0" encoding="utf-8"?>
<styleSheet xmlns="http://schemas.openxmlformats.org/spreadsheetml/2006/main">
  <numFmts count="2">
    <numFmt numFmtId="164" formatCode="0.###############;-0.###############;0"/>
    <numFmt numFmtId="165" formatCode="#,##0"/>
  </numFmts>
  <fonts count="4">
    <font>
      <sz val="11"/>
      <color theme="1"/>
      <name val="Calibri"/>
      <family val="2"/>
      <scheme val="minor"/>
    </font>
    <font>
      <sz val="10"/>
      <color theme="1"/>
      <name val="Arial"/>
      <family val="2"/>
    </font>
    <font>
      <b/>
      <sz val="10"/>
      <color rgb="FFFFFFFF"/>
      <name val="Arial"/>
      <family val="2"/>
    </font>
    <font>
      <b/>
      <sz val="10"/>
      <color rgb="FF173B70"/>
      <name val="Arial"/>
      <family val="2"/>
    </font>
  </fonts>
  <fills count="5">
    <fill>
      <patternFill patternType="none"/>
    </fill>
    <fill>
      <patternFill patternType="gray125"/>
    </fill>
    <fill>
      <patternFill patternType="solid">
        <fgColor rgb="FF173B70"/>
        <bgColor indexed="64"/>
      </patternFill>
    </fill>
    <fill>
      <patternFill patternType="solid">
        <fgColor rgb="FFDBE5F1"/>
        <bgColor indexed="64"/>
      </patternFill>
    </fill>
    <fill>
      <patternFill patternType="solid">
        <fgColor rgb="FFFFF1B8"/>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xf>
    <xf numFmtId="164" fontId="1" fillId="0" borderId="0" xfId="0" applyNumberFormat="1" applyFont="1" applyAlignment="1">
      <alignment vertical="top"/>
    </xf>
    <xf numFmtId="0" fontId="2" fillId="2" borderId="0" xfId="0" applyFont="1" applyFill="1" applyAlignment="1">
      <alignment vertical="top" wrapText="1"/>
    </xf>
    <xf numFmtId="0" fontId="3" fillId="3" borderId="0" xfId="0" applyFont="1" applyFill="1" applyAlignment="1">
      <alignment vertical="top"/>
    </xf>
    <xf numFmtId="165" fontId="1" fillId="0" borderId="0" xfId="0" applyNumberFormat="1" applyFont="1" applyAlignment="1">
      <alignment vertical="top"/>
    </xf>
    <xf numFmtId="0" fontId="1" fillId="0" borderId="0" xfId="0" applyFont="1" applyAlignment="1">
      <alignment vertical="top" wrapText="1"/>
    </xf>
    <xf numFmtId="165" fontId="0" fillId="4" borderId="0" xfId="0" applyNumberFormat="1" applyFill="1"/>
  </cellXfs>
  <cellStyles count="1">
    <cellStyle name="Normal" xfId="0" builtinId="0"/>
  </cellStyles>
  <dxfs count="1">
    <dxf>
      <font>
        <color rgb="FF8B1010"/>
      </font>
      <fill>
        <patternFill>
          <bgColor rgb="FFFFD3D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73B70"/>
  </sheetPr>
  <dimension ref="A1:M41"/>
  <sheetViews>
    <sheetView showGridLines="0" tabSelected="1"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2" width="10.7109375" customWidth="1"/>
    <col min="3" max="3" width="38.7109375" customWidth="1"/>
    <col min="4" max="4" width="18.7109375" style="1" customWidth="1"/>
    <col min="5" max="6" width="22.7109375" style="2" customWidth="1"/>
    <col min="7" max="8" width="18.7109375" style="1" customWidth="1"/>
    <col min="9" max="9" width="100.7109375" customWidth="1"/>
    <col min="10" max="10" width="26.7109375" customWidth="1"/>
    <col min="11" max="12" width="18.7109375" style="1" customWidth="1"/>
    <col min="13" max="13" width="38.7109375" customWidth="1"/>
  </cols>
  <sheetData>
    <row r="1" spans="1:13" ht="44" customHeight="1">
      <c r="A1" s="3" t="s">
        <v>0</v>
      </c>
      <c r="B1" s="3" t="s">
        <v>1</v>
      </c>
      <c r="C1" s="3" t="s">
        <v>2</v>
      </c>
      <c r="D1" s="3" t="s">
        <v>3</v>
      </c>
      <c r="E1" s="3" t="s">
        <v>4</v>
      </c>
      <c r="F1" s="3" t="s">
        <v>5</v>
      </c>
      <c r="G1" s="3" t="s">
        <v>6</v>
      </c>
      <c r="H1" s="3" t="s">
        <v>7</v>
      </c>
      <c r="I1" s="3" t="s">
        <v>8</v>
      </c>
      <c r="J1" s="3" t="s">
        <v>9</v>
      </c>
      <c r="K1" s="3" t="s">
        <v>10</v>
      </c>
      <c r="L1" s="3" t="s">
        <v>11</v>
      </c>
      <c r="M1" s="3" t="s">
        <v>12</v>
      </c>
    </row>
    <row r="2" spans="1:13" s="4" customFormat="1" ht="24" customHeight="1">
      <c r="C2" s="4" t="s">
        <v>91</v>
      </c>
      <c r="E2" s="2">
        <f>IF(COUNT('Turns'!E17,'Turns'!E29,'Turns'!E41)=3,SUM('Turns'!E17,'Turns'!E29,'Turns'!E41),"Unknown")</f>
        <v>0.0010603835</v>
      </c>
      <c r="F2" s="2">
        <f>IF(COUNT('Turns'!F17,'Turns'!F29,'Turns'!F41)=3,SUM('Turns'!F17,'Turns'!F29,'Turns'!F41),"Unknown")</f>
        <v>0.00121</v>
      </c>
      <c r="G2" s="5">
        <f>IF(ISNUMBER(E2),ROUND(E2*'Reference data'!$B$2,0),"Unknown")</f>
        <v>106.0</v>
      </c>
      <c r="H2" s="5">
        <f>IF(ISNUMBER(F2),ROUND(F2*'Reference data'!$B$2,0),"Unknown")</f>
        <v>121.0</v>
      </c>
    </row>
    <row r="3" spans="1:13" s="4" customFormat="1" ht="24" customHeight="1">
      <c r="B3" s="4">
        <v>1</v>
      </c>
      <c r="C3" s="4" t="s">
        <v>92</v>
      </c>
      <c r="E3" s="2">
        <f>IF(COUNT('Turns'!E17,'Turns'!E29,'Turns'!E41)=3,SUM('Turns'!E17,'Turns'!E29,'Turns'!E41),"Unknown")</f>
        <v>0.0010603835</v>
      </c>
      <c r="F3" s="2">
        <f>IF(COUNT('Turns'!F17,'Turns'!F29,'Turns'!F41)=3,SUM('Turns'!F17,'Turns'!F29,'Turns'!F41),"Unknown")</f>
        <v>0.00121</v>
      </c>
      <c r="G3" s="5">
        <f>IF(ISNUMBER(E3),ROUND(E3*'Reference data'!$B$2,0),"Unknown")</f>
        <v>106.0</v>
      </c>
      <c r="H3" s="5">
        <f>IF(ISNUMBER(F3),ROUND(F3*'Reference data'!$B$2,0),"Unknown")</f>
        <v>121.0</v>
      </c>
    </row>
    <row r="4" spans="1:13" s="4" customFormat="1" ht="24" customHeight="1">
      <c r="A4" s="4" t="s">
        <v>93</v>
      </c>
      <c r="B4" s="4">
        <v>1</v>
      </c>
      <c r="C4" s="4" t="s">
        <v>94</v>
      </c>
      <c r="D4" s="4">
        <v>493</v>
      </c>
      <c r="J4" s="4" t="s">
        <v>95</v>
      </c>
      <c r="M4" s="4" t="s">
        <v>96</v>
      </c>
    </row>
    <row r="5" spans="1:13" ht="24" customHeight="1">
      <c r="A5" t="s">
        <v>93</v>
      </c>
      <c r="B5">
        <v>1</v>
      </c>
      <c r="C5" t="s">
        <v>97</v>
      </c>
      <c r="D5" s="5">
        <v>493</v>
      </c>
      <c r="E5" s="2">
        <f>IF(AND(ISNUMBER(F5),ISNUMBER('Reference data'!$B$3)),F5*'Reference data'!$B$3,"Unknown")</f>
        <v>8.640811e-05</v>
      </c>
      <c r="F5" s="2">
        <f>IF(D5=0,0,IF(ISNUMBER('Reference data'!B17),D5*'Reference data'!B17/1000000,"Unknown"))</f>
        <v>9.86e-05</v>
      </c>
      <c r="G5" s="5">
        <f>IF(ISNUMBER(E5),ROUND(E5*'Reference data'!$B$2,0),"Unknown")</f>
        <v>9.0</v>
      </c>
      <c r="H5" s="5">
        <f>IF(ISNUMBER(F5),ROUND(F5*'Reference data'!$B$2,0),"Unknown")</f>
        <v>10.0</v>
      </c>
    </row>
    <row r="6" spans="1:13" ht="24" customHeight="1">
      <c r="A6" t="s">
        <v>93</v>
      </c>
      <c r="B6">
        <v>1</v>
      </c>
      <c r="C6" t="s">
        <v>98</v>
      </c>
    </row>
    <row r="7" spans="1:13" ht="216" customHeight="1">
      <c r="A7" t="s">
        <v>93</v>
      </c>
      <c r="B7">
        <v>1</v>
      </c>
      <c r="C7" t="s">
        <v>99</v>
      </c>
      <c r="I7" s="6" t="s">
        <v>100</v>
      </c>
    </row>
    <row r="8" spans="1:13" ht="73" customHeight="1">
      <c r="A8" t="s">
        <v>93</v>
      </c>
      <c r="B8">
        <v>1</v>
      </c>
      <c r="C8" t="s">
        <v>101</v>
      </c>
      <c r="I8" s="6" t="s">
        <v>102</v>
      </c>
    </row>
    <row r="9" spans="1:13" ht="24" customHeight="1">
      <c r="A9" t="s">
        <v>93</v>
      </c>
      <c r="B9">
        <v>1</v>
      </c>
      <c r="C9" t="s">
        <v>103</v>
      </c>
    </row>
    <row r="10" spans="1:13" ht="24" customHeight="1">
      <c r="A10" t="s">
        <v>93</v>
      </c>
      <c r="B10">
        <v>1</v>
      </c>
      <c r="C10" t="s">
        <v>104</v>
      </c>
    </row>
    <row r="11" spans="1:13" s="4" customFormat="1" ht="24" customHeight="1">
      <c r="A11" s="4" t="s">
        <v>93</v>
      </c>
      <c r="B11" s="4">
        <v>1</v>
      </c>
      <c r="C11" s="4" t="s">
        <v>105</v>
      </c>
      <c r="D11" s="4">
        <v>177</v>
      </c>
    </row>
    <row r="12" spans="1:13" ht="24" customHeight="1">
      <c r="A12" t="s">
        <v>93</v>
      </c>
      <c r="B12">
        <v>1</v>
      </c>
      <c r="C12" t="s">
        <v>106</v>
      </c>
      <c r="D12" s="5">
        <v>61</v>
      </c>
      <c r="E12" s="2">
        <f>IF(AND(ISNUMBER(F12),ISNUMBER('Reference data'!$B$3)),F12*'Reference data'!$B$3,"Unknown")</f>
        <v>6.414882e-05</v>
      </c>
      <c r="F12" s="2">
        <f>IF(D12=0,0,IF(ISNUMBER('Reference data'!F17),D12*'Reference data'!F17/1000000,"Unknown"))</f>
        <v>7.32e-05</v>
      </c>
      <c r="G12" s="5">
        <f>IF(ISNUMBER(E12),ROUND(E12*'Reference data'!$B$2,0),"Unknown")</f>
        <v>6.0</v>
      </c>
      <c r="H12" s="5">
        <f>IF(ISNUMBER(F12),ROUND(F12*'Reference data'!$B$2,0),"Unknown")</f>
        <v>7.0</v>
      </c>
    </row>
    <row r="13" spans="1:13" ht="24" customHeight="1">
      <c r="A13" t="s">
        <v>93</v>
      </c>
      <c r="B13">
        <v>1</v>
      </c>
      <c r="C13" t="s">
        <v>107</v>
      </c>
      <c r="D13" s="5">
        <v>116</v>
      </c>
      <c r="E13" s="2">
        <f>IF(AND(ISNUMBER(F13),ISNUMBER('Reference data'!$B$3)),F13*'Reference data'!$B$3,"Unknown")</f>
        <v>0.00012198792</v>
      </c>
      <c r="F13" s="2">
        <f>IF(D13=0,0,IF(ISNUMBER('Reference data'!E17),D13*'Reference data'!E17/1000000,"Unknown"))</f>
        <v>0.0001392</v>
      </c>
      <c r="G13" s="5">
        <f>IF(ISNUMBER(E13),ROUND(E13*'Reference data'!$B$2,0),"Unknown")</f>
        <v>12.0</v>
      </c>
      <c r="H13" s="5">
        <f>IF(ISNUMBER(F13),ROUND(F13*'Reference data'!$B$2,0),"Unknown")</f>
        <v>14.0</v>
      </c>
    </row>
    <row r="14" spans="1:13" ht="409" customHeight="1">
      <c r="A14" t="s">
        <v>93</v>
      </c>
      <c r="B14">
        <v>1</v>
      </c>
      <c r="C14" t="s">
        <v>108</v>
      </c>
      <c r="I14" s="6" t="s">
        <v>109</v>
      </c>
    </row>
    <row r="15" spans="1:13" ht="24" customHeight="1">
      <c r="A15" t="s">
        <v>93</v>
      </c>
      <c r="B15">
        <v>1</v>
      </c>
      <c r="C15" t="s">
        <v>103</v>
      </c>
    </row>
    <row r="16" spans="1:13" ht="24" customHeight="1">
      <c r="A16" t="s">
        <v>93</v>
      </c>
      <c r="B16">
        <v>1</v>
      </c>
      <c r="C16" t="s">
        <v>104</v>
      </c>
    </row>
    <row r="17" spans="1:13" s="4" customFormat="1" ht="24" customHeight="1">
      <c r="A17" s="4" t="s">
        <v>93</v>
      </c>
      <c r="B17" s="4">
        <v>1</v>
      </c>
      <c r="C17" s="4" t="s">
        <v>110</v>
      </c>
      <c r="E17" s="2">
        <f>IF(COUNT('Turns'!E5,'Turns'!E12,'Turns'!E13)=3,SUM('Turns'!E5,'Turns'!E12,'Turns'!E13),"Unknown")</f>
        <v>0.00027254485</v>
      </c>
      <c r="F17" s="2">
        <f>IF(COUNT('Turns'!F5,'Turns'!F12,'Turns'!F13)=3,SUM('Turns'!F5,'Turns'!F12,'Turns'!F13),"Unknown")</f>
        <v>0.000311</v>
      </c>
      <c r="G17" s="5">
        <f>IF(ISNUMBER(E17),ROUND(E17*'Reference data'!$B$2,0),"Unknown")</f>
        <v>27.0</v>
      </c>
      <c r="H17" s="5">
        <f>IF(ISNUMBER(F17),ROUND(F17*'Reference data'!$B$2,0),"Unknown")</f>
        <v>31.0</v>
      </c>
      <c r="K17" s="4" t="s">
        <v>111</v>
      </c>
    </row>
    <row r="18" spans="1:13" s="4" customFormat="1" ht="24" customHeight="1">
      <c r="A18" s="4" t="s">
        <v>112</v>
      </c>
      <c r="B18" s="4">
        <v>1</v>
      </c>
      <c r="C18" s="4" t="s">
        <v>94</v>
      </c>
      <c r="D18" s="4">
        <v>605</v>
      </c>
      <c r="J18" s="4" t="s">
        <v>95</v>
      </c>
      <c r="M18" s="4" t="s">
        <v>113</v>
      </c>
    </row>
    <row r="19" spans="1:13" ht="24" customHeight="1">
      <c r="A19" t="s">
        <v>112</v>
      </c>
      <c r="B19">
        <v>1</v>
      </c>
      <c r="C19" t="s">
        <v>114</v>
      </c>
      <c r="D19" s="5">
        <v>0</v>
      </c>
      <c r="E19" s="2">
        <f>IF(AND(ISNUMBER(F19),ISNUMBER('Reference data'!$B$3)),F19*'Reference data'!$B$3,"Unknown")</f>
        <v>0.0</v>
      </c>
      <c r="F19" s="2">
        <f>IF(D19=0,0,IF(ISNUMBER('Reference data'!C17),D19*'Reference data'!C17/1000000,"Unknown"))</f>
        <v>0.0</v>
      </c>
      <c r="G19" s="5">
        <f>IF(ISNUMBER(E19),ROUND(E19*'Reference data'!$B$2,0),"Unknown")</f>
        <v>0.0</v>
      </c>
      <c r="H19" s="5">
        <f>IF(ISNUMBER(F19),ROUND(F19*'Reference data'!$B$2,0),"Unknown")</f>
        <v>0.0</v>
      </c>
    </row>
    <row r="20" spans="1:13" ht="24" customHeight="1">
      <c r="A20" t="s">
        <v>112</v>
      </c>
      <c r="B20">
        <v>1</v>
      </c>
      <c r="C20" t="s">
        <v>97</v>
      </c>
      <c r="D20" s="5">
        <v>605</v>
      </c>
      <c r="E20" s="2">
        <f>IF(AND(ISNUMBER(F20),ISNUMBER('Reference data'!$B$3)),F20*'Reference data'!$B$3,"Unknown")</f>
        <v>0.00010603835</v>
      </c>
      <c r="F20" s="2">
        <f>IF(D20=0,0,IF(ISNUMBER('Reference data'!B17),D20*'Reference data'!B17/1000000,"Unknown"))</f>
        <v>0.000121</v>
      </c>
      <c r="G20" s="5">
        <f>IF(ISNUMBER(E20),ROUND(E20*'Reference data'!$B$2,0),"Unknown")</f>
        <v>11.0</v>
      </c>
      <c r="H20" s="5">
        <f>IF(ISNUMBER(F20),ROUND(F20*'Reference data'!$B$2,0),"Unknown")</f>
        <v>12.0</v>
      </c>
    </row>
    <row r="21" spans="1:13" ht="24" customHeight="1">
      <c r="A21" t="s">
        <v>112</v>
      </c>
      <c r="B21">
        <v>1</v>
      </c>
      <c r="C21" t="s">
        <v>103</v>
      </c>
    </row>
    <row r="22" spans="1:13" ht="24" customHeight="1">
      <c r="A22" t="s">
        <v>112</v>
      </c>
      <c r="B22">
        <v>1</v>
      </c>
      <c r="C22" t="s">
        <v>104</v>
      </c>
    </row>
    <row r="23" spans="1:13" s="4" customFormat="1" ht="24" customHeight="1">
      <c r="A23" s="4" t="s">
        <v>112</v>
      </c>
      <c r="B23" s="4">
        <v>1</v>
      </c>
      <c r="C23" s="4" t="s">
        <v>105</v>
      </c>
      <c r="D23" s="4">
        <v>311</v>
      </c>
    </row>
    <row r="24" spans="1:13" ht="24" customHeight="1">
      <c r="A24" t="s">
        <v>112</v>
      </c>
      <c r="B24">
        <v>1</v>
      </c>
      <c r="C24" t="s">
        <v>106</v>
      </c>
      <c r="D24" s="5">
        <v>181</v>
      </c>
      <c r="E24" s="2">
        <f>IF(AND(ISNUMBER(F24),ISNUMBER('Reference data'!$B$3)),F24*'Reference data'!$B$3,"Unknown")</f>
        <v>0.00019034322</v>
      </c>
      <c r="F24" s="2">
        <f>IF(D24=0,0,IF(ISNUMBER('Reference data'!F17),D24*'Reference data'!F17/1000000,"Unknown"))</f>
        <v>0.0002172</v>
      </c>
      <c r="G24" s="5">
        <f>IF(ISNUMBER(E24),ROUND(E24*'Reference data'!$B$2,0),"Unknown")</f>
        <v>19.0</v>
      </c>
      <c r="H24" s="5">
        <f>IF(ISNUMBER(F24),ROUND(F24*'Reference data'!$B$2,0),"Unknown")</f>
        <v>22.0</v>
      </c>
    </row>
    <row r="25" spans="1:13" ht="24" customHeight="1">
      <c r="A25" t="s">
        <v>112</v>
      </c>
      <c r="B25">
        <v>1</v>
      </c>
      <c r="C25" t="s">
        <v>107</v>
      </c>
      <c r="D25" s="5">
        <v>130</v>
      </c>
      <c r="E25" s="2">
        <f>IF(AND(ISNUMBER(F25),ISNUMBER('Reference data'!$B$3)),F25*'Reference data'!$B$3,"Unknown")</f>
        <v>0.0001367106</v>
      </c>
      <c r="F25" s="2">
        <f>IF(D25=0,0,IF(ISNUMBER('Reference data'!E17),D25*'Reference data'!E17/1000000,"Unknown"))</f>
        <v>0.000156</v>
      </c>
      <c r="G25" s="5">
        <f>IF(ISNUMBER(E25),ROUND(E25*'Reference data'!$B$2,0),"Unknown")</f>
        <v>14.0</v>
      </c>
      <c r="H25" s="5">
        <f>IF(ISNUMBER(F25),ROUND(F25*'Reference data'!$B$2,0),"Unknown")</f>
        <v>16.0</v>
      </c>
    </row>
    <row r="26" spans="1:13" ht="409" customHeight="1">
      <c r="A26" t="s">
        <v>112</v>
      </c>
      <c r="B26">
        <v>1</v>
      </c>
      <c r="C26" t="s">
        <v>108</v>
      </c>
      <c r="I26" s="6" t="s">
        <v>115</v>
      </c>
    </row>
    <row r="27" spans="1:13" ht="24" customHeight="1">
      <c r="A27" t="s">
        <v>112</v>
      </c>
      <c r="B27">
        <v>1</v>
      </c>
      <c r="C27" t="s">
        <v>103</v>
      </c>
    </row>
    <row r="28" spans="1:13" ht="24" customHeight="1">
      <c r="A28" t="s">
        <v>112</v>
      </c>
      <c r="B28">
        <v>1</v>
      </c>
      <c r="C28" t="s">
        <v>104</v>
      </c>
    </row>
    <row r="29" spans="1:13" s="4" customFormat="1" ht="24" customHeight="1">
      <c r="A29" s="4" t="s">
        <v>112</v>
      </c>
      <c r="B29" s="4">
        <v>1</v>
      </c>
      <c r="C29" s="4" t="s">
        <v>110</v>
      </c>
      <c r="E29" s="2">
        <f>IF(COUNT('Turns'!E19,'Turns'!E20,'Turns'!E24,'Turns'!E25)=4,SUM('Turns'!E19,'Turns'!E20,'Turns'!E24,'Turns'!E25),"Unknown")</f>
        <v>0.00043309217</v>
      </c>
      <c r="F29" s="2">
        <f>IF(COUNT('Turns'!F19,'Turns'!F20,'Turns'!F24,'Turns'!F25)=4,SUM('Turns'!F19,'Turns'!F20,'Turns'!F24,'Turns'!F25),"Unknown")</f>
        <v>0.0004942</v>
      </c>
      <c r="G29" s="5">
        <f>IF(ISNUMBER(E29),ROUND(E29*'Reference data'!$B$2,0),"Unknown")</f>
        <v>43.0</v>
      </c>
      <c r="H29" s="5">
        <f>IF(ISNUMBER(F29),ROUND(F29*'Reference data'!$B$2,0),"Unknown")</f>
        <v>49.0</v>
      </c>
      <c r="K29" s="4" t="s">
        <v>111</v>
      </c>
    </row>
    <row r="30" spans="1:13" s="4" customFormat="1" ht="24" customHeight="1">
      <c r="A30" s="4" t="s">
        <v>116</v>
      </c>
      <c r="B30" s="4">
        <v>1</v>
      </c>
      <c r="C30" s="4" t="s">
        <v>94</v>
      </c>
      <c r="D30" s="4">
        <v>662</v>
      </c>
      <c r="J30" s="4" t="s">
        <v>95</v>
      </c>
      <c r="M30" s="4" t="s">
        <v>117</v>
      </c>
    </row>
    <row r="31" spans="1:13" ht="24" customHeight="1">
      <c r="A31" t="s">
        <v>116</v>
      </c>
      <c r="B31">
        <v>1</v>
      </c>
      <c r="C31" t="s">
        <v>114</v>
      </c>
      <c r="D31" s="5">
        <v>0</v>
      </c>
      <c r="E31" s="2">
        <f>IF(AND(ISNUMBER(F31),ISNUMBER('Reference data'!$B$3)),F31*'Reference data'!$B$3,"Unknown")</f>
        <v>0.0</v>
      </c>
      <c r="F31" s="2">
        <f>IF(D31=0,0,IF(ISNUMBER('Reference data'!C17),D31*'Reference data'!C17/1000000,"Unknown"))</f>
        <v>0.0</v>
      </c>
      <c r="G31" s="5">
        <f>IF(ISNUMBER(E31),ROUND(E31*'Reference data'!$B$2,0),"Unknown")</f>
        <v>0.0</v>
      </c>
      <c r="H31" s="5">
        <f>IF(ISNUMBER(F31),ROUND(F31*'Reference data'!$B$2,0),"Unknown")</f>
        <v>0.0</v>
      </c>
    </row>
    <row r="32" spans="1:13" ht="24" customHeight="1">
      <c r="A32" t="s">
        <v>116</v>
      </c>
      <c r="B32">
        <v>1</v>
      </c>
      <c r="C32" t="s">
        <v>97</v>
      </c>
      <c r="D32" s="5">
        <v>662</v>
      </c>
      <c r="E32" s="2">
        <f>IF(AND(ISNUMBER(F32),ISNUMBER('Reference data'!$B$3)),F32*'Reference data'!$B$3,"Unknown")</f>
        <v>0.00011602874</v>
      </c>
      <c r="F32" s="2">
        <f>IF(D32=0,0,IF(ISNUMBER('Reference data'!B17),D32*'Reference data'!B17/1000000,"Unknown"))</f>
        <v>0.0001324</v>
      </c>
      <c r="G32" s="5">
        <f>IF(ISNUMBER(E32),ROUND(E32*'Reference data'!$B$2,0),"Unknown")</f>
        <v>12.0</v>
      </c>
      <c r="H32" s="5">
        <f>IF(ISNUMBER(F32),ROUND(F32*'Reference data'!$B$2,0),"Unknown")</f>
        <v>13.0</v>
      </c>
    </row>
    <row r="33" spans="1:11" ht="24" customHeight="1">
      <c r="A33" t="s">
        <v>116</v>
      </c>
      <c r="B33">
        <v>1</v>
      </c>
      <c r="C33" t="s">
        <v>103</v>
      </c>
    </row>
    <row r="34" spans="1:11" ht="24" customHeight="1">
      <c r="A34" t="s">
        <v>116</v>
      </c>
      <c r="B34">
        <v>1</v>
      </c>
      <c r="C34" t="s">
        <v>104</v>
      </c>
    </row>
    <row r="35" spans="1:11" s="4" customFormat="1" ht="24" customHeight="1">
      <c r="A35" s="4" t="s">
        <v>116</v>
      </c>
      <c r="B35" s="4">
        <v>1</v>
      </c>
      <c r="C35" s="4" t="s">
        <v>105</v>
      </c>
      <c r="D35" s="4">
        <v>227</v>
      </c>
    </row>
    <row r="36" spans="1:11" ht="24" customHeight="1">
      <c r="A36" t="s">
        <v>116</v>
      </c>
      <c r="B36">
        <v>1</v>
      </c>
      <c r="C36" t="s">
        <v>106</v>
      </c>
      <c r="D36" s="5">
        <v>100</v>
      </c>
      <c r="E36" s="2">
        <f>IF(AND(ISNUMBER(F36),ISNUMBER('Reference data'!$B$3)),F36*'Reference data'!$B$3,"Unknown")</f>
        <v>0.000105162</v>
      </c>
      <c r="F36" s="2">
        <f>IF(D36=0,0,IF(ISNUMBER('Reference data'!F17),D36*'Reference data'!F17/1000000,"Unknown"))</f>
        <v>0.00012</v>
      </c>
      <c r="G36" s="5">
        <f>IF(ISNUMBER(E36),ROUND(E36*'Reference data'!$B$2,0),"Unknown")</f>
        <v>11.0</v>
      </c>
      <c r="H36" s="5">
        <f>IF(ISNUMBER(F36),ROUND(F36*'Reference data'!$B$2,0),"Unknown")</f>
        <v>12.0</v>
      </c>
    </row>
    <row r="37" spans="1:11" ht="24" customHeight="1">
      <c r="A37" t="s">
        <v>116</v>
      </c>
      <c r="B37">
        <v>1</v>
      </c>
      <c r="C37" t="s">
        <v>107</v>
      </c>
      <c r="D37" s="5">
        <v>127</v>
      </c>
      <c r="E37" s="2">
        <f>IF(AND(ISNUMBER(F37),ISNUMBER('Reference data'!$B$3)),F37*'Reference data'!$B$3,"Unknown")</f>
        <v>0.00013355574</v>
      </c>
      <c r="F37" s="2">
        <f>IF(D37=0,0,IF(ISNUMBER('Reference data'!E17),D37*'Reference data'!E17/1000000,"Unknown"))</f>
        <v>0.0001524</v>
      </c>
      <c r="G37" s="5">
        <f>IF(ISNUMBER(E37),ROUND(E37*'Reference data'!$B$2,0),"Unknown")</f>
        <v>13.0</v>
      </c>
      <c r="H37" s="5">
        <f>IF(ISNUMBER(F37),ROUND(F37*'Reference data'!$B$2,0),"Unknown")</f>
        <v>15.0</v>
      </c>
    </row>
    <row r="38" spans="1:11" ht="409" customHeight="1">
      <c r="A38" t="s">
        <v>116</v>
      </c>
      <c r="B38">
        <v>1</v>
      </c>
      <c r="C38" t="s">
        <v>108</v>
      </c>
      <c r="I38" s="6" t="s">
        <v>118</v>
      </c>
    </row>
    <row r="39" spans="1:11" ht="24" customHeight="1">
      <c r="A39" t="s">
        <v>116</v>
      </c>
      <c r="B39">
        <v>1</v>
      </c>
      <c r="C39" t="s">
        <v>103</v>
      </c>
    </row>
    <row r="40" spans="1:11" ht="24" customHeight="1">
      <c r="A40" t="s">
        <v>116</v>
      </c>
      <c r="B40">
        <v>1</v>
      </c>
      <c r="C40" t="s">
        <v>104</v>
      </c>
    </row>
    <row r="41" spans="1:11" s="4" customFormat="1" ht="24" customHeight="1">
      <c r="A41" s="4" t="s">
        <v>116</v>
      </c>
      <c r="B41" s="4">
        <v>1</v>
      </c>
      <c r="C41" s="4" t="s">
        <v>110</v>
      </c>
      <c r="E41" s="2">
        <f>IF(COUNT('Turns'!E31,'Turns'!E32,'Turns'!E36,'Turns'!E37)=4,SUM('Turns'!E31,'Turns'!E32,'Turns'!E36,'Turns'!E37),"Unknown")</f>
        <v>0.00035474648</v>
      </c>
      <c r="F41" s="2">
        <f>IF(COUNT('Turns'!F31,'Turns'!F32,'Turns'!F36,'Turns'!F37)=4,SUM('Turns'!F31,'Turns'!F32,'Turns'!F36,'Turns'!F37),"Unknown")</f>
        <v>0.0004048</v>
      </c>
      <c r="G41" s="5">
        <f>IF(ISNUMBER(E41),ROUND(E41*'Reference data'!$B$2,0),"Unknown")</f>
        <v>35.0</v>
      </c>
      <c r="H41" s="5">
        <f>IF(ISNUMBER(F41),ROUND(F41*'Reference data'!$B$2,0),"Unknown")</f>
        <v>40.0</v>
      </c>
      <c r="K41" s="4" t="s">
        <v>111</v>
      </c>
    </row>
  </sheetData>
  <conditionalFormatting sqref="A2:AE41">
    <cfRule type="expression" dxfId="0" priority="1">
      <formula>$K2="error"</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73B70"/>
  </sheetPr>
  <dimension ref="A1:AE33"/>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48.7109375" customWidth="1"/>
    <col min="2" max="6" width="18.7109375" style="1" customWidth="1"/>
    <col min="7" max="7" width="62.7109375" customWidth="1"/>
    <col min="8" max="9" width="38.7109375" customWidth="1"/>
    <col min="10" max="31" width="18.7109375" style="1" customWidth="1"/>
  </cols>
  <sheetData>
    <row r="1" spans="1:31" ht="44" customHeight="1">
      <c r="A1" s="3" t="s">
        <v>13</v>
      </c>
      <c r="B1" s="3" t="s">
        <v>14</v>
      </c>
      <c r="C1" s="3" t="s">
        <v>15</v>
      </c>
      <c r="D1" s="3" t="s">
        <v>9</v>
      </c>
      <c r="E1" s="3" t="s">
        <v>10</v>
      </c>
      <c r="F1" s="3" t="s">
        <v>16</v>
      </c>
      <c r="G1" s="3" t="s">
        <v>17</v>
      </c>
      <c r="H1" s="3" t="s">
        <v>12</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3" t="s">
        <v>34</v>
      </c>
      <c r="Z1" s="3" t="s">
        <v>35</v>
      </c>
      <c r="AA1" s="3" t="s">
        <v>6</v>
      </c>
      <c r="AB1" s="3" t="s">
        <v>7</v>
      </c>
      <c r="AC1" s="3" t="s">
        <v>0</v>
      </c>
      <c r="AD1" s="3" t="s">
        <v>36</v>
      </c>
      <c r="AE1" s="3" t="s">
        <v>37</v>
      </c>
    </row>
    <row r="2" spans="1:31" ht="54" customHeight="1">
      <c r="A2" s="6" t="s">
        <v>119</v>
      </c>
      <c r="B2" s="1">
        <v>0</v>
      </c>
      <c r="C2" s="1" t="s">
        <v>120</v>
      </c>
      <c r="D2" s="1" t="s">
        <v>47</v>
      </c>
      <c r="E2" s="1" t="s">
        <v>111</v>
      </c>
      <c r="G2" s="6" t="s">
        <v>121</v>
      </c>
      <c r="H2" t="s">
        <v>49</v>
      </c>
      <c r="J2" s="2">
        <f>IF(COUNT('Turns'!D5)=1,SUM('Turns'!D5),"Unknown")</f>
        <v>493.0</v>
      </c>
      <c r="K2" s="2">
        <f>IF(COUNT('Turns'!E5)=1,SUM('Turns'!E5),"Unknown")</f>
        <v>8.640811e-05</v>
      </c>
      <c r="L2" s="2">
        <f>IF(COUNT('Turns'!F5)=1,SUM('Turns'!F5),"Unknown")</f>
        <v>9.86e-05</v>
      </c>
      <c r="M2" s="2">
        <v>0</v>
      </c>
      <c r="N2" s="2">
        <v>0</v>
      </c>
      <c r="O2" s="2">
        <v>0</v>
      </c>
      <c r="P2" s="2">
        <v>0</v>
      </c>
      <c r="Q2" s="2">
        <v>0</v>
      </c>
      <c r="R2" s="2">
        <v>0</v>
      </c>
      <c r="S2" s="2">
        <f>IF(COUNT('Turns'!D13)=1,SUM('Turns'!D13),"Unknown")</f>
        <v>116.0</v>
      </c>
      <c r="T2" s="2">
        <f>IF(COUNT('Turns'!E13)=1,SUM('Turns'!E13),"Unknown")</f>
        <v>0.00012198792</v>
      </c>
      <c r="U2" s="2">
        <f>IF(COUNT('Turns'!F13)=1,SUM('Turns'!F13),"Unknown")</f>
        <v>0.0001392</v>
      </c>
      <c r="V2" s="2">
        <f>IF(COUNT('Turns'!D12)=1,SUM('Turns'!D12),"Unknown")</f>
        <v>61.0</v>
      </c>
      <c r="W2" s="2">
        <f>IF(COUNT('Turns'!E12)=1,SUM('Turns'!E12),"Unknown")</f>
        <v>6.414882e-05</v>
      </c>
      <c r="X2" s="2">
        <f>IF(COUNT('Turns'!F12)=1,SUM('Turns'!F12),"Unknown")</f>
        <v>7.32e-05</v>
      </c>
      <c r="Y2" s="2">
        <f>IF(COUNT('Turns'!E17)=1,SUM('Turns'!E17),"Unknown")</f>
        <v>0.00027254485</v>
      </c>
      <c r="Z2" s="2">
        <f>IF(COUNT('Turns'!F17)=1,SUM('Turns'!F17),"Unknown")</f>
        <v>0.000311</v>
      </c>
      <c r="AA2" s="5">
        <f>IF(ISNUMBER(Y2),ROUND(Y2*'Reference data'!$B$2,0),"Unknown")</f>
        <v>27.0</v>
      </c>
      <c r="AB2" s="5">
        <f>IF(ISNUMBER(Z2),ROUND(Z2*'Reference data'!$B$2,0),"Unknown")</f>
        <v>31.0</v>
      </c>
      <c r="AD2" s="1">
        <v>3847.202</v>
      </c>
      <c r="AE2" s="1" t="s">
        <v>122</v>
      </c>
    </row>
    <row r="3" spans="1:31" ht="54" customHeight="1">
      <c r="A3" s="6" t="s">
        <v>123</v>
      </c>
      <c r="B3" s="1">
        <v>1</v>
      </c>
      <c r="C3" s="1" t="s">
        <v>120</v>
      </c>
      <c r="D3" s="1" t="s">
        <v>47</v>
      </c>
      <c r="E3" s="1" t="s">
        <v>111</v>
      </c>
      <c r="G3" s="6" t="s">
        <v>124</v>
      </c>
      <c r="H3" t="s">
        <v>125</v>
      </c>
      <c r="I3" t="s">
        <v>49</v>
      </c>
      <c r="AD3" s="1">
        <v>0.405</v>
      </c>
      <c r="AE3" s="1" t="s">
        <v>126</v>
      </c>
    </row>
    <row r="4" spans="1:31" ht="54" customHeight="1">
      <c r="A4" s="6" t="s">
        <v>127</v>
      </c>
      <c r="B4" s="1">
        <v>1</v>
      </c>
      <c r="C4" s="1" t="s">
        <v>120</v>
      </c>
      <c r="D4" s="1" t="s">
        <v>47</v>
      </c>
      <c r="E4" s="1" t="s">
        <v>111</v>
      </c>
      <c r="G4" s="6" t="s">
        <v>128</v>
      </c>
      <c r="H4" t="s">
        <v>129</v>
      </c>
      <c r="I4" t="s">
        <v>49</v>
      </c>
      <c r="J4" s="2">
        <f>IF(COUNT('Turns'!D5)=1,SUM('Turns'!D5),"Unknown")</f>
        <v>493.0</v>
      </c>
      <c r="K4" s="2">
        <f>IF(COUNT('Turns'!E5)=1,SUM('Turns'!E5),"Unknown")</f>
        <v>8.640811e-05</v>
      </c>
      <c r="L4" s="2">
        <f>IF(COUNT('Turns'!F5)=1,SUM('Turns'!F5),"Unknown")</f>
        <v>9.86e-05</v>
      </c>
      <c r="M4" s="2">
        <v>0</v>
      </c>
      <c r="N4" s="2">
        <v>0</v>
      </c>
      <c r="O4" s="2">
        <v>0</v>
      </c>
      <c r="P4" s="2">
        <v>0</v>
      </c>
      <c r="Q4" s="2">
        <v>0</v>
      </c>
      <c r="R4" s="2">
        <v>0</v>
      </c>
      <c r="S4" s="2">
        <f>IF(COUNT('Turns'!D13)=1,SUM('Turns'!D13),"Unknown")</f>
        <v>116.0</v>
      </c>
      <c r="T4" s="2">
        <f>IF(COUNT('Turns'!E13)=1,SUM('Turns'!E13),"Unknown")</f>
        <v>0.00012198792</v>
      </c>
      <c r="U4" s="2">
        <f>IF(COUNT('Turns'!F13)=1,SUM('Turns'!F13),"Unknown")</f>
        <v>0.0001392</v>
      </c>
      <c r="V4" s="2">
        <f>IF(COUNT('Turns'!D12)=1,SUM('Turns'!D12),"Unknown")</f>
        <v>61.0</v>
      </c>
      <c r="W4" s="2">
        <f>IF(COUNT('Turns'!E12)=1,SUM('Turns'!E12),"Unknown")</f>
        <v>6.414882e-05</v>
      </c>
      <c r="X4" s="2">
        <f>IF(COUNT('Turns'!F12)=1,SUM('Turns'!F12),"Unknown")</f>
        <v>7.32e-05</v>
      </c>
      <c r="Y4" s="2">
        <f>IF(COUNT('Turns'!E17)=1,SUM('Turns'!E17),"Unknown")</f>
        <v>0.00027254485</v>
      </c>
      <c r="Z4" s="2">
        <f>IF(COUNT('Turns'!F17)=1,SUM('Turns'!F17),"Unknown")</f>
        <v>0.000311</v>
      </c>
      <c r="AA4" s="5">
        <f>IF(ISNUMBER(Y4),ROUND(Y4*'Reference data'!$B$2,0),"Unknown")</f>
        <v>27.0</v>
      </c>
      <c r="AB4" s="5">
        <f>IF(ISNUMBER(Z4),ROUND(Z4*'Reference data'!$B$2,0),"Unknown")</f>
        <v>31.0</v>
      </c>
      <c r="AD4" s="1">
        <v>3843.273</v>
      </c>
      <c r="AE4" s="1" t="s">
        <v>122</v>
      </c>
    </row>
    <row r="5" spans="1:31" ht="54" customHeight="1">
      <c r="A5" s="6" t="s">
        <v>130</v>
      </c>
      <c r="B5" s="1">
        <v>2</v>
      </c>
      <c r="C5" s="1" t="s">
        <v>120</v>
      </c>
      <c r="D5" s="1" t="s">
        <v>47</v>
      </c>
      <c r="E5" s="1" t="s">
        <v>111</v>
      </c>
      <c r="G5" s="6" t="s">
        <v>131</v>
      </c>
      <c r="H5" t="s">
        <v>132</v>
      </c>
      <c r="I5" t="s">
        <v>129</v>
      </c>
      <c r="J5" s="2">
        <f>IF(COUNT('Turns'!D5)=1,SUM('Turns'!D5),"Unknown")</f>
        <v>493.0</v>
      </c>
      <c r="K5" s="2">
        <f>IF(COUNT('Turns'!E5)=1,SUM('Turns'!E5),"Unknown")</f>
        <v>8.640811e-05</v>
      </c>
      <c r="L5" s="2">
        <f>IF(COUNT('Turns'!F5)=1,SUM('Turns'!F5),"Unknown")</f>
        <v>9.86e-05</v>
      </c>
      <c r="M5" s="2">
        <v>0</v>
      </c>
      <c r="N5" s="2">
        <v>0</v>
      </c>
      <c r="O5" s="2">
        <v>0</v>
      </c>
      <c r="P5" s="2">
        <v>0</v>
      </c>
      <c r="Q5" s="2">
        <v>0</v>
      </c>
      <c r="R5" s="2">
        <v>0</v>
      </c>
      <c r="S5" s="2">
        <f>IF(COUNT('Turns'!D13)=1,SUM('Turns'!D13),"Unknown")</f>
        <v>116.0</v>
      </c>
      <c r="T5" s="2">
        <f>IF(COUNT('Turns'!E13)=1,SUM('Turns'!E13),"Unknown")</f>
        <v>0.00012198792</v>
      </c>
      <c r="U5" s="2">
        <f>IF(COUNT('Turns'!F13)=1,SUM('Turns'!F13),"Unknown")</f>
        <v>0.0001392</v>
      </c>
      <c r="V5" s="2">
        <f>IF(COUNT('Turns'!D12)=1,SUM('Turns'!D12),"Unknown")</f>
        <v>61.0</v>
      </c>
      <c r="W5" s="2">
        <f>IF(COUNT('Turns'!E12)=1,SUM('Turns'!E12),"Unknown")</f>
        <v>6.414882e-05</v>
      </c>
      <c r="X5" s="2">
        <f>IF(COUNT('Turns'!F12)=1,SUM('Turns'!F12),"Unknown")</f>
        <v>7.32e-05</v>
      </c>
      <c r="Y5" s="2">
        <f>IF(COUNT('Turns'!E17)=1,SUM('Turns'!E17),"Unknown")</f>
        <v>0.00027254485</v>
      </c>
      <c r="Z5" s="2">
        <f>IF(COUNT('Turns'!F17)=1,SUM('Turns'!F17),"Unknown")</f>
        <v>0.000311</v>
      </c>
      <c r="AA5" s="5">
        <f>IF(ISNUMBER(Y5),ROUND(Y5*'Reference data'!$B$2,0),"Unknown")</f>
        <v>27.0</v>
      </c>
      <c r="AB5" s="5">
        <f>IF(ISNUMBER(Z5),ROUND(Z5*'Reference data'!$B$2,0),"Unknown")</f>
        <v>31.0</v>
      </c>
      <c r="AD5" s="1">
        <v>3841.727</v>
      </c>
      <c r="AE5" s="1" t="s">
        <v>122</v>
      </c>
    </row>
    <row r="6" spans="1:31" ht="54" customHeight="1">
      <c r="A6" s="6" t="s">
        <v>133</v>
      </c>
      <c r="B6" s="1">
        <v>3</v>
      </c>
      <c r="C6" s="1" t="s">
        <v>120</v>
      </c>
      <c r="D6" s="1" t="s">
        <v>47</v>
      </c>
      <c r="E6" s="1" t="s">
        <v>111</v>
      </c>
      <c r="G6" s="6" t="s">
        <v>131</v>
      </c>
      <c r="H6" t="s">
        <v>134</v>
      </c>
      <c r="I6" t="s">
        <v>132</v>
      </c>
      <c r="J6" s="2">
        <f>IF(COUNT('Turns'!D5)=1,SUM('Turns'!D5),"Unknown")</f>
        <v>493.0</v>
      </c>
      <c r="K6" s="2">
        <f>IF(COUNT('Turns'!E5)=1,SUM('Turns'!E5),"Unknown")</f>
        <v>8.640811e-05</v>
      </c>
      <c r="L6" s="2">
        <f>IF(COUNT('Turns'!F5)=1,SUM('Turns'!F5),"Unknown")</f>
        <v>9.86e-05</v>
      </c>
      <c r="M6" s="2">
        <v>0</v>
      </c>
      <c r="N6" s="2">
        <v>0</v>
      </c>
      <c r="O6" s="2">
        <v>0</v>
      </c>
      <c r="P6" s="2">
        <v>0</v>
      </c>
      <c r="Q6" s="2">
        <v>0</v>
      </c>
      <c r="R6" s="2">
        <v>0</v>
      </c>
      <c r="S6" s="2">
        <f>IF(COUNT('Turns'!D13)=1,SUM('Turns'!D13),"Unknown")</f>
        <v>116.0</v>
      </c>
      <c r="T6" s="2">
        <f>IF(COUNT('Turns'!E13)=1,SUM('Turns'!E13),"Unknown")</f>
        <v>0.00012198792</v>
      </c>
      <c r="U6" s="2">
        <f>IF(COUNT('Turns'!F13)=1,SUM('Turns'!F13),"Unknown")</f>
        <v>0.0001392</v>
      </c>
      <c r="V6" s="2">
        <f>IF(COUNT('Turns'!D12)=1,SUM('Turns'!D12),"Unknown")</f>
        <v>61.0</v>
      </c>
      <c r="W6" s="2">
        <f>IF(COUNT('Turns'!E12)=1,SUM('Turns'!E12),"Unknown")</f>
        <v>6.414882e-05</v>
      </c>
      <c r="X6" s="2">
        <f>IF(COUNT('Turns'!F12)=1,SUM('Turns'!F12),"Unknown")</f>
        <v>7.32e-05</v>
      </c>
      <c r="Y6" s="2">
        <f>IF(COUNT('Turns'!E17)=1,SUM('Turns'!E17),"Unknown")</f>
        <v>0.00027254485</v>
      </c>
      <c r="Z6" s="2">
        <f>IF(COUNT('Turns'!F17)=1,SUM('Turns'!F17),"Unknown")</f>
        <v>0.000311</v>
      </c>
      <c r="AA6" s="5">
        <f>IF(ISNUMBER(Y6),ROUND(Y6*'Reference data'!$B$2,0),"Unknown")</f>
        <v>27.0</v>
      </c>
      <c r="AB6" s="5">
        <f>IF(ISNUMBER(Z6),ROUND(Z6*'Reference data'!$B$2,0),"Unknown")</f>
        <v>31.0</v>
      </c>
      <c r="AD6" s="1">
        <v>3840.677</v>
      </c>
      <c r="AE6" s="1" t="s">
        <v>122</v>
      </c>
    </row>
    <row r="7" spans="1:31" ht="54" customHeight="1">
      <c r="A7" s="6" t="s">
        <v>135</v>
      </c>
      <c r="B7" s="1">
        <v>4</v>
      </c>
      <c r="C7" s="1" t="s">
        <v>120</v>
      </c>
      <c r="D7" s="1" t="s">
        <v>47</v>
      </c>
      <c r="E7" s="1" t="s">
        <v>111</v>
      </c>
      <c r="G7" s="6" t="s">
        <v>131</v>
      </c>
      <c r="H7" t="s">
        <v>136</v>
      </c>
      <c r="I7" t="s">
        <v>134</v>
      </c>
      <c r="J7" s="2">
        <f>IF(COUNT('Turns'!D5)=1,SUM('Turns'!D5),"Unknown")</f>
        <v>493.0</v>
      </c>
      <c r="K7" s="2">
        <f>IF(COUNT('Turns'!E5)=1,SUM('Turns'!E5),"Unknown")</f>
        <v>8.640811e-05</v>
      </c>
      <c r="L7" s="2">
        <f>IF(COUNT('Turns'!F5)=1,SUM('Turns'!F5),"Unknown")</f>
        <v>9.86e-05</v>
      </c>
      <c r="M7" s="2">
        <v>0</v>
      </c>
      <c r="N7" s="2">
        <v>0</v>
      </c>
      <c r="O7" s="2">
        <v>0</v>
      </c>
      <c r="P7" s="2">
        <v>0</v>
      </c>
      <c r="Q7" s="2">
        <v>0</v>
      </c>
      <c r="R7" s="2">
        <v>0</v>
      </c>
      <c r="S7" s="2">
        <f>IF(COUNT('Turns'!D13)=1,SUM('Turns'!D13),"Unknown")</f>
        <v>116.0</v>
      </c>
      <c r="T7" s="2">
        <f>IF(COUNT('Turns'!E13)=1,SUM('Turns'!E13),"Unknown")</f>
        <v>0.00012198792</v>
      </c>
      <c r="U7" s="2">
        <f>IF(COUNT('Turns'!F13)=1,SUM('Turns'!F13),"Unknown")</f>
        <v>0.0001392</v>
      </c>
      <c r="V7" s="2">
        <f>IF(COUNT('Turns'!D12)=1,SUM('Turns'!D12),"Unknown")</f>
        <v>61.0</v>
      </c>
      <c r="W7" s="2">
        <f>IF(COUNT('Turns'!E12)=1,SUM('Turns'!E12),"Unknown")</f>
        <v>6.414882e-05</v>
      </c>
      <c r="X7" s="2">
        <f>IF(COUNT('Turns'!F12)=1,SUM('Turns'!F12),"Unknown")</f>
        <v>7.32e-05</v>
      </c>
      <c r="Y7" s="2">
        <f>IF(COUNT('Turns'!E17)=1,SUM('Turns'!E17),"Unknown")</f>
        <v>0.00027254485</v>
      </c>
      <c r="Z7" s="2">
        <f>IF(COUNT('Turns'!F17)=1,SUM('Turns'!F17),"Unknown")</f>
        <v>0.000311</v>
      </c>
      <c r="AA7" s="5">
        <f>IF(ISNUMBER(Y7),ROUND(Y7*'Reference data'!$B$2,0),"Unknown")</f>
        <v>27.0</v>
      </c>
      <c r="AB7" s="5">
        <f>IF(ISNUMBER(Z7),ROUND(Z7*'Reference data'!$B$2,0),"Unknown")</f>
        <v>31.0</v>
      </c>
      <c r="AD7" s="1">
        <v>3838.793</v>
      </c>
      <c r="AE7" s="1" t="s">
        <v>122</v>
      </c>
    </row>
    <row r="8" spans="1:31" ht="54" customHeight="1">
      <c r="A8" s="6" t="s">
        <v>137</v>
      </c>
      <c r="B8" s="1">
        <v>5</v>
      </c>
      <c r="C8" s="1" t="s">
        <v>138</v>
      </c>
      <c r="D8" s="1" t="s">
        <v>95</v>
      </c>
      <c r="E8" s="1" t="s">
        <v>111</v>
      </c>
      <c r="F8" s="1">
        <v>493</v>
      </c>
      <c r="G8" s="6" t="s">
        <v>131</v>
      </c>
      <c r="H8" t="s">
        <v>96</v>
      </c>
      <c r="I8" t="s">
        <v>136</v>
      </c>
      <c r="J8" s="2">
        <f>IF(COUNT('Turns'!D5)=1,SUM('Turns'!D5),"Unknown")</f>
        <v>493.0</v>
      </c>
      <c r="K8" s="2">
        <f>IF(COUNT('Turns'!E5)=1,SUM('Turns'!E5),"Unknown")</f>
        <v>8.640811e-05</v>
      </c>
      <c r="L8" s="2">
        <f>IF(COUNT('Turns'!F5)=1,SUM('Turns'!F5),"Unknown")</f>
        <v>9.86e-05</v>
      </c>
      <c r="M8" s="2">
        <v>0</v>
      </c>
      <c r="N8" s="2">
        <v>0</v>
      </c>
      <c r="O8" s="2">
        <v>0</v>
      </c>
      <c r="P8" s="2">
        <v>0</v>
      </c>
      <c r="Q8" s="2">
        <v>0</v>
      </c>
      <c r="R8" s="2">
        <v>0</v>
      </c>
      <c r="S8" s="2">
        <f>IF(COUNT('Turns'!D13)=1,SUM('Turns'!D13),"Unknown")</f>
        <v>116.0</v>
      </c>
      <c r="T8" s="2">
        <f>IF(COUNT('Turns'!E13)=1,SUM('Turns'!E13),"Unknown")</f>
        <v>0.00012198792</v>
      </c>
      <c r="U8" s="2">
        <f>IF(COUNT('Turns'!F13)=1,SUM('Turns'!F13),"Unknown")</f>
        <v>0.0001392</v>
      </c>
      <c r="V8" s="2">
        <f>IF(COUNT('Turns'!D12)=1,SUM('Turns'!D12),"Unknown")</f>
        <v>61.0</v>
      </c>
      <c r="W8" s="2">
        <f>IF(COUNT('Turns'!E12)=1,SUM('Turns'!E12),"Unknown")</f>
        <v>6.414882e-05</v>
      </c>
      <c r="X8" s="2">
        <f>IF(COUNT('Turns'!F12)=1,SUM('Turns'!F12),"Unknown")</f>
        <v>7.32e-05</v>
      </c>
      <c r="Y8" s="2">
        <f>IF(COUNT('Turns'!E17)=1,SUM('Turns'!E17),"Unknown")</f>
        <v>0.00027254485</v>
      </c>
      <c r="Z8" s="2">
        <f>IF(COUNT('Turns'!F17)=1,SUM('Turns'!F17),"Unknown")</f>
        <v>0.000311</v>
      </c>
      <c r="AA8" s="5">
        <f>IF(ISNUMBER(Y8),ROUND(Y8*'Reference data'!$B$2,0),"Unknown")</f>
        <v>27.0</v>
      </c>
      <c r="AB8" s="5">
        <f>IF(ISNUMBER(Z8),ROUND(Z8*'Reference data'!$B$2,0),"Unknown")</f>
        <v>31.0</v>
      </c>
      <c r="AC8" s="1" t="s">
        <v>93</v>
      </c>
      <c r="AD8" s="1">
        <v>3837.028</v>
      </c>
      <c r="AE8" s="1" t="s">
        <v>139</v>
      </c>
    </row>
    <row r="9" spans="1:31" ht="54" customHeight="1">
      <c r="A9" s="6" t="s">
        <v>140</v>
      </c>
      <c r="B9" s="1">
        <v>2</v>
      </c>
      <c r="C9" s="1" t="s">
        <v>120</v>
      </c>
      <c r="D9" s="1" t="s">
        <v>47</v>
      </c>
      <c r="E9" s="1" t="s">
        <v>111</v>
      </c>
      <c r="G9" s="6" t="s">
        <v>141</v>
      </c>
      <c r="H9" t="s">
        <v>142</v>
      </c>
      <c r="I9" t="s">
        <v>129</v>
      </c>
      <c r="AD9" s="1">
        <v>0.302</v>
      </c>
      <c r="AE9" s="1" t="s">
        <v>126</v>
      </c>
    </row>
    <row r="10" spans="1:31" ht="54" customHeight="1">
      <c r="A10" s="6" t="s">
        <v>143</v>
      </c>
      <c r="B10" s="1">
        <v>1</v>
      </c>
      <c r="C10" s="1" t="s">
        <v>120</v>
      </c>
      <c r="D10" s="1" t="s">
        <v>47</v>
      </c>
      <c r="E10" s="1" t="s">
        <v>144</v>
      </c>
      <c r="G10" s="6" t="s">
        <v>145</v>
      </c>
      <c r="H10" t="s">
        <v>146</v>
      </c>
      <c r="I10" t="s">
        <v>49</v>
      </c>
      <c r="AD10" s="1">
        <v>0.457</v>
      </c>
      <c r="AE10" s="1" t="s">
        <v>126</v>
      </c>
    </row>
    <row r="11" spans="1:31" ht="54" customHeight="1">
      <c r="A11" s="6" t="s">
        <v>119</v>
      </c>
      <c r="B11" s="1">
        <v>0</v>
      </c>
      <c r="C11" s="1" t="s">
        <v>120</v>
      </c>
      <c r="D11" s="1" t="s">
        <v>47</v>
      </c>
      <c r="E11" s="1" t="s">
        <v>111</v>
      </c>
      <c r="G11" s="6" t="s">
        <v>121</v>
      </c>
      <c r="H11" t="s">
        <v>147</v>
      </c>
      <c r="J11" s="2">
        <f>IF(COUNT('Turns'!D20)=1,SUM('Turns'!D20),"Unknown")</f>
        <v>605.0</v>
      </c>
      <c r="K11" s="2">
        <f>IF(COUNT('Turns'!E20)=1,SUM('Turns'!E20),"Unknown")</f>
        <v>0.00010603835</v>
      </c>
      <c r="L11" s="2">
        <f>IF(COUNT('Turns'!F20)=1,SUM('Turns'!F20),"Unknown")</f>
        <v>0.000121</v>
      </c>
      <c r="M11" s="2">
        <f>IF(COUNT('Turns'!D19)=1,SUM('Turns'!D19),"Unknown")</f>
        <v>0.0</v>
      </c>
      <c r="N11" s="2">
        <f>IF(COUNT('Turns'!E19)=1,SUM('Turns'!E19),"Unknown")</f>
        <v>0.0</v>
      </c>
      <c r="O11" s="2">
        <f>IF(COUNT('Turns'!F19)=1,SUM('Turns'!F19),"Unknown")</f>
        <v>0.0</v>
      </c>
      <c r="P11" s="2">
        <v>0</v>
      </c>
      <c r="Q11" s="2">
        <v>0</v>
      </c>
      <c r="R11" s="2">
        <v>0</v>
      </c>
      <c r="S11" s="2">
        <f>IF(COUNT('Turns'!D25)=1,SUM('Turns'!D25),"Unknown")</f>
        <v>130.0</v>
      </c>
      <c r="T11" s="2">
        <f>IF(COUNT('Turns'!E25)=1,SUM('Turns'!E25),"Unknown")</f>
        <v>0.0001367106</v>
      </c>
      <c r="U11" s="2">
        <f>IF(COUNT('Turns'!F25)=1,SUM('Turns'!F25),"Unknown")</f>
        <v>0.000156</v>
      </c>
      <c r="V11" s="2">
        <f>IF(COUNT('Turns'!D24)=1,SUM('Turns'!D24),"Unknown")</f>
        <v>181.0</v>
      </c>
      <c r="W11" s="2">
        <f>IF(COUNT('Turns'!E24)=1,SUM('Turns'!E24),"Unknown")</f>
        <v>0.00019034322</v>
      </c>
      <c r="X11" s="2">
        <f>IF(COUNT('Turns'!F24)=1,SUM('Turns'!F24),"Unknown")</f>
        <v>0.0002172</v>
      </c>
      <c r="Y11" s="2">
        <f>IF(COUNT('Turns'!E29)=1,SUM('Turns'!E29),"Unknown")</f>
        <v>0.00043309217</v>
      </c>
      <c r="Z11" s="2">
        <f>IF(COUNT('Turns'!F29)=1,SUM('Turns'!F29),"Unknown")</f>
        <v>0.0004942</v>
      </c>
      <c r="AA11" s="5">
        <f>IF(ISNUMBER(Y11),ROUND(Y11*'Reference data'!$B$2,0),"Unknown")</f>
        <v>43.0</v>
      </c>
      <c r="AB11" s="5">
        <f>IF(ISNUMBER(Z11),ROUND(Z11*'Reference data'!$B$2,0),"Unknown")</f>
        <v>49.0</v>
      </c>
      <c r="AD11" s="1">
        <v>6080.118</v>
      </c>
      <c r="AE11" s="1" t="s">
        <v>122</v>
      </c>
    </row>
    <row r="12" spans="1:31" ht="54" customHeight="1">
      <c r="A12" s="6" t="s">
        <v>143</v>
      </c>
      <c r="B12" s="1">
        <v>1</v>
      </c>
      <c r="C12" s="1" t="s">
        <v>120</v>
      </c>
      <c r="D12" s="1" t="s">
        <v>47</v>
      </c>
      <c r="E12" s="1" t="s">
        <v>111</v>
      </c>
      <c r="G12" s="6" t="s">
        <v>145</v>
      </c>
      <c r="H12" t="s">
        <v>148</v>
      </c>
      <c r="I12" t="s">
        <v>147</v>
      </c>
      <c r="AD12" s="1">
        <v>3.092</v>
      </c>
      <c r="AE12" s="1" t="s">
        <v>126</v>
      </c>
    </row>
    <row r="13" spans="1:31" ht="54" customHeight="1">
      <c r="A13" s="6" t="s">
        <v>149</v>
      </c>
      <c r="B13" s="1">
        <v>2</v>
      </c>
      <c r="C13" s="1" t="s">
        <v>120</v>
      </c>
      <c r="D13" s="1" t="s">
        <v>47</v>
      </c>
      <c r="E13" s="1" t="s">
        <v>111</v>
      </c>
      <c r="G13" s="6" t="s">
        <v>150</v>
      </c>
      <c r="H13" t="s">
        <v>151</v>
      </c>
      <c r="I13" t="s">
        <v>148</v>
      </c>
      <c r="AD13" s="1">
        <v>1.142</v>
      </c>
      <c r="AE13" s="1" t="s">
        <v>126</v>
      </c>
    </row>
    <row r="14" spans="1:31" ht="54" customHeight="1">
      <c r="A14" s="6" t="s">
        <v>127</v>
      </c>
      <c r="B14" s="1">
        <v>1</v>
      </c>
      <c r="C14" s="1" t="s">
        <v>120</v>
      </c>
      <c r="D14" s="1" t="s">
        <v>47</v>
      </c>
      <c r="E14" s="1" t="s">
        <v>111</v>
      </c>
      <c r="G14" s="6" t="s">
        <v>128</v>
      </c>
      <c r="H14" t="s">
        <v>152</v>
      </c>
      <c r="I14" t="s">
        <v>147</v>
      </c>
      <c r="J14" s="2">
        <f>IF(COUNT('Turns'!D20)=1,SUM('Turns'!D20),"Unknown")</f>
        <v>605.0</v>
      </c>
      <c r="K14" s="2">
        <f>IF(COUNT('Turns'!E20)=1,SUM('Turns'!E20),"Unknown")</f>
        <v>0.00010603835</v>
      </c>
      <c r="L14" s="2">
        <f>IF(COUNT('Turns'!F20)=1,SUM('Turns'!F20),"Unknown")</f>
        <v>0.000121</v>
      </c>
      <c r="M14" s="2">
        <f>IF(COUNT('Turns'!D19)=1,SUM('Turns'!D19),"Unknown")</f>
        <v>0.0</v>
      </c>
      <c r="N14" s="2">
        <f>IF(COUNT('Turns'!E19)=1,SUM('Turns'!E19),"Unknown")</f>
        <v>0.0</v>
      </c>
      <c r="O14" s="2">
        <f>IF(COUNT('Turns'!F19)=1,SUM('Turns'!F19),"Unknown")</f>
        <v>0.0</v>
      </c>
      <c r="P14" s="2">
        <v>0</v>
      </c>
      <c r="Q14" s="2">
        <v>0</v>
      </c>
      <c r="R14" s="2">
        <v>0</v>
      </c>
      <c r="S14" s="2">
        <f>IF(COUNT('Turns'!D25)=1,SUM('Turns'!D25),"Unknown")</f>
        <v>130.0</v>
      </c>
      <c r="T14" s="2">
        <f>IF(COUNT('Turns'!E25)=1,SUM('Turns'!E25),"Unknown")</f>
        <v>0.0001367106</v>
      </c>
      <c r="U14" s="2">
        <f>IF(COUNT('Turns'!F25)=1,SUM('Turns'!F25),"Unknown")</f>
        <v>0.000156</v>
      </c>
      <c r="V14" s="2">
        <f>IF(COUNT('Turns'!D24)=1,SUM('Turns'!D24),"Unknown")</f>
        <v>181.0</v>
      </c>
      <c r="W14" s="2">
        <f>IF(COUNT('Turns'!E24)=1,SUM('Turns'!E24),"Unknown")</f>
        <v>0.00019034322</v>
      </c>
      <c r="X14" s="2">
        <f>IF(COUNT('Turns'!F24)=1,SUM('Turns'!F24),"Unknown")</f>
        <v>0.0002172</v>
      </c>
      <c r="Y14" s="2">
        <f>IF(COUNT('Turns'!E29)=1,SUM('Turns'!E29),"Unknown")</f>
        <v>0.00043309217</v>
      </c>
      <c r="Z14" s="2">
        <f>IF(COUNT('Turns'!F29)=1,SUM('Turns'!F29),"Unknown")</f>
        <v>0.0004942</v>
      </c>
      <c r="AA14" s="5">
        <f>IF(ISNUMBER(Y14),ROUND(Y14*'Reference data'!$B$2,0),"Unknown")</f>
        <v>43.0</v>
      </c>
      <c r="AB14" s="5">
        <f>IF(ISNUMBER(Z14),ROUND(Z14*'Reference data'!$B$2,0),"Unknown")</f>
        <v>49.0</v>
      </c>
      <c r="AD14" s="1">
        <v>6072.375</v>
      </c>
      <c r="AE14" s="1" t="s">
        <v>122</v>
      </c>
    </row>
    <row r="15" spans="1:31" ht="54" customHeight="1">
      <c r="A15" s="6" t="s">
        <v>130</v>
      </c>
      <c r="B15" s="1">
        <v>2</v>
      </c>
      <c r="C15" s="1" t="s">
        <v>120</v>
      </c>
      <c r="D15" s="1" t="s">
        <v>47</v>
      </c>
      <c r="E15" s="1" t="s">
        <v>111</v>
      </c>
      <c r="G15" s="6" t="s">
        <v>131</v>
      </c>
      <c r="H15" t="s">
        <v>153</v>
      </c>
      <c r="I15" t="s">
        <v>152</v>
      </c>
      <c r="J15" s="2">
        <f>IF(COUNT('Turns'!D20)=1,SUM('Turns'!D20),"Unknown")</f>
        <v>605.0</v>
      </c>
      <c r="K15" s="2">
        <f>IF(COUNT('Turns'!E20)=1,SUM('Turns'!E20),"Unknown")</f>
        <v>0.00010603835</v>
      </c>
      <c r="L15" s="2">
        <f>IF(COUNT('Turns'!F20)=1,SUM('Turns'!F20),"Unknown")</f>
        <v>0.000121</v>
      </c>
      <c r="M15" s="2">
        <f>IF(COUNT('Turns'!D19)=1,SUM('Turns'!D19),"Unknown")</f>
        <v>0.0</v>
      </c>
      <c r="N15" s="2">
        <f>IF(COUNT('Turns'!E19)=1,SUM('Turns'!E19),"Unknown")</f>
        <v>0.0</v>
      </c>
      <c r="O15" s="2">
        <f>IF(COUNT('Turns'!F19)=1,SUM('Turns'!F19),"Unknown")</f>
        <v>0.0</v>
      </c>
      <c r="P15" s="2">
        <v>0</v>
      </c>
      <c r="Q15" s="2">
        <v>0</v>
      </c>
      <c r="R15" s="2">
        <v>0</v>
      </c>
      <c r="S15" s="2">
        <f>IF(COUNT('Turns'!D25)=1,SUM('Turns'!D25),"Unknown")</f>
        <v>130.0</v>
      </c>
      <c r="T15" s="2">
        <f>IF(COUNT('Turns'!E25)=1,SUM('Turns'!E25),"Unknown")</f>
        <v>0.0001367106</v>
      </c>
      <c r="U15" s="2">
        <f>IF(COUNT('Turns'!F25)=1,SUM('Turns'!F25),"Unknown")</f>
        <v>0.000156</v>
      </c>
      <c r="V15" s="2">
        <f>IF(COUNT('Turns'!D24)=1,SUM('Turns'!D24),"Unknown")</f>
        <v>181.0</v>
      </c>
      <c r="W15" s="2">
        <f>IF(COUNT('Turns'!E24)=1,SUM('Turns'!E24),"Unknown")</f>
        <v>0.00019034322</v>
      </c>
      <c r="X15" s="2">
        <f>IF(COUNT('Turns'!F24)=1,SUM('Turns'!F24),"Unknown")</f>
        <v>0.0002172</v>
      </c>
      <c r="Y15" s="2">
        <f>IF(COUNT('Turns'!E29)=1,SUM('Turns'!E29),"Unknown")</f>
        <v>0.00043309217</v>
      </c>
      <c r="Z15" s="2">
        <f>IF(COUNT('Turns'!F29)=1,SUM('Turns'!F29),"Unknown")</f>
        <v>0.0004942</v>
      </c>
      <c r="AA15" s="5">
        <f>IF(ISNUMBER(Y15),ROUND(Y15*'Reference data'!$B$2,0),"Unknown")</f>
        <v>43.0</v>
      </c>
      <c r="AB15" s="5">
        <f>IF(ISNUMBER(Z15),ROUND(Z15*'Reference data'!$B$2,0),"Unknown")</f>
        <v>49.0</v>
      </c>
      <c r="AD15" s="1">
        <v>6070.035</v>
      </c>
      <c r="AE15" s="1" t="s">
        <v>122</v>
      </c>
    </row>
    <row r="16" spans="1:31" ht="54" customHeight="1">
      <c r="A16" s="6" t="s">
        <v>133</v>
      </c>
      <c r="B16" s="1">
        <v>3</v>
      </c>
      <c r="C16" s="1" t="s">
        <v>120</v>
      </c>
      <c r="D16" s="1" t="s">
        <v>47</v>
      </c>
      <c r="E16" s="1" t="s">
        <v>111</v>
      </c>
      <c r="G16" s="6" t="s">
        <v>131</v>
      </c>
      <c r="H16" t="s">
        <v>154</v>
      </c>
      <c r="I16" t="s">
        <v>153</v>
      </c>
      <c r="J16" s="2">
        <f>IF(COUNT('Turns'!D20)=1,SUM('Turns'!D20),"Unknown")</f>
        <v>605.0</v>
      </c>
      <c r="K16" s="2">
        <f>IF(COUNT('Turns'!E20)=1,SUM('Turns'!E20),"Unknown")</f>
        <v>0.00010603835</v>
      </c>
      <c r="L16" s="2">
        <f>IF(COUNT('Turns'!F20)=1,SUM('Turns'!F20),"Unknown")</f>
        <v>0.000121</v>
      </c>
      <c r="M16" s="2">
        <f>IF(COUNT('Turns'!D19)=1,SUM('Turns'!D19),"Unknown")</f>
        <v>0.0</v>
      </c>
      <c r="N16" s="2">
        <f>IF(COUNT('Turns'!E19)=1,SUM('Turns'!E19),"Unknown")</f>
        <v>0.0</v>
      </c>
      <c r="O16" s="2">
        <f>IF(COUNT('Turns'!F19)=1,SUM('Turns'!F19),"Unknown")</f>
        <v>0.0</v>
      </c>
      <c r="P16" s="2">
        <v>0</v>
      </c>
      <c r="Q16" s="2">
        <v>0</v>
      </c>
      <c r="R16" s="2">
        <v>0</v>
      </c>
      <c r="S16" s="2">
        <f>IF(COUNT('Turns'!D25)=1,SUM('Turns'!D25),"Unknown")</f>
        <v>130.0</v>
      </c>
      <c r="T16" s="2">
        <f>IF(COUNT('Turns'!E25)=1,SUM('Turns'!E25),"Unknown")</f>
        <v>0.0001367106</v>
      </c>
      <c r="U16" s="2">
        <f>IF(COUNT('Turns'!F25)=1,SUM('Turns'!F25),"Unknown")</f>
        <v>0.000156</v>
      </c>
      <c r="V16" s="2">
        <f>IF(COUNT('Turns'!D24)=1,SUM('Turns'!D24),"Unknown")</f>
        <v>181.0</v>
      </c>
      <c r="W16" s="2">
        <f>IF(COUNT('Turns'!E24)=1,SUM('Turns'!E24),"Unknown")</f>
        <v>0.00019034322</v>
      </c>
      <c r="X16" s="2">
        <f>IF(COUNT('Turns'!F24)=1,SUM('Turns'!F24),"Unknown")</f>
        <v>0.0002172</v>
      </c>
      <c r="Y16" s="2">
        <f>IF(COUNT('Turns'!E29)=1,SUM('Turns'!E29),"Unknown")</f>
        <v>0.00043309217</v>
      </c>
      <c r="Z16" s="2">
        <f>IF(COUNT('Turns'!F29)=1,SUM('Turns'!F29),"Unknown")</f>
        <v>0.0004942</v>
      </c>
      <c r="AA16" s="5">
        <f>IF(ISNUMBER(Y16),ROUND(Y16*'Reference data'!$B$2,0),"Unknown")</f>
        <v>43.0</v>
      </c>
      <c r="AB16" s="5">
        <f>IF(ISNUMBER(Z16),ROUND(Z16*'Reference data'!$B$2,0),"Unknown")</f>
        <v>49.0</v>
      </c>
      <c r="AD16" s="1">
        <v>6067.659</v>
      </c>
      <c r="AE16" s="1" t="s">
        <v>122</v>
      </c>
    </row>
    <row r="17" spans="1:31" ht="54" customHeight="1">
      <c r="A17" s="6" t="s">
        <v>135</v>
      </c>
      <c r="B17" s="1">
        <v>4</v>
      </c>
      <c r="C17" s="1" t="s">
        <v>120</v>
      </c>
      <c r="D17" s="1" t="s">
        <v>47</v>
      </c>
      <c r="E17" s="1" t="s">
        <v>111</v>
      </c>
      <c r="G17" s="6" t="s">
        <v>131</v>
      </c>
      <c r="H17" t="s">
        <v>155</v>
      </c>
      <c r="I17" t="s">
        <v>154</v>
      </c>
      <c r="J17" s="2">
        <f>IF(COUNT('Turns'!D20)=1,SUM('Turns'!D20),"Unknown")</f>
        <v>605.0</v>
      </c>
      <c r="K17" s="2">
        <f>IF(COUNT('Turns'!E20)=1,SUM('Turns'!E20),"Unknown")</f>
        <v>0.00010603835</v>
      </c>
      <c r="L17" s="2">
        <f>IF(COUNT('Turns'!F20)=1,SUM('Turns'!F20),"Unknown")</f>
        <v>0.000121</v>
      </c>
      <c r="M17" s="2">
        <f>IF(COUNT('Turns'!D19)=1,SUM('Turns'!D19),"Unknown")</f>
        <v>0.0</v>
      </c>
      <c r="N17" s="2">
        <f>IF(COUNT('Turns'!E19)=1,SUM('Turns'!E19),"Unknown")</f>
        <v>0.0</v>
      </c>
      <c r="O17" s="2">
        <f>IF(COUNT('Turns'!F19)=1,SUM('Turns'!F19),"Unknown")</f>
        <v>0.0</v>
      </c>
      <c r="P17" s="2">
        <v>0</v>
      </c>
      <c r="Q17" s="2">
        <v>0</v>
      </c>
      <c r="R17" s="2">
        <v>0</v>
      </c>
      <c r="S17" s="2">
        <f>IF(COUNT('Turns'!D25)=1,SUM('Turns'!D25),"Unknown")</f>
        <v>130.0</v>
      </c>
      <c r="T17" s="2">
        <f>IF(COUNT('Turns'!E25)=1,SUM('Turns'!E25),"Unknown")</f>
        <v>0.0001367106</v>
      </c>
      <c r="U17" s="2">
        <f>IF(COUNT('Turns'!F25)=1,SUM('Turns'!F25),"Unknown")</f>
        <v>0.000156</v>
      </c>
      <c r="V17" s="2">
        <f>IF(COUNT('Turns'!D24)=1,SUM('Turns'!D24),"Unknown")</f>
        <v>181.0</v>
      </c>
      <c r="W17" s="2">
        <f>IF(COUNT('Turns'!E24)=1,SUM('Turns'!E24),"Unknown")</f>
        <v>0.00019034322</v>
      </c>
      <c r="X17" s="2">
        <f>IF(COUNT('Turns'!F24)=1,SUM('Turns'!F24),"Unknown")</f>
        <v>0.0002172</v>
      </c>
      <c r="Y17" s="2">
        <f>IF(COUNT('Turns'!E29)=1,SUM('Turns'!E29),"Unknown")</f>
        <v>0.00043309217</v>
      </c>
      <c r="Z17" s="2">
        <f>IF(COUNT('Turns'!F29)=1,SUM('Turns'!F29),"Unknown")</f>
        <v>0.0004942</v>
      </c>
      <c r="AA17" s="5">
        <f>IF(ISNUMBER(Y17),ROUND(Y17*'Reference data'!$B$2,0),"Unknown")</f>
        <v>43.0</v>
      </c>
      <c r="AB17" s="5">
        <f>IF(ISNUMBER(Z17),ROUND(Z17*'Reference data'!$B$2,0),"Unknown")</f>
        <v>49.0</v>
      </c>
      <c r="AD17" s="1">
        <v>6064.297</v>
      </c>
      <c r="AE17" s="1" t="s">
        <v>122</v>
      </c>
    </row>
    <row r="18" spans="1:31" ht="54" customHeight="1">
      <c r="A18" s="6" t="s">
        <v>137</v>
      </c>
      <c r="B18" s="1">
        <v>5</v>
      </c>
      <c r="C18" s="1" t="s">
        <v>138</v>
      </c>
      <c r="D18" s="1" t="s">
        <v>95</v>
      </c>
      <c r="E18" s="1" t="s">
        <v>111</v>
      </c>
      <c r="F18" s="1">
        <v>605</v>
      </c>
      <c r="G18" s="6" t="s">
        <v>131</v>
      </c>
      <c r="H18" t="s">
        <v>113</v>
      </c>
      <c r="I18" t="s">
        <v>155</v>
      </c>
      <c r="J18" s="2">
        <f>IF(COUNT('Turns'!D20)=1,SUM('Turns'!D20),"Unknown")</f>
        <v>605.0</v>
      </c>
      <c r="K18" s="2">
        <f>IF(COUNT('Turns'!E20)=1,SUM('Turns'!E20),"Unknown")</f>
        <v>0.00010603835</v>
      </c>
      <c r="L18" s="2">
        <f>IF(COUNT('Turns'!F20)=1,SUM('Turns'!F20),"Unknown")</f>
        <v>0.000121</v>
      </c>
      <c r="M18" s="2">
        <f>IF(COUNT('Turns'!D19)=1,SUM('Turns'!D19),"Unknown")</f>
        <v>0.0</v>
      </c>
      <c r="N18" s="2">
        <f>IF(COUNT('Turns'!E19)=1,SUM('Turns'!E19),"Unknown")</f>
        <v>0.0</v>
      </c>
      <c r="O18" s="2">
        <f>IF(COUNT('Turns'!F19)=1,SUM('Turns'!F19),"Unknown")</f>
        <v>0.0</v>
      </c>
      <c r="P18" s="2">
        <v>0</v>
      </c>
      <c r="Q18" s="2">
        <v>0</v>
      </c>
      <c r="R18" s="2">
        <v>0</v>
      </c>
      <c r="S18" s="2">
        <f>IF(COUNT('Turns'!D25)=1,SUM('Turns'!D25),"Unknown")</f>
        <v>130.0</v>
      </c>
      <c r="T18" s="2">
        <f>IF(COUNT('Turns'!E25)=1,SUM('Turns'!E25),"Unknown")</f>
        <v>0.0001367106</v>
      </c>
      <c r="U18" s="2">
        <f>IF(COUNT('Turns'!F25)=1,SUM('Turns'!F25),"Unknown")</f>
        <v>0.000156</v>
      </c>
      <c r="V18" s="2">
        <f>IF(COUNT('Turns'!D24)=1,SUM('Turns'!D24),"Unknown")</f>
        <v>181.0</v>
      </c>
      <c r="W18" s="2">
        <f>IF(COUNT('Turns'!E24)=1,SUM('Turns'!E24),"Unknown")</f>
        <v>0.00019034322</v>
      </c>
      <c r="X18" s="2">
        <f>IF(COUNT('Turns'!F24)=1,SUM('Turns'!F24),"Unknown")</f>
        <v>0.0002172</v>
      </c>
      <c r="Y18" s="2">
        <f>IF(COUNT('Turns'!E29)=1,SUM('Turns'!E29),"Unknown")</f>
        <v>0.00043309217</v>
      </c>
      <c r="Z18" s="2">
        <f>IF(COUNT('Turns'!F29)=1,SUM('Turns'!F29),"Unknown")</f>
        <v>0.0004942</v>
      </c>
      <c r="AA18" s="5">
        <f>IF(ISNUMBER(Y18),ROUND(Y18*'Reference data'!$B$2,0),"Unknown")</f>
        <v>43.0</v>
      </c>
      <c r="AB18" s="5">
        <f>IF(ISNUMBER(Z18),ROUND(Z18*'Reference data'!$B$2,0),"Unknown")</f>
        <v>49.0</v>
      </c>
      <c r="AC18" s="1" t="s">
        <v>112</v>
      </c>
      <c r="AD18" s="1">
        <v>6061.903</v>
      </c>
      <c r="AE18" s="1" t="s">
        <v>139</v>
      </c>
    </row>
    <row r="19" spans="1:31" ht="54" customHeight="1">
      <c r="A19" s="6" t="s">
        <v>140</v>
      </c>
      <c r="B19" s="1">
        <v>2</v>
      </c>
      <c r="C19" s="1" t="s">
        <v>120</v>
      </c>
      <c r="D19" s="1" t="s">
        <v>47</v>
      </c>
      <c r="E19" s="1" t="s">
        <v>111</v>
      </c>
      <c r="G19" s="6" t="s">
        <v>141</v>
      </c>
      <c r="H19" t="s">
        <v>156</v>
      </c>
      <c r="I19" t="s">
        <v>152</v>
      </c>
      <c r="AD19" s="1">
        <v>0.465</v>
      </c>
      <c r="AE19" s="1" t="s">
        <v>126</v>
      </c>
    </row>
    <row r="20" spans="1:31" ht="54" customHeight="1">
      <c r="A20" s="6" t="s">
        <v>143</v>
      </c>
      <c r="B20" s="1">
        <v>1</v>
      </c>
      <c r="C20" s="1" t="s">
        <v>120</v>
      </c>
      <c r="D20" s="1" t="s">
        <v>47</v>
      </c>
      <c r="E20" s="1" t="s">
        <v>144</v>
      </c>
      <c r="G20" s="6" t="s">
        <v>145</v>
      </c>
      <c r="H20" t="s">
        <v>157</v>
      </c>
      <c r="I20" t="s">
        <v>147</v>
      </c>
      <c r="AD20" s="1">
        <v>0.538</v>
      </c>
      <c r="AE20" s="1" t="s">
        <v>126</v>
      </c>
    </row>
    <row r="21" spans="1:31" ht="54" customHeight="1">
      <c r="A21" s="6" t="s">
        <v>119</v>
      </c>
      <c r="B21" s="1">
        <v>0</v>
      </c>
      <c r="C21" s="1" t="s">
        <v>120</v>
      </c>
      <c r="D21" s="1" t="s">
        <v>47</v>
      </c>
      <c r="E21" s="1" t="s">
        <v>111</v>
      </c>
      <c r="G21" s="6" t="s">
        <v>121</v>
      </c>
      <c r="H21" t="s">
        <v>158</v>
      </c>
      <c r="J21" s="2">
        <f>IF(COUNT('Turns'!D32)=1,SUM('Turns'!D32),"Unknown")</f>
        <v>662.0</v>
      </c>
      <c r="K21" s="2">
        <f>IF(COUNT('Turns'!E32)=1,SUM('Turns'!E32),"Unknown")</f>
        <v>0.00011602874</v>
      </c>
      <c r="L21" s="2">
        <f>IF(COUNT('Turns'!F32)=1,SUM('Turns'!F32),"Unknown")</f>
        <v>0.0001324</v>
      </c>
      <c r="M21" s="2">
        <f>IF(COUNT('Turns'!D31)=1,SUM('Turns'!D31),"Unknown")</f>
        <v>0.0</v>
      </c>
      <c r="N21" s="2">
        <f>IF(COUNT('Turns'!E31)=1,SUM('Turns'!E31),"Unknown")</f>
        <v>0.0</v>
      </c>
      <c r="O21" s="2">
        <f>IF(COUNT('Turns'!F31)=1,SUM('Turns'!F31),"Unknown")</f>
        <v>0.0</v>
      </c>
      <c r="P21" s="2">
        <v>0</v>
      </c>
      <c r="Q21" s="2">
        <v>0</v>
      </c>
      <c r="R21" s="2">
        <v>0</v>
      </c>
      <c r="S21" s="2">
        <f>IF(COUNT('Turns'!D37)=1,SUM('Turns'!D37),"Unknown")</f>
        <v>127.0</v>
      </c>
      <c r="T21" s="2">
        <f>IF(COUNT('Turns'!E37)=1,SUM('Turns'!E37),"Unknown")</f>
        <v>0.00013355574</v>
      </c>
      <c r="U21" s="2">
        <f>IF(COUNT('Turns'!F37)=1,SUM('Turns'!F37),"Unknown")</f>
        <v>0.0001524</v>
      </c>
      <c r="V21" s="2">
        <f>IF(COUNT('Turns'!D36)=1,SUM('Turns'!D36),"Unknown")</f>
        <v>100.0</v>
      </c>
      <c r="W21" s="2">
        <f>IF(COUNT('Turns'!E36)=1,SUM('Turns'!E36),"Unknown")</f>
        <v>0.000105162</v>
      </c>
      <c r="X21" s="2">
        <f>IF(COUNT('Turns'!F36)=1,SUM('Turns'!F36),"Unknown")</f>
        <v>0.00012</v>
      </c>
      <c r="Y21" s="2">
        <f>IF(COUNT('Turns'!E41)=1,SUM('Turns'!E41),"Unknown")</f>
        <v>0.00035474648</v>
      </c>
      <c r="Z21" s="2">
        <f>IF(COUNT('Turns'!F41)=1,SUM('Turns'!F41),"Unknown")</f>
        <v>0.0004048</v>
      </c>
      <c r="AA21" s="5">
        <f>IF(ISNUMBER(Y21),ROUND(Y21*'Reference data'!$B$2,0),"Unknown")</f>
        <v>35.0</v>
      </c>
      <c r="AB21" s="5">
        <f>IF(ISNUMBER(Z21),ROUND(Z21*'Reference data'!$B$2,0),"Unknown")</f>
        <v>40.0</v>
      </c>
      <c r="AD21" s="1">
        <v>4584.89</v>
      </c>
      <c r="AE21" s="1" t="s">
        <v>122</v>
      </c>
    </row>
    <row r="22" spans="1:31" ht="54" customHeight="1">
      <c r="A22" s="6" t="s">
        <v>143</v>
      </c>
      <c r="B22" s="1">
        <v>1</v>
      </c>
      <c r="C22" s="1" t="s">
        <v>120</v>
      </c>
      <c r="D22" s="1" t="s">
        <v>47</v>
      </c>
      <c r="E22" s="1" t="s">
        <v>111</v>
      </c>
      <c r="G22" s="6" t="s">
        <v>145</v>
      </c>
      <c r="H22" t="s">
        <v>159</v>
      </c>
      <c r="I22" t="s">
        <v>158</v>
      </c>
      <c r="AD22" s="1">
        <v>2.44</v>
      </c>
      <c r="AE22" s="1" t="s">
        <v>126</v>
      </c>
    </row>
    <row r="23" spans="1:31" ht="54" customHeight="1">
      <c r="A23" s="6" t="s">
        <v>149</v>
      </c>
      <c r="B23" s="1">
        <v>2</v>
      </c>
      <c r="C23" s="1" t="s">
        <v>120</v>
      </c>
      <c r="D23" s="1" t="s">
        <v>47</v>
      </c>
      <c r="E23" s="1" t="s">
        <v>111</v>
      </c>
      <c r="G23" s="6" t="s">
        <v>150</v>
      </c>
      <c r="H23" t="s">
        <v>160</v>
      </c>
      <c r="I23" t="s">
        <v>159</v>
      </c>
      <c r="AD23" s="1">
        <v>0.59</v>
      </c>
      <c r="AE23" s="1" t="s">
        <v>126</v>
      </c>
    </row>
    <row r="24" spans="1:31" ht="54" customHeight="1">
      <c r="A24" s="6" t="s">
        <v>127</v>
      </c>
      <c r="B24" s="1">
        <v>1</v>
      </c>
      <c r="C24" s="1" t="s">
        <v>120</v>
      </c>
      <c r="D24" s="1" t="s">
        <v>47</v>
      </c>
      <c r="E24" s="1" t="s">
        <v>111</v>
      </c>
      <c r="G24" s="6" t="s">
        <v>128</v>
      </c>
      <c r="H24" t="s">
        <v>161</v>
      </c>
      <c r="I24" t="s">
        <v>158</v>
      </c>
      <c r="J24" s="2">
        <f>IF(COUNT('Turns'!D32)=1,SUM('Turns'!D32),"Unknown")</f>
        <v>662.0</v>
      </c>
      <c r="K24" s="2">
        <f>IF(COUNT('Turns'!E32)=1,SUM('Turns'!E32),"Unknown")</f>
        <v>0.00011602874</v>
      </c>
      <c r="L24" s="2">
        <f>IF(COUNT('Turns'!F32)=1,SUM('Turns'!F32),"Unknown")</f>
        <v>0.0001324</v>
      </c>
      <c r="M24" s="2">
        <f>IF(COUNT('Turns'!D31)=1,SUM('Turns'!D31),"Unknown")</f>
        <v>0.0</v>
      </c>
      <c r="N24" s="2">
        <f>IF(COUNT('Turns'!E31)=1,SUM('Turns'!E31),"Unknown")</f>
        <v>0.0</v>
      </c>
      <c r="O24" s="2">
        <f>IF(COUNT('Turns'!F31)=1,SUM('Turns'!F31),"Unknown")</f>
        <v>0.0</v>
      </c>
      <c r="P24" s="2">
        <v>0</v>
      </c>
      <c r="Q24" s="2">
        <v>0</v>
      </c>
      <c r="R24" s="2">
        <v>0</v>
      </c>
      <c r="S24" s="2">
        <f>IF(COUNT('Turns'!D37)=1,SUM('Turns'!D37),"Unknown")</f>
        <v>127.0</v>
      </c>
      <c r="T24" s="2">
        <f>IF(COUNT('Turns'!E37)=1,SUM('Turns'!E37),"Unknown")</f>
        <v>0.00013355574</v>
      </c>
      <c r="U24" s="2">
        <f>IF(COUNT('Turns'!F37)=1,SUM('Turns'!F37),"Unknown")</f>
        <v>0.0001524</v>
      </c>
      <c r="V24" s="2">
        <f>IF(COUNT('Turns'!D36)=1,SUM('Turns'!D36),"Unknown")</f>
        <v>100.0</v>
      </c>
      <c r="W24" s="2">
        <f>IF(COUNT('Turns'!E36)=1,SUM('Turns'!E36),"Unknown")</f>
        <v>0.000105162</v>
      </c>
      <c r="X24" s="2">
        <f>IF(COUNT('Turns'!F36)=1,SUM('Turns'!F36),"Unknown")</f>
        <v>0.00012</v>
      </c>
      <c r="Y24" s="2">
        <f>IF(COUNT('Turns'!E41)=1,SUM('Turns'!E41),"Unknown")</f>
        <v>0.00035474648</v>
      </c>
      <c r="Z24" s="2">
        <f>IF(COUNT('Turns'!F41)=1,SUM('Turns'!F41),"Unknown")</f>
        <v>0.0004048</v>
      </c>
      <c r="AA24" s="5">
        <f>IF(ISNUMBER(Y24),ROUND(Y24*'Reference data'!$B$2,0),"Unknown")</f>
        <v>35.0</v>
      </c>
      <c r="AB24" s="5">
        <f>IF(ISNUMBER(Z24),ROUND(Z24*'Reference data'!$B$2,0),"Unknown")</f>
        <v>40.0</v>
      </c>
      <c r="AD24" s="1">
        <v>4574.805</v>
      </c>
      <c r="AE24" s="1" t="s">
        <v>122</v>
      </c>
    </row>
    <row r="25" spans="1:31" ht="54" customHeight="1">
      <c r="A25" s="6" t="s">
        <v>130</v>
      </c>
      <c r="B25" s="1">
        <v>2</v>
      </c>
      <c r="C25" s="1" t="s">
        <v>120</v>
      </c>
      <c r="D25" s="1" t="s">
        <v>47</v>
      </c>
      <c r="E25" s="1" t="s">
        <v>111</v>
      </c>
      <c r="G25" s="6" t="s">
        <v>131</v>
      </c>
      <c r="H25" t="s">
        <v>162</v>
      </c>
      <c r="I25" t="s">
        <v>161</v>
      </c>
      <c r="J25" s="2">
        <f>IF(COUNT('Turns'!D32)=1,SUM('Turns'!D32),"Unknown")</f>
        <v>662.0</v>
      </c>
      <c r="K25" s="2">
        <f>IF(COUNT('Turns'!E32)=1,SUM('Turns'!E32),"Unknown")</f>
        <v>0.00011602874</v>
      </c>
      <c r="L25" s="2">
        <f>IF(COUNT('Turns'!F32)=1,SUM('Turns'!F32),"Unknown")</f>
        <v>0.0001324</v>
      </c>
      <c r="M25" s="2">
        <f>IF(COUNT('Turns'!D31)=1,SUM('Turns'!D31),"Unknown")</f>
        <v>0.0</v>
      </c>
      <c r="N25" s="2">
        <f>IF(COUNT('Turns'!E31)=1,SUM('Turns'!E31),"Unknown")</f>
        <v>0.0</v>
      </c>
      <c r="O25" s="2">
        <f>IF(COUNT('Turns'!F31)=1,SUM('Turns'!F31),"Unknown")</f>
        <v>0.0</v>
      </c>
      <c r="P25" s="2">
        <v>0</v>
      </c>
      <c r="Q25" s="2">
        <v>0</v>
      </c>
      <c r="R25" s="2">
        <v>0</v>
      </c>
      <c r="S25" s="2">
        <f>IF(COUNT('Turns'!D37)=1,SUM('Turns'!D37),"Unknown")</f>
        <v>127.0</v>
      </c>
      <c r="T25" s="2">
        <f>IF(COUNT('Turns'!E37)=1,SUM('Turns'!E37),"Unknown")</f>
        <v>0.00013355574</v>
      </c>
      <c r="U25" s="2">
        <f>IF(COUNT('Turns'!F37)=1,SUM('Turns'!F37),"Unknown")</f>
        <v>0.0001524</v>
      </c>
      <c r="V25" s="2">
        <f>IF(COUNT('Turns'!D36)=1,SUM('Turns'!D36),"Unknown")</f>
        <v>100.0</v>
      </c>
      <c r="W25" s="2">
        <f>IF(COUNT('Turns'!E36)=1,SUM('Turns'!E36),"Unknown")</f>
        <v>0.000105162</v>
      </c>
      <c r="X25" s="2">
        <f>IF(COUNT('Turns'!F36)=1,SUM('Turns'!F36),"Unknown")</f>
        <v>0.00012</v>
      </c>
      <c r="Y25" s="2">
        <f>IF(COUNT('Turns'!E41)=1,SUM('Turns'!E41),"Unknown")</f>
        <v>0.00035474648</v>
      </c>
      <c r="Z25" s="2">
        <f>IF(COUNT('Turns'!F41)=1,SUM('Turns'!F41),"Unknown")</f>
        <v>0.0004048</v>
      </c>
      <c r="AA25" s="5">
        <f>IF(ISNUMBER(Y25),ROUND(Y25*'Reference data'!$B$2,0),"Unknown")</f>
        <v>35.0</v>
      </c>
      <c r="AB25" s="5">
        <f>IF(ISNUMBER(Z25),ROUND(Z25*'Reference data'!$B$2,0),"Unknown")</f>
        <v>40.0</v>
      </c>
      <c r="AD25" s="1">
        <v>4571.756</v>
      </c>
      <c r="AE25" s="1" t="s">
        <v>122</v>
      </c>
    </row>
    <row r="26" spans="1:31" ht="54" customHeight="1">
      <c r="A26" s="6" t="s">
        <v>133</v>
      </c>
      <c r="B26" s="1">
        <v>3</v>
      </c>
      <c r="C26" s="1" t="s">
        <v>120</v>
      </c>
      <c r="D26" s="1" t="s">
        <v>47</v>
      </c>
      <c r="E26" s="1" t="s">
        <v>111</v>
      </c>
      <c r="G26" s="6" t="s">
        <v>131</v>
      </c>
      <c r="H26" t="s">
        <v>163</v>
      </c>
      <c r="I26" t="s">
        <v>162</v>
      </c>
      <c r="J26" s="2">
        <f>IF(COUNT('Turns'!D32)=1,SUM('Turns'!D32),"Unknown")</f>
        <v>662.0</v>
      </c>
      <c r="K26" s="2">
        <f>IF(COUNT('Turns'!E32)=1,SUM('Turns'!E32),"Unknown")</f>
        <v>0.00011602874</v>
      </c>
      <c r="L26" s="2">
        <f>IF(COUNT('Turns'!F32)=1,SUM('Turns'!F32),"Unknown")</f>
        <v>0.0001324</v>
      </c>
      <c r="M26" s="2">
        <f>IF(COUNT('Turns'!D31)=1,SUM('Turns'!D31),"Unknown")</f>
        <v>0.0</v>
      </c>
      <c r="N26" s="2">
        <f>IF(COUNT('Turns'!E31)=1,SUM('Turns'!E31),"Unknown")</f>
        <v>0.0</v>
      </c>
      <c r="O26" s="2">
        <f>IF(COUNT('Turns'!F31)=1,SUM('Turns'!F31),"Unknown")</f>
        <v>0.0</v>
      </c>
      <c r="P26" s="2">
        <v>0</v>
      </c>
      <c r="Q26" s="2">
        <v>0</v>
      </c>
      <c r="R26" s="2">
        <v>0</v>
      </c>
      <c r="S26" s="2">
        <f>IF(COUNT('Turns'!D37)=1,SUM('Turns'!D37),"Unknown")</f>
        <v>127.0</v>
      </c>
      <c r="T26" s="2">
        <f>IF(COUNT('Turns'!E37)=1,SUM('Turns'!E37),"Unknown")</f>
        <v>0.00013355574</v>
      </c>
      <c r="U26" s="2">
        <f>IF(COUNT('Turns'!F37)=1,SUM('Turns'!F37),"Unknown")</f>
        <v>0.0001524</v>
      </c>
      <c r="V26" s="2">
        <f>IF(COUNT('Turns'!D36)=1,SUM('Turns'!D36),"Unknown")</f>
        <v>100.0</v>
      </c>
      <c r="W26" s="2">
        <f>IF(COUNT('Turns'!E36)=1,SUM('Turns'!E36),"Unknown")</f>
        <v>0.000105162</v>
      </c>
      <c r="X26" s="2">
        <f>IF(COUNT('Turns'!F36)=1,SUM('Turns'!F36),"Unknown")</f>
        <v>0.00012</v>
      </c>
      <c r="Y26" s="2">
        <f>IF(COUNT('Turns'!E41)=1,SUM('Turns'!E41),"Unknown")</f>
        <v>0.00035474648</v>
      </c>
      <c r="Z26" s="2">
        <f>IF(COUNT('Turns'!F41)=1,SUM('Turns'!F41),"Unknown")</f>
        <v>0.0004048</v>
      </c>
      <c r="AA26" s="5">
        <f>IF(ISNUMBER(Y26),ROUND(Y26*'Reference data'!$B$2,0),"Unknown")</f>
        <v>35.0</v>
      </c>
      <c r="AB26" s="5">
        <f>IF(ISNUMBER(Z26),ROUND(Z26*'Reference data'!$B$2,0),"Unknown")</f>
        <v>40.0</v>
      </c>
      <c r="AD26" s="1">
        <v>4569.265</v>
      </c>
      <c r="AE26" s="1" t="s">
        <v>122</v>
      </c>
    </row>
    <row r="27" spans="1:31" ht="54" customHeight="1">
      <c r="A27" s="6" t="s">
        <v>135</v>
      </c>
      <c r="B27" s="1">
        <v>4</v>
      </c>
      <c r="C27" s="1" t="s">
        <v>120</v>
      </c>
      <c r="D27" s="1" t="s">
        <v>47</v>
      </c>
      <c r="E27" s="1" t="s">
        <v>111</v>
      </c>
      <c r="G27" s="6" t="s">
        <v>131</v>
      </c>
      <c r="H27" t="s">
        <v>164</v>
      </c>
      <c r="I27" t="s">
        <v>163</v>
      </c>
      <c r="J27" s="2">
        <f>IF(COUNT('Turns'!D32)=1,SUM('Turns'!D32),"Unknown")</f>
        <v>662.0</v>
      </c>
      <c r="K27" s="2">
        <f>IF(COUNT('Turns'!E32)=1,SUM('Turns'!E32),"Unknown")</f>
        <v>0.00011602874</v>
      </c>
      <c r="L27" s="2">
        <f>IF(COUNT('Turns'!F32)=1,SUM('Turns'!F32),"Unknown")</f>
        <v>0.0001324</v>
      </c>
      <c r="M27" s="2">
        <f>IF(COUNT('Turns'!D31)=1,SUM('Turns'!D31),"Unknown")</f>
        <v>0.0</v>
      </c>
      <c r="N27" s="2">
        <f>IF(COUNT('Turns'!E31)=1,SUM('Turns'!E31),"Unknown")</f>
        <v>0.0</v>
      </c>
      <c r="O27" s="2">
        <f>IF(COUNT('Turns'!F31)=1,SUM('Turns'!F31),"Unknown")</f>
        <v>0.0</v>
      </c>
      <c r="P27" s="2">
        <v>0</v>
      </c>
      <c r="Q27" s="2">
        <v>0</v>
      </c>
      <c r="R27" s="2">
        <v>0</v>
      </c>
      <c r="S27" s="2">
        <f>IF(COUNT('Turns'!D37)=1,SUM('Turns'!D37),"Unknown")</f>
        <v>127.0</v>
      </c>
      <c r="T27" s="2">
        <f>IF(COUNT('Turns'!E37)=1,SUM('Turns'!E37),"Unknown")</f>
        <v>0.00013355574</v>
      </c>
      <c r="U27" s="2">
        <f>IF(COUNT('Turns'!F37)=1,SUM('Turns'!F37),"Unknown")</f>
        <v>0.0001524</v>
      </c>
      <c r="V27" s="2">
        <f>IF(COUNT('Turns'!D36)=1,SUM('Turns'!D36),"Unknown")</f>
        <v>100.0</v>
      </c>
      <c r="W27" s="2">
        <f>IF(COUNT('Turns'!E36)=1,SUM('Turns'!E36),"Unknown")</f>
        <v>0.000105162</v>
      </c>
      <c r="X27" s="2">
        <f>IF(COUNT('Turns'!F36)=1,SUM('Turns'!F36),"Unknown")</f>
        <v>0.00012</v>
      </c>
      <c r="Y27" s="2">
        <f>IF(COUNT('Turns'!E41)=1,SUM('Turns'!E41),"Unknown")</f>
        <v>0.00035474648</v>
      </c>
      <c r="Z27" s="2">
        <f>IF(COUNT('Turns'!F41)=1,SUM('Turns'!F41),"Unknown")</f>
        <v>0.0004048</v>
      </c>
      <c r="AA27" s="5">
        <f>IF(ISNUMBER(Y27),ROUND(Y27*'Reference data'!$B$2,0),"Unknown")</f>
        <v>35.0</v>
      </c>
      <c r="AB27" s="5">
        <f>IF(ISNUMBER(Z27),ROUND(Z27*'Reference data'!$B$2,0),"Unknown")</f>
        <v>40.0</v>
      </c>
      <c r="AD27" s="1">
        <v>4566.051</v>
      </c>
      <c r="AE27" s="1" t="s">
        <v>122</v>
      </c>
    </row>
    <row r="28" spans="1:31" ht="54" customHeight="1">
      <c r="A28" s="6" t="s">
        <v>137</v>
      </c>
      <c r="B28" s="1">
        <v>5</v>
      </c>
      <c r="C28" s="1" t="s">
        <v>138</v>
      </c>
      <c r="D28" s="1" t="s">
        <v>95</v>
      </c>
      <c r="E28" s="1" t="s">
        <v>111</v>
      </c>
      <c r="F28" s="1">
        <v>662</v>
      </c>
      <c r="G28" s="6" t="s">
        <v>131</v>
      </c>
      <c r="H28" t="s">
        <v>117</v>
      </c>
      <c r="I28" t="s">
        <v>164</v>
      </c>
      <c r="J28" s="2">
        <f>IF(COUNT('Turns'!D32)=1,SUM('Turns'!D32),"Unknown")</f>
        <v>662.0</v>
      </c>
      <c r="K28" s="2">
        <f>IF(COUNT('Turns'!E32)=1,SUM('Turns'!E32),"Unknown")</f>
        <v>0.00011602874</v>
      </c>
      <c r="L28" s="2">
        <f>IF(COUNT('Turns'!F32)=1,SUM('Turns'!F32),"Unknown")</f>
        <v>0.0001324</v>
      </c>
      <c r="M28" s="2">
        <f>IF(COUNT('Turns'!D31)=1,SUM('Turns'!D31),"Unknown")</f>
        <v>0.0</v>
      </c>
      <c r="N28" s="2">
        <f>IF(COUNT('Turns'!E31)=1,SUM('Turns'!E31),"Unknown")</f>
        <v>0.0</v>
      </c>
      <c r="O28" s="2">
        <f>IF(COUNT('Turns'!F31)=1,SUM('Turns'!F31),"Unknown")</f>
        <v>0.0</v>
      </c>
      <c r="P28" s="2">
        <v>0</v>
      </c>
      <c r="Q28" s="2">
        <v>0</v>
      </c>
      <c r="R28" s="2">
        <v>0</v>
      </c>
      <c r="S28" s="2">
        <f>IF(COUNT('Turns'!D37)=1,SUM('Turns'!D37),"Unknown")</f>
        <v>127.0</v>
      </c>
      <c r="T28" s="2">
        <f>IF(COUNT('Turns'!E37)=1,SUM('Turns'!E37),"Unknown")</f>
        <v>0.00013355574</v>
      </c>
      <c r="U28" s="2">
        <f>IF(COUNT('Turns'!F37)=1,SUM('Turns'!F37),"Unknown")</f>
        <v>0.0001524</v>
      </c>
      <c r="V28" s="2">
        <f>IF(COUNT('Turns'!D36)=1,SUM('Turns'!D36),"Unknown")</f>
        <v>100.0</v>
      </c>
      <c r="W28" s="2">
        <f>IF(COUNT('Turns'!E36)=1,SUM('Turns'!E36),"Unknown")</f>
        <v>0.000105162</v>
      </c>
      <c r="X28" s="2">
        <f>IF(COUNT('Turns'!F36)=1,SUM('Turns'!F36),"Unknown")</f>
        <v>0.00012</v>
      </c>
      <c r="Y28" s="2">
        <f>IF(COUNT('Turns'!E41)=1,SUM('Turns'!E41),"Unknown")</f>
        <v>0.00035474648</v>
      </c>
      <c r="Z28" s="2">
        <f>IF(COUNT('Turns'!F41)=1,SUM('Turns'!F41),"Unknown")</f>
        <v>0.0004048</v>
      </c>
      <c r="AA28" s="5">
        <f>IF(ISNUMBER(Y28),ROUND(Y28*'Reference data'!$B$2,0),"Unknown")</f>
        <v>35.0</v>
      </c>
      <c r="AB28" s="5">
        <f>IF(ISNUMBER(Z28),ROUND(Z28*'Reference data'!$B$2,0),"Unknown")</f>
        <v>40.0</v>
      </c>
      <c r="AC28" s="1" t="s">
        <v>116</v>
      </c>
      <c r="AD28" s="1">
        <v>4563.701</v>
      </c>
      <c r="AE28" s="1" t="s">
        <v>139</v>
      </c>
    </row>
    <row r="29" spans="1:31" ht="54" customHeight="1">
      <c r="A29" s="6" t="s">
        <v>140</v>
      </c>
      <c r="B29" s="1">
        <v>2</v>
      </c>
      <c r="C29" s="1" t="s">
        <v>120</v>
      </c>
      <c r="D29" s="1" t="s">
        <v>47</v>
      </c>
      <c r="E29" s="1" t="s">
        <v>111</v>
      </c>
      <c r="G29" s="6" t="s">
        <v>141</v>
      </c>
      <c r="H29" t="s">
        <v>165</v>
      </c>
      <c r="I29" t="s">
        <v>161</v>
      </c>
      <c r="AD29" s="1">
        <v>0.597</v>
      </c>
      <c r="AE29" s="1" t="s">
        <v>126</v>
      </c>
    </row>
    <row r="30" spans="1:31" ht="54" customHeight="1">
      <c r="A30" s="6" t="s">
        <v>143</v>
      </c>
      <c r="B30" s="1">
        <v>1</v>
      </c>
      <c r="C30" s="1" t="s">
        <v>120</v>
      </c>
      <c r="D30" s="1" t="s">
        <v>47</v>
      </c>
      <c r="E30" s="1" t="s">
        <v>144</v>
      </c>
      <c r="G30" s="6" t="s">
        <v>145</v>
      </c>
      <c r="H30" t="s">
        <v>166</v>
      </c>
      <c r="I30" t="s">
        <v>158</v>
      </c>
      <c r="AD30" s="1">
        <v>0.758</v>
      </c>
      <c r="AE30" s="1" t="s">
        <v>126</v>
      </c>
    </row>
    <row r="31" spans="1:31" ht="54" customHeight="1">
      <c r="A31" s="6" t="s">
        <v>119</v>
      </c>
      <c r="B31" s="1">
        <v>0</v>
      </c>
      <c r="C31" s="1" t="s">
        <v>120</v>
      </c>
      <c r="D31" s="1" t="s">
        <v>47</v>
      </c>
      <c r="E31" s="1" t="s">
        <v>111</v>
      </c>
      <c r="G31" s="6" t="s">
        <v>121</v>
      </c>
      <c r="H31" t="s">
        <v>167</v>
      </c>
      <c r="AD31" s="1">
        <v>5.252</v>
      </c>
      <c r="AE31" s="1" t="s">
        <v>126</v>
      </c>
    </row>
    <row r="32" spans="1:31" ht="54" customHeight="1">
      <c r="A32" s="6" t="s">
        <v>143</v>
      </c>
      <c r="B32" s="1">
        <v>1</v>
      </c>
      <c r="C32" s="1" t="s">
        <v>120</v>
      </c>
      <c r="D32" s="1" t="s">
        <v>47</v>
      </c>
      <c r="E32" s="1" t="s">
        <v>111</v>
      </c>
      <c r="G32" s="6" t="s">
        <v>145</v>
      </c>
      <c r="H32" t="s">
        <v>168</v>
      </c>
      <c r="I32" t="s">
        <v>167</v>
      </c>
      <c r="AD32" s="1">
        <v>2.306</v>
      </c>
      <c r="AE32" s="1" t="s">
        <v>126</v>
      </c>
    </row>
    <row r="33" spans="1:31" ht="54" customHeight="1">
      <c r="A33" s="6" t="s">
        <v>149</v>
      </c>
      <c r="B33" s="1">
        <v>2</v>
      </c>
      <c r="C33" s="1" t="s">
        <v>120</v>
      </c>
      <c r="D33" s="1" t="s">
        <v>47</v>
      </c>
      <c r="E33" s="1" t="s">
        <v>111</v>
      </c>
      <c r="G33" s="6" t="s">
        <v>150</v>
      </c>
      <c r="H33" t="s">
        <v>169</v>
      </c>
      <c r="I33" t="s">
        <v>168</v>
      </c>
      <c r="AD33" s="1">
        <v>0.487</v>
      </c>
      <c r="AE33" s="1" t="s">
        <v>126</v>
      </c>
    </row>
  </sheetData>
  <conditionalFormatting sqref="A2:AE33">
    <cfRule type="expression" dxfId="0" priority="1">
      <formula>$E2="error"</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173B70"/>
  </sheetPr>
  <dimension ref="A1:I22"/>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34.7109375" customWidth="1"/>
    <col min="2" max="2" width="52.7109375" customWidth="1"/>
    <col min="3" max="7" width="26.7109375" customWidth="1"/>
    <col min="8" max="8" width="65.7109375" customWidth="1"/>
    <col min="9" max="9" width="26.7109375" customWidth="1"/>
  </cols>
  <sheetData>
    <row r="1" spans="1:9" ht="44" customHeight="1">
      <c r="A1" s="3" t="s">
        <v>38</v>
      </c>
      <c r="B1" s="3" t="s">
        <v>39</v>
      </c>
      <c r="C1" s="3" t="s">
        <v>40</v>
      </c>
    </row>
    <row r="2" spans="1:9" ht="24" customHeight="1">
      <c r="A2" s="6" t="s">
        <v>41</v>
      </c>
      <c r="B2" s="7">
        <v>100000</v>
      </c>
      <c r="C2" s="6" t="s">
        <v>42</v>
      </c>
    </row>
    <row r="3" spans="1:9" ht="24" customHeight="1">
      <c r="A3" s="6" t="s">
        <v>43</v>
      </c>
      <c r="B3" s="2">
        <v>0.87635</v>
      </c>
      <c r="C3" s="6" t="s">
        <v>44</v>
      </c>
    </row>
    <row r="4" spans="1:9" ht="24" customHeight="1">
      <c r="A4" s="6" t="s">
        <v>45</v>
      </c>
      <c r="B4" s="6" t="s">
        <v>46</v>
      </c>
      <c r="C4" s="6" t="s">
        <v>47</v>
      </c>
    </row>
    <row r="5" spans="1:9" ht="24" customHeight="1">
      <c r="A5" s="6" t="s">
        <v>48</v>
      </c>
      <c r="B5" s="6" t="s">
        <v>49</v>
      </c>
      <c r="C5" s="6" t="s">
        <v>47</v>
      </c>
    </row>
    <row r="6" spans="1:9" ht="24" customHeight="1">
      <c r="A6" s="6" t="s">
        <v>50</v>
      </c>
      <c r="B6" s="6" t="s">
        <v>51</v>
      </c>
      <c r="C6" s="6" t="s">
        <v>47</v>
      </c>
    </row>
    <row r="7" spans="1:9" ht="24" customHeight="1">
      <c r="A7" s="6" t="s">
        <v>52</v>
      </c>
      <c r="B7" s="6" t="s">
        <v>53</v>
      </c>
      <c r="C7" s="6" t="s">
        <v>47</v>
      </c>
    </row>
    <row r="8" spans="1:9" ht="24" customHeight="1">
      <c r="A8" s="6" t="s">
        <v>54</v>
      </c>
      <c r="B8" s="6" t="s">
        <v>55</v>
      </c>
      <c r="C8" s="6" t="s">
        <v>56</v>
      </c>
    </row>
    <row r="9" spans="1:9" ht="24" customHeight="1">
      <c r="A9" s="6" t="s">
        <v>57</v>
      </c>
      <c r="B9" s="6" t="s">
        <v>58</v>
      </c>
      <c r="C9" s="6" t="s">
        <v>47</v>
      </c>
    </row>
    <row r="10" spans="1:9" ht="24" customHeight="1">
      <c r="A10" s="6" t="s">
        <v>59</v>
      </c>
      <c r="B10" s="6" t="s">
        <v>60</v>
      </c>
      <c r="C10" s="6" t="s">
        <v>47</v>
      </c>
    </row>
    <row r="11" spans="1:9" ht="24" customHeight="1">
      <c r="A11" s="6" t="s">
        <v>61</v>
      </c>
      <c r="B11" s="6" t="s">
        <v>62</v>
      </c>
      <c r="C11" s="6" t="s">
        <v>47</v>
      </c>
    </row>
    <row r="12" spans="1:9" ht="24" customHeight="1">
      <c r="A12" s="6" t="s">
        <v>63</v>
      </c>
      <c r="B12" s="6" t="s">
        <v>64</v>
      </c>
      <c r="C12" s="6" t="s">
        <v>47</v>
      </c>
    </row>
    <row r="13" spans="1:9" ht="24" customHeight="1">
      <c r="A13" s="6" t="s">
        <v>65</v>
      </c>
      <c r="B13" s="6" t="s">
        <v>66</v>
      </c>
      <c r="C13" s="6" t="s">
        <v>47</v>
      </c>
    </row>
    <row r="15" spans="1:9" ht="24" customHeight="1">
      <c r="A15" s="4" t="s">
        <v>67</v>
      </c>
      <c r="B15" s="4" t="s">
        <v>68</v>
      </c>
      <c r="C15" s="4" t="s">
        <v>69</v>
      </c>
      <c r="D15" s="4" t="s">
        <v>70</v>
      </c>
      <c r="E15" s="4" t="s">
        <v>71</v>
      </c>
      <c r="F15" s="4" t="s">
        <v>72</v>
      </c>
      <c r="G15" s="4" t="s">
        <v>73</v>
      </c>
      <c r="H15" s="4" t="s">
        <v>74</v>
      </c>
      <c r="I15" s="4" t="s">
        <v>75</v>
      </c>
    </row>
    <row r="16" spans="1:9" ht="72" customHeight="1">
      <c r="A16" s="6" t="s">
        <v>76</v>
      </c>
      <c r="B16" s="2">
        <v>5</v>
      </c>
      <c r="C16" s="2">
        <v>0.5</v>
      </c>
      <c r="D16" s="2" t="s">
        <v>77</v>
      </c>
      <c r="E16" s="2">
        <v>30</v>
      </c>
      <c r="F16" s="2">
        <v>30</v>
      </c>
      <c r="G16" s="6" t="s">
        <v>78</v>
      </c>
      <c r="H16" s="6" t="s">
        <v>79</v>
      </c>
      <c r="I16" s="6" t="s">
        <v>80</v>
      </c>
    </row>
    <row r="17" spans="1:9" ht="72" customHeight="1">
      <c r="A17" s="6" t="s">
        <v>81</v>
      </c>
      <c r="B17" s="2">
        <v>0.2</v>
      </c>
      <c r="C17" s="2">
        <v>0.02</v>
      </c>
      <c r="D17" s="2">
        <v>0.250</v>
      </c>
      <c r="E17" s="2">
        <v>1.2</v>
      </c>
      <c r="F17" s="2">
        <v>1.2</v>
      </c>
      <c r="G17" s="6" t="s">
        <v>78</v>
      </c>
      <c r="H17" s="6" t="s">
        <v>82</v>
      </c>
      <c r="I17" s="6" t="s">
        <v>80</v>
      </c>
    </row>
    <row r="18" spans="1:9" ht="72" customHeight="1">
      <c r="A18" s="6" t="s">
        <v>83</v>
      </c>
      <c r="B18" s="2">
        <v>4</v>
      </c>
      <c r="C18" s="2">
        <v>0.4</v>
      </c>
      <c r="D18" s="2">
        <v>5.00</v>
      </c>
      <c r="E18" s="2">
        <v>20</v>
      </c>
      <c r="F18" s="2">
        <v>20</v>
      </c>
      <c r="G18" s="6" t="s">
        <v>78</v>
      </c>
      <c r="H18" s="6" t="s">
        <v>84</v>
      </c>
      <c r="I18" s="6" t="s">
        <v>80</v>
      </c>
    </row>
    <row r="19" spans="1:9" ht="72" customHeight="1">
      <c r="A19" s="6" t="s">
        <v>85</v>
      </c>
      <c r="B19" s="2">
        <v>2</v>
      </c>
      <c r="C19" s="2">
        <v>0.20</v>
      </c>
      <c r="D19" s="2">
        <v>2.50</v>
      </c>
      <c r="E19" s="2">
        <v>10</v>
      </c>
      <c r="F19" s="2">
        <v>10</v>
      </c>
      <c r="G19" s="6" t="s">
        <v>78</v>
      </c>
      <c r="H19" s="6" t="s">
        <v>86</v>
      </c>
      <c r="I19" s="6" t="s">
        <v>80</v>
      </c>
    </row>
    <row r="20" spans="1:9" ht="72" customHeight="1">
      <c r="A20" s="6" t="s">
        <v>87</v>
      </c>
      <c r="B20" s="2">
        <v>5</v>
      </c>
      <c r="C20" s="2">
        <v>0.50</v>
      </c>
      <c r="D20" s="2">
        <v>6.25</v>
      </c>
      <c r="E20" s="2">
        <v>25</v>
      </c>
      <c r="F20" s="2">
        <v>25</v>
      </c>
      <c r="G20" s="6" t="s">
        <v>78</v>
      </c>
      <c r="H20" s="6" t="s">
        <v>86</v>
      </c>
      <c r="I20" s="6" t="s">
        <v>80</v>
      </c>
    </row>
    <row r="21" spans="1:9" ht="72" customHeight="1">
      <c r="A21" s="6" t="s">
        <v>88</v>
      </c>
      <c r="B21" s="2">
        <v>10</v>
      </c>
      <c r="C21" s="2">
        <v>0.25</v>
      </c>
      <c r="D21" s="2">
        <v>12.50</v>
      </c>
      <c r="E21" s="2">
        <v>50</v>
      </c>
      <c r="F21" s="2">
        <v>50</v>
      </c>
      <c r="G21" s="6" t="s">
        <v>78</v>
      </c>
      <c r="H21" s="6" t="s">
        <v>86</v>
      </c>
      <c r="I21" s="6" t="s">
        <v>80</v>
      </c>
    </row>
    <row r="22" spans="1:9" ht="72" customHeight="1">
      <c r="A22" s="6" t="s">
        <v>89</v>
      </c>
      <c r="B22" s="2">
        <v>0.2</v>
      </c>
      <c r="C22" s="2">
        <v>0.02</v>
      </c>
      <c r="D22" s="2">
        <v>0.250</v>
      </c>
      <c r="E22" s="2">
        <v>1.2</v>
      </c>
      <c r="F22" s="2">
        <v>1.2</v>
      </c>
      <c r="G22" s="6" t="s">
        <v>78</v>
      </c>
      <c r="H22" s="6" t="s">
        <v>90</v>
      </c>
      <c r="I22" s="6" t="s">
        <v>80</v>
      </c>
    </row>
  </sheetData>
  <dataValidations count="1">
    <dataValidation type="whole" operator="greaterThanOrEqual" allowBlank="1" showInputMessage="1" showErrorMessage="1" sqref="B2">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Turns</vt:lpstr>
      <vt:lpstr>Execution tree</vt:lpstr>
      <vt:lpstr>Reference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2026-09-24T02:17:30Z</dcterms:created>
  <dcterms:modified xsi:type="dcterms:W3CDTF">2026-09-24T02:17:30Z</dcterms:modified>
</cp:coreProperties>
</file>
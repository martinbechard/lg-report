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<sst xmlns="http://schemas.openxmlformats.org/spreadsheetml/2006/main" count="865" uniqueCount="235">
  <si>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</si>
  <si>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</si>
  <si>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</si>
  <si>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</si>
  <si>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</si>
  <si>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</si>
  <si>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</si>
  <si>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</si>
  <si>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</si>
  <si>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</si>
  <si>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</si>
  <si>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</si>
  <si>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</si>
  <si>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</si>
  <si>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</si>
  <si>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</si>
  <si>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</si>
  <si>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</si>
  <si>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</si>
  <si>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</si>
  <si>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</si>
  <si>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</si>
  <si>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</si>
  <si>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</si>
  <si>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</si>
  <si>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</si>
  <si>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</si>
  <si>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</si>
  <si>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</si>
  <si>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</si>
  <si>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</si>
  <si>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</si>
  <si>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</si>
  <si>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</si>
  <si>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</si>
  <si>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</si>
  <si>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</si>
  <si>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</si>
  <si>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</si>
  <si>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</si>
  <si>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</si>
  <si>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</si>
  <si>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</si>
  <si>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</si>
  <si>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</si>
  <si>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</si>
  <si>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</si>
  <si>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</si>
  <si>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</si>
  <si>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01a0cce0-6735-7753-8e79-ce7749b5311e</t>
  </si>
  <si>
    <t>Recording</t>
  </si>
  <si>
    <t>Provider trace</t>
  </si>
  <si>
    <t>FX reference date</t>
  </si>
  <si>
    <t>2026-09-22</t>
  </si>
  <si>
    <t>FX fetched at</t>
  </si>
  <si>
    <t>2026-09-23T06:06:28.037095Z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</si>
  <si>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</si>
  <si>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</si>
  <si>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</si>
  <si>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</si>
  <si>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</si>
  <si>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</si>
  <si>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</si>
  <si>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</si>
  <si>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</si>
  <si>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</si>
  <si>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</si>
  <si>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</si>
  <si>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</si>
  <si>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</si>
  <si>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</si>
  <si>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</si>
  <si>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</si>
  <si>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</si>
  <si>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</si>
  <si>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</si>
  <si>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</si>
  <si>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</si>
  <si>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</si>
  <si>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</si>
  <si>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</si>
  <si>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</si>
  <si>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</si>
  <si>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</si>
  <si>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</si>
  <si>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</si>
  <si>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</si>
  <si>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</si>
  <si>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</si>
  <si>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</si>
  <si>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</si>
  <si>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</si>
  <si>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</si>
  <si>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</si>
  <si>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</si>
  <si>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</si>
  <si>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01a0cce0-673b-7381-86bc-4c8b7a3b3cd2</t>
  </si>
  <si>
    <t>Fresh input</t>
  </si>
  <si>
    <t xml:space="preserve">    Tool definitions</t>
  </si>
  <si>
    <t xml:space="preserve">    System prompt</t>
  </si>
  <si>
    <t>You are a dispatcher for movies, sports, and history. For each question, select the most relevant expert from the task tool descriptions and delegate a self-contained question to exactly that expert. Include relevant context from earlier turns when needed. Use the expert's answer to respond; do not answer domain questions yourself. For ambiguous questions ask the user which domain they mean. For requests outside these domains explain the supported subjects without delegating. Never choose an expert merely to force a match.</t>
  </si>
  <si>
    <t xml:space="preserve">    User prompt</t>
  </si>
  <si>
    <t>Who directed Spirited Away?</t>
  </si>
  <si>
    <t>Cache write</t>
  </si>
  <si>
    <t>Context · added / total</t>
  </si>
  <si>
    <t>LLM response</t>
  </si>
  <si>
    <t>Output</t>
  </si>
  <si>
    <t xml:space="preserve">    Output content</t>
  </si>
  <si>
    <t>[{"type": "function_call", "name": "task", "arguments": "{\"description\":\"Answer the movie question: Who directed the film Spirited Away? Provide the director's name and, if useful, the film's release year. Keep it concise and factually accurate.\",\"subagent_type\":\"movie_expert\"}", "call_id": "call_fQTXffX0DYMpQJyRpeeyO3l0", "id": "fc_01bfb711a688d9f4006ab36ca6b8a087d28630c7c7c85a76ab", "index": 0}]
{"name": "task", "args": {"description": "Answer the movie question: Who directed the film Spirited Away? Provide the director's name and, if useful, the film's release year. Keep it concise and factually accurate.", "subagent_type": "movie_expert"}, "id": "call_fQTXffX0DYMpQJyRpeeyO3l0", "type": "tool_call"}</t>
  </si>
  <si>
    <t>Call total</t>
  </si>
  <si>
    <t>ok</t>
  </si>
  <si>
    <t>Tool · task</t>
  </si>
  <si>
    <t>01a0cce0-6dfc-7842-8cb4-715f37153254</t>
  </si>
  <si>
    <t xml:space="preserve">    Arguments</t>
  </si>
  <si>
    <t>{'description': "Answer the movie question: Who directed the film Spirited Away? Provide the director's name and, if useful, the film's release year. Keep it concise and factually accurate.", 'subagent_type': 'movie_expert'}</t>
  </si>
  <si>
    <t xml:space="preserve">    Result</t>
  </si>
  <si>
    <t>Command(update={'messages': [ToolMessage(content='*Spirited Away* was directed by **Hayao Miyazaki** and released in **2001**. [Source](https://www.ghibli.jp/works/)', tool_call_id='call_fQTXffX0DYMpQJyRpeeyO3l0')]})</t>
  </si>
  <si>
    <t>R2</t>
  </si>
  <si>
    <t>01a0cce0-6dff-7d73-9fe8-97986ba55391</t>
  </si>
  <si>
    <t>You are the movies expert. Use search_movie_reference to retrieve evidence before answering the delegated question. Base factual claims on the returned passages and cite their source URLs. If no relevant evidence is found, explain the collection's limits instead of inventing an answer or claiming web research. Answer concisely. The collection is a small local teaching reference, not a complete or continually updated source.</t>
  </si>
  <si>
    <t>Reasoning</t>
  </si>
  <si>
    <t>[{"id": "rs_05560943d4ef939e006ab36ca80f7087d2b77a5361027a4f7d", "summary": [], "type": "reasoning", "content": [], "index": 0, "encrypted_content": "gAAAAABqs2yoCWDDiimauxpzFQ3_EKiK2i4ZtYpreIsGTtbzvvccn0tikmQBA5BdXOgfuPey9o-Fa19HrzklfM1aNhvtqppUq9MAKm1VjbbpMiZIZ9J9jYtCKC2Bck6cKo2f8xP3c78-lekyMqgbOjY_aTXr6B_e07_jxW7BfGkkJ-mB4JYdoiMGXDOpdEXbd1CV6Bev9nZWM_tvMDsBik90qOLZ2DzbY5sQbZ5YP-ECyT18MFuEGaK7CW2a5MuyohCWH1sX2BEzqWImNZtg9D16r8UrW4Hbs8TXCKFQFzkuvuTd5DP1psbPO4aknZAhl00G-jnEFvnsIRQ7u2tnCOUGWc-hkEy-WDYdizSVXVcrXwy48ahi_WHTWf_3M_7KD0b7z7SYP-m0JO6qHv4QK5LvTEG1YxlZxnp6-6jVTr1_XyB84uJnifgDrp8l--KyjGSwxGIRW8WN-bx--XbhqvMfwl0u4yHPLEks9Gqbvc1J26G5Omkqi1gVBAooaF7D7hHlc89RG1-4mGyii6evIP3btjp2HzB0MAa3otZAPIzneOy__THa5_xce3SuEj19P_v7VpY4P9jxYyqIJAaBb6Cn-kdJjFPtMTPtVV7ZWLI3HJv9QzDsOJroXfgEGwOU2BBKNCY9egX2-FrFCnGy4n5b-sJ_hU7QFsNDAoECxnq0ZL0HeUsKqi9jp1uz_ER0mfm_if-dK2HofJlV0JlEvIKiZWIsDec2_1qaTi62kdIxFrE6qRmY7oe2vU-Z0X520kgTT8Z86jcUhDSRtlxgL_arRA1uF42bPT90krRliF_rbPZ4eN5BWVHVjYGHXepyMG0RvKxRGOVLCul1XDNTO6AIwc7bqSeoauN31i3nIsN1CrLy2ZGLVkws418C1jZRKT3YDMKH-JMr2oTNI7ou2bqDDPtJPVqsjdQJ7Mtkx4Diu01KmfVYmzYPCAMLij4FrmW41mTgsCizuaob4yCiae8uqBm9CKWNddudaWOGvUxLokHuXsTd26JUCJ_BQUqP8UX4wz-MmuwAISplsiYmKiFXnpwwo0SkRHT6NH8JERyoBE2ATtNH9hCU3ebrMTo-E_0Kd0R-r_MZf9p-BtPuuk6Yi3wop4miXwvoYpW4oVjCnsmeK6yqi5mEhrV9ioRzBJxh2z0pgKuWoxDvxJQVlJkklrtUWidgwHEXBBxidTXQMJZf2RxJt6ZqFaJH0xT0tO4XBx4Gi0ej"}, {"type": "function_call", "name": "search_movie_reference", "arguments": "{\"query\":\"Who directed the film Spirited Away? Include director and release year.\"}", "call_id": "call_eRwbrLBgu4XYeUicLddKy3yk", "id": "fc_05560943d4ef939e006ab36ca83a4c87d2acc0a6b30564a3f8", "index": 1}]
{"name": "search_movie_reference", "args": {"query": "Who directed the film Spirited Away? Include director and release year."}, "id": "call_eRwbrLBgu4XYeUicLddKy3yk", "type": "tool_call"}</t>
  </si>
  <si>
    <t>Tool · search_movie_reference</t>
  </si>
  <si>
    <t>01a0cce0-72b4-7021-80e5-546ed0198f9f</t>
  </si>
  <si>
    <t>{'query': 'Who directed the film Spirited Away? Include director and release year.'}</t>
  </si>
  <si>
    <t>Spirited Away
Spirited Away was directed by Hayao Miyazaki and released in 2001.
Source: https://www.ghibli.jp/works/</t>
  </si>
  <si>
    <t>R3</t>
  </si>
  <si>
    <t>01a0cce0-72b6-72b2-9083-549c77f57bca</t>
  </si>
  <si>
    <t>Conversation history · cache read</t>
  </si>
  <si>
    <t xml:space="preserve">    Tool result</t>
  </si>
  <si>
    <t>[{"type": "text", "text": "*Spirited Away* was directed by **Hayao Miyazaki** and released in **2001**. [Source](https://www.ghibli.jp/works/)", "phase": "final_answer", "index": 0, "id": "msg_05560943d4ef939e006ab36ca9327887d2bd99ceacba810971"}]</t>
  </si>
  <si>
    <t>R4</t>
  </si>
  <si>
    <t>01a0cce0-76d3-7d11-997d-232ba008e854</t>
  </si>
  <si>
    <t>*Spirited Away* was directed by **Hayao Miyazaki** and released in **2001**. [Source](https://www.ghibli.jp/works/)</t>
  </si>
  <si>
    <t>[{"type": "text", "text": "*Spirited Away* was directed by **Hayao Miyazaki**.", "phase": "final_answer", "index": 0, "id": "msg_01bfb711a688d9f4006ab36caa2e8487d2989b20fb595cfbe3"}]</t>
  </si>
  <si>
    <t>Turn 2</t>
  </si>
  <si>
    <t>R5</t>
  </si>
  <si>
    <t>01a0cce0-7a25-7800-b4a8-95fea5aebf69</t>
  </si>
  <si>
    <t>How many players does a basketball team have on court?</t>
  </si>
  <si>
    <t>[{"type": "function_call", "name": "task", "arguments": "{\"description\":\"Answer this sports rules question: How many players from one basketball team are on the court at a time during standard basketball play? Mention the usual five-player rule, and briefly note if relevant that rules can vary by format (such as 3x3). Keep it concise.\",\"subagent_type\":\"sports_expert\"}", "call_id": "call_kIUUc8kx5AP4y5q4UPHxCoDx", "id": "fc_01bfb711a688d9f4006ab36cab1b8487d29058068b0fc9517f", "index": 0}]
{"name": "task", "args": {"description": "Answer this sports rules question: How many players from one basketball team are on the court at a time during standard basketball play? Mention the usual five-player rule, and briefly note if relevant that rules can vary by format (such as 3x3). Keep it concise.", "subagent_type": "sports_expert"}, "id": "call_kIUUc8kx5AP4y5q4UPHxCoDx", "type": "tool_call"}</t>
  </si>
  <si>
    <t>01a0cce0-8083-70a2-8711-35071f6e667e</t>
  </si>
  <si>
    <t>{'description': 'Answer this sports rules question: How many players from one basketball team are on the court at a time during standard basketball play? Mention the usual five-player rule, and briefly note if relevant that rules can vary by format (such as 3x3). Keep it concise.', 'subagent_type': 'sports_expert'}</t>
  </si>
  <si>
    <t>Command(update={'messages': [ToolMessage(content='In standard basketball, **five players from each team** are on the court at a time. Other formats vary—for example, **3x3 basketball uses three players per team**. [FIBA](https://about.fiba.basketball/en/our-sport/basketball)', tool_call_id='call_kIUUc8kx5AP4y5q4UPHxCoDx')]})</t>
  </si>
  <si>
    <t>R6</t>
  </si>
  <si>
    <t>01a0cce0-8086-79c3-b591-884905dd4c6f</t>
  </si>
  <si>
    <t>You are the sports expert. Use search_sports_reference to retrieve evidence before answering the delegated question. Base factual claims on the returned passages and cite their source URLs. If no relevant evidence is found, explain the collection's limits instead of inventing an answer or claiming web research. Answer concisely. The collection is a small local teaching reference, not a complete or continually updated source.</t>
  </si>
  <si>
    <t>[{"id": "rs_0cca63b5ce4951db006ab36cacc97c87d2a1d7ff9442a60a81", "summary": [], "type": "reasoning", "content": [], "index": 0, "encrypted_content": "gAAAAABqs2yt_WDtmOf5wmkhq2NJ_Kfc3fBkWEDuj7RSfCh3gR-eJod2QnBJqhztpWq02r2i9WJgAdL6J48m0B7KVC8MFDjij7hrblcjVYHrkBHoG34-Ah4XSmUkhkLKxz7PJPqEVHRxwqrFmefK6BmVkUBu0RUPluNFTslEH7WPNqb85shvflIR4G1yovujbEUuWBQqtWIBlq0Ap2-HDYzHiA-O_fo17F1tOAyrH_sU0bQj70bwL5x2FP6Fbv1XC-3FtRYavEnT2IkQD5ZPvKGH-4qO9GApElZgWR6vNG2q21GC1cHQzvmHR_JvekvJBtPsaaDgWGoVvyzhZfxCU3gQ667Ix960XIqBmAYIzpsZ9n6Rnu_Y3aTvQoE-lF8lDim3VLxKvEcpoGkOcn17dhNz7eXckjpLprjLgk8z-8tWvaSaKm0YO0DAPLW8YZZUIayS6SLi7DoOtmTNGv9xNXR78zs0xad_AkUVgvU6gULIBxYjt3gltf3U3WQeVBhcm4cLbF8wWP6V1CcdI7HLnSLHxjDxZnT2eHxtK8UltJ8LxBJoQlXcegQg3ki3TwtGFFVNzSgzPyJc6ajfMAZb7wOhtDBR2teHp_AjSJM9Skfp-_kx0AcX7fKLeOpXmFcr_beY2sIUbyvkS3_RyWhRgpnhJJP4HDfHOp5ZlArwIB3uOb4KO1W3dOVrdfLrD-9nlKDTVOBAScSlDY12g_IU4KpDhUXObJtBCo92bYxXnwOfWL6-ZkJ5rqBB6ngjwuMkiCT8XoImkj0dAVSMbGClPrqk21FwWE2Fh9oPWs2yAToN6OD-yyWn1iwYFOZeaqDK8kUuVVPhEkLAd5IH-gvIPGsKe36mb0GUHjXwiTARytNQVch_mmS7auKTIjIDhSMf_loisaYwUiuWSGiSGRhTehFnFTFMLKk-l7T5b7O--1HEKahJi1EQsbZ9wQY_l6nJQW7PJqpLhcdsRXZzjzoB_cuFAyZynPr-K55is0GzpEahoy5JjzyjesyspClmXrrBzSdq35rDhqpabD-tZOfvHKrhNFS9wsjFbrj6w52FICc7HMUThjpUZYdQOM28a9XkjUURbZwfE-pJPXBhAGr7fobzEOX9LCGFTf0AwkkM3HwpjyV5UgvrRriVMCcpTwAnCBAK4qCWu-Q0YnpNhWKiuGVGpei50io_l2lV9TKB5-a-k0rAPqGbpxXWHO7VEi9sE2dVPKmBdxGw"}, {"type": "function_call", "name": "search_sports_reference", "arguments": "{\"query\":\"How many players from one basketball team are on the court at a time during standard basketball play? usual five-player rule and 3x3 variation\"}", "call_id": "call_5P5x3EaI3rhJfUdzCFdKaUvL", "id": "fc_0cca63b5ce4951db006ab36cad032487d2b15ba2c6a7d077f6", "index": 1}]
{"name": "search_sports_reference", "args": {"query": "How many players from one basketball team are on the court at a time during standard basketball play? usual five-player rule and 3x3 variation"}, "id": "call_5P5x3EaI3rhJfUdzCFdKaUvL", "type": "tool_call"}</t>
  </si>
  <si>
    <t>Tool · search_sports_reference</t>
  </si>
  <si>
    <t>01a0cce0-86e8-7831-9f70-ab248e3fa642</t>
  </si>
  <si>
    <t>{'query': 'How many players from one basketball team are on the court at a time during standard basketball play? usual five-player rule and 3x3 variation'}</t>
  </si>
  <si>
    <t>Standard basketball teams
Standard basketball has two teams of five players on court. This is not the separate 3x3 format.
Source: https://about.fiba.basketball/en/our-sport/basketball</t>
  </si>
  <si>
    <t>R7</t>
  </si>
  <si>
    <t>01a0cce0-86ea-7592-b133-6c2752827ac5</t>
  </si>
  <si>
    <t>[{"type": "text", "text": "In standard basketball, **five players from each team** are on the court at a time. Other formats vary\u2014for example, **3x3 basketball uses three players per team**. [FIBA](https://about.fiba.basketball/en/our-sport/basketball)", "phase": "final_answer", "index": 0, "id": "msg_0cca63b5ce4951db006ab36cae50e087d283ef0b2e43bd347a"}]</t>
  </si>
  <si>
    <t>R8</t>
  </si>
  <si>
    <t>01a0cce0-8c38-7723-b72a-5b81b7556b81</t>
  </si>
  <si>
    <t>In standard basketball, **five players from each team** are on the court at a time. Other formats vary—for example, **3x3 basketball uses three players per team**. [FIBA](https://about.fiba.basketball/en/our-sport/basketball)</t>
  </si>
  <si>
    <t>[{"type": "text", "text": "In standard basketball, **five players per team** are on the court at a time.", "phase": "final_answer", "index": 0, "id": "msg_01bfb711a688d9f4006ab36cafcc9087d28a9f005ff4824f0b"}]</t>
  </si>
  <si>
    <t>Turn 3</t>
  </si>
  <si>
    <t>R9</t>
  </si>
  <si>
    <t>01a0cce0-9062-7552-9690-6278e93401d3</t>
  </si>
  <si>
    <t>In which year did the Berlin Wall fall?</t>
  </si>
  <si>
    <t>[{"type": "function_call", "name": "task", "arguments": "{\"description\":\"Answer this history question: In which year did the Berlin Wall fall? Give the year and, if useful, the date (9 November). Keep it concise and accurate.\",\"subagent_type\":\"history_expert\"}", "call_id": "call_gCytLnlCZd19JdIN3DhuOGoH", "id": "fc_01bfb711a688d9f4006ab36cb1638087d285e4d75556e6bfca", "index": 0}]
{"name": "task", "args": {"description": "Answer this history question: In which year did the Berlin Wall fall? Give the year and, if useful, the date (9 November). Keep it concise and accurate.", "subagent_type": "history_expert"}, "id": "call_gCytLnlCZd19JdIN3DhuOGoH", "type": "tool_call"}</t>
  </si>
  <si>
    <t>01a0cce0-9884-7282-9bd6-f28a2472d0cc</t>
  </si>
  <si>
    <t>{'description': 'Answer this history question: In which year did the Berlin Wall fall? Give the year and, if useful, the date (9 November). Keep it concise and accurate.', 'subagent_type': 'history_expert'}</t>
  </si>
  <si>
    <t>Command(update={'messages': [ToolMessage(content='The Berlin Wall fell in **1989**, on **9 November**. [Source](https://www.stiftung-berliner-mauer.de/de/ueber-uns/leichte-sprache/geschichte)', tool_call_id='call_gCytLnlCZd19JdIN3DhuOGoH')]})</t>
  </si>
  <si>
    <t>R10</t>
  </si>
  <si>
    <t>01a0cce0-9887-7ea3-a249-4e2712e4b63b</t>
  </si>
  <si>
    <t>You are the history expert. Use search_history_reference to retrieve evidence before answering the delegated question. Base factual claims on the returned passages and cite their source URLs. If no relevant evidence is found, explain the collection's limits instead of inventing an answer or claiming web research. Answer concisely. The collection is a small local teaching reference, not a complete or continually updated source.</t>
  </si>
  <si>
    <t>[{"type": "function_call", "name": "search_history_reference", "arguments": "{\"query\":\"In which year did the Berlin Wall fall? Date 9 November\"}", "call_id": "call_wwPYoEAWNebiCjRkOFUED6Hs", "id": "fc_0bd57306de4d18b3006ab36cb339dc87d2ae9562865cc15b62", "index": 0}]
{"name": "search_history_reference", "args": {"query": "In which year did the Berlin Wall fall? Date 9 November"}, "id": "call_wwPYoEAWNebiCjRkOFUED6Hs", "type": "tool_call"}</t>
  </si>
  <si>
    <t>Tool · search_history_reference</t>
  </si>
  <si>
    <t>01a0cce0-9db8-7c60-9777-e9b2ee77195c</t>
  </si>
  <si>
    <t>{'query': 'In which year did the Berlin Wall fall? Date 9 November'}</t>
  </si>
  <si>
    <t>Opening of the Berlin Wall
The Berlin Wall opened on 9 November 1989. The opening and subsequent physical demolition are distinct events.
Source: https://www.stiftung-berliner-mauer.de/de/ueber-uns/leichte-sprache/geschichte</t>
  </si>
  <si>
    <t>R11</t>
  </si>
  <si>
    <t>01a0cce0-9dba-7b73-a33b-1ac39dbf419b</t>
  </si>
  <si>
    <t>[{"type": "text", "text": "The Berlin Wall fell in **1989**, on **9 November**. [Source](https://www.stiftung-berliner-mauer.de/de/ueber-uns/leichte-sprache/geschichte)", "phase": "final_answer", "index": 0, "id": "msg_0bd57306de4d18b3006ab36cb48a0887d2b1efd650f7edcbd4"}]</t>
  </si>
  <si>
    <t>R12</t>
  </si>
  <si>
    <t>01a0cce0-a39b-7d32-b3a2-77bbfe691ac6</t>
  </si>
  <si>
    <t>The Berlin Wall fell in **1989**, on **9 November**. [Source](https://www.stiftung-berliner-mauer.de/de/ueber-uns/leichte-sprache/geschichte)</t>
  </si>
  <si>
    <t>[{"type": "text", "text": "The Berlin Wall fell in **1989**, on **November 9**.", "phase": "final_answer", "index": 0, "id": "msg_01bfb711a688d9f4006ab36cb6a54887d29d14193c12d4c596"}]</t>
  </si>
  <si>
    <t>dispatcher_agent</t>
  </si>
  <si>
    <t>workflow</t>
  </si>
  <si>
    <t>Execute the dispatcher_agent workflow operation and pass its result to the next graph step.</t>
  </si>
  <si>
    <t>Subtree total</t>
  </si>
  <si>
    <t xml:space="preserve">    model</t>
  </si>
  <si>
    <t>Prepare the current conversation, run model middleware, and invoke the chat model.</t>
  </si>
  <si>
    <t>01a0cce0-6739-77d0-8d8f-4f8e2b6b7f10</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</si>
  <si>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</si>
  <si>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</si>
  <si>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</si>
  <si>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</si>
  <si>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</si>
  <si>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</si>
  <si>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01a0cce0-6dfb-7562-82c4-b07fd21efb11</t>
  </si>
  <si>
    <t xml:space="preserve">        task</t>
  </si>
  <si>
    <t>tool</t>
  </si>
  <si>
    <t>Delegate a self-contained question to the matching expert. Available experts:
- movie_expert: Specialist for questions about movies, with its own local reference lookup.
- sports_expert: Specialist for questions about sports, with its own local reference lookup.
- history_expert: Specialist for questions about history, with its own local reference lookup.</t>
  </si>
  <si>
    <t xml:space="preserve">            movie_expert</t>
  </si>
  <si>
    <t>Execute the movie_expert workflow operation and pass its result to the next graph step.</t>
  </si>
  <si>
    <t>01a0cce0-6dfc-7842-8cb4-71621a174e6a</t>
  </si>
  <si>
    <t xml:space="preserve">                model</t>
  </si>
  <si>
    <t>01a0cce0-6dfd-7931-a66d-651cb3e0966a</t>
  </si>
  <si>
    <t xml:space="preserve">                    ChatOpenAI</t>
  </si>
  <si>
    <t xml:space="preserve">                tools</t>
  </si>
  <si>
    <t>01a0cce0-72b3-7931-98fd-4ba3e0494b8c</t>
  </si>
  <si>
    <t>No model charge</t>
  </si>
  <si>
    <t xml:space="preserve">                    search_movie_reference</t>
  </si>
  <si>
    <t>Look up local movie evidence by phrase; return sources or an explicit miss.</t>
  </si>
  <si>
    <t>01a0cce0-72b6-72b2-9083-5482a706f4e8</t>
  </si>
  <si>
    <t>01a0cce0-76d2-71c0-997c-1ec4992f25c7</t>
  </si>
  <si>
    <t>01a0cce0-7a23-7e50-bcc8-7c2011948a2c</t>
  </si>
  <si>
    <t>01a0cce0-7a24-7381-be04-7ec2c9ebef39</t>
  </si>
  <si>
    <t>01a0cce0-8083-70a2-8711-34fb64463027</t>
  </si>
  <si>
    <t xml:space="preserve">            sports_expert</t>
  </si>
  <si>
    <t>Execute the sports_expert workflow operation and pass its result to the next graph step.</t>
  </si>
  <si>
    <t>01a0cce0-8084-73f0-b870-b04ca38304cb</t>
  </si>
  <si>
    <t>01a0cce0-8084-73f0-b870-b053bae845f6</t>
  </si>
  <si>
    <t>01a0cce0-86e7-76a0-b17a-ca6bcaafdbe2</t>
  </si>
  <si>
    <t xml:space="preserve">                    search_sports_reference</t>
  </si>
  <si>
    <t>Look up local sports evidence by phrase; return sources or an explicit miss.</t>
  </si>
  <si>
    <t>01a0cce0-86ea-7592-b133-6c1720ff69da</t>
  </si>
  <si>
    <t>01a0cce0-8c37-7ac2-ab19-eed5a841abd9</t>
  </si>
  <si>
    <t>01a0cce0-9060-7c82-8556-4973efb47cb5</t>
  </si>
  <si>
    <t>01a0cce0-9061-7172-8e3c-18ba4ec467d2</t>
  </si>
  <si>
    <t>01a0cce0-9883-7b02-9233-be303c155e86</t>
  </si>
  <si>
    <t xml:space="preserve">            history_expert</t>
  </si>
  <si>
    <t>Execute the history_expert workflow operation and pass its result to the next graph step.</t>
  </si>
  <si>
    <t>01a0cce0-9884-7282-9bd6-f290ab7207c2</t>
  </si>
  <si>
    <t>01a0cce0-9885-7232-9d07-db0853895c8e</t>
  </si>
  <si>
    <t>01a0cce0-9db7-7b81-a0c3-d6963e2eb0b3</t>
  </si>
  <si>
    <t xml:space="preserve">                    search_history_reference</t>
  </si>
  <si>
    <t>Look up local history evidence by phrase; return sources or an explicit miss.</t>
  </si>
  <si>
    <t>01a0cce0-9dba-7b73-a33b-1ab1a49b11bc</t>
  </si>
  <si>
    <t>01a0cce0-a39a-73b3-b565-26fe9f145163</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</si>
</sst>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170"/>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16,'Turns'!E32,'Turns'!E47,'Turns'!E59,'Turns'!E72,'Turns'!E88,'Turns'!E103,'Turns'!E115,'Turns'!E128,'Turns'!E143,'Turns'!E158,'Turns'!E170)=12,SUM('Turns'!E16,'Turns'!E32,'Turns'!E47,'Turns'!E59,'Turns'!E72,'Turns'!E88,'Turns'!E103,'Turns'!E115,'Turns'!E128,'Turns'!E143,'Turns'!E158,'Turns'!E170),"Unknown")</f>
        <v>0.001329317406</v>
      </c>
      <c r="F2" s="2">
        <f>IF(COUNT('Turns'!F16,'Turns'!F32,'Turns'!F47,'Turns'!F59,'Turns'!F72,'Turns'!F88,'Turns'!F103,'Turns'!F115,'Turns'!F128,'Turns'!F143,'Turns'!F158,'Turns'!F170)=12,SUM('Turns'!F16,'Turns'!F32,'Turns'!F47,'Turns'!F59,'Turns'!F72,'Turns'!F88,'Turns'!F103,'Turns'!F115,'Turns'!F128,'Turns'!F143,'Turns'!F158,'Turns'!F170),"Unknown")</f>
        <v>0.0015238</v>
      </c>
      <c r="G2" s="5">
        <f>IF(ISNUMBER(E2),ROUND(E2*'Reference data'!$B$2,0),"Unknown")</f>
        <v>133.0</v>
      </c>
      <c r="H2" s="5">
        <f>IF(ISNUMBER(F2),ROUND(F2*'Reference data'!$B$2,0),"Unknown")</f>
        <v>152.0</v>
      </c>
    </row>
    <row r="3" spans="1:13" s="4" customFormat="1" ht="24" customHeight="1">
      <c r="B3" s="4">
        <v>1</v>
      </c>
      <c r="C3" s="4" t="s">
        <v>92</v>
      </c>
      <c r="E3" s="2">
        <f>IF(COUNT('Turns'!E16,'Turns'!E32,'Turns'!E47,'Turns'!E59)=4,SUM('Turns'!E16,'Turns'!E32,'Turns'!E47,'Turns'!E59),"Unknown")</f>
        <v>0.000367442244</v>
      </c>
      <c r="F3" s="2">
        <f>IF(COUNT('Turns'!F16,'Turns'!F32,'Turns'!F47,'Turns'!F59)=4,SUM('Turns'!F16,'Turns'!F32,'Turns'!F47,'Turns'!F59),"Unknown")</f>
        <v>0.0004212</v>
      </c>
      <c r="G3" s="5">
        <f>IF(ISNUMBER(E3),ROUND(E3*'Reference data'!$B$2,0),"Unknown")</f>
        <v>37.0</v>
      </c>
      <c r="H3" s="5">
        <f>IF(ISNUMBER(F3),ROUND(F3*'Reference data'!$B$2,0),"Unknown")</f>
        <v>42.0</v>
      </c>
    </row>
    <row r="4" spans="1:13" s="4" customFormat="1" ht="24" customHeight="1">
      <c r="A4" s="4" t="s">
        <v>93</v>
      </c>
      <c r="B4" s="4">
        <v>1</v>
      </c>
      <c r="C4" s="4" t="s">
        <v>94</v>
      </c>
      <c r="D4" s="4">
        <v>262</v>
      </c>
      <c r="J4" s="4" t="s">
        <v>95</v>
      </c>
      <c r="M4" s="4" t="s">
        <v>96</v>
      </c>
    </row>
    <row r="5" spans="1:13" ht="24" customHeight="1">
      <c r="A5" t="s">
        <v>93</v>
      </c>
      <c r="B5">
        <v>1</v>
      </c>
      <c r="C5" t="s">
        <v>97</v>
      </c>
      <c r="D5" s="5">
        <v>262</v>
      </c>
      <c r="E5" s="2">
        <f>IF(AND(ISNUMBER(F5),ISNUMBER('Reference data'!$B$3)),F5*'Reference data'!$B$3,"Unknown")</f>
        <v>4.5712188e-05</v>
      </c>
      <c r="F5" s="2">
        <f>IF(D5=0,0,IF(ISNUMBER('Reference data'!B17),D5*'Reference data'!B17/1000000,"Unknown"))</f>
        <v>5.24e-05</v>
      </c>
      <c r="G5" s="5">
        <f>IF(ISNUMBER(E5),ROUND(E5*'Reference data'!$B$2,0),"Unknown")</f>
        <v>5.0</v>
      </c>
      <c r="H5" s="5">
        <f>IF(ISNUMBER(F5),ROUND(F5*'Reference data'!$B$2,0),"Unknown")</f>
        <v>5.0</v>
      </c>
    </row>
    <row r="6" spans="1:13" ht="24" customHeight="1">
      <c r="A6" t="s">
        <v>93</v>
      </c>
      <c r="B6">
        <v>1</v>
      </c>
      <c r="C6" t="s">
        <v>98</v>
      </c>
    </row>
    <row r="7" spans="1:13" ht="86" customHeight="1">
      <c r="A7" t="s">
        <v>93</v>
      </c>
      <c r="B7">
        <v>1</v>
      </c>
      <c r="C7" t="s">
        <v>99</v>
      </c>
      <c r="I7" s="6" t="s">
        <v>100</v>
      </c>
    </row>
    <row r="8" spans="1:13" ht="2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60</v>
      </c>
    </row>
    <row r="12" spans="1:13" ht="24" customHeight="1">
      <c r="A12" t="s">
        <v>93</v>
      </c>
      <c r="B12">
        <v>1</v>
      </c>
      <c r="C12" t="s">
        <v>106</v>
      </c>
      <c r="D12" s="5">
        <v>60</v>
      </c>
      <c r="E12" s="2">
        <f>IF(AND(ISNUMBER(F12),ISNUMBER('Reference data'!$B$3)),F12*'Reference data'!$B$3,"Unknown")</f>
        <v>6.281064e-05</v>
      </c>
      <c r="F12" s="2">
        <f>IF(D12=0,0,IF(ISNUMBER('Reference data'!E17),D12*'Reference data'!E17/1000000,"Unknown"))</f>
        <v>7.2e-05</v>
      </c>
      <c r="G12" s="5">
        <f>IF(ISNUMBER(E12),ROUND(E12*'Reference data'!$B$2,0),"Unknown")</f>
        <v>6.0</v>
      </c>
      <c r="H12" s="5">
        <f>IF(ISNUMBER(F12),ROUND(F12*'Reference data'!$B$2,0),"Unknown")</f>
        <v>7.0</v>
      </c>
    </row>
    <row r="13" spans="1:13" ht="125" customHeight="1">
      <c r="A13" t="s">
        <v>93</v>
      </c>
      <c r="B13">
        <v>1</v>
      </c>
      <c r="C13" t="s">
        <v>107</v>
      </c>
      <c r="I13" s="6" t="s">
        <v>108</v>
      </c>
    </row>
    <row r="14" spans="1:13" ht="24" customHeight="1">
      <c r="A14" t="s">
        <v>93</v>
      </c>
      <c r="B14">
        <v>1</v>
      </c>
      <c r="C14" t="s">
        <v>103</v>
      </c>
    </row>
    <row r="15" spans="1:13" ht="24" customHeight="1">
      <c r="A15" t="s">
        <v>93</v>
      </c>
      <c r="B15">
        <v>1</v>
      </c>
      <c r="C15" t="s">
        <v>104</v>
      </c>
    </row>
    <row r="16" spans="1:13" s="4" customFormat="1" ht="24" customHeight="1">
      <c r="A16" s="4" t="s">
        <v>93</v>
      </c>
      <c r="B16" s="4">
        <v>1</v>
      </c>
      <c r="C16" s="4" t="s">
        <v>109</v>
      </c>
      <c r="E16" s="2">
        <f>IF(COUNT('Turns'!E5,'Turns'!E12)=2,SUM('Turns'!E5,'Turns'!E12),"Unknown")</f>
        <v>0.000108522828</v>
      </c>
      <c r="F16" s="2">
        <f>IF(COUNT('Turns'!F5,'Turns'!F12)=2,SUM('Turns'!F5,'Turns'!F12),"Unknown")</f>
        <v>0.0001244</v>
      </c>
      <c r="G16" s="5">
        <f>IF(ISNUMBER(E16),ROUND(E16*'Reference data'!$B$2,0),"Unknown")</f>
        <v>11.0</v>
      </c>
      <c r="H16" s="5">
        <f>IF(ISNUMBER(F16),ROUND(F16*'Reference data'!$B$2,0),"Unknown")</f>
        <v>12.0</v>
      </c>
      <c r="K16" s="4" t="s">
        <v>110</v>
      </c>
    </row>
    <row r="17" spans="1:13" s="4" customFormat="1" ht="24" customHeight="1">
      <c r="B17" s="4">
        <v>1</v>
      </c>
      <c r="C17" s="4" t="s">
        <v>111</v>
      </c>
      <c r="K17" s="4" t="s">
        <v>110</v>
      </c>
      <c r="M17" s="4" t="s">
        <v>112</v>
      </c>
    </row>
    <row r="18" spans="1:13" ht="47" customHeight="1">
      <c r="B18">
        <v>1</v>
      </c>
      <c r="C18" t="s">
        <v>113</v>
      </c>
      <c r="I18" s="6" t="s">
        <v>114</v>
      </c>
    </row>
    <row r="19" spans="1:13" ht="47" customHeight="1">
      <c r="B19">
        <v>1</v>
      </c>
      <c r="C19" t="s">
        <v>115</v>
      </c>
      <c r="I19" s="6" t="s">
        <v>116</v>
      </c>
    </row>
    <row r="20" spans="1:13" s="4" customFormat="1" ht="24" customHeight="1">
      <c r="A20" s="4" t="s">
        <v>117</v>
      </c>
      <c r="B20" s="4">
        <v>1</v>
      </c>
      <c r="C20" s="4" t="s">
        <v>94</v>
      </c>
      <c r="D20" s="4">
        <v>197</v>
      </c>
      <c r="J20" s="4" t="s">
        <v>95</v>
      </c>
      <c r="M20" s="4" t="s">
        <v>118</v>
      </c>
    </row>
    <row r="21" spans="1:13" ht="24" customHeight="1">
      <c r="A21" t="s">
        <v>117</v>
      </c>
      <c r="B21">
        <v>1</v>
      </c>
      <c r="C21" t="s">
        <v>97</v>
      </c>
      <c r="D21" s="5">
        <v>197</v>
      </c>
      <c r="E21" s="2">
        <f>IF(AND(ISNUMBER(F21),ISNUMBER('Reference data'!$B$3)),F21*'Reference data'!$B$3,"Unknown")</f>
        <v>3.4371378e-05</v>
      </c>
      <c r="F21" s="2">
        <f>IF(D21=0,0,IF(ISNUMBER('Reference data'!B17),D21*'Reference data'!B17/1000000,"Unknown"))</f>
        <v>3.94e-05</v>
      </c>
      <c r="G21" s="5">
        <f>IF(ISNUMBER(E21),ROUND(E21*'Reference data'!$B$2,0),"Unknown")</f>
        <v>3.0</v>
      </c>
      <c r="H21" s="5">
        <f>IF(ISNUMBER(F21),ROUND(F21*'Reference data'!$B$2,0),"Unknown")</f>
        <v>4.0</v>
      </c>
    </row>
    <row r="22" spans="1:13" ht="24" customHeight="1">
      <c r="A22" t="s">
        <v>117</v>
      </c>
      <c r="B22">
        <v>1</v>
      </c>
      <c r="C22" t="s">
        <v>98</v>
      </c>
    </row>
    <row r="23" spans="1:13" ht="73" customHeight="1">
      <c r="A23" t="s">
        <v>117</v>
      </c>
      <c r="B23">
        <v>1</v>
      </c>
      <c r="C23" t="s">
        <v>99</v>
      </c>
      <c r="I23" s="6" t="s">
        <v>119</v>
      </c>
    </row>
    <row r="24" spans="1:13" ht="24" customHeight="1">
      <c r="A24" t="s">
        <v>117</v>
      </c>
      <c r="B24">
        <v>1</v>
      </c>
      <c r="C24" t="s">
        <v>103</v>
      </c>
    </row>
    <row r="25" spans="1:13" ht="24" customHeight="1">
      <c r="A25" t="s">
        <v>117</v>
      </c>
      <c r="B25">
        <v>1</v>
      </c>
      <c r="C25" t="s">
        <v>104</v>
      </c>
    </row>
    <row r="26" spans="1:13" s="4" customFormat="1" ht="24" customHeight="1">
      <c r="A26" s="4" t="s">
        <v>117</v>
      </c>
      <c r="B26" s="4">
        <v>1</v>
      </c>
      <c r="C26" s="4" t="s">
        <v>105</v>
      </c>
      <c r="D26" s="4">
        <v>43</v>
      </c>
    </row>
    <row r="27" spans="1:13" ht="24" customHeight="1">
      <c r="A27" t="s">
        <v>117</v>
      </c>
      <c r="B27">
        <v>1</v>
      </c>
      <c r="C27" t="s">
        <v>120</v>
      </c>
      <c r="D27" s="5">
        <v>9</v>
      </c>
      <c r="E27" s="2">
        <f>IF(AND(ISNUMBER(F27),ISNUMBER('Reference data'!$B$3)),F27*'Reference data'!$B$3,"Unknown")</f>
        <v>9.421596e-06</v>
      </c>
      <c r="F27" s="2">
        <f>IF(D27=0,0,IF(ISNUMBER('Reference data'!F17),D27*'Reference data'!F17/1000000,"Unknown"))</f>
        <v>1.08e-05</v>
      </c>
      <c r="G27" s="5">
        <f>IF(ISNUMBER(E27),ROUND(E27*'Reference data'!$B$2,0),"Unknown")</f>
        <v>1.0</v>
      </c>
      <c r="H27" s="5">
        <f>IF(ISNUMBER(F27),ROUND(F27*'Reference data'!$B$2,0),"Unknown")</f>
        <v>1.0</v>
      </c>
    </row>
    <row r="28" spans="1:13" ht="24" customHeight="1">
      <c r="A28" t="s">
        <v>117</v>
      </c>
      <c r="B28">
        <v>1</v>
      </c>
      <c r="C28" t="s">
        <v>106</v>
      </c>
      <c r="D28" s="5">
        <v>34</v>
      </c>
      <c r="E28" s="2">
        <f>IF(AND(ISNUMBER(F28),ISNUMBER('Reference data'!$B$3)),F28*'Reference data'!$B$3,"Unknown")</f>
        <v>3.5592696e-05</v>
      </c>
      <c r="F28" s="2">
        <f>IF(D28=0,0,IF(ISNUMBER('Reference data'!E17),D28*'Reference data'!E17/1000000,"Unknown"))</f>
        <v>4.08e-05</v>
      </c>
      <c r="G28" s="5">
        <f>IF(ISNUMBER(E28),ROUND(E28*'Reference data'!$B$2,0),"Unknown")</f>
        <v>4.0</v>
      </c>
      <c r="H28" s="5">
        <f>IF(ISNUMBER(F28),ROUND(F28*'Reference data'!$B$2,0),"Unknown")</f>
        <v>4.0</v>
      </c>
    </row>
    <row r="29" spans="1:13" ht="294" customHeight="1">
      <c r="A29" t="s">
        <v>117</v>
      </c>
      <c r="B29">
        <v>1</v>
      </c>
      <c r="C29" t="s">
        <v>107</v>
      </c>
      <c r="I29" s="6" t="s">
        <v>121</v>
      </c>
    </row>
    <row r="30" spans="1:13" ht="24" customHeight="1">
      <c r="A30" t="s">
        <v>117</v>
      </c>
      <c r="B30">
        <v>1</v>
      </c>
      <c r="C30" t="s">
        <v>103</v>
      </c>
    </row>
    <row r="31" spans="1:13" ht="24" customHeight="1">
      <c r="A31" t="s">
        <v>117</v>
      </c>
      <c r="B31">
        <v>1</v>
      </c>
      <c r="C31" t="s">
        <v>104</v>
      </c>
    </row>
    <row r="32" spans="1:13" s="4" customFormat="1" ht="24" customHeight="1">
      <c r="A32" s="4" t="s">
        <v>117</v>
      </c>
      <c r="B32" s="4">
        <v>1</v>
      </c>
      <c r="C32" s="4" t="s">
        <v>109</v>
      </c>
      <c r="E32" s="2">
        <f>IF(COUNT('Turns'!E21,'Turns'!E27,'Turns'!E28)=3,SUM('Turns'!E21,'Turns'!E27,'Turns'!E28),"Unknown")</f>
        <v>7.938567e-05</v>
      </c>
      <c r="F32" s="2">
        <f>IF(COUNT('Turns'!F21,'Turns'!F27,'Turns'!F28)=3,SUM('Turns'!F21,'Turns'!F27,'Turns'!F28),"Unknown")</f>
        <v>9.1e-05</v>
      </c>
      <c r="G32" s="5">
        <f>IF(ISNUMBER(E32),ROUND(E32*'Reference data'!$B$2,0),"Unknown")</f>
        <v>8.0</v>
      </c>
      <c r="H32" s="5">
        <f>IF(ISNUMBER(F32),ROUND(F32*'Reference data'!$B$2,0),"Unknown")</f>
        <v>9.0</v>
      </c>
      <c r="K32" s="4" t="s">
        <v>110</v>
      </c>
    </row>
    <row r="33" spans="1:13" s="4" customFormat="1" ht="24" customHeight="1">
      <c r="B33" s="4">
        <v>1</v>
      </c>
      <c r="C33" s="4" t="s">
        <v>122</v>
      </c>
      <c r="K33" s="4" t="s">
        <v>110</v>
      </c>
      <c r="M33" s="4" t="s">
        <v>123</v>
      </c>
    </row>
    <row r="34" spans="1:13" ht="24" customHeight="1">
      <c r="B34">
        <v>1</v>
      </c>
      <c r="C34" t="s">
        <v>113</v>
      </c>
      <c r="I34" s="6" t="s">
        <v>124</v>
      </c>
    </row>
    <row r="35" spans="1:13" ht="47" customHeight="1">
      <c r="B35">
        <v>1</v>
      </c>
      <c r="C35" t="s">
        <v>115</v>
      </c>
      <c r="I35" s="6" t="s">
        <v>125</v>
      </c>
    </row>
    <row r="36" spans="1:13" s="4" customFormat="1" ht="24" customHeight="1">
      <c r="A36" s="4" t="s">
        <v>126</v>
      </c>
      <c r="B36" s="4">
        <v>1</v>
      </c>
      <c r="C36" s="4" t="s">
        <v>94</v>
      </c>
      <c r="D36" s="4">
        <v>288</v>
      </c>
      <c r="J36" s="4" t="s">
        <v>95</v>
      </c>
      <c r="M36" s="4" t="s">
        <v>127</v>
      </c>
    </row>
    <row r="37" spans="1:13" ht="24" customHeight="1">
      <c r="A37" t="s">
        <v>126</v>
      </c>
      <c r="B37">
        <v>1</v>
      </c>
      <c r="C37" t="s">
        <v>128</v>
      </c>
      <c r="D37" s="5">
        <v>0</v>
      </c>
      <c r="E37" s="2">
        <f>IF(AND(ISNUMBER(F37),ISNUMBER('Reference data'!$B$3)),F37*'Reference data'!$B$3,"Unknown")</f>
        <v>0.0</v>
      </c>
      <c r="F37" s="2">
        <f>IF(D37=0,0,IF(ISNUMBER('Reference data'!C17),D37*'Reference data'!C17/1000000,"Unknown"))</f>
        <v>0.0</v>
      </c>
      <c r="G37" s="5">
        <f>IF(ISNUMBER(E37),ROUND(E37*'Reference data'!$B$2,0),"Unknown")</f>
        <v>0.0</v>
      </c>
      <c r="H37" s="5">
        <f>IF(ISNUMBER(F37),ROUND(F37*'Reference data'!$B$2,0),"Unknown")</f>
        <v>0.0</v>
      </c>
    </row>
    <row r="38" spans="1:13" ht="24" customHeight="1">
      <c r="A38" t="s">
        <v>126</v>
      </c>
      <c r="B38">
        <v>1</v>
      </c>
      <c r="C38" t="s">
        <v>97</v>
      </c>
      <c r="D38" s="5">
        <v>288</v>
      </c>
      <c r="E38" s="2">
        <f>IF(AND(ISNUMBER(F38),ISNUMBER('Reference data'!$B$3)),F38*'Reference data'!$B$3,"Unknown")</f>
        <v>5.0248512e-05</v>
      </c>
      <c r="F38" s="2">
        <f>IF(D38=0,0,IF(ISNUMBER('Reference data'!B17),D38*'Reference data'!B17/1000000,"Unknown"))</f>
        <v>5.76e-05</v>
      </c>
      <c r="G38" s="5">
        <f>IF(ISNUMBER(E38),ROUND(E38*'Reference data'!$B$2,0),"Unknown")</f>
        <v>5.0</v>
      </c>
      <c r="H38" s="5">
        <f>IF(ISNUMBER(F38),ROUND(F38*'Reference data'!$B$2,0),"Unknown")</f>
        <v>6.0</v>
      </c>
    </row>
    <row r="39" spans="1:13" ht="47" customHeight="1">
      <c r="A39" t="s">
        <v>126</v>
      </c>
      <c r="B39">
        <v>1</v>
      </c>
      <c r="C39" t="s">
        <v>129</v>
      </c>
      <c r="I39" s="6" t="s">
        <v>125</v>
      </c>
    </row>
    <row r="40" spans="1:13" ht="24" customHeight="1">
      <c r="A40" t="s">
        <v>126</v>
      </c>
      <c r="B40">
        <v>1</v>
      </c>
      <c r="C40" t="s">
        <v>103</v>
      </c>
    </row>
    <row r="41" spans="1:13" ht="24" customHeight="1">
      <c r="A41" t="s">
        <v>126</v>
      </c>
      <c r="B41">
        <v>1</v>
      </c>
      <c r="C41" t="s">
        <v>104</v>
      </c>
    </row>
    <row r="42" spans="1:13" s="4" customFormat="1" ht="24" customHeight="1">
      <c r="A42" s="4" t="s">
        <v>126</v>
      </c>
      <c r="B42" s="4">
        <v>1</v>
      </c>
      <c r="C42" s="4" t="s">
        <v>105</v>
      </c>
      <c r="D42" s="4">
        <v>41</v>
      </c>
    </row>
    <row r="43" spans="1:13" ht="24" customHeight="1">
      <c r="A43" t="s">
        <v>126</v>
      </c>
      <c r="B43">
        <v>1</v>
      </c>
      <c r="C43" t="s">
        <v>106</v>
      </c>
      <c r="D43" s="5">
        <v>41</v>
      </c>
      <c r="E43" s="2">
        <f>IF(AND(ISNUMBER(F43),ISNUMBER('Reference data'!$B$3)),F43*'Reference data'!$B$3,"Unknown")</f>
        <v>4.2920604e-05</v>
      </c>
      <c r="F43" s="2">
        <f>IF(D43=0,0,IF(ISNUMBER('Reference data'!E17),D43*'Reference data'!E17/1000000,"Unknown"))</f>
        <v>4.92e-05</v>
      </c>
      <c r="G43" s="5">
        <f>IF(ISNUMBER(E43),ROUND(E43*'Reference data'!$B$2,0),"Unknown")</f>
        <v>4.0</v>
      </c>
      <c r="H43" s="5">
        <f>IF(ISNUMBER(F43),ROUND(F43*'Reference data'!$B$2,0),"Unknown")</f>
        <v>5.0</v>
      </c>
    </row>
    <row r="44" spans="1:13" ht="47" customHeight="1">
      <c r="A44" t="s">
        <v>126</v>
      </c>
      <c r="B44">
        <v>1</v>
      </c>
      <c r="C44" t="s">
        <v>107</v>
      </c>
      <c r="I44" s="6" t="s">
        <v>130</v>
      </c>
    </row>
    <row r="45" spans="1:13" ht="24" customHeight="1">
      <c r="A45" t="s">
        <v>126</v>
      </c>
      <c r="B45">
        <v>1</v>
      </c>
      <c r="C45" t="s">
        <v>103</v>
      </c>
    </row>
    <row r="46" spans="1:13" ht="24" customHeight="1">
      <c r="A46" t="s">
        <v>126</v>
      </c>
      <c r="B46">
        <v>1</v>
      </c>
      <c r="C46" t="s">
        <v>104</v>
      </c>
    </row>
    <row r="47" spans="1:13" s="4" customFormat="1" ht="24" customHeight="1">
      <c r="A47" s="4" t="s">
        <v>126</v>
      </c>
      <c r="B47" s="4">
        <v>1</v>
      </c>
      <c r="C47" s="4" t="s">
        <v>109</v>
      </c>
      <c r="E47" s="2">
        <f>IF(COUNT('Turns'!E37,'Turns'!E38,'Turns'!E43)=3,SUM('Turns'!E37,'Turns'!E38,'Turns'!E43),"Unknown")</f>
        <v>9.3169116e-05</v>
      </c>
      <c r="F47" s="2">
        <f>IF(COUNT('Turns'!F37,'Turns'!F38,'Turns'!F43)=3,SUM('Turns'!F37,'Turns'!F38,'Turns'!F43),"Unknown")</f>
        <v>0.0001068</v>
      </c>
      <c r="G47" s="5">
        <f>IF(ISNUMBER(E47),ROUND(E47*'Reference data'!$B$2,0),"Unknown")</f>
        <v>9.0</v>
      </c>
      <c r="H47" s="5">
        <f>IF(ISNUMBER(F47),ROUND(F47*'Reference data'!$B$2,0),"Unknown")</f>
        <v>11.0</v>
      </c>
      <c r="K47" s="4" t="s">
        <v>110</v>
      </c>
    </row>
    <row r="48" spans="1:13" s="4" customFormat="1" ht="24" customHeight="1">
      <c r="A48" s="4" t="s">
        <v>131</v>
      </c>
      <c r="B48" s="4">
        <v>1</v>
      </c>
      <c r="C48" s="4" t="s">
        <v>94</v>
      </c>
      <c r="D48" s="4">
        <v>369</v>
      </c>
      <c r="J48" s="4" t="s">
        <v>95</v>
      </c>
      <c r="M48" s="4" t="s">
        <v>132</v>
      </c>
    </row>
    <row r="49" spans="1:13" ht="24" customHeight="1">
      <c r="A49" t="s">
        <v>131</v>
      </c>
      <c r="B49">
        <v>1</v>
      </c>
      <c r="C49" t="s">
        <v>128</v>
      </c>
      <c r="D49" s="5">
        <v>0</v>
      </c>
      <c r="E49" s="2">
        <f>IF(AND(ISNUMBER(F49),ISNUMBER('Reference data'!$B$3)),F49*'Reference data'!$B$3,"Unknown")</f>
        <v>0.0</v>
      </c>
      <c r="F49" s="2">
        <f>IF(D49=0,0,IF(ISNUMBER('Reference data'!C17),D49*'Reference data'!C17/1000000,"Unknown"))</f>
        <v>0.0</v>
      </c>
      <c r="G49" s="5">
        <f>IF(ISNUMBER(E49),ROUND(E49*'Reference data'!$B$2,0),"Unknown")</f>
        <v>0.0</v>
      </c>
      <c r="H49" s="5">
        <f>IF(ISNUMBER(F49),ROUND(F49*'Reference data'!$B$2,0),"Unknown")</f>
        <v>0.0</v>
      </c>
    </row>
    <row r="50" spans="1:13" ht="24" customHeight="1">
      <c r="A50" t="s">
        <v>131</v>
      </c>
      <c r="B50">
        <v>1</v>
      </c>
      <c r="C50" t="s">
        <v>97</v>
      </c>
      <c r="D50" s="5">
        <v>369</v>
      </c>
      <c r="E50" s="2">
        <f>IF(AND(ISNUMBER(F50),ISNUMBER('Reference data'!$B$3)),F50*'Reference data'!$B$3,"Unknown")</f>
        <v>6.4380906e-05</v>
      </c>
      <c r="F50" s="2">
        <f>IF(D50=0,0,IF(ISNUMBER('Reference data'!B17),D50*'Reference data'!B17/1000000,"Unknown"))</f>
        <v>7.38e-05</v>
      </c>
      <c r="G50" s="5">
        <f>IF(ISNUMBER(E50),ROUND(E50*'Reference data'!$B$2,0),"Unknown")</f>
        <v>6.0</v>
      </c>
      <c r="H50" s="5">
        <f>IF(ISNUMBER(F50),ROUND(F50*'Reference data'!$B$2,0),"Unknown")</f>
        <v>7.0</v>
      </c>
    </row>
    <row r="51" spans="1:13" ht="34" customHeight="1">
      <c r="A51" t="s">
        <v>131</v>
      </c>
      <c r="B51">
        <v>1</v>
      </c>
      <c r="C51" t="s">
        <v>129</v>
      </c>
      <c r="I51" s="6" t="s">
        <v>133</v>
      </c>
    </row>
    <row r="52" spans="1:13" ht="24" customHeight="1">
      <c r="A52" t="s">
        <v>131</v>
      </c>
      <c r="B52">
        <v>1</v>
      </c>
      <c r="C52" t="s">
        <v>103</v>
      </c>
    </row>
    <row r="53" spans="1:13" ht="24" customHeight="1">
      <c r="A53" t="s">
        <v>131</v>
      </c>
      <c r="B53">
        <v>1</v>
      </c>
      <c r="C53" t="s">
        <v>104</v>
      </c>
    </row>
    <row r="54" spans="1:13" s="4" customFormat="1" ht="24" customHeight="1">
      <c r="A54" s="4" t="s">
        <v>131</v>
      </c>
      <c r="B54" s="4">
        <v>1</v>
      </c>
      <c r="C54" s="4" t="s">
        <v>105</v>
      </c>
      <c r="D54" s="4">
        <v>21</v>
      </c>
    </row>
    <row r="55" spans="1:13" ht="24" customHeight="1">
      <c r="A55" t="s">
        <v>131</v>
      </c>
      <c r="B55">
        <v>1</v>
      </c>
      <c r="C55" t="s">
        <v>106</v>
      </c>
      <c r="D55" s="5">
        <v>21</v>
      </c>
      <c r="E55" s="2">
        <f>IF(AND(ISNUMBER(F55),ISNUMBER('Reference data'!$B$3)),F55*'Reference data'!$B$3,"Unknown")</f>
        <v>2.1983724e-05</v>
      </c>
      <c r="F55" s="2">
        <f>IF(D55=0,0,IF(ISNUMBER('Reference data'!E17),D55*'Reference data'!E17/1000000,"Unknown"))</f>
        <v>2.52e-05</v>
      </c>
      <c r="G55" s="5">
        <f>IF(ISNUMBER(E55),ROUND(E55*'Reference data'!$B$2,0),"Unknown")</f>
        <v>2.0</v>
      </c>
      <c r="H55" s="5">
        <f>IF(ISNUMBER(F55),ROUND(F55*'Reference data'!$B$2,0),"Unknown")</f>
        <v>3.0</v>
      </c>
    </row>
    <row r="56" spans="1:13" ht="47" customHeight="1">
      <c r="A56" t="s">
        <v>131</v>
      </c>
      <c r="B56">
        <v>1</v>
      </c>
      <c r="C56" t="s">
        <v>107</v>
      </c>
      <c r="I56" s="6" t="s">
        <v>134</v>
      </c>
    </row>
    <row r="57" spans="1:13" ht="24" customHeight="1">
      <c r="A57" t="s">
        <v>131</v>
      </c>
      <c r="B57">
        <v>1</v>
      </c>
      <c r="C57" t="s">
        <v>103</v>
      </c>
    </row>
    <row r="58" spans="1:13" ht="24" customHeight="1">
      <c r="A58" t="s">
        <v>131</v>
      </c>
      <c r="B58">
        <v>1</v>
      </c>
      <c r="C58" t="s">
        <v>104</v>
      </c>
    </row>
    <row r="59" spans="1:13" s="4" customFormat="1" ht="24" customHeight="1">
      <c r="A59" s="4" t="s">
        <v>131</v>
      </c>
      <c r="B59" s="4">
        <v>1</v>
      </c>
      <c r="C59" s="4" t="s">
        <v>109</v>
      </c>
      <c r="E59" s="2">
        <f>IF(COUNT('Turns'!E49,'Turns'!E50,'Turns'!E55)=3,SUM('Turns'!E49,'Turns'!E50,'Turns'!E55),"Unknown")</f>
        <v>8.636463e-05</v>
      </c>
      <c r="F59" s="2">
        <f>IF(COUNT('Turns'!F49,'Turns'!F50,'Turns'!F55)=3,SUM('Turns'!F49,'Turns'!F50,'Turns'!F55),"Unknown")</f>
        <v>9.9e-05</v>
      </c>
      <c r="G59" s="5">
        <f>IF(ISNUMBER(E59),ROUND(E59*'Reference data'!$B$2,0),"Unknown")</f>
        <v>9.0</v>
      </c>
      <c r="H59" s="5">
        <f>IF(ISNUMBER(F59),ROUND(F59*'Reference data'!$B$2,0),"Unknown")</f>
        <v>10.0</v>
      </c>
      <c r="K59" s="4" t="s">
        <v>110</v>
      </c>
    </row>
    <row r="60" spans="1:13" s="4" customFormat="1" ht="24" customHeight="1">
      <c r="B60" s="4">
        <v>2</v>
      </c>
      <c r="C60" s="4" t="s">
        <v>135</v>
      </c>
      <c r="E60" s="2">
        <f>IF(COUNT('Turns'!E72,'Turns'!E88,'Turns'!E103,'Turns'!E115)=4,SUM('Turns'!E72,'Turns'!E88,'Turns'!E103,'Turns'!E115),"Unknown")</f>
        <v>0.000493063524</v>
      </c>
      <c r="F60" s="2">
        <f>IF(COUNT('Turns'!F72,'Turns'!F88,'Turns'!F103,'Turns'!F115)=4,SUM('Turns'!F72,'Turns'!F88,'Turns'!F103,'Turns'!F115),"Unknown")</f>
        <v>0.0005652</v>
      </c>
      <c r="G60" s="5">
        <f>IF(ISNUMBER(E60),ROUND(E60*'Reference data'!$B$2,0),"Unknown")</f>
        <v>49.0</v>
      </c>
      <c r="H60" s="5">
        <f>IF(ISNUMBER(F60),ROUND(F60*'Reference data'!$B$2,0),"Unknown")</f>
        <v>57.0</v>
      </c>
    </row>
    <row r="61" spans="1:13" s="4" customFormat="1" ht="24" customHeight="1">
      <c r="A61" s="4" t="s">
        <v>136</v>
      </c>
      <c r="B61" s="4">
        <v>2</v>
      </c>
      <c r="C61" s="4" t="s">
        <v>94</v>
      </c>
      <c r="D61" s="4">
        <v>407</v>
      </c>
      <c r="J61" s="4" t="s">
        <v>95</v>
      </c>
      <c r="M61" s="4" t="s">
        <v>137</v>
      </c>
    </row>
    <row r="62" spans="1:13" ht="24" customHeight="1">
      <c r="A62" t="s">
        <v>136</v>
      </c>
      <c r="B62">
        <v>2</v>
      </c>
      <c r="C62" t="s">
        <v>128</v>
      </c>
      <c r="D62" s="5">
        <v>0</v>
      </c>
      <c r="E62" s="2">
        <f>IF(AND(ISNUMBER(F62),ISNUMBER('Reference data'!$B$3)),F62*'Reference data'!$B$3,"Unknown")</f>
        <v>0.0</v>
      </c>
      <c r="F62" s="2">
        <f>IF(D62=0,0,IF(ISNUMBER('Reference data'!C17),D62*'Reference data'!C17/1000000,"Unknown"))</f>
        <v>0.0</v>
      </c>
      <c r="G62" s="5">
        <f>IF(ISNUMBER(E62),ROUND(E62*'Reference data'!$B$2,0),"Unknown")</f>
        <v>0.0</v>
      </c>
      <c r="H62" s="5">
        <f>IF(ISNUMBER(F62),ROUND(F62*'Reference data'!$B$2,0),"Unknown")</f>
        <v>0.0</v>
      </c>
    </row>
    <row r="63" spans="1:13" ht="24" customHeight="1">
      <c r="A63" t="s">
        <v>136</v>
      </c>
      <c r="B63">
        <v>2</v>
      </c>
      <c r="C63" t="s">
        <v>97</v>
      </c>
      <c r="D63" s="5">
        <v>407</v>
      </c>
      <c r="E63" s="2">
        <f>IF(AND(ISNUMBER(F63),ISNUMBER('Reference data'!$B$3)),F63*'Reference data'!$B$3,"Unknown")</f>
        <v>7.1010918e-05</v>
      </c>
      <c r="F63" s="2">
        <f>IF(D63=0,0,IF(ISNUMBER('Reference data'!B17),D63*'Reference data'!B17/1000000,"Unknown"))</f>
        <v>8.14e-05</v>
      </c>
      <c r="G63" s="5">
        <f>IF(ISNUMBER(E63),ROUND(E63*'Reference data'!$B$2,0),"Unknown")</f>
        <v>7.0</v>
      </c>
      <c r="H63" s="5">
        <f>IF(ISNUMBER(F63),ROUND(F63*'Reference data'!$B$2,0),"Unknown")</f>
        <v>8.0</v>
      </c>
    </row>
    <row r="64" spans="1:13" ht="24" customHeight="1">
      <c r="A64" t="s">
        <v>136</v>
      </c>
      <c r="B64">
        <v>2</v>
      </c>
      <c r="C64" t="s">
        <v>101</v>
      </c>
      <c r="I64" s="6" t="s">
        <v>138</v>
      </c>
    </row>
    <row r="65" spans="1:13" ht="24" customHeight="1">
      <c r="A65" t="s">
        <v>136</v>
      </c>
      <c r="B65">
        <v>2</v>
      </c>
      <c r="C65" t="s">
        <v>103</v>
      </c>
    </row>
    <row r="66" spans="1:13" ht="24" customHeight="1">
      <c r="A66" t="s">
        <v>136</v>
      </c>
      <c r="B66">
        <v>2</v>
      </c>
      <c r="C66" t="s">
        <v>104</v>
      </c>
    </row>
    <row r="67" spans="1:13" s="4" customFormat="1" ht="24" customHeight="1">
      <c r="A67" s="4" t="s">
        <v>136</v>
      </c>
      <c r="B67" s="4">
        <v>2</v>
      </c>
      <c r="C67" s="4" t="s">
        <v>105</v>
      </c>
      <c r="D67" s="4">
        <v>78</v>
      </c>
    </row>
    <row r="68" spans="1:13" ht="24" customHeight="1">
      <c r="A68" t="s">
        <v>136</v>
      </c>
      <c r="B68">
        <v>2</v>
      </c>
      <c r="C68" t="s">
        <v>106</v>
      </c>
      <c r="D68" s="5">
        <v>78</v>
      </c>
      <c r="E68" s="2">
        <f>IF(AND(ISNUMBER(F68),ISNUMBER('Reference data'!$B$3)),F68*'Reference data'!$B$3,"Unknown")</f>
        <v>8.1653832e-05</v>
      </c>
      <c r="F68" s="2">
        <f>IF(D68=0,0,IF(ISNUMBER('Reference data'!E17),D68*'Reference data'!E17/1000000,"Unknown"))</f>
        <v>9.36e-05</v>
      </c>
      <c r="G68" s="5">
        <f>IF(ISNUMBER(E68),ROUND(E68*'Reference data'!$B$2,0),"Unknown")</f>
        <v>8.0</v>
      </c>
      <c r="H68" s="5">
        <f>IF(ISNUMBER(F68),ROUND(F68*'Reference data'!$B$2,0),"Unknown")</f>
        <v>9.0</v>
      </c>
    </row>
    <row r="69" spans="1:13" ht="151" customHeight="1">
      <c r="A69" t="s">
        <v>136</v>
      </c>
      <c r="B69">
        <v>2</v>
      </c>
      <c r="C69" t="s">
        <v>107</v>
      </c>
      <c r="I69" s="6" t="s">
        <v>139</v>
      </c>
    </row>
    <row r="70" spans="1:13" ht="24" customHeight="1">
      <c r="A70" t="s">
        <v>136</v>
      </c>
      <c r="B70">
        <v>2</v>
      </c>
      <c r="C70" t="s">
        <v>103</v>
      </c>
    </row>
    <row r="71" spans="1:13" ht="24" customHeight="1">
      <c r="A71" t="s">
        <v>136</v>
      </c>
      <c r="B71">
        <v>2</v>
      </c>
      <c r="C71" t="s">
        <v>104</v>
      </c>
    </row>
    <row r="72" spans="1:13" s="4" customFormat="1" ht="24" customHeight="1">
      <c r="A72" s="4" t="s">
        <v>136</v>
      </c>
      <c r="B72" s="4">
        <v>2</v>
      </c>
      <c r="C72" s="4" t="s">
        <v>109</v>
      </c>
      <c r="E72" s="2">
        <f>IF(COUNT('Turns'!E62,'Turns'!E63,'Turns'!E68)=3,SUM('Turns'!E62,'Turns'!E63,'Turns'!E68),"Unknown")</f>
        <v>0.00015266475</v>
      </c>
      <c r="F72" s="2">
        <f>IF(COUNT('Turns'!F62,'Turns'!F63,'Turns'!F68)=3,SUM('Turns'!F62,'Turns'!F63,'Turns'!F68),"Unknown")</f>
        <v>0.000175</v>
      </c>
      <c r="G72" s="5">
        <f>IF(ISNUMBER(E72),ROUND(E72*'Reference data'!$B$2,0),"Unknown")</f>
        <v>15.0</v>
      </c>
      <c r="H72" s="5">
        <f>IF(ISNUMBER(F72),ROUND(F72*'Reference data'!$B$2,0),"Unknown")</f>
        <v>18.0</v>
      </c>
      <c r="K72" s="4" t="s">
        <v>110</v>
      </c>
    </row>
    <row r="73" spans="1:13" s="4" customFormat="1" ht="24" customHeight="1">
      <c r="B73" s="4">
        <v>2</v>
      </c>
      <c r="C73" s="4" t="s">
        <v>111</v>
      </c>
      <c r="K73" s="4" t="s">
        <v>110</v>
      </c>
      <c r="M73" s="4" t="s">
        <v>140</v>
      </c>
    </row>
    <row r="74" spans="1:13" ht="60" customHeight="1">
      <c r="B74">
        <v>2</v>
      </c>
      <c r="C74" t="s">
        <v>113</v>
      </c>
      <c r="I74" s="6" t="s">
        <v>141</v>
      </c>
    </row>
    <row r="75" spans="1:13" ht="60" customHeight="1">
      <c r="B75">
        <v>2</v>
      </c>
      <c r="C75" t="s">
        <v>115</v>
      </c>
      <c r="I75" s="6" t="s">
        <v>142</v>
      </c>
    </row>
    <row r="76" spans="1:13" s="4" customFormat="1" ht="24" customHeight="1">
      <c r="A76" s="4" t="s">
        <v>143</v>
      </c>
      <c r="B76" s="4">
        <v>2</v>
      </c>
      <c r="C76" s="4" t="s">
        <v>94</v>
      </c>
      <c r="D76" s="4">
        <v>212</v>
      </c>
      <c r="J76" s="4" t="s">
        <v>95</v>
      </c>
      <c r="M76" s="4" t="s">
        <v>144</v>
      </c>
    </row>
    <row r="77" spans="1:13" ht="24" customHeight="1">
      <c r="A77" t="s">
        <v>143</v>
      </c>
      <c r="B77">
        <v>2</v>
      </c>
      <c r="C77" t="s">
        <v>97</v>
      </c>
      <c r="D77" s="5">
        <v>212</v>
      </c>
      <c r="E77" s="2">
        <f>IF(AND(ISNUMBER(F77),ISNUMBER('Reference data'!$B$3)),F77*'Reference data'!$B$3,"Unknown")</f>
        <v>3.6988488e-05</v>
      </c>
      <c r="F77" s="2">
        <f>IF(D77=0,0,IF(ISNUMBER('Reference data'!B17),D77*'Reference data'!B17/1000000,"Unknown"))</f>
        <v>4.24e-05</v>
      </c>
      <c r="G77" s="5">
        <f>IF(ISNUMBER(E77),ROUND(E77*'Reference data'!$B$2,0),"Unknown")</f>
        <v>4.0</v>
      </c>
      <c r="H77" s="5">
        <f>IF(ISNUMBER(F77),ROUND(F77*'Reference data'!$B$2,0),"Unknown")</f>
        <v>4.0</v>
      </c>
    </row>
    <row r="78" spans="1:13" ht="24" customHeight="1">
      <c r="A78" t="s">
        <v>143</v>
      </c>
      <c r="B78">
        <v>2</v>
      </c>
      <c r="C78" t="s">
        <v>98</v>
      </c>
    </row>
    <row r="79" spans="1:13" ht="73" customHeight="1">
      <c r="A79" t="s">
        <v>143</v>
      </c>
      <c r="B79">
        <v>2</v>
      </c>
      <c r="C79" t="s">
        <v>99</v>
      </c>
      <c r="I79" s="6" t="s">
        <v>145</v>
      </c>
    </row>
    <row r="80" spans="1:13" ht="24" customHeight="1">
      <c r="A80" t="s">
        <v>143</v>
      </c>
      <c r="B80">
        <v>2</v>
      </c>
      <c r="C80" t="s">
        <v>103</v>
      </c>
    </row>
    <row r="81" spans="1:13" ht="24" customHeight="1">
      <c r="A81" t="s">
        <v>143</v>
      </c>
      <c r="B81">
        <v>2</v>
      </c>
      <c r="C81" t="s">
        <v>104</v>
      </c>
    </row>
    <row r="82" spans="1:13" s="4" customFormat="1" ht="24" customHeight="1">
      <c r="A82" s="4" t="s">
        <v>143</v>
      </c>
      <c r="B82" s="4">
        <v>2</v>
      </c>
      <c r="C82" s="4" t="s">
        <v>105</v>
      </c>
      <c r="D82" s="4">
        <v>59</v>
      </c>
    </row>
    <row r="83" spans="1:13" ht="24" customHeight="1">
      <c r="A83" t="s">
        <v>143</v>
      </c>
      <c r="B83">
        <v>2</v>
      </c>
      <c r="C83" t="s">
        <v>120</v>
      </c>
      <c r="D83" s="5">
        <v>9</v>
      </c>
      <c r="E83" s="2">
        <f>IF(AND(ISNUMBER(F83),ISNUMBER('Reference data'!$B$3)),F83*'Reference data'!$B$3,"Unknown")</f>
        <v>9.421596e-06</v>
      </c>
      <c r="F83" s="2">
        <f>IF(D83=0,0,IF(ISNUMBER('Reference data'!F17),D83*'Reference data'!F17/1000000,"Unknown"))</f>
        <v>1.08e-05</v>
      </c>
      <c r="G83" s="5">
        <f>IF(ISNUMBER(E83),ROUND(E83*'Reference data'!$B$2,0),"Unknown")</f>
        <v>1.0</v>
      </c>
      <c r="H83" s="5">
        <f>IF(ISNUMBER(F83),ROUND(F83*'Reference data'!$B$2,0),"Unknown")</f>
        <v>1.0</v>
      </c>
    </row>
    <row r="84" spans="1:13" ht="24" customHeight="1">
      <c r="A84" t="s">
        <v>143</v>
      </c>
      <c r="B84">
        <v>2</v>
      </c>
      <c r="C84" t="s">
        <v>106</v>
      </c>
      <c r="D84" s="5">
        <v>50</v>
      </c>
      <c r="E84" s="2">
        <f>IF(AND(ISNUMBER(F84),ISNUMBER('Reference data'!$B$3)),F84*'Reference data'!$B$3,"Unknown")</f>
        <v>5.23422e-05</v>
      </c>
      <c r="F84" s="2">
        <f>IF(D84=0,0,IF(ISNUMBER('Reference data'!E17),D84*'Reference data'!E17/1000000,"Unknown"))</f>
        <v>6e-05</v>
      </c>
      <c r="G84" s="5">
        <f>IF(ISNUMBER(E84),ROUND(E84*'Reference data'!$B$2,0),"Unknown")</f>
        <v>5.0</v>
      </c>
      <c r="H84" s="5">
        <f>IF(ISNUMBER(F84),ROUND(F84*'Reference data'!$B$2,0),"Unknown")</f>
        <v>6.0</v>
      </c>
    </row>
    <row r="85" spans="1:13" ht="307" customHeight="1">
      <c r="A85" t="s">
        <v>143</v>
      </c>
      <c r="B85">
        <v>2</v>
      </c>
      <c r="C85" t="s">
        <v>107</v>
      </c>
      <c r="I85" s="6" t="s">
        <v>146</v>
      </c>
    </row>
    <row r="86" spans="1:13" ht="24" customHeight="1">
      <c r="A86" t="s">
        <v>143</v>
      </c>
      <c r="B86">
        <v>2</v>
      </c>
      <c r="C86" t="s">
        <v>103</v>
      </c>
    </row>
    <row r="87" spans="1:13" ht="24" customHeight="1">
      <c r="A87" t="s">
        <v>143</v>
      </c>
      <c r="B87">
        <v>2</v>
      </c>
      <c r="C87" t="s">
        <v>104</v>
      </c>
    </row>
    <row r="88" spans="1:13" s="4" customFormat="1" ht="24" customHeight="1">
      <c r="A88" s="4" t="s">
        <v>143</v>
      </c>
      <c r="B88" s="4">
        <v>2</v>
      </c>
      <c r="C88" s="4" t="s">
        <v>109</v>
      </c>
      <c r="E88" s="2">
        <f>IF(COUNT('Turns'!E77,'Turns'!E83,'Turns'!E84)=3,SUM('Turns'!E77,'Turns'!E83,'Turns'!E84),"Unknown")</f>
        <v>9.8752284e-05</v>
      </c>
      <c r="F88" s="2">
        <f>IF(COUNT('Turns'!F77,'Turns'!F83,'Turns'!F84)=3,SUM('Turns'!F77,'Turns'!F83,'Turns'!F84),"Unknown")</f>
        <v>0.0001132</v>
      </c>
      <c r="G88" s="5">
        <f>IF(ISNUMBER(E88),ROUND(E88*'Reference data'!$B$2,0),"Unknown")</f>
        <v>10.0</v>
      </c>
      <c r="H88" s="5">
        <f>IF(ISNUMBER(F88),ROUND(F88*'Reference data'!$B$2,0),"Unknown")</f>
        <v>11.0</v>
      </c>
      <c r="K88" s="4" t="s">
        <v>110</v>
      </c>
    </row>
    <row r="89" spans="1:13" s="4" customFormat="1" ht="24" customHeight="1">
      <c r="B89" s="4">
        <v>2</v>
      </c>
      <c r="C89" s="4" t="s">
        <v>147</v>
      </c>
      <c r="K89" s="4" t="s">
        <v>110</v>
      </c>
      <c r="M89" s="4" t="s">
        <v>148</v>
      </c>
    </row>
    <row r="90" spans="1:13" ht="34" customHeight="1">
      <c r="B90">
        <v>2</v>
      </c>
      <c r="C90" t="s">
        <v>113</v>
      </c>
      <c r="I90" s="6" t="s">
        <v>149</v>
      </c>
    </row>
    <row r="91" spans="1:13" ht="60" customHeight="1">
      <c r="B91">
        <v>2</v>
      </c>
      <c r="C91" t="s">
        <v>115</v>
      </c>
      <c r="I91" s="6" t="s">
        <v>150</v>
      </c>
    </row>
    <row r="92" spans="1:13" s="4" customFormat="1" ht="24" customHeight="1">
      <c r="A92" s="4" t="s">
        <v>151</v>
      </c>
      <c r="B92" s="4">
        <v>2</v>
      </c>
      <c r="C92" s="4" t="s">
        <v>94</v>
      </c>
      <c r="D92" s="4">
        <v>328</v>
      </c>
      <c r="J92" s="4" t="s">
        <v>95</v>
      </c>
      <c r="M92" s="4" t="s">
        <v>152</v>
      </c>
    </row>
    <row r="93" spans="1:13" ht="24" customHeight="1">
      <c r="A93" t="s">
        <v>151</v>
      </c>
      <c r="B93">
        <v>2</v>
      </c>
      <c r="C93" t="s">
        <v>128</v>
      </c>
      <c r="D93" s="5">
        <v>0</v>
      </c>
      <c r="E93" s="2">
        <f>IF(AND(ISNUMBER(F93),ISNUMBER('Reference data'!$B$3)),F93*'Reference data'!$B$3,"Unknown")</f>
        <v>0.0</v>
      </c>
      <c r="F93" s="2">
        <f>IF(D93=0,0,IF(ISNUMBER('Reference data'!C17),D93*'Reference data'!C17/1000000,"Unknown"))</f>
        <v>0.0</v>
      </c>
      <c r="G93" s="5">
        <f>IF(ISNUMBER(E93),ROUND(E93*'Reference data'!$B$2,0),"Unknown")</f>
        <v>0.0</v>
      </c>
      <c r="H93" s="5">
        <f>IF(ISNUMBER(F93),ROUND(F93*'Reference data'!$B$2,0),"Unknown")</f>
        <v>0.0</v>
      </c>
    </row>
    <row r="94" spans="1:13" ht="24" customHeight="1">
      <c r="A94" t="s">
        <v>151</v>
      </c>
      <c r="B94">
        <v>2</v>
      </c>
      <c r="C94" t="s">
        <v>97</v>
      </c>
      <c r="D94" s="5">
        <v>328</v>
      </c>
      <c r="E94" s="2">
        <f>IF(AND(ISNUMBER(F94),ISNUMBER('Reference data'!$B$3)),F94*'Reference data'!$B$3,"Unknown")</f>
        <v>5.7227472e-05</v>
      </c>
      <c r="F94" s="2">
        <f>IF(D94=0,0,IF(ISNUMBER('Reference data'!B17),D94*'Reference data'!B17/1000000,"Unknown"))</f>
        <v>6.56e-05</v>
      </c>
      <c r="G94" s="5">
        <f>IF(ISNUMBER(E94),ROUND(E94*'Reference data'!$B$2,0),"Unknown")</f>
        <v>6.0</v>
      </c>
      <c r="H94" s="5">
        <f>IF(ISNUMBER(F94),ROUND(F94*'Reference data'!$B$2,0),"Unknown")</f>
        <v>7.0</v>
      </c>
    </row>
    <row r="95" spans="1:13" ht="60" customHeight="1">
      <c r="A95" t="s">
        <v>151</v>
      </c>
      <c r="B95">
        <v>2</v>
      </c>
      <c r="C95" t="s">
        <v>129</v>
      </c>
      <c r="I95" s="6" t="s">
        <v>150</v>
      </c>
    </row>
    <row r="96" spans="1:13" ht="24" customHeight="1">
      <c r="A96" t="s">
        <v>151</v>
      </c>
      <c r="B96">
        <v>2</v>
      </c>
      <c r="C96" t="s">
        <v>103</v>
      </c>
    </row>
    <row r="97" spans="1:13" ht="24" customHeight="1">
      <c r="A97" t="s">
        <v>151</v>
      </c>
      <c r="B97">
        <v>2</v>
      </c>
      <c r="C97" t="s">
        <v>104</v>
      </c>
    </row>
    <row r="98" spans="1:13" s="4" customFormat="1" ht="24" customHeight="1">
      <c r="A98" s="4" t="s">
        <v>151</v>
      </c>
      <c r="B98" s="4">
        <v>2</v>
      </c>
      <c r="C98" s="4" t="s">
        <v>105</v>
      </c>
      <c r="D98" s="4">
        <v>62</v>
      </c>
    </row>
    <row r="99" spans="1:13" ht="24" customHeight="1">
      <c r="A99" t="s">
        <v>151</v>
      </c>
      <c r="B99">
        <v>2</v>
      </c>
      <c r="C99" t="s">
        <v>106</v>
      </c>
      <c r="D99" s="5">
        <v>62</v>
      </c>
      <c r="E99" s="2">
        <f>IF(AND(ISNUMBER(F99),ISNUMBER('Reference data'!$B$3)),F99*'Reference data'!$B$3,"Unknown")</f>
        <v>6.4904328e-05</v>
      </c>
      <c r="F99" s="2">
        <f>IF(D99=0,0,IF(ISNUMBER('Reference data'!E17),D99*'Reference data'!E17/1000000,"Unknown"))</f>
        <v>7.44e-05</v>
      </c>
      <c r="G99" s="5">
        <f>IF(ISNUMBER(E99),ROUND(E99*'Reference data'!$B$2,0),"Unknown")</f>
        <v>6.0</v>
      </c>
      <c r="H99" s="5">
        <f>IF(ISNUMBER(F99),ROUND(F99*'Reference data'!$B$2,0),"Unknown")</f>
        <v>7.0</v>
      </c>
    </row>
    <row r="100" spans="1:13" ht="73" customHeight="1">
      <c r="A100" t="s">
        <v>151</v>
      </c>
      <c r="B100">
        <v>2</v>
      </c>
      <c r="C100" t="s">
        <v>107</v>
      </c>
      <c r="I100" s="6" t="s">
        <v>153</v>
      </c>
    </row>
    <row r="101" spans="1:13" ht="24" customHeight="1">
      <c r="A101" t="s">
        <v>151</v>
      </c>
      <c r="B101">
        <v>2</v>
      </c>
      <c r="C101" t="s">
        <v>103</v>
      </c>
    </row>
    <row r="102" spans="1:13" ht="24" customHeight="1">
      <c r="A102" t="s">
        <v>151</v>
      </c>
      <c r="B102">
        <v>2</v>
      </c>
      <c r="C102" t="s">
        <v>104</v>
      </c>
    </row>
    <row r="103" spans="1:13" s="4" customFormat="1" ht="24" customHeight="1">
      <c r="A103" s="4" t="s">
        <v>151</v>
      </c>
      <c r="B103" s="4">
        <v>2</v>
      </c>
      <c r="C103" s="4" t="s">
        <v>109</v>
      </c>
      <c r="E103" s="2">
        <f>IF(COUNT('Turns'!E93,'Turns'!E94,'Turns'!E99)=3,SUM('Turns'!E93,'Turns'!E94,'Turns'!E99),"Unknown")</f>
        <v>0.0001221318</v>
      </c>
      <c r="F103" s="2">
        <f>IF(COUNT('Turns'!F93,'Turns'!F94,'Turns'!F99)=3,SUM('Turns'!F93,'Turns'!F94,'Turns'!F99),"Unknown")</f>
        <v>0.00014</v>
      </c>
      <c r="G103" s="5">
        <f>IF(ISNUMBER(E103),ROUND(E103*'Reference data'!$B$2,0),"Unknown")</f>
        <v>12.0</v>
      </c>
      <c r="H103" s="5">
        <f>IF(ISNUMBER(F103),ROUND(F103*'Reference data'!$B$2,0),"Unknown")</f>
        <v>14.0</v>
      </c>
      <c r="K103" s="4" t="s">
        <v>110</v>
      </c>
    </row>
    <row r="104" spans="1:13" s="4" customFormat="1" ht="24" customHeight="1">
      <c r="A104" s="4" t="s">
        <v>154</v>
      </c>
      <c r="B104" s="4">
        <v>2</v>
      </c>
      <c r="C104" s="4" t="s">
        <v>94</v>
      </c>
      <c r="D104" s="4">
        <v>553</v>
      </c>
      <c r="J104" s="4" t="s">
        <v>95</v>
      </c>
      <c r="M104" s="4" t="s">
        <v>155</v>
      </c>
    </row>
    <row r="105" spans="1:13" ht="24" customHeight="1">
      <c r="A105" t="s">
        <v>154</v>
      </c>
      <c r="B105">
        <v>2</v>
      </c>
      <c r="C105" t="s">
        <v>128</v>
      </c>
      <c r="D105" s="5">
        <v>0</v>
      </c>
      <c r="E105" s="2">
        <f>IF(AND(ISNUMBER(F105),ISNUMBER('Reference data'!$B$3)),F105*'Reference data'!$B$3,"Unknown")</f>
        <v>0.0</v>
      </c>
      <c r="F105" s="2">
        <f>IF(D105=0,0,IF(ISNUMBER('Reference data'!C17),D105*'Reference data'!C17/1000000,"Unknown"))</f>
        <v>0.0</v>
      </c>
      <c r="G105" s="5">
        <f>IF(ISNUMBER(E105),ROUND(E105*'Reference data'!$B$2,0),"Unknown")</f>
        <v>0.0</v>
      </c>
      <c r="H105" s="5">
        <f>IF(ISNUMBER(F105),ROUND(F105*'Reference data'!$B$2,0),"Unknown")</f>
        <v>0.0</v>
      </c>
    </row>
    <row r="106" spans="1:13" ht="24" customHeight="1">
      <c r="A106" t="s">
        <v>154</v>
      </c>
      <c r="B106">
        <v>2</v>
      </c>
      <c r="C106" t="s">
        <v>97</v>
      </c>
      <c r="D106" s="5">
        <v>553</v>
      </c>
      <c r="E106" s="2">
        <f>IF(AND(ISNUMBER(F106),ISNUMBER('Reference data'!$B$3)),F106*'Reference data'!$B$3,"Unknown")</f>
        <v>9.6484122e-05</v>
      </c>
      <c r="F106" s="2">
        <f>IF(D106=0,0,IF(ISNUMBER('Reference data'!B17),D106*'Reference data'!B17/1000000,"Unknown"))</f>
        <v>0.0001106</v>
      </c>
      <c r="G106" s="5">
        <f>IF(ISNUMBER(E106),ROUND(E106*'Reference data'!$B$2,0),"Unknown")</f>
        <v>10.0</v>
      </c>
      <c r="H106" s="5">
        <f>IF(ISNUMBER(F106),ROUND(F106*'Reference data'!$B$2,0),"Unknown")</f>
        <v>11.0</v>
      </c>
    </row>
    <row r="107" spans="1:13" ht="47" customHeight="1">
      <c r="A107" t="s">
        <v>154</v>
      </c>
      <c r="B107">
        <v>2</v>
      </c>
      <c r="C107" t="s">
        <v>129</v>
      </c>
      <c r="I107" s="6" t="s">
        <v>156</v>
      </c>
    </row>
    <row r="108" spans="1:13" ht="24" customHeight="1">
      <c r="A108" t="s">
        <v>154</v>
      </c>
      <c r="B108">
        <v>2</v>
      </c>
      <c r="C108" t="s">
        <v>103</v>
      </c>
    </row>
    <row r="109" spans="1:13" ht="24" customHeight="1">
      <c r="A109" t="s">
        <v>154</v>
      </c>
      <c r="B109">
        <v>2</v>
      </c>
      <c r="C109" t="s">
        <v>104</v>
      </c>
    </row>
    <row r="110" spans="1:13" s="4" customFormat="1" ht="24" customHeight="1">
      <c r="A110" s="4" t="s">
        <v>154</v>
      </c>
      <c r="B110" s="4">
        <v>2</v>
      </c>
      <c r="C110" s="4" t="s">
        <v>105</v>
      </c>
      <c r="D110" s="4">
        <v>22</v>
      </c>
    </row>
    <row r="111" spans="1:13" ht="24" customHeight="1">
      <c r="A111" t="s">
        <v>154</v>
      </c>
      <c r="B111">
        <v>2</v>
      </c>
      <c r="C111" t="s">
        <v>106</v>
      </c>
      <c r="D111" s="5">
        <v>22</v>
      </c>
      <c r="E111" s="2">
        <f>IF(AND(ISNUMBER(F111),ISNUMBER('Reference data'!$B$3)),F111*'Reference data'!$B$3,"Unknown")</f>
        <v>2.3030568e-05</v>
      </c>
      <c r="F111" s="2">
        <f>IF(D111=0,0,IF(ISNUMBER('Reference data'!E17),D111*'Reference data'!E17/1000000,"Unknown"))</f>
        <v>2.64e-05</v>
      </c>
      <c r="G111" s="5">
        <f>IF(ISNUMBER(E111),ROUND(E111*'Reference data'!$B$2,0),"Unknown")</f>
        <v>2.0</v>
      </c>
      <c r="H111" s="5">
        <f>IF(ISNUMBER(F111),ROUND(F111*'Reference data'!$B$2,0),"Unknown")</f>
        <v>3.0</v>
      </c>
    </row>
    <row r="112" spans="1:13" ht="47" customHeight="1">
      <c r="A112" t="s">
        <v>154</v>
      </c>
      <c r="B112">
        <v>2</v>
      </c>
      <c r="C112" t="s">
        <v>107</v>
      </c>
      <c r="I112" s="6" t="s">
        <v>157</v>
      </c>
    </row>
    <row r="113" spans="1:13" ht="24" customHeight="1">
      <c r="A113" t="s">
        <v>154</v>
      </c>
      <c r="B113">
        <v>2</v>
      </c>
      <c r="C113" t="s">
        <v>103</v>
      </c>
    </row>
    <row r="114" spans="1:13" ht="24" customHeight="1">
      <c r="A114" t="s">
        <v>154</v>
      </c>
      <c r="B114">
        <v>2</v>
      </c>
      <c r="C114" t="s">
        <v>104</v>
      </c>
    </row>
    <row r="115" spans="1:13" s="4" customFormat="1" ht="24" customHeight="1">
      <c r="A115" s="4" t="s">
        <v>154</v>
      </c>
      <c r="B115" s="4">
        <v>2</v>
      </c>
      <c r="C115" s="4" t="s">
        <v>109</v>
      </c>
      <c r="E115" s="2">
        <f>IF(COUNT('Turns'!E105,'Turns'!E106,'Turns'!E111)=3,SUM('Turns'!E105,'Turns'!E106,'Turns'!E111),"Unknown")</f>
        <v>0.00011951469</v>
      </c>
      <c r="F115" s="2">
        <f>IF(COUNT('Turns'!F105,'Turns'!F106,'Turns'!F111)=3,SUM('Turns'!F105,'Turns'!F106,'Turns'!F111),"Unknown")</f>
        <v>0.000137</v>
      </c>
      <c r="G115" s="5">
        <f>IF(ISNUMBER(E115),ROUND(E115*'Reference data'!$B$2,0),"Unknown")</f>
        <v>12.0</v>
      </c>
      <c r="H115" s="5">
        <f>IF(ISNUMBER(F115),ROUND(F115*'Reference data'!$B$2,0),"Unknown")</f>
        <v>14.0</v>
      </c>
      <c r="K115" s="4" t="s">
        <v>110</v>
      </c>
    </row>
    <row r="116" spans="1:13" s="4" customFormat="1" ht="24" customHeight="1">
      <c r="B116" s="4">
        <v>3</v>
      </c>
      <c r="C116" s="4" t="s">
        <v>158</v>
      </c>
      <c r="E116" s="2">
        <f>IF(COUNT('Turns'!E128,'Turns'!E143,'Turns'!E158,'Turns'!E170)=4,SUM('Turns'!E128,'Turns'!E143,'Turns'!E158,'Turns'!E170),"Unknown")</f>
        <v>0.000468811638</v>
      </c>
      <c r="F116" s="2">
        <f>IF(COUNT('Turns'!F128,'Turns'!F143,'Turns'!F158,'Turns'!F170)=4,SUM('Turns'!F128,'Turns'!F143,'Turns'!F158,'Turns'!F170),"Unknown")</f>
        <v>0.0005374</v>
      </c>
      <c r="G116" s="5">
        <f>IF(ISNUMBER(E116),ROUND(E116*'Reference data'!$B$2,0),"Unknown")</f>
        <v>47.0</v>
      </c>
      <c r="H116" s="5">
        <f>IF(ISNUMBER(F116),ROUND(F116*'Reference data'!$B$2,0),"Unknown")</f>
        <v>54.0</v>
      </c>
    </row>
    <row r="117" spans="1:13" s="4" customFormat="1" ht="24" customHeight="1">
      <c r="A117" s="4" t="s">
        <v>159</v>
      </c>
      <c r="B117" s="4">
        <v>3</v>
      </c>
      <c r="C117" s="4" t="s">
        <v>94</v>
      </c>
      <c r="D117" s="4">
        <v>590</v>
      </c>
      <c r="J117" s="4" t="s">
        <v>95</v>
      </c>
      <c r="M117" s="4" t="s">
        <v>160</v>
      </c>
    </row>
    <row r="118" spans="1:13" ht="24" customHeight="1">
      <c r="A118" t="s">
        <v>159</v>
      </c>
      <c r="B118">
        <v>3</v>
      </c>
      <c r="C118" t="s">
        <v>128</v>
      </c>
      <c r="D118" s="5">
        <v>0</v>
      </c>
      <c r="E118" s="2">
        <f>IF(AND(ISNUMBER(F118),ISNUMBER('Reference data'!$B$3)),F118*'Reference data'!$B$3,"Unknown")</f>
        <v>0.0</v>
      </c>
      <c r="F118" s="2">
        <f>IF(D118=0,0,IF(ISNUMBER('Reference data'!C17),D118*'Reference data'!C17/1000000,"Unknown"))</f>
        <v>0.0</v>
      </c>
      <c r="G118" s="5">
        <f>IF(ISNUMBER(E118),ROUND(E118*'Reference data'!$B$2,0),"Unknown")</f>
        <v>0.0</v>
      </c>
      <c r="H118" s="5">
        <f>IF(ISNUMBER(F118),ROUND(F118*'Reference data'!$B$2,0),"Unknown")</f>
        <v>0.0</v>
      </c>
    </row>
    <row r="119" spans="1:13" ht="24" customHeight="1">
      <c r="A119" t="s">
        <v>159</v>
      </c>
      <c r="B119">
        <v>3</v>
      </c>
      <c r="C119" t="s">
        <v>97</v>
      </c>
      <c r="D119" s="5">
        <v>590</v>
      </c>
      <c r="E119" s="2">
        <f>IF(AND(ISNUMBER(F119),ISNUMBER('Reference data'!$B$3)),F119*'Reference data'!$B$3,"Unknown")</f>
        <v>0.00010293966</v>
      </c>
      <c r="F119" s="2">
        <f>IF(D119=0,0,IF(ISNUMBER('Reference data'!B17),D119*'Reference data'!B17/1000000,"Unknown"))</f>
        <v>0.000118</v>
      </c>
      <c r="G119" s="5">
        <f>IF(ISNUMBER(E119),ROUND(E119*'Reference data'!$B$2,0),"Unknown")</f>
        <v>10.0</v>
      </c>
      <c r="H119" s="5">
        <f>IF(ISNUMBER(F119),ROUND(F119*'Reference data'!$B$2,0),"Unknown")</f>
        <v>12.0</v>
      </c>
    </row>
    <row r="120" spans="1:13" ht="24" customHeight="1">
      <c r="A120" t="s">
        <v>159</v>
      </c>
      <c r="B120">
        <v>3</v>
      </c>
      <c r="C120" t="s">
        <v>101</v>
      </c>
      <c r="I120" s="6" t="s">
        <v>161</v>
      </c>
    </row>
    <row r="121" spans="1:13" ht="24" customHeight="1">
      <c r="A121" t="s">
        <v>159</v>
      </c>
      <c r="B121">
        <v>3</v>
      </c>
      <c r="C121" t="s">
        <v>103</v>
      </c>
    </row>
    <row r="122" spans="1:13" ht="24" customHeight="1">
      <c r="A122" t="s">
        <v>159</v>
      </c>
      <c r="B122">
        <v>3</v>
      </c>
      <c r="C122" t="s">
        <v>104</v>
      </c>
    </row>
    <row r="123" spans="1:13" s="4" customFormat="1" ht="24" customHeight="1">
      <c r="A123" s="4" t="s">
        <v>159</v>
      </c>
      <c r="B123" s="4">
        <v>3</v>
      </c>
      <c r="C123" s="4" t="s">
        <v>105</v>
      </c>
      <c r="D123" s="4">
        <v>57</v>
      </c>
    </row>
    <row r="124" spans="1:13" ht="24" customHeight="1">
      <c r="A124" t="s">
        <v>159</v>
      </c>
      <c r="B124">
        <v>3</v>
      </c>
      <c r="C124" t="s">
        <v>106</v>
      </c>
      <c r="D124" s="5">
        <v>57</v>
      </c>
      <c r="E124" s="2">
        <f>IF(AND(ISNUMBER(F124),ISNUMBER('Reference data'!$B$3)),F124*'Reference data'!$B$3,"Unknown")</f>
        <v>5.9670108e-05</v>
      </c>
      <c r="F124" s="2">
        <f>IF(D124=0,0,IF(ISNUMBER('Reference data'!E17),D124*'Reference data'!E17/1000000,"Unknown"))</f>
        <v>6.84e-05</v>
      </c>
      <c r="G124" s="5">
        <f>IF(ISNUMBER(E124),ROUND(E124*'Reference data'!$B$2,0),"Unknown")</f>
        <v>6.0</v>
      </c>
      <c r="H124" s="5">
        <f>IF(ISNUMBER(F124),ROUND(F124*'Reference data'!$B$2,0),"Unknown")</f>
        <v>7.0</v>
      </c>
    </row>
    <row r="125" spans="1:13" ht="125" customHeight="1">
      <c r="A125" t="s">
        <v>159</v>
      </c>
      <c r="B125">
        <v>3</v>
      </c>
      <c r="C125" t="s">
        <v>107</v>
      </c>
      <c r="I125" s="6" t="s">
        <v>162</v>
      </c>
    </row>
    <row r="126" spans="1:13" ht="24" customHeight="1">
      <c r="A126" t="s">
        <v>159</v>
      </c>
      <c r="B126">
        <v>3</v>
      </c>
      <c r="C126" t="s">
        <v>103</v>
      </c>
    </row>
    <row r="127" spans="1:13" ht="24" customHeight="1">
      <c r="A127" t="s">
        <v>159</v>
      </c>
      <c r="B127">
        <v>3</v>
      </c>
      <c r="C127" t="s">
        <v>104</v>
      </c>
    </row>
    <row r="128" spans="1:13" s="4" customFormat="1" ht="24" customHeight="1">
      <c r="A128" s="4" t="s">
        <v>159</v>
      </c>
      <c r="B128" s="4">
        <v>3</v>
      </c>
      <c r="C128" s="4" t="s">
        <v>109</v>
      </c>
      <c r="E128" s="2">
        <f>IF(COUNT('Turns'!E118,'Turns'!E119,'Turns'!E124)=3,SUM('Turns'!E118,'Turns'!E119,'Turns'!E124),"Unknown")</f>
        <v>0.000162609768</v>
      </c>
      <c r="F128" s="2">
        <f>IF(COUNT('Turns'!F118,'Turns'!F119,'Turns'!F124)=3,SUM('Turns'!F118,'Turns'!F119,'Turns'!F124),"Unknown")</f>
        <v>0.0001864</v>
      </c>
      <c r="G128" s="5">
        <f>IF(ISNUMBER(E128),ROUND(E128*'Reference data'!$B$2,0),"Unknown")</f>
        <v>16.0</v>
      </c>
      <c r="H128" s="5">
        <f>IF(ISNUMBER(F128),ROUND(F128*'Reference data'!$B$2,0),"Unknown")</f>
        <v>19.0</v>
      </c>
      <c r="K128" s="4" t="s">
        <v>110</v>
      </c>
    </row>
    <row r="129" spans="1:13" s="4" customFormat="1" ht="24" customHeight="1">
      <c r="B129" s="4">
        <v>3</v>
      </c>
      <c r="C129" s="4" t="s">
        <v>111</v>
      </c>
      <c r="K129" s="4" t="s">
        <v>110</v>
      </c>
      <c r="M129" s="4" t="s">
        <v>163</v>
      </c>
    </row>
    <row r="130" spans="1:13" ht="47" customHeight="1">
      <c r="B130">
        <v>3</v>
      </c>
      <c r="C130" t="s">
        <v>113</v>
      </c>
      <c r="I130" s="6" t="s">
        <v>164</v>
      </c>
    </row>
    <row r="131" spans="1:13" ht="47" customHeight="1">
      <c r="B131">
        <v>3</v>
      </c>
      <c r="C131" t="s">
        <v>115</v>
      </c>
      <c r="I131" s="6" t="s">
        <v>165</v>
      </c>
    </row>
    <row r="132" spans="1:13" s="4" customFormat="1" ht="24" customHeight="1">
      <c r="A132" s="4" t="s">
        <v>166</v>
      </c>
      <c r="B132" s="4">
        <v>3</v>
      </c>
      <c r="C132" s="4" t="s">
        <v>94</v>
      </c>
      <c r="D132" s="4">
        <v>189</v>
      </c>
      <c r="J132" s="4" t="s">
        <v>95</v>
      </c>
      <c r="M132" s="4" t="s">
        <v>167</v>
      </c>
    </row>
    <row r="133" spans="1:13" ht="24" customHeight="1">
      <c r="A133" t="s">
        <v>166</v>
      </c>
      <c r="B133">
        <v>3</v>
      </c>
      <c r="C133" t="s">
        <v>97</v>
      </c>
      <c r="D133" s="5">
        <v>189</v>
      </c>
      <c r="E133" s="2">
        <f>IF(AND(ISNUMBER(F133),ISNUMBER('Reference data'!$B$3)),F133*'Reference data'!$B$3,"Unknown")</f>
        <v>3.2975586e-05</v>
      </c>
      <c r="F133" s="2">
        <f>IF(D133=0,0,IF(ISNUMBER('Reference data'!B17),D133*'Reference data'!B17/1000000,"Unknown"))</f>
        <v>3.78e-05</v>
      </c>
      <c r="G133" s="5">
        <f>IF(ISNUMBER(E133),ROUND(E133*'Reference data'!$B$2,0),"Unknown")</f>
        <v>3.0</v>
      </c>
      <c r="H133" s="5">
        <f>IF(ISNUMBER(F133),ROUND(F133*'Reference data'!$B$2,0),"Unknown")</f>
        <v>4.0</v>
      </c>
    </row>
    <row r="134" spans="1:13" ht="24" customHeight="1">
      <c r="A134" t="s">
        <v>166</v>
      </c>
      <c r="B134">
        <v>3</v>
      </c>
      <c r="C134" t="s">
        <v>98</v>
      </c>
    </row>
    <row r="135" spans="1:13" ht="73" customHeight="1">
      <c r="A135" t="s">
        <v>166</v>
      </c>
      <c r="B135">
        <v>3</v>
      </c>
      <c r="C135" t="s">
        <v>99</v>
      </c>
      <c r="I135" s="6" t="s">
        <v>168</v>
      </c>
    </row>
    <row r="136" spans="1:13" ht="24" customHeight="1">
      <c r="A136" t="s">
        <v>166</v>
      </c>
      <c r="B136">
        <v>3</v>
      </c>
      <c r="C136" t="s">
        <v>103</v>
      </c>
    </row>
    <row r="137" spans="1:13" ht="24" customHeight="1">
      <c r="A137" t="s">
        <v>166</v>
      </c>
      <c r="B137">
        <v>3</v>
      </c>
      <c r="C137" t="s">
        <v>104</v>
      </c>
    </row>
    <row r="138" spans="1:13" s="4" customFormat="1" ht="24" customHeight="1">
      <c r="A138" s="4" t="s">
        <v>166</v>
      </c>
      <c r="B138" s="4">
        <v>3</v>
      </c>
      <c r="C138" s="4" t="s">
        <v>105</v>
      </c>
      <c r="D138" s="4">
        <v>31</v>
      </c>
    </row>
    <row r="139" spans="1:13" ht="24" customHeight="1">
      <c r="A139" t="s">
        <v>166</v>
      </c>
      <c r="B139">
        <v>3</v>
      </c>
      <c r="C139" t="s">
        <v>106</v>
      </c>
      <c r="D139" s="5">
        <v>31</v>
      </c>
      <c r="E139" s="2">
        <f>IF(AND(ISNUMBER(F139),ISNUMBER('Reference data'!$B$3)),F139*'Reference data'!$B$3,"Unknown")</f>
        <v>3.2452164e-05</v>
      </c>
      <c r="F139" s="2">
        <f>IF(D139=0,0,IF(ISNUMBER('Reference data'!E17),D139*'Reference data'!E17/1000000,"Unknown"))</f>
        <v>3.72e-05</v>
      </c>
      <c r="G139" s="5">
        <f>IF(ISNUMBER(E139),ROUND(E139*'Reference data'!$B$2,0),"Unknown")</f>
        <v>3.0</v>
      </c>
      <c r="H139" s="5">
        <f>IF(ISNUMBER(F139),ROUND(F139*'Reference data'!$B$2,0),"Unknown")</f>
        <v>4.0</v>
      </c>
    </row>
    <row r="140" spans="1:13" ht="86" customHeight="1">
      <c r="A140" t="s">
        <v>166</v>
      </c>
      <c r="B140">
        <v>3</v>
      </c>
      <c r="C140" t="s">
        <v>107</v>
      </c>
      <c r="I140" s="6" t="s">
        <v>169</v>
      </c>
    </row>
    <row r="141" spans="1:13" ht="24" customHeight="1">
      <c r="A141" t="s">
        <v>166</v>
      </c>
      <c r="B141">
        <v>3</v>
      </c>
      <c r="C141" t="s">
        <v>103</v>
      </c>
    </row>
    <row r="142" spans="1:13" ht="24" customHeight="1">
      <c r="A142" t="s">
        <v>166</v>
      </c>
      <c r="B142">
        <v>3</v>
      </c>
      <c r="C142" t="s">
        <v>104</v>
      </c>
    </row>
    <row r="143" spans="1:13" s="4" customFormat="1" ht="24" customHeight="1">
      <c r="A143" s="4" t="s">
        <v>166</v>
      </c>
      <c r="B143" s="4">
        <v>3</v>
      </c>
      <c r="C143" s="4" t="s">
        <v>109</v>
      </c>
      <c r="E143" s="2">
        <f>IF(COUNT('Turns'!E133,'Turns'!E139)=2,SUM('Turns'!E133,'Turns'!E139),"Unknown")</f>
        <v>6.542775e-05</v>
      </c>
      <c r="F143" s="2">
        <f>IF(COUNT('Turns'!F133,'Turns'!F139)=2,SUM('Turns'!F133,'Turns'!F139),"Unknown")</f>
        <v>7.5e-05</v>
      </c>
      <c r="G143" s="5">
        <f>IF(ISNUMBER(E143),ROUND(E143*'Reference data'!$B$2,0),"Unknown")</f>
        <v>7.0</v>
      </c>
      <c r="H143" s="5">
        <f>IF(ISNUMBER(F143),ROUND(F143*'Reference data'!$B$2,0),"Unknown")</f>
        <v>8.0</v>
      </c>
      <c r="K143" s="4" t="s">
        <v>110</v>
      </c>
    </row>
    <row r="144" spans="1:13" s="4" customFormat="1" ht="24" customHeight="1">
      <c r="B144" s="4">
        <v>3</v>
      </c>
      <c r="C144" s="4" t="s">
        <v>170</v>
      </c>
      <c r="K144" s="4" t="s">
        <v>110</v>
      </c>
      <c r="M144" s="4" t="s">
        <v>171</v>
      </c>
    </row>
    <row r="145" spans="1:13" ht="24" customHeight="1">
      <c r="B145">
        <v>3</v>
      </c>
      <c r="C145" t="s">
        <v>113</v>
      </c>
      <c r="I145" s="6" t="s">
        <v>172</v>
      </c>
    </row>
    <row r="146" spans="1:13" ht="60" customHeight="1">
      <c r="B146">
        <v>3</v>
      </c>
      <c r="C146" t="s">
        <v>115</v>
      </c>
      <c r="I146" s="6" t="s">
        <v>173</v>
      </c>
    </row>
    <row r="147" spans="1:13" s="4" customFormat="1" ht="24" customHeight="1">
      <c r="A147" s="4" t="s">
        <v>174</v>
      </c>
      <c r="B147" s="4">
        <v>3</v>
      </c>
      <c r="C147" s="4" t="s">
        <v>94</v>
      </c>
      <c r="D147" s="4">
        <v>285</v>
      </c>
      <c r="J147" s="4" t="s">
        <v>95</v>
      </c>
      <c r="M147" s="4" t="s">
        <v>175</v>
      </c>
    </row>
    <row r="148" spans="1:13" ht="24" customHeight="1">
      <c r="A148" t="s">
        <v>174</v>
      </c>
      <c r="B148">
        <v>3</v>
      </c>
      <c r="C148" t="s">
        <v>128</v>
      </c>
      <c r="D148" s="5">
        <v>0</v>
      </c>
      <c r="E148" s="2">
        <f>IF(AND(ISNUMBER(F148),ISNUMBER('Reference data'!$B$3)),F148*'Reference data'!$B$3,"Unknown")</f>
        <v>0.0</v>
      </c>
      <c r="F148" s="2">
        <f>IF(D148=0,0,IF(ISNUMBER('Reference data'!C17),D148*'Reference data'!C17/1000000,"Unknown"))</f>
        <v>0.0</v>
      </c>
      <c r="G148" s="5">
        <f>IF(ISNUMBER(E148),ROUND(E148*'Reference data'!$B$2,0),"Unknown")</f>
        <v>0.0</v>
      </c>
      <c r="H148" s="5">
        <f>IF(ISNUMBER(F148),ROUND(F148*'Reference data'!$B$2,0),"Unknown")</f>
        <v>0.0</v>
      </c>
    </row>
    <row r="149" spans="1:13" ht="24" customHeight="1">
      <c r="A149" t="s">
        <v>174</v>
      </c>
      <c r="B149">
        <v>3</v>
      </c>
      <c r="C149" t="s">
        <v>97</v>
      </c>
      <c r="D149" s="5">
        <v>285</v>
      </c>
      <c r="E149" s="2">
        <f>IF(AND(ISNUMBER(F149),ISNUMBER('Reference data'!$B$3)),F149*'Reference data'!$B$3,"Unknown")</f>
        <v>4.972509e-05</v>
      </c>
      <c r="F149" s="2">
        <f>IF(D149=0,0,IF(ISNUMBER('Reference data'!B17),D149*'Reference data'!B17/1000000,"Unknown"))</f>
        <v>5.7e-05</v>
      </c>
      <c r="G149" s="5">
        <f>IF(ISNUMBER(E149),ROUND(E149*'Reference data'!$B$2,0),"Unknown")</f>
        <v>5.0</v>
      </c>
      <c r="H149" s="5">
        <f>IF(ISNUMBER(F149),ROUND(F149*'Reference data'!$B$2,0),"Unknown")</f>
        <v>6.0</v>
      </c>
    </row>
    <row r="150" spans="1:13" ht="60" customHeight="1">
      <c r="A150" t="s">
        <v>174</v>
      </c>
      <c r="B150">
        <v>3</v>
      </c>
      <c r="C150" t="s">
        <v>129</v>
      </c>
      <c r="I150" s="6" t="s">
        <v>173</v>
      </c>
    </row>
    <row r="151" spans="1:13" ht="24" customHeight="1">
      <c r="A151" t="s">
        <v>174</v>
      </c>
      <c r="B151">
        <v>3</v>
      </c>
      <c r="C151" t="s">
        <v>103</v>
      </c>
    </row>
    <row r="152" spans="1:13" ht="24" customHeight="1">
      <c r="A152" t="s">
        <v>174</v>
      </c>
      <c r="B152">
        <v>3</v>
      </c>
      <c r="C152" t="s">
        <v>104</v>
      </c>
    </row>
    <row r="153" spans="1:13" s="4" customFormat="1" ht="24" customHeight="1">
      <c r="A153" s="4" t="s">
        <v>174</v>
      </c>
      <c r="B153" s="4">
        <v>3</v>
      </c>
      <c r="C153" s="4" t="s">
        <v>105</v>
      </c>
      <c r="D153" s="4">
        <v>46</v>
      </c>
    </row>
    <row r="154" spans="1:13" ht="24" customHeight="1">
      <c r="A154" t="s">
        <v>174</v>
      </c>
      <c r="B154">
        <v>3</v>
      </c>
      <c r="C154" t="s">
        <v>106</v>
      </c>
      <c r="D154" s="5">
        <v>46</v>
      </c>
      <c r="E154" s="2">
        <f>IF(AND(ISNUMBER(F154),ISNUMBER('Reference data'!$B$3)),F154*'Reference data'!$B$3,"Unknown")</f>
        <v>4.8154824e-05</v>
      </c>
      <c r="F154" s="2">
        <f>IF(D154=0,0,IF(ISNUMBER('Reference data'!E17),D154*'Reference data'!E17/1000000,"Unknown"))</f>
        <v>5.52e-05</v>
      </c>
      <c r="G154" s="5">
        <f>IF(ISNUMBER(E154),ROUND(E154*'Reference data'!$B$2,0),"Unknown")</f>
        <v>5.0</v>
      </c>
      <c r="H154" s="5">
        <f>IF(ISNUMBER(F154),ROUND(F154*'Reference data'!$B$2,0),"Unknown")</f>
        <v>6.0</v>
      </c>
    </row>
    <row r="155" spans="1:13" ht="60" customHeight="1">
      <c r="A155" t="s">
        <v>174</v>
      </c>
      <c r="B155">
        <v>3</v>
      </c>
      <c r="C155" t="s">
        <v>107</v>
      </c>
      <c r="I155" s="6" t="s">
        <v>176</v>
      </c>
    </row>
    <row r="156" spans="1:13" ht="24" customHeight="1">
      <c r="A156" t="s">
        <v>174</v>
      </c>
      <c r="B156">
        <v>3</v>
      </c>
      <c r="C156" t="s">
        <v>103</v>
      </c>
    </row>
    <row r="157" spans="1:13" ht="24" customHeight="1">
      <c r="A157" t="s">
        <v>174</v>
      </c>
      <c r="B157">
        <v>3</v>
      </c>
      <c r="C157" t="s">
        <v>104</v>
      </c>
    </row>
    <row r="158" spans="1:13" s="4" customFormat="1" ht="24" customHeight="1">
      <c r="A158" s="4" t="s">
        <v>174</v>
      </c>
      <c r="B158" s="4">
        <v>3</v>
      </c>
      <c r="C158" s="4" t="s">
        <v>109</v>
      </c>
      <c r="E158" s="2">
        <f>IF(COUNT('Turns'!E148,'Turns'!E149,'Turns'!E154)=3,SUM('Turns'!E148,'Turns'!E149,'Turns'!E154),"Unknown")</f>
        <v>9.7879914e-05</v>
      </c>
      <c r="F158" s="2">
        <f>IF(COUNT('Turns'!F148,'Turns'!F149,'Turns'!F154)=3,SUM('Turns'!F148,'Turns'!F149,'Turns'!F154),"Unknown")</f>
        <v>0.0001122</v>
      </c>
      <c r="G158" s="5">
        <f>IF(ISNUMBER(E158),ROUND(E158*'Reference data'!$B$2,0),"Unknown")</f>
        <v>10.0</v>
      </c>
      <c r="H158" s="5">
        <f>IF(ISNUMBER(F158),ROUND(F158*'Reference data'!$B$2,0),"Unknown")</f>
        <v>11.0</v>
      </c>
      <c r="K158" s="4" t="s">
        <v>110</v>
      </c>
    </row>
    <row r="159" spans="1:13" s="4" customFormat="1" ht="24" customHeight="1">
      <c r="A159" s="4" t="s">
        <v>177</v>
      </c>
      <c r="B159" s="4">
        <v>3</v>
      </c>
      <c r="C159" s="4" t="s">
        <v>94</v>
      </c>
      <c r="D159" s="4">
        <v>699</v>
      </c>
      <c r="J159" s="4" t="s">
        <v>95</v>
      </c>
      <c r="M159" s="4" t="s">
        <v>178</v>
      </c>
    </row>
    <row r="160" spans="1:13" ht="24" customHeight="1">
      <c r="A160" t="s">
        <v>177</v>
      </c>
      <c r="B160">
        <v>3</v>
      </c>
      <c r="C160" t="s">
        <v>128</v>
      </c>
      <c r="D160" s="5">
        <v>0</v>
      </c>
      <c r="E160" s="2">
        <f>IF(AND(ISNUMBER(F160),ISNUMBER('Reference data'!$B$3)),F160*'Reference data'!$B$3,"Unknown")</f>
        <v>0.0</v>
      </c>
      <c r="F160" s="2">
        <f>IF(D160=0,0,IF(ISNUMBER('Reference data'!C17),D160*'Reference data'!C17/1000000,"Unknown"))</f>
        <v>0.0</v>
      </c>
      <c r="G160" s="5">
        <f>IF(ISNUMBER(E160),ROUND(E160*'Reference data'!$B$2,0),"Unknown")</f>
        <v>0.0</v>
      </c>
      <c r="H160" s="5">
        <f>IF(ISNUMBER(F160),ROUND(F160*'Reference data'!$B$2,0),"Unknown")</f>
        <v>0.0</v>
      </c>
    </row>
    <row r="161" spans="1:11" ht="24" customHeight="1">
      <c r="A161" t="s">
        <v>177</v>
      </c>
      <c r="B161">
        <v>3</v>
      </c>
      <c r="C161" t="s">
        <v>97</v>
      </c>
      <c r="D161" s="5">
        <v>699</v>
      </c>
      <c r="E161" s="2">
        <f>IF(AND(ISNUMBER(F161),ISNUMBER('Reference data'!$B$3)),F161*'Reference data'!$B$3,"Unknown")</f>
        <v>0.000121957326</v>
      </c>
      <c r="F161" s="2">
        <f>IF(D161=0,0,IF(ISNUMBER('Reference data'!B17),D161*'Reference data'!B17/1000000,"Unknown"))</f>
        <v>0.0001398</v>
      </c>
      <c r="G161" s="5">
        <f>IF(ISNUMBER(E161),ROUND(E161*'Reference data'!$B$2,0),"Unknown")</f>
        <v>12.0</v>
      </c>
      <c r="H161" s="5">
        <f>IF(ISNUMBER(F161),ROUND(F161*'Reference data'!$B$2,0),"Unknown")</f>
        <v>14.0</v>
      </c>
    </row>
    <row r="162" spans="1:11" ht="34" customHeight="1">
      <c r="A162" t="s">
        <v>177</v>
      </c>
      <c r="B162">
        <v>3</v>
      </c>
      <c r="C162" t="s">
        <v>129</v>
      </c>
      <c r="I162" s="6" t="s">
        <v>179</v>
      </c>
    </row>
    <row r="163" spans="1:11" ht="24" customHeight="1">
      <c r="A163" t="s">
        <v>177</v>
      </c>
      <c r="B163">
        <v>3</v>
      </c>
      <c r="C163" t="s">
        <v>103</v>
      </c>
    </row>
    <row r="164" spans="1:11" ht="24" customHeight="1">
      <c r="A164" t="s">
        <v>177</v>
      </c>
      <c r="B164">
        <v>3</v>
      </c>
      <c r="C164" t="s">
        <v>104</v>
      </c>
    </row>
    <row r="165" spans="1:11" s="4" customFormat="1" ht="24" customHeight="1">
      <c r="A165" s="4" t="s">
        <v>177</v>
      </c>
      <c r="B165" s="4">
        <v>3</v>
      </c>
      <c r="C165" s="4" t="s">
        <v>105</v>
      </c>
      <c r="D165" s="4">
        <v>20</v>
      </c>
    </row>
    <row r="166" spans="1:11" ht="24" customHeight="1">
      <c r="A166" t="s">
        <v>177</v>
      </c>
      <c r="B166">
        <v>3</v>
      </c>
      <c r="C166" t="s">
        <v>106</v>
      </c>
      <c r="D166" s="5">
        <v>20</v>
      </c>
      <c r="E166" s="2">
        <f>IF(AND(ISNUMBER(F166),ISNUMBER('Reference data'!$B$3)),F166*'Reference data'!$B$3,"Unknown")</f>
        <v>2.093688e-05</v>
      </c>
      <c r="F166" s="2">
        <f>IF(D166=0,0,IF(ISNUMBER('Reference data'!E17),D166*'Reference data'!E17/1000000,"Unknown"))</f>
        <v>2.4e-05</v>
      </c>
      <c r="G166" s="5">
        <f>IF(ISNUMBER(E166),ROUND(E166*'Reference data'!$B$2,0),"Unknown")</f>
        <v>2.0</v>
      </c>
      <c r="H166" s="5">
        <f>IF(ISNUMBER(F166),ROUND(F166*'Reference data'!$B$2,0),"Unknown")</f>
        <v>2.0</v>
      </c>
    </row>
    <row r="167" spans="1:11" ht="47" customHeight="1">
      <c r="A167" t="s">
        <v>177</v>
      </c>
      <c r="B167">
        <v>3</v>
      </c>
      <c r="C167" t="s">
        <v>107</v>
      </c>
      <c r="I167" s="6" t="s">
        <v>180</v>
      </c>
    </row>
    <row r="168" spans="1:11" ht="24" customHeight="1">
      <c r="A168" t="s">
        <v>177</v>
      </c>
      <c r="B168">
        <v>3</v>
      </c>
      <c r="C168" t="s">
        <v>103</v>
      </c>
    </row>
    <row r="169" spans="1:11" ht="24" customHeight="1">
      <c r="A169" t="s">
        <v>177</v>
      </c>
      <c r="B169">
        <v>3</v>
      </c>
      <c r="C169" t="s">
        <v>104</v>
      </c>
    </row>
    <row r="170" spans="1:11" s="4" customFormat="1" ht="24" customHeight="1">
      <c r="A170" s="4" t="s">
        <v>177</v>
      </c>
      <c r="B170" s="4">
        <v>3</v>
      </c>
      <c r="C170" s="4" t="s">
        <v>109</v>
      </c>
      <c r="E170" s="2">
        <f>IF(COUNT('Turns'!E160,'Turns'!E161,'Turns'!E166)=3,SUM('Turns'!E160,'Turns'!E161,'Turns'!E166),"Unknown")</f>
        <v>0.000142894206</v>
      </c>
      <c r="F170" s="2">
        <f>IF(COUNT('Turns'!F160,'Turns'!F161,'Turns'!F166)=3,SUM('Turns'!F160,'Turns'!F161,'Turns'!F166),"Unknown")</f>
        <v>0.0001638</v>
      </c>
      <c r="G170" s="5">
        <f>IF(ISNUMBER(E170),ROUND(E170*'Reference data'!$B$2,0),"Unknown")</f>
        <v>14.0</v>
      </c>
      <c r="H170" s="5">
        <f>IF(ISNUMBER(F170),ROUND(F170*'Reference data'!$B$2,0),"Unknown")</f>
        <v>16.0</v>
      </c>
      <c r="K170" s="4" t="s">
        <v>110</v>
      </c>
    </row>
  </sheetData>
  <conditionalFormatting sqref="A2:AE170">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43"/>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181</v>
      </c>
      <c r="B2" s="1">
        <v>0</v>
      </c>
      <c r="C2" s="1" t="s">
        <v>182</v>
      </c>
      <c r="D2" s="1" t="s">
        <v>47</v>
      </c>
      <c r="E2" s="1" t="s">
        <v>110</v>
      </c>
      <c r="G2" s="6" t="s">
        <v>183</v>
      </c>
      <c r="H2" t="s">
        <v>49</v>
      </c>
      <c r="J2" s="2">
        <f>IF(COUNT('Turns'!D5,'Turns'!D21,'Turns'!D38,'Turns'!D50)=4,SUM('Turns'!D5,'Turns'!D21,'Turns'!D38,'Turns'!D50),"Unknown")</f>
        <v>1116.0</v>
      </c>
      <c r="K2" s="2">
        <f>IF(COUNT('Turns'!E5,'Turns'!E21,'Turns'!E38,'Turns'!E50)=4,SUM('Turns'!E5,'Turns'!E21,'Turns'!E38,'Turns'!E50),"Unknown")</f>
        <v>0.000194712984</v>
      </c>
      <c r="L2" s="2">
        <f>IF(COUNT('Turns'!F5,'Turns'!F21,'Turns'!F38,'Turns'!F50)=4,SUM('Turns'!F5,'Turns'!F21,'Turns'!F38,'Turns'!F50),"Unknown")</f>
        <v>0.0002232</v>
      </c>
      <c r="M2" s="2">
        <f>IF(COUNT('Turns'!D37,'Turns'!D49)=2,SUM('Turns'!D37,'Turns'!D49),"Unknown")</f>
        <v>0.0</v>
      </c>
      <c r="N2" s="2">
        <f>IF(COUNT('Turns'!E37,'Turns'!E49)=2,SUM('Turns'!E37,'Turns'!E49),"Unknown")</f>
        <v>0.0</v>
      </c>
      <c r="O2" s="2">
        <f>IF(COUNT('Turns'!F37,'Turns'!F49)=2,SUM('Turns'!F37,'Turns'!F49),"Unknown")</f>
        <v>0.0</v>
      </c>
      <c r="P2" s="2">
        <v>0</v>
      </c>
      <c r="Q2" s="2">
        <v>0</v>
      </c>
      <c r="R2" s="2">
        <v>0</v>
      </c>
      <c r="S2" s="2">
        <f>IF(COUNT('Turns'!D12,'Turns'!D28,'Turns'!D43,'Turns'!D55)=4,SUM('Turns'!D12,'Turns'!D28,'Turns'!D43,'Turns'!D55),"Unknown")</f>
        <v>156.0</v>
      </c>
      <c r="T2" s="2">
        <f>IF(COUNT('Turns'!E12,'Turns'!E28,'Turns'!E43,'Turns'!E55)=4,SUM('Turns'!E12,'Turns'!E28,'Turns'!E43,'Turns'!E55),"Unknown")</f>
        <v>0.000163307664</v>
      </c>
      <c r="U2" s="2">
        <f>IF(COUNT('Turns'!F12,'Turns'!F28,'Turns'!F43,'Turns'!F55)=4,SUM('Turns'!F12,'Turns'!F28,'Turns'!F43,'Turns'!F55),"Unknown")</f>
        <v>0.0001872</v>
      </c>
      <c r="V2" s="2">
        <f>IF(COUNT('Turns'!D27)=1,SUM('Turns'!D27),"Unknown")</f>
        <v>9.0</v>
      </c>
      <c r="W2" s="2">
        <f>IF(COUNT('Turns'!E27)=1,SUM('Turns'!E27),"Unknown")</f>
        <v>9.421596e-06</v>
      </c>
      <c r="X2" s="2">
        <f>IF(COUNT('Turns'!F27)=1,SUM('Turns'!F27),"Unknown")</f>
        <v>1.08e-05</v>
      </c>
      <c r="Y2" s="2">
        <f>IF(COUNT('Turns'!E16,'Turns'!E32,'Turns'!E47,'Turns'!E59)=4,SUM('Turns'!E16,'Turns'!E32,'Turns'!E47,'Turns'!E59),"Unknown")</f>
        <v>0.000367442244</v>
      </c>
      <c r="Z2" s="2">
        <f>IF(COUNT('Turns'!F16,'Turns'!F32,'Turns'!F47,'Turns'!F59)=4,SUM('Turns'!F16,'Turns'!F32,'Turns'!F47,'Turns'!F59),"Unknown")</f>
        <v>0.0004212</v>
      </c>
      <c r="AA2" s="5">
        <f>IF(ISNUMBER(Y2),ROUND(Y2*'Reference data'!$B$2,0),"Unknown")</f>
        <v>37.0</v>
      </c>
      <c r="AB2" s="5">
        <f>IF(ISNUMBER(Z2),ROUND(Z2*'Reference data'!$B$2,0),"Unknown")</f>
        <v>42.0</v>
      </c>
      <c r="AD2" s="1">
        <v>4827.616</v>
      </c>
      <c r="AE2" s="1" t="s">
        <v>184</v>
      </c>
    </row>
    <row r="3" spans="1:31" ht="54" customHeight="1">
      <c r="A3" s="6" t="s">
        <v>185</v>
      </c>
      <c r="B3" s="1">
        <v>1</v>
      </c>
      <c r="C3" s="1" t="s">
        <v>182</v>
      </c>
      <c r="D3" s="1" t="s">
        <v>47</v>
      </c>
      <c r="E3" s="1" t="s">
        <v>110</v>
      </c>
      <c r="G3" s="6" t="s">
        <v>186</v>
      </c>
      <c r="H3" t="s">
        <v>187</v>
      </c>
      <c r="I3" t="s">
        <v>49</v>
      </c>
      <c r="J3" s="2">
        <f>IF(COUNT('Turns'!D5)=1,SUM('Turns'!D5),"Unknown")</f>
        <v>262.0</v>
      </c>
      <c r="K3" s="2">
        <f>IF(COUNT('Turns'!E5)=1,SUM('Turns'!E5),"Unknown")</f>
        <v>4.5712188e-05</v>
      </c>
      <c r="L3" s="2">
        <f>IF(COUNT('Turns'!F5)=1,SUM('Turns'!F5),"Unknown")</f>
        <v>5.24e-05</v>
      </c>
      <c r="M3" s="2">
        <v>0</v>
      </c>
      <c r="N3" s="2">
        <v>0</v>
      </c>
      <c r="O3" s="2">
        <v>0</v>
      </c>
      <c r="P3" s="2">
        <v>0</v>
      </c>
      <c r="Q3" s="2">
        <v>0</v>
      </c>
      <c r="R3" s="2">
        <v>0</v>
      </c>
      <c r="S3" s="2">
        <f>IF(COUNT('Turns'!D12)=1,SUM('Turns'!D12),"Unknown")</f>
        <v>60.0</v>
      </c>
      <c r="T3" s="2">
        <f>IF(COUNT('Turns'!E12)=1,SUM('Turns'!E12),"Unknown")</f>
        <v>6.281064e-05</v>
      </c>
      <c r="U3" s="2">
        <f>IF(COUNT('Turns'!F12)=1,SUM('Turns'!F12),"Unknown")</f>
        <v>7.2e-05</v>
      </c>
      <c r="V3" s="2">
        <v>0</v>
      </c>
      <c r="W3" s="2">
        <v>0</v>
      </c>
      <c r="X3" s="2">
        <v>0</v>
      </c>
      <c r="Y3" s="2">
        <f>IF(COUNT('Turns'!E16)=1,SUM('Turns'!E16),"Unknown")</f>
        <v>0.000108522828</v>
      </c>
      <c r="Z3" s="2">
        <f>IF(COUNT('Turns'!F16)=1,SUM('Turns'!F16),"Unknown")</f>
        <v>0.0001244</v>
      </c>
      <c r="AA3" s="5">
        <f>IF(ISNUMBER(Y3),ROUND(Y3*'Reference data'!$B$2,0),"Unknown")</f>
        <v>11.0</v>
      </c>
      <c r="AB3" s="5">
        <f>IF(ISNUMBER(Z3),ROUND(Z3*'Reference data'!$B$2,0),"Unknown")</f>
        <v>12.0</v>
      </c>
      <c r="AD3" s="1">
        <v>1728.893</v>
      </c>
      <c r="AE3" s="1" t="s">
        <v>184</v>
      </c>
    </row>
    <row r="4" spans="1:31" ht="54" customHeight="1">
      <c r="A4" s="6" t="s">
        <v>188</v>
      </c>
      <c r="B4" s="1">
        <v>2</v>
      </c>
      <c r="C4" s="1" t="s">
        <v>189</v>
      </c>
      <c r="D4" s="1" t="s">
        <v>95</v>
      </c>
      <c r="E4" s="1" t="s">
        <v>110</v>
      </c>
      <c r="F4" s="1">
        <v>262</v>
      </c>
      <c r="G4" s="6" t="s">
        <v>190</v>
      </c>
      <c r="H4" t="s">
        <v>96</v>
      </c>
      <c r="I4" t="s">
        <v>187</v>
      </c>
      <c r="J4" s="2">
        <f>IF(COUNT('Turns'!D5)=1,SUM('Turns'!D5),"Unknown")</f>
        <v>262.0</v>
      </c>
      <c r="K4" s="2">
        <f>IF(COUNT('Turns'!E5)=1,SUM('Turns'!E5),"Unknown")</f>
        <v>4.5712188e-05</v>
      </c>
      <c r="L4" s="2">
        <f>IF(COUNT('Turns'!F5)=1,SUM('Turns'!F5),"Unknown")</f>
        <v>5.24e-05</v>
      </c>
      <c r="M4" s="2">
        <v>0</v>
      </c>
      <c r="N4" s="2">
        <v>0</v>
      </c>
      <c r="O4" s="2">
        <v>0</v>
      </c>
      <c r="P4" s="2">
        <v>0</v>
      </c>
      <c r="Q4" s="2">
        <v>0</v>
      </c>
      <c r="R4" s="2">
        <v>0</v>
      </c>
      <c r="S4" s="2">
        <f>IF(COUNT('Turns'!D12)=1,SUM('Turns'!D12),"Unknown")</f>
        <v>60.0</v>
      </c>
      <c r="T4" s="2">
        <f>IF(COUNT('Turns'!E12)=1,SUM('Turns'!E12),"Unknown")</f>
        <v>6.281064e-05</v>
      </c>
      <c r="U4" s="2">
        <f>IF(COUNT('Turns'!F12)=1,SUM('Turns'!F12),"Unknown")</f>
        <v>7.2e-05</v>
      </c>
      <c r="V4" s="2">
        <v>0</v>
      </c>
      <c r="W4" s="2">
        <v>0</v>
      </c>
      <c r="X4" s="2">
        <v>0</v>
      </c>
      <c r="Y4" s="2">
        <f>IF(COUNT('Turns'!E16)=1,SUM('Turns'!E16),"Unknown")</f>
        <v>0.000108522828</v>
      </c>
      <c r="Z4" s="2">
        <f>IF(COUNT('Turns'!F16)=1,SUM('Turns'!F16),"Unknown")</f>
        <v>0.0001244</v>
      </c>
      <c r="AA4" s="5">
        <f>IF(ISNUMBER(Y4),ROUND(Y4*'Reference data'!$B$2,0),"Unknown")</f>
        <v>11.0</v>
      </c>
      <c r="AB4" s="5">
        <f>IF(ISNUMBER(Z4),ROUND(Z4*'Reference data'!$B$2,0),"Unknown")</f>
        <v>12.0</v>
      </c>
      <c r="AC4" s="1" t="s">
        <v>93</v>
      </c>
      <c r="AD4" s="1">
        <v>1725.688</v>
      </c>
      <c r="AE4" s="1" t="s">
        <v>191</v>
      </c>
    </row>
    <row r="5" spans="1:31" ht="54" customHeight="1">
      <c r="A5" s="6" t="s">
        <v>192</v>
      </c>
      <c r="B5" s="1">
        <v>1</v>
      </c>
      <c r="C5" s="1" t="s">
        <v>182</v>
      </c>
      <c r="D5" s="1" t="s">
        <v>47</v>
      </c>
      <c r="E5" s="1" t="s">
        <v>110</v>
      </c>
      <c r="G5" s="6" t="s">
        <v>193</v>
      </c>
      <c r="H5" t="s">
        <v>194</v>
      </c>
      <c r="I5" t="s">
        <v>49</v>
      </c>
      <c r="J5" s="2">
        <f>IF(COUNT('Turns'!D21,'Turns'!D38)=2,SUM('Turns'!D21,'Turns'!D38),"Unknown")</f>
        <v>485.0</v>
      </c>
      <c r="K5" s="2">
        <f>IF(COUNT('Turns'!E21,'Turns'!E38)=2,SUM('Turns'!E21,'Turns'!E38),"Unknown")</f>
        <v>8.461989e-05</v>
      </c>
      <c r="L5" s="2">
        <f>IF(COUNT('Turns'!F21,'Turns'!F38)=2,SUM('Turns'!F21,'Turns'!F38),"Unknown")</f>
        <v>9.7e-05</v>
      </c>
      <c r="M5" s="2">
        <f>IF(COUNT('Turns'!D37)=1,SUM('Turns'!D37),"Unknown")</f>
        <v>0.0</v>
      </c>
      <c r="N5" s="2">
        <f>IF(COUNT('Turns'!E37)=1,SUM('Turns'!E37),"Unknown")</f>
        <v>0.0</v>
      </c>
      <c r="O5" s="2">
        <f>IF(COUNT('Turns'!F37)=1,SUM('Turns'!F37),"Unknown")</f>
        <v>0.0</v>
      </c>
      <c r="P5" s="2">
        <v>0</v>
      </c>
      <c r="Q5" s="2">
        <v>0</v>
      </c>
      <c r="R5" s="2">
        <v>0</v>
      </c>
      <c r="S5" s="2">
        <f>IF(COUNT('Turns'!D28,'Turns'!D43)=2,SUM('Turns'!D28,'Turns'!D43),"Unknown")</f>
        <v>75.0</v>
      </c>
      <c r="T5" s="2">
        <f>IF(COUNT('Turns'!E28,'Turns'!E43)=2,SUM('Turns'!E28,'Turns'!E43),"Unknown")</f>
        <v>7.85133e-05</v>
      </c>
      <c r="U5" s="2">
        <f>IF(COUNT('Turns'!F28,'Turns'!F43)=2,SUM('Turns'!F28,'Turns'!F43),"Unknown")</f>
        <v>9e-05</v>
      </c>
      <c r="V5" s="2">
        <f>IF(COUNT('Turns'!D27)=1,SUM('Turns'!D27),"Unknown")</f>
        <v>9.0</v>
      </c>
      <c r="W5" s="2">
        <f>IF(COUNT('Turns'!E27)=1,SUM('Turns'!E27),"Unknown")</f>
        <v>9.421596e-06</v>
      </c>
      <c r="X5" s="2">
        <f>IF(COUNT('Turns'!F27)=1,SUM('Turns'!F27),"Unknown")</f>
        <v>1.08e-05</v>
      </c>
      <c r="Y5" s="2">
        <f>IF(COUNT('Turns'!E32,'Turns'!E47)=2,SUM('Turns'!E32,'Turns'!E47),"Unknown")</f>
        <v>0.000172554786</v>
      </c>
      <c r="Z5" s="2">
        <f>IF(COUNT('Turns'!F32,'Turns'!F47)=2,SUM('Turns'!F32,'Turns'!F47),"Unknown")</f>
        <v>0.0001978</v>
      </c>
      <c r="AA5" s="5">
        <f>IF(ISNUMBER(Y5),ROUND(Y5*'Reference data'!$B$2,0),"Unknown")</f>
        <v>17.0</v>
      </c>
      <c r="AB5" s="5">
        <f>IF(ISNUMBER(Z5),ROUND(Z5*'Reference data'!$B$2,0),"Unknown")</f>
        <v>20.0</v>
      </c>
      <c r="AD5" s="1">
        <v>2261.826</v>
      </c>
      <c r="AE5" s="1" t="s">
        <v>184</v>
      </c>
    </row>
    <row r="6" spans="1:31" ht="54" customHeight="1">
      <c r="A6" s="6" t="s">
        <v>195</v>
      </c>
      <c r="B6" s="1">
        <v>2</v>
      </c>
      <c r="C6" s="1" t="s">
        <v>196</v>
      </c>
      <c r="D6" s="1" t="s">
        <v>47</v>
      </c>
      <c r="E6" s="1" t="s">
        <v>110</v>
      </c>
      <c r="G6" s="6" t="s">
        <v>197</v>
      </c>
      <c r="H6" t="s">
        <v>112</v>
      </c>
      <c r="I6" t="s">
        <v>194</v>
      </c>
      <c r="J6" s="2">
        <f>IF(COUNT('Turns'!D21,'Turns'!D38)=2,SUM('Turns'!D21,'Turns'!D38),"Unknown")</f>
        <v>485.0</v>
      </c>
      <c r="K6" s="2">
        <f>IF(COUNT('Turns'!E21,'Turns'!E38)=2,SUM('Turns'!E21,'Turns'!E38),"Unknown")</f>
        <v>8.461989e-05</v>
      </c>
      <c r="L6" s="2">
        <f>IF(COUNT('Turns'!F21,'Turns'!F38)=2,SUM('Turns'!F21,'Turns'!F38),"Unknown")</f>
        <v>9.7e-05</v>
      </c>
      <c r="M6" s="2">
        <f>IF(COUNT('Turns'!D37)=1,SUM('Turns'!D37),"Unknown")</f>
        <v>0.0</v>
      </c>
      <c r="N6" s="2">
        <f>IF(COUNT('Turns'!E37)=1,SUM('Turns'!E37),"Unknown")</f>
        <v>0.0</v>
      </c>
      <c r="O6" s="2">
        <f>IF(COUNT('Turns'!F37)=1,SUM('Turns'!F37),"Unknown")</f>
        <v>0.0</v>
      </c>
      <c r="P6" s="2">
        <v>0</v>
      </c>
      <c r="Q6" s="2">
        <v>0</v>
      </c>
      <c r="R6" s="2">
        <v>0</v>
      </c>
      <c r="S6" s="2">
        <f>IF(COUNT('Turns'!D28,'Turns'!D43)=2,SUM('Turns'!D28,'Turns'!D43),"Unknown")</f>
        <v>75.0</v>
      </c>
      <c r="T6" s="2">
        <f>IF(COUNT('Turns'!E28,'Turns'!E43)=2,SUM('Turns'!E28,'Turns'!E43),"Unknown")</f>
        <v>7.85133e-05</v>
      </c>
      <c r="U6" s="2">
        <f>IF(COUNT('Turns'!F28,'Turns'!F43)=2,SUM('Turns'!F28,'Turns'!F43),"Unknown")</f>
        <v>9e-05</v>
      </c>
      <c r="V6" s="2">
        <f>IF(COUNT('Turns'!D27)=1,SUM('Turns'!D27),"Unknown")</f>
        <v>9.0</v>
      </c>
      <c r="W6" s="2">
        <f>IF(COUNT('Turns'!E27)=1,SUM('Turns'!E27),"Unknown")</f>
        <v>9.421596e-06</v>
      </c>
      <c r="X6" s="2">
        <f>IF(COUNT('Turns'!F27)=1,SUM('Turns'!F27),"Unknown")</f>
        <v>1.08e-05</v>
      </c>
      <c r="Y6" s="2">
        <f>IF(COUNT('Turns'!E32,'Turns'!E47)=2,SUM('Turns'!E32,'Turns'!E47),"Unknown")</f>
        <v>0.000172554786</v>
      </c>
      <c r="Z6" s="2">
        <f>IF(COUNT('Turns'!F32,'Turns'!F47)=2,SUM('Turns'!F32,'Turns'!F47),"Unknown")</f>
        <v>0.0001978</v>
      </c>
      <c r="AA6" s="5">
        <f>IF(ISNUMBER(Y6),ROUND(Y6*'Reference data'!$B$2,0),"Unknown")</f>
        <v>17.0</v>
      </c>
      <c r="AB6" s="5">
        <f>IF(ISNUMBER(Z6),ROUND(Z6*'Reference data'!$B$2,0),"Unknown")</f>
        <v>20.0</v>
      </c>
      <c r="AD6" s="1">
        <v>2260.541</v>
      </c>
      <c r="AE6" s="1" t="s">
        <v>184</v>
      </c>
    </row>
    <row r="7" spans="1:31" ht="54" customHeight="1">
      <c r="A7" s="6" t="s">
        <v>198</v>
      </c>
      <c r="B7" s="1">
        <v>3</v>
      </c>
      <c r="C7" s="1" t="s">
        <v>182</v>
      </c>
      <c r="D7" s="1" t="s">
        <v>47</v>
      </c>
      <c r="E7" s="1" t="s">
        <v>110</v>
      </c>
      <c r="G7" s="6" t="s">
        <v>199</v>
      </c>
      <c r="H7" t="s">
        <v>200</v>
      </c>
      <c r="I7" t="s">
        <v>112</v>
      </c>
      <c r="J7" s="2">
        <f>IF(COUNT('Turns'!D21,'Turns'!D38)=2,SUM('Turns'!D21,'Turns'!D38),"Unknown")</f>
        <v>485.0</v>
      </c>
      <c r="K7" s="2">
        <f>IF(COUNT('Turns'!E21,'Turns'!E38)=2,SUM('Turns'!E21,'Turns'!E38),"Unknown")</f>
        <v>8.461989e-05</v>
      </c>
      <c r="L7" s="2">
        <f>IF(COUNT('Turns'!F21,'Turns'!F38)=2,SUM('Turns'!F21,'Turns'!F38),"Unknown")</f>
        <v>9.7e-05</v>
      </c>
      <c r="M7" s="2">
        <f>IF(COUNT('Turns'!D37)=1,SUM('Turns'!D37),"Unknown")</f>
        <v>0.0</v>
      </c>
      <c r="N7" s="2">
        <f>IF(COUNT('Turns'!E37)=1,SUM('Turns'!E37),"Unknown")</f>
        <v>0.0</v>
      </c>
      <c r="O7" s="2">
        <f>IF(COUNT('Turns'!F37)=1,SUM('Turns'!F37),"Unknown")</f>
        <v>0.0</v>
      </c>
      <c r="P7" s="2">
        <v>0</v>
      </c>
      <c r="Q7" s="2">
        <v>0</v>
      </c>
      <c r="R7" s="2">
        <v>0</v>
      </c>
      <c r="S7" s="2">
        <f>IF(COUNT('Turns'!D28,'Turns'!D43)=2,SUM('Turns'!D28,'Turns'!D43),"Unknown")</f>
        <v>75.0</v>
      </c>
      <c r="T7" s="2">
        <f>IF(COUNT('Turns'!E28,'Turns'!E43)=2,SUM('Turns'!E28,'Turns'!E43),"Unknown")</f>
        <v>7.85133e-05</v>
      </c>
      <c r="U7" s="2">
        <f>IF(COUNT('Turns'!F28,'Turns'!F43)=2,SUM('Turns'!F28,'Turns'!F43),"Unknown")</f>
        <v>9e-05</v>
      </c>
      <c r="V7" s="2">
        <f>IF(COUNT('Turns'!D27)=1,SUM('Turns'!D27),"Unknown")</f>
        <v>9.0</v>
      </c>
      <c r="W7" s="2">
        <f>IF(COUNT('Turns'!E27)=1,SUM('Turns'!E27),"Unknown")</f>
        <v>9.421596e-06</v>
      </c>
      <c r="X7" s="2">
        <f>IF(COUNT('Turns'!F27)=1,SUM('Turns'!F27),"Unknown")</f>
        <v>1.08e-05</v>
      </c>
      <c r="Y7" s="2">
        <f>IF(COUNT('Turns'!E32,'Turns'!E47)=2,SUM('Turns'!E32,'Turns'!E47),"Unknown")</f>
        <v>0.000172554786</v>
      </c>
      <c r="Z7" s="2">
        <f>IF(COUNT('Turns'!F32,'Turns'!F47)=2,SUM('Turns'!F32,'Turns'!F47),"Unknown")</f>
        <v>0.0001978</v>
      </c>
      <c r="AA7" s="5">
        <f>IF(ISNUMBER(Y7),ROUND(Y7*'Reference data'!$B$2,0),"Unknown")</f>
        <v>17.0</v>
      </c>
      <c r="AB7" s="5">
        <f>IF(ISNUMBER(Z7),ROUND(Z7*'Reference data'!$B$2,0),"Unknown")</f>
        <v>20.0</v>
      </c>
      <c r="AD7" s="1">
        <v>2259.592</v>
      </c>
      <c r="AE7" s="1" t="s">
        <v>184</v>
      </c>
    </row>
    <row r="8" spans="1:31" ht="54" customHeight="1">
      <c r="A8" s="6" t="s">
        <v>201</v>
      </c>
      <c r="B8" s="1">
        <v>4</v>
      </c>
      <c r="C8" s="1" t="s">
        <v>182</v>
      </c>
      <c r="D8" s="1" t="s">
        <v>47</v>
      </c>
      <c r="E8" s="1" t="s">
        <v>110</v>
      </c>
      <c r="G8" s="6" t="s">
        <v>186</v>
      </c>
      <c r="H8" t="s">
        <v>202</v>
      </c>
      <c r="I8" t="s">
        <v>200</v>
      </c>
      <c r="J8" s="2">
        <f>IF(COUNT('Turns'!D21)=1,SUM('Turns'!D21),"Unknown")</f>
        <v>197.0</v>
      </c>
      <c r="K8" s="2">
        <f>IF(COUNT('Turns'!E21)=1,SUM('Turns'!E21),"Unknown")</f>
        <v>3.4371378e-05</v>
      </c>
      <c r="L8" s="2">
        <f>IF(COUNT('Turns'!F21)=1,SUM('Turns'!F21),"Unknown")</f>
        <v>3.94e-05</v>
      </c>
      <c r="M8" s="2">
        <v>0</v>
      </c>
      <c r="N8" s="2">
        <v>0</v>
      </c>
      <c r="O8" s="2">
        <v>0</v>
      </c>
      <c r="P8" s="2">
        <v>0</v>
      </c>
      <c r="Q8" s="2">
        <v>0</v>
      </c>
      <c r="R8" s="2">
        <v>0</v>
      </c>
      <c r="S8" s="2">
        <f>IF(COUNT('Turns'!D28)=1,SUM('Turns'!D28),"Unknown")</f>
        <v>34.0</v>
      </c>
      <c r="T8" s="2">
        <f>IF(COUNT('Turns'!E28)=1,SUM('Turns'!E28),"Unknown")</f>
        <v>3.5592696e-05</v>
      </c>
      <c r="U8" s="2">
        <f>IF(COUNT('Turns'!F28)=1,SUM('Turns'!F28),"Unknown")</f>
        <v>4.08e-05</v>
      </c>
      <c r="V8" s="2">
        <f>IF(COUNT('Turns'!D27)=1,SUM('Turns'!D27),"Unknown")</f>
        <v>9.0</v>
      </c>
      <c r="W8" s="2">
        <f>IF(COUNT('Turns'!E27)=1,SUM('Turns'!E27),"Unknown")</f>
        <v>9.421596e-06</v>
      </c>
      <c r="X8" s="2">
        <f>IF(COUNT('Turns'!F27)=1,SUM('Turns'!F27),"Unknown")</f>
        <v>1.08e-05</v>
      </c>
      <c r="Y8" s="2">
        <f>IF(COUNT('Turns'!E32)=1,SUM('Turns'!E32),"Unknown")</f>
        <v>7.938567e-05</v>
      </c>
      <c r="Z8" s="2">
        <f>IF(COUNT('Turns'!F32)=1,SUM('Turns'!F32),"Unknown")</f>
        <v>9.1e-05</v>
      </c>
      <c r="AA8" s="5">
        <f>IF(ISNUMBER(Y8),ROUND(Y8*'Reference data'!$B$2,0),"Unknown")</f>
        <v>8.0</v>
      </c>
      <c r="AB8" s="5">
        <f>IF(ISNUMBER(Z8),ROUND(Z8*'Reference data'!$B$2,0),"Unknown")</f>
        <v>9.0</v>
      </c>
      <c r="AD8" s="1">
        <v>1205.046</v>
      </c>
      <c r="AE8" s="1" t="s">
        <v>184</v>
      </c>
    </row>
    <row r="9" spans="1:31" ht="54" customHeight="1">
      <c r="A9" s="6" t="s">
        <v>203</v>
      </c>
      <c r="B9" s="1">
        <v>5</v>
      </c>
      <c r="C9" s="1" t="s">
        <v>189</v>
      </c>
      <c r="D9" s="1" t="s">
        <v>95</v>
      </c>
      <c r="E9" s="1" t="s">
        <v>110</v>
      </c>
      <c r="F9" s="1">
        <v>197</v>
      </c>
      <c r="G9" s="6" t="s">
        <v>190</v>
      </c>
      <c r="H9" t="s">
        <v>118</v>
      </c>
      <c r="I9" t="s">
        <v>202</v>
      </c>
      <c r="J9" s="2">
        <f>IF(COUNT('Turns'!D21)=1,SUM('Turns'!D21),"Unknown")</f>
        <v>197.0</v>
      </c>
      <c r="K9" s="2">
        <f>IF(COUNT('Turns'!E21)=1,SUM('Turns'!E21),"Unknown")</f>
        <v>3.4371378e-05</v>
      </c>
      <c r="L9" s="2">
        <f>IF(COUNT('Turns'!F21)=1,SUM('Turns'!F21),"Unknown")</f>
        <v>3.94e-05</v>
      </c>
      <c r="M9" s="2">
        <v>0</v>
      </c>
      <c r="N9" s="2">
        <v>0</v>
      </c>
      <c r="O9" s="2">
        <v>0</v>
      </c>
      <c r="P9" s="2">
        <v>0</v>
      </c>
      <c r="Q9" s="2">
        <v>0</v>
      </c>
      <c r="R9" s="2">
        <v>0</v>
      </c>
      <c r="S9" s="2">
        <f>IF(COUNT('Turns'!D28)=1,SUM('Turns'!D28),"Unknown")</f>
        <v>34.0</v>
      </c>
      <c r="T9" s="2">
        <f>IF(COUNT('Turns'!E28)=1,SUM('Turns'!E28),"Unknown")</f>
        <v>3.5592696e-05</v>
      </c>
      <c r="U9" s="2">
        <f>IF(COUNT('Turns'!F28)=1,SUM('Turns'!F28),"Unknown")</f>
        <v>4.08e-05</v>
      </c>
      <c r="V9" s="2">
        <f>IF(COUNT('Turns'!D27)=1,SUM('Turns'!D27),"Unknown")</f>
        <v>9.0</v>
      </c>
      <c r="W9" s="2">
        <f>IF(COUNT('Turns'!E27)=1,SUM('Turns'!E27),"Unknown")</f>
        <v>9.421596e-06</v>
      </c>
      <c r="X9" s="2">
        <f>IF(COUNT('Turns'!F27)=1,SUM('Turns'!F27),"Unknown")</f>
        <v>1.08e-05</v>
      </c>
      <c r="Y9" s="2">
        <f>IF(COUNT('Turns'!E32)=1,SUM('Turns'!E32),"Unknown")</f>
        <v>7.938567e-05</v>
      </c>
      <c r="Z9" s="2">
        <f>IF(COUNT('Turns'!F32)=1,SUM('Turns'!F32),"Unknown")</f>
        <v>9.1e-05</v>
      </c>
      <c r="AA9" s="5">
        <f>IF(ISNUMBER(Y9),ROUND(Y9*'Reference data'!$B$2,0),"Unknown")</f>
        <v>8.0</v>
      </c>
      <c r="AB9" s="5">
        <f>IF(ISNUMBER(Z9),ROUND(Z9*'Reference data'!$B$2,0),"Unknown")</f>
        <v>9.0</v>
      </c>
      <c r="AC9" s="1" t="s">
        <v>117</v>
      </c>
      <c r="AD9" s="1">
        <v>1202.645</v>
      </c>
      <c r="AE9" s="1" t="s">
        <v>191</v>
      </c>
    </row>
    <row r="10" spans="1:31" ht="54" customHeight="1">
      <c r="A10" s="6" t="s">
        <v>204</v>
      </c>
      <c r="B10" s="1">
        <v>4</v>
      </c>
      <c r="C10" s="1" t="s">
        <v>182</v>
      </c>
      <c r="D10" s="1" t="s">
        <v>47</v>
      </c>
      <c r="E10" s="1" t="s">
        <v>110</v>
      </c>
      <c r="G10" s="6" t="s">
        <v>193</v>
      </c>
      <c r="H10" t="s">
        <v>205</v>
      </c>
      <c r="I10" t="s">
        <v>200</v>
      </c>
      <c r="AD10" s="1">
        <v>1.987</v>
      </c>
      <c r="AE10" s="1" t="s">
        <v>206</v>
      </c>
    </row>
    <row r="11" spans="1:31" ht="54" customHeight="1">
      <c r="A11" s="6" t="s">
        <v>207</v>
      </c>
      <c r="B11" s="1">
        <v>5</v>
      </c>
      <c r="C11" s="1" t="s">
        <v>196</v>
      </c>
      <c r="D11" s="1" t="s">
        <v>47</v>
      </c>
      <c r="E11" s="1" t="s">
        <v>110</v>
      </c>
      <c r="G11" s="6" t="s">
        <v>208</v>
      </c>
      <c r="H11" t="s">
        <v>123</v>
      </c>
      <c r="I11" t="s">
        <v>205</v>
      </c>
      <c r="AD11" s="1">
        <v>0.622</v>
      </c>
      <c r="AE11" s="1" t="s">
        <v>206</v>
      </c>
    </row>
    <row r="12" spans="1:31" ht="54" customHeight="1">
      <c r="A12" s="6" t="s">
        <v>201</v>
      </c>
      <c r="B12" s="1">
        <v>4</v>
      </c>
      <c r="C12" s="1" t="s">
        <v>182</v>
      </c>
      <c r="D12" s="1" t="s">
        <v>47</v>
      </c>
      <c r="E12" s="1" t="s">
        <v>110</v>
      </c>
      <c r="G12" s="6" t="s">
        <v>186</v>
      </c>
      <c r="H12" t="s">
        <v>209</v>
      </c>
      <c r="I12" t="s">
        <v>200</v>
      </c>
      <c r="J12" s="2">
        <f>IF(COUNT('Turns'!D38)=1,SUM('Turns'!D38),"Unknown")</f>
        <v>288.0</v>
      </c>
      <c r="K12" s="2">
        <f>IF(COUNT('Turns'!E38)=1,SUM('Turns'!E38),"Unknown")</f>
        <v>5.0248512e-05</v>
      </c>
      <c r="L12" s="2">
        <f>IF(COUNT('Turns'!F38)=1,SUM('Turns'!F38),"Unknown")</f>
        <v>5.76e-05</v>
      </c>
      <c r="M12" s="2">
        <f>IF(COUNT('Turns'!D37)=1,SUM('Turns'!D37),"Unknown")</f>
        <v>0.0</v>
      </c>
      <c r="N12" s="2">
        <f>IF(COUNT('Turns'!E37)=1,SUM('Turns'!E37),"Unknown")</f>
        <v>0.0</v>
      </c>
      <c r="O12" s="2">
        <f>IF(COUNT('Turns'!F37)=1,SUM('Turns'!F37),"Unknown")</f>
        <v>0.0</v>
      </c>
      <c r="P12" s="2">
        <v>0</v>
      </c>
      <c r="Q12" s="2">
        <v>0</v>
      </c>
      <c r="R12" s="2">
        <v>0</v>
      </c>
      <c r="S12" s="2">
        <f>IF(COUNT('Turns'!D43)=1,SUM('Turns'!D43),"Unknown")</f>
        <v>41.0</v>
      </c>
      <c r="T12" s="2">
        <f>IF(COUNT('Turns'!E43)=1,SUM('Turns'!E43),"Unknown")</f>
        <v>4.2920604e-05</v>
      </c>
      <c r="U12" s="2">
        <f>IF(COUNT('Turns'!F43)=1,SUM('Turns'!F43),"Unknown")</f>
        <v>4.92e-05</v>
      </c>
      <c r="V12" s="2">
        <v>0</v>
      </c>
      <c r="W12" s="2">
        <v>0</v>
      </c>
      <c r="X12" s="2">
        <v>0</v>
      </c>
      <c r="Y12" s="2">
        <f>IF(COUNT('Turns'!E47)=1,SUM('Turns'!E47),"Unknown")</f>
        <v>9.3169116e-05</v>
      </c>
      <c r="Z12" s="2">
        <f>IF(COUNT('Turns'!F47)=1,SUM('Turns'!F47),"Unknown")</f>
        <v>0.0001068</v>
      </c>
      <c r="AA12" s="5">
        <f>IF(ISNUMBER(Y12),ROUND(Y12*'Reference data'!$B$2,0),"Unknown")</f>
        <v>9.0</v>
      </c>
      <c r="AB12" s="5">
        <f>IF(ISNUMBER(Z12),ROUND(Z12*'Reference data'!$B$2,0),"Unknown")</f>
        <v>11.0</v>
      </c>
      <c r="AD12" s="1">
        <v>1049.556</v>
      </c>
      <c r="AE12" s="1" t="s">
        <v>184</v>
      </c>
    </row>
    <row r="13" spans="1:31" ht="54" customHeight="1">
      <c r="A13" s="6" t="s">
        <v>203</v>
      </c>
      <c r="B13" s="1">
        <v>5</v>
      </c>
      <c r="C13" s="1" t="s">
        <v>189</v>
      </c>
      <c r="D13" s="1" t="s">
        <v>95</v>
      </c>
      <c r="E13" s="1" t="s">
        <v>110</v>
      </c>
      <c r="F13" s="1">
        <v>288</v>
      </c>
      <c r="G13" s="6" t="s">
        <v>190</v>
      </c>
      <c r="H13" t="s">
        <v>127</v>
      </c>
      <c r="I13" t="s">
        <v>209</v>
      </c>
      <c r="J13" s="2">
        <f>IF(COUNT('Turns'!D38)=1,SUM('Turns'!D38),"Unknown")</f>
        <v>288.0</v>
      </c>
      <c r="K13" s="2">
        <f>IF(COUNT('Turns'!E38)=1,SUM('Turns'!E38),"Unknown")</f>
        <v>5.0248512e-05</v>
      </c>
      <c r="L13" s="2">
        <f>IF(COUNT('Turns'!F38)=1,SUM('Turns'!F38),"Unknown")</f>
        <v>5.76e-05</v>
      </c>
      <c r="M13" s="2">
        <f>IF(COUNT('Turns'!D37)=1,SUM('Turns'!D37),"Unknown")</f>
        <v>0.0</v>
      </c>
      <c r="N13" s="2">
        <f>IF(COUNT('Turns'!E37)=1,SUM('Turns'!E37),"Unknown")</f>
        <v>0.0</v>
      </c>
      <c r="O13" s="2">
        <f>IF(COUNT('Turns'!F37)=1,SUM('Turns'!F37),"Unknown")</f>
        <v>0.0</v>
      </c>
      <c r="P13" s="2">
        <v>0</v>
      </c>
      <c r="Q13" s="2">
        <v>0</v>
      </c>
      <c r="R13" s="2">
        <v>0</v>
      </c>
      <c r="S13" s="2">
        <f>IF(COUNT('Turns'!D43)=1,SUM('Turns'!D43),"Unknown")</f>
        <v>41.0</v>
      </c>
      <c r="T13" s="2">
        <f>IF(COUNT('Turns'!E43)=1,SUM('Turns'!E43),"Unknown")</f>
        <v>4.2920604e-05</v>
      </c>
      <c r="U13" s="2">
        <f>IF(COUNT('Turns'!F43)=1,SUM('Turns'!F43),"Unknown")</f>
        <v>4.92e-05</v>
      </c>
      <c r="V13" s="2">
        <v>0</v>
      </c>
      <c r="W13" s="2">
        <v>0</v>
      </c>
      <c r="X13" s="2">
        <v>0</v>
      </c>
      <c r="Y13" s="2">
        <f>IF(COUNT('Turns'!E47)=1,SUM('Turns'!E47),"Unknown")</f>
        <v>9.3169116e-05</v>
      </c>
      <c r="Z13" s="2">
        <f>IF(COUNT('Turns'!F47)=1,SUM('Turns'!F47),"Unknown")</f>
        <v>0.0001068</v>
      </c>
      <c r="AA13" s="5">
        <f>IF(ISNUMBER(Y13),ROUND(Y13*'Reference data'!$B$2,0),"Unknown")</f>
        <v>9.0</v>
      </c>
      <c r="AB13" s="5">
        <f>IF(ISNUMBER(Z13),ROUND(Z13*'Reference data'!$B$2,0),"Unknown")</f>
        <v>11.0</v>
      </c>
      <c r="AC13" s="1" t="s">
        <v>126</v>
      </c>
      <c r="AD13" s="1">
        <v>1048.349</v>
      </c>
      <c r="AE13" s="1" t="s">
        <v>191</v>
      </c>
    </row>
    <row r="14" spans="1:31" ht="54" customHeight="1">
      <c r="A14" s="6" t="s">
        <v>185</v>
      </c>
      <c r="B14" s="1">
        <v>1</v>
      </c>
      <c r="C14" s="1" t="s">
        <v>182</v>
      </c>
      <c r="D14" s="1" t="s">
        <v>47</v>
      </c>
      <c r="E14" s="1" t="s">
        <v>110</v>
      </c>
      <c r="G14" s="6" t="s">
        <v>186</v>
      </c>
      <c r="H14" t="s">
        <v>210</v>
      </c>
      <c r="I14" t="s">
        <v>49</v>
      </c>
      <c r="J14" s="2">
        <f>IF(COUNT('Turns'!D50)=1,SUM('Turns'!D50),"Unknown")</f>
        <v>369.0</v>
      </c>
      <c r="K14" s="2">
        <f>IF(COUNT('Turns'!E50)=1,SUM('Turns'!E50),"Unknown")</f>
        <v>6.4380906e-05</v>
      </c>
      <c r="L14" s="2">
        <f>IF(COUNT('Turns'!F50)=1,SUM('Turns'!F50),"Unknown")</f>
        <v>7.38e-05</v>
      </c>
      <c r="M14" s="2">
        <f>IF(COUNT('Turns'!D49)=1,SUM('Turns'!D49),"Unknown")</f>
        <v>0.0</v>
      </c>
      <c r="N14" s="2">
        <f>IF(COUNT('Turns'!E49)=1,SUM('Turns'!E49),"Unknown")</f>
        <v>0.0</v>
      </c>
      <c r="O14" s="2">
        <f>IF(COUNT('Turns'!F49)=1,SUM('Turns'!F49),"Unknown")</f>
        <v>0.0</v>
      </c>
      <c r="P14" s="2">
        <v>0</v>
      </c>
      <c r="Q14" s="2">
        <v>0</v>
      </c>
      <c r="R14" s="2">
        <v>0</v>
      </c>
      <c r="S14" s="2">
        <f>IF(COUNT('Turns'!D55)=1,SUM('Turns'!D55),"Unknown")</f>
        <v>21.0</v>
      </c>
      <c r="T14" s="2">
        <f>IF(COUNT('Turns'!E55)=1,SUM('Turns'!E55),"Unknown")</f>
        <v>2.1983724e-05</v>
      </c>
      <c r="U14" s="2">
        <f>IF(COUNT('Turns'!F55)=1,SUM('Turns'!F55),"Unknown")</f>
        <v>2.52e-05</v>
      </c>
      <c r="V14" s="2">
        <v>0</v>
      </c>
      <c r="W14" s="2">
        <v>0</v>
      </c>
      <c r="X14" s="2">
        <v>0</v>
      </c>
      <c r="Y14" s="2">
        <f>IF(COUNT('Turns'!E59)=1,SUM('Turns'!E59),"Unknown")</f>
        <v>8.636463e-05</v>
      </c>
      <c r="Z14" s="2">
        <f>IF(COUNT('Turns'!F59)=1,SUM('Turns'!F59),"Unknown")</f>
        <v>9.9e-05</v>
      </c>
      <c r="AA14" s="5">
        <f>IF(ISNUMBER(Y14),ROUND(Y14*'Reference data'!$B$2,0),"Unknown")</f>
        <v>9.0</v>
      </c>
      <c r="AB14" s="5">
        <f>IF(ISNUMBER(Z14),ROUND(Z14*'Reference data'!$B$2,0),"Unknown")</f>
        <v>10.0</v>
      </c>
      <c r="AD14" s="1">
        <v>832.146</v>
      </c>
      <c r="AE14" s="1" t="s">
        <v>184</v>
      </c>
    </row>
    <row r="15" spans="1:31" ht="54" customHeight="1">
      <c r="A15" s="6" t="s">
        <v>188</v>
      </c>
      <c r="B15" s="1">
        <v>2</v>
      </c>
      <c r="C15" s="1" t="s">
        <v>189</v>
      </c>
      <c r="D15" s="1" t="s">
        <v>95</v>
      </c>
      <c r="E15" s="1" t="s">
        <v>110</v>
      </c>
      <c r="F15" s="1">
        <v>369</v>
      </c>
      <c r="G15" s="6" t="s">
        <v>190</v>
      </c>
      <c r="H15" t="s">
        <v>132</v>
      </c>
      <c r="I15" t="s">
        <v>210</v>
      </c>
      <c r="J15" s="2">
        <f>IF(COUNT('Turns'!D50)=1,SUM('Turns'!D50),"Unknown")</f>
        <v>369.0</v>
      </c>
      <c r="K15" s="2">
        <f>IF(COUNT('Turns'!E50)=1,SUM('Turns'!E50),"Unknown")</f>
        <v>6.4380906e-05</v>
      </c>
      <c r="L15" s="2">
        <f>IF(COUNT('Turns'!F50)=1,SUM('Turns'!F50),"Unknown")</f>
        <v>7.38e-05</v>
      </c>
      <c r="M15" s="2">
        <f>IF(COUNT('Turns'!D49)=1,SUM('Turns'!D49),"Unknown")</f>
        <v>0.0</v>
      </c>
      <c r="N15" s="2">
        <f>IF(COUNT('Turns'!E49)=1,SUM('Turns'!E49),"Unknown")</f>
        <v>0.0</v>
      </c>
      <c r="O15" s="2">
        <f>IF(COUNT('Turns'!F49)=1,SUM('Turns'!F49),"Unknown")</f>
        <v>0.0</v>
      </c>
      <c r="P15" s="2">
        <v>0</v>
      </c>
      <c r="Q15" s="2">
        <v>0</v>
      </c>
      <c r="R15" s="2">
        <v>0</v>
      </c>
      <c r="S15" s="2">
        <f>IF(COUNT('Turns'!D55)=1,SUM('Turns'!D55),"Unknown")</f>
        <v>21.0</v>
      </c>
      <c r="T15" s="2">
        <f>IF(COUNT('Turns'!E55)=1,SUM('Turns'!E55),"Unknown")</f>
        <v>2.1983724e-05</v>
      </c>
      <c r="U15" s="2">
        <f>IF(COUNT('Turns'!F55)=1,SUM('Turns'!F55),"Unknown")</f>
        <v>2.52e-05</v>
      </c>
      <c r="V15" s="2">
        <v>0</v>
      </c>
      <c r="W15" s="2">
        <v>0</v>
      </c>
      <c r="X15" s="2">
        <v>0</v>
      </c>
      <c r="Y15" s="2">
        <f>IF(COUNT('Turns'!E59)=1,SUM('Turns'!E59),"Unknown")</f>
        <v>8.636463e-05</v>
      </c>
      <c r="Z15" s="2">
        <f>IF(COUNT('Turns'!F59)=1,SUM('Turns'!F59),"Unknown")</f>
        <v>9.9e-05</v>
      </c>
      <c r="AA15" s="5">
        <f>IF(ISNUMBER(Y15),ROUND(Y15*'Reference data'!$B$2,0),"Unknown")</f>
        <v>9.0</v>
      </c>
      <c r="AB15" s="5">
        <f>IF(ISNUMBER(Z15),ROUND(Z15*'Reference data'!$B$2,0),"Unknown")</f>
        <v>10.0</v>
      </c>
      <c r="AC15" s="1" t="s">
        <v>131</v>
      </c>
      <c r="AD15" s="1">
        <v>830.5549999999999</v>
      </c>
      <c r="AE15" s="1" t="s">
        <v>191</v>
      </c>
    </row>
    <row r="16" spans="1:31" ht="54" customHeight="1">
      <c r="A16" s="6" t="s">
        <v>181</v>
      </c>
      <c r="B16" s="1">
        <v>0</v>
      </c>
      <c r="C16" s="1" t="s">
        <v>182</v>
      </c>
      <c r="D16" s="1" t="s">
        <v>47</v>
      </c>
      <c r="E16" s="1" t="s">
        <v>110</v>
      </c>
      <c r="G16" s="6" t="s">
        <v>183</v>
      </c>
      <c r="H16" t="s">
        <v>211</v>
      </c>
      <c r="J16" s="2">
        <f>IF(COUNT('Turns'!D63,'Turns'!D77,'Turns'!D94,'Turns'!D106)=4,SUM('Turns'!D63,'Turns'!D77,'Turns'!D94,'Turns'!D106),"Unknown")</f>
        <v>1500.0</v>
      </c>
      <c r="K16" s="2">
        <f>IF(COUNT('Turns'!E63,'Turns'!E77,'Turns'!E94,'Turns'!E106)=4,SUM('Turns'!E63,'Turns'!E77,'Turns'!E94,'Turns'!E106),"Unknown")</f>
        <v>0.000261711</v>
      </c>
      <c r="L16" s="2">
        <f>IF(COUNT('Turns'!F63,'Turns'!F77,'Turns'!F94,'Turns'!F106)=4,SUM('Turns'!F63,'Turns'!F77,'Turns'!F94,'Turns'!F106),"Unknown")</f>
        <v>0.0003</v>
      </c>
      <c r="M16" s="2">
        <f>IF(COUNT('Turns'!D62,'Turns'!D93,'Turns'!D105)=3,SUM('Turns'!D62,'Turns'!D93,'Turns'!D105),"Unknown")</f>
        <v>0.0</v>
      </c>
      <c r="N16" s="2">
        <f>IF(COUNT('Turns'!E62,'Turns'!E93,'Turns'!E105)=3,SUM('Turns'!E62,'Turns'!E93,'Turns'!E105),"Unknown")</f>
        <v>0.0</v>
      </c>
      <c r="O16" s="2">
        <f>IF(COUNT('Turns'!F62,'Turns'!F93,'Turns'!F105)=3,SUM('Turns'!F62,'Turns'!F93,'Turns'!F105),"Unknown")</f>
        <v>0.0</v>
      </c>
      <c r="P16" s="2">
        <v>0</v>
      </c>
      <c r="Q16" s="2">
        <v>0</v>
      </c>
      <c r="R16" s="2">
        <v>0</v>
      </c>
      <c r="S16" s="2">
        <f>IF(COUNT('Turns'!D68,'Turns'!D84,'Turns'!D99,'Turns'!D111)=4,SUM('Turns'!D68,'Turns'!D84,'Turns'!D99,'Turns'!D111),"Unknown")</f>
        <v>212.0</v>
      </c>
      <c r="T16" s="2">
        <f>IF(COUNT('Turns'!E68,'Turns'!E84,'Turns'!E99,'Turns'!E111)=4,SUM('Turns'!E68,'Turns'!E84,'Turns'!E99,'Turns'!E111),"Unknown")</f>
        <v>0.000221930928</v>
      </c>
      <c r="U16" s="2">
        <f>IF(COUNT('Turns'!F68,'Turns'!F84,'Turns'!F99,'Turns'!F111)=4,SUM('Turns'!F68,'Turns'!F84,'Turns'!F99,'Turns'!F111),"Unknown")</f>
        <v>0.0002544</v>
      </c>
      <c r="V16" s="2">
        <f>IF(COUNT('Turns'!D83)=1,SUM('Turns'!D83),"Unknown")</f>
        <v>9.0</v>
      </c>
      <c r="W16" s="2">
        <f>IF(COUNT('Turns'!E83)=1,SUM('Turns'!E83),"Unknown")</f>
        <v>9.421596e-06</v>
      </c>
      <c r="X16" s="2">
        <f>IF(COUNT('Turns'!F83)=1,SUM('Turns'!F83),"Unknown")</f>
        <v>1.08e-05</v>
      </c>
      <c r="Y16" s="2">
        <f>IF(COUNT('Turns'!E72,'Turns'!E88,'Turns'!E103,'Turns'!E115)=4,SUM('Turns'!E72,'Turns'!E88,'Turns'!E103,'Turns'!E115),"Unknown")</f>
        <v>0.000493063524</v>
      </c>
      <c r="Z16" s="2">
        <f>IF(COUNT('Turns'!F72,'Turns'!F88,'Turns'!F103,'Turns'!F115)=4,SUM('Turns'!F72,'Turns'!F88,'Turns'!F103,'Turns'!F115),"Unknown")</f>
        <v>0.0005652</v>
      </c>
      <c r="AA16" s="5">
        <f>IF(ISNUMBER(Y16),ROUND(Y16*'Reference data'!$B$2,0),"Unknown")</f>
        <v>49.0</v>
      </c>
      <c r="AB16" s="5">
        <f>IF(ISNUMBER(Z16),ROUND(Z16*'Reference data'!$B$2,0),"Unknown")</f>
        <v>57.0</v>
      </c>
      <c r="AD16" s="1">
        <v>5675.891</v>
      </c>
      <c r="AE16" s="1" t="s">
        <v>184</v>
      </c>
    </row>
    <row r="17" spans="1:31" ht="54" customHeight="1">
      <c r="A17" s="6" t="s">
        <v>185</v>
      </c>
      <c r="B17" s="1">
        <v>1</v>
      </c>
      <c r="C17" s="1" t="s">
        <v>182</v>
      </c>
      <c r="D17" s="1" t="s">
        <v>47</v>
      </c>
      <c r="E17" s="1" t="s">
        <v>110</v>
      </c>
      <c r="G17" s="6" t="s">
        <v>186</v>
      </c>
      <c r="H17" t="s">
        <v>212</v>
      </c>
      <c r="I17" t="s">
        <v>211</v>
      </c>
      <c r="J17" s="2">
        <f>IF(COUNT('Turns'!D63)=1,SUM('Turns'!D63),"Unknown")</f>
        <v>407.0</v>
      </c>
      <c r="K17" s="2">
        <f>IF(COUNT('Turns'!E63)=1,SUM('Turns'!E63),"Unknown")</f>
        <v>7.1010918e-05</v>
      </c>
      <c r="L17" s="2">
        <f>IF(COUNT('Turns'!F63)=1,SUM('Turns'!F63),"Unknown")</f>
        <v>8.14e-05</v>
      </c>
      <c r="M17" s="2">
        <f>IF(COUNT('Turns'!D62)=1,SUM('Turns'!D62),"Unknown")</f>
        <v>0.0</v>
      </c>
      <c r="N17" s="2">
        <f>IF(COUNT('Turns'!E62)=1,SUM('Turns'!E62),"Unknown")</f>
        <v>0.0</v>
      </c>
      <c r="O17" s="2">
        <f>IF(COUNT('Turns'!F62)=1,SUM('Turns'!F62),"Unknown")</f>
        <v>0.0</v>
      </c>
      <c r="P17" s="2">
        <v>0</v>
      </c>
      <c r="Q17" s="2">
        <v>0</v>
      </c>
      <c r="R17" s="2">
        <v>0</v>
      </c>
      <c r="S17" s="2">
        <f>IF(COUNT('Turns'!D68)=1,SUM('Turns'!D68),"Unknown")</f>
        <v>78.0</v>
      </c>
      <c r="T17" s="2">
        <f>IF(COUNT('Turns'!E68)=1,SUM('Turns'!E68),"Unknown")</f>
        <v>8.1653832e-05</v>
      </c>
      <c r="U17" s="2">
        <f>IF(COUNT('Turns'!F68)=1,SUM('Turns'!F68),"Unknown")</f>
        <v>9.36e-05</v>
      </c>
      <c r="V17" s="2">
        <v>0</v>
      </c>
      <c r="W17" s="2">
        <v>0</v>
      </c>
      <c r="X17" s="2">
        <v>0</v>
      </c>
      <c r="Y17" s="2">
        <f>IF(COUNT('Turns'!E72)=1,SUM('Turns'!E72),"Unknown")</f>
        <v>0.00015266475</v>
      </c>
      <c r="Z17" s="2">
        <f>IF(COUNT('Turns'!F72)=1,SUM('Turns'!F72),"Unknown")</f>
        <v>0.000175</v>
      </c>
      <c r="AA17" s="5">
        <f>IF(ISNUMBER(Y17),ROUND(Y17*'Reference data'!$B$2,0),"Unknown")</f>
        <v>15.0</v>
      </c>
      <c r="AB17" s="5">
        <f>IF(ISNUMBER(Z17),ROUND(Z17*'Reference data'!$B$2,0),"Unknown")</f>
        <v>18.0</v>
      </c>
      <c r="AD17" s="1">
        <v>1629.667</v>
      </c>
      <c r="AE17" s="1" t="s">
        <v>184</v>
      </c>
    </row>
    <row r="18" spans="1:31" ht="54" customHeight="1">
      <c r="A18" s="6" t="s">
        <v>188</v>
      </c>
      <c r="B18" s="1">
        <v>2</v>
      </c>
      <c r="C18" s="1" t="s">
        <v>189</v>
      </c>
      <c r="D18" s="1" t="s">
        <v>95</v>
      </c>
      <c r="E18" s="1" t="s">
        <v>110</v>
      </c>
      <c r="F18" s="1">
        <v>407</v>
      </c>
      <c r="G18" s="6" t="s">
        <v>190</v>
      </c>
      <c r="H18" t="s">
        <v>137</v>
      </c>
      <c r="I18" t="s">
        <v>212</v>
      </c>
      <c r="J18" s="2">
        <f>IF(COUNT('Turns'!D63)=1,SUM('Turns'!D63),"Unknown")</f>
        <v>407.0</v>
      </c>
      <c r="K18" s="2">
        <f>IF(COUNT('Turns'!E63)=1,SUM('Turns'!E63),"Unknown")</f>
        <v>7.1010918e-05</v>
      </c>
      <c r="L18" s="2">
        <f>IF(COUNT('Turns'!F63)=1,SUM('Turns'!F63),"Unknown")</f>
        <v>8.14e-05</v>
      </c>
      <c r="M18" s="2">
        <f>IF(COUNT('Turns'!D62)=1,SUM('Turns'!D62),"Unknown")</f>
        <v>0.0</v>
      </c>
      <c r="N18" s="2">
        <f>IF(COUNT('Turns'!E62)=1,SUM('Turns'!E62),"Unknown")</f>
        <v>0.0</v>
      </c>
      <c r="O18" s="2">
        <f>IF(COUNT('Turns'!F62)=1,SUM('Turns'!F62),"Unknown")</f>
        <v>0.0</v>
      </c>
      <c r="P18" s="2">
        <v>0</v>
      </c>
      <c r="Q18" s="2">
        <v>0</v>
      </c>
      <c r="R18" s="2">
        <v>0</v>
      </c>
      <c r="S18" s="2">
        <f>IF(COUNT('Turns'!D68)=1,SUM('Turns'!D68),"Unknown")</f>
        <v>78.0</v>
      </c>
      <c r="T18" s="2">
        <f>IF(COUNT('Turns'!E68)=1,SUM('Turns'!E68),"Unknown")</f>
        <v>8.1653832e-05</v>
      </c>
      <c r="U18" s="2">
        <f>IF(COUNT('Turns'!F68)=1,SUM('Turns'!F68),"Unknown")</f>
        <v>9.36e-05</v>
      </c>
      <c r="V18" s="2">
        <v>0</v>
      </c>
      <c r="W18" s="2">
        <v>0</v>
      </c>
      <c r="X18" s="2">
        <v>0</v>
      </c>
      <c r="Y18" s="2">
        <f>IF(COUNT('Turns'!E72)=1,SUM('Turns'!E72),"Unknown")</f>
        <v>0.00015266475</v>
      </c>
      <c r="Z18" s="2">
        <f>IF(COUNT('Turns'!F72)=1,SUM('Turns'!F72),"Unknown")</f>
        <v>0.000175</v>
      </c>
      <c r="AA18" s="5">
        <f>IF(ISNUMBER(Y18),ROUND(Y18*'Reference data'!$B$2,0),"Unknown")</f>
        <v>15.0</v>
      </c>
      <c r="AB18" s="5">
        <f>IF(ISNUMBER(Z18),ROUND(Z18*'Reference data'!$B$2,0),"Unknown")</f>
        <v>18.0</v>
      </c>
      <c r="AC18" s="1" t="s">
        <v>136</v>
      </c>
      <c r="AD18" s="1">
        <v>1628.302</v>
      </c>
      <c r="AE18" s="1" t="s">
        <v>191</v>
      </c>
    </row>
    <row r="19" spans="1:31" ht="54" customHeight="1">
      <c r="A19" s="6" t="s">
        <v>192</v>
      </c>
      <c r="B19" s="1">
        <v>1</v>
      </c>
      <c r="C19" s="1" t="s">
        <v>182</v>
      </c>
      <c r="D19" s="1" t="s">
        <v>47</v>
      </c>
      <c r="E19" s="1" t="s">
        <v>110</v>
      </c>
      <c r="G19" s="6" t="s">
        <v>193</v>
      </c>
      <c r="H19" t="s">
        <v>213</v>
      </c>
      <c r="I19" t="s">
        <v>211</v>
      </c>
      <c r="J19" s="2">
        <f>IF(COUNT('Turns'!D77,'Turns'!D94)=2,SUM('Turns'!D77,'Turns'!D94),"Unknown")</f>
        <v>540.0</v>
      </c>
      <c r="K19" s="2">
        <f>IF(COUNT('Turns'!E77,'Turns'!E94)=2,SUM('Turns'!E77,'Turns'!E94),"Unknown")</f>
        <v>9.421596e-05</v>
      </c>
      <c r="L19" s="2">
        <f>IF(COUNT('Turns'!F77,'Turns'!F94)=2,SUM('Turns'!F77,'Turns'!F94),"Unknown")</f>
        <v>0.000108</v>
      </c>
      <c r="M19" s="2">
        <f>IF(COUNT('Turns'!D93)=1,SUM('Turns'!D93),"Unknown")</f>
        <v>0.0</v>
      </c>
      <c r="N19" s="2">
        <f>IF(COUNT('Turns'!E93)=1,SUM('Turns'!E93),"Unknown")</f>
        <v>0.0</v>
      </c>
      <c r="O19" s="2">
        <f>IF(COUNT('Turns'!F93)=1,SUM('Turns'!F93),"Unknown")</f>
        <v>0.0</v>
      </c>
      <c r="P19" s="2">
        <v>0</v>
      </c>
      <c r="Q19" s="2">
        <v>0</v>
      </c>
      <c r="R19" s="2">
        <v>0</v>
      </c>
      <c r="S19" s="2">
        <f>IF(COUNT('Turns'!D84,'Turns'!D99)=2,SUM('Turns'!D84,'Turns'!D99),"Unknown")</f>
        <v>112.0</v>
      </c>
      <c r="T19" s="2">
        <f>IF(COUNT('Turns'!E84,'Turns'!E99)=2,SUM('Turns'!E84,'Turns'!E99),"Unknown")</f>
        <v>0.000117246528</v>
      </c>
      <c r="U19" s="2">
        <f>IF(COUNT('Turns'!F84,'Turns'!F99)=2,SUM('Turns'!F84,'Turns'!F99),"Unknown")</f>
        <v>0.0001344</v>
      </c>
      <c r="V19" s="2">
        <f>IF(COUNT('Turns'!D83)=1,SUM('Turns'!D83),"Unknown")</f>
        <v>9.0</v>
      </c>
      <c r="W19" s="2">
        <f>IF(COUNT('Turns'!E83)=1,SUM('Turns'!E83),"Unknown")</f>
        <v>9.421596e-06</v>
      </c>
      <c r="X19" s="2">
        <f>IF(COUNT('Turns'!F83)=1,SUM('Turns'!F83),"Unknown")</f>
        <v>1.08e-05</v>
      </c>
      <c r="Y19" s="2">
        <f>IF(COUNT('Turns'!E88,'Turns'!E103)=2,SUM('Turns'!E88,'Turns'!E103),"Unknown")</f>
        <v>0.000220884084</v>
      </c>
      <c r="Z19" s="2">
        <f>IF(COUNT('Turns'!F88,'Turns'!F103)=2,SUM('Turns'!F88,'Turns'!F103),"Unknown")</f>
        <v>0.0002532</v>
      </c>
      <c r="AA19" s="5">
        <f>IF(ISNUMBER(Y19),ROUND(Y19*'Reference data'!$B$2,0),"Unknown")</f>
        <v>22.0</v>
      </c>
      <c r="AB19" s="5">
        <f>IF(ISNUMBER(Z19),ROUND(Z19*'Reference data'!$B$2,0),"Unknown")</f>
        <v>25.0</v>
      </c>
      <c r="AD19" s="1">
        <v>2995.943</v>
      </c>
      <c r="AE19" s="1" t="s">
        <v>184</v>
      </c>
    </row>
    <row r="20" spans="1:31" ht="54" customHeight="1">
      <c r="A20" s="6" t="s">
        <v>195</v>
      </c>
      <c r="B20" s="1">
        <v>2</v>
      </c>
      <c r="C20" s="1" t="s">
        <v>196</v>
      </c>
      <c r="D20" s="1" t="s">
        <v>47</v>
      </c>
      <c r="E20" s="1" t="s">
        <v>110</v>
      </c>
      <c r="G20" s="6" t="s">
        <v>197</v>
      </c>
      <c r="H20" t="s">
        <v>140</v>
      </c>
      <c r="I20" t="s">
        <v>213</v>
      </c>
      <c r="J20" s="2">
        <f>IF(COUNT('Turns'!D77,'Turns'!D94)=2,SUM('Turns'!D77,'Turns'!D94),"Unknown")</f>
        <v>540.0</v>
      </c>
      <c r="K20" s="2">
        <f>IF(COUNT('Turns'!E77,'Turns'!E94)=2,SUM('Turns'!E77,'Turns'!E94),"Unknown")</f>
        <v>9.421596e-05</v>
      </c>
      <c r="L20" s="2">
        <f>IF(COUNT('Turns'!F77,'Turns'!F94)=2,SUM('Turns'!F77,'Turns'!F94),"Unknown")</f>
        <v>0.000108</v>
      </c>
      <c r="M20" s="2">
        <f>IF(COUNT('Turns'!D93)=1,SUM('Turns'!D93),"Unknown")</f>
        <v>0.0</v>
      </c>
      <c r="N20" s="2">
        <f>IF(COUNT('Turns'!E93)=1,SUM('Turns'!E93),"Unknown")</f>
        <v>0.0</v>
      </c>
      <c r="O20" s="2">
        <f>IF(COUNT('Turns'!F93)=1,SUM('Turns'!F93),"Unknown")</f>
        <v>0.0</v>
      </c>
      <c r="P20" s="2">
        <v>0</v>
      </c>
      <c r="Q20" s="2">
        <v>0</v>
      </c>
      <c r="R20" s="2">
        <v>0</v>
      </c>
      <c r="S20" s="2">
        <f>IF(COUNT('Turns'!D84,'Turns'!D99)=2,SUM('Turns'!D84,'Turns'!D99),"Unknown")</f>
        <v>112.0</v>
      </c>
      <c r="T20" s="2">
        <f>IF(COUNT('Turns'!E84,'Turns'!E99)=2,SUM('Turns'!E84,'Turns'!E99),"Unknown")</f>
        <v>0.000117246528</v>
      </c>
      <c r="U20" s="2">
        <f>IF(COUNT('Turns'!F84,'Turns'!F99)=2,SUM('Turns'!F84,'Turns'!F99),"Unknown")</f>
        <v>0.0001344</v>
      </c>
      <c r="V20" s="2">
        <f>IF(COUNT('Turns'!D83)=1,SUM('Turns'!D83),"Unknown")</f>
        <v>9.0</v>
      </c>
      <c r="W20" s="2">
        <f>IF(COUNT('Turns'!E83)=1,SUM('Turns'!E83),"Unknown")</f>
        <v>9.421596e-06</v>
      </c>
      <c r="X20" s="2">
        <f>IF(COUNT('Turns'!F83)=1,SUM('Turns'!F83),"Unknown")</f>
        <v>1.08e-05</v>
      </c>
      <c r="Y20" s="2">
        <f>IF(COUNT('Turns'!E88,'Turns'!E103)=2,SUM('Turns'!E88,'Turns'!E103),"Unknown")</f>
        <v>0.000220884084</v>
      </c>
      <c r="Z20" s="2">
        <f>IF(COUNT('Turns'!F88,'Turns'!F103)=2,SUM('Turns'!F88,'Turns'!F103),"Unknown")</f>
        <v>0.0002532</v>
      </c>
      <c r="AA20" s="5">
        <f>IF(ISNUMBER(Y20),ROUND(Y20*'Reference data'!$B$2,0),"Unknown")</f>
        <v>22.0</v>
      </c>
      <c r="AB20" s="5">
        <f>IF(ISNUMBER(Z20),ROUND(Z20*'Reference data'!$B$2,0),"Unknown")</f>
        <v>25.0</v>
      </c>
      <c r="AD20" s="1">
        <v>2995.011</v>
      </c>
      <c r="AE20" s="1" t="s">
        <v>184</v>
      </c>
    </row>
    <row r="21" spans="1:31" ht="54" customHeight="1">
      <c r="A21" s="6" t="s">
        <v>214</v>
      </c>
      <c r="B21" s="1">
        <v>3</v>
      </c>
      <c r="C21" s="1" t="s">
        <v>182</v>
      </c>
      <c r="D21" s="1" t="s">
        <v>47</v>
      </c>
      <c r="E21" s="1" t="s">
        <v>110</v>
      </c>
      <c r="G21" s="6" t="s">
        <v>215</v>
      </c>
      <c r="H21" t="s">
        <v>216</v>
      </c>
      <c r="I21" t="s">
        <v>140</v>
      </c>
      <c r="J21" s="2">
        <f>IF(COUNT('Turns'!D77,'Turns'!D94)=2,SUM('Turns'!D77,'Turns'!D94),"Unknown")</f>
        <v>540.0</v>
      </c>
      <c r="K21" s="2">
        <f>IF(COUNT('Turns'!E77,'Turns'!E94)=2,SUM('Turns'!E77,'Turns'!E94),"Unknown")</f>
        <v>9.421596e-05</v>
      </c>
      <c r="L21" s="2">
        <f>IF(COUNT('Turns'!F77,'Turns'!F94)=2,SUM('Turns'!F77,'Turns'!F94),"Unknown")</f>
        <v>0.000108</v>
      </c>
      <c r="M21" s="2">
        <f>IF(COUNT('Turns'!D93)=1,SUM('Turns'!D93),"Unknown")</f>
        <v>0.0</v>
      </c>
      <c r="N21" s="2">
        <f>IF(COUNT('Turns'!E93)=1,SUM('Turns'!E93),"Unknown")</f>
        <v>0.0</v>
      </c>
      <c r="O21" s="2">
        <f>IF(COUNT('Turns'!F93)=1,SUM('Turns'!F93),"Unknown")</f>
        <v>0.0</v>
      </c>
      <c r="P21" s="2">
        <v>0</v>
      </c>
      <c r="Q21" s="2">
        <v>0</v>
      </c>
      <c r="R21" s="2">
        <v>0</v>
      </c>
      <c r="S21" s="2">
        <f>IF(COUNT('Turns'!D84,'Turns'!D99)=2,SUM('Turns'!D84,'Turns'!D99),"Unknown")</f>
        <v>112.0</v>
      </c>
      <c r="T21" s="2">
        <f>IF(COUNT('Turns'!E84,'Turns'!E99)=2,SUM('Turns'!E84,'Turns'!E99),"Unknown")</f>
        <v>0.000117246528</v>
      </c>
      <c r="U21" s="2">
        <f>IF(COUNT('Turns'!F84,'Turns'!F99)=2,SUM('Turns'!F84,'Turns'!F99),"Unknown")</f>
        <v>0.0001344</v>
      </c>
      <c r="V21" s="2">
        <f>IF(COUNT('Turns'!D83)=1,SUM('Turns'!D83),"Unknown")</f>
        <v>9.0</v>
      </c>
      <c r="W21" s="2">
        <f>IF(COUNT('Turns'!E83)=1,SUM('Turns'!E83),"Unknown")</f>
        <v>9.421596e-06</v>
      </c>
      <c r="X21" s="2">
        <f>IF(COUNT('Turns'!F83)=1,SUM('Turns'!F83),"Unknown")</f>
        <v>1.08e-05</v>
      </c>
      <c r="Y21" s="2">
        <f>IF(COUNT('Turns'!E88,'Turns'!E103)=2,SUM('Turns'!E88,'Turns'!E103),"Unknown")</f>
        <v>0.000220884084</v>
      </c>
      <c r="Z21" s="2">
        <f>IF(COUNT('Turns'!F88,'Turns'!F103)=2,SUM('Turns'!F88,'Turns'!F103),"Unknown")</f>
        <v>0.0002532</v>
      </c>
      <c r="AA21" s="5">
        <f>IF(ISNUMBER(Y21),ROUND(Y21*'Reference data'!$B$2,0),"Unknown")</f>
        <v>22.0</v>
      </c>
      <c r="AB21" s="5">
        <f>IF(ISNUMBER(Z21),ROUND(Z21*'Reference data'!$B$2,0),"Unknown")</f>
        <v>25.0</v>
      </c>
      <c r="AD21" s="1">
        <v>2994.071</v>
      </c>
      <c r="AE21" s="1" t="s">
        <v>184</v>
      </c>
    </row>
    <row r="22" spans="1:31" ht="54" customHeight="1">
      <c r="A22" s="6" t="s">
        <v>201</v>
      </c>
      <c r="B22" s="1">
        <v>4</v>
      </c>
      <c r="C22" s="1" t="s">
        <v>182</v>
      </c>
      <c r="D22" s="1" t="s">
        <v>47</v>
      </c>
      <c r="E22" s="1" t="s">
        <v>110</v>
      </c>
      <c r="G22" s="6" t="s">
        <v>186</v>
      </c>
      <c r="H22" t="s">
        <v>217</v>
      </c>
      <c r="I22" t="s">
        <v>216</v>
      </c>
      <c r="J22" s="2">
        <f>IF(COUNT('Turns'!D77)=1,SUM('Turns'!D77),"Unknown")</f>
        <v>212.0</v>
      </c>
      <c r="K22" s="2">
        <f>IF(COUNT('Turns'!E77)=1,SUM('Turns'!E77),"Unknown")</f>
        <v>3.6988488e-05</v>
      </c>
      <c r="L22" s="2">
        <f>IF(COUNT('Turns'!F77)=1,SUM('Turns'!F77),"Unknown")</f>
        <v>4.24e-05</v>
      </c>
      <c r="M22" s="2">
        <v>0</v>
      </c>
      <c r="N22" s="2">
        <v>0</v>
      </c>
      <c r="O22" s="2">
        <v>0</v>
      </c>
      <c r="P22" s="2">
        <v>0</v>
      </c>
      <c r="Q22" s="2">
        <v>0</v>
      </c>
      <c r="R22" s="2">
        <v>0</v>
      </c>
      <c r="S22" s="2">
        <f>IF(COUNT('Turns'!D84)=1,SUM('Turns'!D84),"Unknown")</f>
        <v>50.0</v>
      </c>
      <c r="T22" s="2">
        <f>IF(COUNT('Turns'!E84)=1,SUM('Turns'!E84),"Unknown")</f>
        <v>5.23422e-05</v>
      </c>
      <c r="U22" s="2">
        <f>IF(COUNT('Turns'!F84)=1,SUM('Turns'!F84),"Unknown")</f>
        <v>6e-05</v>
      </c>
      <c r="V22" s="2">
        <f>IF(COUNT('Turns'!D83)=1,SUM('Turns'!D83),"Unknown")</f>
        <v>9.0</v>
      </c>
      <c r="W22" s="2">
        <f>IF(COUNT('Turns'!E83)=1,SUM('Turns'!E83),"Unknown")</f>
        <v>9.421596e-06</v>
      </c>
      <c r="X22" s="2">
        <f>IF(COUNT('Turns'!F83)=1,SUM('Turns'!F83),"Unknown")</f>
        <v>1.08e-05</v>
      </c>
      <c r="Y22" s="2">
        <f>IF(COUNT('Turns'!E88)=1,SUM('Turns'!E88),"Unknown")</f>
        <v>9.8752284e-05</v>
      </c>
      <c r="Z22" s="2">
        <f>IF(COUNT('Turns'!F88)=1,SUM('Turns'!F88),"Unknown")</f>
        <v>0.0001132</v>
      </c>
      <c r="AA22" s="5">
        <f>IF(ISNUMBER(Y22),ROUND(Y22*'Reference data'!$B$2,0),"Unknown")</f>
        <v>10.0</v>
      </c>
      <c r="AB22" s="5">
        <f>IF(ISNUMBER(Z22),ROUND(Z22*'Reference data'!$B$2,0),"Unknown")</f>
        <v>11.0</v>
      </c>
      <c r="AD22" s="1">
        <v>1634.397</v>
      </c>
      <c r="AE22" s="1" t="s">
        <v>184</v>
      </c>
    </row>
    <row r="23" spans="1:31" ht="54" customHeight="1">
      <c r="A23" s="6" t="s">
        <v>203</v>
      </c>
      <c r="B23" s="1">
        <v>5</v>
      </c>
      <c r="C23" s="1" t="s">
        <v>189</v>
      </c>
      <c r="D23" s="1" t="s">
        <v>95</v>
      </c>
      <c r="E23" s="1" t="s">
        <v>110</v>
      </c>
      <c r="F23" s="1">
        <v>212</v>
      </c>
      <c r="G23" s="6" t="s">
        <v>190</v>
      </c>
      <c r="H23" t="s">
        <v>144</v>
      </c>
      <c r="I23" t="s">
        <v>217</v>
      </c>
      <c r="J23" s="2">
        <f>IF(COUNT('Turns'!D77)=1,SUM('Turns'!D77),"Unknown")</f>
        <v>212.0</v>
      </c>
      <c r="K23" s="2">
        <f>IF(COUNT('Turns'!E77)=1,SUM('Turns'!E77),"Unknown")</f>
        <v>3.6988488e-05</v>
      </c>
      <c r="L23" s="2">
        <f>IF(COUNT('Turns'!F77)=1,SUM('Turns'!F77),"Unknown")</f>
        <v>4.24e-05</v>
      </c>
      <c r="M23" s="2">
        <v>0</v>
      </c>
      <c r="N23" s="2">
        <v>0</v>
      </c>
      <c r="O23" s="2">
        <v>0</v>
      </c>
      <c r="P23" s="2">
        <v>0</v>
      </c>
      <c r="Q23" s="2">
        <v>0</v>
      </c>
      <c r="R23" s="2">
        <v>0</v>
      </c>
      <c r="S23" s="2">
        <f>IF(COUNT('Turns'!D84)=1,SUM('Turns'!D84),"Unknown")</f>
        <v>50.0</v>
      </c>
      <c r="T23" s="2">
        <f>IF(COUNT('Turns'!E84)=1,SUM('Turns'!E84),"Unknown")</f>
        <v>5.23422e-05</v>
      </c>
      <c r="U23" s="2">
        <f>IF(COUNT('Turns'!F84)=1,SUM('Turns'!F84),"Unknown")</f>
        <v>6e-05</v>
      </c>
      <c r="V23" s="2">
        <f>IF(COUNT('Turns'!D83)=1,SUM('Turns'!D83),"Unknown")</f>
        <v>9.0</v>
      </c>
      <c r="W23" s="2">
        <f>IF(COUNT('Turns'!E83)=1,SUM('Turns'!E83),"Unknown")</f>
        <v>9.421596e-06</v>
      </c>
      <c r="X23" s="2">
        <f>IF(COUNT('Turns'!F83)=1,SUM('Turns'!F83),"Unknown")</f>
        <v>1.08e-05</v>
      </c>
      <c r="Y23" s="2">
        <f>IF(COUNT('Turns'!E88)=1,SUM('Turns'!E88),"Unknown")</f>
        <v>9.8752284e-05</v>
      </c>
      <c r="Z23" s="2">
        <f>IF(COUNT('Turns'!F88)=1,SUM('Turns'!F88),"Unknown")</f>
        <v>0.0001132</v>
      </c>
      <c r="AA23" s="5">
        <f>IF(ISNUMBER(Y23),ROUND(Y23*'Reference data'!$B$2,0),"Unknown")</f>
        <v>10.0</v>
      </c>
      <c r="AB23" s="5">
        <f>IF(ISNUMBER(Z23),ROUND(Z23*'Reference data'!$B$2,0),"Unknown")</f>
        <v>11.0</v>
      </c>
      <c r="AC23" s="1" t="s">
        <v>143</v>
      </c>
      <c r="AD23" s="1">
        <v>1631.824</v>
      </c>
      <c r="AE23" s="1" t="s">
        <v>191</v>
      </c>
    </row>
    <row r="24" spans="1:31" ht="54" customHeight="1">
      <c r="A24" s="6" t="s">
        <v>204</v>
      </c>
      <c r="B24" s="1">
        <v>4</v>
      </c>
      <c r="C24" s="1" t="s">
        <v>182</v>
      </c>
      <c r="D24" s="1" t="s">
        <v>47</v>
      </c>
      <c r="E24" s="1" t="s">
        <v>110</v>
      </c>
      <c r="G24" s="6" t="s">
        <v>193</v>
      </c>
      <c r="H24" t="s">
        <v>218</v>
      </c>
      <c r="I24" t="s">
        <v>216</v>
      </c>
      <c r="AD24" s="1">
        <v>1.546</v>
      </c>
      <c r="AE24" s="1" t="s">
        <v>206</v>
      </c>
    </row>
    <row r="25" spans="1:31" ht="54" customHeight="1">
      <c r="A25" s="6" t="s">
        <v>219</v>
      </c>
      <c r="B25" s="1">
        <v>5</v>
      </c>
      <c r="C25" s="1" t="s">
        <v>196</v>
      </c>
      <c r="D25" s="1" t="s">
        <v>47</v>
      </c>
      <c r="E25" s="1" t="s">
        <v>110</v>
      </c>
      <c r="G25" s="6" t="s">
        <v>220</v>
      </c>
      <c r="H25" t="s">
        <v>148</v>
      </c>
      <c r="I25" t="s">
        <v>218</v>
      </c>
      <c r="AD25" s="1">
        <v>0.423</v>
      </c>
      <c r="AE25" s="1" t="s">
        <v>206</v>
      </c>
    </row>
    <row r="26" spans="1:31" ht="54" customHeight="1">
      <c r="A26" s="6" t="s">
        <v>201</v>
      </c>
      <c r="B26" s="1">
        <v>4</v>
      </c>
      <c r="C26" s="1" t="s">
        <v>182</v>
      </c>
      <c r="D26" s="1" t="s">
        <v>47</v>
      </c>
      <c r="E26" s="1" t="s">
        <v>110</v>
      </c>
      <c r="G26" s="6" t="s">
        <v>186</v>
      </c>
      <c r="H26" t="s">
        <v>221</v>
      </c>
      <c r="I26" t="s">
        <v>216</v>
      </c>
      <c r="J26" s="2">
        <f>IF(COUNT('Turns'!D94)=1,SUM('Turns'!D94),"Unknown")</f>
        <v>328.0</v>
      </c>
      <c r="K26" s="2">
        <f>IF(COUNT('Turns'!E94)=1,SUM('Turns'!E94),"Unknown")</f>
        <v>5.7227472e-05</v>
      </c>
      <c r="L26" s="2">
        <f>IF(COUNT('Turns'!F94)=1,SUM('Turns'!F94),"Unknown")</f>
        <v>6.56e-05</v>
      </c>
      <c r="M26" s="2">
        <f>IF(COUNT('Turns'!D93)=1,SUM('Turns'!D93),"Unknown")</f>
        <v>0.0</v>
      </c>
      <c r="N26" s="2">
        <f>IF(COUNT('Turns'!E93)=1,SUM('Turns'!E93),"Unknown")</f>
        <v>0.0</v>
      </c>
      <c r="O26" s="2">
        <f>IF(COUNT('Turns'!F93)=1,SUM('Turns'!F93),"Unknown")</f>
        <v>0.0</v>
      </c>
      <c r="P26" s="2">
        <v>0</v>
      </c>
      <c r="Q26" s="2">
        <v>0</v>
      </c>
      <c r="R26" s="2">
        <v>0</v>
      </c>
      <c r="S26" s="2">
        <f>IF(COUNT('Turns'!D99)=1,SUM('Turns'!D99),"Unknown")</f>
        <v>62.0</v>
      </c>
      <c r="T26" s="2">
        <f>IF(COUNT('Turns'!E99)=1,SUM('Turns'!E99),"Unknown")</f>
        <v>6.4904328e-05</v>
      </c>
      <c r="U26" s="2">
        <f>IF(COUNT('Turns'!F99)=1,SUM('Turns'!F99),"Unknown")</f>
        <v>7.44e-05</v>
      </c>
      <c r="V26" s="2">
        <v>0</v>
      </c>
      <c r="W26" s="2">
        <v>0</v>
      </c>
      <c r="X26" s="2">
        <v>0</v>
      </c>
      <c r="Y26" s="2">
        <f>IF(COUNT('Turns'!E103)=1,SUM('Turns'!E103),"Unknown")</f>
        <v>0.0001221318</v>
      </c>
      <c r="Z26" s="2">
        <f>IF(COUNT('Turns'!F103)=1,SUM('Turns'!F103),"Unknown")</f>
        <v>0.00014</v>
      </c>
      <c r="AA26" s="5">
        <f>IF(ISNUMBER(Y26),ROUND(Y26*'Reference data'!$B$2,0),"Unknown")</f>
        <v>12.0</v>
      </c>
      <c r="AB26" s="5">
        <f>IF(ISNUMBER(Z26),ROUND(Z26*'Reference data'!$B$2,0),"Unknown")</f>
        <v>14.0</v>
      </c>
      <c r="AD26" s="1">
        <v>1355.38</v>
      </c>
      <c r="AE26" s="1" t="s">
        <v>184</v>
      </c>
    </row>
    <row r="27" spans="1:31" ht="54" customHeight="1">
      <c r="A27" s="6" t="s">
        <v>203</v>
      </c>
      <c r="B27" s="1">
        <v>5</v>
      </c>
      <c r="C27" s="1" t="s">
        <v>189</v>
      </c>
      <c r="D27" s="1" t="s">
        <v>95</v>
      </c>
      <c r="E27" s="1" t="s">
        <v>110</v>
      </c>
      <c r="F27" s="1">
        <v>328</v>
      </c>
      <c r="G27" s="6" t="s">
        <v>190</v>
      </c>
      <c r="H27" t="s">
        <v>152</v>
      </c>
      <c r="I27" t="s">
        <v>221</v>
      </c>
      <c r="J27" s="2">
        <f>IF(COUNT('Turns'!D94)=1,SUM('Turns'!D94),"Unknown")</f>
        <v>328.0</v>
      </c>
      <c r="K27" s="2">
        <f>IF(COUNT('Turns'!E94)=1,SUM('Turns'!E94),"Unknown")</f>
        <v>5.7227472e-05</v>
      </c>
      <c r="L27" s="2">
        <f>IF(COUNT('Turns'!F94)=1,SUM('Turns'!F94),"Unknown")</f>
        <v>6.56e-05</v>
      </c>
      <c r="M27" s="2">
        <f>IF(COUNT('Turns'!D93)=1,SUM('Turns'!D93),"Unknown")</f>
        <v>0.0</v>
      </c>
      <c r="N27" s="2">
        <f>IF(COUNT('Turns'!E93)=1,SUM('Turns'!E93),"Unknown")</f>
        <v>0.0</v>
      </c>
      <c r="O27" s="2">
        <f>IF(COUNT('Turns'!F93)=1,SUM('Turns'!F93),"Unknown")</f>
        <v>0.0</v>
      </c>
      <c r="P27" s="2">
        <v>0</v>
      </c>
      <c r="Q27" s="2">
        <v>0</v>
      </c>
      <c r="R27" s="2">
        <v>0</v>
      </c>
      <c r="S27" s="2">
        <f>IF(COUNT('Turns'!D99)=1,SUM('Turns'!D99),"Unknown")</f>
        <v>62.0</v>
      </c>
      <c r="T27" s="2">
        <f>IF(COUNT('Turns'!E99)=1,SUM('Turns'!E99),"Unknown")</f>
        <v>6.4904328e-05</v>
      </c>
      <c r="U27" s="2">
        <f>IF(COUNT('Turns'!F99)=1,SUM('Turns'!F99),"Unknown")</f>
        <v>7.44e-05</v>
      </c>
      <c r="V27" s="2">
        <v>0</v>
      </c>
      <c r="W27" s="2">
        <v>0</v>
      </c>
      <c r="X27" s="2">
        <v>0</v>
      </c>
      <c r="Y27" s="2">
        <f>IF(COUNT('Turns'!E103)=1,SUM('Turns'!E103),"Unknown")</f>
        <v>0.0001221318</v>
      </c>
      <c r="Z27" s="2">
        <f>IF(COUNT('Turns'!F103)=1,SUM('Turns'!F103),"Unknown")</f>
        <v>0.00014</v>
      </c>
      <c r="AA27" s="5">
        <f>IF(ISNUMBER(Y27),ROUND(Y27*'Reference data'!$B$2,0),"Unknown")</f>
        <v>12.0</v>
      </c>
      <c r="AB27" s="5">
        <f>IF(ISNUMBER(Z27),ROUND(Z27*'Reference data'!$B$2,0),"Unknown")</f>
        <v>14.0</v>
      </c>
      <c r="AC27" s="1" t="s">
        <v>151</v>
      </c>
      <c r="AD27" s="1">
        <v>1353.89</v>
      </c>
      <c r="AE27" s="1" t="s">
        <v>191</v>
      </c>
    </row>
    <row r="28" spans="1:31" ht="54" customHeight="1">
      <c r="A28" s="6" t="s">
        <v>185</v>
      </c>
      <c r="B28" s="1">
        <v>1</v>
      </c>
      <c r="C28" s="1" t="s">
        <v>182</v>
      </c>
      <c r="D28" s="1" t="s">
        <v>47</v>
      </c>
      <c r="E28" s="1" t="s">
        <v>110</v>
      </c>
      <c r="G28" s="6" t="s">
        <v>186</v>
      </c>
      <c r="H28" t="s">
        <v>222</v>
      </c>
      <c r="I28" t="s">
        <v>211</v>
      </c>
      <c r="J28" s="2">
        <f>IF(COUNT('Turns'!D106)=1,SUM('Turns'!D106),"Unknown")</f>
        <v>553.0</v>
      </c>
      <c r="K28" s="2">
        <f>IF(COUNT('Turns'!E106)=1,SUM('Turns'!E106),"Unknown")</f>
        <v>9.6484122e-05</v>
      </c>
      <c r="L28" s="2">
        <f>IF(COUNT('Turns'!F106)=1,SUM('Turns'!F106),"Unknown")</f>
        <v>0.0001106</v>
      </c>
      <c r="M28" s="2">
        <f>IF(COUNT('Turns'!D105)=1,SUM('Turns'!D105),"Unknown")</f>
        <v>0.0</v>
      </c>
      <c r="N28" s="2">
        <f>IF(COUNT('Turns'!E105)=1,SUM('Turns'!E105),"Unknown")</f>
        <v>0.0</v>
      </c>
      <c r="O28" s="2">
        <f>IF(COUNT('Turns'!F105)=1,SUM('Turns'!F105),"Unknown")</f>
        <v>0.0</v>
      </c>
      <c r="P28" s="2">
        <v>0</v>
      </c>
      <c r="Q28" s="2">
        <v>0</v>
      </c>
      <c r="R28" s="2">
        <v>0</v>
      </c>
      <c r="S28" s="2">
        <f>IF(COUNT('Turns'!D111)=1,SUM('Turns'!D111),"Unknown")</f>
        <v>22.0</v>
      </c>
      <c r="T28" s="2">
        <f>IF(COUNT('Turns'!E111)=1,SUM('Turns'!E111),"Unknown")</f>
        <v>2.3030568e-05</v>
      </c>
      <c r="U28" s="2">
        <f>IF(COUNT('Turns'!F111)=1,SUM('Turns'!F111),"Unknown")</f>
        <v>2.64e-05</v>
      </c>
      <c r="V28" s="2">
        <v>0</v>
      </c>
      <c r="W28" s="2">
        <v>0</v>
      </c>
      <c r="X28" s="2">
        <v>0</v>
      </c>
      <c r="Y28" s="2">
        <f>IF(COUNT('Turns'!E115)=1,SUM('Turns'!E115),"Unknown")</f>
        <v>0.00011951469</v>
      </c>
      <c r="Z28" s="2">
        <f>IF(COUNT('Turns'!F115)=1,SUM('Turns'!F115),"Unknown")</f>
        <v>0.000137</v>
      </c>
      <c r="AA28" s="5">
        <f>IF(ISNUMBER(Y28),ROUND(Y28*'Reference data'!$B$2,0),"Unknown")</f>
        <v>12.0</v>
      </c>
      <c r="AB28" s="5">
        <f>IF(ISNUMBER(Z28),ROUND(Z28*'Reference data'!$B$2,0),"Unknown")</f>
        <v>14.0</v>
      </c>
      <c r="AD28" s="1">
        <v>1047.086</v>
      </c>
      <c r="AE28" s="1" t="s">
        <v>184</v>
      </c>
    </row>
    <row r="29" spans="1:31" ht="54" customHeight="1">
      <c r="A29" s="6" t="s">
        <v>188</v>
      </c>
      <c r="B29" s="1">
        <v>2</v>
      </c>
      <c r="C29" s="1" t="s">
        <v>189</v>
      </c>
      <c r="D29" s="1" t="s">
        <v>95</v>
      </c>
      <c r="E29" s="1" t="s">
        <v>110</v>
      </c>
      <c r="F29" s="1">
        <v>553</v>
      </c>
      <c r="G29" s="6" t="s">
        <v>190</v>
      </c>
      <c r="H29" t="s">
        <v>155</v>
      </c>
      <c r="I29" t="s">
        <v>222</v>
      </c>
      <c r="J29" s="2">
        <f>IF(COUNT('Turns'!D106)=1,SUM('Turns'!D106),"Unknown")</f>
        <v>553.0</v>
      </c>
      <c r="K29" s="2">
        <f>IF(COUNT('Turns'!E106)=1,SUM('Turns'!E106),"Unknown")</f>
        <v>9.6484122e-05</v>
      </c>
      <c r="L29" s="2">
        <f>IF(COUNT('Turns'!F106)=1,SUM('Turns'!F106),"Unknown")</f>
        <v>0.0001106</v>
      </c>
      <c r="M29" s="2">
        <f>IF(COUNT('Turns'!D105)=1,SUM('Turns'!D105),"Unknown")</f>
        <v>0.0</v>
      </c>
      <c r="N29" s="2">
        <f>IF(COUNT('Turns'!E105)=1,SUM('Turns'!E105),"Unknown")</f>
        <v>0.0</v>
      </c>
      <c r="O29" s="2">
        <f>IF(COUNT('Turns'!F105)=1,SUM('Turns'!F105),"Unknown")</f>
        <v>0.0</v>
      </c>
      <c r="P29" s="2">
        <v>0</v>
      </c>
      <c r="Q29" s="2">
        <v>0</v>
      </c>
      <c r="R29" s="2">
        <v>0</v>
      </c>
      <c r="S29" s="2">
        <f>IF(COUNT('Turns'!D111)=1,SUM('Turns'!D111),"Unknown")</f>
        <v>22.0</v>
      </c>
      <c r="T29" s="2">
        <f>IF(COUNT('Turns'!E111)=1,SUM('Turns'!E111),"Unknown")</f>
        <v>2.3030568e-05</v>
      </c>
      <c r="U29" s="2">
        <f>IF(COUNT('Turns'!F111)=1,SUM('Turns'!F111),"Unknown")</f>
        <v>2.64e-05</v>
      </c>
      <c r="V29" s="2">
        <v>0</v>
      </c>
      <c r="W29" s="2">
        <v>0</v>
      </c>
      <c r="X29" s="2">
        <v>0</v>
      </c>
      <c r="Y29" s="2">
        <f>IF(COUNT('Turns'!E115)=1,SUM('Turns'!E115),"Unknown")</f>
        <v>0.00011951469</v>
      </c>
      <c r="Z29" s="2">
        <f>IF(COUNT('Turns'!F115)=1,SUM('Turns'!F115),"Unknown")</f>
        <v>0.000137</v>
      </c>
      <c r="AA29" s="5">
        <f>IF(ISNUMBER(Y29),ROUND(Y29*'Reference data'!$B$2,0),"Unknown")</f>
        <v>12.0</v>
      </c>
      <c r="AB29" s="5">
        <f>IF(ISNUMBER(Z29),ROUND(Z29*'Reference data'!$B$2,0),"Unknown")</f>
        <v>14.0</v>
      </c>
      <c r="AC29" s="1" t="s">
        <v>154</v>
      </c>
      <c r="AD29" s="1">
        <v>1045.797</v>
      </c>
      <c r="AE29" s="1" t="s">
        <v>191</v>
      </c>
    </row>
    <row r="30" spans="1:31" ht="54" customHeight="1">
      <c r="A30" s="6" t="s">
        <v>181</v>
      </c>
      <c r="B30" s="1">
        <v>0</v>
      </c>
      <c r="C30" s="1" t="s">
        <v>182</v>
      </c>
      <c r="D30" s="1" t="s">
        <v>47</v>
      </c>
      <c r="E30" s="1" t="s">
        <v>110</v>
      </c>
      <c r="G30" s="6" t="s">
        <v>183</v>
      </c>
      <c r="H30" t="s">
        <v>223</v>
      </c>
      <c r="J30" s="2">
        <f>IF(COUNT('Turns'!D119,'Turns'!D133,'Turns'!D149,'Turns'!D161)=4,SUM('Turns'!D119,'Turns'!D133,'Turns'!D149,'Turns'!D161),"Unknown")</f>
        <v>1763.0</v>
      </c>
      <c r="K30" s="2">
        <f>IF(COUNT('Turns'!E119,'Turns'!E133,'Turns'!E149,'Turns'!E161)=4,SUM('Turns'!E119,'Turns'!E133,'Turns'!E149,'Turns'!E161),"Unknown")</f>
        <v>0.000307597662</v>
      </c>
      <c r="L30" s="2">
        <f>IF(COUNT('Turns'!F119,'Turns'!F133,'Turns'!F149,'Turns'!F161)=4,SUM('Turns'!F119,'Turns'!F133,'Turns'!F149,'Turns'!F161),"Unknown")</f>
        <v>0.0003526</v>
      </c>
      <c r="M30" s="2">
        <f>IF(COUNT('Turns'!D118,'Turns'!D148,'Turns'!D160)=3,SUM('Turns'!D118,'Turns'!D148,'Turns'!D160),"Unknown")</f>
        <v>0.0</v>
      </c>
      <c r="N30" s="2">
        <f>IF(COUNT('Turns'!E118,'Turns'!E148,'Turns'!E160)=3,SUM('Turns'!E118,'Turns'!E148,'Turns'!E160),"Unknown")</f>
        <v>0.0</v>
      </c>
      <c r="O30" s="2">
        <f>IF(COUNT('Turns'!F118,'Turns'!F148,'Turns'!F160)=3,SUM('Turns'!F118,'Turns'!F148,'Turns'!F160),"Unknown")</f>
        <v>0.0</v>
      </c>
      <c r="P30" s="2">
        <v>0</v>
      </c>
      <c r="Q30" s="2">
        <v>0</v>
      </c>
      <c r="R30" s="2">
        <v>0</v>
      </c>
      <c r="S30" s="2">
        <f>IF(COUNT('Turns'!D124,'Turns'!D139,'Turns'!D154,'Turns'!D166)=4,SUM('Turns'!D124,'Turns'!D139,'Turns'!D154,'Turns'!D166),"Unknown")</f>
        <v>154.0</v>
      </c>
      <c r="T30" s="2">
        <f>IF(COUNT('Turns'!E124,'Turns'!E139,'Turns'!E154,'Turns'!E166)=4,SUM('Turns'!E124,'Turns'!E139,'Turns'!E154,'Turns'!E166),"Unknown")</f>
        <v>0.000161213976</v>
      </c>
      <c r="U30" s="2">
        <f>IF(COUNT('Turns'!F124,'Turns'!F139,'Turns'!F154,'Turns'!F166)=4,SUM('Turns'!F124,'Turns'!F139,'Turns'!F154,'Turns'!F166),"Unknown")</f>
        <v>0.0001848</v>
      </c>
      <c r="V30" s="2">
        <v>0</v>
      </c>
      <c r="W30" s="2">
        <v>0</v>
      </c>
      <c r="X30" s="2">
        <v>0</v>
      </c>
      <c r="Y30" s="2">
        <f>IF(COUNT('Turns'!E128,'Turns'!E143,'Turns'!E158,'Turns'!E170)=4,SUM('Turns'!E128,'Turns'!E143,'Turns'!E158,'Turns'!E170),"Unknown")</f>
        <v>0.000468811638</v>
      </c>
      <c r="Z30" s="2">
        <f>IF(COUNT('Turns'!F128,'Turns'!F143,'Turns'!F158,'Turns'!F170)=4,SUM('Turns'!F128,'Turns'!F143,'Turns'!F158,'Turns'!F170),"Unknown")</f>
        <v>0.0005374</v>
      </c>
      <c r="AA30" s="5">
        <f>IF(ISNUMBER(Y30),ROUND(Y30*'Reference data'!$B$2,0),"Unknown")</f>
        <v>47.0</v>
      </c>
      <c r="AB30" s="5">
        <f>IF(ISNUMBER(Z30),ROUND(Z30*'Reference data'!$B$2,0),"Unknown")</f>
        <v>54.0</v>
      </c>
      <c r="AD30" s="1">
        <v>6803.348</v>
      </c>
      <c r="AE30" s="1" t="s">
        <v>184</v>
      </c>
    </row>
    <row r="31" spans="1:31" ht="54" customHeight="1">
      <c r="A31" s="6" t="s">
        <v>185</v>
      </c>
      <c r="B31" s="1">
        <v>1</v>
      </c>
      <c r="C31" s="1" t="s">
        <v>182</v>
      </c>
      <c r="D31" s="1" t="s">
        <v>47</v>
      </c>
      <c r="E31" s="1" t="s">
        <v>110</v>
      </c>
      <c r="G31" s="6" t="s">
        <v>186</v>
      </c>
      <c r="H31" t="s">
        <v>224</v>
      </c>
      <c r="I31" t="s">
        <v>223</v>
      </c>
      <c r="J31" s="2">
        <f>IF(COUNT('Turns'!D119)=1,SUM('Turns'!D119),"Unknown")</f>
        <v>590.0</v>
      </c>
      <c r="K31" s="2">
        <f>IF(COUNT('Turns'!E119)=1,SUM('Turns'!E119),"Unknown")</f>
        <v>0.00010293966</v>
      </c>
      <c r="L31" s="2">
        <f>IF(COUNT('Turns'!F119)=1,SUM('Turns'!F119),"Unknown")</f>
        <v>0.000118</v>
      </c>
      <c r="M31" s="2">
        <f>IF(COUNT('Turns'!D118)=1,SUM('Turns'!D118),"Unknown")</f>
        <v>0.0</v>
      </c>
      <c r="N31" s="2">
        <f>IF(COUNT('Turns'!E118)=1,SUM('Turns'!E118),"Unknown")</f>
        <v>0.0</v>
      </c>
      <c r="O31" s="2">
        <f>IF(COUNT('Turns'!F118)=1,SUM('Turns'!F118),"Unknown")</f>
        <v>0.0</v>
      </c>
      <c r="P31" s="2">
        <v>0</v>
      </c>
      <c r="Q31" s="2">
        <v>0</v>
      </c>
      <c r="R31" s="2">
        <v>0</v>
      </c>
      <c r="S31" s="2">
        <f>IF(COUNT('Turns'!D124)=1,SUM('Turns'!D124),"Unknown")</f>
        <v>57.0</v>
      </c>
      <c r="T31" s="2">
        <f>IF(COUNT('Turns'!E124)=1,SUM('Turns'!E124),"Unknown")</f>
        <v>5.9670108e-05</v>
      </c>
      <c r="U31" s="2">
        <f>IF(COUNT('Turns'!F124)=1,SUM('Turns'!F124),"Unknown")</f>
        <v>6.84e-05</v>
      </c>
      <c r="V31" s="2">
        <v>0</v>
      </c>
      <c r="W31" s="2">
        <v>0</v>
      </c>
      <c r="X31" s="2">
        <v>0</v>
      </c>
      <c r="Y31" s="2">
        <f>IF(COUNT('Turns'!E128)=1,SUM('Turns'!E128),"Unknown")</f>
        <v>0.000162609768</v>
      </c>
      <c r="Z31" s="2">
        <f>IF(COUNT('Turns'!F128)=1,SUM('Turns'!F128),"Unknown")</f>
        <v>0.0001864</v>
      </c>
      <c r="AA31" s="5">
        <f>IF(ISNUMBER(Y31),ROUND(Y31*'Reference data'!$B$2,0),"Unknown")</f>
        <v>16.0</v>
      </c>
      <c r="AB31" s="5">
        <f>IF(ISNUMBER(Z31),ROUND(Z31*'Reference data'!$B$2,0),"Unknown")</f>
        <v>19.0</v>
      </c>
      <c r="AD31" s="1">
        <v>2081.249</v>
      </c>
      <c r="AE31" s="1" t="s">
        <v>184</v>
      </c>
    </row>
    <row r="32" spans="1:31" ht="54" customHeight="1">
      <c r="A32" s="6" t="s">
        <v>188</v>
      </c>
      <c r="B32" s="1">
        <v>2</v>
      </c>
      <c r="C32" s="1" t="s">
        <v>189</v>
      </c>
      <c r="D32" s="1" t="s">
        <v>95</v>
      </c>
      <c r="E32" s="1" t="s">
        <v>110</v>
      </c>
      <c r="F32" s="1">
        <v>590</v>
      </c>
      <c r="G32" s="6" t="s">
        <v>190</v>
      </c>
      <c r="H32" t="s">
        <v>160</v>
      </c>
      <c r="I32" t="s">
        <v>224</v>
      </c>
      <c r="J32" s="2">
        <f>IF(COUNT('Turns'!D119)=1,SUM('Turns'!D119),"Unknown")</f>
        <v>590.0</v>
      </c>
      <c r="K32" s="2">
        <f>IF(COUNT('Turns'!E119)=1,SUM('Turns'!E119),"Unknown")</f>
        <v>0.00010293966</v>
      </c>
      <c r="L32" s="2">
        <f>IF(COUNT('Turns'!F119)=1,SUM('Turns'!F119),"Unknown")</f>
        <v>0.000118</v>
      </c>
      <c r="M32" s="2">
        <f>IF(COUNT('Turns'!D118)=1,SUM('Turns'!D118),"Unknown")</f>
        <v>0.0</v>
      </c>
      <c r="N32" s="2">
        <f>IF(COUNT('Turns'!E118)=1,SUM('Turns'!E118),"Unknown")</f>
        <v>0.0</v>
      </c>
      <c r="O32" s="2">
        <f>IF(COUNT('Turns'!F118)=1,SUM('Turns'!F118),"Unknown")</f>
        <v>0.0</v>
      </c>
      <c r="P32" s="2">
        <v>0</v>
      </c>
      <c r="Q32" s="2">
        <v>0</v>
      </c>
      <c r="R32" s="2">
        <v>0</v>
      </c>
      <c r="S32" s="2">
        <f>IF(COUNT('Turns'!D124)=1,SUM('Turns'!D124),"Unknown")</f>
        <v>57.0</v>
      </c>
      <c r="T32" s="2">
        <f>IF(COUNT('Turns'!E124)=1,SUM('Turns'!E124),"Unknown")</f>
        <v>5.9670108e-05</v>
      </c>
      <c r="U32" s="2">
        <f>IF(COUNT('Turns'!F124)=1,SUM('Turns'!F124),"Unknown")</f>
        <v>6.84e-05</v>
      </c>
      <c r="V32" s="2">
        <v>0</v>
      </c>
      <c r="W32" s="2">
        <v>0</v>
      </c>
      <c r="X32" s="2">
        <v>0</v>
      </c>
      <c r="Y32" s="2">
        <f>IF(COUNT('Turns'!E128)=1,SUM('Turns'!E128),"Unknown")</f>
        <v>0.000162609768</v>
      </c>
      <c r="Z32" s="2">
        <f>IF(COUNT('Turns'!F128)=1,SUM('Turns'!F128),"Unknown")</f>
        <v>0.0001864</v>
      </c>
      <c r="AA32" s="5">
        <f>IF(ISNUMBER(Y32),ROUND(Y32*'Reference data'!$B$2,0),"Unknown")</f>
        <v>16.0</v>
      </c>
      <c r="AB32" s="5">
        <f>IF(ISNUMBER(Z32),ROUND(Z32*'Reference data'!$B$2,0),"Unknown")</f>
        <v>19.0</v>
      </c>
      <c r="AC32" s="1" t="s">
        <v>159</v>
      </c>
      <c r="AD32" s="1">
        <v>2079.88</v>
      </c>
      <c r="AE32" s="1" t="s">
        <v>191</v>
      </c>
    </row>
    <row r="33" spans="1:31" ht="54" customHeight="1">
      <c r="A33" s="6" t="s">
        <v>192</v>
      </c>
      <c r="B33" s="1">
        <v>1</v>
      </c>
      <c r="C33" s="1" t="s">
        <v>182</v>
      </c>
      <c r="D33" s="1" t="s">
        <v>47</v>
      </c>
      <c r="E33" s="1" t="s">
        <v>110</v>
      </c>
      <c r="G33" s="6" t="s">
        <v>193</v>
      </c>
      <c r="H33" t="s">
        <v>225</v>
      </c>
      <c r="I33" t="s">
        <v>223</v>
      </c>
      <c r="J33" s="2">
        <f>IF(COUNT('Turns'!D133,'Turns'!D149)=2,SUM('Turns'!D133,'Turns'!D149),"Unknown")</f>
        <v>474.0</v>
      </c>
      <c r="K33" s="2">
        <f>IF(COUNT('Turns'!E133,'Turns'!E149)=2,SUM('Turns'!E133,'Turns'!E149),"Unknown")</f>
        <v>8.2700676e-05</v>
      </c>
      <c r="L33" s="2">
        <f>IF(COUNT('Turns'!F133,'Turns'!F149)=2,SUM('Turns'!F133,'Turns'!F149),"Unknown")</f>
        <v>9.48e-05</v>
      </c>
      <c r="M33" s="2">
        <f>IF(COUNT('Turns'!D148)=1,SUM('Turns'!D148),"Unknown")</f>
        <v>0.0</v>
      </c>
      <c r="N33" s="2">
        <f>IF(COUNT('Turns'!E148)=1,SUM('Turns'!E148),"Unknown")</f>
        <v>0.0</v>
      </c>
      <c r="O33" s="2">
        <f>IF(COUNT('Turns'!F148)=1,SUM('Turns'!F148),"Unknown")</f>
        <v>0.0</v>
      </c>
      <c r="P33" s="2">
        <v>0</v>
      </c>
      <c r="Q33" s="2">
        <v>0</v>
      </c>
      <c r="R33" s="2">
        <v>0</v>
      </c>
      <c r="S33" s="2">
        <f>IF(COUNT('Turns'!D139,'Turns'!D154)=2,SUM('Turns'!D139,'Turns'!D154),"Unknown")</f>
        <v>77.0</v>
      </c>
      <c r="T33" s="2">
        <f>IF(COUNT('Turns'!E139,'Turns'!E154)=2,SUM('Turns'!E139,'Turns'!E154),"Unknown")</f>
        <v>8.0606988e-05</v>
      </c>
      <c r="U33" s="2">
        <f>IF(COUNT('Turns'!F139,'Turns'!F154)=2,SUM('Turns'!F139,'Turns'!F154),"Unknown")</f>
        <v>9.24e-05</v>
      </c>
      <c r="V33" s="2">
        <v>0</v>
      </c>
      <c r="W33" s="2">
        <v>0</v>
      </c>
      <c r="X33" s="2">
        <v>0</v>
      </c>
      <c r="Y33" s="2">
        <f>IF(COUNT('Turns'!E143,'Turns'!E158)=2,SUM('Turns'!E143,'Turns'!E158),"Unknown")</f>
        <v>0.000163307664</v>
      </c>
      <c r="Z33" s="2">
        <f>IF(COUNT('Turns'!F143,'Turns'!F158)=2,SUM('Turns'!F143,'Turns'!F158),"Unknown")</f>
        <v>0.0001872</v>
      </c>
      <c r="AA33" s="5">
        <f>IF(ISNUMBER(Y33),ROUND(Y33*'Reference data'!$B$2,0),"Unknown")</f>
        <v>16.0</v>
      </c>
      <c r="AB33" s="5">
        <f>IF(ISNUMBER(Z33),ROUND(Z33*'Reference data'!$B$2,0),"Unknown")</f>
        <v>19.0</v>
      </c>
      <c r="AD33" s="1">
        <v>2838.329</v>
      </c>
      <c r="AE33" s="1" t="s">
        <v>184</v>
      </c>
    </row>
    <row r="34" spans="1:31" ht="54" customHeight="1">
      <c r="A34" s="6" t="s">
        <v>195</v>
      </c>
      <c r="B34" s="1">
        <v>2</v>
      </c>
      <c r="C34" s="1" t="s">
        <v>196</v>
      </c>
      <c r="D34" s="1" t="s">
        <v>47</v>
      </c>
      <c r="E34" s="1" t="s">
        <v>110</v>
      </c>
      <c r="G34" s="6" t="s">
        <v>197</v>
      </c>
      <c r="H34" t="s">
        <v>163</v>
      </c>
      <c r="I34" t="s">
        <v>225</v>
      </c>
      <c r="J34" s="2">
        <f>IF(COUNT('Turns'!D133,'Turns'!D149)=2,SUM('Turns'!D133,'Turns'!D149),"Unknown")</f>
        <v>474.0</v>
      </c>
      <c r="K34" s="2">
        <f>IF(COUNT('Turns'!E133,'Turns'!E149)=2,SUM('Turns'!E133,'Turns'!E149),"Unknown")</f>
        <v>8.2700676e-05</v>
      </c>
      <c r="L34" s="2">
        <f>IF(COUNT('Turns'!F133,'Turns'!F149)=2,SUM('Turns'!F133,'Turns'!F149),"Unknown")</f>
        <v>9.48e-05</v>
      </c>
      <c r="M34" s="2">
        <f>IF(COUNT('Turns'!D148)=1,SUM('Turns'!D148),"Unknown")</f>
        <v>0.0</v>
      </c>
      <c r="N34" s="2">
        <f>IF(COUNT('Turns'!E148)=1,SUM('Turns'!E148),"Unknown")</f>
        <v>0.0</v>
      </c>
      <c r="O34" s="2">
        <f>IF(COUNT('Turns'!F148)=1,SUM('Turns'!F148),"Unknown")</f>
        <v>0.0</v>
      </c>
      <c r="P34" s="2">
        <v>0</v>
      </c>
      <c r="Q34" s="2">
        <v>0</v>
      </c>
      <c r="R34" s="2">
        <v>0</v>
      </c>
      <c r="S34" s="2">
        <f>IF(COUNT('Turns'!D139,'Turns'!D154)=2,SUM('Turns'!D139,'Turns'!D154),"Unknown")</f>
        <v>77.0</v>
      </c>
      <c r="T34" s="2">
        <f>IF(COUNT('Turns'!E139,'Turns'!E154)=2,SUM('Turns'!E139,'Turns'!E154),"Unknown")</f>
        <v>8.0606988e-05</v>
      </c>
      <c r="U34" s="2">
        <f>IF(COUNT('Turns'!F139,'Turns'!F154)=2,SUM('Turns'!F139,'Turns'!F154),"Unknown")</f>
        <v>9.24e-05</v>
      </c>
      <c r="V34" s="2">
        <v>0</v>
      </c>
      <c r="W34" s="2">
        <v>0</v>
      </c>
      <c r="X34" s="2">
        <v>0</v>
      </c>
      <c r="Y34" s="2">
        <f>IF(COUNT('Turns'!E143,'Turns'!E158)=2,SUM('Turns'!E143,'Turns'!E158),"Unknown")</f>
        <v>0.000163307664</v>
      </c>
      <c r="Z34" s="2">
        <f>IF(COUNT('Turns'!F143,'Turns'!F158)=2,SUM('Turns'!F143,'Turns'!F158),"Unknown")</f>
        <v>0.0001872</v>
      </c>
      <c r="AA34" s="5">
        <f>IF(ISNUMBER(Y34),ROUND(Y34*'Reference data'!$B$2,0),"Unknown")</f>
        <v>16.0</v>
      </c>
      <c r="AB34" s="5">
        <f>IF(ISNUMBER(Z34),ROUND(Z34*'Reference data'!$B$2,0),"Unknown")</f>
        <v>19.0</v>
      </c>
      <c r="AD34" s="1">
        <v>2837.225</v>
      </c>
      <c r="AE34" s="1" t="s">
        <v>184</v>
      </c>
    </row>
    <row r="35" spans="1:31" ht="54" customHeight="1">
      <c r="A35" s="6" t="s">
        <v>226</v>
      </c>
      <c r="B35" s="1">
        <v>3</v>
      </c>
      <c r="C35" s="1" t="s">
        <v>182</v>
      </c>
      <c r="D35" s="1" t="s">
        <v>47</v>
      </c>
      <c r="E35" s="1" t="s">
        <v>110</v>
      </c>
      <c r="G35" s="6" t="s">
        <v>227</v>
      </c>
      <c r="H35" t="s">
        <v>228</v>
      </c>
      <c r="I35" t="s">
        <v>163</v>
      </c>
      <c r="J35" s="2">
        <f>IF(COUNT('Turns'!D133,'Turns'!D149)=2,SUM('Turns'!D133,'Turns'!D149),"Unknown")</f>
        <v>474.0</v>
      </c>
      <c r="K35" s="2">
        <f>IF(COUNT('Turns'!E133,'Turns'!E149)=2,SUM('Turns'!E133,'Turns'!E149),"Unknown")</f>
        <v>8.2700676e-05</v>
      </c>
      <c r="L35" s="2">
        <f>IF(COUNT('Turns'!F133,'Turns'!F149)=2,SUM('Turns'!F133,'Turns'!F149),"Unknown")</f>
        <v>9.48e-05</v>
      </c>
      <c r="M35" s="2">
        <f>IF(COUNT('Turns'!D148)=1,SUM('Turns'!D148),"Unknown")</f>
        <v>0.0</v>
      </c>
      <c r="N35" s="2">
        <f>IF(COUNT('Turns'!E148)=1,SUM('Turns'!E148),"Unknown")</f>
        <v>0.0</v>
      </c>
      <c r="O35" s="2">
        <f>IF(COUNT('Turns'!F148)=1,SUM('Turns'!F148),"Unknown")</f>
        <v>0.0</v>
      </c>
      <c r="P35" s="2">
        <v>0</v>
      </c>
      <c r="Q35" s="2">
        <v>0</v>
      </c>
      <c r="R35" s="2">
        <v>0</v>
      </c>
      <c r="S35" s="2">
        <f>IF(COUNT('Turns'!D139,'Turns'!D154)=2,SUM('Turns'!D139,'Turns'!D154),"Unknown")</f>
        <v>77.0</v>
      </c>
      <c r="T35" s="2">
        <f>IF(COUNT('Turns'!E139,'Turns'!E154)=2,SUM('Turns'!E139,'Turns'!E154),"Unknown")</f>
        <v>8.0606988e-05</v>
      </c>
      <c r="U35" s="2">
        <f>IF(COUNT('Turns'!F139,'Turns'!F154)=2,SUM('Turns'!F139,'Turns'!F154),"Unknown")</f>
        <v>9.24e-05</v>
      </c>
      <c r="V35" s="2">
        <v>0</v>
      </c>
      <c r="W35" s="2">
        <v>0</v>
      </c>
      <c r="X35" s="2">
        <v>0</v>
      </c>
      <c r="Y35" s="2">
        <f>IF(COUNT('Turns'!E143,'Turns'!E158)=2,SUM('Turns'!E143,'Turns'!E158),"Unknown")</f>
        <v>0.000163307664</v>
      </c>
      <c r="Z35" s="2">
        <f>IF(COUNT('Turns'!F143,'Turns'!F158)=2,SUM('Turns'!F143,'Turns'!F158),"Unknown")</f>
        <v>0.0001872</v>
      </c>
      <c r="AA35" s="5">
        <f>IF(ISNUMBER(Y35),ROUND(Y35*'Reference data'!$B$2,0),"Unknown")</f>
        <v>16.0</v>
      </c>
      <c r="AB35" s="5">
        <f>IF(ISNUMBER(Z35),ROUND(Z35*'Reference data'!$B$2,0),"Unknown")</f>
        <v>19.0</v>
      </c>
      <c r="AD35" s="1">
        <v>2836.27</v>
      </c>
      <c r="AE35" s="1" t="s">
        <v>184</v>
      </c>
    </row>
    <row r="36" spans="1:31" ht="54" customHeight="1">
      <c r="A36" s="6" t="s">
        <v>201</v>
      </c>
      <c r="B36" s="1">
        <v>4</v>
      </c>
      <c r="C36" s="1" t="s">
        <v>182</v>
      </c>
      <c r="D36" s="1" t="s">
        <v>47</v>
      </c>
      <c r="E36" s="1" t="s">
        <v>110</v>
      </c>
      <c r="G36" s="6" t="s">
        <v>186</v>
      </c>
      <c r="H36" t="s">
        <v>229</v>
      </c>
      <c r="I36" t="s">
        <v>228</v>
      </c>
      <c r="J36" s="2">
        <f>IF(COUNT('Turns'!D133)=1,SUM('Turns'!D133),"Unknown")</f>
        <v>189.0</v>
      </c>
      <c r="K36" s="2">
        <f>IF(COUNT('Turns'!E133)=1,SUM('Turns'!E133),"Unknown")</f>
        <v>3.2975586e-05</v>
      </c>
      <c r="L36" s="2">
        <f>IF(COUNT('Turns'!F133)=1,SUM('Turns'!F133),"Unknown")</f>
        <v>3.78e-05</v>
      </c>
      <c r="M36" s="2">
        <v>0</v>
      </c>
      <c r="N36" s="2">
        <v>0</v>
      </c>
      <c r="O36" s="2">
        <v>0</v>
      </c>
      <c r="P36" s="2">
        <v>0</v>
      </c>
      <c r="Q36" s="2">
        <v>0</v>
      </c>
      <c r="R36" s="2">
        <v>0</v>
      </c>
      <c r="S36" s="2">
        <f>IF(COUNT('Turns'!D139)=1,SUM('Turns'!D139),"Unknown")</f>
        <v>31.0</v>
      </c>
      <c r="T36" s="2">
        <f>IF(COUNT('Turns'!E139)=1,SUM('Turns'!E139),"Unknown")</f>
        <v>3.2452164e-05</v>
      </c>
      <c r="U36" s="2">
        <f>IF(COUNT('Turns'!F139)=1,SUM('Turns'!F139),"Unknown")</f>
        <v>3.72e-05</v>
      </c>
      <c r="V36" s="2">
        <v>0</v>
      </c>
      <c r="W36" s="2">
        <v>0</v>
      </c>
      <c r="X36" s="2">
        <v>0</v>
      </c>
      <c r="Y36" s="2">
        <f>IF(COUNT('Turns'!E143)=1,SUM('Turns'!E143),"Unknown")</f>
        <v>6.542775e-05</v>
      </c>
      <c r="Z36" s="2">
        <f>IF(COUNT('Turns'!F143)=1,SUM('Turns'!F143),"Unknown")</f>
        <v>7.5e-05</v>
      </c>
      <c r="AA36" s="5">
        <f>IF(ISNUMBER(Y36),ROUND(Y36*'Reference data'!$B$2,0),"Unknown")</f>
        <v>7.0</v>
      </c>
      <c r="AB36" s="5">
        <f>IF(ISNUMBER(Z36),ROUND(Z36*'Reference data'!$B$2,0),"Unknown")</f>
        <v>8.0</v>
      </c>
      <c r="AD36" s="1">
        <v>1329.595</v>
      </c>
      <c r="AE36" s="1" t="s">
        <v>184</v>
      </c>
    </row>
    <row r="37" spans="1:31" ht="54" customHeight="1">
      <c r="A37" s="6" t="s">
        <v>203</v>
      </c>
      <c r="B37" s="1">
        <v>5</v>
      </c>
      <c r="C37" s="1" t="s">
        <v>189</v>
      </c>
      <c r="D37" s="1" t="s">
        <v>95</v>
      </c>
      <c r="E37" s="1" t="s">
        <v>110</v>
      </c>
      <c r="F37" s="1">
        <v>189</v>
      </c>
      <c r="G37" s="6" t="s">
        <v>190</v>
      </c>
      <c r="H37" t="s">
        <v>167</v>
      </c>
      <c r="I37" t="s">
        <v>229</v>
      </c>
      <c r="J37" s="2">
        <f>IF(COUNT('Turns'!D133)=1,SUM('Turns'!D133),"Unknown")</f>
        <v>189.0</v>
      </c>
      <c r="K37" s="2">
        <f>IF(COUNT('Turns'!E133)=1,SUM('Turns'!E133),"Unknown")</f>
        <v>3.2975586e-05</v>
      </c>
      <c r="L37" s="2">
        <f>IF(COUNT('Turns'!F133)=1,SUM('Turns'!F133),"Unknown")</f>
        <v>3.78e-05</v>
      </c>
      <c r="M37" s="2">
        <v>0</v>
      </c>
      <c r="N37" s="2">
        <v>0</v>
      </c>
      <c r="O37" s="2">
        <v>0</v>
      </c>
      <c r="P37" s="2">
        <v>0</v>
      </c>
      <c r="Q37" s="2">
        <v>0</v>
      </c>
      <c r="R37" s="2">
        <v>0</v>
      </c>
      <c r="S37" s="2">
        <f>IF(COUNT('Turns'!D139)=1,SUM('Turns'!D139),"Unknown")</f>
        <v>31.0</v>
      </c>
      <c r="T37" s="2">
        <f>IF(COUNT('Turns'!E139)=1,SUM('Turns'!E139),"Unknown")</f>
        <v>3.2452164e-05</v>
      </c>
      <c r="U37" s="2">
        <f>IF(COUNT('Turns'!F139)=1,SUM('Turns'!F139),"Unknown")</f>
        <v>3.72e-05</v>
      </c>
      <c r="V37" s="2">
        <v>0</v>
      </c>
      <c r="W37" s="2">
        <v>0</v>
      </c>
      <c r="X37" s="2">
        <v>0</v>
      </c>
      <c r="Y37" s="2">
        <f>IF(COUNT('Turns'!E143)=1,SUM('Turns'!E143),"Unknown")</f>
        <v>6.542775e-05</v>
      </c>
      <c r="Z37" s="2">
        <f>IF(COUNT('Turns'!F143)=1,SUM('Turns'!F143),"Unknown")</f>
        <v>7.5e-05</v>
      </c>
      <c r="AA37" s="5">
        <f>IF(ISNUMBER(Y37),ROUND(Y37*'Reference data'!$B$2,0),"Unknown")</f>
        <v>7.0</v>
      </c>
      <c r="AB37" s="5">
        <f>IF(ISNUMBER(Z37),ROUND(Z37*'Reference data'!$B$2,0),"Unknown")</f>
        <v>8.0</v>
      </c>
      <c r="AC37" s="1" t="s">
        <v>166</v>
      </c>
      <c r="AD37" s="1">
        <v>1326.951</v>
      </c>
      <c r="AE37" s="1" t="s">
        <v>191</v>
      </c>
    </row>
    <row r="38" spans="1:31" ht="54" customHeight="1">
      <c r="A38" s="6" t="s">
        <v>204</v>
      </c>
      <c r="B38" s="1">
        <v>4</v>
      </c>
      <c r="C38" s="1" t="s">
        <v>182</v>
      </c>
      <c r="D38" s="1" t="s">
        <v>47</v>
      </c>
      <c r="E38" s="1" t="s">
        <v>110</v>
      </c>
      <c r="G38" s="6" t="s">
        <v>193</v>
      </c>
      <c r="H38" t="s">
        <v>230</v>
      </c>
      <c r="I38" t="s">
        <v>228</v>
      </c>
      <c r="AD38" s="1">
        <v>1.558</v>
      </c>
      <c r="AE38" s="1" t="s">
        <v>206</v>
      </c>
    </row>
    <row r="39" spans="1:31" ht="54" customHeight="1">
      <c r="A39" s="6" t="s">
        <v>231</v>
      </c>
      <c r="B39" s="1">
        <v>5</v>
      </c>
      <c r="C39" s="1" t="s">
        <v>196</v>
      </c>
      <c r="D39" s="1" t="s">
        <v>47</v>
      </c>
      <c r="E39" s="1" t="s">
        <v>110</v>
      </c>
      <c r="G39" s="6" t="s">
        <v>232</v>
      </c>
      <c r="H39" t="s">
        <v>171</v>
      </c>
      <c r="I39" t="s">
        <v>230</v>
      </c>
      <c r="AD39" s="1">
        <v>0.506</v>
      </c>
      <c r="AE39" s="1" t="s">
        <v>206</v>
      </c>
    </row>
    <row r="40" spans="1:31" ht="54" customHeight="1">
      <c r="A40" s="6" t="s">
        <v>201</v>
      </c>
      <c r="B40" s="1">
        <v>4</v>
      </c>
      <c r="C40" s="1" t="s">
        <v>182</v>
      </c>
      <c r="D40" s="1" t="s">
        <v>47</v>
      </c>
      <c r="E40" s="1" t="s">
        <v>110</v>
      </c>
      <c r="G40" s="6" t="s">
        <v>186</v>
      </c>
      <c r="H40" t="s">
        <v>233</v>
      </c>
      <c r="I40" t="s">
        <v>228</v>
      </c>
      <c r="J40" s="2">
        <f>IF(COUNT('Turns'!D149)=1,SUM('Turns'!D149),"Unknown")</f>
        <v>285.0</v>
      </c>
      <c r="K40" s="2">
        <f>IF(COUNT('Turns'!E149)=1,SUM('Turns'!E149),"Unknown")</f>
        <v>4.972509e-05</v>
      </c>
      <c r="L40" s="2">
        <f>IF(COUNT('Turns'!F149)=1,SUM('Turns'!F149),"Unknown")</f>
        <v>5.7e-05</v>
      </c>
      <c r="M40" s="2">
        <f>IF(COUNT('Turns'!D148)=1,SUM('Turns'!D148),"Unknown")</f>
        <v>0.0</v>
      </c>
      <c r="N40" s="2">
        <f>IF(COUNT('Turns'!E148)=1,SUM('Turns'!E148),"Unknown")</f>
        <v>0.0</v>
      </c>
      <c r="O40" s="2">
        <f>IF(COUNT('Turns'!F148)=1,SUM('Turns'!F148),"Unknown")</f>
        <v>0.0</v>
      </c>
      <c r="P40" s="2">
        <v>0</v>
      </c>
      <c r="Q40" s="2">
        <v>0</v>
      </c>
      <c r="R40" s="2">
        <v>0</v>
      </c>
      <c r="S40" s="2">
        <f>IF(COUNT('Turns'!D154)=1,SUM('Turns'!D154),"Unknown")</f>
        <v>46.0</v>
      </c>
      <c r="T40" s="2">
        <f>IF(COUNT('Turns'!E154)=1,SUM('Turns'!E154),"Unknown")</f>
        <v>4.8154824e-05</v>
      </c>
      <c r="U40" s="2">
        <f>IF(COUNT('Turns'!F154)=1,SUM('Turns'!F154),"Unknown")</f>
        <v>5.52e-05</v>
      </c>
      <c r="V40" s="2">
        <v>0</v>
      </c>
      <c r="W40" s="2">
        <v>0</v>
      </c>
      <c r="X40" s="2">
        <v>0</v>
      </c>
      <c r="Y40" s="2">
        <f>IF(COUNT('Turns'!E158)=1,SUM('Turns'!E158),"Unknown")</f>
        <v>9.7879914e-05</v>
      </c>
      <c r="Z40" s="2">
        <f>IF(COUNT('Turns'!F158)=1,SUM('Turns'!F158),"Unknown")</f>
        <v>0.0001122</v>
      </c>
      <c r="AA40" s="5">
        <f>IF(ISNUMBER(Y40),ROUND(Y40*'Reference data'!$B$2,0),"Unknown")</f>
        <v>10.0</v>
      </c>
      <c r="AB40" s="5">
        <f>IF(ISNUMBER(Z40),ROUND(Z40*'Reference data'!$B$2,0),"Unknown")</f>
        <v>11.0</v>
      </c>
      <c r="AD40" s="1">
        <v>1502.267</v>
      </c>
      <c r="AE40" s="1" t="s">
        <v>184</v>
      </c>
    </row>
    <row r="41" spans="1:31" ht="54" customHeight="1">
      <c r="A41" s="6" t="s">
        <v>203</v>
      </c>
      <c r="B41" s="1">
        <v>5</v>
      </c>
      <c r="C41" s="1" t="s">
        <v>189</v>
      </c>
      <c r="D41" s="1" t="s">
        <v>95</v>
      </c>
      <c r="E41" s="1" t="s">
        <v>110</v>
      </c>
      <c r="F41" s="1">
        <v>285</v>
      </c>
      <c r="G41" s="6" t="s">
        <v>190</v>
      </c>
      <c r="H41" t="s">
        <v>175</v>
      </c>
      <c r="I41" t="s">
        <v>233</v>
      </c>
      <c r="J41" s="2">
        <f>IF(COUNT('Turns'!D149)=1,SUM('Turns'!D149),"Unknown")</f>
        <v>285.0</v>
      </c>
      <c r="K41" s="2">
        <f>IF(COUNT('Turns'!E149)=1,SUM('Turns'!E149),"Unknown")</f>
        <v>4.972509e-05</v>
      </c>
      <c r="L41" s="2">
        <f>IF(COUNT('Turns'!F149)=1,SUM('Turns'!F149),"Unknown")</f>
        <v>5.7e-05</v>
      </c>
      <c r="M41" s="2">
        <f>IF(COUNT('Turns'!D148)=1,SUM('Turns'!D148),"Unknown")</f>
        <v>0.0</v>
      </c>
      <c r="N41" s="2">
        <f>IF(COUNT('Turns'!E148)=1,SUM('Turns'!E148),"Unknown")</f>
        <v>0.0</v>
      </c>
      <c r="O41" s="2">
        <f>IF(COUNT('Turns'!F148)=1,SUM('Turns'!F148),"Unknown")</f>
        <v>0.0</v>
      </c>
      <c r="P41" s="2">
        <v>0</v>
      </c>
      <c r="Q41" s="2">
        <v>0</v>
      </c>
      <c r="R41" s="2">
        <v>0</v>
      </c>
      <c r="S41" s="2">
        <f>IF(COUNT('Turns'!D154)=1,SUM('Turns'!D154),"Unknown")</f>
        <v>46.0</v>
      </c>
      <c r="T41" s="2">
        <f>IF(COUNT('Turns'!E154)=1,SUM('Turns'!E154),"Unknown")</f>
        <v>4.8154824e-05</v>
      </c>
      <c r="U41" s="2">
        <f>IF(COUNT('Turns'!F154)=1,SUM('Turns'!F154),"Unknown")</f>
        <v>5.52e-05</v>
      </c>
      <c r="V41" s="2">
        <v>0</v>
      </c>
      <c r="W41" s="2">
        <v>0</v>
      </c>
      <c r="X41" s="2">
        <v>0</v>
      </c>
      <c r="Y41" s="2">
        <f>IF(COUNT('Turns'!E158)=1,SUM('Turns'!E158),"Unknown")</f>
        <v>9.7879914e-05</v>
      </c>
      <c r="Z41" s="2">
        <f>IF(COUNT('Turns'!F158)=1,SUM('Turns'!F158),"Unknown")</f>
        <v>0.0001122</v>
      </c>
      <c r="AA41" s="5">
        <f>IF(ISNUMBER(Y41),ROUND(Y41*'Reference data'!$B$2,0),"Unknown")</f>
        <v>10.0</v>
      </c>
      <c r="AB41" s="5">
        <f>IF(ISNUMBER(Z41),ROUND(Z41*'Reference data'!$B$2,0),"Unknown")</f>
        <v>11.0</v>
      </c>
      <c r="AC41" s="1" t="s">
        <v>174</v>
      </c>
      <c r="AD41" s="1">
        <v>1501.046</v>
      </c>
      <c r="AE41" s="1" t="s">
        <v>191</v>
      </c>
    </row>
    <row r="42" spans="1:31" ht="54" customHeight="1">
      <c r="A42" s="6" t="s">
        <v>185</v>
      </c>
      <c r="B42" s="1">
        <v>1</v>
      </c>
      <c r="C42" s="1" t="s">
        <v>182</v>
      </c>
      <c r="D42" s="1" t="s">
        <v>47</v>
      </c>
      <c r="E42" s="1" t="s">
        <v>110</v>
      </c>
      <c r="G42" s="6" t="s">
        <v>186</v>
      </c>
      <c r="H42" t="s">
        <v>234</v>
      </c>
      <c r="I42" t="s">
        <v>223</v>
      </c>
      <c r="J42" s="2">
        <f>IF(COUNT('Turns'!D161)=1,SUM('Turns'!D161),"Unknown")</f>
        <v>699.0</v>
      </c>
      <c r="K42" s="2">
        <f>IF(COUNT('Turns'!E161)=1,SUM('Turns'!E161),"Unknown")</f>
        <v>0.000121957326</v>
      </c>
      <c r="L42" s="2">
        <f>IF(COUNT('Turns'!F161)=1,SUM('Turns'!F161),"Unknown")</f>
        <v>0.0001398</v>
      </c>
      <c r="M42" s="2">
        <f>IF(COUNT('Turns'!D160)=1,SUM('Turns'!D160),"Unknown")</f>
        <v>0.0</v>
      </c>
      <c r="N42" s="2">
        <f>IF(COUNT('Turns'!E160)=1,SUM('Turns'!E160),"Unknown")</f>
        <v>0.0</v>
      </c>
      <c r="O42" s="2">
        <f>IF(COUNT('Turns'!F160)=1,SUM('Turns'!F160),"Unknown")</f>
        <v>0.0</v>
      </c>
      <c r="P42" s="2">
        <v>0</v>
      </c>
      <c r="Q42" s="2">
        <v>0</v>
      </c>
      <c r="R42" s="2">
        <v>0</v>
      </c>
      <c r="S42" s="2">
        <f>IF(COUNT('Turns'!D166)=1,SUM('Turns'!D166),"Unknown")</f>
        <v>20.0</v>
      </c>
      <c r="T42" s="2">
        <f>IF(COUNT('Turns'!E166)=1,SUM('Turns'!E166),"Unknown")</f>
        <v>2.093688e-05</v>
      </c>
      <c r="U42" s="2">
        <f>IF(COUNT('Turns'!F166)=1,SUM('Turns'!F166),"Unknown")</f>
        <v>2.4e-05</v>
      </c>
      <c r="V42" s="2">
        <v>0</v>
      </c>
      <c r="W42" s="2">
        <v>0</v>
      </c>
      <c r="X42" s="2">
        <v>0</v>
      </c>
      <c r="Y42" s="2">
        <f>IF(COUNT('Turns'!E170)=1,SUM('Turns'!E170),"Unknown")</f>
        <v>0.000142894206</v>
      </c>
      <c r="Z42" s="2">
        <f>IF(COUNT('Turns'!F170)=1,SUM('Turns'!F170),"Unknown")</f>
        <v>0.0001638</v>
      </c>
      <c r="AA42" s="5">
        <f>IF(ISNUMBER(Y42),ROUND(Y42*'Reference data'!$B$2,0),"Unknown")</f>
        <v>14.0</v>
      </c>
      <c r="AB42" s="5">
        <f>IF(ISNUMBER(Z42),ROUND(Z42*'Reference data'!$B$2,0),"Unknown")</f>
        <v>16.0</v>
      </c>
      <c r="AD42" s="1">
        <v>1880.139</v>
      </c>
      <c r="AE42" s="1" t="s">
        <v>184</v>
      </c>
    </row>
    <row r="43" spans="1:31" ht="54" customHeight="1">
      <c r="A43" s="6" t="s">
        <v>188</v>
      </c>
      <c r="B43" s="1">
        <v>2</v>
      </c>
      <c r="C43" s="1" t="s">
        <v>189</v>
      </c>
      <c r="D43" s="1" t="s">
        <v>95</v>
      </c>
      <c r="E43" s="1" t="s">
        <v>110</v>
      </c>
      <c r="F43" s="1">
        <v>699</v>
      </c>
      <c r="G43" s="6" t="s">
        <v>190</v>
      </c>
      <c r="H43" t="s">
        <v>178</v>
      </c>
      <c r="I43" t="s">
        <v>234</v>
      </c>
      <c r="J43" s="2">
        <f>IF(COUNT('Turns'!D161)=1,SUM('Turns'!D161),"Unknown")</f>
        <v>699.0</v>
      </c>
      <c r="K43" s="2">
        <f>IF(COUNT('Turns'!E161)=1,SUM('Turns'!E161),"Unknown")</f>
        <v>0.000121957326</v>
      </c>
      <c r="L43" s="2">
        <f>IF(COUNT('Turns'!F161)=1,SUM('Turns'!F161),"Unknown")</f>
        <v>0.0001398</v>
      </c>
      <c r="M43" s="2">
        <f>IF(COUNT('Turns'!D160)=1,SUM('Turns'!D160),"Unknown")</f>
        <v>0.0</v>
      </c>
      <c r="N43" s="2">
        <f>IF(COUNT('Turns'!E160)=1,SUM('Turns'!E160),"Unknown")</f>
        <v>0.0</v>
      </c>
      <c r="O43" s="2">
        <f>IF(COUNT('Turns'!F160)=1,SUM('Turns'!F160),"Unknown")</f>
        <v>0.0</v>
      </c>
      <c r="P43" s="2">
        <v>0</v>
      </c>
      <c r="Q43" s="2">
        <v>0</v>
      </c>
      <c r="R43" s="2">
        <v>0</v>
      </c>
      <c r="S43" s="2">
        <f>IF(COUNT('Turns'!D166)=1,SUM('Turns'!D166),"Unknown")</f>
        <v>20.0</v>
      </c>
      <c r="T43" s="2">
        <f>IF(COUNT('Turns'!E166)=1,SUM('Turns'!E166),"Unknown")</f>
        <v>2.093688e-05</v>
      </c>
      <c r="U43" s="2">
        <f>IF(COUNT('Turns'!F166)=1,SUM('Turns'!F166),"Unknown")</f>
        <v>2.4e-05</v>
      </c>
      <c r="V43" s="2">
        <v>0</v>
      </c>
      <c r="W43" s="2">
        <v>0</v>
      </c>
      <c r="X43" s="2">
        <v>0</v>
      </c>
      <c r="Y43" s="2">
        <f>IF(COUNT('Turns'!E170)=1,SUM('Turns'!E170),"Unknown")</f>
        <v>0.000142894206</v>
      </c>
      <c r="Z43" s="2">
        <f>IF(COUNT('Turns'!F170)=1,SUM('Turns'!F170),"Unknown")</f>
        <v>0.0001638</v>
      </c>
      <c r="AA43" s="5">
        <f>IF(ISNUMBER(Y43),ROUND(Y43*'Reference data'!$B$2,0),"Unknown")</f>
        <v>14.0</v>
      </c>
      <c r="AB43" s="5">
        <f>IF(ISNUMBER(Z43),ROUND(Z43*'Reference data'!$B$2,0),"Unknown")</f>
        <v>16.0</v>
      </c>
      <c r="AC43" s="1" t="s">
        <v>177</v>
      </c>
      <c r="AD43" s="1">
        <v>1878.597</v>
      </c>
      <c r="AE43" s="1" t="s">
        <v>191</v>
      </c>
    </row>
  </sheetData>
  <conditionalFormatting sqref="A2:AE43">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2026-09-23T06:07:52Z</dcterms:created>
  <dcterms:modified xsi:type="dcterms:W3CDTF">2026-09-23T06:07:52Z</dcterms:modified>
</cp:coreProperties>
</file>
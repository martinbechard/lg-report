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9a520606b0b4093" /></Relationships>
</file>

<file path=xl/workbook.xml><?xml version="1.0" encoding="utf-8"?>
<x:workbook xmlns:x="http://schemas.openxmlformats.org/spreadsheetml/2006/main">
  <x:sheets>
    <x:sheet xmlns:r="http://schemas.openxmlformats.org/officeDocument/2006/relationships" name="Turns" sheetId="1" r:id="R04216affe860441c"/>
    <x:sheet xmlns:r="http://schemas.openxmlformats.org/officeDocument/2006/relationships" name="Execution tree" sheetId="2" r:id="Rdf6f3e95e20b4ab4"/>
    <x:sheet xmlns:r="http://schemas.openxmlformats.org/officeDocument/2006/relationships" name="Reference data" sheetId="3" r:id="Rcd51ee5377ca4a0f"/>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
    <x:numFmt numFmtId="201" formatCode="0.###############;-0.###############;0"/>
    <x:numFmt numFmtId="202" formatCode="yyyy-mm-dd"/>
    <x:numFmt numFmtId="203" formatCode="yyyy-mm-dd hh:mm:ss"/>
    <x:numFmt numFmtId="204" formatCode="0.00"/>
  </x:numFmts>
  <x:fonts count="5">
    <x:font>
      <x:sz val="11"/>
      <x:name val="Carlito"/>
    </x:font>
    <x:font>
      <x:sz val="10"/>
      <x:color rgb="FF193E42"/>
      <x:name val="Arial"/>
    </x:font>
    <x:font>
      <x:b/>
      <x:sz val="10"/>
      <x:color rgb="FFFFFFFF"/>
      <x:name val="Arial"/>
    </x:font>
    <x:font>
      <x:b/>
      <x:sz val="10"/>
      <x:color rgb="FF173B70"/>
      <x:name val="Arial"/>
    </x:font>
    <x:font>
      <x:b/>
      <x:sz val="10"/>
      <x:color rgb="FF193E42"/>
      <x:name val="Arial"/>
    </x:font>
  </x:fonts>
  <x:fills count="9">
    <x:fill>
      <x:patternFill patternType="none"/>
    </x:fill>
    <x:fill>
      <x:patternFill patternType="gray125"/>
    </x:fill>
    <x:fill>
      <x:patternFill patternType="solid">
        <x:fgColor rgb="FF173B70"/>
      </x:patternFill>
    </x:fill>
    <x:fill>
      <x:patternFill patternType="solid">
        <x:fgColor rgb="FFFFF1B8"/>
      </x:patternFill>
    </x:fill>
    <x:fill>
      <x:patternFill patternType="solid">
        <x:fgColor rgb="FFDBE5F1"/>
      </x:patternFill>
    </x:fill>
    <x:fill>
      <x:patternFill patternType="solid">
        <x:fgColor rgb="FFF0F5FC"/>
      </x:patternFill>
    </x:fill>
    <x:fill>
      <x:patternFill patternType="solid">
        <x:fgColor rgb="FFF4F4F4"/>
      </x:patternFill>
    </x:fill>
    <x:fill>
      <x:patternFill patternType="solid">
        <x:fgColor rgb="FFE8EEF7"/>
      </x:patternFill>
    </x:fill>
    <x:fill>
      <x:patternFill patternType="solid">
        <x:fgColor rgb="FFFFFFFF"/>
      </x:patternFill>
    </x:fill>
  </x:fills>
  <x:borders count="1">
    <x:border/>
  </x:borders>
  <x:cellStyleXfs count="1">
    <x:xf numFmtId="0" fontId="0" fillId="0" borderId="0"/>
  </x:cellStyleXfs>
  <x:cellXfs count="4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2" fillId="2" borderId="0" xfId="0" applyNumberFormat="1" applyFont="1" applyFill="1" applyBorder="1" applyAlignment="1">
      <x:alignment vertical="top"/>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x:xf>
    <x:xf numFmtId="0" fontId="3" fillId="3" borderId="0" xfId="0" applyNumberFormat="1" applyFont="1" applyFill="1" applyBorder="1" applyAlignment="1">
      <x:alignment vertical="top"/>
    </x:xf>
    <x:xf numFmtId="200" fontId="3" fillId="3" borderId="0" xfId="0" applyNumberFormat="1" applyFont="1" applyFill="1" applyBorder="1" applyAlignment="1">
      <x:alignment vertical="top"/>
    </x:xf>
    <x:xf numFmtId="201"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3"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4" borderId="0" xfId="0" applyNumberFormat="1" applyFont="1" applyFill="1" applyBorder="1" applyAlignment="1">
      <x:alignment vertical="top"/>
    </x:xf>
    <x:xf numFmtId="0" fontId="3" fillId="4" borderId="0" xfId="0" applyNumberFormat="1" applyFont="1" applyFill="1" applyBorder="1" applyAlignment="1">
      <x:alignment vertical="top"/>
    </x:xf>
    <x:xf numFmtId="0" fontId="1" fillId="5" borderId="0" xfId="0" applyNumberFormat="1" applyFont="1" applyFill="1" applyBorder="1" applyAlignment="1">
      <x:alignment vertical="top"/>
    </x:xf>
    <x:xf numFmtId="0" fontId="3" fillId="5" borderId="0" xfId="0" applyNumberFormat="1" applyFont="1" applyFill="1" applyBorder="1" applyAlignment="1">
      <x:alignment vertical="top"/>
    </x:xf>
    <x:xf numFmtId="0" fontId="4" fillId="0" borderId="0" xfId="0" applyNumberFormat="1" applyFont="1" applyFill="1" applyBorder="1" applyAlignment="1">
      <x:alignment vertical="top"/>
    </x:xf>
    <x:xf numFmtId="0" fontId="1" fillId="6" borderId="0" xfId="0" applyNumberFormat="1" applyFont="1" applyFill="1" applyBorder="1" applyAlignment="1">
      <x:alignment vertical="top"/>
    </x:xf>
    <x:xf numFmtId="0" fontId="4" fillId="6" borderId="0" xfId="0" applyNumberFormat="1" applyFont="1" applyFill="1" applyBorder="1" applyAlignment="1">
      <x:alignment vertical="top"/>
    </x:xf>
    <x:xf numFmtId="0" fontId="3" fillId="4"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4" fillId="6" borderId="0" xfId="0" applyNumberFormat="1" applyFont="1" applyFill="1" applyBorder="1" applyAlignment="1">
      <x:alignment vertical="top" wrapText="1"/>
    </x:xf>
    <x:xf numFmtId="201" fontId="3" fillId="4" borderId="0" xfId="0" applyNumberFormat="1" applyFont="1" applyFill="1" applyBorder="1" applyAlignment="1">
      <x:alignment vertical="top"/>
    </x:xf>
    <x:xf numFmtId="201" fontId="3" fillId="5" borderId="0" xfId="0" applyNumberFormat="1" applyFont="1" applyFill="1" applyBorder="1" applyAlignment="1">
      <x:alignment vertical="top"/>
    </x:xf>
    <x:xf numFmtId="201" fontId="4" fillId="6" borderId="0" xfId="0" applyNumberFormat="1" applyFont="1" applyFill="1" applyBorder="1" applyAlignment="1">
      <x:alignment vertical="top"/>
    </x:xf>
    <x:xf numFmtId="200" fontId="3" fillId="4" borderId="0" xfId="0" applyNumberFormat="1" applyFont="1" applyFill="1" applyBorder="1" applyAlignment="1">
      <x:alignment vertical="top"/>
    </x:xf>
    <x:xf numFmtId="200" fontId="3" fillId="5" borderId="0" xfId="0" applyNumberFormat="1" applyFont="1" applyFill="1" applyBorder="1" applyAlignment="1">
      <x:alignment vertical="top"/>
    </x:xf>
    <x:xf numFmtId="200" fontId="1" fillId="0" borderId="0" xfId="0" applyNumberFormat="1" applyFont="1" applyFill="1" applyBorder="1" applyAlignment="1">
      <x:alignment vertical="top"/>
    </x:xf>
    <x:xf numFmtId="200" fontId="4" fillId="6"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8" borderId="0" xfId="0" applyNumberFormat="1" applyFont="1" applyFill="1" applyBorder="1" applyAlignment="1">
      <x:alignment vertical="top"/>
    </x:xf>
    <x:xf numFmtId="200" fontId="1" fillId="7" borderId="0" xfId="0" applyNumberFormat="1" applyFont="1" applyFill="1" applyBorder="1" applyAlignment="1">
      <x:alignment vertical="top"/>
    </x:xf>
    <x:xf numFmtId="200" fontId="1" fillId="8" borderId="0" xfId="0" applyNumberFormat="1" applyFont="1" applyFill="1" applyBorder="1" applyAlignment="1">
      <x:alignment vertical="top"/>
    </x:xf>
    <x:xf numFmtId="200" fontId="1" fillId="5" borderId="0" xfId="0" applyNumberFormat="1" applyFont="1" applyFill="1" applyBorder="1" applyAlignment="1">
      <x:alignment vertical="top"/>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204" fontId="1" fillId="0" borderId="0" xfId="0" applyNumberFormat="1" applyFont="1" applyFill="1" applyBorder="1" applyAlignment="1">
      <x:alignment vertical="top"/>
    </x:xf>
  </x:cellXfs>
  <x:cellStyles count="1">
    <x:cellStyle name="Normal" xfId="0"/>
  </x:cellStyles>
  <x:dxfs count="4">
    <x:dxf>
      <x:font>
        <x:color rgb="FF8B1010"/>
      </x:font>
      <x:fill>
        <x:patternFill patternType="solid">
          <x:bgColor rgb="FFFFD3D3"/>
        </x:patternFill>
      </x:fill>
    </x:dxf>
    <x:dxf>
      <x:font>
        <x:color rgb="FF8B1010"/>
      </x:font>
      <x:fill>
        <x:patternFill patternType="solid">
          <x:bgColor rgb="FFFFD3D3"/>
        </x:patternFill>
      </x:fill>
    </x:dxf>
    <x:dxf>
      <x:font>
        <x:color rgb="FF8B1010"/>
      </x:font>
      <x:fill>
        <x:patternFill patternType="solid">
          <x:bgColor rgb="FFFFD3D3"/>
        </x:patternFill>
      </x:fill>
    </x:dxf>
    <x:dxf>
      <x:font>
        <x:color rgb="FF8B1010"/>
      </x:font>
      <x:fill>
        <x:patternFill patternType="solid">
          <x:bgColor rgb="FFFFD3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8a66fc2e32647cc" /><Relationship Type="http://schemas.openxmlformats.org/officeDocument/2006/relationships/theme" Target="/xl/theme/theme1.xml" Id="Rccfd47d9730a4ca3" /><Relationship Type="http://schemas.openxmlformats.org/officeDocument/2006/relationships/sharedStrings" Target="/xl/sharedStrings.xml" Id="Raffd9a681c604df8" /><Relationship Type="http://schemas.openxmlformats.org/officeDocument/2006/relationships/worksheet" Target="/xl/worksheets/sheet1.xml" Id="R04216affe860441c" /><Relationship Type="http://schemas.openxmlformats.org/officeDocument/2006/relationships/worksheet" Target="/xl/worksheets/sheet2.xml" Id="Rdf6f3e95e20b4ab4" /><Relationship Type="http://schemas.openxmlformats.org/officeDocument/2006/relationships/worksheet" Target="/xl/worksheets/sheet3.xml" Id="Rcd51ee5377ca4a0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173B70"/>
  </x:sheetPr>
  <x:sheetViews>
    <x:sheetView showGridLines="0" workbookViewId="0">
      <x:pane xSplit="1" ySplit="1" topLeftCell="B2" activePane="bottomRight" state="frozen"/>
    </x:sheetView>
  </x:sheetViews>
  <x:sheetFormatPr defaultRowHeight="15"/>
  <x:cols>
    <x:col min="1" max="1" width="10" hidden="0" customWidth="1"/>
    <x:col min="2" max="2" width="10" hidden="0" customWidth="1"/>
    <x:col min="3" max="3" width="38" hidden="0" customWidth="1"/>
    <x:col min="4" max="4" width="14" hidden="0" customWidth="1"/>
    <x:col min="5" max="5" width="22" hidden="0" customWidth="1"/>
    <x:col min="6" max="6" width="22" hidden="0" customWidth="1"/>
    <x:col min="7" max="7" width="18" hidden="0" customWidth="1"/>
    <x:col min="8" max="8" width="18" hidden="0" customWidth="1"/>
    <x:col min="9" max="9" width="100" hidden="0" customWidth="1"/>
    <x:col min="10" max="10" width="26" hidden="0" customWidth="1"/>
    <x:col min="11" max="11" width="18" hidden="0" customWidth="1"/>
    <x:col min="12" max="12" width="18" hidden="0" customWidth="1"/>
    <x:col min="13" max="13" width="38" hidden="0" customWidth="1"/>
  </x:cols>
  <x:sheetData>
    <x:row r="1" ht="44" customHeight="1">
      <x:c r="A1" s="7" t="str">
        <x:v>Request</x:v>
      </x:c>
      <x:c r="B1" s="7" t="str">
        <x:v>Turn</x:v>
      </x:c>
      <x:c r="C1" s="7" t="str">
        <x:v>Sequence</x:v>
      </x:c>
      <x:c r="D1" s="7" t="str">
        <x:v>Tokens</x:v>
      </x:c>
      <x:c r="E1" s="7" t="str">
        <x:v>EUR / execution</x:v>
      </x:c>
      <x:c r="F1" s="7" t="str">
        <x:v>USD / execution</x:v>
      </x:c>
      <x:c r="G1" s="7" t="str">
        <x:v>Projected EUR</x:v>
      </x:c>
      <x:c r="H1" s="7" t="str">
        <x:v>Projected USD</x:v>
      </x:c>
      <x:c r="I1" s="7" t="str">
        <x:v>Content</x:v>
      </x:c>
      <x:c r="J1" s="7" t="str">
        <x:v>Model · effort</x:v>
      </x:c>
      <x:c r="K1" s="7" t="str">
        <x:v>Status</x:v>
      </x:c>
      <x:c r="L1" s="7" t="str">
        <x:v>Context total tokens</x:v>
      </x:c>
      <x:c r="M1" s="7" t="str">
        <x:v>Span ID</x:v>
      </x:c>
    </x:row>
    <x:row r="2" ht="24" customHeight="1">
      <x:c r="A2" s="19"/>
      <x:c r="B2" s="19"/>
      <x:c r="C2" s="19" t="str">
        <x:v>Run total</x:v>
      </x:c>
      <x:c r="D2" s="31"/>
      <x:c r="E2" s="28" t="n">
        <x:f>IF(COUNT(E16,E32,E47,E59,E72,E88,E103,E115,E128,E144,E159,E171)=12,SUM(E16,E32,E47,E59,E72,E88,E103,E115,E128,E144,E159,E171),"Unknown")</x:f>
        <x:v>0.0012993013999999998</x:v>
      </x:c>
      <x:c r="F2" s="28" t="n">
        <x:f>IF(COUNT(F16,F32,F47,F59,F72,F88,F103,F115,F128,F144,F159,F171)=12,SUM(F16,F32,F47,F59,F72,F88,F103,F115,F128,F144,F159,F171),"Unknown")</x:f>
        <x:v>0.0014889999999999999</x:v>
      </x:c>
      <x:c r="G2" s="31" t="n">
        <x:f>IF(ISNUMBER(E2),ROUND(E2*'Reference data'!$B$2,0),"Unknown")</x:f>
        <x:v>130</x:v>
      </x:c>
      <x:c r="H2" s="31" t="n">
        <x:f>IF(ISNUMBER(F2),ROUND(F2*'Reference data'!$B$2,0),"Unknown")</x:f>
        <x:v>149</x:v>
      </x:c>
      <x:c r="I2" s="25"/>
      <x:c r="J2" s="19"/>
      <x:c r="K2" s="19"/>
      <x:c r="L2" s="31"/>
      <x:c r="M2" s="19"/>
    </x:row>
    <x:row r="3" ht="24" customHeight="1">
      <x:c r="A3" s="19"/>
      <x:c r="B3" s="19" t="n">
        <x:v>1</x:v>
      </x:c>
      <x:c r="C3" s="19" t="str">
        <x:v>Turn 1</x:v>
      </x:c>
      <x:c r="D3" s="31"/>
      <x:c r="E3" s="28" t="n">
        <x:f>IF(COUNT(E16,E32,E47,E59)=4,SUM(E16,E32,E47,E59),"Unknown")</x:f>
        <x:v>0.00036282708</x:v>
      </x:c>
      <x:c r="F3" s="28" t="n">
        <x:f>IF(COUNT(F16,F32,F47,F59)=4,SUM(F16,F32,F47,F59),"Unknown")</x:f>
        <x:v>0.0004158</x:v>
      </x:c>
      <x:c r="G3" s="31" t="n">
        <x:f>IF(ISNUMBER(E3),ROUND(E3*'Reference data'!$B$2,0),"Unknown")</x:f>
        <x:v>36</x:v>
      </x:c>
      <x:c r="H3" s="31" t="n">
        <x:f>IF(ISNUMBER(F3),ROUND(F3*'Reference data'!$B$2,0),"Unknown")</x:f>
        <x:v>42</x:v>
      </x:c>
      <x:c r="I3" s="25"/>
      <x:c r="J3" s="19"/>
      <x:c r="K3" s="19"/>
      <x:c r="L3" s="31"/>
      <x:c r="M3" s="19"/>
    </x:row>
    <x:row r="4" ht="24" customHeight="1">
      <x:c r="A4" s="21" t="str">
        <x:v>R1</x:v>
      </x:c>
      <x:c r="B4" s="21" t="n">
        <x:v>1</x:v>
      </x:c>
      <x:c r="C4" s="21" t="str">
        <x:v>LLM request</x:v>
      </x:c>
      <x:c r="D4" s="32" t="n">
        <x:v>262</x:v>
      </x:c>
      <x:c r="E4" s="29"/>
      <x:c r="F4" s="29"/>
      <x:c r="G4" s="32"/>
      <x:c r="H4" s="32"/>
      <x:c r="I4" s="26"/>
      <x:c r="J4" s="21" t="str">
        <x:v>gpt-5.6-luna</x:v>
      </x:c>
      <x:c r="K4" s="21"/>
      <x:c r="L4" s="32"/>
      <x:c r="M4" s="21" t="str">
        <x:v>01a0c410-033b-79e1-8586-c9abbf5ef49c</x:v>
      </x:c>
    </x:row>
    <x:row r="5" ht="24" customHeight="1">
      <x:c r="A5" s="2" t="str">
        <x:v>R1</x:v>
      </x:c>
      <x:c r="B5" s="2" t="n">
        <x:v>1</x:v>
      </x:c>
      <x:c r="C5" s="22" t="str">
        <x:v>Fresh input</x:v>
      </x:c>
      <x:c r="D5" s="33" t="n">
        <x:v>262</x:v>
      </x:c>
      <x:c r="E5" s="11" t="n">
        <x:f>IF(AND(ISNUMBER(F5),ISNUMBER('Reference data'!$B$3)),F5*'Reference data'!$B$3,"Unknown")</x:f>
        <x:v>0.00004572424000000001</x:v>
      </x:c>
      <x:c r="F5" s="11" t="n">
        <x:f>IF(D5=0,0,IF(ISNUMBER('Reference data'!B17),D5*'Reference data'!B17/1000000,"Unknown"))</x:f>
        <x:v>0.000052400000000000007</x:v>
      </x:c>
      <x:c r="G5" s="33" t="n">
        <x:f>IF(ISNUMBER(E5),ROUND(E5*'Reference data'!$B$2,0),"Unknown")</x:f>
        <x:v>5</x:v>
      </x:c>
      <x:c r="H5" s="33" t="n">
        <x:f>IF(ISNUMBER(F5),ROUND(F5*'Reference data'!$B$2,0),"Unknown")</x:f>
        <x:v>5</x:v>
      </x:c>
      <x:c r="I5" s="14"/>
      <x:c r="J5" s="2"/>
      <x:c r="K5" s="2"/>
      <x:c r="L5" s="33"/>
      <x:c r="M5" s="2"/>
    </x:row>
    <x:row r="6" ht="24" customHeight="1">
      <x:c r="A6" s="2" t="str">
        <x:v>R1</x:v>
      </x:c>
      <x:c r="B6" s="2" t="n">
        <x:v>1</x:v>
      </x:c>
      <x:c r="C6" s="2" t="str">
        <x:v>    Tool definitions</x:v>
      </x:c>
      <x:c r="D6" s="33"/>
      <x:c r="E6" s="11"/>
      <x:c r="F6" s="11"/>
      <x:c r="G6" s="33"/>
      <x:c r="H6" s="33"/>
      <x:c r="I6" s="14"/>
      <x:c r="J6" s="2"/>
      <x:c r="K6" s="2"/>
      <x:c r="L6" s="33"/>
      <x:c r="M6" s="2"/>
    </x:row>
    <x:row r="7" ht="86" customHeight="1">
      <x:c r="A7" s="2" t="str">
        <x:v>R1</x:v>
      </x:c>
      <x:c r="B7" s="2" t="n">
        <x:v>1</x:v>
      </x:c>
      <x:c r="C7" s="2" t="str">
        <x:v>    System prompt</x:v>
      </x:c>
      <x:c r="D7" s="33"/>
      <x:c r="E7" s="11"/>
      <x:c r="F7" s="11"/>
      <x:c r="G7" s="33"/>
      <x:c r="H7" s="33"/>
      <x:c r="I7" s="14" t="str">
        <x:v>You are a dispatcher for movies, sports, and history. For each question, select the most relevant expert from the task tool descriptions and delegate a self-contained question to exactly that expert. Include relevant context from earlier turns when needed. Use the expert's answer to respond; do not answer domain questions yourself. For ambiguous questions ask the user which domain they mean. For requests outside these domains explain the supported subjects without delegating. Never choose an expert merely to force a match.</x:v>
      </x:c>
      <x:c r="J7" s="2"/>
      <x:c r="K7" s="2"/>
      <x:c r="L7" s="33"/>
      <x:c r="M7" s="2"/>
    </x:row>
    <x:row r="8" ht="24" customHeight="1">
      <x:c r="A8" s="2" t="str">
        <x:v>R1</x:v>
      </x:c>
      <x:c r="B8" s="2" t="n">
        <x:v>1</x:v>
      </x:c>
      <x:c r="C8" s="2" t="str">
        <x:v>    User prompt</x:v>
      </x:c>
      <x:c r="D8" s="33"/>
      <x:c r="E8" s="11"/>
      <x:c r="F8" s="11"/>
      <x:c r="G8" s="33"/>
      <x:c r="H8" s="33"/>
      <x:c r="I8" s="14" t="str">
        <x:v>Who directed Spirited Away?</x:v>
      </x:c>
      <x:c r="J8" s="2"/>
      <x:c r="K8" s="2"/>
      <x:c r="L8" s="33"/>
      <x:c r="M8" s="2"/>
    </x:row>
    <x:row r="9" ht="24" customHeight="1">
      <x:c r="A9" s="2" t="str">
        <x:v>R1</x:v>
      </x:c>
      <x:c r="B9" s="2" t="n">
        <x:v>1</x:v>
      </x:c>
      <x:c r="C9" s="2" t="str">
        <x:v>Cache write</x:v>
      </x:c>
      <x:c r="D9" s="33"/>
      <x:c r="E9" s="11"/>
      <x:c r="F9" s="11"/>
      <x:c r="G9" s="33"/>
      <x:c r="H9" s="33"/>
      <x:c r="I9" s="14"/>
      <x:c r="J9" s="2"/>
      <x:c r="K9" s="2"/>
      <x:c r="L9" s="33"/>
      <x:c r="M9" s="2"/>
    </x:row>
    <x:row r="10" ht="24" customHeight="1">
      <x:c r="A10" s="2" t="str">
        <x:v>R1</x:v>
      </x:c>
      <x:c r="B10" s="2" t="n">
        <x:v>1</x:v>
      </x:c>
      <x:c r="C10" s="2" t="str">
        <x:v>Context · added / total</x:v>
      </x:c>
      <x:c r="D10" s="33"/>
      <x:c r="E10" s="11"/>
      <x:c r="F10" s="11"/>
      <x:c r="G10" s="33"/>
      <x:c r="H10" s="33"/>
      <x:c r="I10" s="14"/>
      <x:c r="J10" s="2"/>
      <x:c r="K10" s="2"/>
      <x:c r="L10" s="33"/>
      <x:c r="M10" s="2"/>
    </x:row>
    <x:row r="11" ht="24" customHeight="1">
      <x:c r="A11" s="21" t="str">
        <x:v>R1</x:v>
      </x:c>
      <x:c r="B11" s="21" t="n">
        <x:v>1</x:v>
      </x:c>
      <x:c r="C11" s="21" t="str">
        <x:v>LLM response</x:v>
      </x:c>
      <x:c r="D11" s="32" t="n">
        <x:v>57</x:v>
      </x:c>
      <x:c r="E11" s="29"/>
      <x:c r="F11" s="29"/>
      <x:c r="G11" s="32"/>
      <x:c r="H11" s="32"/>
      <x:c r="I11" s="26"/>
      <x:c r="J11" s="21"/>
      <x:c r="K11" s="21"/>
      <x:c r="L11" s="32"/>
      <x:c r="M11" s="21"/>
    </x:row>
    <x:row r="12" ht="24" customHeight="1">
      <x:c r="A12" s="2" t="str">
        <x:v>R1</x:v>
      </x:c>
      <x:c r="B12" s="2" t="n">
        <x:v>1</x:v>
      </x:c>
      <x:c r="C12" s="22" t="str">
        <x:v>Output</x:v>
      </x:c>
      <x:c r="D12" s="33" t="n">
        <x:v>57</x:v>
      </x:c>
      <x:c r="E12" s="11" t="n">
        <x:f>IF(AND(ISNUMBER(F12),ISNUMBER('Reference data'!$B$3)),F12*'Reference data'!$B$3,"Unknown")</x:f>
        <x:v>0.00005968584</x:v>
      </x:c>
      <x:c r="F12" s="11" t="n">
        <x:f>IF(D12=0,0,IF(ISNUMBER('Reference data'!E17),D12*'Reference data'!E17/1000000,"Unknown"))</x:f>
        <x:v>0.0000684</x:v>
      </x:c>
      <x:c r="G12" s="33" t="n">
        <x:f>IF(ISNUMBER(E12),ROUND(E12*'Reference data'!$B$2,0),"Unknown")</x:f>
        <x:v>6</x:v>
      </x:c>
      <x:c r="H12" s="33" t="n">
        <x:f>IF(ISNUMBER(F12),ROUND(F12*'Reference data'!$B$2,0),"Unknown")</x:f>
        <x:v>7</x:v>
      </x:c>
      <x:c r="I12" s="14"/>
      <x:c r="J12" s="2"/>
      <x:c r="K12" s="2"/>
      <x:c r="L12" s="33"/>
      <x:c r="M12" s="2"/>
    </x:row>
    <x:row r="13" ht="125" customHeight="1">
      <x:c r="A13" s="2" t="str">
        <x:v>R1</x:v>
      </x:c>
      <x:c r="B13" s="2" t="n">
        <x:v>1</x:v>
      </x:c>
      <x:c r="C13" s="2" t="str">
        <x:v>    Output content</x:v>
      </x:c>
      <x:c r="D13" s="33"/>
      <x:c r="E13" s="11"/>
      <x:c r="F13" s="11"/>
      <x:c r="G13" s="33"/>
      <x:c r="H13" s="33"/>
      <x:c r="I13" s="14" t="str">
        <x:v>[{"type":"function_call","name":"task","arguments":"{\"description\":\"Answer the movie question: Who directed the film Spirited Away? Provide the director's name and, if useful, the film's release year. Be concise and accurate.\",\"subagent_type\":\"movie_expert\"}","call_id":"call_Cce5vZOmcsGKxXJ9QRSHKrSp","id":"fc_0e016fb6a8b02ec3006ab12b03f89887d2ab552585175a818e","index":0}]
{"name":"task","args":{"description":"Answer the movie question: Who directed the film Spirited Away? Provide the director's name and, if useful, the film's release year. Be concise and accurate.","subagent_type":"movie_expert"},"id":"call_Cce5vZOmcsGKxXJ9QRSHKrSp","type":"tool_call"}</x:v>
      </x:c>
      <x:c r="J13" s="2"/>
      <x:c r="K13" s="2"/>
      <x:c r="L13" s="33"/>
      <x:c r="M13" s="2"/>
    </x:row>
    <x:row r="14" ht="24" customHeight="1">
      <x:c r="A14" s="2" t="str">
        <x:v>R1</x:v>
      </x:c>
      <x:c r="B14" s="2" t="n">
        <x:v>1</x:v>
      </x:c>
      <x:c r="C14" s="2" t="str">
        <x:v>Cache write</x:v>
      </x:c>
      <x:c r="D14" s="33"/>
      <x:c r="E14" s="11"/>
      <x:c r="F14" s="11"/>
      <x:c r="G14" s="33"/>
      <x:c r="H14" s="33"/>
      <x:c r="I14" s="14"/>
      <x:c r="J14" s="2"/>
      <x:c r="K14" s="2"/>
      <x:c r="L14" s="33"/>
      <x:c r="M14" s="2"/>
    </x:row>
    <x:row r="15" ht="24" customHeight="1">
      <x:c r="A15" s="2" t="str">
        <x:v>R1</x:v>
      </x:c>
      <x:c r="B15" s="2" t="n">
        <x:v>1</x:v>
      </x:c>
      <x:c r="C15" s="2" t="str">
        <x:v>Context · added / total</x:v>
      </x:c>
      <x:c r="D15" s="33"/>
      <x:c r="E15" s="11"/>
      <x:c r="F15" s="11"/>
      <x:c r="G15" s="33"/>
      <x:c r="H15" s="33"/>
      <x:c r="I15" s="14"/>
      <x:c r="J15" s="2"/>
      <x:c r="K15" s="2"/>
      <x:c r="L15" s="33"/>
      <x:c r="M15" s="2"/>
    </x:row>
    <x:row r="16" ht="24" customHeight="1">
      <x:c r="A16" s="21" t="str">
        <x:v>R1</x:v>
      </x:c>
      <x:c r="B16" s="21" t="n">
        <x:v>1</x:v>
      </x:c>
      <x:c r="C16" s="21" t="str">
        <x:v>Call total</x:v>
      </x:c>
      <x:c r="D16" s="32"/>
      <x:c r="E16" s="29" t="n">
        <x:f>IF(COUNT(E5,E12)=2,SUM(E5,E12),"Unknown")</x:f>
        <x:v>0.00010541008000000001</x:v>
      </x:c>
      <x:c r="F16" s="29" t="n">
        <x:f>IF(COUNT(F5,F12)=2,SUM(F5,F12),"Unknown")</x:f>
        <x:v>0.00012080000000000001</x:v>
      </x:c>
      <x:c r="G16" s="32" t="n">
        <x:f>IF(ISNUMBER(E16),ROUND(E16*'Reference data'!$B$2,0),"Unknown")</x:f>
        <x:v>11</x:v>
      </x:c>
      <x:c r="H16" s="32" t="n">
        <x:f>IF(ISNUMBER(F16),ROUND(F16*'Reference data'!$B$2,0),"Unknown")</x:f>
        <x:v>12</x:v>
      </x:c>
      <x:c r="I16" s="26"/>
      <x:c r="J16" s="21"/>
      <x:c r="K16" s="21" t="str">
        <x:v>ok</x:v>
      </x:c>
      <x:c r="L16" s="32"/>
      <x:c r="M16" s="21"/>
    </x:row>
    <x:row r="17" ht="24" customHeight="1">
      <x:c r="A17" s="24"/>
      <x:c r="B17" s="24" t="n">
        <x:v>1</x:v>
      </x:c>
      <x:c r="C17" s="24" t="str">
        <x:v>Tool · task</x:v>
      </x:c>
      <x:c r="D17" s="34"/>
      <x:c r="E17" s="30"/>
      <x:c r="F17" s="30"/>
      <x:c r="G17" s="34"/>
      <x:c r="H17" s="34"/>
      <x:c r="I17" s="27"/>
      <x:c r="J17" s="24"/>
      <x:c r="K17" s="24" t="str">
        <x:v>ok</x:v>
      </x:c>
      <x:c r="L17" s="34"/>
      <x:c r="M17" s="24" t="str">
        <x:v>01a0c410-0b5d-71e3-aceb-9e718e8b64e9</x:v>
      </x:c>
    </x:row>
    <x:row r="18" ht="47" customHeight="1">
      <x:c r="A18" s="2"/>
      <x:c r="B18" s="2" t="n">
        <x:v>1</x:v>
      </x:c>
      <x:c r="C18" s="2" t="str">
        <x:v>    Arguments</x:v>
      </x:c>
      <x:c r="D18" s="33"/>
      <x:c r="E18" s="11"/>
      <x:c r="F18" s="11"/>
      <x:c r="G18" s="33"/>
      <x:c r="H18" s="33"/>
      <x:c r="I18" s="14" t="str">
        <x:v>{'description': "Answer the movie question: Who directed the film Spirited Away? Provide the director's name and, if useful, the film's release year. Be concise and accurate.", 'subagent_type': 'movie_expert'}</x:v>
      </x:c>
      <x:c r="J18" s="2"/>
      <x:c r="K18" s="2"/>
      <x:c r="L18" s="33"/>
      <x:c r="M18" s="2"/>
    </x:row>
    <x:row r="19" ht="47" customHeight="1">
      <x:c r="A19" s="2"/>
      <x:c r="B19" s="2" t="n">
        <x:v>1</x:v>
      </x:c>
      <x:c r="C19" s="2" t="str">
        <x:v>    Result</x:v>
      </x:c>
      <x:c r="D19" s="33"/>
      <x:c r="E19" s="11"/>
      <x:c r="F19" s="11"/>
      <x:c r="G19" s="33"/>
      <x:c r="H19" s="33"/>
      <x:c r="I19" s="14" t="str">
        <x:v>Command(update={'messages': [ToolMessage(content='*Spirited Away* was directed by **Hayao Miyazaki** and released in **2001**. [Source](https://www.ghibli.jp/works/)', tool_call_id='call_Cce5vZOmcsGKxXJ9QRSHKrSp')]})</x:v>
      </x:c>
      <x:c r="J19" s="2"/>
      <x:c r="K19" s="2"/>
      <x:c r="L19" s="33"/>
      <x:c r="M19" s="2"/>
    </x:row>
    <x:row r="20" ht="24" customHeight="1">
      <x:c r="A20" s="21" t="str">
        <x:v>R2</x:v>
      </x:c>
      <x:c r="B20" s="21" t="n">
        <x:v>1</x:v>
      </x:c>
      <x:c r="C20" s="21" t="str">
        <x:v>LLM request</x:v>
      </x:c>
      <x:c r="D20" s="32" t="n">
        <x:v>194</x:v>
      </x:c>
      <x:c r="E20" s="29"/>
      <x:c r="F20" s="29"/>
      <x:c r="G20" s="32"/>
      <x:c r="H20" s="32"/>
      <x:c r="I20" s="26"/>
      <x:c r="J20" s="21" t="str">
        <x:v>gpt-5.6-luna</x:v>
      </x:c>
      <x:c r="K20" s="21"/>
      <x:c r="L20" s="32"/>
      <x:c r="M20" s="21" t="str">
        <x:v>01a0c410-0b61-74f1-ab8c-e1b6dc51e8e7</x:v>
      </x:c>
    </x:row>
    <x:row r="21" ht="24" customHeight="1">
      <x:c r="A21" s="2" t="str">
        <x:v>R2</x:v>
      </x:c>
      <x:c r="B21" s="2" t="n">
        <x:v>1</x:v>
      </x:c>
      <x:c r="C21" s="22" t="str">
        <x:v>Fresh input</x:v>
      </x:c>
      <x:c r="D21" s="33" t="n">
        <x:v>194</x:v>
      </x:c>
      <x:c r="E21" s="11" t="n">
        <x:f>IF(AND(ISNUMBER(F21),ISNUMBER('Reference data'!$B$3)),F21*'Reference data'!$B$3,"Unknown")</x:f>
        <x:v>0.00003385688</x:v>
      </x:c>
      <x:c r="F21" s="11" t="n">
        <x:f>IF(D21=0,0,IF(ISNUMBER('Reference data'!B17),D21*'Reference data'!B17/1000000,"Unknown"))</x:f>
        <x:v>0.0000388</x:v>
      </x:c>
      <x:c r="G21" s="33" t="n">
        <x:f>IF(ISNUMBER(E21),ROUND(E21*'Reference data'!$B$2,0),"Unknown")</x:f>
        <x:v>3</x:v>
      </x:c>
      <x:c r="H21" s="33" t="n">
        <x:f>IF(ISNUMBER(F21),ROUND(F21*'Reference data'!$B$2,0),"Unknown")</x:f>
        <x:v>4</x:v>
      </x:c>
      <x:c r="I21" s="14"/>
      <x:c r="J21" s="2"/>
      <x:c r="K21" s="2"/>
      <x:c r="L21" s="33"/>
      <x:c r="M21" s="2"/>
    </x:row>
    <x:row r="22" ht="24" customHeight="1">
      <x:c r="A22" s="2" t="str">
        <x:v>R2</x:v>
      </x:c>
      <x:c r="B22" s="2" t="n">
        <x:v>1</x:v>
      </x:c>
      <x:c r="C22" s="2" t="str">
        <x:v>    Tool definitions</x:v>
      </x:c>
      <x:c r="D22" s="33"/>
      <x:c r="E22" s="11"/>
      <x:c r="F22" s="11"/>
      <x:c r="G22" s="33"/>
      <x:c r="H22" s="33"/>
      <x:c r="I22" s="14"/>
      <x:c r="J22" s="2"/>
      <x:c r="K22" s="2"/>
      <x:c r="L22" s="33"/>
      <x:c r="M22" s="2"/>
    </x:row>
    <x:row r="23" ht="73" customHeight="1">
      <x:c r="A23" s="2" t="str">
        <x:v>R2</x:v>
      </x:c>
      <x:c r="B23" s="2" t="n">
        <x:v>1</x:v>
      </x:c>
      <x:c r="C23" s="2" t="str">
        <x:v>    System prompt</x:v>
      </x:c>
      <x:c r="D23" s="33"/>
      <x:c r="E23" s="11"/>
      <x:c r="F23" s="11"/>
      <x:c r="G23" s="33"/>
      <x:c r="H23" s="33"/>
      <x:c r="I23" s="14" t="str">
        <x:v>You are the movies expert. Use search_movie_reference to retrieve evidence before answering the delegated question. Base factual claims on the returned passages and cite their source URLs. If no relevant evidence is found, explain the collection's limits instead of inventing an answer or claiming web research. Answer concisely. The collection is a small local teaching reference, not a complete or continually updated source.</x:v>
      </x:c>
      <x:c r="J23" s="2"/>
      <x:c r="K23" s="2"/>
      <x:c r="L23" s="33"/>
      <x:c r="M23" s="2"/>
    </x:row>
    <x:row r="24" ht="24" customHeight="1">
      <x:c r="A24" s="2" t="str">
        <x:v>R2</x:v>
      </x:c>
      <x:c r="B24" s="2" t="n">
        <x:v>1</x:v>
      </x:c>
      <x:c r="C24" s="2" t="str">
        <x:v>Cache write</x:v>
      </x:c>
      <x:c r="D24" s="33"/>
      <x:c r="E24" s="11"/>
      <x:c r="F24" s="11"/>
      <x:c r="G24" s="33"/>
      <x:c r="H24" s="33"/>
      <x:c r="I24" s="14"/>
      <x:c r="J24" s="2"/>
      <x:c r="K24" s="2"/>
      <x:c r="L24" s="33"/>
      <x:c r="M24" s="2"/>
    </x:row>
    <x:row r="25" ht="24" customHeight="1">
      <x:c r="A25" s="2" t="str">
        <x:v>R2</x:v>
      </x:c>
      <x:c r="B25" s="2" t="n">
        <x:v>1</x:v>
      </x:c>
      <x:c r="C25" s="2" t="str">
        <x:v>Context · added / total</x:v>
      </x:c>
      <x:c r="D25" s="33"/>
      <x:c r="E25" s="11"/>
      <x:c r="F25" s="11"/>
      <x:c r="G25" s="33"/>
      <x:c r="H25" s="33"/>
      <x:c r="I25" s="14"/>
      <x:c r="J25" s="2"/>
      <x:c r="K25" s="2"/>
      <x:c r="L25" s="33"/>
      <x:c r="M25" s="2"/>
    </x:row>
    <x:row r="26" ht="24" customHeight="1">
      <x:c r="A26" s="21" t="str">
        <x:v>R2</x:v>
      </x:c>
      <x:c r="B26" s="21" t="n">
        <x:v>1</x:v>
      </x:c>
      <x:c r="C26" s="21" t="str">
        <x:v>LLM response</x:v>
      </x:c>
      <x:c r="D26" s="32" t="n">
        <x:v>43</x:v>
      </x:c>
      <x:c r="E26" s="29"/>
      <x:c r="F26" s="29"/>
      <x:c r="G26" s="32"/>
      <x:c r="H26" s="32"/>
      <x:c r="I26" s="26"/>
      <x:c r="J26" s="21"/>
      <x:c r="K26" s="21"/>
      <x:c r="L26" s="32"/>
      <x:c r="M26" s="21"/>
    </x:row>
    <x:row r="27" ht="24" customHeight="1">
      <x:c r="A27" s="2" t="str">
        <x:v>R2</x:v>
      </x:c>
      <x:c r="B27" s="2" t="n">
        <x:v>1</x:v>
      </x:c>
      <x:c r="C27" s="22" t="str">
        <x:v>Reasoning</x:v>
      </x:c>
      <x:c r="D27" s="33" t="n">
        <x:v>9</x:v>
      </x:c>
      <x:c r="E27" s="11" t="n">
        <x:f>IF(AND(ISNUMBER(F27),ISNUMBER('Reference data'!$B$3)),F27*'Reference data'!$B$3,"Unknown")</x:f>
        <x:v>0.000009424079999999999</x:v>
      </x:c>
      <x:c r="F27" s="11" t="n">
        <x:f>IF(D27=0,0,IF(ISNUMBER('Reference data'!F17),D27*'Reference data'!F17/1000000,"Unknown"))</x:f>
        <x:v>0.000010799999999999998</x:v>
      </x:c>
      <x:c r="G27" s="33" t="n">
        <x:f>IF(ISNUMBER(E27),ROUND(E27*'Reference data'!$B$2,0),"Unknown")</x:f>
        <x:v>1</x:v>
      </x:c>
      <x:c r="H27" s="33" t="n">
        <x:f>IF(ISNUMBER(F27),ROUND(F27*'Reference data'!$B$2,0),"Unknown")</x:f>
        <x:v>1</x:v>
      </x:c>
      <x:c r="I27" s="14"/>
      <x:c r="J27" s="2"/>
      <x:c r="K27" s="2"/>
      <x:c r="L27" s="33"/>
      <x:c r="M27" s="2"/>
    </x:row>
    <x:row r="28" ht="24" customHeight="1">
      <x:c r="A28" s="2" t="str">
        <x:v>R2</x:v>
      </x:c>
      <x:c r="B28" s="2" t="n">
        <x:v>1</x:v>
      </x:c>
      <x:c r="C28" s="22" t="str">
        <x:v>Output</x:v>
      </x:c>
      <x:c r="D28" s="33" t="n">
        <x:v>34</x:v>
      </x:c>
      <x:c r="E28" s="11" t="n">
        <x:f>IF(AND(ISNUMBER(F28),ISNUMBER('Reference data'!$B$3)),F28*'Reference data'!$B$3,"Unknown")</x:f>
        <x:v>0.00003560208</x:v>
      </x:c>
      <x:c r="F28" s="11" t="n">
        <x:f>IF(D28=0,0,IF(ISNUMBER('Reference data'!E17),D28*'Reference data'!E17/1000000,"Unknown"))</x:f>
        <x:v>0.000040799999999999996</x:v>
      </x:c>
      <x:c r="G28" s="33" t="n">
        <x:f>IF(ISNUMBER(E28),ROUND(E28*'Reference data'!$B$2,0),"Unknown")</x:f>
        <x:v>4</x:v>
      </x:c>
      <x:c r="H28" s="33" t="n">
        <x:f>IF(ISNUMBER(F28),ROUND(F28*'Reference data'!$B$2,0),"Unknown")</x:f>
        <x:v>4</x:v>
      </x:c>
      <x:c r="I28" s="14"/>
      <x:c r="J28" s="2"/>
      <x:c r="K28" s="2"/>
      <x:c r="L28" s="33"/>
      <x:c r="M28" s="2"/>
    </x:row>
    <x:row r="29" ht="294" customHeight="1">
      <x:c r="A29" s="2" t="str">
        <x:v>R2</x:v>
      </x:c>
      <x:c r="B29" s="2" t="n">
        <x:v>1</x:v>
      </x:c>
      <x:c r="C29" s="2" t="str">
        <x:v>    Output content</x:v>
      </x:c>
      <x:c r="D29" s="33"/>
      <x:c r="E29" s="11"/>
      <x:c r="F29" s="11"/>
      <x:c r="G29" s="33"/>
      <x:c r="H29" s="33"/>
      <x:c r="I29" s="14" t="str">
        <x:v>[{"id":"rs_0bce09d3c652d3ff006ab12b05b2a487d2ac08ee867c559997","summary":[],"type":"reasoning","content":[],"index":0,"encrypted_content":"gAAAAABqsSsFl2AoVBrqmGydyffHkcog1xAvYLMoE9ibPjIdOzOuVrKLWudtDRk44Kq1eRKY9TgxdhRLfBZ_dotdh7ulBdBxeYjgZmQ7fP_mAqMUYP8WZrd5H568x_Ijb-mAsfK_m8629R7M6Cdjyze2ce3laaLD7IAWQgR2F3glLI99Rqah1UpD_MKJr3VH5S0EGtKz0lciB4_-_jP-ykejGWEg2fWgX_GCQCDNzxqwDjEEFs2iYD1xnV1ASiP18bMMzdKh73sUsJdprDBzhassvJsHvD_xskS-ZITsQuejSLkphFmV2aLC--Wwg8F1ajSiXE22gQocXxBUCnGteIaJKEUYX7GmGWYuD7GFYkC6l4v08oVg73Kl8i5wz3Z3DcecLJNGgD73zhXA0FQJLsTpP4Vo3E1Q3nGQm825X2qAfPWY6P0A07qMpuLkSW1gCIqXWUsoSJ54MpAXtI3NsW-ESkkHl4UexmRug-jDkL8brrnAgamiaceneVyEtktJdspP7WWDdc7liln0hHwleRN9lHQkal99fyKVZKA8vqerVti9lbNZ8_rEGaUtnTlfC9jtPlh4HyYT2u8Dq6SalcLnAJ0rILTYk6UQ7Ow1b1sWBS9xc9KPMEVVRy5lHj7EID0OzQSz7T3vGytavgowJerowbEaMuwOWfUKGYo9c-OuvAVmBuonwnnR0PGwOHI6tXZ5HjHPF81GsFueIlIW1iFKtjbHKhcTNJI1xC3sUyFZtE5ijEYbeo0do4aO1ilXMjWyuzPAPPOqNyI4W7SN7d6NhBVupMmeMpFVZss4PHMGkKhtoSrnu1T9lJmj_U7bhLSP1IxdqkLIPj1yXvMde7izYGjWaIub-nwfxXzxrfek6AMXVhBXE5IUSowtBifNRvxWUCGJMUTJq__PKyMdn4Ctc8-yovwCY7nVHYXY-MuJ329qKC5Q0GTzw6UIYgXyXRY1QH5w8R9D3s4Yx-7PcGQLRCDdTUS1MyrP1CKLAl51oQOnstfGtHsW2AGej8wLF6if5mlpNQYeRKGHrJZksSdp0xFxOi217buoOIo0HC9m0RuxrYUamhUNZc0_ltStW-7NNQ8Tsj6xy9dkZqONj45qmqRCuYZ5zTJTsRf4PB8sAuXW9oTlRi5Mlg8pLf_52SSon74w9ivGPo8Kq2iqnjdIU_FzCMnQpoBogOEMlGbtShXP4CJszVZctOND-yZ5ASY8EMjUzJ5U"},{"type":"function_call","name":"search_movie_reference","arguments":"{\"query\":\"Who directed the film Spirited Away? Include director and release year.\"}","call_id":"call_FGN5XUdjiPj0zLUuusMjLAOC","id":"fc_0bce09d3c652d3ff006ab12b05ebf887d2aee71955ff91272f","index":1}]
{"name":"search_movie_reference","args":{"query":"Who directed the film Spirited Away? Include director and release year."},"id":"call_FGN5XUdjiPj0zLUuusMjLAOC","type":"tool_call"}</x:v>
      </x:c>
      <x:c r="J29" s="2"/>
      <x:c r="K29" s="2"/>
      <x:c r="L29" s="33"/>
      <x:c r="M29" s="2"/>
    </x:row>
    <x:row r="30" ht="24" customHeight="1">
      <x:c r="A30" s="2" t="str">
        <x:v>R2</x:v>
      </x:c>
      <x:c r="B30" s="2" t="n">
        <x:v>1</x:v>
      </x:c>
      <x:c r="C30" s="2" t="str">
        <x:v>Cache write</x:v>
      </x:c>
      <x:c r="D30" s="33"/>
      <x:c r="E30" s="11"/>
      <x:c r="F30" s="11"/>
      <x:c r="G30" s="33"/>
      <x:c r="H30" s="33"/>
      <x:c r="I30" s="14"/>
      <x:c r="J30" s="2"/>
      <x:c r="K30" s="2"/>
      <x:c r="L30" s="33"/>
      <x:c r="M30" s="2"/>
    </x:row>
    <x:row r="31" ht="24" customHeight="1">
      <x:c r="A31" s="2" t="str">
        <x:v>R2</x:v>
      </x:c>
      <x:c r="B31" s="2" t="n">
        <x:v>1</x:v>
      </x:c>
      <x:c r="C31" s="2" t="str">
        <x:v>Context · added / total</x:v>
      </x:c>
      <x:c r="D31" s="33"/>
      <x:c r="E31" s="11"/>
      <x:c r="F31" s="11"/>
      <x:c r="G31" s="33"/>
      <x:c r="H31" s="33"/>
      <x:c r="I31" s="14"/>
      <x:c r="J31" s="2"/>
      <x:c r="K31" s="2"/>
      <x:c r="L31" s="33"/>
      <x:c r="M31" s="2"/>
    </x:row>
    <x:row r="32" ht="24" customHeight="1">
      <x:c r="A32" s="21" t="str">
        <x:v>R2</x:v>
      </x:c>
      <x:c r="B32" s="21" t="n">
        <x:v>1</x:v>
      </x:c>
      <x:c r="C32" s="21" t="str">
        <x:v>Call total</x:v>
      </x:c>
      <x:c r="D32" s="32"/>
      <x:c r="E32" s="29" t="n">
        <x:f>IF(COUNT(E21,E27,E28)=3,SUM(E21,E27,E28),"Unknown")</x:f>
        <x:v>0.00007888304</x:v>
      </x:c>
      <x:c r="F32" s="29" t="n">
        <x:f>IF(COUNT(F21,F27,F28)=3,SUM(F21,F27,F28),"Unknown")</x:f>
        <x:v>0.0000904</x:v>
      </x:c>
      <x:c r="G32" s="32" t="n">
        <x:f>IF(ISNUMBER(E32),ROUND(E32*'Reference data'!$B$2,0),"Unknown")</x:f>
        <x:v>8</x:v>
      </x:c>
      <x:c r="H32" s="32" t="n">
        <x:f>IF(ISNUMBER(F32),ROUND(F32*'Reference data'!$B$2,0),"Unknown")</x:f>
        <x:v>9</x:v>
      </x:c>
      <x:c r="I32" s="26"/>
      <x:c r="J32" s="21"/>
      <x:c r="K32" s="21" t="str">
        <x:v>ok</x:v>
      </x:c>
      <x:c r="L32" s="32"/>
      <x:c r="M32" s="21"/>
    </x:row>
    <x:row r="33" ht="24" customHeight="1">
      <x:c r="A33" s="24"/>
      <x:c r="B33" s="24" t="n">
        <x:v>1</x:v>
      </x:c>
      <x:c r="C33" s="24" t="str">
        <x:v>Tool · search_movie_reference</x:v>
      </x:c>
      <x:c r="D33" s="34"/>
      <x:c r="E33" s="30"/>
      <x:c r="F33" s="30"/>
      <x:c r="G33" s="34"/>
      <x:c r="H33" s="34"/>
      <x:c r="I33" s="27"/>
      <x:c r="J33" s="24"/>
      <x:c r="K33" s="24" t="str">
        <x:v>ok</x:v>
      </x:c>
      <x:c r="L33" s="34"/>
      <x:c r="M33" s="24" t="str">
        <x:v>01a0c410-10f9-7a40-aec3-b3fec3841d30</x:v>
      </x:c>
    </x:row>
    <x:row r="34" ht="24" customHeight="1">
      <x:c r="A34" s="2"/>
      <x:c r="B34" s="2" t="n">
        <x:v>1</x:v>
      </x:c>
      <x:c r="C34" s="2" t="str">
        <x:v>    Arguments</x:v>
      </x:c>
      <x:c r="D34" s="33"/>
      <x:c r="E34" s="11"/>
      <x:c r="F34" s="11"/>
      <x:c r="G34" s="33"/>
      <x:c r="H34" s="33"/>
      <x:c r="I34" s="14" t="str">
        <x:v>{'query': 'Who directed the film Spirited Away? Include director and release year.'}</x:v>
      </x:c>
      <x:c r="J34" s="2"/>
      <x:c r="K34" s="2"/>
      <x:c r="L34" s="33"/>
      <x:c r="M34" s="2"/>
    </x:row>
    <x:row r="35" ht="47" customHeight="1">
      <x:c r="A35" s="2"/>
      <x:c r="B35" s="2" t="n">
        <x:v>1</x:v>
      </x:c>
      <x:c r="C35" s="2" t="str">
        <x:v>    Result</x:v>
      </x:c>
      <x:c r="D35" s="33"/>
      <x:c r="E35" s="11"/>
      <x:c r="F35" s="11"/>
      <x:c r="G35" s="33"/>
      <x:c r="H35" s="33"/>
      <x:c r="I35" s="14" t="str">
        <x:v>Spirited Away
Spirited Away was directed by Hayao Miyazaki and released in 2001.
Source: https://www.ghibli.jp/works/</x:v>
      </x:c>
      <x:c r="J35" s="2"/>
      <x:c r="K35" s="2"/>
      <x:c r="L35" s="33"/>
      <x:c r="M35" s="2"/>
    </x:row>
    <x:row r="36" ht="24" customHeight="1">
      <x:c r="A36" s="21" t="str">
        <x:v>R3</x:v>
      </x:c>
      <x:c r="B36" s="21" t="n">
        <x:v>1</x:v>
      </x:c>
      <x:c r="C36" s="21" t="str">
        <x:v>LLM request</x:v>
      </x:c>
      <x:c r="D36" s="32" t="n">
        <x:v>285</x:v>
      </x:c>
      <x:c r="E36" s="29"/>
      <x:c r="F36" s="29"/>
      <x:c r="G36" s="32"/>
      <x:c r="H36" s="32"/>
      <x:c r="I36" s="26"/>
      <x:c r="J36" s="21" t="str">
        <x:v>gpt-5.6-luna</x:v>
      </x:c>
      <x:c r="K36" s="21"/>
      <x:c r="L36" s="32"/>
      <x:c r="M36" s="21" t="str">
        <x:v>01a0c410-10fc-7761-be96-418dd03401ba</x:v>
      </x:c>
    </x:row>
    <x:row r="37" ht="24" customHeight="1">
      <x:c r="A37" s="2" t="str">
        <x:v>R3</x:v>
      </x:c>
      <x:c r="B37" s="2" t="n">
        <x:v>1</x:v>
      </x:c>
      <x:c r="C37" s="22" t="str">
        <x:v>Conversation history · cache read</x:v>
      </x:c>
      <x:c r="D37" s="33" t="n">
        <x:v>0</x:v>
      </x:c>
      <x:c r="E37" s="11" t="n">
        <x:f>IF(AND(ISNUMBER(F37),ISNUMBER('Reference data'!$B$3)),F37*'Reference data'!$B$3,"Unknown")</x:f>
        <x:v>0</x:v>
      </x:c>
      <x:c r="F37" s="11" t="n">
        <x:f>IF(D37=0,0,IF(ISNUMBER('Reference data'!C17),D37*'Reference data'!C17/1000000,"Unknown"))</x:f>
        <x:v>0</x:v>
      </x:c>
      <x:c r="G37" s="33" t="n">
        <x:f>IF(ISNUMBER(E37),ROUND(E37*'Reference data'!$B$2,0),"Unknown")</x:f>
        <x:v>0</x:v>
      </x:c>
      <x:c r="H37" s="33" t="n">
        <x:f>IF(ISNUMBER(F37),ROUND(F37*'Reference data'!$B$2,0),"Unknown")</x:f>
        <x:v>0</x:v>
      </x:c>
      <x:c r="I37" s="14"/>
      <x:c r="J37" s="2"/>
      <x:c r="K37" s="2"/>
      <x:c r="L37" s="33"/>
      <x:c r="M37" s="2"/>
    </x:row>
    <x:row r="38" ht="24" customHeight="1">
      <x:c r="A38" s="2" t="str">
        <x:v>R3</x:v>
      </x:c>
      <x:c r="B38" s="2" t="n">
        <x:v>1</x:v>
      </x:c>
      <x:c r="C38" s="22" t="str">
        <x:v>Fresh input</x:v>
      </x:c>
      <x:c r="D38" s="33" t="n">
        <x:v>285</x:v>
      </x:c>
      <x:c r="E38" s="11" t="n">
        <x:f>IF(AND(ISNUMBER(F38),ISNUMBER('Reference data'!$B$3)),F38*'Reference data'!$B$3,"Unknown")</x:f>
        <x:v>0.000049738200000000004</x:v>
      </x:c>
      <x:c r="F38" s="11" t="n">
        <x:f>IF(D38=0,0,IF(ISNUMBER('Reference data'!B17),D38*'Reference data'!B17/1000000,"Unknown"))</x:f>
        <x:v>0.000057</x:v>
      </x:c>
      <x:c r="G38" s="33" t="n">
        <x:f>IF(ISNUMBER(E38),ROUND(E38*'Reference data'!$B$2,0),"Unknown")</x:f>
        <x:v>5</x:v>
      </x:c>
      <x:c r="H38" s="33" t="n">
        <x:f>IF(ISNUMBER(F38),ROUND(F38*'Reference data'!$B$2,0),"Unknown")</x:f>
        <x:v>6</x:v>
      </x:c>
      <x:c r="I38" s="14"/>
      <x:c r="J38" s="2"/>
      <x:c r="K38" s="2"/>
      <x:c r="L38" s="33"/>
      <x:c r="M38" s="2"/>
    </x:row>
    <x:row r="39" ht="47" customHeight="1">
      <x:c r="A39" s="2" t="str">
        <x:v>R3</x:v>
      </x:c>
      <x:c r="B39" s="2" t="n">
        <x:v>1</x:v>
      </x:c>
      <x:c r="C39" s="2" t="str">
        <x:v>    Tool result</x:v>
      </x:c>
      <x:c r="D39" s="33"/>
      <x:c r="E39" s="11"/>
      <x:c r="F39" s="11"/>
      <x:c r="G39" s="33"/>
      <x:c r="H39" s="33"/>
      <x:c r="I39" s="14" t="str">
        <x:v>Spirited Away
Spirited Away was directed by Hayao Miyazaki and released in 2001.
Source: https://www.ghibli.jp/works/</x:v>
      </x:c>
      <x:c r="J39" s="2"/>
      <x:c r="K39" s="2"/>
      <x:c r="L39" s="33"/>
      <x:c r="M39" s="2"/>
    </x:row>
    <x:row r="40" ht="24" customHeight="1">
      <x:c r="A40" s="2" t="str">
        <x:v>R3</x:v>
      </x:c>
      <x:c r="B40" s="2" t="n">
        <x:v>1</x:v>
      </x:c>
      <x:c r="C40" s="2" t="str">
        <x:v>Cache write</x:v>
      </x:c>
      <x:c r="D40" s="33"/>
      <x:c r="E40" s="11"/>
      <x:c r="F40" s="11"/>
      <x:c r="G40" s="33"/>
      <x:c r="H40" s="33"/>
      <x:c r="I40" s="14"/>
      <x:c r="J40" s="2"/>
      <x:c r="K40" s="2"/>
      <x:c r="L40" s="33"/>
      <x:c r="M40" s="2"/>
    </x:row>
    <x:row r="41" ht="24" customHeight="1">
      <x:c r="A41" s="2" t="str">
        <x:v>R3</x:v>
      </x:c>
      <x:c r="B41" s="2" t="n">
        <x:v>1</x:v>
      </x:c>
      <x:c r="C41" s="2" t="str">
        <x:v>Context · added / total</x:v>
      </x:c>
      <x:c r="D41" s="33"/>
      <x:c r="E41" s="11"/>
      <x:c r="F41" s="11"/>
      <x:c r="G41" s="33"/>
      <x:c r="H41" s="33"/>
      <x:c r="I41" s="14"/>
      <x:c r="J41" s="2"/>
      <x:c r="K41" s="2"/>
      <x:c r="L41" s="33"/>
      <x:c r="M41" s="2"/>
    </x:row>
    <x:row r="42" ht="24" customHeight="1">
      <x:c r="A42" s="21" t="str">
        <x:v>R3</x:v>
      </x:c>
      <x:c r="B42" s="21" t="n">
        <x:v>1</x:v>
      </x:c>
      <x:c r="C42" s="21" t="str">
        <x:v>LLM response</x:v>
      </x:c>
      <x:c r="D42" s="32" t="n">
        <x:v>41</x:v>
      </x:c>
      <x:c r="E42" s="29"/>
      <x:c r="F42" s="29"/>
      <x:c r="G42" s="32"/>
      <x:c r="H42" s="32"/>
      <x:c r="I42" s="26"/>
      <x:c r="J42" s="21"/>
      <x:c r="K42" s="21"/>
      <x:c r="L42" s="32"/>
      <x:c r="M42" s="21"/>
    </x:row>
    <x:row r="43" ht="24" customHeight="1">
      <x:c r="A43" s="2" t="str">
        <x:v>R3</x:v>
      </x:c>
      <x:c r="B43" s="2" t="n">
        <x:v>1</x:v>
      </x:c>
      <x:c r="C43" s="22" t="str">
        <x:v>Output</x:v>
      </x:c>
      <x:c r="D43" s="33" t="n">
        <x:v>41</x:v>
      </x:c>
      <x:c r="E43" s="11" t="n">
        <x:f>IF(AND(ISNUMBER(F43),ISNUMBER('Reference data'!$B$3)),F43*'Reference data'!$B$3,"Unknown")</x:f>
        <x:v>0.000042931919999999996</x:v>
      </x:c>
      <x:c r="F43" s="11" t="n">
        <x:f>IF(D43=0,0,IF(ISNUMBER('Reference data'!E17),D43*'Reference data'!E17/1000000,"Unknown"))</x:f>
        <x:v>0.000049199999999999997</x:v>
      </x:c>
      <x:c r="G43" s="33" t="n">
        <x:f>IF(ISNUMBER(E43),ROUND(E43*'Reference data'!$B$2,0),"Unknown")</x:f>
        <x:v>4</x:v>
      </x:c>
      <x:c r="H43" s="33" t="n">
        <x:f>IF(ISNUMBER(F43),ROUND(F43*'Reference data'!$B$2,0),"Unknown")</x:f>
        <x:v>5</x:v>
      </x:c>
      <x:c r="I43" s="14"/>
      <x:c r="J43" s="2"/>
      <x:c r="K43" s="2"/>
      <x:c r="L43" s="33"/>
      <x:c r="M43" s="2"/>
    </x:row>
    <x:row r="44" ht="47" customHeight="1">
      <x:c r="A44" s="2" t="str">
        <x:v>R3</x:v>
      </x:c>
      <x:c r="B44" s="2" t="n">
        <x:v>1</x:v>
      </x:c>
      <x:c r="C44" s="2" t="str">
        <x:v>    Output content</x:v>
      </x:c>
      <x:c r="D44" s="33"/>
      <x:c r="E44" s="11"/>
      <x:c r="F44" s="11"/>
      <x:c r="G44" s="33"/>
      <x:c r="H44" s="33"/>
      <x:c r="I44" s="14" t="str">
        <x:v>[{"type":"text","text":"*Spirited Away* was directed by **Hayao Miyazaki** and released in **2001**. [Source](https://www.ghibli.jp/works/)","phase":"final_answer","index":0,"id":"msg_0bce09d3c652d3ff006ab12b070a7487d2b21c5d47fc0fadc4"}]</x:v>
      </x:c>
      <x:c r="J44" s="2"/>
      <x:c r="K44" s="2"/>
      <x:c r="L44" s="33"/>
      <x:c r="M44" s="2"/>
    </x:row>
    <x:row r="45" ht="24" customHeight="1">
      <x:c r="A45" s="2" t="str">
        <x:v>R3</x:v>
      </x:c>
      <x:c r="B45" s="2" t="n">
        <x:v>1</x:v>
      </x:c>
      <x:c r="C45" s="2" t="str">
        <x:v>Cache write</x:v>
      </x:c>
      <x:c r="D45" s="33"/>
      <x:c r="E45" s="11"/>
      <x:c r="F45" s="11"/>
      <x:c r="G45" s="33"/>
      <x:c r="H45" s="33"/>
      <x:c r="I45" s="14"/>
      <x:c r="J45" s="2"/>
      <x:c r="K45" s="2"/>
      <x:c r="L45" s="33"/>
      <x:c r="M45" s="2"/>
    </x:row>
    <x:row r="46" ht="24" customHeight="1">
      <x:c r="A46" s="2" t="str">
        <x:v>R3</x:v>
      </x:c>
      <x:c r="B46" s="2" t="n">
        <x:v>1</x:v>
      </x:c>
      <x:c r="C46" s="2" t="str">
        <x:v>Context · added / total</x:v>
      </x:c>
      <x:c r="D46" s="33"/>
      <x:c r="E46" s="11"/>
      <x:c r="F46" s="11"/>
      <x:c r="G46" s="33"/>
      <x:c r="H46" s="33"/>
      <x:c r="I46" s="14"/>
      <x:c r="J46" s="2"/>
      <x:c r="K46" s="2"/>
      <x:c r="L46" s="33"/>
      <x:c r="M46" s="2"/>
    </x:row>
    <x:row r="47" ht="24" customHeight="1">
      <x:c r="A47" s="21" t="str">
        <x:v>R3</x:v>
      </x:c>
      <x:c r="B47" s="21" t="n">
        <x:v>1</x:v>
      </x:c>
      <x:c r="C47" s="21" t="str">
        <x:v>Call total</x:v>
      </x:c>
      <x:c r="D47" s="32"/>
      <x:c r="E47" s="29" t="n">
        <x:f>IF(COUNT(E37,E38,E43)=3,SUM(E37,E38,E43),"Unknown")</x:f>
        <x:v>0.00009267012</x:v>
      </x:c>
      <x:c r="F47" s="29" t="n">
        <x:f>IF(COUNT(F37,F38,F43)=3,SUM(F37,F38,F43),"Unknown")</x:f>
        <x:v>0.0001062</x:v>
      </x:c>
      <x:c r="G47" s="32" t="n">
        <x:f>IF(ISNUMBER(E47),ROUND(E47*'Reference data'!$B$2,0),"Unknown")</x:f>
        <x:v>9</x:v>
      </x:c>
      <x:c r="H47" s="32" t="n">
        <x:f>IF(ISNUMBER(F47),ROUND(F47*'Reference data'!$B$2,0),"Unknown")</x:f>
        <x:v>11</x:v>
      </x:c>
      <x:c r="I47" s="26"/>
      <x:c r="J47" s="21"/>
      <x:c r="K47" s="21" t="str">
        <x:v>ok</x:v>
      </x:c>
      <x:c r="L47" s="32"/>
      <x:c r="M47" s="21"/>
    </x:row>
    <x:row r="48" ht="24" customHeight="1">
      <x:c r="A48" s="21" t="str">
        <x:v>R4</x:v>
      </x:c>
      <x:c r="B48" s="21" t="n">
        <x:v>1</x:v>
      </x:c>
      <x:c r="C48" s="21" t="str">
        <x:v>LLM request</x:v>
      </x:c>
      <x:c r="D48" s="32" t="n">
        <x:v>366</x:v>
      </x:c>
      <x:c r="E48" s="29"/>
      <x:c r="F48" s="29"/>
      <x:c r="G48" s="32"/>
      <x:c r="H48" s="32"/>
      <x:c r="I48" s="26"/>
      <x:c r="J48" s="21" t="str">
        <x:v>gpt-5.6-luna</x:v>
      </x:c>
      <x:c r="K48" s="21"/>
      <x:c r="L48" s="32"/>
      <x:c r="M48" s="21" t="str">
        <x:v>01a0c410-1933-7f43-bf7f-87359e71bf48</x:v>
      </x:c>
    </x:row>
    <x:row r="49" ht="24" customHeight="1">
      <x:c r="A49" s="2" t="str">
        <x:v>R4</x:v>
      </x:c>
      <x:c r="B49" s="2" t="n">
        <x:v>1</x:v>
      </x:c>
      <x:c r="C49" s="22" t="str">
        <x:v>Conversation history · cache read</x:v>
      </x:c>
      <x:c r="D49" s="33" t="n">
        <x:v>0</x:v>
      </x:c>
      <x:c r="E49" s="11" t="n">
        <x:f>IF(AND(ISNUMBER(F49),ISNUMBER('Reference data'!$B$3)),F49*'Reference data'!$B$3,"Unknown")</x:f>
        <x:v>0</x:v>
      </x:c>
      <x:c r="F49" s="11" t="n">
        <x:f>IF(D49=0,0,IF(ISNUMBER('Reference data'!C17),D49*'Reference data'!C17/1000000,"Unknown"))</x:f>
        <x:v>0</x:v>
      </x:c>
      <x:c r="G49" s="33" t="n">
        <x:f>IF(ISNUMBER(E49),ROUND(E49*'Reference data'!$B$2,0),"Unknown")</x:f>
        <x:v>0</x:v>
      </x:c>
      <x:c r="H49" s="33" t="n">
        <x:f>IF(ISNUMBER(F49),ROUND(F49*'Reference data'!$B$2,0),"Unknown")</x:f>
        <x:v>0</x:v>
      </x:c>
      <x:c r="I49" s="14"/>
      <x:c r="J49" s="2"/>
      <x:c r="K49" s="2"/>
      <x:c r="L49" s="33"/>
      <x:c r="M49" s="2"/>
    </x:row>
    <x:row r="50" ht="24" customHeight="1">
      <x:c r="A50" s="2" t="str">
        <x:v>R4</x:v>
      </x:c>
      <x:c r="B50" s="2" t="n">
        <x:v>1</x:v>
      </x:c>
      <x:c r="C50" s="22" t="str">
        <x:v>Fresh input</x:v>
      </x:c>
      <x:c r="D50" s="33" t="n">
        <x:v>366</x:v>
      </x:c>
      <x:c r="E50" s="11" t="n">
        <x:f>IF(AND(ISNUMBER(F50),ISNUMBER('Reference data'!$B$3)),F50*'Reference data'!$B$3,"Unknown")</x:f>
        <x:v>0.00006387432</x:v>
      </x:c>
      <x:c r="F50" s="11" t="n">
        <x:f>IF(D50=0,0,IF(ISNUMBER('Reference data'!B17),D50*'Reference data'!B17/1000000,"Unknown"))</x:f>
        <x:v>0.0000732</x:v>
      </x:c>
      <x:c r="G50" s="33" t="n">
        <x:f>IF(ISNUMBER(E50),ROUND(E50*'Reference data'!$B$2,0),"Unknown")</x:f>
        <x:v>6</x:v>
      </x:c>
      <x:c r="H50" s="33" t="n">
        <x:f>IF(ISNUMBER(F50),ROUND(F50*'Reference data'!$B$2,0),"Unknown")</x:f>
        <x:v>7</x:v>
      </x:c>
      <x:c r="I50" s="14"/>
      <x:c r="J50" s="2"/>
      <x:c r="K50" s="2"/>
      <x:c r="L50" s="33"/>
      <x:c r="M50" s="2"/>
    </x:row>
    <x:row r="51" ht="34" customHeight="1">
      <x:c r="A51" s="2" t="str">
        <x:v>R4</x:v>
      </x:c>
      <x:c r="B51" s="2" t="n">
        <x:v>1</x:v>
      </x:c>
      <x:c r="C51" s="2" t="str">
        <x:v>    Tool result</x:v>
      </x:c>
      <x:c r="D51" s="33"/>
      <x:c r="E51" s="11"/>
      <x:c r="F51" s="11"/>
      <x:c r="G51" s="33"/>
      <x:c r="H51" s="33"/>
      <x:c r="I51" s="14" t="str">
        <x:v>*Spirited Away* was directed by **Hayao Miyazaki** and released in **2001**. [Source](https://www.ghibli.jp/works/)</x:v>
      </x:c>
      <x:c r="J51" s="2"/>
      <x:c r="K51" s="2"/>
      <x:c r="L51" s="33"/>
      <x:c r="M51" s="2"/>
    </x:row>
    <x:row r="52" ht="24" customHeight="1">
      <x:c r="A52" s="2" t="str">
        <x:v>R4</x:v>
      </x:c>
      <x:c r="B52" s="2" t="n">
        <x:v>1</x:v>
      </x:c>
      <x:c r="C52" s="2" t="str">
        <x:v>Cache write</x:v>
      </x:c>
      <x:c r="D52" s="33"/>
      <x:c r="E52" s="11"/>
      <x:c r="F52" s="11"/>
      <x:c r="G52" s="33"/>
      <x:c r="H52" s="33"/>
      <x:c r="I52" s="14"/>
      <x:c r="J52" s="2"/>
      <x:c r="K52" s="2"/>
      <x:c r="L52" s="33"/>
      <x:c r="M52" s="2"/>
    </x:row>
    <x:row r="53" ht="24" customHeight="1">
      <x:c r="A53" s="2" t="str">
        <x:v>R4</x:v>
      </x:c>
      <x:c r="B53" s="2" t="n">
        <x:v>1</x:v>
      </x:c>
      <x:c r="C53" s="2" t="str">
        <x:v>Context · added / total</x:v>
      </x:c>
      <x:c r="D53" s="33"/>
      <x:c r="E53" s="11"/>
      <x:c r="F53" s="11"/>
      <x:c r="G53" s="33"/>
      <x:c r="H53" s="33"/>
      <x:c r="I53" s="14"/>
      <x:c r="J53" s="2"/>
      <x:c r="K53" s="2"/>
      <x:c r="L53" s="33"/>
      <x:c r="M53" s="2"/>
    </x:row>
    <x:row r="54" ht="24" customHeight="1">
      <x:c r="A54" s="21" t="str">
        <x:v>R4</x:v>
      </x:c>
      <x:c r="B54" s="21" t="n">
        <x:v>1</x:v>
      </x:c>
      <x:c r="C54" s="21" t="str">
        <x:v>LLM response</x:v>
      </x:c>
      <x:c r="D54" s="32" t="n">
        <x:v>21</x:v>
      </x:c>
      <x:c r="E54" s="29"/>
      <x:c r="F54" s="29"/>
      <x:c r="G54" s="32"/>
      <x:c r="H54" s="32"/>
      <x:c r="I54" s="26"/>
      <x:c r="J54" s="21"/>
      <x:c r="K54" s="21"/>
      <x:c r="L54" s="32"/>
      <x:c r="M54" s="21"/>
    </x:row>
    <x:row r="55" ht="24" customHeight="1">
      <x:c r="A55" s="2" t="str">
        <x:v>R4</x:v>
      </x:c>
      <x:c r="B55" s="2" t="n">
        <x:v>1</x:v>
      </x:c>
      <x:c r="C55" s="22" t="str">
        <x:v>Output</x:v>
      </x:c>
      <x:c r="D55" s="33" t="n">
        <x:v>21</x:v>
      </x:c>
      <x:c r="E55" s="11" t="n">
        <x:f>IF(AND(ISNUMBER(F55),ISNUMBER('Reference data'!$B$3)),F55*'Reference data'!$B$3,"Unknown")</x:f>
        <x:v>0.00002198952</x:v>
      </x:c>
      <x:c r="F55" s="11" t="n">
        <x:f>IF(D55=0,0,IF(ISNUMBER('Reference data'!E17),D55*'Reference data'!E17/1000000,"Unknown"))</x:f>
        <x:v>0.0000252</x:v>
      </x:c>
      <x:c r="G55" s="33" t="n">
        <x:f>IF(ISNUMBER(E55),ROUND(E55*'Reference data'!$B$2,0),"Unknown")</x:f>
        <x:v>2</x:v>
      </x:c>
      <x:c r="H55" s="33" t="n">
        <x:f>IF(ISNUMBER(F55),ROUND(F55*'Reference data'!$B$2,0),"Unknown")</x:f>
        <x:v>3</x:v>
      </x:c>
      <x:c r="I55" s="14"/>
      <x:c r="J55" s="2"/>
      <x:c r="K55" s="2"/>
      <x:c r="L55" s="33"/>
      <x:c r="M55" s="2"/>
    </x:row>
    <x:row r="56" ht="34" customHeight="1">
      <x:c r="A56" s="2" t="str">
        <x:v>R4</x:v>
      </x:c>
      <x:c r="B56" s="2" t="n">
        <x:v>1</x:v>
      </x:c>
      <x:c r="C56" s="2" t="str">
        <x:v>    Output content</x:v>
      </x:c>
      <x:c r="D56" s="33"/>
      <x:c r="E56" s="11"/>
      <x:c r="F56" s="11"/>
      <x:c r="G56" s="33"/>
      <x:c r="H56" s="33"/>
      <x:c r="I56" s="14" t="str">
        <x:v>[{"type":"text","text":"*Spirited Away* was directed by **Hayao Miyazaki**.","phase":"final_answer","index":0,"id":"msg_0e016fb6a8b02ec3006ab12b096d9087d2944964b0d080dbc1"}]</x:v>
      </x:c>
      <x:c r="J56" s="2"/>
      <x:c r="K56" s="2"/>
      <x:c r="L56" s="33"/>
      <x:c r="M56" s="2"/>
    </x:row>
    <x:row r="57" ht="24" customHeight="1">
      <x:c r="A57" s="2" t="str">
        <x:v>R4</x:v>
      </x:c>
      <x:c r="B57" s="2" t="n">
        <x:v>1</x:v>
      </x:c>
      <x:c r="C57" s="2" t="str">
        <x:v>Cache write</x:v>
      </x:c>
      <x:c r="D57" s="33"/>
      <x:c r="E57" s="11"/>
      <x:c r="F57" s="11"/>
      <x:c r="G57" s="33"/>
      <x:c r="H57" s="33"/>
      <x:c r="I57" s="14"/>
      <x:c r="J57" s="2"/>
      <x:c r="K57" s="2"/>
      <x:c r="L57" s="33"/>
      <x:c r="M57" s="2"/>
    </x:row>
    <x:row r="58" ht="24" customHeight="1">
      <x:c r="A58" s="2" t="str">
        <x:v>R4</x:v>
      </x:c>
      <x:c r="B58" s="2" t="n">
        <x:v>1</x:v>
      </x:c>
      <x:c r="C58" s="2" t="str">
        <x:v>Context · added / total</x:v>
      </x:c>
      <x:c r="D58" s="33"/>
      <x:c r="E58" s="11"/>
      <x:c r="F58" s="11"/>
      <x:c r="G58" s="33"/>
      <x:c r="H58" s="33"/>
      <x:c r="I58" s="14"/>
      <x:c r="J58" s="2"/>
      <x:c r="K58" s="2"/>
      <x:c r="L58" s="33"/>
      <x:c r="M58" s="2"/>
    </x:row>
    <x:row r="59" ht="24" customHeight="1">
      <x:c r="A59" s="21" t="str">
        <x:v>R4</x:v>
      </x:c>
      <x:c r="B59" s="21" t="n">
        <x:v>1</x:v>
      </x:c>
      <x:c r="C59" s="21" t="str">
        <x:v>Call total</x:v>
      </x:c>
      <x:c r="D59" s="32"/>
      <x:c r="E59" s="29" t="n">
        <x:f>IF(COUNT(E49,E50,E55)=3,SUM(E49,E50,E55),"Unknown")</x:f>
        <x:v>0.00008586384</x:v>
      </x:c>
      <x:c r="F59" s="29" t="n">
        <x:f>IF(COUNT(F49,F50,F55)=3,SUM(F49,F50,F55),"Unknown")</x:f>
        <x:v>0.0000984</x:v>
      </x:c>
      <x:c r="G59" s="32" t="n">
        <x:f>IF(ISNUMBER(E59),ROUND(E59*'Reference data'!$B$2,0),"Unknown")</x:f>
        <x:v>9</x:v>
      </x:c>
      <x:c r="H59" s="32" t="n">
        <x:f>IF(ISNUMBER(F59),ROUND(F59*'Reference data'!$B$2,0),"Unknown")</x:f>
        <x:v>10</x:v>
      </x:c>
      <x:c r="I59" s="26"/>
      <x:c r="J59" s="21"/>
      <x:c r="K59" s="21" t="str">
        <x:v>ok</x:v>
      </x:c>
      <x:c r="L59" s="32"/>
      <x:c r="M59" s="21"/>
    </x:row>
    <x:row r="60" ht="24" customHeight="1">
      <x:c r="A60" s="19"/>
      <x:c r="B60" s="19" t="n">
        <x:v>2</x:v>
      </x:c>
      <x:c r="C60" s="19" t="str">
        <x:v>Turn 2</x:v>
      </x:c>
      <x:c r="D60" s="31"/>
      <x:c r="E60" s="28" t="n">
        <x:f>IF(COUNT(E72,E88,E103,E115)=4,SUM(E72,E88,E103,E115),"Unknown")</x:f>
        <x:v>0.00046230348000000004</x:v>
      </x:c>
      <x:c r="F60" s="28" t="n">
        <x:f>IF(COUNT(F72,F88,F103,F115)=4,SUM(F72,F88,F103,F115),"Unknown")</x:f>
        <x:v>0.0005298000000000001</x:v>
      </x:c>
      <x:c r="G60" s="31" t="n">
        <x:f>IF(ISNUMBER(E60),ROUND(E60*'Reference data'!$B$2,0),"Unknown")</x:f>
        <x:v>46</x:v>
      </x:c>
      <x:c r="H60" s="31" t="n">
        <x:f>IF(ISNUMBER(F60),ROUND(F60*'Reference data'!$B$2,0),"Unknown")</x:f>
        <x:v>53</x:v>
      </x:c>
      <x:c r="I60" s="25"/>
      <x:c r="J60" s="19"/>
      <x:c r="K60" s="19"/>
      <x:c r="L60" s="31"/>
      <x:c r="M60" s="19"/>
    </x:row>
    <x:row r="61" ht="24" customHeight="1">
      <x:c r="A61" s="21" t="str">
        <x:v>R5</x:v>
      </x:c>
      <x:c r="B61" s="21" t="n">
        <x:v>2</x:v>
      </x:c>
      <x:c r="C61" s="21" t="str">
        <x:v>LLM request</x:v>
      </x:c>
      <x:c r="D61" s="32" t="n">
        <x:v>404</x:v>
      </x:c>
      <x:c r="E61" s="29"/>
      <x:c r="F61" s="29"/>
      <x:c r="G61" s="32"/>
      <x:c r="H61" s="32"/>
      <x:c r="I61" s="26"/>
      <x:c r="J61" s="21" t="str">
        <x:v>gpt-5.6-luna</x:v>
      </x:c>
      <x:c r="K61" s="21"/>
      <x:c r="L61" s="32"/>
      <x:c r="M61" s="21" t="str">
        <x:v>01a0c410-224c-7973-aba5-e2667d9bca21</x:v>
      </x:c>
    </x:row>
    <x:row r="62" ht="24" customHeight="1">
      <x:c r="A62" s="2" t="str">
        <x:v>R5</x:v>
      </x:c>
      <x:c r="B62" s="2" t="n">
        <x:v>2</x:v>
      </x:c>
      <x:c r="C62" s="22" t="str">
        <x:v>Conversation history · cache read</x:v>
      </x:c>
      <x:c r="D62" s="33" t="n">
        <x:v>0</x:v>
      </x:c>
      <x:c r="E62" s="11" t="n">
        <x:f>IF(AND(ISNUMBER(F62),ISNUMBER('Reference data'!$B$3)),F62*'Reference data'!$B$3,"Unknown")</x:f>
        <x:v>0</x:v>
      </x:c>
      <x:c r="F62" s="11" t="n">
        <x:f>IF(D62=0,0,IF(ISNUMBER('Reference data'!C17),D62*'Reference data'!C17/1000000,"Unknown"))</x:f>
        <x:v>0</x:v>
      </x:c>
      <x:c r="G62" s="33" t="n">
        <x:f>IF(ISNUMBER(E62),ROUND(E62*'Reference data'!$B$2,0),"Unknown")</x:f>
        <x:v>0</x:v>
      </x:c>
      <x:c r="H62" s="33" t="n">
        <x:f>IF(ISNUMBER(F62),ROUND(F62*'Reference data'!$B$2,0),"Unknown")</x:f>
        <x:v>0</x:v>
      </x:c>
      <x:c r="I62" s="14"/>
      <x:c r="J62" s="2"/>
      <x:c r="K62" s="2"/>
      <x:c r="L62" s="33"/>
      <x:c r="M62" s="2"/>
    </x:row>
    <x:row r="63" ht="24" customHeight="1">
      <x:c r="A63" s="2" t="str">
        <x:v>R5</x:v>
      </x:c>
      <x:c r="B63" s="2" t="n">
        <x:v>2</x:v>
      </x:c>
      <x:c r="C63" s="22" t="str">
        <x:v>Fresh input</x:v>
      </x:c>
      <x:c r="D63" s="33" t="n">
        <x:v>404</x:v>
      </x:c>
      <x:c r="E63" s="11" t="n">
        <x:f>IF(AND(ISNUMBER(F63),ISNUMBER('Reference data'!$B$3)),F63*'Reference data'!$B$3,"Unknown")</x:f>
        <x:v>0.00007050608000000001</x:v>
      </x:c>
      <x:c r="F63" s="11" t="n">
        <x:f>IF(D63=0,0,IF(ISNUMBER('Reference data'!B17),D63*'Reference data'!B17/1000000,"Unknown"))</x:f>
        <x:v>0.00008080000000000001</x:v>
      </x:c>
      <x:c r="G63" s="33" t="n">
        <x:f>IF(ISNUMBER(E63),ROUND(E63*'Reference data'!$B$2,0),"Unknown")</x:f>
        <x:v>7</x:v>
      </x:c>
      <x:c r="H63" s="33" t="n">
        <x:f>IF(ISNUMBER(F63),ROUND(F63*'Reference data'!$B$2,0),"Unknown")</x:f>
        <x:v>8</x:v>
      </x:c>
      <x:c r="I63" s="14"/>
      <x:c r="J63" s="2"/>
      <x:c r="K63" s="2"/>
      <x:c r="L63" s="33"/>
      <x:c r="M63" s="2"/>
    </x:row>
    <x:row r="64" ht="24" customHeight="1">
      <x:c r="A64" s="2" t="str">
        <x:v>R5</x:v>
      </x:c>
      <x:c r="B64" s="2" t="n">
        <x:v>2</x:v>
      </x:c>
      <x:c r="C64" s="2" t="str">
        <x:v>    User prompt</x:v>
      </x:c>
      <x:c r="D64" s="33"/>
      <x:c r="E64" s="11"/>
      <x:c r="F64" s="11"/>
      <x:c r="G64" s="33"/>
      <x:c r="H64" s="33"/>
      <x:c r="I64" s="14" t="str">
        <x:v>How many players does a basketball team have on court?</x:v>
      </x:c>
      <x:c r="J64" s="2"/>
      <x:c r="K64" s="2"/>
      <x:c r="L64" s="33"/>
      <x:c r="M64" s="2"/>
    </x:row>
    <x:row r="65" ht="24" customHeight="1">
      <x:c r="A65" s="2" t="str">
        <x:v>R5</x:v>
      </x:c>
      <x:c r="B65" s="2" t="n">
        <x:v>2</x:v>
      </x:c>
      <x:c r="C65" s="2" t="str">
        <x:v>Cache write</x:v>
      </x:c>
      <x:c r="D65" s="33"/>
      <x:c r="E65" s="11"/>
      <x:c r="F65" s="11"/>
      <x:c r="G65" s="33"/>
      <x:c r="H65" s="33"/>
      <x:c r="I65" s="14"/>
      <x:c r="J65" s="2"/>
      <x:c r="K65" s="2"/>
      <x:c r="L65" s="33"/>
      <x:c r="M65" s="2"/>
    </x:row>
    <x:row r="66" ht="24" customHeight="1">
      <x:c r="A66" s="2" t="str">
        <x:v>R5</x:v>
      </x:c>
      <x:c r="B66" s="2" t="n">
        <x:v>2</x:v>
      </x:c>
      <x:c r="C66" s="2" t="str">
        <x:v>Context · added / total</x:v>
      </x:c>
      <x:c r="D66" s="33"/>
      <x:c r="E66" s="11"/>
      <x:c r="F66" s="11"/>
      <x:c r="G66" s="33"/>
      <x:c r="H66" s="33"/>
      <x:c r="I66" s="14"/>
      <x:c r="J66" s="2"/>
      <x:c r="K66" s="2"/>
      <x:c r="L66" s="33"/>
      <x:c r="M66" s="2"/>
    </x:row>
    <x:row r="67" ht="24" customHeight="1">
      <x:c r="A67" s="21" t="str">
        <x:v>R5</x:v>
      </x:c>
      <x:c r="B67" s="21" t="n">
        <x:v>2</x:v>
      </x:c>
      <x:c r="C67" s="21" t="str">
        <x:v>LLM response</x:v>
      </x:c>
      <x:c r="D67" s="32" t="n">
        <x:v>71</x:v>
      </x:c>
      <x:c r="E67" s="29"/>
      <x:c r="F67" s="29"/>
      <x:c r="G67" s="32"/>
      <x:c r="H67" s="32"/>
      <x:c r="I67" s="26"/>
      <x:c r="J67" s="21"/>
      <x:c r="K67" s="21"/>
      <x:c r="L67" s="32"/>
      <x:c r="M67" s="21"/>
    </x:row>
    <x:row r="68" ht="24" customHeight="1">
      <x:c r="A68" s="2" t="str">
        <x:v>R5</x:v>
      </x:c>
      <x:c r="B68" s="2" t="n">
        <x:v>2</x:v>
      </x:c>
      <x:c r="C68" s="22" t="str">
        <x:v>Output</x:v>
      </x:c>
      <x:c r="D68" s="33" t="n">
        <x:v>71</x:v>
      </x:c>
      <x:c r="E68" s="11" t="n">
        <x:f>IF(AND(ISNUMBER(F68),ISNUMBER('Reference data'!$B$3)),F68*'Reference data'!$B$3,"Unknown")</x:f>
        <x:v>0.00007434552</x:v>
      </x:c>
      <x:c r="F68" s="11" t="n">
        <x:f>IF(D68=0,0,IF(ISNUMBER('Reference data'!E17),D68*'Reference data'!E17/1000000,"Unknown"))</x:f>
        <x:v>0.0000852</x:v>
      </x:c>
      <x:c r="G68" s="33" t="n">
        <x:f>IF(ISNUMBER(E68),ROUND(E68*'Reference data'!$B$2,0),"Unknown")</x:f>
        <x:v>7</x:v>
      </x:c>
      <x:c r="H68" s="33" t="n">
        <x:f>IF(ISNUMBER(F68),ROUND(F68*'Reference data'!$B$2,0),"Unknown")</x:f>
        <x:v>9</x:v>
      </x:c>
      <x:c r="I68" s="14"/>
      <x:c r="J68" s="2"/>
      <x:c r="K68" s="2"/>
      <x:c r="L68" s="33"/>
      <x:c r="M68" s="2"/>
    </x:row>
    <x:row r="69" ht="151" customHeight="1">
      <x:c r="A69" s="2" t="str">
        <x:v>R5</x:v>
      </x:c>
      <x:c r="B69" s="2" t="n">
        <x:v>2</x:v>
      </x:c>
      <x:c r="C69" s="2" t="str">
        <x:v>    Output content</x:v>
      </x:c>
      <x:c r="D69" s="33"/>
      <x:c r="E69" s="11"/>
      <x:c r="F69" s="11"/>
      <x:c r="G69" s="33"/>
      <x:c r="H69" s="33"/>
      <x:c r="I69" s="14" t="str">
        <x:v>[{"type":"function_call","name":"task","arguments":"{\"description\":\"Answer the sports question: How many players from one basketball team are on the court at one time under standard rules? Mention any relevant distinction only if useful (for example, team total vs. on-court lineup). Be concise and accurate.\",\"subagent_type\":\"sports_expert\"}","call_id":"call_OcYOYqvWhNQ3y6jMvIN9nrH1","id":"fc_0e016fb6a8b02ec3006ab12b0bab9087d2853f62a3cb8b8af6","index":0}]
{"name":"task","args":{"description":"Answer the sports question: How many players from one basketball team are on the court at one time under standard rules? Mention any relevant distinction only if useful (for example, team total vs. on-court lineup). Be concise and accurate.","subagent_type":"sports_expert"},"id":"call_OcYOYqvWhNQ3y6jMvIN9nrH1","type":"tool_call"}</x:v>
      </x:c>
      <x:c r="J69" s="2"/>
      <x:c r="K69" s="2"/>
      <x:c r="L69" s="33"/>
      <x:c r="M69" s="2"/>
    </x:row>
    <x:row r="70" ht="24" customHeight="1">
      <x:c r="A70" s="2" t="str">
        <x:v>R5</x:v>
      </x:c>
      <x:c r="B70" s="2" t="n">
        <x:v>2</x:v>
      </x:c>
      <x:c r="C70" s="2" t="str">
        <x:v>Cache write</x:v>
      </x:c>
      <x:c r="D70" s="33"/>
      <x:c r="E70" s="11"/>
      <x:c r="F70" s="11"/>
      <x:c r="G70" s="33"/>
      <x:c r="H70" s="33"/>
      <x:c r="I70" s="14"/>
      <x:c r="J70" s="2"/>
      <x:c r="K70" s="2"/>
      <x:c r="L70" s="33"/>
      <x:c r="M70" s="2"/>
    </x:row>
    <x:row r="71" ht="24" customHeight="1">
      <x:c r="A71" s="2" t="str">
        <x:v>R5</x:v>
      </x:c>
      <x:c r="B71" s="2" t="n">
        <x:v>2</x:v>
      </x:c>
      <x:c r="C71" s="2" t="str">
        <x:v>Context · added / total</x:v>
      </x:c>
      <x:c r="D71" s="33"/>
      <x:c r="E71" s="11"/>
      <x:c r="F71" s="11"/>
      <x:c r="G71" s="33"/>
      <x:c r="H71" s="33"/>
      <x:c r="I71" s="14"/>
      <x:c r="J71" s="2"/>
      <x:c r="K71" s="2"/>
      <x:c r="L71" s="33"/>
      <x:c r="M71" s="2"/>
    </x:row>
    <x:row r="72" ht="24" customHeight="1">
      <x:c r="A72" s="21" t="str">
        <x:v>R5</x:v>
      </x:c>
      <x:c r="B72" s="21" t="n">
        <x:v>2</x:v>
      </x:c>
      <x:c r="C72" s="21" t="str">
        <x:v>Call total</x:v>
      </x:c>
      <x:c r="D72" s="32"/>
      <x:c r="E72" s="29" t="n">
        <x:f>IF(COUNT(E62,E63,E68)=3,SUM(E62,E63,E68),"Unknown")</x:f>
        <x:v>0.00014485160000000003</x:v>
      </x:c>
      <x:c r="F72" s="29" t="n">
        <x:f>IF(COUNT(F62,F63,F68)=3,SUM(F62,F63,F68),"Unknown")</x:f>
        <x:v>0.00016600000000000002</x:v>
      </x:c>
      <x:c r="G72" s="32" t="n">
        <x:f>IF(ISNUMBER(E72),ROUND(E72*'Reference data'!$B$2,0),"Unknown")</x:f>
        <x:v>14</x:v>
      </x:c>
      <x:c r="H72" s="32" t="n">
        <x:f>IF(ISNUMBER(F72),ROUND(F72*'Reference data'!$B$2,0),"Unknown")</x:f>
        <x:v>17</x:v>
      </x:c>
      <x:c r="I72" s="26"/>
      <x:c r="J72" s="21"/>
      <x:c r="K72" s="21" t="str">
        <x:v>ok</x:v>
      </x:c>
      <x:c r="L72" s="32"/>
      <x:c r="M72" s="21"/>
    </x:row>
    <x:row r="73" ht="24" customHeight="1">
      <x:c r="A73" s="24"/>
      <x:c r="B73" s="24" t="n">
        <x:v>2</x:v>
      </x:c>
      <x:c r="C73" s="24" t="str">
        <x:v>Tool · task</x:v>
      </x:c>
      <x:c r="D73" s="34"/>
      <x:c r="E73" s="30"/>
      <x:c r="F73" s="30"/>
      <x:c r="G73" s="34"/>
      <x:c r="H73" s="34"/>
      <x:c r="I73" s="27"/>
      <x:c r="J73" s="24"/>
      <x:c r="K73" s="24" t="str">
        <x:v>ok</x:v>
      </x:c>
      <x:c r="L73" s="34"/>
      <x:c r="M73" s="24" t="str">
        <x:v>01a0c410-2eb2-7801-888c-26fd6f89ff1d</x:v>
      </x:c>
    </x:row>
    <x:row r="74" ht="60" customHeight="1">
      <x:c r="A74" s="2"/>
      <x:c r="B74" s="2" t="n">
        <x:v>2</x:v>
      </x:c>
      <x:c r="C74" s="2" t="str">
        <x:v>    Arguments</x:v>
      </x:c>
      <x:c r="D74" s="33"/>
      <x:c r="E74" s="11"/>
      <x:c r="F74" s="11"/>
      <x:c r="G74" s="33"/>
      <x:c r="H74" s="33"/>
      <x:c r="I74" s="14" t="str">
        <x:v>{'description': 'Answer the sports question: How many players from one basketball team are on the court at one time under standard rules? Mention any relevant distinction only if useful (for example, team total vs. on-court lineup). Be concise and accurate.', 'subagent_type': 'sports_expert'}</x:v>
      </x:c>
      <x:c r="J74" s="2"/>
      <x:c r="K74" s="2"/>
      <x:c r="L74" s="33"/>
      <x:c r="M74" s="2"/>
    </x:row>
    <x:row r="75" ht="60" customHeight="1">
      <x:c r="A75" s="2"/>
      <x:c r="B75" s="2" t="n">
        <x:v>2</x:v>
      </x:c>
      <x:c r="C75" s="2" t="str">
        <x:v>    Result</x:v>
      </x:c>
      <x:c r="D75" s="33"/>
      <x:c r="E75" s="11"/>
      <x:c r="F75" s="11"/>
      <x:c r="G75" s="33"/>
      <x:c r="H75" s="33"/>
      <x:c r="I75" s="14" t="str">
        <x:v>Command(update={'messages': [ToolMessage(content='Under standard basketball rules, **five players from each team** are on the court at one time. This refers to the on-court lineup, not the team’s total roster. [FIBA](https://about.fiba.basketball/en/our-sport/basketball)', tool_call_id='call_OcYOYqvWhNQ3y6jMvIN9nrH1')]})</x:v>
      </x:c>
      <x:c r="J75" s="2"/>
      <x:c r="K75" s="2"/>
      <x:c r="L75" s="33"/>
      <x:c r="M75" s="2"/>
    </x:row>
    <x:row r="76" ht="24" customHeight="1">
      <x:c r="A76" s="21" t="str">
        <x:v>R6</x:v>
      </x:c>
      <x:c r="B76" s="21" t="n">
        <x:v>2</x:v>
      </x:c>
      <x:c r="C76" s="21" t="str">
        <x:v>LLM request</x:v>
      </x:c>
      <x:c r="D76" s="32" t="n">
        <x:v>205</x:v>
      </x:c>
      <x:c r="E76" s="29"/>
      <x:c r="F76" s="29"/>
      <x:c r="G76" s="32"/>
      <x:c r="H76" s="32"/>
      <x:c r="I76" s="26"/>
      <x:c r="J76" s="21" t="str">
        <x:v>gpt-5.6-luna</x:v>
      </x:c>
      <x:c r="K76" s="21"/>
      <x:c r="L76" s="32"/>
      <x:c r="M76" s="21" t="str">
        <x:v>01a0c410-2eb4-7971-9248-71912df6b885</x:v>
      </x:c>
    </x:row>
    <x:row r="77" ht="24" customHeight="1">
      <x:c r="A77" s="2" t="str">
        <x:v>R6</x:v>
      </x:c>
      <x:c r="B77" s="2" t="n">
        <x:v>2</x:v>
      </x:c>
      <x:c r="C77" s="22" t="str">
        <x:v>Fresh input</x:v>
      </x:c>
      <x:c r="D77" s="33" t="n">
        <x:v>205</x:v>
      </x:c>
      <x:c r="E77" s="11" t="n">
        <x:f>IF(AND(ISNUMBER(F77),ISNUMBER('Reference data'!$B$3)),F77*'Reference data'!$B$3,"Unknown")</x:f>
        <x:v>0.0000357766</x:v>
      </x:c>
      <x:c r="F77" s="11" t="n">
        <x:f>IF(D77=0,0,IF(ISNUMBER('Reference data'!B17),D77*'Reference data'!B17/1000000,"Unknown"))</x:f>
        <x:v>0.000041</x:v>
      </x:c>
      <x:c r="G77" s="33" t="n">
        <x:f>IF(ISNUMBER(E77),ROUND(E77*'Reference data'!$B$2,0),"Unknown")</x:f>
        <x:v>4</x:v>
      </x:c>
      <x:c r="H77" s="33" t="n">
        <x:f>IF(ISNUMBER(F77),ROUND(F77*'Reference data'!$B$2,0),"Unknown")</x:f>
        <x:v>4</x:v>
      </x:c>
      <x:c r="I77" s="14"/>
      <x:c r="J77" s="2"/>
      <x:c r="K77" s="2"/>
      <x:c r="L77" s="33"/>
      <x:c r="M77" s="2"/>
    </x:row>
    <x:row r="78" ht="24" customHeight="1">
      <x:c r="A78" s="2" t="str">
        <x:v>R6</x:v>
      </x:c>
      <x:c r="B78" s="2" t="n">
        <x:v>2</x:v>
      </x:c>
      <x:c r="C78" s="2" t="str">
        <x:v>    Tool definitions</x:v>
      </x:c>
      <x:c r="D78" s="33"/>
      <x:c r="E78" s="11"/>
      <x:c r="F78" s="11"/>
      <x:c r="G78" s="33"/>
      <x:c r="H78" s="33"/>
      <x:c r="I78" s="14"/>
      <x:c r="J78" s="2"/>
      <x:c r="K78" s="2"/>
      <x:c r="L78" s="33"/>
      <x:c r="M78" s="2"/>
    </x:row>
    <x:row r="79" ht="73" customHeight="1">
      <x:c r="A79" s="2" t="str">
        <x:v>R6</x:v>
      </x:c>
      <x:c r="B79" s="2" t="n">
        <x:v>2</x:v>
      </x:c>
      <x:c r="C79" s="2" t="str">
        <x:v>    System prompt</x:v>
      </x:c>
      <x:c r="D79" s="33"/>
      <x:c r="E79" s="11"/>
      <x:c r="F79" s="11"/>
      <x:c r="G79" s="33"/>
      <x:c r="H79" s="33"/>
      <x:c r="I79" s="14" t="str">
        <x:v>You are the sports expert. Use search_sports_reference to retrieve evidence before answering the delegated question. Base factual claims on the returned passages and cite their source URLs. If no relevant evidence is found, explain the collection's limits instead of inventing an answer or claiming web research. Answer concisely. The collection is a small local teaching reference, not a complete or continually updated source.</x:v>
      </x:c>
      <x:c r="J79" s="2"/>
      <x:c r="K79" s="2"/>
      <x:c r="L79" s="33"/>
      <x:c r="M79" s="2"/>
    </x:row>
    <x:row r="80" ht="24" customHeight="1">
      <x:c r="A80" s="2" t="str">
        <x:v>R6</x:v>
      </x:c>
      <x:c r="B80" s="2" t="n">
        <x:v>2</x:v>
      </x:c>
      <x:c r="C80" s="2" t="str">
        <x:v>Cache write</x:v>
      </x:c>
      <x:c r="D80" s="33"/>
      <x:c r="E80" s="11"/>
      <x:c r="F80" s="11"/>
      <x:c r="G80" s="33"/>
      <x:c r="H80" s="33"/>
      <x:c r="I80" s="14"/>
      <x:c r="J80" s="2"/>
      <x:c r="K80" s="2"/>
      <x:c r="L80" s="33"/>
      <x:c r="M80" s="2"/>
    </x:row>
    <x:row r="81" ht="24" customHeight="1">
      <x:c r="A81" s="2" t="str">
        <x:v>R6</x:v>
      </x:c>
      <x:c r="B81" s="2" t="n">
        <x:v>2</x:v>
      </x:c>
      <x:c r="C81" s="2" t="str">
        <x:v>Context · added / total</x:v>
      </x:c>
      <x:c r="D81" s="33"/>
      <x:c r="E81" s="11"/>
      <x:c r="F81" s="11"/>
      <x:c r="G81" s="33"/>
      <x:c r="H81" s="33"/>
      <x:c r="I81" s="14"/>
      <x:c r="J81" s="2"/>
      <x:c r="K81" s="2"/>
      <x:c r="L81" s="33"/>
      <x:c r="M81" s="2"/>
    </x:row>
    <x:row r="82" ht="24" customHeight="1">
      <x:c r="A82" s="21" t="str">
        <x:v>R6</x:v>
      </x:c>
      <x:c r="B82" s="21" t="n">
        <x:v>2</x:v>
      </x:c>
      <x:c r="C82" s="21" t="str">
        <x:v>LLM response</x:v>
      </x:c>
      <x:c r="D82" s="32" t="n">
        <x:v>48</x:v>
      </x:c>
      <x:c r="E82" s="29"/>
      <x:c r="F82" s="29"/>
      <x:c r="G82" s="32"/>
      <x:c r="H82" s="32"/>
      <x:c r="I82" s="26"/>
      <x:c r="J82" s="21"/>
      <x:c r="K82" s="21"/>
      <x:c r="L82" s="32"/>
      <x:c r="M82" s="21"/>
    </x:row>
    <x:row r="83" ht="24" customHeight="1">
      <x:c r="A83" s="2" t="str">
        <x:v>R6</x:v>
      </x:c>
      <x:c r="B83" s="2" t="n">
        <x:v>2</x:v>
      </x:c>
      <x:c r="C83" s="22" t="str">
        <x:v>Reasoning</x:v>
      </x:c>
      <x:c r="D83" s="33" t="n">
        <x:v>9</x:v>
      </x:c>
      <x:c r="E83" s="11" t="n">
        <x:f>IF(AND(ISNUMBER(F83),ISNUMBER('Reference data'!$B$3)),F83*'Reference data'!$B$3,"Unknown")</x:f>
        <x:v>0.000009424079999999999</x:v>
      </x:c>
      <x:c r="F83" s="11" t="n">
        <x:f>IF(D83=0,0,IF(ISNUMBER('Reference data'!F17),D83*'Reference data'!F17/1000000,"Unknown"))</x:f>
        <x:v>0.000010799999999999998</x:v>
      </x:c>
      <x:c r="G83" s="33" t="n">
        <x:f>IF(ISNUMBER(E83),ROUND(E83*'Reference data'!$B$2,0),"Unknown")</x:f>
        <x:v>1</x:v>
      </x:c>
      <x:c r="H83" s="33" t="n">
        <x:f>IF(ISNUMBER(F83),ROUND(F83*'Reference data'!$B$2,0),"Unknown")</x:f>
        <x:v>1</x:v>
      </x:c>
      <x:c r="I83" s="14"/>
      <x:c r="J83" s="2"/>
      <x:c r="K83" s="2"/>
      <x:c r="L83" s="33"/>
      <x:c r="M83" s="2"/>
    </x:row>
    <x:row r="84" ht="24" customHeight="1">
      <x:c r="A84" s="2" t="str">
        <x:v>R6</x:v>
      </x:c>
      <x:c r="B84" s="2" t="n">
        <x:v>2</x:v>
      </x:c>
      <x:c r="C84" s="22" t="str">
        <x:v>Output</x:v>
      </x:c>
      <x:c r="D84" s="33" t="n">
        <x:v>39</x:v>
      </x:c>
      <x:c r="E84" s="11" t="n">
        <x:f>IF(AND(ISNUMBER(F84),ISNUMBER('Reference data'!$B$3)),F84*'Reference data'!$B$3,"Unknown")</x:f>
        <x:v>0.00004083768</x:v>
      </x:c>
      <x:c r="F84" s="11" t="n">
        <x:f>IF(D84=0,0,IF(ISNUMBER('Reference data'!E17),D84*'Reference data'!E17/1000000,"Unknown"))</x:f>
        <x:v>0.0000468</x:v>
      </x:c>
      <x:c r="G84" s="33" t="n">
        <x:f>IF(ISNUMBER(E84),ROUND(E84*'Reference data'!$B$2,0),"Unknown")</x:f>
        <x:v>4</x:v>
      </x:c>
      <x:c r="H84" s="33" t="n">
        <x:f>IF(ISNUMBER(F84),ROUND(F84*'Reference data'!$B$2,0),"Unknown")</x:f>
        <x:v>5</x:v>
      </x:c>
      <x:c r="I84" s="14"/>
      <x:c r="J84" s="2"/>
      <x:c r="K84" s="2"/>
      <x:c r="L84" s="33"/>
      <x:c r="M84" s="2"/>
    </x:row>
    <x:row r="85" ht="294" customHeight="1">
      <x:c r="A85" s="2" t="str">
        <x:v>R6</x:v>
      </x:c>
      <x:c r="B85" s="2" t="n">
        <x:v>2</x:v>
      </x:c>
      <x:c r="C85" s="2" t="str">
        <x:v>    Output content</x:v>
      </x:c>
      <x:c r="D85" s="33"/>
      <x:c r="E85" s="11"/>
      <x:c r="F85" s="11"/>
      <x:c r="G85" s="33"/>
      <x:c r="H85" s="33"/>
      <x:c r="I85" s="14" t="str">
        <x:v>[{"id":"rs_0039c236ac5f4ca5006ab12b0edaa487d282608bd430fd18d7","summary":[],"type":"reasoning","content":[],"index":0,"encrypted_content":"gAAAAABqsSsPfs-_AKdYjZv4z3_SvgrAJYHDDTw5OuwBoBwQyPjkQ5h9-U2dUBPr6Rj0vmHjDaFXrXLYR8CAW041SW84-T2Xs_y-I9AnxNn8NokQDyxEHOlr-i61aJ_txNS4Zx2I8USbmmcXvSeCXVRi8-08p7-pujTLkFbQSFrZkO5W_vC8L36ngbtnua6awd506Cw5OL6Q88VkJSlUWg9l4KZauLLtk7tzt-M33VdT_6AXbxgItU43v5m8F06PoFoPGHZTkVYPCG_3qDyuLkN8iCXQtzT_MM0glTFNDjgqJj_R1jK9aMs2TluA0dJ_WsvWWx-2QP38DM9ioQkd06h3YDz-jrAj4UP8OMmUEst-tIn1GY5IyPbHyoNVBVxsOuy_M_lxkxEoFyOkEVbzxYBsLZOJRQ-GEdKXiLqfMLnOuAmB2TIxfE_gF2zGnjXyr9ypDstplO3VgdSieTam9IlSTGJ7xfTQIVVlwqRdJiGuAxXz5MUq9IxLkOSNRZZ0DJMmklPw5jdpAjGGzBCjJgiGIGVg_yETgdfghmm6JZIQRorGOldg2L5Gi9N18KU4OZDM-g7mLo8F4iOsMDPWSefV0rL3XI1WqGWVIyYZIcxrQfG7b1v7E53TL5n6kNnnuGA8uV-l2ib9R8QSYR6-VsFFhdbDWjr79s1BdsXkj-PF0htpakd4zrrF-hy_HSWsy1pCnAGqa9V4hv7U0aZVONxlkMFl98dIHUo7gUGMC7Ai5U4oz1c8CUObIpnxTV-ZtQn5eCrr-LYPuKKv2mD-r2MVWcDaMBRtZr81dmsc4UbjD4zxwtoPeBLTUpoxKGm6FU-ZNK7OBuNQ5SRVw1s0fxLyw7xYI6FlK604eAyRrkOphlwkCe5bKdvb1KqOun8stELeZ4D-TrWEKopbfiKkQ06MvV47pDwI3r5zvf19k4eo_gK1XTGwSyJ9cq344lwzP96TFgNitpJNSsBDkuUjNouT_8NLVc3j_SRpZ9wqQf3oEtUnS4YFJuCvDUqHmf5Vr7cNXcO2ujwoE3OwFRbRPz9chAYd5FgHsL5MP9lfjfTX_C1UbugpEZCEkHeSOLrutAJOWHuefNJadK7DvTCgVNufBzghIm-v8GBMzCB25ZDZhLYvOuYz9kNQrTeLNiH_ikrzLlYCR6QTCkVPeU0OmYaxnBlQBaP62LqfWtZuMAzn7oNkh4PrNBw0zr6sr-5hE2tR8Ul9As-x"},{"type":"function_call","name":"search_sports_reference","arguments":"{\"query\":\"How many players from one basketball team are on the court at one time under standard rules?\"}","call_id":"call_MjhJFWTgR3SWZDxW795KDGJM","id":"fc_0039c236ac5f4ca5006ab12b0f1ae087d2bb7a17f6866be906","index":1}]
{"name":"search_sports_reference","args":{"query":"How many players from one basketball team are on the court at one time under standard rules?"},"id":"call_MjhJFWTgR3SWZDxW795KDGJM","type":"tool_call"}</x:v>
      </x:c>
      <x:c r="J85" s="2"/>
      <x:c r="K85" s="2"/>
      <x:c r="L85" s="33"/>
      <x:c r="M85" s="2"/>
    </x:row>
    <x:row r="86" ht="24" customHeight="1">
      <x:c r="A86" s="2" t="str">
        <x:v>R6</x:v>
      </x:c>
      <x:c r="B86" s="2" t="n">
        <x:v>2</x:v>
      </x:c>
      <x:c r="C86" s="2" t="str">
        <x:v>Cache write</x:v>
      </x:c>
      <x:c r="D86" s="33"/>
      <x:c r="E86" s="11"/>
      <x:c r="F86" s="11"/>
      <x:c r="G86" s="33"/>
      <x:c r="H86" s="33"/>
      <x:c r="I86" s="14"/>
      <x:c r="J86" s="2"/>
      <x:c r="K86" s="2"/>
      <x:c r="L86" s="33"/>
      <x:c r="M86" s="2"/>
    </x:row>
    <x:row r="87" ht="24" customHeight="1">
      <x:c r="A87" s="2" t="str">
        <x:v>R6</x:v>
      </x:c>
      <x:c r="B87" s="2" t="n">
        <x:v>2</x:v>
      </x:c>
      <x:c r="C87" s="2" t="str">
        <x:v>Context · added / total</x:v>
      </x:c>
      <x:c r="D87" s="33"/>
      <x:c r="E87" s="11"/>
      <x:c r="F87" s="11"/>
      <x:c r="G87" s="33"/>
      <x:c r="H87" s="33"/>
      <x:c r="I87" s="14"/>
      <x:c r="J87" s="2"/>
      <x:c r="K87" s="2"/>
      <x:c r="L87" s="33"/>
      <x:c r="M87" s="2"/>
    </x:row>
    <x:row r="88" ht="24" customHeight="1">
      <x:c r="A88" s="21" t="str">
        <x:v>R6</x:v>
      </x:c>
      <x:c r="B88" s="21" t="n">
        <x:v>2</x:v>
      </x:c>
      <x:c r="C88" s="21" t="str">
        <x:v>Call total</x:v>
      </x:c>
      <x:c r="D88" s="32"/>
      <x:c r="E88" s="29" t="n">
        <x:f>IF(COUNT(E77,E83,E84)=3,SUM(E77,E83,E84),"Unknown")</x:f>
        <x:v>0.00008603836</x:v>
      </x:c>
      <x:c r="F88" s="29" t="n">
        <x:f>IF(COUNT(F77,F83,F84)=3,SUM(F77,F83,F84),"Unknown")</x:f>
        <x:v>0.0000986</x:v>
      </x:c>
      <x:c r="G88" s="32" t="n">
        <x:f>IF(ISNUMBER(E88),ROUND(E88*'Reference data'!$B$2,0),"Unknown")</x:f>
        <x:v>9</x:v>
      </x:c>
      <x:c r="H88" s="32" t="n">
        <x:f>IF(ISNUMBER(F88),ROUND(F88*'Reference data'!$B$2,0),"Unknown")</x:f>
        <x:v>10</x:v>
      </x:c>
      <x:c r="I88" s="26"/>
      <x:c r="J88" s="21"/>
      <x:c r="K88" s="21" t="str">
        <x:v>ok</x:v>
      </x:c>
      <x:c r="L88" s="32"/>
      <x:c r="M88" s="21"/>
    </x:row>
    <x:row r="89" ht="24" customHeight="1">
      <x:c r="A89" s="24"/>
      <x:c r="B89" s="24" t="n">
        <x:v>2</x:v>
      </x:c>
      <x:c r="C89" s="24" t="str">
        <x:v>Tool · search_sports_reference</x:v>
      </x:c>
      <x:c r="D89" s="34"/>
      <x:c r="E89" s="30"/>
      <x:c r="F89" s="30"/>
      <x:c r="G89" s="34"/>
      <x:c r="H89" s="34"/>
      <x:c r="I89" s="27"/>
      <x:c r="J89" s="24"/>
      <x:c r="K89" s="24" t="str">
        <x:v>ok</x:v>
      </x:c>
      <x:c r="L89" s="34"/>
      <x:c r="M89" s="24" t="str">
        <x:v>01a0c410-3488-77a0-a1a0-b747dbbbdf3e</x:v>
      </x:c>
    </x:row>
    <x:row r="90" ht="34" customHeight="1">
      <x:c r="A90" s="2"/>
      <x:c r="B90" s="2" t="n">
        <x:v>2</x:v>
      </x:c>
      <x:c r="C90" s="2" t="str">
        <x:v>    Arguments</x:v>
      </x:c>
      <x:c r="D90" s="33"/>
      <x:c r="E90" s="11"/>
      <x:c r="F90" s="11"/>
      <x:c r="G90" s="33"/>
      <x:c r="H90" s="33"/>
      <x:c r="I90" s="14" t="str">
        <x:v>{'query': 'How many players from one basketball team are on the court at one time under standard rules?'}</x:v>
      </x:c>
      <x:c r="J90" s="2"/>
      <x:c r="K90" s="2"/>
      <x:c r="L90" s="33"/>
      <x:c r="M90" s="2"/>
    </x:row>
    <x:row r="91" ht="60" customHeight="1">
      <x:c r="A91" s="2"/>
      <x:c r="B91" s="2" t="n">
        <x:v>2</x:v>
      </x:c>
      <x:c r="C91" s="2" t="str">
        <x:v>    Result</x:v>
      </x:c>
      <x:c r="D91" s="33"/>
      <x:c r="E91" s="11"/>
      <x:c r="F91" s="11"/>
      <x:c r="G91" s="33"/>
      <x:c r="H91" s="33"/>
      <x:c r="I91" s="14" t="str">
        <x:v>Standard basketball teams
Standard basketball has two teams of five players on court. This is not the separate 3x3 format.
Source: https://about.fiba.basketball/en/our-sport/basketball</x:v>
      </x:c>
      <x:c r="J91" s="2"/>
      <x:c r="K91" s="2"/>
      <x:c r="L91" s="33"/>
      <x:c r="M91" s="2"/>
    </x:row>
    <x:row r="92" ht="24" customHeight="1">
      <x:c r="A92" s="21" t="str">
        <x:v>R7</x:v>
      </x:c>
      <x:c r="B92" s="21" t="n">
        <x:v>2</x:v>
      </x:c>
      <x:c r="C92" s="21" t="str">
        <x:v>LLM request</x:v>
      </x:c>
      <x:c r="D92" s="32" t="n">
        <x:v>310</x:v>
      </x:c>
      <x:c r="E92" s="29"/>
      <x:c r="F92" s="29"/>
      <x:c r="G92" s="32"/>
      <x:c r="H92" s="32"/>
      <x:c r="I92" s="26"/>
      <x:c r="J92" s="21" t="str">
        <x:v>gpt-5.6-luna</x:v>
      </x:c>
      <x:c r="K92" s="21"/>
      <x:c r="L92" s="32"/>
      <x:c r="M92" s="21" t="str">
        <x:v>01a0c410-348d-7d63-9524-90486ccff0f0</x:v>
      </x:c>
    </x:row>
    <x:row r="93" ht="24" customHeight="1">
      <x:c r="A93" s="2" t="str">
        <x:v>R7</x:v>
      </x:c>
      <x:c r="B93" s="2" t="n">
        <x:v>2</x:v>
      </x:c>
      <x:c r="C93" s="22" t="str">
        <x:v>Conversation history · cache read</x:v>
      </x:c>
      <x:c r="D93" s="33" t="n">
        <x:v>0</x:v>
      </x:c>
      <x:c r="E93" s="11" t="n">
        <x:f>IF(AND(ISNUMBER(F93),ISNUMBER('Reference data'!$B$3)),F93*'Reference data'!$B$3,"Unknown")</x:f>
        <x:v>0</x:v>
      </x:c>
      <x:c r="F93" s="11" t="n">
        <x:f>IF(D93=0,0,IF(ISNUMBER('Reference data'!C17),D93*'Reference data'!C17/1000000,"Unknown"))</x:f>
        <x:v>0</x:v>
      </x:c>
      <x:c r="G93" s="33" t="n">
        <x:f>IF(ISNUMBER(E93),ROUND(E93*'Reference data'!$B$2,0),"Unknown")</x:f>
        <x:v>0</x:v>
      </x:c>
      <x:c r="H93" s="33" t="n">
        <x:f>IF(ISNUMBER(F93),ROUND(F93*'Reference data'!$B$2,0),"Unknown")</x:f>
        <x:v>0</x:v>
      </x:c>
      <x:c r="I93" s="14"/>
      <x:c r="J93" s="2"/>
      <x:c r="K93" s="2"/>
      <x:c r="L93" s="33"/>
      <x:c r="M93" s="2"/>
    </x:row>
    <x:row r="94" ht="24" customHeight="1">
      <x:c r="A94" s="2" t="str">
        <x:v>R7</x:v>
      </x:c>
      <x:c r="B94" s="2" t="n">
        <x:v>2</x:v>
      </x:c>
      <x:c r="C94" s="22" t="str">
        <x:v>Fresh input</x:v>
      </x:c>
      <x:c r="D94" s="33" t="n">
        <x:v>310</x:v>
      </x:c>
      <x:c r="E94" s="11" t="n">
        <x:f>IF(AND(ISNUMBER(F94),ISNUMBER('Reference data'!$B$3)),F94*'Reference data'!$B$3,"Unknown")</x:f>
        <x:v>0.0000541012</x:v>
      </x:c>
      <x:c r="F94" s="11" t="n">
        <x:f>IF(D94=0,0,IF(ISNUMBER('Reference data'!B17),D94*'Reference data'!B17/1000000,"Unknown"))</x:f>
        <x:v>0.000062</x:v>
      </x:c>
      <x:c r="G94" s="33" t="n">
        <x:f>IF(ISNUMBER(E94),ROUND(E94*'Reference data'!$B$2,0),"Unknown")</x:f>
        <x:v>5</x:v>
      </x:c>
      <x:c r="H94" s="33" t="n">
        <x:f>IF(ISNUMBER(F94),ROUND(F94*'Reference data'!$B$2,0),"Unknown")</x:f>
        <x:v>6</x:v>
      </x:c>
      <x:c r="I94" s="14"/>
      <x:c r="J94" s="2"/>
      <x:c r="K94" s="2"/>
      <x:c r="L94" s="33"/>
      <x:c r="M94" s="2"/>
    </x:row>
    <x:row r="95" ht="60" customHeight="1">
      <x:c r="A95" s="2" t="str">
        <x:v>R7</x:v>
      </x:c>
      <x:c r="B95" s="2" t="n">
        <x:v>2</x:v>
      </x:c>
      <x:c r="C95" s="2" t="str">
        <x:v>    Tool result</x:v>
      </x:c>
      <x:c r="D95" s="33"/>
      <x:c r="E95" s="11"/>
      <x:c r="F95" s="11"/>
      <x:c r="G95" s="33"/>
      <x:c r="H95" s="33"/>
      <x:c r="I95" s="14" t="str">
        <x:v>Standard basketball teams
Standard basketball has two teams of five players on court. This is not the separate 3x3 format.
Source: https://about.fiba.basketball/en/our-sport/basketball</x:v>
      </x:c>
      <x:c r="J95" s="2"/>
      <x:c r="K95" s="2"/>
      <x:c r="L95" s="33"/>
      <x:c r="M95" s="2"/>
    </x:row>
    <x:row r="96" ht="24" customHeight="1">
      <x:c r="A96" s="2" t="str">
        <x:v>R7</x:v>
      </x:c>
      <x:c r="B96" s="2" t="n">
        <x:v>2</x:v>
      </x:c>
      <x:c r="C96" s="2" t="str">
        <x:v>Cache write</x:v>
      </x:c>
      <x:c r="D96" s="33"/>
      <x:c r="E96" s="11"/>
      <x:c r="F96" s="11"/>
      <x:c r="G96" s="33"/>
      <x:c r="H96" s="33"/>
      <x:c r="I96" s="14"/>
      <x:c r="J96" s="2"/>
      <x:c r="K96" s="2"/>
      <x:c r="L96" s="33"/>
      <x:c r="M96" s="2"/>
    </x:row>
    <x:row r="97" ht="24" customHeight="1">
      <x:c r="A97" s="2" t="str">
        <x:v>R7</x:v>
      </x:c>
      <x:c r="B97" s="2" t="n">
        <x:v>2</x:v>
      </x:c>
      <x:c r="C97" s="2" t="str">
        <x:v>Context · added / total</x:v>
      </x:c>
      <x:c r="D97" s="33"/>
      <x:c r="E97" s="11"/>
      <x:c r="F97" s="11"/>
      <x:c r="G97" s="33"/>
      <x:c r="H97" s="33"/>
      <x:c r="I97" s="14"/>
      <x:c r="J97" s="2"/>
      <x:c r="K97" s="2"/>
      <x:c r="L97" s="33"/>
      <x:c r="M97" s="2"/>
    </x:row>
    <x:row r="98" ht="24" customHeight="1">
      <x:c r="A98" s="21" t="str">
        <x:v>R7</x:v>
      </x:c>
      <x:c r="B98" s="21" t="n">
        <x:v>2</x:v>
      </x:c>
      <x:c r="C98" s="21" t="str">
        <x:v>LLM response</x:v>
      </x:c>
      <x:c r="D98" s="32" t="n">
        <x:v>61</x:v>
      </x:c>
      <x:c r="E98" s="29"/>
      <x:c r="F98" s="29"/>
      <x:c r="G98" s="32"/>
      <x:c r="H98" s="32"/>
      <x:c r="I98" s="26"/>
      <x:c r="J98" s="21"/>
      <x:c r="K98" s="21"/>
      <x:c r="L98" s="32"/>
      <x:c r="M98" s="21"/>
    </x:row>
    <x:row r="99" ht="24" customHeight="1">
      <x:c r="A99" s="2" t="str">
        <x:v>R7</x:v>
      </x:c>
      <x:c r="B99" s="2" t="n">
        <x:v>2</x:v>
      </x:c>
      <x:c r="C99" s="22" t="str">
        <x:v>Output</x:v>
      </x:c>
      <x:c r="D99" s="33" t="n">
        <x:v>61</x:v>
      </x:c>
      <x:c r="E99" s="11" t="n">
        <x:f>IF(AND(ISNUMBER(F99),ISNUMBER('Reference data'!$B$3)),F99*'Reference data'!$B$3,"Unknown")</x:f>
        <x:v>0.00006387432</x:v>
      </x:c>
      <x:c r="F99" s="11" t="n">
        <x:f>IF(D99=0,0,IF(ISNUMBER('Reference data'!E17),D99*'Reference data'!E17/1000000,"Unknown"))</x:f>
        <x:v>0.0000732</x:v>
      </x:c>
      <x:c r="G99" s="33" t="n">
        <x:f>IF(ISNUMBER(E99),ROUND(E99*'Reference data'!$B$2,0),"Unknown")</x:f>
        <x:v>6</x:v>
      </x:c>
      <x:c r="H99" s="33" t="n">
        <x:f>IF(ISNUMBER(F99),ROUND(F99*'Reference data'!$B$2,0),"Unknown")</x:f>
        <x:v>7</x:v>
      </x:c>
      <x:c r="I99" s="14"/>
      <x:c r="J99" s="2"/>
      <x:c r="K99" s="2"/>
      <x:c r="L99" s="33"/>
      <x:c r="M99" s="2"/>
    </x:row>
    <x:row r="100" ht="60" customHeight="1">
      <x:c r="A100" s="2" t="str">
        <x:v>R7</x:v>
      </x:c>
      <x:c r="B100" s="2" t="n">
        <x:v>2</x:v>
      </x:c>
      <x:c r="C100" s="2" t="str">
        <x:v>    Output content</x:v>
      </x:c>
      <x:c r="D100" s="33"/>
      <x:c r="E100" s="11"/>
      <x:c r="F100" s="11"/>
      <x:c r="G100" s="33"/>
      <x:c r="H100" s="33"/>
      <x:c r="I100" s="14" t="str">
        <x:v>[{"type":"text","text":"Under standard basketball rules, **five players from each team** are on the court at one time. This refers to the on-court lineup, not the team’s total roster. [FIBA](https://about.fiba.basketball/en/our-sport/basketball)","phase":"final_answer","index":0,"id":"msg_0039c236ac5f4ca5006ab12b10d22087d2b0d14d80ec4a6a84"}]</x:v>
      </x:c>
      <x:c r="J100" s="2"/>
      <x:c r="K100" s="2"/>
      <x:c r="L100" s="33"/>
      <x:c r="M100" s="2"/>
    </x:row>
    <x:row r="101" ht="24" customHeight="1">
      <x:c r="A101" s="2" t="str">
        <x:v>R7</x:v>
      </x:c>
      <x:c r="B101" s="2" t="n">
        <x:v>2</x:v>
      </x:c>
      <x:c r="C101" s="2" t="str">
        <x:v>Cache write</x:v>
      </x:c>
      <x:c r="D101" s="33"/>
      <x:c r="E101" s="11"/>
      <x:c r="F101" s="11"/>
      <x:c r="G101" s="33"/>
      <x:c r="H101" s="33"/>
      <x:c r="I101" s="14"/>
      <x:c r="J101" s="2"/>
      <x:c r="K101" s="2"/>
      <x:c r="L101" s="33"/>
      <x:c r="M101" s="2"/>
    </x:row>
    <x:row r="102" ht="24" customHeight="1">
      <x:c r="A102" s="2" t="str">
        <x:v>R7</x:v>
      </x:c>
      <x:c r="B102" s="2" t="n">
        <x:v>2</x:v>
      </x:c>
      <x:c r="C102" s="2" t="str">
        <x:v>Context · added / total</x:v>
      </x:c>
      <x:c r="D102" s="33"/>
      <x:c r="E102" s="11"/>
      <x:c r="F102" s="11"/>
      <x:c r="G102" s="33"/>
      <x:c r="H102" s="33"/>
      <x:c r="I102" s="14"/>
      <x:c r="J102" s="2"/>
      <x:c r="K102" s="2"/>
      <x:c r="L102" s="33"/>
      <x:c r="M102" s="2"/>
    </x:row>
    <x:row r="103" ht="24" customHeight="1">
      <x:c r="A103" s="21" t="str">
        <x:v>R7</x:v>
      </x:c>
      <x:c r="B103" s="21" t="n">
        <x:v>2</x:v>
      </x:c>
      <x:c r="C103" s="21" t="str">
        <x:v>Call total</x:v>
      </x:c>
      <x:c r="D103" s="32"/>
      <x:c r="E103" s="29" t="n">
        <x:f>IF(COUNT(E93,E94,E99)=3,SUM(E93,E94,E99),"Unknown")</x:f>
        <x:v>0.00011797552</x:v>
      </x:c>
      <x:c r="F103" s="29" t="n">
        <x:f>IF(COUNT(F93,F94,F99)=3,SUM(F93,F94,F99),"Unknown")</x:f>
        <x:v>0.0001352</x:v>
      </x:c>
      <x:c r="G103" s="32" t="n">
        <x:f>IF(ISNUMBER(E103),ROUND(E103*'Reference data'!$B$2,0),"Unknown")</x:f>
        <x:v>12</x:v>
      </x:c>
      <x:c r="H103" s="32" t="n">
        <x:f>IF(ISNUMBER(F103),ROUND(F103*'Reference data'!$B$2,0),"Unknown")</x:f>
        <x:v>14</x:v>
      </x:c>
      <x:c r="I103" s="26"/>
      <x:c r="J103" s="21"/>
      <x:c r="K103" s="21" t="str">
        <x:v>ok</x:v>
      </x:c>
      <x:c r="L103" s="32"/>
      <x:c r="M103" s="21"/>
    </x:row>
    <x:row r="104" ht="24" customHeight="1">
      <x:c r="A104" s="21" t="str">
        <x:v>R8</x:v>
      </x:c>
      <x:c r="B104" s="21" t="n">
        <x:v>2</x:v>
      </x:c>
      <x:c r="C104" s="21" t="str">
        <x:v>LLM request</x:v>
      </x:c>
      <x:c r="D104" s="32" t="n">
        <x:v>542</x:v>
      </x:c>
      <x:c r="E104" s="29"/>
      <x:c r="F104" s="29"/>
      <x:c r="G104" s="32"/>
      <x:c r="H104" s="32"/>
      <x:c r="I104" s="26"/>
      <x:c r="J104" s="21" t="str">
        <x:v>gpt-5.6-luna</x:v>
      </x:c>
      <x:c r="K104" s="21"/>
      <x:c r="L104" s="32"/>
      <x:c r="M104" s="21" t="str">
        <x:v>01a0c410-3ccd-7fa1-82a8-665696c0109d</x:v>
      </x:c>
    </x:row>
    <x:row r="105" ht="24" customHeight="1">
      <x:c r="A105" s="2" t="str">
        <x:v>R8</x:v>
      </x:c>
      <x:c r="B105" s="2" t="n">
        <x:v>2</x:v>
      </x:c>
      <x:c r="C105" s="22" t="str">
        <x:v>Conversation history · cache read</x:v>
      </x:c>
      <x:c r="D105" s="33" t="n">
        <x:v>0</x:v>
      </x:c>
      <x:c r="E105" s="11" t="n">
        <x:f>IF(AND(ISNUMBER(F105),ISNUMBER('Reference data'!$B$3)),F105*'Reference data'!$B$3,"Unknown")</x:f>
        <x:v>0</x:v>
      </x:c>
      <x:c r="F105" s="11" t="n">
        <x:f>IF(D105=0,0,IF(ISNUMBER('Reference data'!C17),D105*'Reference data'!C17/1000000,"Unknown"))</x:f>
        <x:v>0</x:v>
      </x:c>
      <x:c r="G105" s="33" t="n">
        <x:f>IF(ISNUMBER(E105),ROUND(E105*'Reference data'!$B$2,0),"Unknown")</x:f>
        <x:v>0</x:v>
      </x:c>
      <x:c r="H105" s="33" t="n">
        <x:f>IF(ISNUMBER(F105),ROUND(F105*'Reference data'!$B$2,0),"Unknown")</x:f>
        <x:v>0</x:v>
      </x:c>
      <x:c r="I105" s="14"/>
      <x:c r="J105" s="2"/>
      <x:c r="K105" s="2"/>
      <x:c r="L105" s="33"/>
      <x:c r="M105" s="2"/>
    </x:row>
    <x:row r="106" ht="24" customHeight="1">
      <x:c r="A106" s="2" t="str">
        <x:v>R8</x:v>
      </x:c>
      <x:c r="B106" s="2" t="n">
        <x:v>2</x:v>
      </x:c>
      <x:c r="C106" s="22" t="str">
        <x:v>Fresh input</x:v>
      </x:c>
      <x:c r="D106" s="33" t="n">
        <x:v>542</x:v>
      </x:c>
      <x:c r="E106" s="11" t="n">
        <x:f>IF(AND(ISNUMBER(F106),ISNUMBER('Reference data'!$B$3)),F106*'Reference data'!$B$3,"Unknown")</x:f>
        <x:v>0.00009458984</x:v>
      </x:c>
      <x:c r="F106" s="11" t="n">
        <x:f>IF(D106=0,0,IF(ISNUMBER('Reference data'!B17),D106*'Reference data'!B17/1000000,"Unknown"))</x:f>
        <x:v>0.0001084</x:v>
      </x:c>
      <x:c r="G106" s="33" t="n">
        <x:f>IF(ISNUMBER(E106),ROUND(E106*'Reference data'!$B$2,0),"Unknown")</x:f>
        <x:v>9</x:v>
      </x:c>
      <x:c r="H106" s="33" t="n">
        <x:f>IF(ISNUMBER(F106),ROUND(F106*'Reference data'!$B$2,0),"Unknown")</x:f>
        <x:v>11</x:v>
      </x:c>
      <x:c r="I106" s="14"/>
      <x:c r="J106" s="2"/>
      <x:c r="K106" s="2"/>
      <x:c r="L106" s="33"/>
      <x:c r="M106" s="2"/>
    </x:row>
    <x:row r="107" ht="47" customHeight="1">
      <x:c r="A107" s="2" t="str">
        <x:v>R8</x:v>
      </x:c>
      <x:c r="B107" s="2" t="n">
        <x:v>2</x:v>
      </x:c>
      <x:c r="C107" s="2" t="str">
        <x:v>    Tool result</x:v>
      </x:c>
      <x:c r="D107" s="33"/>
      <x:c r="E107" s="11"/>
      <x:c r="F107" s="11"/>
      <x:c r="G107" s="33"/>
      <x:c r="H107" s="33"/>
      <x:c r="I107" s="14" t="str">
        <x:v>Under standard basketball rules, **five players from each team** are on the court at one time. This refers to the on-court lineup, not the team’s total roster. [FIBA](https://about.fiba.basketball/en/our-sport/basketball)</x:v>
      </x:c>
      <x:c r="J107" s="2"/>
      <x:c r="K107" s="2"/>
      <x:c r="L107" s="33"/>
      <x:c r="M107" s="2"/>
    </x:row>
    <x:row r="108" ht="24" customHeight="1">
      <x:c r="A108" s="2" t="str">
        <x:v>R8</x:v>
      </x:c>
      <x:c r="B108" s="2" t="n">
        <x:v>2</x:v>
      </x:c>
      <x:c r="C108" s="2" t="str">
        <x:v>Cache write</x:v>
      </x:c>
      <x:c r="D108" s="33"/>
      <x:c r="E108" s="11"/>
      <x:c r="F108" s="11"/>
      <x:c r="G108" s="33"/>
      <x:c r="H108" s="33"/>
      <x:c r="I108" s="14"/>
      <x:c r="J108" s="2"/>
      <x:c r="K108" s="2"/>
      <x:c r="L108" s="33"/>
      <x:c r="M108" s="2"/>
    </x:row>
    <x:row r="109" ht="24" customHeight="1">
      <x:c r="A109" s="2" t="str">
        <x:v>R8</x:v>
      </x:c>
      <x:c r="B109" s="2" t="n">
        <x:v>2</x:v>
      </x:c>
      <x:c r="C109" s="2" t="str">
        <x:v>Context · added / total</x:v>
      </x:c>
      <x:c r="D109" s="33"/>
      <x:c r="E109" s="11"/>
      <x:c r="F109" s="11"/>
      <x:c r="G109" s="33"/>
      <x:c r="H109" s="33"/>
      <x:c r="I109" s="14"/>
      <x:c r="J109" s="2"/>
      <x:c r="K109" s="2"/>
      <x:c r="L109" s="33"/>
      <x:c r="M109" s="2"/>
    </x:row>
    <x:row r="110" ht="24" customHeight="1">
      <x:c r="A110" s="21" t="str">
        <x:v>R8</x:v>
      </x:c>
      <x:c r="B110" s="21" t="n">
        <x:v>2</x:v>
      </x:c>
      <x:c r="C110" s="21" t="str">
        <x:v>LLM response</x:v>
      </x:c>
      <x:c r="D110" s="32" t="n">
        <x:v>18</x:v>
      </x:c>
      <x:c r="E110" s="29"/>
      <x:c r="F110" s="29"/>
      <x:c r="G110" s="32"/>
      <x:c r="H110" s="32"/>
      <x:c r="I110" s="26"/>
      <x:c r="J110" s="21"/>
      <x:c r="K110" s="21"/>
      <x:c r="L110" s="32"/>
      <x:c r="M110" s="21"/>
    </x:row>
    <x:row r="111" ht="24" customHeight="1">
      <x:c r="A111" s="2" t="str">
        <x:v>R8</x:v>
      </x:c>
      <x:c r="B111" s="2" t="n">
        <x:v>2</x:v>
      </x:c>
      <x:c r="C111" s="22" t="str">
        <x:v>Output</x:v>
      </x:c>
      <x:c r="D111" s="33" t="n">
        <x:v>18</x:v>
      </x:c>
      <x:c r="E111" s="11" t="n">
        <x:f>IF(AND(ISNUMBER(F111),ISNUMBER('Reference data'!$B$3)),F111*'Reference data'!$B$3,"Unknown")</x:f>
        <x:v>0.000018848159999999997</x:v>
      </x:c>
      <x:c r="F111" s="11" t="n">
        <x:f>IF(D111=0,0,IF(ISNUMBER('Reference data'!E17),D111*'Reference data'!E17/1000000,"Unknown"))</x:f>
        <x:v>0.000021599999999999996</x:v>
      </x:c>
      <x:c r="G111" s="33" t="n">
        <x:f>IF(ISNUMBER(E111),ROUND(E111*'Reference data'!$B$2,0),"Unknown")</x:f>
        <x:v>2</x:v>
      </x:c>
      <x:c r="H111" s="33" t="n">
        <x:f>IF(ISNUMBER(F111),ROUND(F111*'Reference data'!$B$2,0),"Unknown")</x:f>
        <x:v>2</x:v>
      </x:c>
      <x:c r="I111" s="14"/>
      <x:c r="J111" s="2"/>
      <x:c r="K111" s="2"/>
      <x:c r="L111" s="33"/>
      <x:c r="M111" s="2"/>
    </x:row>
    <x:row r="112" ht="47" customHeight="1">
      <x:c r="A112" s="2" t="str">
        <x:v>R8</x:v>
      </x:c>
      <x:c r="B112" s="2" t="n">
        <x:v>2</x:v>
      </x:c>
      <x:c r="C112" s="2" t="str">
        <x:v>    Output content</x:v>
      </x:c>
      <x:c r="D112" s="33"/>
      <x:c r="E112" s="11"/>
      <x:c r="F112" s="11"/>
      <x:c r="G112" s="33"/>
      <x:c r="H112" s="33"/>
      <x:c r="I112" s="14" t="str">
        <x:v>[{"type":"text","text":"**Five players per team** are on the court at one time.","phase":"final_answer","index":0,"id":"msg_0e016fb6a8b02ec3006ab12b12515487d2a0423250ecccbc12"}]</x:v>
      </x:c>
      <x:c r="J112" s="2"/>
      <x:c r="K112" s="2"/>
      <x:c r="L112" s="33"/>
      <x:c r="M112" s="2"/>
    </x:row>
    <x:row r="113" ht="24" customHeight="1">
      <x:c r="A113" s="2" t="str">
        <x:v>R8</x:v>
      </x:c>
      <x:c r="B113" s="2" t="n">
        <x:v>2</x:v>
      </x:c>
      <x:c r="C113" s="2" t="str">
        <x:v>Cache write</x:v>
      </x:c>
      <x:c r="D113" s="33"/>
      <x:c r="E113" s="11"/>
      <x:c r="F113" s="11"/>
      <x:c r="G113" s="33"/>
      <x:c r="H113" s="33"/>
      <x:c r="I113" s="14"/>
      <x:c r="J113" s="2"/>
      <x:c r="K113" s="2"/>
      <x:c r="L113" s="33"/>
      <x:c r="M113" s="2"/>
    </x:row>
    <x:row r="114" ht="24" customHeight="1">
      <x:c r="A114" s="2" t="str">
        <x:v>R8</x:v>
      </x:c>
      <x:c r="B114" s="2" t="n">
        <x:v>2</x:v>
      </x:c>
      <x:c r="C114" s="2" t="str">
        <x:v>Context · added / total</x:v>
      </x:c>
      <x:c r="D114" s="33"/>
      <x:c r="E114" s="11"/>
      <x:c r="F114" s="11"/>
      <x:c r="G114" s="33"/>
      <x:c r="H114" s="33"/>
      <x:c r="I114" s="14"/>
      <x:c r="J114" s="2"/>
      <x:c r="K114" s="2"/>
      <x:c r="L114" s="33"/>
      <x:c r="M114" s="2"/>
    </x:row>
    <x:row r="115" ht="24" customHeight="1">
      <x:c r="A115" s="21" t="str">
        <x:v>R8</x:v>
      </x:c>
      <x:c r="B115" s="21" t="n">
        <x:v>2</x:v>
      </x:c>
      <x:c r="C115" s="21" t="str">
        <x:v>Call total</x:v>
      </x:c>
      <x:c r="D115" s="32"/>
      <x:c r="E115" s="29" t="n">
        <x:f>IF(COUNT(E105,E106,E111)=3,SUM(E105,E106,E111),"Unknown")</x:f>
        <x:v>0.000113438</x:v>
      </x:c>
      <x:c r="F115" s="29" t="n">
        <x:f>IF(COUNT(F105,F106,F111)=3,SUM(F105,F106,F111),"Unknown")</x:f>
        <x:v>0.00013000000000000002</x:v>
      </x:c>
      <x:c r="G115" s="32" t="n">
        <x:f>IF(ISNUMBER(E115),ROUND(E115*'Reference data'!$B$2,0),"Unknown")</x:f>
        <x:v>11</x:v>
      </x:c>
      <x:c r="H115" s="32" t="n">
        <x:f>IF(ISNUMBER(F115),ROUND(F115*'Reference data'!$B$2,0),"Unknown")</x:f>
        <x:v>13</x:v>
      </x:c>
      <x:c r="I115" s="26"/>
      <x:c r="J115" s="21"/>
      <x:c r="K115" s="21" t="str">
        <x:v>ok</x:v>
      </x:c>
      <x:c r="L115" s="32"/>
      <x:c r="M115" s="21"/>
    </x:row>
    <x:row r="116" ht="24" customHeight="1">
      <x:c r="A116" s="19"/>
      <x:c r="B116" s="19" t="n">
        <x:v>3</x:v>
      </x:c>
      <x:c r="C116" s="19" t="str">
        <x:v>Turn 3</x:v>
      </x:c>
      <x:c r="D116" s="31"/>
      <x:c r="E116" s="28" t="n">
        <x:f>IF(COUNT(E128,E144,E159,E171)=4,SUM(E128,E144,E159,E171),"Unknown")</x:f>
        <x:v>0.00047417084</x:v>
      </x:c>
      <x:c r="F116" s="28" t="n">
        <x:f>IF(COUNT(F128,F144,F159,F171)=4,SUM(F128,F144,F159,F171),"Unknown")</x:f>
        <x:v>0.0005434000000000001</x:v>
      </x:c>
      <x:c r="G116" s="31" t="n">
        <x:f>IF(ISNUMBER(E116),ROUND(E116*'Reference data'!$B$2,0),"Unknown")</x:f>
        <x:v>47</x:v>
      </x:c>
      <x:c r="H116" s="31" t="n">
        <x:f>IF(ISNUMBER(F116),ROUND(F116*'Reference data'!$B$2,0),"Unknown")</x:f>
        <x:v>54</x:v>
      </x:c>
      <x:c r="I116" s="25"/>
      <x:c r="J116" s="19"/>
      <x:c r="K116" s="19"/>
      <x:c r="L116" s="31"/>
      <x:c r="M116" s="19"/>
    </x:row>
    <x:row r="117" ht="24" customHeight="1">
      <x:c r="A117" s="21" t="str">
        <x:v>R9</x:v>
      </x:c>
      <x:c r="B117" s="21" t="n">
        <x:v>3</x:v>
      </x:c>
      <x:c r="C117" s="21" t="str">
        <x:v>LLM request</x:v>
      </x:c>
      <x:c r="D117" s="32" t="n">
        <x:v>575</x:v>
      </x:c>
      <x:c r="E117" s="29"/>
      <x:c r="F117" s="29"/>
      <x:c r="G117" s="32"/>
      <x:c r="H117" s="32"/>
      <x:c r="I117" s="26"/>
      <x:c r="J117" s="21" t="str">
        <x:v>gpt-5.6-luna</x:v>
      </x:c>
      <x:c r="K117" s="21"/>
      <x:c r="L117" s="32"/>
      <x:c r="M117" s="21" t="str">
        <x:v>01a0c410-4110-72c0-99d7-e1e9e227592e</x:v>
      </x:c>
    </x:row>
    <x:row r="118" ht="24" customHeight="1">
      <x:c r="A118" s="2" t="str">
        <x:v>R9</x:v>
      </x:c>
      <x:c r="B118" s="2" t="n">
        <x:v>3</x:v>
      </x:c>
      <x:c r="C118" s="22" t="str">
        <x:v>Conversation history · cache read</x:v>
      </x:c>
      <x:c r="D118" s="33" t="n">
        <x:v>0</x:v>
      </x:c>
      <x:c r="E118" s="11" t="n">
        <x:f>IF(AND(ISNUMBER(F118),ISNUMBER('Reference data'!$B$3)),F118*'Reference data'!$B$3,"Unknown")</x:f>
        <x:v>0</x:v>
      </x:c>
      <x:c r="F118" s="11" t="n">
        <x:f>IF(D118=0,0,IF(ISNUMBER('Reference data'!C17),D118*'Reference data'!C17/1000000,"Unknown"))</x:f>
        <x:v>0</x:v>
      </x:c>
      <x:c r="G118" s="33" t="n">
        <x:f>IF(ISNUMBER(E118),ROUND(E118*'Reference data'!$B$2,0),"Unknown")</x:f>
        <x:v>0</x:v>
      </x:c>
      <x:c r="H118" s="33" t="n">
        <x:f>IF(ISNUMBER(F118),ROUND(F118*'Reference data'!$B$2,0),"Unknown")</x:f>
        <x:v>0</x:v>
      </x:c>
      <x:c r="I118" s="14"/>
      <x:c r="J118" s="2"/>
      <x:c r="K118" s="2"/>
      <x:c r="L118" s="33"/>
      <x:c r="M118" s="2"/>
    </x:row>
    <x:row r="119" ht="24" customHeight="1">
      <x:c r="A119" s="2" t="str">
        <x:v>R9</x:v>
      </x:c>
      <x:c r="B119" s="2" t="n">
        <x:v>3</x:v>
      </x:c>
      <x:c r="C119" s="22" t="str">
        <x:v>Fresh input</x:v>
      </x:c>
      <x:c r="D119" s="33" t="n">
        <x:v>575</x:v>
      </x:c>
      <x:c r="E119" s="11" t="n">
        <x:f>IF(AND(ISNUMBER(F119),ISNUMBER('Reference data'!$B$3)),F119*'Reference data'!$B$3,"Unknown")</x:f>
        <x:v>0.00010034900000000001</x:v>
      </x:c>
      <x:c r="F119" s="11" t="n">
        <x:f>IF(D119=0,0,IF(ISNUMBER('Reference data'!B17),D119*'Reference data'!B17/1000000,"Unknown"))</x:f>
        <x:v>0.000115</x:v>
      </x:c>
      <x:c r="G119" s="33" t="n">
        <x:f>IF(ISNUMBER(E119),ROUND(E119*'Reference data'!$B$2,0),"Unknown")</x:f>
        <x:v>10</x:v>
      </x:c>
      <x:c r="H119" s="33" t="n">
        <x:f>IF(ISNUMBER(F119),ROUND(F119*'Reference data'!$B$2,0),"Unknown")</x:f>
        <x:v>12</x:v>
      </x:c>
      <x:c r="I119" s="14"/>
      <x:c r="J119" s="2"/>
      <x:c r="K119" s="2"/>
      <x:c r="L119" s="33"/>
      <x:c r="M119" s="2"/>
    </x:row>
    <x:row r="120" ht="24" customHeight="1">
      <x:c r="A120" s="2" t="str">
        <x:v>R9</x:v>
      </x:c>
      <x:c r="B120" s="2" t="n">
        <x:v>3</x:v>
      </x:c>
      <x:c r="C120" s="2" t="str">
        <x:v>    User prompt</x:v>
      </x:c>
      <x:c r="D120" s="33"/>
      <x:c r="E120" s="11"/>
      <x:c r="F120" s="11"/>
      <x:c r="G120" s="33"/>
      <x:c r="H120" s="33"/>
      <x:c r="I120" s="14" t="str">
        <x:v>In which year did the Berlin Wall fall?</x:v>
      </x:c>
      <x:c r="J120" s="2"/>
      <x:c r="K120" s="2"/>
      <x:c r="L120" s="33"/>
      <x:c r="M120" s="2"/>
    </x:row>
    <x:row r="121" ht="24" customHeight="1">
      <x:c r="A121" s="2" t="str">
        <x:v>R9</x:v>
      </x:c>
      <x:c r="B121" s="2" t="n">
        <x:v>3</x:v>
      </x:c>
      <x:c r="C121" s="2" t="str">
        <x:v>Cache write</x:v>
      </x:c>
      <x:c r="D121" s="33"/>
      <x:c r="E121" s="11"/>
      <x:c r="F121" s="11"/>
      <x:c r="G121" s="33"/>
      <x:c r="H121" s="33"/>
      <x:c r="I121" s="14"/>
      <x:c r="J121" s="2"/>
      <x:c r="K121" s="2"/>
      <x:c r="L121" s="33"/>
      <x:c r="M121" s="2"/>
    </x:row>
    <x:row r="122" ht="24" customHeight="1">
      <x:c r="A122" s="2" t="str">
        <x:v>R9</x:v>
      </x:c>
      <x:c r="B122" s="2" t="n">
        <x:v>3</x:v>
      </x:c>
      <x:c r="C122" s="2" t="str">
        <x:v>Context · added / total</x:v>
      </x:c>
      <x:c r="D122" s="33"/>
      <x:c r="E122" s="11"/>
      <x:c r="F122" s="11"/>
      <x:c r="G122" s="33"/>
      <x:c r="H122" s="33"/>
      <x:c r="I122" s="14"/>
      <x:c r="J122" s="2"/>
      <x:c r="K122" s="2"/>
      <x:c r="L122" s="33"/>
      <x:c r="M122" s="2"/>
    </x:row>
    <x:row r="123" ht="24" customHeight="1">
      <x:c r="A123" s="21" t="str">
        <x:v>R9</x:v>
      </x:c>
      <x:c r="B123" s="21" t="n">
        <x:v>3</x:v>
      </x:c>
      <x:c r="C123" s="21" t="str">
        <x:v>LLM response</x:v>
      </x:c>
      <x:c r="D123" s="32" t="n">
        <x:v>52</x:v>
      </x:c>
      <x:c r="E123" s="29"/>
      <x:c r="F123" s="29"/>
      <x:c r="G123" s="32"/>
      <x:c r="H123" s="32"/>
      <x:c r="I123" s="26"/>
      <x:c r="J123" s="21"/>
      <x:c r="K123" s="21"/>
      <x:c r="L123" s="32"/>
      <x:c r="M123" s="21"/>
    </x:row>
    <x:row r="124" ht="24" customHeight="1">
      <x:c r="A124" s="2" t="str">
        <x:v>R9</x:v>
      </x:c>
      <x:c r="B124" s="2" t="n">
        <x:v>3</x:v>
      </x:c>
      <x:c r="C124" s="22" t="str">
        <x:v>Output</x:v>
      </x:c>
      <x:c r="D124" s="33" t="n">
        <x:v>52</x:v>
      </x:c>
      <x:c r="E124" s="11" t="n">
        <x:f>IF(AND(ISNUMBER(F124),ISNUMBER('Reference data'!$B$3)),F124*'Reference data'!$B$3,"Unknown")</x:f>
        <x:v>0.00005445024</x:v>
      </x:c>
      <x:c r="F124" s="11" t="n">
        <x:f>IF(D124=0,0,IF(ISNUMBER('Reference data'!E17),D124*'Reference data'!E17/1000000,"Unknown"))</x:f>
        <x:v>0.0000624</x:v>
      </x:c>
      <x:c r="G124" s="33" t="n">
        <x:f>IF(ISNUMBER(E124),ROUND(E124*'Reference data'!$B$2,0),"Unknown")</x:f>
        <x:v>5</x:v>
      </x:c>
      <x:c r="H124" s="33" t="n">
        <x:f>IF(ISNUMBER(F124),ROUND(F124*'Reference data'!$B$2,0),"Unknown")</x:f>
        <x:v>6</x:v>
      </x:c>
      <x:c r="I124" s="14"/>
      <x:c r="J124" s="2"/>
      <x:c r="K124" s="2"/>
      <x:c r="L124" s="33"/>
      <x:c r="M124" s="2"/>
    </x:row>
    <x:row r="125" ht="125" customHeight="1">
      <x:c r="A125" s="2" t="str">
        <x:v>R9</x:v>
      </x:c>
      <x:c r="B125" s="2" t="n">
        <x:v>3</x:v>
      </x:c>
      <x:c r="C125" s="2" t="str">
        <x:v>    Output content</x:v>
      </x:c>
      <x:c r="D125" s="33"/>
      <x:c r="E125" s="11"/>
      <x:c r="F125" s="11"/>
      <x:c r="G125" s="33"/>
      <x:c r="H125" s="33"/>
      <x:c r="I125" s="14" t="str">
        <x:v>[{"type":"function_call","name":"task","arguments":"{\"description\":\"Answer the history question: In which year did the Berlin Wall fall? Provide the year and optionally the date for context. Be concise and accurate.\",\"subagent_type\":\"history_expert\"}","call_id":"call_Dj1JsliajgXR8OYW4PeFuZhL","id":"fc_0e016fb6a8b02ec3006ab12b13d96c87d2936d91940bbb525b","index":0}]
{"name":"task","args":{"description":"Answer the history question: In which year did the Berlin Wall fall? Provide the year and optionally the date for context. Be concise and accurate.","subagent_type":"history_expert"},"id":"call_Dj1JsliajgXR8OYW4PeFuZhL","type":"tool_call"}</x:v>
      </x:c>
      <x:c r="J125" s="2"/>
      <x:c r="K125" s="2"/>
      <x:c r="L125" s="33"/>
      <x:c r="M125" s="2"/>
    </x:row>
    <x:row r="126" ht="24" customHeight="1">
      <x:c r="A126" s="2" t="str">
        <x:v>R9</x:v>
      </x:c>
      <x:c r="B126" s="2" t="n">
        <x:v>3</x:v>
      </x:c>
      <x:c r="C126" s="2" t="str">
        <x:v>Cache write</x:v>
      </x:c>
      <x:c r="D126" s="33"/>
      <x:c r="E126" s="11"/>
      <x:c r="F126" s="11"/>
      <x:c r="G126" s="33"/>
      <x:c r="H126" s="33"/>
      <x:c r="I126" s="14"/>
      <x:c r="J126" s="2"/>
      <x:c r="K126" s="2"/>
      <x:c r="L126" s="33"/>
      <x:c r="M126" s="2"/>
    </x:row>
    <x:row r="127" ht="24" customHeight="1">
      <x:c r="A127" s="2" t="str">
        <x:v>R9</x:v>
      </x:c>
      <x:c r="B127" s="2" t="n">
        <x:v>3</x:v>
      </x:c>
      <x:c r="C127" s="2" t="str">
        <x:v>Context · added / total</x:v>
      </x:c>
      <x:c r="D127" s="33"/>
      <x:c r="E127" s="11"/>
      <x:c r="F127" s="11"/>
      <x:c r="G127" s="33"/>
      <x:c r="H127" s="33"/>
      <x:c r="I127" s="14"/>
      <x:c r="J127" s="2"/>
      <x:c r="K127" s="2"/>
      <x:c r="L127" s="33"/>
      <x:c r="M127" s="2"/>
    </x:row>
    <x:row r="128" ht="24" customHeight="1">
      <x:c r="A128" s="21" t="str">
        <x:v>R9</x:v>
      </x:c>
      <x:c r="B128" s="21" t="n">
        <x:v>3</x:v>
      </x:c>
      <x:c r="C128" s="21" t="str">
        <x:v>Call total</x:v>
      </x:c>
      <x:c r="D128" s="32"/>
      <x:c r="E128" s="29" t="n">
        <x:f>IF(COUNT(E118,E119,E124)=3,SUM(E118,E119,E124),"Unknown")</x:f>
        <x:v>0.00015479924000000002</x:v>
      </x:c>
      <x:c r="F128" s="29" t="n">
        <x:f>IF(COUNT(F118,F119,F124)=3,SUM(F118,F119,F124),"Unknown")</x:f>
        <x:v>0.0001774</x:v>
      </x:c>
      <x:c r="G128" s="32" t="n">
        <x:f>IF(ISNUMBER(E128),ROUND(E128*'Reference data'!$B$2,0),"Unknown")</x:f>
        <x:v>15</x:v>
      </x:c>
      <x:c r="H128" s="32" t="n">
        <x:f>IF(ISNUMBER(F128),ROUND(F128*'Reference data'!$B$2,0),"Unknown")</x:f>
        <x:v>18</x:v>
      </x:c>
      <x:c r="I128" s="26"/>
      <x:c r="J128" s="21"/>
      <x:c r="K128" s="21" t="str">
        <x:v>ok</x:v>
      </x:c>
      <x:c r="L128" s="32"/>
      <x:c r="M128" s="21"/>
    </x:row>
    <x:row r="129" ht="24" customHeight="1">
      <x:c r="A129" s="24"/>
      <x:c r="B129" s="24" t="n">
        <x:v>3</x:v>
      </x:c>
      <x:c r="C129" s="24" t="str">
        <x:v>Tool · task</x:v>
      </x:c>
      <x:c r="D129" s="34"/>
      <x:c r="E129" s="30"/>
      <x:c r="F129" s="30"/>
      <x:c r="G129" s="34"/>
      <x:c r="H129" s="34"/>
      <x:c r="I129" s="27"/>
      <x:c r="J129" s="24"/>
      <x:c r="K129" s="24" t="str">
        <x:v>ok</x:v>
      </x:c>
      <x:c r="L129" s="34"/>
      <x:c r="M129" s="24" t="str">
        <x:v>01a0c410-484b-79e2-87c5-4eba7e2bdebc</x:v>
      </x:c>
    </x:row>
    <x:row r="130" ht="47" customHeight="1">
      <x:c r="A130" s="2"/>
      <x:c r="B130" s="2" t="n">
        <x:v>3</x:v>
      </x:c>
      <x:c r="C130" s="2" t="str">
        <x:v>    Arguments</x:v>
      </x:c>
      <x:c r="D130" s="33"/>
      <x:c r="E130" s="11"/>
      <x:c r="F130" s="11"/>
      <x:c r="G130" s="33"/>
      <x:c r="H130" s="33"/>
      <x:c r="I130" s="14" t="str">
        <x:v>{'description': 'Answer the history question: In which year did the Berlin Wall fall? Provide the year and optionally the date for context. Be concise and accurate.', 'subagent_type': 'history_expert'}</x:v>
      </x:c>
      <x:c r="J130" s="2"/>
      <x:c r="K130" s="2"/>
      <x:c r="L130" s="33"/>
      <x:c r="M130" s="2"/>
    </x:row>
    <x:row r="131" ht="47" customHeight="1">
      <x:c r="A131" s="2"/>
      <x:c r="B131" s="2" t="n">
        <x:v>3</x:v>
      </x:c>
      <x:c r="C131" s="2" t="str">
        <x:v>    Result</x:v>
      </x:c>
      <x:c r="D131" s="33"/>
      <x:c r="E131" s="11"/>
      <x:c r="F131" s="11"/>
      <x:c r="G131" s="33"/>
      <x:c r="H131" s="33"/>
      <x:c r="I131" s="14" t="str">
        <x:v>Command(update={'messages': [ToolMessage(content='The Berlin Wall fell in **1989**, opening on **9 November 1989**. [Source](https://www.stiftung-berliner-mauer.de/de/ueber-uns/leichte-sprache/geschichte)', tool_call_id='call_Dj1JsliajgXR8OYW4PeFuZhL')]})</x:v>
      </x:c>
      <x:c r="J131" s="2"/>
      <x:c r="K131" s="2"/>
      <x:c r="L131" s="33"/>
      <x:c r="M131" s="2"/>
    </x:row>
    <x:row r="132" ht="24" customHeight="1">
      <x:c r="A132" s="21" t="str">
        <x:v>R10</x:v>
      </x:c>
      <x:c r="B132" s="21" t="n">
        <x:v>3</x:v>
      </x:c>
      <x:c r="C132" s="21" t="str">
        <x:v>LLM request</x:v>
      </x:c>
      <x:c r="D132" s="32" t="n">
        <x:v>184</x:v>
      </x:c>
      <x:c r="E132" s="29"/>
      <x:c r="F132" s="29"/>
      <x:c r="G132" s="32"/>
      <x:c r="H132" s="32"/>
      <x:c r="I132" s="26"/>
      <x:c r="J132" s="21" t="str">
        <x:v>gpt-5.6-luna</x:v>
      </x:c>
      <x:c r="K132" s="21"/>
      <x:c r="L132" s="32"/>
      <x:c r="M132" s="21" t="str">
        <x:v>01a0c410-4851-7f72-a853-c54d506209e0</x:v>
      </x:c>
    </x:row>
    <x:row r="133" ht="24" customHeight="1">
      <x:c r="A133" s="2" t="str">
        <x:v>R10</x:v>
      </x:c>
      <x:c r="B133" s="2" t="n">
        <x:v>3</x:v>
      </x:c>
      <x:c r="C133" s="22" t="str">
        <x:v>Fresh input</x:v>
      </x:c>
      <x:c r="D133" s="33" t="n">
        <x:v>184</x:v>
      </x:c>
      <x:c r="E133" s="11" t="n">
        <x:f>IF(AND(ISNUMBER(F133),ISNUMBER('Reference data'!$B$3)),F133*'Reference data'!$B$3,"Unknown")</x:f>
        <x:v>0.000032111680000000005</x:v>
      </x:c>
      <x:c r="F133" s="11" t="n">
        <x:f>IF(D133=0,0,IF(ISNUMBER('Reference data'!B17),D133*'Reference data'!B17/1000000,"Unknown"))</x:f>
        <x:v>0.00003680000000000001</x:v>
      </x:c>
      <x:c r="G133" s="33" t="n">
        <x:f>IF(ISNUMBER(E133),ROUND(E133*'Reference data'!$B$2,0),"Unknown")</x:f>
        <x:v>3</x:v>
      </x:c>
      <x:c r="H133" s="33" t="n">
        <x:f>IF(ISNUMBER(F133),ROUND(F133*'Reference data'!$B$2,0),"Unknown")</x:f>
        <x:v>4</x:v>
      </x:c>
      <x:c r="I133" s="14"/>
      <x:c r="J133" s="2"/>
      <x:c r="K133" s="2"/>
      <x:c r="L133" s="33"/>
      <x:c r="M133" s="2"/>
    </x:row>
    <x:row r="134" ht="24" customHeight="1">
      <x:c r="A134" s="2" t="str">
        <x:v>R10</x:v>
      </x:c>
      <x:c r="B134" s="2" t="n">
        <x:v>3</x:v>
      </x:c>
      <x:c r="C134" s="2" t="str">
        <x:v>    Tool definitions</x:v>
      </x:c>
      <x:c r="D134" s="33"/>
      <x:c r="E134" s="11"/>
      <x:c r="F134" s="11"/>
      <x:c r="G134" s="33"/>
      <x:c r="H134" s="33"/>
      <x:c r="I134" s="14"/>
      <x:c r="J134" s="2"/>
      <x:c r="K134" s="2"/>
      <x:c r="L134" s="33"/>
      <x:c r="M134" s="2"/>
    </x:row>
    <x:row r="135" ht="73" customHeight="1">
      <x:c r="A135" s="2" t="str">
        <x:v>R10</x:v>
      </x:c>
      <x:c r="B135" s="2" t="n">
        <x:v>3</x:v>
      </x:c>
      <x:c r="C135" s="2" t="str">
        <x:v>    System prompt</x:v>
      </x:c>
      <x:c r="D135" s="33"/>
      <x:c r="E135" s="11"/>
      <x:c r="F135" s="11"/>
      <x:c r="G135" s="33"/>
      <x:c r="H135" s="33"/>
      <x:c r="I135" s="14" t="str">
        <x:v>You are the history expert. Use search_history_reference to retrieve evidence before answering the delegated question. Base factual claims on the returned passages and cite their source URLs. If no relevant evidence is found, explain the collection's limits instead of inventing an answer or claiming web research. Answer concisely. The collection is a small local teaching reference, not a complete or continually updated source.</x:v>
      </x:c>
      <x:c r="J135" s="2"/>
      <x:c r="K135" s="2"/>
      <x:c r="L135" s="33"/>
      <x:c r="M135" s="2"/>
    </x:row>
    <x:row r="136" ht="24" customHeight="1">
      <x:c r="A136" s="2" t="str">
        <x:v>R10</x:v>
      </x:c>
      <x:c r="B136" s="2" t="n">
        <x:v>3</x:v>
      </x:c>
      <x:c r="C136" s="2" t="str">
        <x:v>Cache write</x:v>
      </x:c>
      <x:c r="D136" s="33"/>
      <x:c r="E136" s="11"/>
      <x:c r="F136" s="11"/>
      <x:c r="G136" s="33"/>
      <x:c r="H136" s="33"/>
      <x:c r="I136" s="14"/>
      <x:c r="J136" s="2"/>
      <x:c r="K136" s="2"/>
      <x:c r="L136" s="33"/>
      <x:c r="M136" s="2"/>
    </x:row>
    <x:row r="137" ht="24" customHeight="1">
      <x:c r="A137" s="2" t="str">
        <x:v>R10</x:v>
      </x:c>
      <x:c r="B137" s="2" t="n">
        <x:v>3</x:v>
      </x:c>
      <x:c r="C137" s="2" t="str">
        <x:v>Context · added / total</x:v>
      </x:c>
      <x:c r="D137" s="33"/>
      <x:c r="E137" s="11"/>
      <x:c r="F137" s="11"/>
      <x:c r="G137" s="33"/>
      <x:c r="H137" s="33"/>
      <x:c r="I137" s="14"/>
      <x:c r="J137" s="2"/>
      <x:c r="K137" s="2"/>
      <x:c r="L137" s="33"/>
      <x:c r="M137" s="2"/>
    </x:row>
    <x:row r="138" ht="24" customHeight="1">
      <x:c r="A138" s="21" t="str">
        <x:v>R10</x:v>
      </x:c>
      <x:c r="B138" s="21" t="n">
        <x:v>3</x:v>
      </x:c>
      <x:c r="C138" s="21" t="str">
        <x:v>LLM response</x:v>
      </x:c>
      <x:c r="D138" s="32" t="n">
        <x:v>42</x:v>
      </x:c>
      <x:c r="E138" s="29"/>
      <x:c r="F138" s="29"/>
      <x:c r="G138" s="32"/>
      <x:c r="H138" s="32"/>
      <x:c r="I138" s="26"/>
      <x:c r="J138" s="21"/>
      <x:c r="K138" s="21"/>
      <x:c r="L138" s="32"/>
      <x:c r="M138" s="21"/>
    </x:row>
    <x:row r="139" ht="24" customHeight="1">
      <x:c r="A139" s="2" t="str">
        <x:v>R10</x:v>
      </x:c>
      <x:c r="B139" s="2" t="n">
        <x:v>3</x:v>
      </x:c>
      <x:c r="C139" s="22" t="str">
        <x:v>Reasoning</x:v>
      </x:c>
      <x:c r="D139" s="33" t="n">
        <x:v>9</x:v>
      </x:c>
      <x:c r="E139" s="11" t="n">
        <x:f>IF(AND(ISNUMBER(F139),ISNUMBER('Reference data'!$B$3)),F139*'Reference data'!$B$3,"Unknown")</x:f>
        <x:v>0.000009424079999999999</x:v>
      </x:c>
      <x:c r="F139" s="11" t="n">
        <x:f>IF(D139=0,0,IF(ISNUMBER('Reference data'!F17),D139*'Reference data'!F17/1000000,"Unknown"))</x:f>
        <x:v>0.000010799999999999998</x:v>
      </x:c>
      <x:c r="G139" s="33" t="n">
        <x:f>IF(ISNUMBER(E139),ROUND(E139*'Reference data'!$B$2,0),"Unknown")</x:f>
        <x:v>1</x:v>
      </x:c>
      <x:c r="H139" s="33" t="n">
        <x:f>IF(ISNUMBER(F139),ROUND(F139*'Reference data'!$B$2,0),"Unknown")</x:f>
        <x:v>1</x:v>
      </x:c>
      <x:c r="I139" s="14"/>
      <x:c r="J139" s="2"/>
      <x:c r="K139" s="2"/>
      <x:c r="L139" s="33"/>
      <x:c r="M139" s="2"/>
    </x:row>
    <x:row r="140" ht="24" customHeight="1">
      <x:c r="A140" s="2" t="str">
        <x:v>R10</x:v>
      </x:c>
      <x:c r="B140" s="2" t="n">
        <x:v>3</x:v>
      </x:c>
      <x:c r="C140" s="22" t="str">
        <x:v>Output</x:v>
      </x:c>
      <x:c r="D140" s="33" t="n">
        <x:v>33</x:v>
      </x:c>
      <x:c r="E140" s="11" t="n">
        <x:f>IF(AND(ISNUMBER(F140),ISNUMBER('Reference data'!$B$3)),F140*'Reference data'!$B$3,"Unknown")</x:f>
        <x:v>0.00003455496</x:v>
      </x:c>
      <x:c r="F140" s="11" t="n">
        <x:f>IF(D140=0,0,IF(ISNUMBER('Reference data'!E17),D140*'Reference data'!E17/1000000,"Unknown"))</x:f>
        <x:v>0.0000396</x:v>
      </x:c>
      <x:c r="G140" s="33" t="n">
        <x:f>IF(ISNUMBER(E140),ROUND(E140*'Reference data'!$B$2,0),"Unknown")</x:f>
        <x:v>3</x:v>
      </x:c>
      <x:c r="H140" s="33" t="n">
        <x:f>IF(ISNUMBER(F140),ROUND(F140*'Reference data'!$B$2,0),"Unknown")</x:f>
        <x:v>4</x:v>
      </x:c>
      <x:c r="I140" s="14"/>
      <x:c r="J140" s="2"/>
      <x:c r="K140" s="2"/>
      <x:c r="L140" s="33"/>
      <x:c r="M140" s="2"/>
    </x:row>
    <x:row r="141" ht="281" customHeight="1">
      <x:c r="A141" s="2" t="str">
        <x:v>R10</x:v>
      </x:c>
      <x:c r="B141" s="2" t="n">
        <x:v>3</x:v>
      </x:c>
      <x:c r="C141" s="2" t="str">
        <x:v>    Output content</x:v>
      </x:c>
      <x:c r="D141" s="33"/>
      <x:c r="E141" s="11"/>
      <x:c r="F141" s="11"/>
      <x:c r="G141" s="33"/>
      <x:c r="H141" s="33"/>
      <x:c r="I141" s="14" t="str">
        <x:v>[{"id":"rs_04c522a87848287c006ab12b15a42087d2befb268b6b290041","summary":[],"type":"reasoning","content":[],"index":0,"encrypted_content":"gAAAAABqsSsVXGmlyOWJeYqOFoWergXjMW9z_-kkabnjLTJ4q0aWjaNcSMlVwcN8GDyaTv-MJC4vEj_TxWX2gyGR00-Rx_uZfSwYGNfGO9xPbvahqwaHW_jeahylvuurKcOnEUzXp4XeunpHS7Zl6WNraqS42xlT0SKNslxkoE5eySP6--1SgHLTPHFvBygv_zQgHNE6U1-IVd5jmQqAx3dWdgDC5zZAF6kIwNw3yUhIC0PsnGWwbUGeGoQxTxcw_EjBh4FngBgM-2bsG5oMxaUMBq_VuvVOmpxH7g6TQ-jqSBoOHGyf08yfagd5_4d59_H3MhUa-_35U2NLeGKdbdGrqpyT7WV-7GB2pYWeD65ebNBr3JPjr9-qvxm0PGi19LjiHC29iREf-7y_4PYw3X95fgFWymTtewyliKrLNqS5C-YVqW7ws-BCKdXHB8TQKaGetGklnq4qaF_PSt-7jdtPX98e_IuH-SwRnJuQgy0R6Y6ek8_gtv2UAEOarhzkQsqycUbvKVQZMclWWjOjIHocZSk2lho7NertNEQlud_CZbD824w7PDqief1vgnUwEoRZcjWg1Zu2V5dCWJHpwFXjHZFZoJ92t9_vGRM3B5LhCcOE5gMiJQCmABLYGyQMZGi-Uk4-iKP4WdmsU5oVVxWWIkLH5MLgQLh1mxqdjSu_UR5rl69jnoovGva5iy3GQsM99FPJCj0N0f1zSFo02n8_qUrJatqMrxheysHxJnjeiDk0-K6yah0ZsoVbpZPv-hUPDJzf-XJzxxvUFtw4SLgJKXbKKkzEaN3tnlh6Er8lR0k_PkiEo_CkamXuPsBh5ZamqqsRxNgaMPOKpKMLvda42GXyXTiDDTgzep3vMYUTPdPkbxqeTHN-r6Gs8QHCZfLWAqiDVi9Bu-a5-HzX9WYPbIt3O0HanqPdYj68pG9Y6jjYT9BDm3sBun4wSezYB-zfQSLInbPcI1oH_YNpTmZ8DS9mJ-pV-fgF6pn1eWyOlrV9fuQQNo6L2j8KpbelsMn0xU4THE2VKPueq03qgojG88v0435MZoO8K-rAL6f6mAKHWRaXx4p4_zZGsL02J0OZx2x_hKzpENJnlTGjZGR_MZKeQ8k8PVhyObIQlbMji7oD3xwyk5rT-KMUbWFn0S6oKB2eysutbsCm0fZPRJMYOEH8W_I2rTMJbZOkWN1V6C1KNcf6udJSe1MhE31W9hXgttUYRE_P"},{"type":"function_call","name":"search_history_reference","arguments":"{\"query\":\"In which year did the Berlin Wall fall? Berlin Wall opening date\"}","call_id":"call_iqwPv4hmNVNTpwhzv2fjMg32","id":"fc_04c522a87848287c006ab12b15d30887d28009454d7eb43c3e","index":1}]
{"name":"search_history_reference","args":{"query":"In which year did the Berlin Wall fall? Berlin Wall opening date"},"id":"call_iqwPv4hmNVNTpwhzv2fjMg32","type":"tool_call"}</x:v>
      </x:c>
      <x:c r="J141" s="2"/>
      <x:c r="K141" s="2"/>
      <x:c r="L141" s="33"/>
      <x:c r="M141" s="2"/>
    </x:row>
    <x:row r="142" ht="24" customHeight="1">
      <x:c r="A142" s="2" t="str">
        <x:v>R10</x:v>
      </x:c>
      <x:c r="B142" s="2" t="n">
        <x:v>3</x:v>
      </x:c>
      <x:c r="C142" s="2" t="str">
        <x:v>Cache write</x:v>
      </x:c>
      <x:c r="D142" s="33"/>
      <x:c r="E142" s="11"/>
      <x:c r="F142" s="11"/>
      <x:c r="G142" s="33"/>
      <x:c r="H142" s="33"/>
      <x:c r="I142" s="14"/>
      <x:c r="J142" s="2"/>
      <x:c r="K142" s="2"/>
      <x:c r="L142" s="33"/>
      <x:c r="M142" s="2"/>
    </x:row>
    <x:row r="143" ht="24" customHeight="1">
      <x:c r="A143" s="2" t="str">
        <x:v>R10</x:v>
      </x:c>
      <x:c r="B143" s="2" t="n">
        <x:v>3</x:v>
      </x:c>
      <x:c r="C143" s="2" t="str">
        <x:v>Context · added / total</x:v>
      </x:c>
      <x:c r="D143" s="33"/>
      <x:c r="E143" s="11"/>
      <x:c r="F143" s="11"/>
      <x:c r="G143" s="33"/>
      <x:c r="H143" s="33"/>
      <x:c r="I143" s="14"/>
      <x:c r="J143" s="2"/>
      <x:c r="K143" s="2"/>
      <x:c r="L143" s="33"/>
      <x:c r="M143" s="2"/>
    </x:row>
    <x:row r="144" ht="24" customHeight="1">
      <x:c r="A144" s="21" t="str">
        <x:v>R10</x:v>
      </x:c>
      <x:c r="B144" s="21" t="n">
        <x:v>3</x:v>
      </x:c>
      <x:c r="C144" s="21" t="str">
        <x:v>Call total</x:v>
      </x:c>
      <x:c r="D144" s="32"/>
      <x:c r="E144" s="29" t="n">
        <x:f>IF(COUNT(E133,E139,E140)=3,SUM(E133,E139,E140),"Unknown")</x:f>
        <x:v>0.00007609072000000001</x:v>
      </x:c>
      <x:c r="F144" s="29" t="n">
        <x:f>IF(COUNT(F133,F139,F140)=3,SUM(F133,F139,F140),"Unknown")</x:f>
        <x:v>0.0000872</x:v>
      </x:c>
      <x:c r="G144" s="32" t="n">
        <x:f>IF(ISNUMBER(E144),ROUND(E144*'Reference data'!$B$2,0),"Unknown")</x:f>
        <x:v>8</x:v>
      </x:c>
      <x:c r="H144" s="32" t="n">
        <x:f>IF(ISNUMBER(F144),ROUND(F144*'Reference data'!$B$2,0),"Unknown")</x:f>
        <x:v>9</x:v>
      </x:c>
      <x:c r="I144" s="26"/>
      <x:c r="J144" s="21"/>
      <x:c r="K144" s="21" t="str">
        <x:v>ok</x:v>
      </x:c>
      <x:c r="L144" s="32"/>
      <x:c r="M144" s="21"/>
    </x:row>
    <x:row r="145" ht="24" customHeight="1">
      <x:c r="A145" s="24"/>
      <x:c r="B145" s="24" t="n">
        <x:v>3</x:v>
      </x:c>
      <x:c r="C145" s="24" t="str">
        <x:v>Tool · search_history_reference</x:v>
      </x:c>
      <x:c r="D145" s="34"/>
      <x:c r="E145" s="30"/>
      <x:c r="F145" s="30"/>
      <x:c r="G145" s="34"/>
      <x:c r="H145" s="34"/>
      <x:c r="I145" s="27"/>
      <x:c r="J145" s="24"/>
      <x:c r="K145" s="24" t="str">
        <x:v>ok</x:v>
      </x:c>
      <x:c r="L145" s="34"/>
      <x:c r="M145" s="24" t="str">
        <x:v>01a0c410-4fac-7860-8e49-9c764e50e999</x:v>
      </x:c>
    </x:row>
    <x:row r="146" ht="24" customHeight="1">
      <x:c r="A146" s="2"/>
      <x:c r="B146" s="2" t="n">
        <x:v>3</x:v>
      </x:c>
      <x:c r="C146" s="2" t="str">
        <x:v>    Arguments</x:v>
      </x:c>
      <x:c r="D146" s="33"/>
      <x:c r="E146" s="11"/>
      <x:c r="F146" s="11"/>
      <x:c r="G146" s="33"/>
      <x:c r="H146" s="33"/>
      <x:c r="I146" s="14" t="str">
        <x:v>{'query': 'In which year did the Berlin Wall fall? Berlin Wall opening date'}</x:v>
      </x:c>
      <x:c r="J146" s="2"/>
      <x:c r="K146" s="2"/>
      <x:c r="L146" s="33"/>
      <x:c r="M146" s="2"/>
    </x:row>
    <x:row r="147" ht="60" customHeight="1">
      <x:c r="A147" s="2"/>
      <x:c r="B147" s="2" t="n">
        <x:v>3</x:v>
      </x:c>
      <x:c r="C147" s="2" t="str">
        <x:v>    Result</x:v>
      </x:c>
      <x:c r="D147" s="33"/>
      <x:c r="E147" s="11"/>
      <x:c r="F147" s="11"/>
      <x:c r="G147" s="33"/>
      <x:c r="H147" s="33"/>
      <x:c r="I147" s="14" t="str">
        <x:v>Opening of the Berlin Wall
The Berlin Wall opened on 9 November 1989. The opening and subsequent physical demolition are distinct events.
Source: https://www.stiftung-berliner-mauer.de/de/ueber-uns/leichte-sprache/geschichte</x:v>
      </x:c>
      <x:c r="J147" s="2"/>
      <x:c r="K147" s="2"/>
      <x:c r="L147" s="33"/>
      <x:c r="M147" s="2"/>
    </x:row>
    <x:row r="148" ht="24" customHeight="1">
      <x:c r="A148" s="21" t="str">
        <x:v>R11</x:v>
      </x:c>
      <x:c r="B148" s="21" t="n">
        <x:v>3</x:v>
      </x:c>
      <x:c r="C148" s="21" t="str">
        <x:v>LLM request</x:v>
      </x:c>
      <x:c r="D148" s="32" t="n">
        <x:v>291</x:v>
      </x:c>
      <x:c r="E148" s="29"/>
      <x:c r="F148" s="29"/>
      <x:c r="G148" s="32"/>
      <x:c r="H148" s="32"/>
      <x:c r="I148" s="26"/>
      <x:c r="J148" s="21" t="str">
        <x:v>gpt-5.6-luna</x:v>
      </x:c>
      <x:c r="K148" s="21"/>
      <x:c r="L148" s="32"/>
      <x:c r="M148" s="21" t="str">
        <x:v>01a0c410-4fae-7e32-9cb7-28d82dae8c15</x:v>
      </x:c>
    </x:row>
    <x:row r="149" ht="24" customHeight="1">
      <x:c r="A149" s="2" t="str">
        <x:v>R11</x:v>
      </x:c>
      <x:c r="B149" s="2" t="n">
        <x:v>3</x:v>
      </x:c>
      <x:c r="C149" s="22" t="str">
        <x:v>Conversation history · cache read</x:v>
      </x:c>
      <x:c r="D149" s="33" t="n">
        <x:v>0</x:v>
      </x:c>
      <x:c r="E149" s="11" t="n">
        <x:f>IF(AND(ISNUMBER(F149),ISNUMBER('Reference data'!$B$3)),F149*'Reference data'!$B$3,"Unknown")</x:f>
        <x:v>0</x:v>
      </x:c>
      <x:c r="F149" s="11" t="n">
        <x:f>IF(D149=0,0,IF(ISNUMBER('Reference data'!C17),D149*'Reference data'!C17/1000000,"Unknown"))</x:f>
        <x:v>0</x:v>
      </x:c>
      <x:c r="G149" s="33" t="n">
        <x:f>IF(ISNUMBER(E149),ROUND(E149*'Reference data'!$B$2,0),"Unknown")</x:f>
        <x:v>0</x:v>
      </x:c>
      <x:c r="H149" s="33" t="n">
        <x:f>IF(ISNUMBER(F149),ROUND(F149*'Reference data'!$B$2,0),"Unknown")</x:f>
        <x:v>0</x:v>
      </x:c>
      <x:c r="I149" s="14"/>
      <x:c r="J149" s="2"/>
      <x:c r="K149" s="2"/>
      <x:c r="L149" s="33"/>
      <x:c r="M149" s="2"/>
    </x:row>
    <x:row r="150" ht="24" customHeight="1">
      <x:c r="A150" s="2" t="str">
        <x:v>R11</x:v>
      </x:c>
      <x:c r="B150" s="2" t="n">
        <x:v>3</x:v>
      </x:c>
      <x:c r="C150" s="22" t="str">
        <x:v>Fresh input</x:v>
      </x:c>
      <x:c r="D150" s="33" t="n">
        <x:v>291</x:v>
      </x:c>
      <x:c r="E150" s="11" t="n">
        <x:f>IF(AND(ISNUMBER(F150),ISNUMBER('Reference data'!$B$3)),F150*'Reference data'!$B$3,"Unknown")</x:f>
        <x:v>0.000050785320000000005</x:v>
      </x:c>
      <x:c r="F150" s="11" t="n">
        <x:f>IF(D150=0,0,IF(ISNUMBER('Reference data'!B17),D150*'Reference data'!B17/1000000,"Unknown"))</x:f>
        <x:v>0.000058200000000000005</x:v>
      </x:c>
      <x:c r="G150" s="33" t="n">
        <x:f>IF(ISNUMBER(E150),ROUND(E150*'Reference data'!$B$2,0),"Unknown")</x:f>
        <x:v>5</x:v>
      </x:c>
      <x:c r="H150" s="33" t="n">
        <x:f>IF(ISNUMBER(F150),ROUND(F150*'Reference data'!$B$2,0),"Unknown")</x:f>
        <x:v>6</x:v>
      </x:c>
      <x:c r="I150" s="14"/>
      <x:c r="J150" s="2"/>
      <x:c r="K150" s="2"/>
      <x:c r="L150" s="33"/>
      <x:c r="M150" s="2"/>
    </x:row>
    <x:row r="151" ht="60" customHeight="1">
      <x:c r="A151" s="2" t="str">
        <x:v>R11</x:v>
      </x:c>
      <x:c r="B151" s="2" t="n">
        <x:v>3</x:v>
      </x:c>
      <x:c r="C151" s="2" t="str">
        <x:v>    Tool result</x:v>
      </x:c>
      <x:c r="D151" s="33"/>
      <x:c r="E151" s="11"/>
      <x:c r="F151" s="11"/>
      <x:c r="G151" s="33"/>
      <x:c r="H151" s="33"/>
      <x:c r="I151" s="14" t="str">
        <x:v>Opening of the Berlin Wall
The Berlin Wall opened on 9 November 1989. The opening and subsequent physical demolition are distinct events.
Source: https://www.stiftung-berliner-mauer.de/de/ueber-uns/leichte-sprache/geschichte</x:v>
      </x:c>
      <x:c r="J151" s="2"/>
      <x:c r="K151" s="2"/>
      <x:c r="L151" s="33"/>
      <x:c r="M151" s="2"/>
    </x:row>
    <x:row r="152" ht="24" customHeight="1">
      <x:c r="A152" s="2" t="str">
        <x:v>R11</x:v>
      </x:c>
      <x:c r="B152" s="2" t="n">
        <x:v>3</x:v>
      </x:c>
      <x:c r="C152" s="2" t="str">
        <x:v>Cache write</x:v>
      </x:c>
      <x:c r="D152" s="33"/>
      <x:c r="E152" s="11"/>
      <x:c r="F152" s="11"/>
      <x:c r="G152" s="33"/>
      <x:c r="H152" s="33"/>
      <x:c r="I152" s="14"/>
      <x:c r="J152" s="2"/>
      <x:c r="K152" s="2"/>
      <x:c r="L152" s="33"/>
      <x:c r="M152" s="2"/>
    </x:row>
    <x:row r="153" ht="24" customHeight="1">
      <x:c r="A153" s="2" t="str">
        <x:v>R11</x:v>
      </x:c>
      <x:c r="B153" s="2" t="n">
        <x:v>3</x:v>
      </x:c>
      <x:c r="C153" s="2" t="str">
        <x:v>Context · added / total</x:v>
      </x:c>
      <x:c r="D153" s="33"/>
      <x:c r="E153" s="11"/>
      <x:c r="F153" s="11"/>
      <x:c r="G153" s="33"/>
      <x:c r="H153" s="33"/>
      <x:c r="I153" s="14"/>
      <x:c r="J153" s="2"/>
      <x:c r="K153" s="2"/>
      <x:c r="L153" s="33"/>
      <x:c r="M153" s="2"/>
    </x:row>
    <x:row r="154" ht="24" customHeight="1">
      <x:c r="A154" s="21" t="str">
        <x:v>R11</x:v>
      </x:c>
      <x:c r="B154" s="21" t="n">
        <x:v>3</x:v>
      </x:c>
      <x:c r="C154" s="21" t="str">
        <x:v>LLM response</x:v>
      </x:c>
      <x:c r="D154" s="32" t="n">
        <x:v>50</x:v>
      </x:c>
      <x:c r="E154" s="29"/>
      <x:c r="F154" s="29"/>
      <x:c r="G154" s="32"/>
      <x:c r="H154" s="32"/>
      <x:c r="I154" s="26"/>
      <x:c r="J154" s="21"/>
      <x:c r="K154" s="21"/>
      <x:c r="L154" s="32"/>
      <x:c r="M154" s="21"/>
    </x:row>
    <x:row r="155" ht="24" customHeight="1">
      <x:c r="A155" s="2" t="str">
        <x:v>R11</x:v>
      </x:c>
      <x:c r="B155" s="2" t="n">
        <x:v>3</x:v>
      </x:c>
      <x:c r="C155" s="22" t="str">
        <x:v>Output</x:v>
      </x:c>
      <x:c r="D155" s="33" t="n">
        <x:v>50</x:v>
      </x:c>
      <x:c r="E155" s="11" t="n">
        <x:f>IF(AND(ISNUMBER(F155),ISNUMBER('Reference data'!$B$3)),F155*'Reference data'!$B$3,"Unknown")</x:f>
        <x:v>0.000052356000000000005</x:v>
      </x:c>
      <x:c r="F155" s="11" t="n">
        <x:f>IF(D155=0,0,IF(ISNUMBER('Reference data'!E17),D155*'Reference data'!E17/1000000,"Unknown"))</x:f>
        <x:v>0.00006</x:v>
      </x:c>
      <x:c r="G155" s="33" t="n">
        <x:f>IF(ISNUMBER(E155),ROUND(E155*'Reference data'!$B$2,0),"Unknown")</x:f>
        <x:v>5</x:v>
      </x:c>
      <x:c r="H155" s="33" t="n">
        <x:f>IF(ISNUMBER(F155),ROUND(F155*'Reference data'!$B$2,0),"Unknown")</x:f>
        <x:v>6</x:v>
      </x:c>
      <x:c r="I155" s="14"/>
      <x:c r="J155" s="2"/>
      <x:c r="K155" s="2"/>
      <x:c r="L155" s="33"/>
      <x:c r="M155" s="2"/>
    </x:row>
    <x:row r="156" ht="60" customHeight="1">
      <x:c r="A156" s="2" t="str">
        <x:v>R11</x:v>
      </x:c>
      <x:c r="B156" s="2" t="n">
        <x:v>3</x:v>
      </x:c>
      <x:c r="C156" s="2" t="str">
        <x:v>    Output content</x:v>
      </x:c>
      <x:c r="D156" s="33"/>
      <x:c r="E156" s="11"/>
      <x:c r="F156" s="11"/>
      <x:c r="G156" s="33"/>
      <x:c r="H156" s="33"/>
      <x:c r="I156" s="14" t="str">
        <x:v>[{"type":"text","text":"The Berlin Wall fell in **1989**, opening on **9 November 1989**. [Source](https://www.stiftung-berliner-mauer.de/de/ueber-uns/leichte-sprache/geschichte)","phase":"final_answer","index":0,"id":"msg_04c522a87848287c006ab12b18ea3087d2abebad7f5368bdef"}]</x:v>
      </x:c>
      <x:c r="J156" s="2"/>
      <x:c r="K156" s="2"/>
      <x:c r="L156" s="33"/>
      <x:c r="M156" s="2"/>
    </x:row>
    <x:row r="157" ht="24" customHeight="1">
      <x:c r="A157" s="2" t="str">
        <x:v>R11</x:v>
      </x:c>
      <x:c r="B157" s="2" t="n">
        <x:v>3</x:v>
      </x:c>
      <x:c r="C157" s="2" t="str">
        <x:v>Cache write</x:v>
      </x:c>
      <x:c r="D157" s="33"/>
      <x:c r="E157" s="11"/>
      <x:c r="F157" s="11"/>
      <x:c r="G157" s="33"/>
      <x:c r="H157" s="33"/>
      <x:c r="I157" s="14"/>
      <x:c r="J157" s="2"/>
      <x:c r="K157" s="2"/>
      <x:c r="L157" s="33"/>
      <x:c r="M157" s="2"/>
    </x:row>
    <x:row r="158" ht="24" customHeight="1">
      <x:c r="A158" s="2" t="str">
        <x:v>R11</x:v>
      </x:c>
      <x:c r="B158" s="2" t="n">
        <x:v>3</x:v>
      </x:c>
      <x:c r="C158" s="2" t="str">
        <x:v>Context · added / total</x:v>
      </x:c>
      <x:c r="D158" s="33"/>
      <x:c r="E158" s="11"/>
      <x:c r="F158" s="11"/>
      <x:c r="G158" s="33"/>
      <x:c r="H158" s="33"/>
      <x:c r="I158" s="14"/>
      <x:c r="J158" s="2"/>
      <x:c r="K158" s="2"/>
      <x:c r="L158" s="33"/>
      <x:c r="M158" s="2"/>
    </x:row>
    <x:row r="159" ht="24" customHeight="1">
      <x:c r="A159" s="21" t="str">
        <x:v>R11</x:v>
      </x:c>
      <x:c r="B159" s="21" t="n">
        <x:v>3</x:v>
      </x:c>
      <x:c r="C159" s="21" t="str">
        <x:v>Call total</x:v>
      </x:c>
      <x:c r="D159" s="32"/>
      <x:c r="E159" s="29" t="n">
        <x:f>IF(COUNT(E149,E150,E155)=3,SUM(E149,E150,E155),"Unknown")</x:f>
        <x:v>0.00010314132</x:v>
      </x:c>
      <x:c r="F159" s="29" t="n">
        <x:f>IF(COUNT(F149,F150,F155)=3,SUM(F149,F150,F155),"Unknown")</x:f>
        <x:v>0.0001182</x:v>
      </x:c>
      <x:c r="G159" s="32" t="n">
        <x:f>IF(ISNUMBER(E159),ROUND(E159*'Reference data'!$B$2,0),"Unknown")</x:f>
        <x:v>10</x:v>
      </x:c>
      <x:c r="H159" s="32" t="n">
        <x:f>IF(ISNUMBER(F159),ROUND(F159*'Reference data'!$B$2,0),"Unknown")</x:f>
        <x:v>12</x:v>
      </x:c>
      <x:c r="I159" s="26"/>
      <x:c r="J159" s="21"/>
      <x:c r="K159" s="21" t="str">
        <x:v>ok</x:v>
      </x:c>
      <x:c r="L159" s="32"/>
      <x:c r="M159" s="21"/>
    </x:row>
    <x:row r="160" ht="24" customHeight="1">
      <x:c r="A160" s="21" t="str">
        <x:v>R12</x:v>
      </x:c>
      <x:c r="B160" s="21" t="n">
        <x:v>3</x:v>
      </x:c>
      <x:c r="C160" s="21" t="str">
        <x:v>LLM request</x:v>
      </x:c>
      <x:c r="D160" s="32" t="n">
        <x:v>683</x:v>
      </x:c>
      <x:c r="E160" s="29"/>
      <x:c r="F160" s="29"/>
      <x:c r="G160" s="32"/>
      <x:c r="H160" s="32"/>
      <x:c r="I160" s="26"/>
      <x:c r="J160" s="21" t="str">
        <x:v>gpt-5.6-luna</x:v>
      </x:c>
      <x:c r="K160" s="21"/>
      <x:c r="L160" s="32"/>
      <x:c r="M160" s="21" t="str">
        <x:v>01a0c410-5bd8-7320-917f-a4faca6f2745</x:v>
      </x:c>
    </x:row>
    <x:row r="161" ht="24" customHeight="1">
      <x:c r="A161" s="2" t="str">
        <x:v>R12</x:v>
      </x:c>
      <x:c r="B161" s="2" t="n">
        <x:v>3</x:v>
      </x:c>
      <x:c r="C161" s="22" t="str">
        <x:v>Conversation history · cache read</x:v>
      </x:c>
      <x:c r="D161" s="33" t="n">
        <x:v>0</x:v>
      </x:c>
      <x:c r="E161" s="11" t="n">
        <x:f>IF(AND(ISNUMBER(F161),ISNUMBER('Reference data'!$B$3)),F161*'Reference data'!$B$3,"Unknown")</x:f>
        <x:v>0</x:v>
      </x:c>
      <x:c r="F161" s="11" t="n">
        <x:f>IF(D161=0,0,IF(ISNUMBER('Reference data'!C17),D161*'Reference data'!C17/1000000,"Unknown"))</x:f>
        <x:v>0</x:v>
      </x:c>
      <x:c r="G161" s="33" t="n">
        <x:f>IF(ISNUMBER(E161),ROUND(E161*'Reference data'!$B$2,0),"Unknown")</x:f>
        <x:v>0</x:v>
      </x:c>
      <x:c r="H161" s="33" t="n">
        <x:f>IF(ISNUMBER(F161),ROUND(F161*'Reference data'!$B$2,0),"Unknown")</x:f>
        <x:v>0</x:v>
      </x:c>
      <x:c r="I161" s="14"/>
      <x:c r="J161" s="2"/>
      <x:c r="K161" s="2"/>
      <x:c r="L161" s="33"/>
      <x:c r="M161" s="2"/>
    </x:row>
    <x:row r="162" ht="24" customHeight="1">
      <x:c r="A162" s="2" t="str">
        <x:v>R12</x:v>
      </x:c>
      <x:c r="B162" s="2" t="n">
        <x:v>3</x:v>
      </x:c>
      <x:c r="C162" s="22" t="str">
        <x:v>Fresh input</x:v>
      </x:c>
      <x:c r="D162" s="33" t="n">
        <x:v>683</x:v>
      </x:c>
      <x:c r="E162" s="11" t="n">
        <x:f>IF(AND(ISNUMBER(F162),ISNUMBER('Reference data'!$B$3)),F162*'Reference data'!$B$3,"Unknown")</x:f>
        <x:v>0.00011919715999999999</x:v>
      </x:c>
      <x:c r="F162" s="11" t="n">
        <x:f>IF(D162=0,0,IF(ISNUMBER('Reference data'!B17),D162*'Reference data'!B17/1000000,"Unknown"))</x:f>
        <x:v>0.00013659999999999999</x:v>
      </x:c>
      <x:c r="G162" s="33" t="n">
        <x:f>IF(ISNUMBER(E162),ROUND(E162*'Reference data'!$B$2,0),"Unknown")</x:f>
        <x:v>12</x:v>
      </x:c>
      <x:c r="H162" s="33" t="n">
        <x:f>IF(ISNUMBER(F162),ROUND(F162*'Reference data'!$B$2,0),"Unknown")</x:f>
        <x:v>14</x:v>
      </x:c>
      <x:c r="I162" s="14"/>
      <x:c r="J162" s="2"/>
      <x:c r="K162" s="2"/>
      <x:c r="L162" s="33"/>
      <x:c r="M162" s="2"/>
    </x:row>
    <x:row r="163" ht="34" customHeight="1">
      <x:c r="A163" s="2" t="str">
        <x:v>R12</x:v>
      </x:c>
      <x:c r="B163" s="2" t="n">
        <x:v>3</x:v>
      </x:c>
      <x:c r="C163" s="2" t="str">
        <x:v>    Tool result</x:v>
      </x:c>
      <x:c r="D163" s="33"/>
      <x:c r="E163" s="11"/>
      <x:c r="F163" s="11"/>
      <x:c r="G163" s="33"/>
      <x:c r="H163" s="33"/>
      <x:c r="I163" s="14" t="str">
        <x:v>The Berlin Wall fell in **1989**, opening on **9 November 1989**. [Source](https://www.stiftung-berliner-mauer.de/de/ueber-uns/leichte-sprache/geschichte)</x:v>
      </x:c>
      <x:c r="J163" s="2"/>
      <x:c r="K163" s="2"/>
      <x:c r="L163" s="33"/>
      <x:c r="M163" s="2"/>
    </x:row>
    <x:row r="164" ht="24" customHeight="1">
      <x:c r="A164" s="2" t="str">
        <x:v>R12</x:v>
      </x:c>
      <x:c r="B164" s="2" t="n">
        <x:v>3</x:v>
      </x:c>
      <x:c r="C164" s="2" t="str">
        <x:v>Cache write</x:v>
      </x:c>
      <x:c r="D164" s="33"/>
      <x:c r="E164" s="11"/>
      <x:c r="F164" s="11"/>
      <x:c r="G164" s="33"/>
      <x:c r="H164" s="33"/>
      <x:c r="I164" s="14"/>
      <x:c r="J164" s="2"/>
      <x:c r="K164" s="2"/>
      <x:c r="L164" s="33"/>
      <x:c r="M164" s="2"/>
    </x:row>
    <x:row r="165" ht="24" customHeight="1">
      <x:c r="A165" s="2" t="str">
        <x:v>R12</x:v>
      </x:c>
      <x:c r="B165" s="2" t="n">
        <x:v>3</x:v>
      </x:c>
      <x:c r="C165" s="2" t="str">
        <x:v>Context · added / total</x:v>
      </x:c>
      <x:c r="D165" s="33"/>
      <x:c r="E165" s="11"/>
      <x:c r="F165" s="11"/>
      <x:c r="G165" s="33"/>
      <x:c r="H165" s="33"/>
      <x:c r="I165" s="14"/>
      <x:c r="J165" s="2"/>
      <x:c r="K165" s="2"/>
      <x:c r="L165" s="33"/>
      <x:c r="M165" s="2"/>
    </x:row>
    <x:row r="166" ht="24" customHeight="1">
      <x:c r="A166" s="21" t="str">
        <x:v>R12</x:v>
      </x:c>
      <x:c r="B166" s="21" t="n">
        <x:v>3</x:v>
      </x:c>
      <x:c r="C166" s="21" t="str">
        <x:v>LLM response</x:v>
      </x:c>
      <x:c r="D166" s="32" t="n">
        <x:v>20</x:v>
      </x:c>
      <x:c r="E166" s="29"/>
      <x:c r="F166" s="29"/>
      <x:c r="G166" s="32"/>
      <x:c r="H166" s="32"/>
      <x:c r="I166" s="26"/>
      <x:c r="J166" s="21"/>
      <x:c r="K166" s="21"/>
      <x:c r="L166" s="32"/>
      <x:c r="M166" s="21"/>
    </x:row>
    <x:row r="167" ht="24" customHeight="1">
      <x:c r="A167" s="2" t="str">
        <x:v>R12</x:v>
      </x:c>
      <x:c r="B167" s="2" t="n">
        <x:v>3</x:v>
      </x:c>
      <x:c r="C167" s="22" t="str">
        <x:v>Output</x:v>
      </x:c>
      <x:c r="D167" s="33" t="n">
        <x:v>20</x:v>
      </x:c>
      <x:c r="E167" s="11" t="n">
        <x:f>IF(AND(ISNUMBER(F167),ISNUMBER('Reference data'!$B$3)),F167*'Reference data'!$B$3,"Unknown")</x:f>
        <x:v>0.0000209424</x:v>
      </x:c>
      <x:c r="F167" s="11" t="n">
        <x:f>IF(D167=0,0,IF(ISNUMBER('Reference data'!E17),D167*'Reference data'!E17/1000000,"Unknown"))</x:f>
        <x:v>0.000024</x:v>
      </x:c>
      <x:c r="G167" s="33" t="n">
        <x:f>IF(ISNUMBER(E167),ROUND(E167*'Reference data'!$B$2,0),"Unknown")</x:f>
        <x:v>2</x:v>
      </x:c>
      <x:c r="H167" s="33" t="n">
        <x:f>IF(ISNUMBER(F167),ROUND(F167*'Reference data'!$B$2,0),"Unknown")</x:f>
        <x:v>2</x:v>
      </x:c>
      <x:c r="I167" s="14"/>
      <x:c r="J167" s="2"/>
      <x:c r="K167" s="2"/>
      <x:c r="L167" s="33"/>
      <x:c r="M167" s="2"/>
    </x:row>
    <x:row r="168" ht="34" customHeight="1">
      <x:c r="A168" s="2" t="str">
        <x:v>R12</x:v>
      </x:c>
      <x:c r="B168" s="2" t="n">
        <x:v>3</x:v>
      </x:c>
      <x:c r="C168" s="2" t="str">
        <x:v>    Output content</x:v>
      </x:c>
      <x:c r="D168" s="33"/>
      <x:c r="E168" s="11"/>
      <x:c r="F168" s="11"/>
      <x:c r="G168" s="33"/>
      <x:c r="H168" s="33"/>
      <x:c r="I168" s="14" t="str">
        <x:v>[{"type":"text","text":"The Berlin Wall fell in **1989**, on **November 9**.","phase":"final_answer","index":0,"id":"msg_0e016fb6a8b02ec3006ab12b1aa2c087d2b3f2bed20fa4839c"}]</x:v>
      </x:c>
      <x:c r="J168" s="2"/>
      <x:c r="K168" s="2"/>
      <x:c r="L168" s="33"/>
      <x:c r="M168" s="2"/>
    </x:row>
    <x:row r="169" ht="24" customHeight="1">
      <x:c r="A169" s="2" t="str">
        <x:v>R12</x:v>
      </x:c>
      <x:c r="B169" s="2" t="n">
        <x:v>3</x:v>
      </x:c>
      <x:c r="C169" s="2" t="str">
        <x:v>Cache write</x:v>
      </x:c>
      <x:c r="D169" s="33"/>
      <x:c r="E169" s="11"/>
      <x:c r="F169" s="11"/>
      <x:c r="G169" s="33"/>
      <x:c r="H169" s="33"/>
      <x:c r="I169" s="14"/>
      <x:c r="J169" s="2"/>
      <x:c r="K169" s="2"/>
      <x:c r="L169" s="33"/>
      <x:c r="M169" s="2"/>
    </x:row>
    <x:row r="170" ht="24" customHeight="1">
      <x:c r="A170" s="2" t="str">
        <x:v>R12</x:v>
      </x:c>
      <x:c r="B170" s="2" t="n">
        <x:v>3</x:v>
      </x:c>
      <x:c r="C170" s="2" t="str">
        <x:v>Context · added / total</x:v>
      </x:c>
      <x:c r="D170" s="33"/>
      <x:c r="E170" s="11"/>
      <x:c r="F170" s="11"/>
      <x:c r="G170" s="33"/>
      <x:c r="H170" s="33"/>
      <x:c r="I170" s="14"/>
      <x:c r="J170" s="2"/>
      <x:c r="K170" s="2"/>
      <x:c r="L170" s="33"/>
      <x:c r="M170" s="2"/>
    </x:row>
    <x:row r="171" ht="24" customHeight="1">
      <x:c r="A171" s="21" t="str">
        <x:v>R12</x:v>
      </x:c>
      <x:c r="B171" s="21" t="n">
        <x:v>3</x:v>
      </x:c>
      <x:c r="C171" s="21" t="str">
        <x:v>Call total</x:v>
      </x:c>
      <x:c r="D171" s="32"/>
      <x:c r="E171" s="29" t="n">
        <x:f>IF(COUNT(E161,E162,E167)=3,SUM(E161,E162,E167),"Unknown")</x:f>
        <x:v>0.00014013956</x:v>
      </x:c>
      <x:c r="F171" s="29" t="n">
        <x:f>IF(COUNT(F161,F162,F167)=3,SUM(F161,F162,F167),"Unknown")</x:f>
        <x:v>0.0001606</x:v>
      </x:c>
      <x:c r="G171" s="32" t="n">
        <x:f>IF(ISNUMBER(E171),ROUND(E171*'Reference data'!$B$2,0),"Unknown")</x:f>
        <x:v>14</x:v>
      </x:c>
      <x:c r="H171" s="32" t="n">
        <x:f>IF(ISNUMBER(F171),ROUND(F171*'Reference data'!$B$2,0),"Unknown")</x:f>
        <x:v>16</x:v>
      </x:c>
      <x:c r="I171" s="26"/>
      <x:c r="J171" s="21"/>
      <x:c r="K171" s="21" t="str">
        <x:v>ok</x:v>
      </x:c>
      <x:c r="L171" s="32"/>
      <x:c r="M171" s="21"/>
    </x:row>
  </x:sheetData>
  <x:conditionalFormatting sqref="A2:M171">
    <x:cfRule type="expression" dxfId="2" priority="1">
      <x:formula>$K2="error"</x:formula>
    </x:cfRule>
  </x:conditionalFormatting>
  <x:pageMargins left="0.7" right="0.7" top="0.75" bottom="0.75" header="0.3" footer="0.3"/>
</x:worksheet>
</file>

<file path=xl/worksheets/sheet2.xml><?xml version="1.0" encoding="utf-8"?>
<x:worksheet xmlns:x="http://schemas.openxmlformats.org/spreadsheetml/2006/main">
  <x:sheetPr>
    <x:tabColor rgb="FF173B70"/>
  </x:sheetPr>
  <x:sheetViews>
    <x:sheetView showGridLines="0" workbookViewId="0">
      <x:pane xSplit="1" ySplit="1" topLeftCell="B2" activePane="bottomRight" state="frozen"/>
    </x:sheetView>
  </x:sheetViews>
  <x:sheetFormatPr defaultRowHeight="15"/>
  <x:cols>
    <x:col min="1" max="1" width="48" hidden="0" customWidth="1"/>
    <x:col min="2" max="2" width="12" hidden="0" customWidth="1"/>
    <x:col min="3" max="3" width="12" hidden="0" customWidth="1"/>
    <x:col min="4" max="4" width="26" hidden="0" customWidth="1"/>
    <x:col min="5" max="5" width="18" hidden="0" customWidth="1"/>
    <x:col min="6" max="6" width="18" hidden="0" customWidth="1"/>
    <x:col min="7" max="7" width="62" hidden="0" customWidth="1"/>
    <x:col min="8" max="8" width="38" hidden="0" customWidth="1"/>
    <x:col min="9" max="9" width="3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18" hidden="0" customWidth="1"/>
    <x:col min="29" max="29" width="18" hidden="0" customWidth="1"/>
    <x:col min="30" max="30" width="18" hidden="0" customWidth="1"/>
    <x:col min="31" max="31" width="18" hidden="0" customWidth="1"/>
  </x:cols>
  <x:sheetData>
    <x:row r="1" ht="44" customHeight="1">
      <x:c r="A1" s="7" t="str">
        <x:v>Operation</x:v>
      </x:c>
      <x:c r="B1" s="7" t="str">
        <x:v>Depth</x:v>
      </x:c>
      <x:c r="C1" s="7" t="str">
        <x:v>Type</x:v>
      </x:c>
      <x:c r="D1" s="7" t="str">
        <x:v>Model · effort</x:v>
      </x:c>
      <x:c r="E1" s="7" t="str">
        <x:v>Status</x:v>
      </x:c>
      <x:c r="F1" s="7" t="str">
        <x:v>Input context tokens</x:v>
      </x:c>
      <x:c r="G1" s="7" t="str">
        <x:v>Description</x:v>
      </x:c>
      <x:c r="H1" s="7" t="str">
        <x:v>Span ID</x:v>
      </x:c>
      <x:c r="I1" s="7" t="str">
        <x:v>Parent ID</x:v>
      </x:c>
      <x:c r="J1" s="7" t="str">
        <x:v>Fresh input tokens</x:v>
      </x:c>
      <x:c r="K1" s="7" t="str">
        <x:v>Fresh input EUR</x:v>
      </x:c>
      <x:c r="L1" s="7" t="str">
        <x:v>Fresh input USD</x:v>
      </x:c>
      <x:c r="M1" s="7" t="str">
        <x:v>Cache read tokens</x:v>
      </x:c>
      <x:c r="N1" s="7" t="str">
        <x:v>Cache read EUR</x:v>
      </x:c>
      <x:c r="O1" s="7" t="str">
        <x:v>Cache read USD</x:v>
      </x:c>
      <x:c r="P1" s="7" t="str">
        <x:v>Cache write tokens</x:v>
      </x:c>
      <x:c r="Q1" s="7" t="str">
        <x:v>Cache write EUR</x:v>
      </x:c>
      <x:c r="R1" s="7" t="str">
        <x:v>Cache write USD</x:v>
      </x:c>
      <x:c r="S1" s="7" t="str">
        <x:v>Output (non-reasoning) tokens</x:v>
      </x:c>
      <x:c r="T1" s="7" t="str">
        <x:v>Output (non-reasoning) EUR</x:v>
      </x:c>
      <x:c r="U1" s="7" t="str">
        <x:v>Output (non-reasoning) USD</x:v>
      </x:c>
      <x:c r="V1" s="7" t="str">
        <x:v>Reasoning tokens</x:v>
      </x:c>
      <x:c r="W1" s="7" t="str">
        <x:v>Reasoning EUR</x:v>
      </x:c>
      <x:c r="X1" s="7" t="str">
        <x:v>Reasoning USD</x:v>
      </x:c>
      <x:c r="Y1" s="7" t="str">
        <x:v>Total EUR</x:v>
      </x:c>
      <x:c r="Z1" s="7" t="str">
        <x:v>Total USD</x:v>
      </x:c>
      <x:c r="AA1" s="7" t="str">
        <x:v>Projected EUR</x:v>
      </x:c>
      <x:c r="AB1" s="7" t="str">
        <x:v>Projected USD</x:v>
      </x:c>
      <x:c r="AC1" s="7" t="str">
        <x:v>Request</x:v>
      </x:c>
      <x:c r="AD1" s="7" t="str">
        <x:v>Elapsed ms</x:v>
      </x:c>
      <x:c r="AE1" s="7" t="str">
        <x:v>Accounting</x:v>
      </x:c>
    </x:row>
    <x:row r="2" ht="54" customHeight="1">
      <x:c r="A2" s="40" t="str">
        <x:v>dispatcher_agent</x:v>
      </x:c>
      <x:c r="B2" s="35" t="n">
        <x:v>0</x:v>
      </x:c>
      <x:c r="C2" s="35" t="str">
        <x:v>workflow</x:v>
      </x:c>
      <x:c r="D2" s="35" t="str"/>
      <x:c r="E2" s="35" t="str">
        <x:v>ok</x:v>
      </x:c>
      <x:c r="F2" s="37"/>
      <x:c r="G2" s="40" t="str">
        <x:v>Execute the dispatcher_agent workflow operation and pass its result to the next graph step.</x:v>
      </x:c>
      <x:c r="H2" s="35" t="str">
        <x:v>01a0c410-0337-70d2-93d4-4b929908eb81</x:v>
      </x:c>
      <x:c r="I2" s="35"/>
      <x:c r="J2" s="33" t="n">
        <x:f>IF(COUNT('Turns'!D5,'Turns'!D21,'Turns'!D38,'Turns'!D50)=4,SUM('Turns'!D5,'Turns'!D21,'Turns'!D38,'Turns'!D50),"Unknown")</x:f>
        <x:v>1107</x:v>
      </x:c>
      <x:c r="K2" s="11" t="n">
        <x:f>IF(COUNT('Turns'!E5,'Turns'!E21,'Turns'!E38,'Turns'!E50)=4,SUM('Turns'!E5,'Turns'!E21,'Turns'!E38,'Turns'!E50),"Unknown")</x:f>
        <x:v>0.00019319364000000002</x:v>
      </x:c>
      <x:c r="L2" s="11" t="n">
        <x:f>IF(COUNT('Turns'!F5,'Turns'!F21,'Turns'!F38,'Turns'!F50)=4,SUM('Turns'!F5,'Turns'!F21,'Turns'!F38,'Turns'!F50),"Unknown")</x:f>
        <x:v>0.00022140000000000001</x:v>
      </x:c>
      <x:c r="M2" s="33" t="n">
        <x:f>IF(COUNT('Turns'!D37,'Turns'!D49)=2,SUM('Turns'!D37,'Turns'!D49),"Unknown")</x:f>
        <x:v>0</x:v>
      </x:c>
      <x:c r="N2" s="11" t="n">
        <x:f>IF(COUNT('Turns'!E37,'Turns'!E49)=2,SUM('Turns'!E37,'Turns'!E49),"Unknown")</x:f>
        <x:v>0</x:v>
      </x:c>
      <x:c r="O2" s="11" t="n">
        <x:f>IF(COUNT('Turns'!F37,'Turns'!F49)=2,SUM('Turns'!F37,'Turns'!F49),"Unknown")</x:f>
        <x:v>0</x:v>
      </x:c>
      <x:c r="P2" s="33" t="n">
        <x:v>0</x:v>
      </x:c>
      <x:c r="Q2" s="11" t="n">
        <x:v>0</x:v>
      </x:c>
      <x:c r="R2" s="11" t="n">
        <x:v>0</x:v>
      </x:c>
      <x:c r="S2" s="33" t="n">
        <x:f>IF(COUNT('Turns'!D12,'Turns'!D28,'Turns'!D43,'Turns'!D55)=4,SUM('Turns'!D12,'Turns'!D28,'Turns'!D43,'Turns'!D55),"Unknown")</x:f>
        <x:v>153</x:v>
      </x:c>
      <x:c r="T2" s="11" t="n">
        <x:f>IF(COUNT('Turns'!E12,'Turns'!E28,'Turns'!E43,'Turns'!E55)=4,SUM('Turns'!E12,'Turns'!E28,'Turns'!E43,'Turns'!E55),"Unknown")</x:f>
        <x:v>0.00016020936</x:v>
      </x:c>
      <x:c r="U2" s="11" t="n">
        <x:f>IF(COUNT('Turns'!F12,'Turns'!F28,'Turns'!F43,'Turns'!F55)=4,SUM('Turns'!F12,'Turns'!F28,'Turns'!F43,'Turns'!F55),"Unknown")</x:f>
        <x:v>0.0001836</x:v>
      </x:c>
      <x:c r="V2" s="33" t="n">
        <x:f>IF(COUNT('Turns'!D27)=1,SUM('Turns'!D27),"Unknown")</x:f>
        <x:v>9</x:v>
      </x:c>
      <x:c r="W2" s="11" t="n">
        <x:f>IF(COUNT('Turns'!E27)=1,SUM('Turns'!E27),"Unknown")</x:f>
        <x:v>0.000009424079999999999</x:v>
      </x:c>
      <x:c r="X2" s="11" t="n">
        <x:f>IF(COUNT('Turns'!F27)=1,SUM('Turns'!F27),"Unknown")</x:f>
        <x:v>0.000010799999999999998</x:v>
      </x:c>
      <x:c r="Y2" s="11" t="n">
        <x:f>IF(COUNT('Turns'!E16,'Turns'!E32,'Turns'!E47,'Turns'!E59)=4,SUM('Turns'!E16,'Turns'!E32,'Turns'!E47,'Turns'!E59),"Unknown")</x:f>
        <x:v>0.00036282708</x:v>
      </x:c>
      <x:c r="Z2" s="11" t="n">
        <x:f>IF(COUNT('Turns'!F16,'Turns'!F32,'Turns'!F47,'Turns'!F59)=4,SUM('Turns'!F16,'Turns'!F32,'Turns'!F47,'Turns'!F59),"Unknown")</x:f>
        <x:v>0.0004158</x:v>
      </x:c>
      <x:c r="AA2" s="33" t="n">
        <x:f>IF(ISNUMBER(Y2),ROUND(Y2*'Reference data'!$B$2,0),"Unknown")</x:f>
        <x:v>36</x:v>
      </x:c>
      <x:c r="AB2" s="33" t="n">
        <x:f>IF(ISNUMBER(Z2),ROUND(Z2*'Reference data'!$B$2,0),"Unknown")</x:f>
        <x:v>42</x:v>
      </x:c>
      <x:c r="AC2" s="2"/>
      <x:c r="AD2" s="43" t="n">
        <x:v>7914.791168</x:v>
      </x:c>
      <x:c r="AE2" s="2" t="str">
        <x:v>Subtree total</x:v>
      </x:c>
    </x:row>
    <x:row r="3" ht="54" customHeight="1">
      <x:c r="A3" s="41" t="str">
        <x:v>    model</x:v>
      </x:c>
      <x:c r="B3" s="36" t="n">
        <x:v>1</x:v>
      </x:c>
      <x:c r="C3" s="36" t="str">
        <x:v>workflow</x:v>
      </x:c>
      <x:c r="D3" s="36" t="str"/>
      <x:c r="E3" s="36" t="str">
        <x:v>ok</x:v>
      </x:c>
      <x:c r="F3" s="38"/>
      <x:c r="G3" s="41" t="str">
        <x:v>Prepare the current conversation, run model middleware, and invoke the chat model.</x:v>
      </x:c>
      <x:c r="H3" s="36" t="str">
        <x:v>01a0c410-033a-7043-a619-931f21a714f0</x:v>
      </x:c>
      <x:c r="I3" s="36" t="str">
        <x:v>01a0c410-0337-70d2-93d4-4b929908eb81</x:v>
      </x:c>
      <x:c r="J3" s="33" t="n">
        <x:f>IF(COUNT('Turns'!D5)=1,SUM('Turns'!D5),"Unknown")</x:f>
        <x:v>262</x:v>
      </x:c>
      <x:c r="K3" s="11" t="n">
        <x:f>IF(COUNT('Turns'!E5)=1,SUM('Turns'!E5),"Unknown")</x:f>
        <x:v>0.00004572424000000001</x:v>
      </x:c>
      <x:c r="L3" s="11" t="n">
        <x:f>IF(COUNT('Turns'!F5)=1,SUM('Turns'!F5),"Unknown")</x:f>
        <x:v>0.000052400000000000007</x:v>
      </x:c>
      <x:c r="M3" s="33" t="n">
        <x:v>0</x:v>
      </x:c>
      <x:c r="N3" s="11" t="n">
        <x:v>0</x:v>
      </x:c>
      <x:c r="O3" s="11" t="n">
        <x:v>0</x:v>
      </x:c>
      <x:c r="P3" s="33" t="n">
        <x:v>0</x:v>
      </x:c>
      <x:c r="Q3" s="11" t="n">
        <x:v>0</x:v>
      </x:c>
      <x:c r="R3" s="11" t="n">
        <x:v>0</x:v>
      </x:c>
      <x:c r="S3" s="33" t="n">
        <x:f>IF(COUNT('Turns'!D12)=1,SUM('Turns'!D12),"Unknown")</x:f>
        <x:v>57</x:v>
      </x:c>
      <x:c r="T3" s="11" t="n">
        <x:f>IF(COUNT('Turns'!E12)=1,SUM('Turns'!E12),"Unknown")</x:f>
        <x:v>0.00005968584</x:v>
      </x:c>
      <x:c r="U3" s="11" t="n">
        <x:f>IF(COUNT('Turns'!F12)=1,SUM('Turns'!F12),"Unknown")</x:f>
        <x:v>0.0000684</x:v>
      </x:c>
      <x:c r="V3" s="33" t="n">
        <x:v>0</x:v>
      </x:c>
      <x:c r="W3" s="11" t="n">
        <x:v>0</x:v>
      </x:c>
      <x:c r="X3" s="11" t="n">
        <x:v>0</x:v>
      </x:c>
      <x:c r="Y3" s="11" t="n">
        <x:f>IF(COUNT('Turns'!E16)=1,SUM('Turns'!E16),"Unknown")</x:f>
        <x:v>0.00010541008000000001</x:v>
      </x:c>
      <x:c r="Z3" s="11" t="n">
        <x:f>IF(COUNT('Turns'!F16)=1,SUM('Turns'!F16),"Unknown")</x:f>
        <x:v>0.00012080000000000001</x:v>
      </x:c>
      <x:c r="AA3" s="33" t="n">
        <x:f>IF(ISNUMBER(Y3),ROUND(Y3*'Reference data'!$B$2,0),"Unknown")</x:f>
        <x:v>11</x:v>
      </x:c>
      <x:c r="AB3" s="33" t="n">
        <x:f>IF(ISNUMBER(Z3),ROUND(Z3*'Reference data'!$B$2,0),"Unknown")</x:f>
        <x:v>12</x:v>
      </x:c>
      <x:c r="AC3" s="2"/>
      <x:c r="AD3" s="43" t="n">
        <x:v>2081.970944</x:v>
      </x:c>
      <x:c r="AE3" s="2" t="str">
        <x:v>Subtree total</x:v>
      </x:c>
    </x:row>
    <x:row r="4" ht="54" customHeight="1">
      <x:c r="A4" s="42" t="str">
        <x:v>        ChatOpenAI</x:v>
      </x:c>
      <x:c r="B4" s="20" t="n">
        <x:v>2</x:v>
      </x:c>
      <x:c r="C4" s="20" t="str">
        <x:v>model</x:v>
      </x:c>
      <x:c r="D4" s="20" t="str">
        <x:v>gpt-5.6-luna</x:v>
      </x:c>
      <x:c r="E4" s="20" t="str">
        <x:v>ok</x:v>
      </x:c>
      <x:c r="F4" s="39" t="n">
        <x:v>262</x:v>
      </x:c>
      <x:c r="G4" s="42" t="str">
        <x:v>Generate the next assistant message or tool request from the current conversation.</x:v>
      </x:c>
      <x:c r="H4" s="20" t="str">
        <x:v>01a0c410-033b-79e1-8586-c9abbf5ef49c</x:v>
      </x:c>
      <x:c r="I4" s="20" t="str">
        <x:v>01a0c410-033a-7043-a619-931f21a714f0</x:v>
      </x:c>
      <x:c r="J4" s="33" t="n">
        <x:f>IF(COUNT('Turns'!D5)=1,SUM('Turns'!D5),"Unknown")</x:f>
        <x:v>262</x:v>
      </x:c>
      <x:c r="K4" s="11" t="n">
        <x:f>IF(COUNT('Turns'!E5)=1,SUM('Turns'!E5),"Unknown")</x:f>
        <x:v>0.00004572424000000001</x:v>
      </x:c>
      <x:c r="L4" s="11" t="n">
        <x:f>IF(COUNT('Turns'!F5)=1,SUM('Turns'!F5),"Unknown")</x:f>
        <x:v>0.000052400000000000007</x:v>
      </x:c>
      <x:c r="M4" s="33" t="n">
        <x:v>0</x:v>
      </x:c>
      <x:c r="N4" s="11" t="n">
        <x:v>0</x:v>
      </x:c>
      <x:c r="O4" s="11" t="n">
        <x:v>0</x:v>
      </x:c>
      <x:c r="P4" s="33" t="n">
        <x:v>0</x:v>
      </x:c>
      <x:c r="Q4" s="11" t="n">
        <x:v>0</x:v>
      </x:c>
      <x:c r="R4" s="11" t="n">
        <x:v>0</x:v>
      </x:c>
      <x:c r="S4" s="33" t="n">
        <x:f>IF(COUNT('Turns'!D12)=1,SUM('Turns'!D12),"Unknown")</x:f>
        <x:v>57</x:v>
      </x:c>
      <x:c r="T4" s="11" t="n">
        <x:f>IF(COUNT('Turns'!E12)=1,SUM('Turns'!E12),"Unknown")</x:f>
        <x:v>0.00005968584</x:v>
      </x:c>
      <x:c r="U4" s="11" t="n">
        <x:f>IF(COUNT('Turns'!F12)=1,SUM('Turns'!F12),"Unknown")</x:f>
        <x:v>0.0000684</x:v>
      </x:c>
      <x:c r="V4" s="33" t="n">
        <x:v>0</x:v>
      </x:c>
      <x:c r="W4" s="11" t="n">
        <x:v>0</x:v>
      </x:c>
      <x:c r="X4" s="11" t="n">
        <x:v>0</x:v>
      </x:c>
      <x:c r="Y4" s="11" t="n">
        <x:f>IF(COUNT('Turns'!E16)=1,SUM('Turns'!E16),"Unknown")</x:f>
        <x:v>0.00010541008000000001</x:v>
      </x:c>
      <x:c r="Z4" s="11" t="n">
        <x:f>IF(COUNT('Turns'!F16)=1,SUM('Turns'!F16),"Unknown")</x:f>
        <x:v>0.00012080000000000001</x:v>
      </x:c>
      <x:c r="AA4" s="33" t="n">
        <x:f>IF(ISNUMBER(Y4),ROUND(Y4*'Reference data'!$B$2,0),"Unknown")</x:f>
        <x:v>11</x:v>
      </x:c>
      <x:c r="AB4" s="33" t="n">
        <x:f>IF(ISNUMBER(Z4),ROUND(Z4*'Reference data'!$B$2,0),"Unknown")</x:f>
        <x:v>12</x:v>
      </x:c>
      <x:c r="AC4" s="2" t="str">
        <x:v>R1</x:v>
      </x:c>
      <x:c r="AD4" s="43" t="n">
        <x:v>2079.661056</x:v>
      </x:c>
      <x:c r="AE4" s="2" t="str">
        <x:v>Own call</x:v>
      </x:c>
    </x:row>
    <x:row r="5" ht="54" customHeight="1">
      <x:c r="A5" s="41" t="str">
        <x:v>    tools</x:v>
      </x:c>
      <x:c r="B5" s="36" t="n">
        <x:v>1</x:v>
      </x:c>
      <x:c r="C5" s="36" t="str">
        <x:v>workflow</x:v>
      </x:c>
      <x:c r="D5" s="36" t="str"/>
      <x:c r="E5" s="36" t="str">
        <x:v>ok</x:v>
      </x:c>
      <x:c r="F5" s="38"/>
      <x:c r="G5" s="41" t="str">
        <x:v>Execute tool calls requested by the preceding model response and return their observations.</x:v>
      </x:c>
      <x:c r="H5" s="36" t="str">
        <x:v>01a0c410-0b5d-71e3-aceb-9e62944337dd</x:v>
      </x:c>
      <x:c r="I5" s="36" t="str">
        <x:v>01a0c410-0337-70d2-93d4-4b929908eb81</x:v>
      </x:c>
      <x:c r="J5" s="33" t="n">
        <x:f>IF(COUNT('Turns'!D21,'Turns'!D38)=2,SUM('Turns'!D21,'Turns'!D38),"Unknown")</x:f>
        <x:v>479</x:v>
      </x:c>
      <x:c r="K5" s="11" t="n">
        <x:f>IF(COUNT('Turns'!E21,'Turns'!E38)=2,SUM('Turns'!E21,'Turns'!E38),"Unknown")</x:f>
        <x:v>0.00008359508000000001</x:v>
      </x:c>
      <x:c r="L5" s="11" t="n">
        <x:f>IF(COUNT('Turns'!F21,'Turns'!F38)=2,SUM('Turns'!F21,'Turns'!F38),"Unknown")</x:f>
        <x:v>0.0000958</x:v>
      </x:c>
      <x:c r="M5" s="33" t="n">
        <x:f>IF(COUNT('Turns'!D37)=1,SUM('Turns'!D37),"Unknown")</x:f>
        <x:v>0</x:v>
      </x:c>
      <x:c r="N5" s="11" t="n">
        <x:f>IF(COUNT('Turns'!E37)=1,SUM('Turns'!E37),"Unknown")</x:f>
        <x:v>0</x:v>
      </x:c>
      <x:c r="O5" s="11" t="n">
        <x:f>IF(COUNT('Turns'!F37)=1,SUM('Turns'!F37),"Unknown")</x:f>
        <x:v>0</x:v>
      </x:c>
      <x:c r="P5" s="33" t="n">
        <x:v>0</x:v>
      </x:c>
      <x:c r="Q5" s="11" t="n">
        <x:v>0</x:v>
      </x:c>
      <x:c r="R5" s="11" t="n">
        <x:v>0</x:v>
      </x:c>
      <x:c r="S5" s="33" t="n">
        <x:f>IF(COUNT('Turns'!D28,'Turns'!D43)=2,SUM('Turns'!D28,'Turns'!D43),"Unknown")</x:f>
        <x:v>75</x:v>
      </x:c>
      <x:c r="T5" s="11" t="n">
        <x:f>IF(COUNT('Turns'!E28,'Turns'!E43)=2,SUM('Turns'!E28,'Turns'!E43),"Unknown")</x:f>
        <x:v>0.000078534</x:v>
      </x:c>
      <x:c r="U5" s="11" t="n">
        <x:f>IF(COUNT('Turns'!F28,'Turns'!F43)=2,SUM('Turns'!F28,'Turns'!F43),"Unknown")</x:f>
        <x:v>0.00008999999999999999</x:v>
      </x:c>
      <x:c r="V5" s="33" t="n">
        <x:f>IF(COUNT('Turns'!D27)=1,SUM('Turns'!D27),"Unknown")</x:f>
        <x:v>9</x:v>
      </x:c>
      <x:c r="W5" s="11" t="n">
        <x:f>IF(COUNT('Turns'!E27)=1,SUM('Turns'!E27),"Unknown")</x:f>
        <x:v>0.000009424079999999999</x:v>
      </x:c>
      <x:c r="X5" s="11" t="n">
        <x:f>IF(COUNT('Turns'!F27)=1,SUM('Turns'!F27),"Unknown")</x:f>
        <x:v>0.000010799999999999998</x:v>
      </x:c>
      <x:c r="Y5" s="11" t="n">
        <x:f>IF(COUNT('Turns'!E32,'Turns'!E47)=2,SUM('Turns'!E32,'Turns'!E47),"Unknown")</x:f>
        <x:v>0.00017155316</x:v>
      </x:c>
      <x:c r="Z5" s="11" t="n">
        <x:f>IF(COUNT('Turns'!F32,'Turns'!F47)=2,SUM('Turns'!F32,'Turns'!F47),"Unknown")</x:f>
        <x:v>0.0001966</x:v>
      </x:c>
      <x:c r="AA5" s="33" t="n">
        <x:f>IF(ISNUMBER(Y5),ROUND(Y5*'Reference data'!$B$2,0),"Unknown")</x:f>
        <x:v>17</x:v>
      </x:c>
      <x:c r="AB5" s="33" t="n">
        <x:f>IF(ISNUMBER(Z5),ROUND(Z5*'Reference data'!$B$2,0),"Unknown")</x:f>
        <x:v>20</x:v>
      </x:c>
      <x:c r="AC5" s="2"/>
      <x:c r="AD5" s="43" t="n">
        <x:v>3538.812928</x:v>
      </x:c>
      <x:c r="AE5" s="2" t="str">
        <x:v>Subtree total</x:v>
      </x:c>
    </x:row>
    <x:row r="6" ht="54" customHeight="1">
      <x:c r="A6" s="41" t="str">
        <x:v>        task</x:v>
      </x:c>
      <x:c r="B6" s="36" t="n">
        <x:v>2</x:v>
      </x:c>
      <x:c r="C6" s="36" t="str">
        <x:v>tool</x:v>
      </x:c>
      <x:c r="D6" s="36" t="str"/>
      <x:c r="E6" s="36" t="str">
        <x:v>ok</x:v>
      </x:c>
      <x:c r="F6" s="38"/>
      <x:c r="G6" s="41" t="str">
        <x:v>Delegate a self-contained question to the matching expert. Available experts:
- movie_expert: Specialist for questions about movies, with its own local reference lookup.
- sports_expert: Specialist for questions about sports, with its own local reference lookup.
- history_expert: Specialist for questions about history, with its own local reference lookup.</x:v>
      </x:c>
      <x:c r="H6" s="36" t="str">
        <x:v>01a0c410-0b5d-71e3-aceb-9e718e8b64e9</x:v>
      </x:c>
      <x:c r="I6" s="36" t="str">
        <x:v>01a0c410-0b5d-71e3-aceb-9e62944337dd</x:v>
      </x:c>
      <x:c r="J6" s="33" t="n">
        <x:f>IF(COUNT('Turns'!D21,'Turns'!D38)=2,SUM('Turns'!D21,'Turns'!D38),"Unknown")</x:f>
        <x:v>479</x:v>
      </x:c>
      <x:c r="K6" s="11" t="n">
        <x:f>IF(COUNT('Turns'!E21,'Turns'!E38)=2,SUM('Turns'!E21,'Turns'!E38),"Unknown")</x:f>
        <x:v>0.00008359508000000001</x:v>
      </x:c>
      <x:c r="L6" s="11" t="n">
        <x:f>IF(COUNT('Turns'!F21,'Turns'!F38)=2,SUM('Turns'!F21,'Turns'!F38),"Unknown")</x:f>
        <x:v>0.0000958</x:v>
      </x:c>
      <x:c r="M6" s="33" t="n">
        <x:f>IF(COUNT('Turns'!D37)=1,SUM('Turns'!D37),"Unknown")</x:f>
        <x:v>0</x:v>
      </x:c>
      <x:c r="N6" s="11" t="n">
        <x:f>IF(COUNT('Turns'!E37)=1,SUM('Turns'!E37),"Unknown")</x:f>
        <x:v>0</x:v>
      </x:c>
      <x:c r="O6" s="11" t="n">
        <x:f>IF(COUNT('Turns'!F37)=1,SUM('Turns'!F37),"Unknown")</x:f>
        <x:v>0</x:v>
      </x:c>
      <x:c r="P6" s="33" t="n">
        <x:v>0</x:v>
      </x:c>
      <x:c r="Q6" s="11" t="n">
        <x:v>0</x:v>
      </x:c>
      <x:c r="R6" s="11" t="n">
        <x:v>0</x:v>
      </x:c>
      <x:c r="S6" s="33" t="n">
        <x:f>IF(COUNT('Turns'!D28,'Turns'!D43)=2,SUM('Turns'!D28,'Turns'!D43),"Unknown")</x:f>
        <x:v>75</x:v>
      </x:c>
      <x:c r="T6" s="11" t="n">
        <x:f>IF(COUNT('Turns'!E28,'Turns'!E43)=2,SUM('Turns'!E28,'Turns'!E43),"Unknown")</x:f>
        <x:v>0.000078534</x:v>
      </x:c>
      <x:c r="U6" s="11" t="n">
        <x:f>IF(COUNT('Turns'!F28,'Turns'!F43)=2,SUM('Turns'!F28,'Turns'!F43),"Unknown")</x:f>
        <x:v>0.00008999999999999999</x:v>
      </x:c>
      <x:c r="V6" s="33" t="n">
        <x:f>IF(COUNT('Turns'!D27)=1,SUM('Turns'!D27),"Unknown")</x:f>
        <x:v>9</x:v>
      </x:c>
      <x:c r="W6" s="11" t="n">
        <x:f>IF(COUNT('Turns'!E27)=1,SUM('Turns'!E27),"Unknown")</x:f>
        <x:v>0.000009424079999999999</x:v>
      </x:c>
      <x:c r="X6" s="11" t="n">
        <x:f>IF(COUNT('Turns'!F27)=1,SUM('Turns'!F27),"Unknown")</x:f>
        <x:v>0.000010799999999999998</x:v>
      </x:c>
      <x:c r="Y6" s="11" t="n">
        <x:f>IF(COUNT('Turns'!E32,'Turns'!E47)=2,SUM('Turns'!E32,'Turns'!E47),"Unknown")</x:f>
        <x:v>0.00017155316</x:v>
      </x:c>
      <x:c r="Z6" s="11" t="n">
        <x:f>IF(COUNT('Turns'!F32,'Turns'!F47)=2,SUM('Turns'!F32,'Turns'!F47),"Unknown")</x:f>
        <x:v>0.0001966</x:v>
      </x:c>
      <x:c r="AA6" s="33" t="n">
        <x:f>IF(ISNUMBER(Y6),ROUND(Y6*'Reference data'!$B$2,0),"Unknown")</x:f>
        <x:v>17</x:v>
      </x:c>
      <x:c r="AB6" s="33" t="n">
        <x:f>IF(ISNUMBER(Z6),ROUND(Z6*'Reference data'!$B$2,0),"Unknown")</x:f>
        <x:v>20</x:v>
      </x:c>
      <x:c r="AC6" s="2"/>
      <x:c r="AD6" s="43" t="n">
        <x:v>3536.119808</x:v>
      </x:c>
      <x:c r="AE6" s="2" t="str">
        <x:v>Subtree total</x:v>
      </x:c>
    </x:row>
    <x:row r="7" ht="54" customHeight="1">
      <x:c r="A7" s="41" t="str">
        <x:v>            movie_expert</x:v>
      </x:c>
      <x:c r="B7" s="36" t="n">
        <x:v>3</x:v>
      </x:c>
      <x:c r="C7" s="36" t="str">
        <x:v>workflow</x:v>
      </x:c>
      <x:c r="D7" s="36" t="str"/>
      <x:c r="E7" s="36" t="str">
        <x:v>ok</x:v>
      </x:c>
      <x:c r="F7" s="38"/>
      <x:c r="G7" s="41" t="str">
        <x:v>Execute the movie_expert workflow operation and pass its result to the next graph step.</x:v>
      </x:c>
      <x:c r="H7" s="36" t="str">
        <x:v>01a0c410-0b5e-7f93-9e95-a5467eec8b58</x:v>
      </x:c>
      <x:c r="I7" s="36" t="str">
        <x:v>01a0c410-0b5d-71e3-aceb-9e718e8b64e9</x:v>
      </x:c>
      <x:c r="J7" s="33" t="n">
        <x:f>IF(COUNT('Turns'!D21,'Turns'!D38)=2,SUM('Turns'!D21,'Turns'!D38),"Unknown")</x:f>
        <x:v>479</x:v>
      </x:c>
      <x:c r="K7" s="11" t="n">
        <x:f>IF(COUNT('Turns'!E21,'Turns'!E38)=2,SUM('Turns'!E21,'Turns'!E38),"Unknown")</x:f>
        <x:v>0.00008359508000000001</x:v>
      </x:c>
      <x:c r="L7" s="11" t="n">
        <x:f>IF(COUNT('Turns'!F21,'Turns'!F38)=2,SUM('Turns'!F21,'Turns'!F38),"Unknown")</x:f>
        <x:v>0.0000958</x:v>
      </x:c>
      <x:c r="M7" s="33" t="n">
        <x:f>IF(COUNT('Turns'!D37)=1,SUM('Turns'!D37),"Unknown")</x:f>
        <x:v>0</x:v>
      </x:c>
      <x:c r="N7" s="11" t="n">
        <x:f>IF(COUNT('Turns'!E37)=1,SUM('Turns'!E37),"Unknown")</x:f>
        <x:v>0</x:v>
      </x:c>
      <x:c r="O7" s="11" t="n">
        <x:f>IF(COUNT('Turns'!F37)=1,SUM('Turns'!F37),"Unknown")</x:f>
        <x:v>0</x:v>
      </x:c>
      <x:c r="P7" s="33" t="n">
        <x:v>0</x:v>
      </x:c>
      <x:c r="Q7" s="11" t="n">
        <x:v>0</x:v>
      </x:c>
      <x:c r="R7" s="11" t="n">
        <x:v>0</x:v>
      </x:c>
      <x:c r="S7" s="33" t="n">
        <x:f>IF(COUNT('Turns'!D28,'Turns'!D43)=2,SUM('Turns'!D28,'Turns'!D43),"Unknown")</x:f>
        <x:v>75</x:v>
      </x:c>
      <x:c r="T7" s="11" t="n">
        <x:f>IF(COUNT('Turns'!E28,'Turns'!E43)=2,SUM('Turns'!E28,'Turns'!E43),"Unknown")</x:f>
        <x:v>0.000078534</x:v>
      </x:c>
      <x:c r="U7" s="11" t="n">
        <x:f>IF(COUNT('Turns'!F28,'Turns'!F43)=2,SUM('Turns'!F28,'Turns'!F43),"Unknown")</x:f>
        <x:v>0.00008999999999999999</x:v>
      </x:c>
      <x:c r="V7" s="33" t="n">
        <x:f>IF(COUNT('Turns'!D27)=1,SUM('Turns'!D27),"Unknown")</x:f>
        <x:v>9</x:v>
      </x:c>
      <x:c r="W7" s="11" t="n">
        <x:f>IF(COUNT('Turns'!E27)=1,SUM('Turns'!E27),"Unknown")</x:f>
        <x:v>0.000009424079999999999</x:v>
      </x:c>
      <x:c r="X7" s="11" t="n">
        <x:f>IF(COUNT('Turns'!F27)=1,SUM('Turns'!F27),"Unknown")</x:f>
        <x:v>0.000010799999999999998</x:v>
      </x:c>
      <x:c r="Y7" s="11" t="n">
        <x:f>IF(COUNT('Turns'!E32,'Turns'!E47)=2,SUM('Turns'!E32,'Turns'!E47),"Unknown")</x:f>
        <x:v>0.00017155316</x:v>
      </x:c>
      <x:c r="Z7" s="11" t="n">
        <x:f>IF(COUNT('Turns'!F32,'Turns'!F47)=2,SUM('Turns'!F32,'Turns'!F47),"Unknown")</x:f>
        <x:v>0.0001966</x:v>
      </x:c>
      <x:c r="AA7" s="33" t="n">
        <x:f>IF(ISNUMBER(Y7),ROUND(Y7*'Reference data'!$B$2,0),"Unknown")</x:f>
        <x:v>17</x:v>
      </x:c>
      <x:c r="AB7" s="33" t="n">
        <x:f>IF(ISNUMBER(Z7),ROUND(Z7*'Reference data'!$B$2,0),"Unknown")</x:f>
        <x:v>20</x:v>
      </x:c>
      <x:c r="AC7" s="2"/>
      <x:c r="AD7" s="43" t="n">
        <x:v>3534.509056</x:v>
      </x:c>
      <x:c r="AE7" s="2" t="str">
        <x:v>Subtree total</x:v>
      </x:c>
    </x:row>
    <x:row r="8" ht="54" customHeight="1">
      <x:c r="A8" s="41" t="str">
        <x:v>                model</x:v>
      </x:c>
      <x:c r="B8" s="36" t="n">
        <x:v>4</x:v>
      </x:c>
      <x:c r="C8" s="36" t="str">
        <x:v>workflow</x:v>
      </x:c>
      <x:c r="D8" s="36" t="str"/>
      <x:c r="E8" s="36" t="str">
        <x:v>ok</x:v>
      </x:c>
      <x:c r="F8" s="38"/>
      <x:c r="G8" s="41" t="str">
        <x:v>Prepare the current conversation, run model middleware, and invoke the chat model.</x:v>
      </x:c>
      <x:c r="H8" s="36" t="str">
        <x:v>01a0c410-0b5f-7420-9f03-867e0f741903</x:v>
      </x:c>
      <x:c r="I8" s="36" t="str">
        <x:v>01a0c410-0b5e-7f93-9e95-a5467eec8b58</x:v>
      </x:c>
      <x:c r="J8" s="33" t="n">
        <x:f>IF(COUNT('Turns'!D21)=1,SUM('Turns'!D21),"Unknown")</x:f>
        <x:v>194</x:v>
      </x:c>
      <x:c r="K8" s="11" t="n">
        <x:f>IF(COUNT('Turns'!E21)=1,SUM('Turns'!E21),"Unknown")</x:f>
        <x:v>0.00003385688</x:v>
      </x:c>
      <x:c r="L8" s="11" t="n">
        <x:f>IF(COUNT('Turns'!F21)=1,SUM('Turns'!F21),"Unknown")</x:f>
        <x:v>0.0000388</x:v>
      </x:c>
      <x:c r="M8" s="33" t="n">
        <x:v>0</x:v>
      </x:c>
      <x:c r="N8" s="11" t="n">
        <x:v>0</x:v>
      </x:c>
      <x:c r="O8" s="11" t="n">
        <x:v>0</x:v>
      </x:c>
      <x:c r="P8" s="33" t="n">
        <x:v>0</x:v>
      </x:c>
      <x:c r="Q8" s="11" t="n">
        <x:v>0</x:v>
      </x:c>
      <x:c r="R8" s="11" t="n">
        <x:v>0</x:v>
      </x:c>
      <x:c r="S8" s="33" t="n">
        <x:f>IF(COUNT('Turns'!D28)=1,SUM('Turns'!D28),"Unknown")</x:f>
        <x:v>34</x:v>
      </x:c>
      <x:c r="T8" s="11" t="n">
        <x:f>IF(COUNT('Turns'!E28)=1,SUM('Turns'!E28),"Unknown")</x:f>
        <x:v>0.00003560208</x:v>
      </x:c>
      <x:c r="U8" s="11" t="n">
        <x:f>IF(COUNT('Turns'!F28)=1,SUM('Turns'!F28),"Unknown")</x:f>
        <x:v>0.000040799999999999996</x:v>
      </x:c>
      <x:c r="V8" s="33" t="n">
        <x:f>IF(COUNT('Turns'!D27)=1,SUM('Turns'!D27),"Unknown")</x:f>
        <x:v>9</x:v>
      </x:c>
      <x:c r="W8" s="11" t="n">
        <x:f>IF(COUNT('Turns'!E27)=1,SUM('Turns'!E27),"Unknown")</x:f>
        <x:v>0.000009424079999999999</x:v>
      </x:c>
      <x:c r="X8" s="11" t="n">
        <x:f>IF(COUNT('Turns'!F27)=1,SUM('Turns'!F27),"Unknown")</x:f>
        <x:v>0.000010799999999999998</x:v>
      </x:c>
      <x:c r="Y8" s="11" t="n">
        <x:f>IF(COUNT('Turns'!E32)=1,SUM('Turns'!E32),"Unknown")</x:f>
        <x:v>0.00007888304</x:v>
      </x:c>
      <x:c r="Z8" s="11" t="n">
        <x:f>IF(COUNT('Turns'!F32)=1,SUM('Turns'!F32),"Unknown")</x:f>
        <x:v>0.0000904</x:v>
      </x:c>
      <x:c r="AA8" s="33" t="n">
        <x:f>IF(ISNUMBER(Y8),ROUND(Y8*'Reference data'!$B$2,0),"Unknown")</x:f>
        <x:v>8</x:v>
      </x:c>
      <x:c r="AB8" s="33" t="n">
        <x:f>IF(ISNUMBER(Z8),ROUND(Z8*'Reference data'!$B$2,0),"Unknown")</x:f>
        <x:v>9</x:v>
      </x:c>
      <x:c r="AC8" s="2"/>
      <x:c r="AD8" s="43" t="n">
        <x:v>1431.771904</x:v>
      </x:c>
      <x:c r="AE8" s="2" t="str">
        <x:v>Subtree total</x:v>
      </x:c>
    </x:row>
    <x:row r="9" ht="54" customHeight="1">
      <x:c r="A9" s="42" t="str">
        <x:v>                    ChatOpenAI</x:v>
      </x:c>
      <x:c r="B9" s="20" t="n">
        <x:v>5</x:v>
      </x:c>
      <x:c r="C9" s="20" t="str">
        <x:v>model</x:v>
      </x:c>
      <x:c r="D9" s="20" t="str">
        <x:v>gpt-5.6-luna</x:v>
      </x:c>
      <x:c r="E9" s="20" t="str">
        <x:v>ok</x:v>
      </x:c>
      <x:c r="F9" s="39" t="n">
        <x:v>194</x:v>
      </x:c>
      <x:c r="G9" s="42" t="str">
        <x:v>Generate the next assistant message or tool request from the current conversation.</x:v>
      </x:c>
      <x:c r="H9" s="20" t="str">
        <x:v>01a0c410-0b61-74f1-ab8c-e1b6dc51e8e7</x:v>
      </x:c>
      <x:c r="I9" s="20" t="str">
        <x:v>01a0c410-0b5f-7420-9f03-867e0f741903</x:v>
      </x:c>
      <x:c r="J9" s="33" t="n">
        <x:f>IF(COUNT('Turns'!D21)=1,SUM('Turns'!D21),"Unknown")</x:f>
        <x:v>194</x:v>
      </x:c>
      <x:c r="K9" s="11" t="n">
        <x:f>IF(COUNT('Turns'!E21)=1,SUM('Turns'!E21),"Unknown")</x:f>
        <x:v>0.00003385688</x:v>
      </x:c>
      <x:c r="L9" s="11" t="n">
        <x:f>IF(COUNT('Turns'!F21)=1,SUM('Turns'!F21),"Unknown")</x:f>
        <x:v>0.0000388</x:v>
      </x:c>
      <x:c r="M9" s="33" t="n">
        <x:v>0</x:v>
      </x:c>
      <x:c r="N9" s="11" t="n">
        <x:v>0</x:v>
      </x:c>
      <x:c r="O9" s="11" t="n">
        <x:v>0</x:v>
      </x:c>
      <x:c r="P9" s="33" t="n">
        <x:v>0</x:v>
      </x:c>
      <x:c r="Q9" s="11" t="n">
        <x:v>0</x:v>
      </x:c>
      <x:c r="R9" s="11" t="n">
        <x:v>0</x:v>
      </x:c>
      <x:c r="S9" s="33" t="n">
        <x:f>IF(COUNT('Turns'!D28)=1,SUM('Turns'!D28),"Unknown")</x:f>
        <x:v>34</x:v>
      </x:c>
      <x:c r="T9" s="11" t="n">
        <x:f>IF(COUNT('Turns'!E28)=1,SUM('Turns'!E28),"Unknown")</x:f>
        <x:v>0.00003560208</x:v>
      </x:c>
      <x:c r="U9" s="11" t="n">
        <x:f>IF(COUNT('Turns'!F28)=1,SUM('Turns'!F28),"Unknown")</x:f>
        <x:v>0.000040799999999999996</x:v>
      </x:c>
      <x:c r="V9" s="33" t="n">
        <x:f>IF(COUNT('Turns'!D27)=1,SUM('Turns'!D27),"Unknown")</x:f>
        <x:v>9</x:v>
      </x:c>
      <x:c r="W9" s="11" t="n">
        <x:f>IF(COUNT('Turns'!E27)=1,SUM('Turns'!E27),"Unknown")</x:f>
        <x:v>0.000009424079999999999</x:v>
      </x:c>
      <x:c r="X9" s="11" t="n">
        <x:f>IF(COUNT('Turns'!F27)=1,SUM('Turns'!F27),"Unknown")</x:f>
        <x:v>0.000010799999999999998</x:v>
      </x:c>
      <x:c r="Y9" s="11" t="n">
        <x:f>IF(COUNT('Turns'!E32)=1,SUM('Turns'!E32),"Unknown")</x:f>
        <x:v>0.00007888304</x:v>
      </x:c>
      <x:c r="Z9" s="11" t="n">
        <x:f>IF(COUNT('Turns'!F32)=1,SUM('Turns'!F32),"Unknown")</x:f>
        <x:v>0.0000904</x:v>
      </x:c>
      <x:c r="AA9" s="33" t="n">
        <x:f>IF(ISNUMBER(Y9),ROUND(Y9*'Reference data'!$B$2,0),"Unknown")</x:f>
        <x:v>8</x:v>
      </x:c>
      <x:c r="AB9" s="33" t="n">
        <x:f>IF(ISNUMBER(Z9),ROUND(Z9*'Reference data'!$B$2,0),"Unknown")</x:f>
        <x:v>9</x:v>
      </x:c>
      <x:c r="AC9" s="2" t="str">
        <x:v>R2</x:v>
      </x:c>
      <x:c r="AD9" s="43" t="n">
        <x:v>1429.050112</x:v>
      </x:c>
      <x:c r="AE9" s="2" t="str">
        <x:v>Own call</x:v>
      </x:c>
    </x:row>
    <x:row r="10" ht="54" customHeight="1">
      <x:c r="A10" s="41" t="str">
        <x:v>                tools</x:v>
      </x:c>
      <x:c r="B10" s="36" t="n">
        <x:v>4</x:v>
      </x:c>
      <x:c r="C10" s="36" t="str">
        <x:v>workflow</x:v>
      </x:c>
      <x:c r="D10" s="36" t="str"/>
      <x:c r="E10" s="36" t="str">
        <x:v>ok</x:v>
      </x:c>
      <x:c r="F10" s="38"/>
      <x:c r="G10" s="41" t="str">
        <x:v>Execute tool calls requested by the preceding model response and return their observations.</x:v>
      </x:c>
      <x:c r="H10" s="36" t="str">
        <x:v>01a0c410-10f8-7b71-b7da-50b367d9eb4c</x:v>
      </x:c>
      <x:c r="I10" s="36" t="str">
        <x:v>01a0c410-0b5e-7f93-9e95-a5467eec8b58</x:v>
      </x:c>
      <x:c r="J10" s="33"/>
      <x:c r="K10" s="11"/>
      <x:c r="L10" s="11"/>
      <x:c r="M10" s="33"/>
      <x:c r="N10" s="11"/>
      <x:c r="O10" s="11"/>
      <x:c r="P10" s="33"/>
      <x:c r="Q10" s="11"/>
      <x:c r="R10" s="11"/>
      <x:c r="S10" s="33"/>
      <x:c r="T10" s="11"/>
      <x:c r="U10" s="11"/>
      <x:c r="V10" s="33"/>
      <x:c r="W10" s="11"/>
      <x:c r="X10" s="11"/>
      <x:c r="Y10" s="11"/>
      <x:c r="Z10" s="11"/>
      <x:c r="AA10" s="33"/>
      <x:c r="AB10" s="33"/>
      <x:c r="AC10" s="2"/>
      <x:c r="AD10" s="43" t="n">
        <x:v>2.774016</x:v>
      </x:c>
      <x:c r="AE10" s="2" t="str">
        <x:v>No model charge</x:v>
      </x:c>
    </x:row>
    <x:row r="11" ht="54" customHeight="1">
      <x:c r="A11" s="41" t="str">
        <x:v>                    search_movie_reference</x:v>
      </x:c>
      <x:c r="B11" s="36" t="n">
        <x:v>5</x:v>
      </x:c>
      <x:c r="C11" s="36" t="str">
        <x:v>tool</x:v>
      </x:c>
      <x:c r="D11" s="36" t="str"/>
      <x:c r="E11" s="36" t="str">
        <x:v>ok</x:v>
      </x:c>
      <x:c r="F11" s="38"/>
      <x:c r="G11" s="41" t="str">
        <x:v>Look up local movie evidence by phrase; return sources or an explicit miss.</x:v>
      </x:c>
      <x:c r="H11" s="36" t="str">
        <x:v>01a0c410-10f9-7a40-aec3-b3fec3841d30</x:v>
      </x:c>
      <x:c r="I11" s="36" t="str">
        <x:v>01a0c410-10f8-7b71-b7da-50b367d9eb4c</x:v>
      </x:c>
      <x:c r="J11" s="33"/>
      <x:c r="K11" s="11"/>
      <x:c r="L11" s="11"/>
      <x:c r="M11" s="33"/>
      <x:c r="N11" s="11"/>
      <x:c r="O11" s="11"/>
      <x:c r="P11" s="33"/>
      <x:c r="Q11" s="11"/>
      <x:c r="R11" s="11"/>
      <x:c r="S11" s="33"/>
      <x:c r="T11" s="11"/>
      <x:c r="U11" s="11"/>
      <x:c r="V11" s="33"/>
      <x:c r="W11" s="11"/>
      <x:c r="X11" s="11"/>
      <x:c r="Y11" s="11"/>
      <x:c r="Z11" s="11"/>
      <x:c r="AA11" s="33"/>
      <x:c r="AB11" s="33"/>
      <x:c r="AC11" s="2"/>
      <x:c r="AD11" s="43" t="n">
        <x:v>0.86016</x:v>
      </x:c>
      <x:c r="AE11" s="2" t="str">
        <x:v>No model charge</x:v>
      </x:c>
    </x:row>
    <x:row r="12" ht="54" customHeight="1">
      <x:c r="A12" s="41" t="str">
        <x:v>                model</x:v>
      </x:c>
      <x:c r="B12" s="36" t="n">
        <x:v>4</x:v>
      </x:c>
      <x:c r="C12" s="36" t="str">
        <x:v>workflow</x:v>
      </x:c>
      <x:c r="D12" s="36" t="str"/>
      <x:c r="E12" s="36" t="str">
        <x:v>ok</x:v>
      </x:c>
      <x:c r="F12" s="38"/>
      <x:c r="G12" s="41" t="str">
        <x:v>Prepare the current conversation, run model middleware, and invoke the chat model.</x:v>
      </x:c>
      <x:c r="H12" s="36" t="str">
        <x:v>01a0c410-10fb-7a51-ae4d-11270bd5ee7b</x:v>
      </x:c>
      <x:c r="I12" s="36" t="str">
        <x:v>01a0c410-0b5e-7f93-9e95-a5467eec8b58</x:v>
      </x:c>
      <x:c r="J12" s="33" t="n">
        <x:f>IF(COUNT('Turns'!D38)=1,SUM('Turns'!D38),"Unknown")</x:f>
        <x:v>285</x:v>
      </x:c>
      <x:c r="K12" s="11" t="n">
        <x:f>IF(COUNT('Turns'!E38)=1,SUM('Turns'!E38),"Unknown")</x:f>
        <x:v>0.000049738200000000004</x:v>
      </x:c>
      <x:c r="L12" s="11" t="n">
        <x:f>IF(COUNT('Turns'!F38)=1,SUM('Turns'!F38),"Unknown")</x:f>
        <x:v>0.000057</x:v>
      </x:c>
      <x:c r="M12" s="33" t="n">
        <x:f>IF(COUNT('Turns'!D37)=1,SUM('Turns'!D37),"Unknown")</x:f>
        <x:v>0</x:v>
      </x:c>
      <x:c r="N12" s="11" t="n">
        <x:f>IF(COUNT('Turns'!E37)=1,SUM('Turns'!E37),"Unknown")</x:f>
        <x:v>0</x:v>
      </x:c>
      <x:c r="O12" s="11" t="n">
        <x:f>IF(COUNT('Turns'!F37)=1,SUM('Turns'!F37),"Unknown")</x:f>
        <x:v>0</x:v>
      </x:c>
      <x:c r="P12" s="33" t="n">
        <x:v>0</x:v>
      </x:c>
      <x:c r="Q12" s="11" t="n">
        <x:v>0</x:v>
      </x:c>
      <x:c r="R12" s="11" t="n">
        <x:v>0</x:v>
      </x:c>
      <x:c r="S12" s="33" t="n">
        <x:f>IF(COUNT('Turns'!D43)=1,SUM('Turns'!D43),"Unknown")</x:f>
        <x:v>41</x:v>
      </x:c>
      <x:c r="T12" s="11" t="n">
        <x:f>IF(COUNT('Turns'!E43)=1,SUM('Turns'!E43),"Unknown")</x:f>
        <x:v>0.000042931919999999996</x:v>
      </x:c>
      <x:c r="U12" s="11" t="n">
        <x:f>IF(COUNT('Turns'!F43)=1,SUM('Turns'!F43),"Unknown")</x:f>
        <x:v>0.000049199999999999997</x:v>
      </x:c>
      <x:c r="V12" s="33" t="n">
        <x:v>0</x:v>
      </x:c>
      <x:c r="W12" s="11" t="n">
        <x:v>0</x:v>
      </x:c>
      <x:c r="X12" s="11" t="n">
        <x:v>0</x:v>
      </x:c>
      <x:c r="Y12" s="11" t="n">
        <x:f>IF(COUNT('Turns'!E47)=1,SUM('Turns'!E47),"Unknown")</x:f>
        <x:v>0.00009267012</x:v>
      </x:c>
      <x:c r="Z12" s="11" t="n">
        <x:f>IF(COUNT('Turns'!F47)=1,SUM('Turns'!F47),"Unknown")</x:f>
        <x:v>0.0001062</x:v>
      </x:c>
      <x:c r="AA12" s="33" t="n">
        <x:f>IF(ISNUMBER(Y12),ROUND(Y12*'Reference data'!$B$2,0),"Unknown")</x:f>
        <x:v>9</x:v>
      </x:c>
      <x:c r="AB12" s="33" t="n">
        <x:f>IF(ISNUMBER(Z12),ROUND(Z12*'Reference data'!$B$2,0),"Unknown")</x:f>
        <x:v>11</x:v>
      </x:c>
      <x:c r="AC12" s="2"/>
      <x:c r="AD12" s="43" t="n">
        <x:v>2094.99392</x:v>
      </x:c>
      <x:c r="AE12" s="2" t="str">
        <x:v>Subtree total</x:v>
      </x:c>
    </x:row>
    <x:row r="13" ht="54" customHeight="1">
      <x:c r="A13" s="42" t="str">
        <x:v>                    ChatOpenAI</x:v>
      </x:c>
      <x:c r="B13" s="20" t="n">
        <x:v>5</x:v>
      </x:c>
      <x:c r="C13" s="20" t="str">
        <x:v>model</x:v>
      </x:c>
      <x:c r="D13" s="20" t="str">
        <x:v>gpt-5.6-luna</x:v>
      </x:c>
      <x:c r="E13" s="20" t="str">
        <x:v>ok</x:v>
      </x:c>
      <x:c r="F13" s="39" t="n">
        <x:v>285</x:v>
      </x:c>
      <x:c r="G13" s="42" t="str">
        <x:v>Generate the next assistant message or tool request from the current conversation.</x:v>
      </x:c>
      <x:c r="H13" s="20" t="str">
        <x:v>01a0c410-10fc-7761-be96-418dd03401ba</x:v>
      </x:c>
      <x:c r="I13" s="20" t="str">
        <x:v>01a0c410-10fb-7a51-ae4d-11270bd5ee7b</x:v>
      </x:c>
      <x:c r="J13" s="33" t="n">
        <x:f>IF(COUNT('Turns'!D38)=1,SUM('Turns'!D38),"Unknown")</x:f>
        <x:v>285</x:v>
      </x:c>
      <x:c r="K13" s="11" t="n">
        <x:f>IF(COUNT('Turns'!E38)=1,SUM('Turns'!E38),"Unknown")</x:f>
        <x:v>0.000049738200000000004</x:v>
      </x:c>
      <x:c r="L13" s="11" t="n">
        <x:f>IF(COUNT('Turns'!F38)=1,SUM('Turns'!F38),"Unknown")</x:f>
        <x:v>0.000057</x:v>
      </x:c>
      <x:c r="M13" s="33" t="n">
        <x:f>IF(COUNT('Turns'!D37)=1,SUM('Turns'!D37),"Unknown")</x:f>
        <x:v>0</x:v>
      </x:c>
      <x:c r="N13" s="11" t="n">
        <x:f>IF(COUNT('Turns'!E37)=1,SUM('Turns'!E37),"Unknown")</x:f>
        <x:v>0</x:v>
      </x:c>
      <x:c r="O13" s="11" t="n">
        <x:f>IF(COUNT('Turns'!F37)=1,SUM('Turns'!F37),"Unknown")</x:f>
        <x:v>0</x:v>
      </x:c>
      <x:c r="P13" s="33" t="n">
        <x:v>0</x:v>
      </x:c>
      <x:c r="Q13" s="11" t="n">
        <x:v>0</x:v>
      </x:c>
      <x:c r="R13" s="11" t="n">
        <x:v>0</x:v>
      </x:c>
      <x:c r="S13" s="33" t="n">
        <x:f>IF(COUNT('Turns'!D43)=1,SUM('Turns'!D43),"Unknown")</x:f>
        <x:v>41</x:v>
      </x:c>
      <x:c r="T13" s="11" t="n">
        <x:f>IF(COUNT('Turns'!E43)=1,SUM('Turns'!E43),"Unknown")</x:f>
        <x:v>0.000042931919999999996</x:v>
      </x:c>
      <x:c r="U13" s="11" t="n">
        <x:f>IF(COUNT('Turns'!F43)=1,SUM('Turns'!F43),"Unknown")</x:f>
        <x:v>0.000049199999999999997</x:v>
      </x:c>
      <x:c r="V13" s="33" t="n">
        <x:v>0</x:v>
      </x:c>
      <x:c r="W13" s="11" t="n">
        <x:v>0</x:v>
      </x:c>
      <x:c r="X13" s="11" t="n">
        <x:v>0</x:v>
      </x:c>
      <x:c r="Y13" s="11" t="n">
        <x:f>IF(COUNT('Turns'!E47)=1,SUM('Turns'!E47),"Unknown")</x:f>
        <x:v>0.00009267012</x:v>
      </x:c>
      <x:c r="Z13" s="11" t="n">
        <x:f>IF(COUNT('Turns'!F47)=1,SUM('Turns'!F47),"Unknown")</x:f>
        <x:v>0.0001062</x:v>
      </x:c>
      <x:c r="AA13" s="33" t="n">
        <x:f>IF(ISNUMBER(Y13),ROUND(Y13*'Reference data'!$B$2,0),"Unknown")</x:f>
        <x:v>9</x:v>
      </x:c>
      <x:c r="AB13" s="33" t="n">
        <x:f>IF(ISNUMBER(Z13),ROUND(Z13*'Reference data'!$B$2,0),"Unknown")</x:f>
        <x:v>11</x:v>
      </x:c>
      <x:c r="AC13" s="2" t="str">
        <x:v>R3</x:v>
      </x:c>
      <x:c r="AD13" s="43" t="n">
        <x:v>2091.932928</x:v>
      </x:c>
      <x:c r="AE13" s="2" t="str">
        <x:v>Own call</x:v>
      </x:c>
    </x:row>
    <x:row r="14" ht="54" customHeight="1">
      <x:c r="A14" s="41" t="str">
        <x:v>    model</x:v>
      </x:c>
      <x:c r="B14" s="36" t="n">
        <x:v>1</x:v>
      </x:c>
      <x:c r="C14" s="36" t="str">
        <x:v>workflow</x:v>
      </x:c>
      <x:c r="D14" s="36" t="str"/>
      <x:c r="E14" s="36" t="str">
        <x:v>ok</x:v>
      </x:c>
      <x:c r="F14" s="38"/>
      <x:c r="G14" s="41" t="str">
        <x:v>Prepare the current conversation, run model middleware, and invoke the chat model.</x:v>
      </x:c>
      <x:c r="H14" s="36" t="str">
        <x:v>01a0c410-1931-7021-bf5d-a37d5f7766b3</x:v>
      </x:c>
      <x:c r="I14" s="36" t="str">
        <x:v>01a0c410-0337-70d2-93d4-4b929908eb81</x:v>
      </x:c>
      <x:c r="J14" s="33" t="n">
        <x:f>IF(COUNT('Turns'!D50)=1,SUM('Turns'!D50),"Unknown")</x:f>
        <x:v>366</x:v>
      </x:c>
      <x:c r="K14" s="11" t="n">
        <x:f>IF(COUNT('Turns'!E50)=1,SUM('Turns'!E50),"Unknown")</x:f>
        <x:v>0.00006387432</x:v>
      </x:c>
      <x:c r="L14" s="11" t="n">
        <x:f>IF(COUNT('Turns'!F50)=1,SUM('Turns'!F50),"Unknown")</x:f>
        <x:v>0.0000732</x:v>
      </x:c>
      <x:c r="M14" s="33" t="n">
        <x:f>IF(COUNT('Turns'!D49)=1,SUM('Turns'!D49),"Unknown")</x:f>
        <x:v>0</x:v>
      </x:c>
      <x:c r="N14" s="11" t="n">
        <x:f>IF(COUNT('Turns'!E49)=1,SUM('Turns'!E49),"Unknown")</x:f>
        <x:v>0</x:v>
      </x:c>
      <x:c r="O14" s="11" t="n">
        <x:f>IF(COUNT('Turns'!F49)=1,SUM('Turns'!F49),"Unknown")</x:f>
        <x:v>0</x:v>
      </x:c>
      <x:c r="P14" s="33" t="n">
        <x:v>0</x:v>
      </x:c>
      <x:c r="Q14" s="11" t="n">
        <x:v>0</x:v>
      </x:c>
      <x:c r="R14" s="11" t="n">
        <x:v>0</x:v>
      </x:c>
      <x:c r="S14" s="33" t="n">
        <x:f>IF(COUNT('Turns'!D55)=1,SUM('Turns'!D55),"Unknown")</x:f>
        <x:v>21</x:v>
      </x:c>
      <x:c r="T14" s="11" t="n">
        <x:f>IF(COUNT('Turns'!E55)=1,SUM('Turns'!E55),"Unknown")</x:f>
        <x:v>0.00002198952</x:v>
      </x:c>
      <x:c r="U14" s="11" t="n">
        <x:f>IF(COUNT('Turns'!F55)=1,SUM('Turns'!F55),"Unknown")</x:f>
        <x:v>0.0000252</x:v>
      </x:c>
      <x:c r="V14" s="33" t="n">
        <x:v>0</x:v>
      </x:c>
      <x:c r="W14" s="11" t="n">
        <x:v>0</x:v>
      </x:c>
      <x:c r="X14" s="11" t="n">
        <x:v>0</x:v>
      </x:c>
      <x:c r="Y14" s="11" t="n">
        <x:f>IF(COUNT('Turns'!E59)=1,SUM('Turns'!E59),"Unknown")</x:f>
        <x:v>0.00008586384</x:v>
      </x:c>
      <x:c r="Z14" s="11" t="n">
        <x:f>IF(COUNT('Turns'!F59)=1,SUM('Turns'!F59),"Unknown")</x:f>
        <x:v>0.0000984</x:v>
      </x:c>
      <x:c r="AA14" s="33" t="n">
        <x:f>IF(ISNUMBER(Y14),ROUND(Y14*'Reference data'!$B$2,0),"Unknown")</x:f>
        <x:v>9</x:v>
      </x:c>
      <x:c r="AB14" s="33" t="n">
        <x:f>IF(ISNUMBER(Z14),ROUND(Z14*'Reference data'!$B$2,0),"Unknown")</x:f>
        <x:v>10</x:v>
      </x:c>
      <x:c r="AC14" s="2"/>
      <x:c r="AD14" s="43" t="n">
        <x:v>2288.075008</x:v>
      </x:c>
      <x:c r="AE14" s="2" t="str">
        <x:v>Subtree total</x:v>
      </x:c>
    </x:row>
    <x:row r="15" ht="54" customHeight="1">
      <x:c r="A15" s="42" t="str">
        <x:v>        ChatOpenAI</x:v>
      </x:c>
      <x:c r="B15" s="20" t="n">
        <x:v>2</x:v>
      </x:c>
      <x:c r="C15" s="20" t="str">
        <x:v>model</x:v>
      </x:c>
      <x:c r="D15" s="20" t="str">
        <x:v>gpt-5.6-luna</x:v>
      </x:c>
      <x:c r="E15" s="20" t="str">
        <x:v>ok</x:v>
      </x:c>
      <x:c r="F15" s="39" t="n">
        <x:v>366</x:v>
      </x:c>
      <x:c r="G15" s="42" t="str">
        <x:v>Generate the next assistant message or tool request from the current conversation.</x:v>
      </x:c>
      <x:c r="H15" s="20" t="str">
        <x:v>01a0c410-1933-7f43-bf7f-87359e71bf48</x:v>
      </x:c>
      <x:c r="I15" s="20" t="str">
        <x:v>01a0c410-1931-7021-bf5d-a37d5f7766b3</x:v>
      </x:c>
      <x:c r="J15" s="33" t="n">
        <x:f>IF(COUNT('Turns'!D50)=1,SUM('Turns'!D50),"Unknown")</x:f>
        <x:v>366</x:v>
      </x:c>
      <x:c r="K15" s="11" t="n">
        <x:f>IF(COUNT('Turns'!E50)=1,SUM('Turns'!E50),"Unknown")</x:f>
        <x:v>0.00006387432</x:v>
      </x:c>
      <x:c r="L15" s="11" t="n">
        <x:f>IF(COUNT('Turns'!F50)=1,SUM('Turns'!F50),"Unknown")</x:f>
        <x:v>0.0000732</x:v>
      </x:c>
      <x:c r="M15" s="33" t="n">
        <x:f>IF(COUNT('Turns'!D49)=1,SUM('Turns'!D49),"Unknown")</x:f>
        <x:v>0</x:v>
      </x:c>
      <x:c r="N15" s="11" t="n">
        <x:f>IF(COUNT('Turns'!E49)=1,SUM('Turns'!E49),"Unknown")</x:f>
        <x:v>0</x:v>
      </x:c>
      <x:c r="O15" s="11" t="n">
        <x:f>IF(COUNT('Turns'!F49)=1,SUM('Turns'!F49),"Unknown")</x:f>
        <x:v>0</x:v>
      </x:c>
      <x:c r="P15" s="33" t="n">
        <x:v>0</x:v>
      </x:c>
      <x:c r="Q15" s="11" t="n">
        <x:v>0</x:v>
      </x:c>
      <x:c r="R15" s="11" t="n">
        <x:v>0</x:v>
      </x:c>
      <x:c r="S15" s="33" t="n">
        <x:f>IF(COUNT('Turns'!D55)=1,SUM('Turns'!D55),"Unknown")</x:f>
        <x:v>21</x:v>
      </x:c>
      <x:c r="T15" s="11" t="n">
        <x:f>IF(COUNT('Turns'!E55)=1,SUM('Turns'!E55),"Unknown")</x:f>
        <x:v>0.00002198952</x:v>
      </x:c>
      <x:c r="U15" s="11" t="n">
        <x:f>IF(COUNT('Turns'!F55)=1,SUM('Turns'!F55),"Unknown")</x:f>
        <x:v>0.0000252</x:v>
      </x:c>
      <x:c r="V15" s="33" t="n">
        <x:v>0</x:v>
      </x:c>
      <x:c r="W15" s="11" t="n">
        <x:v>0</x:v>
      </x:c>
      <x:c r="X15" s="11" t="n">
        <x:v>0</x:v>
      </x:c>
      <x:c r="Y15" s="11" t="n">
        <x:f>IF(COUNT('Turns'!E59)=1,SUM('Turns'!E59),"Unknown")</x:f>
        <x:v>0.00008586384</x:v>
      </x:c>
      <x:c r="Z15" s="11" t="n">
        <x:f>IF(COUNT('Turns'!F59)=1,SUM('Turns'!F59),"Unknown")</x:f>
        <x:v>0.0000984</x:v>
      </x:c>
      <x:c r="AA15" s="33" t="n">
        <x:f>IF(ISNUMBER(Y15),ROUND(Y15*'Reference data'!$B$2,0),"Unknown")</x:f>
        <x:v>9</x:v>
      </x:c>
      <x:c r="AB15" s="33" t="n">
        <x:f>IF(ISNUMBER(Z15),ROUND(Z15*'Reference data'!$B$2,0),"Unknown")</x:f>
        <x:v>10</x:v>
      </x:c>
      <x:c r="AC15" s="2" t="str">
        <x:v>R4</x:v>
      </x:c>
      <x:c r="AD15" s="43" t="n">
        <x:v>2284.029952</x:v>
      </x:c>
      <x:c r="AE15" s="2" t="str">
        <x:v>Own call</x:v>
      </x:c>
    </x:row>
    <x:row r="16" ht="54" customHeight="1">
      <x:c r="A16" s="40" t="str">
        <x:v>dispatcher_agent</x:v>
      </x:c>
      <x:c r="B16" s="35" t="n">
        <x:v>0</x:v>
      </x:c>
      <x:c r="C16" s="35" t="str">
        <x:v>workflow</x:v>
      </x:c>
      <x:c r="D16" s="35" t="str"/>
      <x:c r="E16" s="35" t="str">
        <x:v>ok</x:v>
      </x:c>
      <x:c r="F16" s="37"/>
      <x:c r="G16" s="40" t="str">
        <x:v>Execute the dispatcher_agent workflow operation and pass its result to the next graph step.</x:v>
      </x:c>
      <x:c r="H16" s="35" t="str">
        <x:v>01a0c410-2249-7e82-9c9c-0dffa4ff9592</x:v>
      </x:c>
      <x:c r="I16" s="35"/>
      <x:c r="J16" s="33" t="n">
        <x:f>IF(COUNT('Turns'!D63,'Turns'!D77,'Turns'!D94,'Turns'!D106)=4,SUM('Turns'!D63,'Turns'!D77,'Turns'!D94,'Turns'!D106),"Unknown")</x:f>
        <x:v>1461</x:v>
      </x:c>
      <x:c r="K16" s="11" t="n">
        <x:f>IF(COUNT('Turns'!E63,'Turns'!E77,'Turns'!E94,'Turns'!E106)=4,SUM('Turns'!E63,'Turns'!E77,'Turns'!E94,'Turns'!E106),"Unknown")</x:f>
        <x:v>0.00025497372</x:v>
      </x:c>
      <x:c r="L16" s="11" t="n">
        <x:f>IF(COUNT('Turns'!F63,'Turns'!F77,'Turns'!F94,'Turns'!F106)=4,SUM('Turns'!F63,'Turns'!F77,'Turns'!F94,'Turns'!F106),"Unknown")</x:f>
        <x:v>0.00029220000000000006</x:v>
      </x:c>
      <x:c r="M16" s="33" t="n">
        <x:f>IF(COUNT('Turns'!D62,'Turns'!D93,'Turns'!D105)=3,SUM('Turns'!D62,'Turns'!D93,'Turns'!D105),"Unknown")</x:f>
        <x:v>0</x:v>
      </x:c>
      <x:c r="N16" s="11" t="n">
        <x:f>IF(COUNT('Turns'!E62,'Turns'!E93,'Turns'!E105)=3,SUM('Turns'!E62,'Turns'!E93,'Turns'!E105),"Unknown")</x:f>
        <x:v>0</x:v>
      </x:c>
      <x:c r="O16" s="11" t="n">
        <x:f>IF(COUNT('Turns'!F62,'Turns'!F93,'Turns'!F105)=3,SUM('Turns'!F62,'Turns'!F93,'Turns'!F105),"Unknown")</x:f>
        <x:v>0</x:v>
      </x:c>
      <x:c r="P16" s="33" t="n">
        <x:v>0</x:v>
      </x:c>
      <x:c r="Q16" s="11" t="n">
        <x:v>0</x:v>
      </x:c>
      <x:c r="R16" s="11" t="n">
        <x:v>0</x:v>
      </x:c>
      <x:c r="S16" s="33" t="n">
        <x:f>IF(COUNT('Turns'!D68,'Turns'!D84,'Turns'!D99,'Turns'!D111)=4,SUM('Turns'!D68,'Turns'!D84,'Turns'!D99,'Turns'!D111),"Unknown")</x:f>
        <x:v>189</x:v>
      </x:c>
      <x:c r="T16" s="11" t="n">
        <x:f>IF(COUNT('Turns'!E68,'Turns'!E84,'Turns'!E99,'Turns'!E111)=4,SUM('Turns'!E68,'Turns'!E84,'Turns'!E99,'Turns'!E111),"Unknown")</x:f>
        <x:v>0.00019790568</x:v>
      </x:c>
      <x:c r="U16" s="11" t="n">
        <x:f>IF(COUNT('Turns'!F68,'Turns'!F84,'Turns'!F99,'Turns'!F111)=4,SUM('Turns'!F68,'Turns'!F84,'Turns'!F99,'Turns'!F111),"Unknown")</x:f>
        <x:v>0.00022679999999999998</x:v>
      </x:c>
      <x:c r="V16" s="33" t="n">
        <x:f>IF(COUNT('Turns'!D83)=1,SUM('Turns'!D83),"Unknown")</x:f>
        <x:v>9</x:v>
      </x:c>
      <x:c r="W16" s="11" t="n">
        <x:f>IF(COUNT('Turns'!E83)=1,SUM('Turns'!E83),"Unknown")</x:f>
        <x:v>0.000009424079999999999</x:v>
      </x:c>
      <x:c r="X16" s="11" t="n">
        <x:f>IF(COUNT('Turns'!F83)=1,SUM('Turns'!F83),"Unknown")</x:f>
        <x:v>0.000010799999999999998</x:v>
      </x:c>
      <x:c r="Y16" s="11" t="n">
        <x:f>IF(COUNT('Turns'!E72,'Turns'!E88,'Turns'!E103,'Turns'!E115)=4,SUM('Turns'!E72,'Turns'!E88,'Turns'!E103,'Turns'!E115),"Unknown")</x:f>
        <x:v>0.00046230348000000004</x:v>
      </x:c>
      <x:c r="Z16" s="11" t="n">
        <x:f>IF(COUNT('Turns'!F72,'Turns'!F88,'Turns'!F103,'Turns'!F115)=4,SUM('Turns'!F72,'Turns'!F88,'Turns'!F103,'Turns'!F115),"Unknown")</x:f>
        <x:v>0.0005298000000000001</x:v>
      </x:c>
      <x:c r="AA16" s="33" t="n">
        <x:f>IF(ISNUMBER(Y16),ROUND(Y16*'Reference data'!$B$2,0),"Unknown")</x:f>
        <x:v>46</x:v>
      </x:c>
      <x:c r="AB16" s="33" t="n">
        <x:f>IF(ISNUMBER(Z16),ROUND(Z16*'Reference data'!$B$2,0),"Unknown")</x:f>
        <x:v>53</x:v>
      </x:c>
      <x:c r="AC16" s="2"/>
      <x:c r="AD16" s="43" t="n">
        <x:v>7841.502976</x:v>
      </x:c>
      <x:c r="AE16" s="2" t="str">
        <x:v>Subtree total</x:v>
      </x:c>
    </x:row>
    <x:row r="17" ht="54" customHeight="1">
      <x:c r="A17" s="41" t="str">
        <x:v>    model</x:v>
      </x:c>
      <x:c r="B17" s="36" t="n">
        <x:v>1</x:v>
      </x:c>
      <x:c r="C17" s="36" t="str">
        <x:v>workflow</x:v>
      </x:c>
      <x:c r="D17" s="36" t="str"/>
      <x:c r="E17" s="36" t="str">
        <x:v>ok</x:v>
      </x:c>
      <x:c r="F17" s="38"/>
      <x:c r="G17" s="41" t="str">
        <x:v>Prepare the current conversation, run model middleware, and invoke the chat model.</x:v>
      </x:c>
      <x:c r="H17" s="36" t="str">
        <x:v>01a0c410-224b-7ee3-aba8-b38c2bcab18f</x:v>
      </x:c>
      <x:c r="I17" s="36" t="str">
        <x:v>01a0c410-2249-7e82-9c9c-0dffa4ff9592</x:v>
      </x:c>
      <x:c r="J17" s="33" t="n">
        <x:f>IF(COUNT('Turns'!D63)=1,SUM('Turns'!D63),"Unknown")</x:f>
        <x:v>404</x:v>
      </x:c>
      <x:c r="K17" s="11" t="n">
        <x:f>IF(COUNT('Turns'!E63)=1,SUM('Turns'!E63),"Unknown")</x:f>
        <x:v>0.00007050608000000001</x:v>
      </x:c>
      <x:c r="L17" s="11" t="n">
        <x:f>IF(COUNT('Turns'!F63)=1,SUM('Turns'!F63),"Unknown")</x:f>
        <x:v>0.00008080000000000001</x:v>
      </x:c>
      <x:c r="M17" s="33" t="n">
        <x:f>IF(COUNT('Turns'!D62)=1,SUM('Turns'!D62),"Unknown")</x:f>
        <x:v>0</x:v>
      </x:c>
      <x:c r="N17" s="11" t="n">
        <x:f>IF(COUNT('Turns'!E62)=1,SUM('Turns'!E62),"Unknown")</x:f>
        <x:v>0</x:v>
      </x:c>
      <x:c r="O17" s="11" t="n">
        <x:f>IF(COUNT('Turns'!F62)=1,SUM('Turns'!F62),"Unknown")</x:f>
        <x:v>0</x:v>
      </x:c>
      <x:c r="P17" s="33" t="n">
        <x:v>0</x:v>
      </x:c>
      <x:c r="Q17" s="11" t="n">
        <x:v>0</x:v>
      </x:c>
      <x:c r="R17" s="11" t="n">
        <x:v>0</x:v>
      </x:c>
      <x:c r="S17" s="33" t="n">
        <x:f>IF(COUNT('Turns'!D68)=1,SUM('Turns'!D68),"Unknown")</x:f>
        <x:v>71</x:v>
      </x:c>
      <x:c r="T17" s="11" t="n">
        <x:f>IF(COUNT('Turns'!E68)=1,SUM('Turns'!E68),"Unknown")</x:f>
        <x:v>0.00007434552</x:v>
      </x:c>
      <x:c r="U17" s="11" t="n">
        <x:f>IF(COUNT('Turns'!F68)=1,SUM('Turns'!F68),"Unknown")</x:f>
        <x:v>0.0000852</x:v>
      </x:c>
      <x:c r="V17" s="33" t="n">
        <x:v>0</x:v>
      </x:c>
      <x:c r="W17" s="11" t="n">
        <x:v>0</x:v>
      </x:c>
      <x:c r="X17" s="11" t="n">
        <x:v>0</x:v>
      </x:c>
      <x:c r="Y17" s="11" t="n">
        <x:f>IF(COUNT('Turns'!E72)=1,SUM('Turns'!E72),"Unknown")</x:f>
        <x:v>0.00014485160000000003</x:v>
      </x:c>
      <x:c r="Z17" s="11" t="n">
        <x:f>IF(COUNT('Turns'!F72)=1,SUM('Turns'!F72),"Unknown")</x:f>
        <x:v>0.00016600000000000002</x:v>
      </x:c>
      <x:c r="AA17" s="33" t="n">
        <x:f>IF(ISNUMBER(Y17),ROUND(Y17*'Reference data'!$B$2,0),"Unknown")</x:f>
        <x:v>14</x:v>
      </x:c>
      <x:c r="AB17" s="33" t="n">
        <x:f>IF(ISNUMBER(Z17),ROUND(Z17*'Reference data'!$B$2,0),"Unknown")</x:f>
        <x:v>17</x:v>
      </x:c>
      <x:c r="AC17" s="2"/>
      <x:c r="AD17" s="43" t="n">
        <x:v>3172.641024</x:v>
      </x:c>
      <x:c r="AE17" s="2" t="str">
        <x:v>Subtree total</x:v>
      </x:c>
    </x:row>
    <x:row r="18" ht="54" customHeight="1">
      <x:c r="A18" s="42" t="str">
        <x:v>        ChatOpenAI</x:v>
      </x:c>
      <x:c r="B18" s="20" t="n">
        <x:v>2</x:v>
      </x:c>
      <x:c r="C18" s="20" t="str">
        <x:v>model</x:v>
      </x:c>
      <x:c r="D18" s="20" t="str">
        <x:v>gpt-5.6-luna</x:v>
      </x:c>
      <x:c r="E18" s="20" t="str">
        <x:v>ok</x:v>
      </x:c>
      <x:c r="F18" s="39" t="n">
        <x:v>404</x:v>
      </x:c>
      <x:c r="G18" s="42" t="str">
        <x:v>Generate the next assistant message or tool request from the current conversation.</x:v>
      </x:c>
      <x:c r="H18" s="20" t="str">
        <x:v>01a0c410-224c-7973-aba5-e2667d9bca21</x:v>
      </x:c>
      <x:c r="I18" s="20" t="str">
        <x:v>01a0c410-224b-7ee3-aba8-b38c2bcab18f</x:v>
      </x:c>
      <x:c r="J18" s="33" t="n">
        <x:f>IF(COUNT('Turns'!D63)=1,SUM('Turns'!D63),"Unknown")</x:f>
        <x:v>404</x:v>
      </x:c>
      <x:c r="K18" s="11" t="n">
        <x:f>IF(COUNT('Turns'!E63)=1,SUM('Turns'!E63),"Unknown")</x:f>
        <x:v>0.00007050608000000001</x:v>
      </x:c>
      <x:c r="L18" s="11" t="n">
        <x:f>IF(COUNT('Turns'!F63)=1,SUM('Turns'!F63),"Unknown")</x:f>
        <x:v>0.00008080000000000001</x:v>
      </x:c>
      <x:c r="M18" s="33" t="n">
        <x:f>IF(COUNT('Turns'!D62)=1,SUM('Turns'!D62),"Unknown")</x:f>
        <x:v>0</x:v>
      </x:c>
      <x:c r="N18" s="11" t="n">
        <x:f>IF(COUNT('Turns'!E62)=1,SUM('Turns'!E62),"Unknown")</x:f>
        <x:v>0</x:v>
      </x:c>
      <x:c r="O18" s="11" t="n">
        <x:f>IF(COUNT('Turns'!F62)=1,SUM('Turns'!F62),"Unknown")</x:f>
        <x:v>0</x:v>
      </x:c>
      <x:c r="P18" s="33" t="n">
        <x:v>0</x:v>
      </x:c>
      <x:c r="Q18" s="11" t="n">
        <x:v>0</x:v>
      </x:c>
      <x:c r="R18" s="11" t="n">
        <x:v>0</x:v>
      </x:c>
      <x:c r="S18" s="33" t="n">
        <x:f>IF(COUNT('Turns'!D68)=1,SUM('Turns'!D68),"Unknown")</x:f>
        <x:v>71</x:v>
      </x:c>
      <x:c r="T18" s="11" t="n">
        <x:f>IF(COUNT('Turns'!E68)=1,SUM('Turns'!E68),"Unknown")</x:f>
        <x:v>0.00007434552</x:v>
      </x:c>
      <x:c r="U18" s="11" t="n">
        <x:f>IF(COUNT('Turns'!F68)=1,SUM('Turns'!F68),"Unknown")</x:f>
        <x:v>0.0000852</x:v>
      </x:c>
      <x:c r="V18" s="33" t="n">
        <x:v>0</x:v>
      </x:c>
      <x:c r="W18" s="11" t="n">
        <x:v>0</x:v>
      </x:c>
      <x:c r="X18" s="11" t="n">
        <x:v>0</x:v>
      </x:c>
      <x:c r="Y18" s="11" t="n">
        <x:f>IF(COUNT('Turns'!E72)=1,SUM('Turns'!E72),"Unknown")</x:f>
        <x:v>0.00014485160000000003</x:v>
      </x:c>
      <x:c r="Z18" s="11" t="n">
        <x:f>IF(COUNT('Turns'!F72)=1,SUM('Turns'!F72),"Unknown")</x:f>
        <x:v>0.00016600000000000002</x:v>
      </x:c>
      <x:c r="AA18" s="33" t="n">
        <x:f>IF(ISNUMBER(Y18),ROUND(Y18*'Reference data'!$B$2,0),"Unknown")</x:f>
        <x:v>14</x:v>
      </x:c>
      <x:c r="AB18" s="33" t="n">
        <x:f>IF(ISNUMBER(Z18),ROUND(Z18*'Reference data'!$B$2,0),"Unknown")</x:f>
        <x:v>17</x:v>
      </x:c>
      <x:c r="AC18" s="2" t="str">
        <x:v>R5</x:v>
      </x:c>
      <x:c r="AD18" s="43" t="n">
        <x:v>3169.549056</x:v>
      </x:c>
      <x:c r="AE18" s="2" t="str">
        <x:v>Own call</x:v>
      </x:c>
    </x:row>
    <x:row r="19" ht="54" customHeight="1">
      <x:c r="A19" s="41" t="str">
        <x:v>    tools</x:v>
      </x:c>
      <x:c r="B19" s="36" t="n">
        <x:v>1</x:v>
      </x:c>
      <x:c r="C19" s="36" t="str">
        <x:v>workflow</x:v>
      </x:c>
      <x:c r="D19" s="36" t="str"/>
      <x:c r="E19" s="36" t="str">
        <x:v>ok</x:v>
      </x:c>
      <x:c r="F19" s="38"/>
      <x:c r="G19" s="41" t="str">
        <x:v>Execute tool calls requested by the preceding model response and return their observations.</x:v>
      </x:c>
      <x:c r="H19" s="36" t="str">
        <x:v>01a0c410-2eb1-73d3-8f4d-bb6eebd0d8d9</x:v>
      </x:c>
      <x:c r="I19" s="36" t="str">
        <x:v>01a0c410-2249-7e82-9c9c-0dffa4ff9592</x:v>
      </x:c>
      <x:c r="J19" s="33" t="n">
        <x:f>IF(COUNT('Turns'!D77,'Turns'!D94)=2,SUM('Turns'!D77,'Turns'!D94),"Unknown")</x:f>
        <x:v>515</x:v>
      </x:c>
      <x:c r="K19" s="11" t="n">
        <x:f>IF(COUNT('Turns'!E77,'Turns'!E94)=2,SUM('Turns'!E77,'Turns'!E94),"Unknown")</x:f>
        <x:v>0.00008987780000000001</x:v>
      </x:c>
      <x:c r="L19" s="11" t="n">
        <x:f>IF(COUNT('Turns'!F77,'Turns'!F94)=2,SUM('Turns'!F77,'Turns'!F94),"Unknown")</x:f>
        <x:v>0.00010300000000000001</x:v>
      </x:c>
      <x:c r="M19" s="33" t="n">
        <x:f>IF(COUNT('Turns'!D93)=1,SUM('Turns'!D93),"Unknown")</x:f>
        <x:v>0</x:v>
      </x:c>
      <x:c r="N19" s="11" t="n">
        <x:f>IF(COUNT('Turns'!E93)=1,SUM('Turns'!E93),"Unknown")</x:f>
        <x:v>0</x:v>
      </x:c>
      <x:c r="O19" s="11" t="n">
        <x:f>IF(COUNT('Turns'!F93)=1,SUM('Turns'!F93),"Unknown")</x:f>
        <x:v>0</x:v>
      </x:c>
      <x:c r="P19" s="33" t="n">
        <x:v>0</x:v>
      </x:c>
      <x:c r="Q19" s="11" t="n">
        <x:v>0</x:v>
      </x:c>
      <x:c r="R19" s="11" t="n">
        <x:v>0</x:v>
      </x:c>
      <x:c r="S19" s="33" t="n">
        <x:f>IF(COUNT('Turns'!D84,'Turns'!D99)=2,SUM('Turns'!D84,'Turns'!D99),"Unknown")</x:f>
        <x:v>100</x:v>
      </x:c>
      <x:c r="T19" s="11" t="n">
        <x:f>IF(COUNT('Turns'!E84,'Turns'!E99)=2,SUM('Turns'!E84,'Turns'!E99),"Unknown")</x:f>
        <x:v>0.000104712</x:v>
      </x:c>
      <x:c r="U19" s="11" t="n">
        <x:f>IF(COUNT('Turns'!F84,'Turns'!F99)=2,SUM('Turns'!F84,'Turns'!F99),"Unknown")</x:f>
        <x:v>0.00012</x:v>
      </x:c>
      <x:c r="V19" s="33" t="n">
        <x:f>IF(COUNT('Turns'!D83)=1,SUM('Turns'!D83),"Unknown")</x:f>
        <x:v>9</x:v>
      </x:c>
      <x:c r="W19" s="11" t="n">
        <x:f>IF(COUNT('Turns'!E83)=1,SUM('Turns'!E83),"Unknown")</x:f>
        <x:v>0.000009424079999999999</x:v>
      </x:c>
      <x:c r="X19" s="11" t="n">
        <x:f>IF(COUNT('Turns'!F83)=1,SUM('Turns'!F83),"Unknown")</x:f>
        <x:v>0.000010799999999999998</x:v>
      </x:c>
      <x:c r="Y19" s="11" t="n">
        <x:f>IF(COUNT('Turns'!E88,'Turns'!E103)=2,SUM('Turns'!E88,'Turns'!E103),"Unknown")</x:f>
        <x:v>0.00020401388000000002</x:v>
      </x:c>
      <x:c r="Z19" s="11" t="n">
        <x:f>IF(COUNT('Turns'!F88,'Turns'!F103)=2,SUM('Turns'!F88,'Turns'!F103),"Unknown")</x:f>
        <x:v>0.0002338</x:v>
      </x:c>
      <x:c r="AA19" s="33" t="n">
        <x:f>IF(ISNUMBER(Y19),ROUND(Y19*'Reference data'!$B$2,0),"Unknown")</x:f>
        <x:v>20</x:v>
      </x:c>
      <x:c r="AB19" s="33" t="n">
        <x:f>IF(ISNUMBER(Z19),ROUND(Z19*'Reference data'!$B$2,0),"Unknown")</x:f>
        <x:v>23</x:v>
      </x:c>
      <x:c r="AC19" s="2"/>
      <x:c r="AD19" s="43" t="n">
        <x:v>3609.185024</x:v>
      </x:c>
      <x:c r="AE19" s="2" t="str">
        <x:v>Subtree total</x:v>
      </x:c>
    </x:row>
    <x:row r="20" ht="54" customHeight="1">
      <x:c r="A20" s="41" t="str">
        <x:v>        task</x:v>
      </x:c>
      <x:c r="B20" s="36" t="n">
        <x:v>2</x:v>
      </x:c>
      <x:c r="C20" s="36" t="str">
        <x:v>tool</x:v>
      </x:c>
      <x:c r="D20" s="36" t="str"/>
      <x:c r="E20" s="36" t="str">
        <x:v>ok</x:v>
      </x:c>
      <x:c r="F20" s="38"/>
      <x:c r="G20" s="41" t="str">
        <x:v>Delegate a self-contained question to the matching expert. Available experts:
- movie_expert: Specialist for questions about movies, with its own local reference lookup.
- sports_expert: Specialist for questions about sports, with its own local reference lookup.
- history_expert: Specialist for questions about history, with its own local reference lookup.</x:v>
      </x:c>
      <x:c r="H20" s="36" t="str">
        <x:v>01a0c410-2eb2-7801-888c-26fd6f89ff1d</x:v>
      </x:c>
      <x:c r="I20" s="36" t="str">
        <x:v>01a0c410-2eb1-73d3-8f4d-bb6eebd0d8d9</x:v>
      </x:c>
      <x:c r="J20" s="33" t="n">
        <x:f>IF(COUNT('Turns'!D77,'Turns'!D94)=2,SUM('Turns'!D77,'Turns'!D94),"Unknown")</x:f>
        <x:v>515</x:v>
      </x:c>
      <x:c r="K20" s="11" t="n">
        <x:f>IF(COUNT('Turns'!E77,'Turns'!E94)=2,SUM('Turns'!E77,'Turns'!E94),"Unknown")</x:f>
        <x:v>0.00008987780000000001</x:v>
      </x:c>
      <x:c r="L20" s="11" t="n">
        <x:f>IF(COUNT('Turns'!F77,'Turns'!F94)=2,SUM('Turns'!F77,'Turns'!F94),"Unknown")</x:f>
        <x:v>0.00010300000000000001</x:v>
      </x:c>
      <x:c r="M20" s="33" t="n">
        <x:f>IF(COUNT('Turns'!D93)=1,SUM('Turns'!D93),"Unknown")</x:f>
        <x:v>0</x:v>
      </x:c>
      <x:c r="N20" s="11" t="n">
        <x:f>IF(COUNT('Turns'!E93)=1,SUM('Turns'!E93),"Unknown")</x:f>
        <x:v>0</x:v>
      </x:c>
      <x:c r="O20" s="11" t="n">
        <x:f>IF(COUNT('Turns'!F93)=1,SUM('Turns'!F93),"Unknown")</x:f>
        <x:v>0</x:v>
      </x:c>
      <x:c r="P20" s="33" t="n">
        <x:v>0</x:v>
      </x:c>
      <x:c r="Q20" s="11" t="n">
        <x:v>0</x:v>
      </x:c>
      <x:c r="R20" s="11" t="n">
        <x:v>0</x:v>
      </x:c>
      <x:c r="S20" s="33" t="n">
        <x:f>IF(COUNT('Turns'!D84,'Turns'!D99)=2,SUM('Turns'!D84,'Turns'!D99),"Unknown")</x:f>
        <x:v>100</x:v>
      </x:c>
      <x:c r="T20" s="11" t="n">
        <x:f>IF(COUNT('Turns'!E84,'Turns'!E99)=2,SUM('Turns'!E84,'Turns'!E99),"Unknown")</x:f>
        <x:v>0.000104712</x:v>
      </x:c>
      <x:c r="U20" s="11" t="n">
        <x:f>IF(COUNT('Turns'!F84,'Turns'!F99)=2,SUM('Turns'!F84,'Turns'!F99),"Unknown")</x:f>
        <x:v>0.00012</x:v>
      </x:c>
      <x:c r="V20" s="33" t="n">
        <x:f>IF(COUNT('Turns'!D83)=1,SUM('Turns'!D83),"Unknown")</x:f>
        <x:v>9</x:v>
      </x:c>
      <x:c r="W20" s="11" t="n">
        <x:f>IF(COUNT('Turns'!E83)=1,SUM('Turns'!E83),"Unknown")</x:f>
        <x:v>0.000009424079999999999</x:v>
      </x:c>
      <x:c r="X20" s="11" t="n">
        <x:f>IF(COUNT('Turns'!F83)=1,SUM('Turns'!F83),"Unknown")</x:f>
        <x:v>0.000010799999999999998</x:v>
      </x:c>
      <x:c r="Y20" s="11" t="n">
        <x:f>IF(COUNT('Turns'!E88,'Turns'!E103)=2,SUM('Turns'!E88,'Turns'!E103),"Unknown")</x:f>
        <x:v>0.00020401388000000002</x:v>
      </x:c>
      <x:c r="Z20" s="11" t="n">
        <x:f>IF(COUNT('Turns'!F88,'Turns'!F103)=2,SUM('Turns'!F88,'Turns'!F103),"Unknown")</x:f>
        <x:v>0.0002338</x:v>
      </x:c>
      <x:c r="AA20" s="33" t="n">
        <x:f>IF(ISNUMBER(Y20),ROUND(Y20*'Reference data'!$B$2,0),"Unknown")</x:f>
        <x:v>20</x:v>
      </x:c>
      <x:c r="AB20" s="33" t="n">
        <x:f>IF(ISNUMBER(Z20),ROUND(Z20*'Reference data'!$B$2,0),"Unknown")</x:f>
        <x:v>23</x:v>
      </x:c>
      <x:c r="AC20" s="2"/>
      <x:c r="AD20" s="43" t="n">
        <x:v>3607.256832</x:v>
      </x:c>
      <x:c r="AE20" s="2" t="str">
        <x:v>Subtree total</x:v>
      </x:c>
    </x:row>
    <x:row r="21" ht="54" customHeight="1">
      <x:c r="A21" s="41" t="str">
        <x:v>            sports_expert</x:v>
      </x:c>
      <x:c r="B21" s="36" t="n">
        <x:v>3</x:v>
      </x:c>
      <x:c r="C21" s="36" t="str">
        <x:v>workflow</x:v>
      </x:c>
      <x:c r="D21" s="36" t="str"/>
      <x:c r="E21" s="36" t="str">
        <x:v>ok</x:v>
      </x:c>
      <x:c r="F21" s="38"/>
      <x:c r="G21" s="41" t="str">
        <x:v>Execute the sports_expert workflow operation and pass its result to the next graph step.</x:v>
      </x:c>
      <x:c r="H21" s="36" t="str">
        <x:v>01a0c410-2eb2-7801-888c-2701aa0471bf</x:v>
      </x:c>
      <x:c r="I21" s="36" t="str">
        <x:v>01a0c410-2eb2-7801-888c-26fd6f89ff1d</x:v>
      </x:c>
      <x:c r="J21" s="33" t="n">
        <x:f>IF(COUNT('Turns'!D77,'Turns'!D94)=2,SUM('Turns'!D77,'Turns'!D94),"Unknown")</x:f>
        <x:v>515</x:v>
      </x:c>
      <x:c r="K21" s="11" t="n">
        <x:f>IF(COUNT('Turns'!E77,'Turns'!E94)=2,SUM('Turns'!E77,'Turns'!E94),"Unknown")</x:f>
        <x:v>0.00008987780000000001</x:v>
      </x:c>
      <x:c r="L21" s="11" t="n">
        <x:f>IF(COUNT('Turns'!F77,'Turns'!F94)=2,SUM('Turns'!F77,'Turns'!F94),"Unknown")</x:f>
        <x:v>0.00010300000000000001</x:v>
      </x:c>
      <x:c r="M21" s="33" t="n">
        <x:f>IF(COUNT('Turns'!D93)=1,SUM('Turns'!D93),"Unknown")</x:f>
        <x:v>0</x:v>
      </x:c>
      <x:c r="N21" s="11" t="n">
        <x:f>IF(COUNT('Turns'!E93)=1,SUM('Turns'!E93),"Unknown")</x:f>
        <x:v>0</x:v>
      </x:c>
      <x:c r="O21" s="11" t="n">
        <x:f>IF(COUNT('Turns'!F93)=1,SUM('Turns'!F93),"Unknown")</x:f>
        <x:v>0</x:v>
      </x:c>
      <x:c r="P21" s="33" t="n">
        <x:v>0</x:v>
      </x:c>
      <x:c r="Q21" s="11" t="n">
        <x:v>0</x:v>
      </x:c>
      <x:c r="R21" s="11" t="n">
        <x:v>0</x:v>
      </x:c>
      <x:c r="S21" s="33" t="n">
        <x:f>IF(COUNT('Turns'!D84,'Turns'!D99)=2,SUM('Turns'!D84,'Turns'!D99),"Unknown")</x:f>
        <x:v>100</x:v>
      </x:c>
      <x:c r="T21" s="11" t="n">
        <x:f>IF(COUNT('Turns'!E84,'Turns'!E99)=2,SUM('Turns'!E84,'Turns'!E99),"Unknown")</x:f>
        <x:v>0.000104712</x:v>
      </x:c>
      <x:c r="U21" s="11" t="n">
        <x:f>IF(COUNT('Turns'!F84,'Turns'!F99)=2,SUM('Turns'!F84,'Turns'!F99),"Unknown")</x:f>
        <x:v>0.00012</x:v>
      </x:c>
      <x:c r="V21" s="33" t="n">
        <x:f>IF(COUNT('Turns'!D83)=1,SUM('Turns'!D83),"Unknown")</x:f>
        <x:v>9</x:v>
      </x:c>
      <x:c r="W21" s="11" t="n">
        <x:f>IF(COUNT('Turns'!E83)=1,SUM('Turns'!E83),"Unknown")</x:f>
        <x:v>0.000009424079999999999</x:v>
      </x:c>
      <x:c r="X21" s="11" t="n">
        <x:f>IF(COUNT('Turns'!F83)=1,SUM('Turns'!F83),"Unknown")</x:f>
        <x:v>0.000010799999999999998</x:v>
      </x:c>
      <x:c r="Y21" s="11" t="n">
        <x:f>IF(COUNT('Turns'!E88,'Turns'!E103)=2,SUM('Turns'!E88,'Turns'!E103),"Unknown")</x:f>
        <x:v>0.00020401388000000002</x:v>
      </x:c>
      <x:c r="Z21" s="11" t="n">
        <x:f>IF(COUNT('Turns'!F88,'Turns'!F103)=2,SUM('Turns'!F88,'Turns'!F103),"Unknown")</x:f>
        <x:v>0.0002338</x:v>
      </x:c>
      <x:c r="AA21" s="33" t="n">
        <x:f>IF(ISNUMBER(Y21),ROUND(Y21*'Reference data'!$B$2,0),"Unknown")</x:f>
        <x:v>20</x:v>
      </x:c>
      <x:c r="AB21" s="33" t="n">
        <x:f>IF(ISNUMBER(Z21),ROUND(Z21*'Reference data'!$B$2,0),"Unknown")</x:f>
        <x:v>23</x:v>
      </x:c>
      <x:c r="AC21" s="2"/>
      <x:c r="AD21" s="43" t="n">
        <x:v>3605.495808</x:v>
      </x:c>
      <x:c r="AE21" s="2" t="str">
        <x:v>Subtree total</x:v>
      </x:c>
    </x:row>
    <x:row r="22" ht="54" customHeight="1">
      <x:c r="A22" s="41" t="str">
        <x:v>                model</x:v>
      </x:c>
      <x:c r="B22" s="36" t="n">
        <x:v>4</x:v>
      </x:c>
      <x:c r="C22" s="36" t="str">
        <x:v>workflow</x:v>
      </x:c>
      <x:c r="D22" s="36" t="str"/>
      <x:c r="E22" s="36" t="str">
        <x:v>ok</x:v>
      </x:c>
      <x:c r="F22" s="38"/>
      <x:c r="G22" s="41" t="str">
        <x:v>Prepare the current conversation, run model middleware, and invoke the chat model.</x:v>
      </x:c>
      <x:c r="H22" s="36" t="str">
        <x:v>01a0c410-2eb3-7782-b2c2-30e687445d92</x:v>
      </x:c>
      <x:c r="I22" s="36" t="str">
        <x:v>01a0c410-2eb2-7801-888c-2701aa0471bf</x:v>
      </x:c>
      <x:c r="J22" s="33" t="n">
        <x:f>IF(COUNT('Turns'!D77)=1,SUM('Turns'!D77),"Unknown")</x:f>
        <x:v>205</x:v>
      </x:c>
      <x:c r="K22" s="11" t="n">
        <x:f>IF(COUNT('Turns'!E77)=1,SUM('Turns'!E77),"Unknown")</x:f>
        <x:v>0.0000357766</x:v>
      </x:c>
      <x:c r="L22" s="11" t="n">
        <x:f>IF(COUNT('Turns'!F77)=1,SUM('Turns'!F77),"Unknown")</x:f>
        <x:v>0.000041</x:v>
      </x:c>
      <x:c r="M22" s="33" t="n">
        <x:v>0</x:v>
      </x:c>
      <x:c r="N22" s="11" t="n">
        <x:v>0</x:v>
      </x:c>
      <x:c r="O22" s="11" t="n">
        <x:v>0</x:v>
      </x:c>
      <x:c r="P22" s="33" t="n">
        <x:v>0</x:v>
      </x:c>
      <x:c r="Q22" s="11" t="n">
        <x:v>0</x:v>
      </x:c>
      <x:c r="R22" s="11" t="n">
        <x:v>0</x:v>
      </x:c>
      <x:c r="S22" s="33" t="n">
        <x:f>IF(COUNT('Turns'!D84)=1,SUM('Turns'!D84),"Unknown")</x:f>
        <x:v>39</x:v>
      </x:c>
      <x:c r="T22" s="11" t="n">
        <x:f>IF(COUNT('Turns'!E84)=1,SUM('Turns'!E84),"Unknown")</x:f>
        <x:v>0.00004083768</x:v>
      </x:c>
      <x:c r="U22" s="11" t="n">
        <x:f>IF(COUNT('Turns'!F84)=1,SUM('Turns'!F84),"Unknown")</x:f>
        <x:v>0.0000468</x:v>
      </x:c>
      <x:c r="V22" s="33" t="n">
        <x:f>IF(COUNT('Turns'!D83)=1,SUM('Turns'!D83),"Unknown")</x:f>
        <x:v>9</x:v>
      </x:c>
      <x:c r="W22" s="11" t="n">
        <x:f>IF(COUNT('Turns'!E83)=1,SUM('Turns'!E83),"Unknown")</x:f>
        <x:v>0.000009424079999999999</x:v>
      </x:c>
      <x:c r="X22" s="11" t="n">
        <x:f>IF(COUNT('Turns'!F83)=1,SUM('Turns'!F83),"Unknown")</x:f>
        <x:v>0.000010799999999999998</x:v>
      </x:c>
      <x:c r="Y22" s="11" t="n">
        <x:f>IF(COUNT('Turns'!E88)=1,SUM('Turns'!E88),"Unknown")</x:f>
        <x:v>0.00008603836</x:v>
      </x:c>
      <x:c r="Z22" s="11" t="n">
        <x:f>IF(COUNT('Turns'!F88)=1,SUM('Turns'!F88),"Unknown")</x:f>
        <x:v>0.0000986</x:v>
      </x:c>
      <x:c r="AA22" s="33" t="n">
        <x:f>IF(ISNUMBER(Y22),ROUND(Y22*'Reference data'!$B$2,0),"Unknown")</x:f>
        <x:v>9</x:v>
      </x:c>
      <x:c r="AB22" s="33" t="n">
        <x:f>IF(ISNUMBER(Z22),ROUND(Z22*'Reference data'!$B$2,0),"Unknown")</x:f>
        <x:v>10</x:v>
      </x:c>
      <x:c r="AC22" s="2"/>
      <x:c r="AD22" s="43" t="n">
        <x:v>1489.611008</x:v>
      </x:c>
      <x:c r="AE22" s="2" t="str">
        <x:v>Subtree total</x:v>
      </x:c>
    </x:row>
    <x:row r="23" ht="54" customHeight="1">
      <x:c r="A23" s="42" t="str">
        <x:v>                    ChatOpenAI</x:v>
      </x:c>
      <x:c r="B23" s="20" t="n">
        <x:v>5</x:v>
      </x:c>
      <x:c r="C23" s="20" t="str">
        <x:v>model</x:v>
      </x:c>
      <x:c r="D23" s="20" t="str">
        <x:v>gpt-5.6-luna</x:v>
      </x:c>
      <x:c r="E23" s="20" t="str">
        <x:v>ok</x:v>
      </x:c>
      <x:c r="F23" s="39" t="n">
        <x:v>205</x:v>
      </x:c>
      <x:c r="G23" s="42" t="str">
        <x:v>Generate the next assistant message or tool request from the current conversation.</x:v>
      </x:c>
      <x:c r="H23" s="20" t="str">
        <x:v>01a0c410-2eb4-7971-9248-71912df6b885</x:v>
      </x:c>
      <x:c r="I23" s="20" t="str">
        <x:v>01a0c410-2eb3-7782-b2c2-30e687445d92</x:v>
      </x:c>
      <x:c r="J23" s="33" t="n">
        <x:f>IF(COUNT('Turns'!D77)=1,SUM('Turns'!D77),"Unknown")</x:f>
        <x:v>205</x:v>
      </x:c>
      <x:c r="K23" s="11" t="n">
        <x:f>IF(COUNT('Turns'!E77)=1,SUM('Turns'!E77),"Unknown")</x:f>
        <x:v>0.0000357766</x:v>
      </x:c>
      <x:c r="L23" s="11" t="n">
        <x:f>IF(COUNT('Turns'!F77)=1,SUM('Turns'!F77),"Unknown")</x:f>
        <x:v>0.000041</x:v>
      </x:c>
      <x:c r="M23" s="33" t="n">
        <x:v>0</x:v>
      </x:c>
      <x:c r="N23" s="11" t="n">
        <x:v>0</x:v>
      </x:c>
      <x:c r="O23" s="11" t="n">
        <x:v>0</x:v>
      </x:c>
      <x:c r="P23" s="33" t="n">
        <x:v>0</x:v>
      </x:c>
      <x:c r="Q23" s="11" t="n">
        <x:v>0</x:v>
      </x:c>
      <x:c r="R23" s="11" t="n">
        <x:v>0</x:v>
      </x:c>
      <x:c r="S23" s="33" t="n">
        <x:f>IF(COUNT('Turns'!D84)=1,SUM('Turns'!D84),"Unknown")</x:f>
        <x:v>39</x:v>
      </x:c>
      <x:c r="T23" s="11" t="n">
        <x:f>IF(COUNT('Turns'!E84)=1,SUM('Turns'!E84),"Unknown")</x:f>
        <x:v>0.00004083768</x:v>
      </x:c>
      <x:c r="U23" s="11" t="n">
        <x:f>IF(COUNT('Turns'!F84)=1,SUM('Turns'!F84),"Unknown")</x:f>
        <x:v>0.0000468</x:v>
      </x:c>
      <x:c r="V23" s="33" t="n">
        <x:f>IF(COUNT('Turns'!D83)=1,SUM('Turns'!D83),"Unknown")</x:f>
        <x:v>9</x:v>
      </x:c>
      <x:c r="W23" s="11" t="n">
        <x:f>IF(COUNT('Turns'!E83)=1,SUM('Turns'!E83),"Unknown")</x:f>
        <x:v>0.000009424079999999999</x:v>
      </x:c>
      <x:c r="X23" s="11" t="n">
        <x:f>IF(COUNT('Turns'!F83)=1,SUM('Turns'!F83),"Unknown")</x:f>
        <x:v>0.000010799999999999998</x:v>
      </x:c>
      <x:c r="Y23" s="11" t="n">
        <x:f>IF(COUNT('Turns'!E88)=1,SUM('Turns'!E88),"Unknown")</x:f>
        <x:v>0.00008603836</x:v>
      </x:c>
      <x:c r="Z23" s="11" t="n">
        <x:f>IF(COUNT('Turns'!F88)=1,SUM('Turns'!F88),"Unknown")</x:f>
        <x:v>0.0000986</x:v>
      </x:c>
      <x:c r="AA23" s="33" t="n">
        <x:f>IF(ISNUMBER(Y23),ROUND(Y23*'Reference data'!$B$2,0),"Unknown")</x:f>
        <x:v>9</x:v>
      </x:c>
      <x:c r="AB23" s="33" t="n">
        <x:f>IF(ISNUMBER(Z23),ROUND(Z23*'Reference data'!$B$2,0),"Unknown")</x:f>
        <x:v>10</x:v>
      </x:c>
      <x:c r="AC23" s="2" t="str">
        <x:v>R6</x:v>
      </x:c>
      <x:c r="AD23" s="43" t="n">
        <x:v>1486.27712</x:v>
      </x:c>
      <x:c r="AE23" s="2" t="str">
        <x:v>Own call</x:v>
      </x:c>
    </x:row>
    <x:row r="24" ht="54" customHeight="1">
      <x:c r="A24" s="41" t="str">
        <x:v>                tools</x:v>
      </x:c>
      <x:c r="B24" s="36" t="n">
        <x:v>4</x:v>
      </x:c>
      <x:c r="C24" s="36" t="str">
        <x:v>workflow</x:v>
      </x:c>
      <x:c r="D24" s="36" t="str"/>
      <x:c r="E24" s="36" t="str">
        <x:v>ok</x:v>
      </x:c>
      <x:c r="F24" s="38"/>
      <x:c r="G24" s="41" t="str">
        <x:v>Execute tool calls requested by the preceding model response and return their observations.</x:v>
      </x:c>
      <x:c r="H24" s="36" t="str">
        <x:v>01a0c410-3486-7940-a13f-8ed67edf9584</x:v>
      </x:c>
      <x:c r="I24" s="36" t="str">
        <x:v>01a0c410-2eb2-7801-888c-2701aa0471bf</x:v>
      </x:c>
      <x:c r="J24" s="33"/>
      <x:c r="K24" s="11"/>
      <x:c r="L24" s="11"/>
      <x:c r="M24" s="33"/>
      <x:c r="N24" s="11"/>
      <x:c r="O24" s="11"/>
      <x:c r="P24" s="33"/>
      <x:c r="Q24" s="11"/>
      <x:c r="R24" s="11"/>
      <x:c r="S24" s="33"/>
      <x:c r="T24" s="11"/>
      <x:c r="U24" s="11"/>
      <x:c r="V24" s="33"/>
      <x:c r="W24" s="11"/>
      <x:c r="X24" s="11"/>
      <x:c r="Y24" s="11"/>
      <x:c r="Z24" s="11"/>
      <x:c r="AA24" s="33"/>
      <x:c r="AB24" s="33"/>
      <x:c r="AC24" s="2"/>
      <x:c r="AD24" s="43" t="n">
        <x:v>3.693824</x:v>
      </x:c>
      <x:c r="AE24" s="2" t="str">
        <x:v>No model charge</x:v>
      </x:c>
    </x:row>
    <x:row r="25" ht="54" customHeight="1">
      <x:c r="A25" s="41" t="str">
        <x:v>                    search_sports_reference</x:v>
      </x:c>
      <x:c r="B25" s="36" t="n">
        <x:v>5</x:v>
      </x:c>
      <x:c r="C25" s="36" t="str">
        <x:v>tool</x:v>
      </x:c>
      <x:c r="D25" s="36" t="str"/>
      <x:c r="E25" s="36" t="str">
        <x:v>ok</x:v>
      </x:c>
      <x:c r="F25" s="38"/>
      <x:c r="G25" s="41" t="str">
        <x:v>Look up local sports evidence by phrase; return sources or an explicit miss.</x:v>
      </x:c>
      <x:c r="H25" s="36" t="str">
        <x:v>01a0c410-3488-77a0-a1a0-b747dbbbdf3e</x:v>
      </x:c>
      <x:c r="I25" s="36" t="str">
        <x:v>01a0c410-3486-7940-a13f-8ed67edf9584</x:v>
      </x:c>
      <x:c r="J25" s="33"/>
      <x:c r="K25" s="11"/>
      <x:c r="L25" s="11"/>
      <x:c r="M25" s="33"/>
      <x:c r="N25" s="11"/>
      <x:c r="O25" s="11"/>
      <x:c r="P25" s="33"/>
      <x:c r="Q25" s="11"/>
      <x:c r="R25" s="11"/>
      <x:c r="S25" s="33"/>
      <x:c r="T25" s="11"/>
      <x:c r="U25" s="11"/>
      <x:c r="V25" s="33"/>
      <x:c r="W25" s="11"/>
      <x:c r="X25" s="11"/>
      <x:c r="Y25" s="11"/>
      <x:c r="Z25" s="11"/>
      <x:c r="AA25" s="33"/>
      <x:c r="AB25" s="33"/>
      <x:c r="AC25" s="2"/>
      <x:c r="AD25" s="43" t="n">
        <x:v>1.114112</x:v>
      </x:c>
      <x:c r="AE25" s="2" t="str">
        <x:v>No model charge</x:v>
      </x:c>
    </x:row>
    <x:row r="26" ht="54" customHeight="1">
      <x:c r="A26" s="41" t="str">
        <x:v>                model</x:v>
      </x:c>
      <x:c r="B26" s="36" t="n">
        <x:v>4</x:v>
      </x:c>
      <x:c r="C26" s="36" t="str">
        <x:v>workflow</x:v>
      </x:c>
      <x:c r="D26" s="36" t="str"/>
      <x:c r="E26" s="36" t="str">
        <x:v>ok</x:v>
      </x:c>
      <x:c r="F26" s="38"/>
      <x:c r="G26" s="41" t="str">
        <x:v>Prepare the current conversation, run model middleware, and invoke the chat model.</x:v>
      </x:c>
      <x:c r="H26" s="36" t="str">
        <x:v>01a0c410-348c-7032-a8d6-64dfb9a7a9ef</x:v>
      </x:c>
      <x:c r="I26" s="36" t="str">
        <x:v>01a0c410-2eb2-7801-888c-2701aa0471bf</x:v>
      </x:c>
      <x:c r="J26" s="33" t="n">
        <x:f>IF(COUNT('Turns'!D94)=1,SUM('Turns'!D94),"Unknown")</x:f>
        <x:v>310</x:v>
      </x:c>
      <x:c r="K26" s="11" t="n">
        <x:f>IF(COUNT('Turns'!E94)=1,SUM('Turns'!E94),"Unknown")</x:f>
        <x:v>0.0000541012</x:v>
      </x:c>
      <x:c r="L26" s="11" t="n">
        <x:f>IF(COUNT('Turns'!F94)=1,SUM('Turns'!F94),"Unknown")</x:f>
        <x:v>0.000062</x:v>
      </x:c>
      <x:c r="M26" s="33" t="n">
        <x:f>IF(COUNT('Turns'!D93)=1,SUM('Turns'!D93),"Unknown")</x:f>
        <x:v>0</x:v>
      </x:c>
      <x:c r="N26" s="11" t="n">
        <x:f>IF(COUNT('Turns'!E93)=1,SUM('Turns'!E93),"Unknown")</x:f>
        <x:v>0</x:v>
      </x:c>
      <x:c r="O26" s="11" t="n">
        <x:f>IF(COUNT('Turns'!F93)=1,SUM('Turns'!F93),"Unknown")</x:f>
        <x:v>0</x:v>
      </x:c>
      <x:c r="P26" s="33" t="n">
        <x:v>0</x:v>
      </x:c>
      <x:c r="Q26" s="11" t="n">
        <x:v>0</x:v>
      </x:c>
      <x:c r="R26" s="11" t="n">
        <x:v>0</x:v>
      </x:c>
      <x:c r="S26" s="33" t="n">
        <x:f>IF(COUNT('Turns'!D99)=1,SUM('Turns'!D99),"Unknown")</x:f>
        <x:v>61</x:v>
      </x:c>
      <x:c r="T26" s="11" t="n">
        <x:f>IF(COUNT('Turns'!E99)=1,SUM('Turns'!E99),"Unknown")</x:f>
        <x:v>0.00006387432</x:v>
      </x:c>
      <x:c r="U26" s="11" t="n">
        <x:f>IF(COUNT('Turns'!F99)=1,SUM('Turns'!F99),"Unknown")</x:f>
        <x:v>0.0000732</x:v>
      </x:c>
      <x:c r="V26" s="33" t="n">
        <x:v>0</x:v>
      </x:c>
      <x:c r="W26" s="11" t="n">
        <x:v>0</x:v>
      </x:c>
      <x:c r="X26" s="11" t="n">
        <x:v>0</x:v>
      </x:c>
      <x:c r="Y26" s="11" t="n">
        <x:f>IF(COUNT('Turns'!E103)=1,SUM('Turns'!E103),"Unknown")</x:f>
        <x:v>0.00011797552</x:v>
      </x:c>
      <x:c r="Z26" s="11" t="n">
        <x:f>IF(COUNT('Turns'!F103)=1,SUM('Turns'!F103),"Unknown")</x:f>
        <x:v>0.0001352</x:v>
      </x:c>
      <x:c r="AA26" s="33" t="n">
        <x:f>IF(ISNUMBER(Y26),ROUND(Y26*'Reference data'!$B$2,0),"Unknown")</x:f>
        <x:v>12</x:v>
      </x:c>
      <x:c r="AB26" s="33" t="n">
        <x:f>IF(ISNUMBER(Z26),ROUND(Z26*'Reference data'!$B$2,0),"Unknown")</x:f>
        <x:v>14</x:v>
      </x:c>
      <x:c r="AC26" s="2"/>
      <x:c r="AD26" s="43" t="n">
        <x:v>2106.604032</x:v>
      </x:c>
      <x:c r="AE26" s="2" t="str">
        <x:v>Subtree total</x:v>
      </x:c>
    </x:row>
    <x:row r="27" ht="54" customHeight="1">
      <x:c r="A27" s="42" t="str">
        <x:v>                    ChatOpenAI</x:v>
      </x:c>
      <x:c r="B27" s="20" t="n">
        <x:v>5</x:v>
      </x:c>
      <x:c r="C27" s="20" t="str">
        <x:v>model</x:v>
      </x:c>
      <x:c r="D27" s="20" t="str">
        <x:v>gpt-5.6-luna</x:v>
      </x:c>
      <x:c r="E27" s="20" t="str">
        <x:v>ok</x:v>
      </x:c>
      <x:c r="F27" s="39" t="n">
        <x:v>310</x:v>
      </x:c>
      <x:c r="G27" s="42" t="str">
        <x:v>Generate the next assistant message or tool request from the current conversation.</x:v>
      </x:c>
      <x:c r="H27" s="20" t="str">
        <x:v>01a0c410-348d-7d63-9524-90486ccff0f0</x:v>
      </x:c>
      <x:c r="I27" s="20" t="str">
        <x:v>01a0c410-348c-7032-a8d6-64dfb9a7a9ef</x:v>
      </x:c>
      <x:c r="J27" s="33" t="n">
        <x:f>IF(COUNT('Turns'!D94)=1,SUM('Turns'!D94),"Unknown")</x:f>
        <x:v>310</x:v>
      </x:c>
      <x:c r="K27" s="11" t="n">
        <x:f>IF(COUNT('Turns'!E94)=1,SUM('Turns'!E94),"Unknown")</x:f>
        <x:v>0.0000541012</x:v>
      </x:c>
      <x:c r="L27" s="11" t="n">
        <x:f>IF(COUNT('Turns'!F94)=1,SUM('Turns'!F94),"Unknown")</x:f>
        <x:v>0.000062</x:v>
      </x:c>
      <x:c r="M27" s="33" t="n">
        <x:f>IF(COUNT('Turns'!D93)=1,SUM('Turns'!D93),"Unknown")</x:f>
        <x:v>0</x:v>
      </x:c>
      <x:c r="N27" s="11" t="n">
        <x:f>IF(COUNT('Turns'!E93)=1,SUM('Turns'!E93),"Unknown")</x:f>
        <x:v>0</x:v>
      </x:c>
      <x:c r="O27" s="11" t="n">
        <x:f>IF(COUNT('Turns'!F93)=1,SUM('Turns'!F93),"Unknown")</x:f>
        <x:v>0</x:v>
      </x:c>
      <x:c r="P27" s="33" t="n">
        <x:v>0</x:v>
      </x:c>
      <x:c r="Q27" s="11" t="n">
        <x:v>0</x:v>
      </x:c>
      <x:c r="R27" s="11" t="n">
        <x:v>0</x:v>
      </x:c>
      <x:c r="S27" s="33" t="n">
        <x:f>IF(COUNT('Turns'!D99)=1,SUM('Turns'!D99),"Unknown")</x:f>
        <x:v>61</x:v>
      </x:c>
      <x:c r="T27" s="11" t="n">
        <x:f>IF(COUNT('Turns'!E99)=1,SUM('Turns'!E99),"Unknown")</x:f>
        <x:v>0.00006387432</x:v>
      </x:c>
      <x:c r="U27" s="11" t="n">
        <x:f>IF(COUNT('Turns'!F99)=1,SUM('Turns'!F99),"Unknown")</x:f>
        <x:v>0.0000732</x:v>
      </x:c>
      <x:c r="V27" s="33" t="n">
        <x:v>0</x:v>
      </x:c>
      <x:c r="W27" s="11" t="n">
        <x:v>0</x:v>
      </x:c>
      <x:c r="X27" s="11" t="n">
        <x:v>0</x:v>
      </x:c>
      <x:c r="Y27" s="11" t="n">
        <x:f>IF(COUNT('Turns'!E103)=1,SUM('Turns'!E103),"Unknown")</x:f>
        <x:v>0.00011797552</x:v>
      </x:c>
      <x:c r="Z27" s="11" t="n">
        <x:f>IF(COUNT('Turns'!F103)=1,SUM('Turns'!F103),"Unknown")</x:f>
        <x:v>0.0001352</x:v>
      </x:c>
      <x:c r="AA27" s="33" t="n">
        <x:f>IF(ISNUMBER(Y27),ROUND(Y27*'Reference data'!$B$2,0),"Unknown")</x:f>
        <x:v>12</x:v>
      </x:c>
      <x:c r="AB27" s="33" t="n">
        <x:f>IF(ISNUMBER(Z27),ROUND(Z27*'Reference data'!$B$2,0),"Unknown")</x:f>
        <x:v>14</x:v>
      </x:c>
      <x:c r="AC27" s="2" t="str">
        <x:v>R7</x:v>
      </x:c>
      <x:c r="AD27" s="43" t="n">
        <x:v>2104.439808</x:v>
      </x:c>
      <x:c r="AE27" s="2" t="str">
        <x:v>Own call</x:v>
      </x:c>
    </x:row>
    <x:row r="28" ht="54" customHeight="1">
      <x:c r="A28" s="41" t="str">
        <x:v>    model</x:v>
      </x:c>
      <x:c r="B28" s="36" t="n">
        <x:v>1</x:v>
      </x:c>
      <x:c r="C28" s="36" t="str">
        <x:v>workflow</x:v>
      </x:c>
      <x:c r="D28" s="36" t="str"/>
      <x:c r="E28" s="36" t="str">
        <x:v>ok</x:v>
      </x:c>
      <x:c r="F28" s="38"/>
      <x:c r="G28" s="41" t="str">
        <x:v>Prepare the current conversation, run model middleware, and invoke the chat model.</x:v>
      </x:c>
      <x:c r="H28" s="36" t="str">
        <x:v>01a0c410-3ccc-7f70-8540-29f5fee25368</x:v>
      </x:c>
      <x:c r="I28" s="36" t="str">
        <x:v>01a0c410-2249-7e82-9c9c-0dffa4ff9592</x:v>
      </x:c>
      <x:c r="J28" s="33" t="n">
        <x:f>IF(COUNT('Turns'!D106)=1,SUM('Turns'!D106),"Unknown")</x:f>
        <x:v>542</x:v>
      </x:c>
      <x:c r="K28" s="11" t="n">
        <x:f>IF(COUNT('Turns'!E106)=1,SUM('Turns'!E106),"Unknown")</x:f>
        <x:v>0.00009458984</x:v>
      </x:c>
      <x:c r="L28" s="11" t="n">
        <x:f>IF(COUNT('Turns'!F106)=1,SUM('Turns'!F106),"Unknown")</x:f>
        <x:v>0.0001084</x:v>
      </x:c>
      <x:c r="M28" s="33" t="n">
        <x:f>IF(COUNT('Turns'!D105)=1,SUM('Turns'!D105),"Unknown")</x:f>
        <x:v>0</x:v>
      </x:c>
      <x:c r="N28" s="11" t="n">
        <x:f>IF(COUNT('Turns'!E105)=1,SUM('Turns'!E105),"Unknown")</x:f>
        <x:v>0</x:v>
      </x:c>
      <x:c r="O28" s="11" t="n">
        <x:f>IF(COUNT('Turns'!F105)=1,SUM('Turns'!F105),"Unknown")</x:f>
        <x:v>0</x:v>
      </x:c>
      <x:c r="P28" s="33" t="n">
        <x:v>0</x:v>
      </x:c>
      <x:c r="Q28" s="11" t="n">
        <x:v>0</x:v>
      </x:c>
      <x:c r="R28" s="11" t="n">
        <x:v>0</x:v>
      </x:c>
      <x:c r="S28" s="33" t="n">
        <x:f>IF(COUNT('Turns'!D111)=1,SUM('Turns'!D111),"Unknown")</x:f>
        <x:v>18</x:v>
      </x:c>
      <x:c r="T28" s="11" t="n">
        <x:f>IF(COUNT('Turns'!E111)=1,SUM('Turns'!E111),"Unknown")</x:f>
        <x:v>0.000018848159999999997</x:v>
      </x:c>
      <x:c r="U28" s="11" t="n">
        <x:f>IF(COUNT('Turns'!F111)=1,SUM('Turns'!F111),"Unknown")</x:f>
        <x:v>0.000021599999999999996</x:v>
      </x:c>
      <x:c r="V28" s="33" t="n">
        <x:v>0</x:v>
      </x:c>
      <x:c r="W28" s="11" t="n">
        <x:v>0</x:v>
      </x:c>
      <x:c r="X28" s="11" t="n">
        <x:v>0</x:v>
      </x:c>
      <x:c r="Y28" s="11" t="n">
        <x:f>IF(COUNT('Turns'!E115)=1,SUM('Turns'!E115),"Unknown")</x:f>
        <x:v>0.000113438</x:v>
      </x:c>
      <x:c r="Z28" s="11" t="n">
        <x:f>IF(COUNT('Turns'!F115)=1,SUM('Turns'!F115),"Unknown")</x:f>
        <x:v>0.00013000000000000002</x:v>
      </x:c>
      <x:c r="AA28" s="33" t="n">
        <x:f>IF(ISNUMBER(Y28),ROUND(Y28*'Reference data'!$B$2,0),"Unknown")</x:f>
        <x:v>11</x:v>
      </x:c>
      <x:c r="AB28" s="33" t="n">
        <x:f>IF(ISNUMBER(Z28),ROUND(Z28*'Reference data'!$B$2,0),"Unknown")</x:f>
        <x:v>13</x:v>
      </x:c>
      <x:c r="AC28" s="2"/>
      <x:c r="AD28" s="43" t="n">
        <x:v>1053.02912</x:v>
      </x:c>
      <x:c r="AE28" s="2" t="str">
        <x:v>Subtree total</x:v>
      </x:c>
    </x:row>
    <x:row r="29" ht="54" customHeight="1">
      <x:c r="A29" s="42" t="str">
        <x:v>        ChatOpenAI</x:v>
      </x:c>
      <x:c r="B29" s="20" t="n">
        <x:v>2</x:v>
      </x:c>
      <x:c r="C29" s="20" t="str">
        <x:v>model</x:v>
      </x:c>
      <x:c r="D29" s="20" t="str">
        <x:v>gpt-5.6-luna</x:v>
      </x:c>
      <x:c r="E29" s="20" t="str">
        <x:v>ok</x:v>
      </x:c>
      <x:c r="F29" s="39" t="n">
        <x:v>542</x:v>
      </x:c>
      <x:c r="G29" s="42" t="str">
        <x:v>Generate the next assistant message or tool request from the current conversation.</x:v>
      </x:c>
      <x:c r="H29" s="20" t="str">
        <x:v>01a0c410-3ccd-7fa1-82a8-665696c0109d</x:v>
      </x:c>
      <x:c r="I29" s="20" t="str">
        <x:v>01a0c410-3ccc-7f70-8540-29f5fee25368</x:v>
      </x:c>
      <x:c r="J29" s="33" t="n">
        <x:f>IF(COUNT('Turns'!D106)=1,SUM('Turns'!D106),"Unknown")</x:f>
        <x:v>542</x:v>
      </x:c>
      <x:c r="K29" s="11" t="n">
        <x:f>IF(COUNT('Turns'!E106)=1,SUM('Turns'!E106),"Unknown")</x:f>
        <x:v>0.00009458984</x:v>
      </x:c>
      <x:c r="L29" s="11" t="n">
        <x:f>IF(COUNT('Turns'!F106)=1,SUM('Turns'!F106),"Unknown")</x:f>
        <x:v>0.0001084</x:v>
      </x:c>
      <x:c r="M29" s="33" t="n">
        <x:f>IF(COUNT('Turns'!D105)=1,SUM('Turns'!D105),"Unknown")</x:f>
        <x:v>0</x:v>
      </x:c>
      <x:c r="N29" s="11" t="n">
        <x:f>IF(COUNT('Turns'!E105)=1,SUM('Turns'!E105),"Unknown")</x:f>
        <x:v>0</x:v>
      </x:c>
      <x:c r="O29" s="11" t="n">
        <x:f>IF(COUNT('Turns'!F105)=1,SUM('Turns'!F105),"Unknown")</x:f>
        <x:v>0</x:v>
      </x:c>
      <x:c r="P29" s="33" t="n">
        <x:v>0</x:v>
      </x:c>
      <x:c r="Q29" s="11" t="n">
        <x:v>0</x:v>
      </x:c>
      <x:c r="R29" s="11" t="n">
        <x:v>0</x:v>
      </x:c>
      <x:c r="S29" s="33" t="n">
        <x:f>IF(COUNT('Turns'!D111)=1,SUM('Turns'!D111),"Unknown")</x:f>
        <x:v>18</x:v>
      </x:c>
      <x:c r="T29" s="11" t="n">
        <x:f>IF(COUNT('Turns'!E111)=1,SUM('Turns'!E111),"Unknown")</x:f>
        <x:v>0.000018848159999999997</x:v>
      </x:c>
      <x:c r="U29" s="11" t="n">
        <x:f>IF(COUNT('Turns'!F111)=1,SUM('Turns'!F111),"Unknown")</x:f>
        <x:v>0.000021599999999999996</x:v>
      </x:c>
      <x:c r="V29" s="33" t="n">
        <x:v>0</x:v>
      </x:c>
      <x:c r="W29" s="11" t="n">
        <x:v>0</x:v>
      </x:c>
      <x:c r="X29" s="11" t="n">
        <x:v>0</x:v>
      </x:c>
      <x:c r="Y29" s="11" t="n">
        <x:f>IF(COUNT('Turns'!E115)=1,SUM('Turns'!E115),"Unknown")</x:f>
        <x:v>0.000113438</x:v>
      </x:c>
      <x:c r="Z29" s="11" t="n">
        <x:f>IF(COUNT('Turns'!F115)=1,SUM('Turns'!F115),"Unknown")</x:f>
        <x:v>0.00013000000000000002</x:v>
      </x:c>
      <x:c r="AA29" s="33" t="n">
        <x:f>IF(ISNUMBER(Y29),ROUND(Y29*'Reference data'!$B$2,0),"Unknown")</x:f>
        <x:v>11</x:v>
      </x:c>
      <x:c r="AB29" s="33" t="n">
        <x:f>IF(ISNUMBER(Z29),ROUND(Z29*'Reference data'!$B$2,0),"Unknown")</x:f>
        <x:v>13</x:v>
      </x:c>
      <x:c r="AC29" s="2" t="str">
        <x:v>R8</x:v>
      </x:c>
      <x:c r="AD29" s="43" t="n">
        <x:v>1050.471936</x:v>
      </x:c>
      <x:c r="AE29" s="2" t="str">
        <x:v>Own call</x:v>
      </x:c>
    </x:row>
    <x:row r="30" ht="54" customHeight="1">
      <x:c r="A30" s="40" t="str">
        <x:v>dispatcher_agent</x:v>
      </x:c>
      <x:c r="B30" s="35" t="n">
        <x:v>0</x:v>
      </x:c>
      <x:c r="C30" s="35" t="str">
        <x:v>workflow</x:v>
      </x:c>
      <x:c r="D30" s="35" t="str"/>
      <x:c r="E30" s="35" t="str">
        <x:v>ok</x:v>
      </x:c>
      <x:c r="F30" s="37"/>
      <x:c r="G30" s="40" t="str">
        <x:v>Execute the dispatcher_agent workflow operation and pass its result to the next graph step.</x:v>
      </x:c>
      <x:c r="H30" s="35" t="str">
        <x:v>01a0c410-410d-7272-9264-47c008479862</x:v>
      </x:c>
      <x:c r="I30" s="35"/>
      <x:c r="J30" s="33" t="n">
        <x:f>IF(COUNT('Turns'!D119,'Turns'!D133,'Turns'!D150,'Turns'!D162)=4,SUM('Turns'!D119,'Turns'!D133,'Turns'!D150,'Turns'!D162),"Unknown")</x:f>
        <x:v>1733</x:v>
      </x:c>
      <x:c r="K30" s="11" t="n">
        <x:f>IF(COUNT('Turns'!E119,'Turns'!E133,'Turns'!E150,'Turns'!E162)=4,SUM('Turns'!E119,'Turns'!E133,'Turns'!E150,'Turns'!E162),"Unknown")</x:f>
        <x:v>0.00030244316</x:v>
      </x:c>
      <x:c r="L30" s="11" t="n">
        <x:f>IF(COUNT('Turns'!F119,'Turns'!F133,'Turns'!F150,'Turns'!F162)=4,SUM('Turns'!F119,'Turns'!F133,'Turns'!F150,'Turns'!F162),"Unknown")</x:f>
        <x:v>0.00034659999999999997</x:v>
      </x:c>
      <x:c r="M30" s="33" t="n">
        <x:f>IF(COUNT('Turns'!D118,'Turns'!D149,'Turns'!D161)=3,SUM('Turns'!D118,'Turns'!D149,'Turns'!D161),"Unknown")</x:f>
        <x:v>0</x:v>
      </x:c>
      <x:c r="N30" s="11" t="n">
        <x:f>IF(COUNT('Turns'!E118,'Turns'!E149,'Turns'!E161)=3,SUM('Turns'!E118,'Turns'!E149,'Turns'!E161),"Unknown")</x:f>
        <x:v>0</x:v>
      </x:c>
      <x:c r="O30" s="11" t="n">
        <x:f>IF(COUNT('Turns'!F118,'Turns'!F149,'Turns'!F161)=3,SUM('Turns'!F118,'Turns'!F149,'Turns'!F161),"Unknown")</x:f>
        <x:v>0</x:v>
      </x:c>
      <x:c r="P30" s="33" t="n">
        <x:v>0</x:v>
      </x:c>
      <x:c r="Q30" s="11" t="n">
        <x:v>0</x:v>
      </x:c>
      <x:c r="R30" s="11" t="n">
        <x:v>0</x:v>
      </x:c>
      <x:c r="S30" s="33" t="n">
        <x:f>IF(COUNT('Turns'!D124,'Turns'!D140,'Turns'!D155,'Turns'!D167)=4,SUM('Turns'!D124,'Turns'!D140,'Turns'!D155,'Turns'!D167),"Unknown")</x:f>
        <x:v>155</x:v>
      </x:c>
      <x:c r="T30" s="11" t="n">
        <x:f>IF(COUNT('Turns'!E124,'Turns'!E140,'Turns'!E155,'Turns'!E167)=4,SUM('Turns'!E124,'Turns'!E140,'Turns'!E155,'Turns'!E167),"Unknown")</x:f>
        <x:v>0.00016230360000000002</x:v>
      </x:c>
      <x:c r="U30" s="11" t="n">
        <x:f>IF(COUNT('Turns'!F124,'Turns'!F140,'Turns'!F155,'Turns'!F167)=4,SUM('Turns'!F124,'Turns'!F140,'Turns'!F155,'Turns'!F167),"Unknown")</x:f>
        <x:v>0.00018600000000000002</x:v>
      </x:c>
      <x:c r="V30" s="33" t="n">
        <x:f>IF(COUNT('Turns'!D139)=1,SUM('Turns'!D139),"Unknown")</x:f>
        <x:v>9</x:v>
      </x:c>
      <x:c r="W30" s="11" t="n">
        <x:f>IF(COUNT('Turns'!E139)=1,SUM('Turns'!E139),"Unknown")</x:f>
        <x:v>0.000009424079999999999</x:v>
      </x:c>
      <x:c r="X30" s="11" t="n">
        <x:f>IF(COUNT('Turns'!F139)=1,SUM('Turns'!F139),"Unknown")</x:f>
        <x:v>0.000010799999999999998</x:v>
      </x:c>
      <x:c r="Y30" s="11" t="n">
        <x:f>IF(COUNT('Turns'!E128,'Turns'!E144,'Turns'!E159,'Turns'!E171)=4,SUM('Turns'!E128,'Turns'!E144,'Turns'!E159,'Turns'!E171),"Unknown")</x:f>
        <x:v>0.00047417084</x:v>
      </x:c>
      <x:c r="Z30" s="11" t="n">
        <x:f>IF(COUNT('Turns'!F128,'Turns'!F144,'Turns'!F159,'Turns'!F171)=4,SUM('Turns'!F128,'Turns'!F144,'Turns'!F159,'Turns'!F171),"Unknown")</x:f>
        <x:v>0.0005434000000000001</x:v>
      </x:c>
      <x:c r="AA30" s="33" t="n">
        <x:f>IF(ISNUMBER(Y30),ROUND(Y30*'Reference data'!$B$2,0),"Unknown")</x:f>
        <x:v>47</x:v>
      </x:c>
      <x:c r="AB30" s="33" t="n">
        <x:f>IF(ISNUMBER(Z30),ROUND(Z30*'Reference data'!$B$2,0),"Unknown")</x:f>
        <x:v>54</x:v>
      </x:c>
      <x:c r="AC30" s="2"/>
      <x:c r="AD30" s="43" t="n">
        <x:v>8324.628992</x:v>
      </x:c>
      <x:c r="AE30" s="2" t="str">
        <x:v>Subtree total</x:v>
      </x:c>
    </x:row>
    <x:row r="31" ht="54" customHeight="1">
      <x:c r="A31" s="41" t="str">
        <x:v>    model</x:v>
      </x:c>
      <x:c r="B31" s="36" t="n">
        <x:v>1</x:v>
      </x:c>
      <x:c r="C31" s="36" t="str">
        <x:v>workflow</x:v>
      </x:c>
      <x:c r="D31" s="36" t="str"/>
      <x:c r="E31" s="36" t="str">
        <x:v>ok</x:v>
      </x:c>
      <x:c r="F31" s="38"/>
      <x:c r="G31" s="41" t="str">
        <x:v>Prepare the current conversation, run model middleware, and invoke the chat model.</x:v>
      </x:c>
      <x:c r="H31" s="36" t="str">
        <x:v>01a0c410-410f-74a3-a347-0aecb8236623</x:v>
      </x:c>
      <x:c r="I31" s="36" t="str">
        <x:v>01a0c410-410d-7272-9264-47c008479862</x:v>
      </x:c>
      <x:c r="J31" s="33" t="n">
        <x:f>IF(COUNT('Turns'!D119)=1,SUM('Turns'!D119),"Unknown")</x:f>
        <x:v>575</x:v>
      </x:c>
      <x:c r="K31" s="11" t="n">
        <x:f>IF(COUNT('Turns'!E119)=1,SUM('Turns'!E119),"Unknown")</x:f>
        <x:v>0.00010034900000000001</x:v>
      </x:c>
      <x:c r="L31" s="11" t="n">
        <x:f>IF(COUNT('Turns'!F119)=1,SUM('Turns'!F119),"Unknown")</x:f>
        <x:v>0.000115</x:v>
      </x:c>
      <x:c r="M31" s="33" t="n">
        <x:f>IF(COUNT('Turns'!D118)=1,SUM('Turns'!D118),"Unknown")</x:f>
        <x:v>0</x:v>
      </x:c>
      <x:c r="N31" s="11" t="n">
        <x:f>IF(COUNT('Turns'!E118)=1,SUM('Turns'!E118),"Unknown")</x:f>
        <x:v>0</x:v>
      </x:c>
      <x:c r="O31" s="11" t="n">
        <x:f>IF(COUNT('Turns'!F118)=1,SUM('Turns'!F118),"Unknown")</x:f>
        <x:v>0</x:v>
      </x:c>
      <x:c r="P31" s="33" t="n">
        <x:v>0</x:v>
      </x:c>
      <x:c r="Q31" s="11" t="n">
        <x:v>0</x:v>
      </x:c>
      <x:c r="R31" s="11" t="n">
        <x:v>0</x:v>
      </x:c>
      <x:c r="S31" s="33" t="n">
        <x:f>IF(COUNT('Turns'!D124)=1,SUM('Turns'!D124),"Unknown")</x:f>
        <x:v>52</x:v>
      </x:c>
      <x:c r="T31" s="11" t="n">
        <x:f>IF(COUNT('Turns'!E124)=1,SUM('Turns'!E124),"Unknown")</x:f>
        <x:v>0.00005445024</x:v>
      </x:c>
      <x:c r="U31" s="11" t="n">
        <x:f>IF(COUNT('Turns'!F124)=1,SUM('Turns'!F124),"Unknown")</x:f>
        <x:v>0.0000624</x:v>
      </x:c>
      <x:c r="V31" s="33" t="n">
        <x:v>0</x:v>
      </x:c>
      <x:c r="W31" s="11" t="n">
        <x:v>0</x:v>
      </x:c>
      <x:c r="X31" s="11" t="n">
        <x:v>0</x:v>
      </x:c>
      <x:c r="Y31" s="11" t="n">
        <x:f>IF(COUNT('Turns'!E128)=1,SUM('Turns'!E128),"Unknown")</x:f>
        <x:v>0.00015479924000000002</x:v>
      </x:c>
      <x:c r="Z31" s="11" t="n">
        <x:f>IF(COUNT('Turns'!F128)=1,SUM('Turns'!F128),"Unknown")</x:f>
        <x:v>0.0001774</x:v>
      </x:c>
      <x:c r="AA31" s="33" t="n">
        <x:f>IF(ISNUMBER(Y31),ROUND(Y31*'Reference data'!$B$2,0),"Unknown")</x:f>
        <x:v>15</x:v>
      </x:c>
      <x:c r="AB31" s="33" t="n">
        <x:f>IF(ISNUMBER(Z31),ROUND(Z31*'Reference data'!$B$2,0),"Unknown")</x:f>
        <x:v>18</x:v>
      </x:c>
      <x:c r="AC31" s="2"/>
      <x:c r="AD31" s="43" t="n">
        <x:v>1848.331008</x:v>
      </x:c>
      <x:c r="AE31" s="2" t="str">
        <x:v>Subtree total</x:v>
      </x:c>
    </x:row>
    <x:row r="32" ht="54" customHeight="1">
      <x:c r="A32" s="42" t="str">
        <x:v>        ChatOpenAI</x:v>
      </x:c>
      <x:c r="B32" s="20" t="n">
        <x:v>2</x:v>
      </x:c>
      <x:c r="C32" s="20" t="str">
        <x:v>model</x:v>
      </x:c>
      <x:c r="D32" s="20" t="str">
        <x:v>gpt-5.6-luna</x:v>
      </x:c>
      <x:c r="E32" s="20" t="str">
        <x:v>ok</x:v>
      </x:c>
      <x:c r="F32" s="39" t="n">
        <x:v>575</x:v>
      </x:c>
      <x:c r="G32" s="42" t="str">
        <x:v>Generate the next assistant message or tool request from the current conversation.</x:v>
      </x:c>
      <x:c r="H32" s="20" t="str">
        <x:v>01a0c410-4110-72c0-99d7-e1e9e227592e</x:v>
      </x:c>
      <x:c r="I32" s="20" t="str">
        <x:v>01a0c410-410f-74a3-a347-0aecb8236623</x:v>
      </x:c>
      <x:c r="J32" s="33" t="n">
        <x:f>IF(COUNT('Turns'!D119)=1,SUM('Turns'!D119),"Unknown")</x:f>
        <x:v>575</x:v>
      </x:c>
      <x:c r="K32" s="11" t="n">
        <x:f>IF(COUNT('Turns'!E119)=1,SUM('Turns'!E119),"Unknown")</x:f>
        <x:v>0.00010034900000000001</x:v>
      </x:c>
      <x:c r="L32" s="11" t="n">
        <x:f>IF(COUNT('Turns'!F119)=1,SUM('Turns'!F119),"Unknown")</x:f>
        <x:v>0.000115</x:v>
      </x:c>
      <x:c r="M32" s="33" t="n">
        <x:f>IF(COUNT('Turns'!D118)=1,SUM('Turns'!D118),"Unknown")</x:f>
        <x:v>0</x:v>
      </x:c>
      <x:c r="N32" s="11" t="n">
        <x:f>IF(COUNT('Turns'!E118)=1,SUM('Turns'!E118),"Unknown")</x:f>
        <x:v>0</x:v>
      </x:c>
      <x:c r="O32" s="11" t="n">
        <x:f>IF(COUNT('Turns'!F118)=1,SUM('Turns'!F118),"Unknown")</x:f>
        <x:v>0</x:v>
      </x:c>
      <x:c r="P32" s="33" t="n">
        <x:v>0</x:v>
      </x:c>
      <x:c r="Q32" s="11" t="n">
        <x:v>0</x:v>
      </x:c>
      <x:c r="R32" s="11" t="n">
        <x:v>0</x:v>
      </x:c>
      <x:c r="S32" s="33" t="n">
        <x:f>IF(COUNT('Turns'!D124)=1,SUM('Turns'!D124),"Unknown")</x:f>
        <x:v>52</x:v>
      </x:c>
      <x:c r="T32" s="11" t="n">
        <x:f>IF(COUNT('Turns'!E124)=1,SUM('Turns'!E124),"Unknown")</x:f>
        <x:v>0.00005445024</x:v>
      </x:c>
      <x:c r="U32" s="11" t="n">
        <x:f>IF(COUNT('Turns'!F124)=1,SUM('Turns'!F124),"Unknown")</x:f>
        <x:v>0.0000624</x:v>
      </x:c>
      <x:c r="V32" s="33" t="n">
        <x:v>0</x:v>
      </x:c>
      <x:c r="W32" s="11" t="n">
        <x:v>0</x:v>
      </x:c>
      <x:c r="X32" s="11" t="n">
        <x:v>0</x:v>
      </x:c>
      <x:c r="Y32" s="11" t="n">
        <x:f>IF(COUNT('Turns'!E128)=1,SUM('Turns'!E128),"Unknown")</x:f>
        <x:v>0.00015479924000000002</x:v>
      </x:c>
      <x:c r="Z32" s="11" t="n">
        <x:f>IF(COUNT('Turns'!F128)=1,SUM('Turns'!F128),"Unknown")</x:f>
        <x:v>0.0001774</x:v>
      </x:c>
      <x:c r="AA32" s="33" t="n">
        <x:f>IF(ISNUMBER(Y32),ROUND(Y32*'Reference data'!$B$2,0),"Unknown")</x:f>
        <x:v>15</x:v>
      </x:c>
      <x:c r="AB32" s="33" t="n">
        <x:f>IF(ISNUMBER(Z32),ROUND(Z32*'Reference data'!$B$2,0),"Unknown")</x:f>
        <x:v>18</x:v>
      </x:c>
      <x:c r="AC32" s="2" t="str">
        <x:v>R9</x:v>
      </x:c>
      <x:c r="AD32" s="43" t="n">
        <x:v>1845.814016</x:v>
      </x:c>
      <x:c r="AE32" s="2" t="str">
        <x:v>Own call</x:v>
      </x:c>
    </x:row>
    <x:row r="33" ht="54" customHeight="1">
      <x:c r="A33" s="41" t="str">
        <x:v>    tools</x:v>
      </x:c>
      <x:c r="B33" s="36" t="n">
        <x:v>1</x:v>
      </x:c>
      <x:c r="C33" s="36" t="str">
        <x:v>workflow</x:v>
      </x:c>
      <x:c r="D33" s="36" t="str"/>
      <x:c r="E33" s="36" t="str">
        <x:v>ok</x:v>
      </x:c>
      <x:c r="F33" s="38"/>
      <x:c r="G33" s="41" t="str">
        <x:v>Execute tool calls requested by the preceding model response and return their observations.</x:v>
      </x:c>
      <x:c r="H33" s="36" t="str">
        <x:v>01a0c410-484a-7a21-bfb7-701e64cef8e5</x:v>
      </x:c>
      <x:c r="I33" s="36" t="str">
        <x:v>01a0c410-410d-7272-9264-47c008479862</x:v>
      </x:c>
      <x:c r="J33" s="33" t="n">
        <x:f>IF(COUNT('Turns'!D133,'Turns'!D150)=2,SUM('Turns'!D133,'Turns'!D150),"Unknown")</x:f>
        <x:v>475</x:v>
      </x:c>
      <x:c r="K33" s="11" t="n">
        <x:f>IF(COUNT('Turns'!E133,'Turns'!E150)=2,SUM('Turns'!E133,'Turns'!E150),"Unknown")</x:f>
        <x:v>0.00008289700000000002</x:v>
      </x:c>
      <x:c r="L33" s="11" t="n">
        <x:f>IF(COUNT('Turns'!F133,'Turns'!F150)=2,SUM('Turns'!F133,'Turns'!F150),"Unknown")</x:f>
        <x:v>0.000095</x:v>
      </x:c>
      <x:c r="M33" s="33" t="n">
        <x:f>IF(COUNT('Turns'!D149)=1,SUM('Turns'!D149),"Unknown")</x:f>
        <x:v>0</x:v>
      </x:c>
      <x:c r="N33" s="11" t="n">
        <x:f>IF(COUNT('Turns'!E149)=1,SUM('Turns'!E149),"Unknown")</x:f>
        <x:v>0</x:v>
      </x:c>
      <x:c r="O33" s="11" t="n">
        <x:f>IF(COUNT('Turns'!F149)=1,SUM('Turns'!F149),"Unknown")</x:f>
        <x:v>0</x:v>
      </x:c>
      <x:c r="P33" s="33" t="n">
        <x:v>0</x:v>
      </x:c>
      <x:c r="Q33" s="11" t="n">
        <x:v>0</x:v>
      </x:c>
      <x:c r="R33" s="11" t="n">
        <x:v>0</x:v>
      </x:c>
      <x:c r="S33" s="33" t="n">
        <x:f>IF(COUNT('Turns'!D140,'Turns'!D155)=2,SUM('Turns'!D140,'Turns'!D155),"Unknown")</x:f>
        <x:v>83</x:v>
      </x:c>
      <x:c r="T33" s="11" t="n">
        <x:f>IF(COUNT('Turns'!E140,'Turns'!E155)=2,SUM('Turns'!E140,'Turns'!E155),"Unknown")</x:f>
        <x:v>0.00008691096</x:v>
      </x:c>
      <x:c r="U33" s="11" t="n">
        <x:f>IF(COUNT('Turns'!F140,'Turns'!F155)=2,SUM('Turns'!F140,'Turns'!F155),"Unknown")</x:f>
        <x:v>0.00009960000000000001</x:v>
      </x:c>
      <x:c r="V33" s="33" t="n">
        <x:f>IF(COUNT('Turns'!D139)=1,SUM('Turns'!D139),"Unknown")</x:f>
        <x:v>9</x:v>
      </x:c>
      <x:c r="W33" s="11" t="n">
        <x:f>IF(COUNT('Turns'!E139)=1,SUM('Turns'!E139),"Unknown")</x:f>
        <x:v>0.000009424079999999999</x:v>
      </x:c>
      <x:c r="X33" s="11" t="n">
        <x:f>IF(COUNT('Turns'!F139)=1,SUM('Turns'!F139),"Unknown")</x:f>
        <x:v>0.000010799999999999998</x:v>
      </x:c>
      <x:c r="Y33" s="11" t="n">
        <x:f>IF(COUNT('Turns'!E144,'Turns'!E159)=2,SUM('Turns'!E144,'Turns'!E159),"Unknown")</x:f>
        <x:v>0.00017923204</x:v>
      </x:c>
      <x:c r="Z33" s="11" t="n">
        <x:f>IF(COUNT('Turns'!F144,'Turns'!F159)=2,SUM('Turns'!F144,'Turns'!F159),"Unknown")</x:f>
        <x:v>0.0002054</x:v>
      </x:c>
      <x:c r="AA33" s="33" t="n">
        <x:f>IF(ISNUMBER(Y33),ROUND(Y33*'Reference data'!$B$2,0),"Unknown")</x:f>
        <x:v>18</x:v>
      </x:c>
      <x:c r="AB33" s="33" t="n">
        <x:f>IF(ISNUMBER(Z33),ROUND(Z33*'Reference data'!$B$2,0),"Unknown")</x:f>
        <x:v>21</x:v>
      </x:c>
      <x:c r="AC33" s="2"/>
      <x:c r="AD33" s="43" t="n">
        <x:v>5002.643968</x:v>
      </x:c>
      <x:c r="AE33" s="2" t="str">
        <x:v>Subtree total</x:v>
      </x:c>
    </x:row>
    <x:row r="34" ht="54" customHeight="1">
      <x:c r="A34" s="41" t="str">
        <x:v>        task</x:v>
      </x:c>
      <x:c r="B34" s="36" t="n">
        <x:v>2</x:v>
      </x:c>
      <x:c r="C34" s="36" t="str">
        <x:v>tool</x:v>
      </x:c>
      <x:c r="D34" s="36" t="str"/>
      <x:c r="E34" s="36" t="str">
        <x:v>ok</x:v>
      </x:c>
      <x:c r="F34" s="38"/>
      <x:c r="G34" s="41" t="str">
        <x:v>Delegate a self-contained question to the matching expert. Available experts:
- movie_expert: Specialist for questions about movies, with its own local reference lookup.
- sports_expert: Specialist for questions about sports, with its own local reference lookup.
- history_expert: Specialist for questions about history, with its own local reference lookup.</x:v>
      </x:c>
      <x:c r="H34" s="36" t="str">
        <x:v>01a0c410-484b-79e2-87c5-4eba7e2bdebc</x:v>
      </x:c>
      <x:c r="I34" s="36" t="str">
        <x:v>01a0c410-484a-7a21-bfb7-701e64cef8e5</x:v>
      </x:c>
      <x:c r="J34" s="33" t="n">
        <x:f>IF(COUNT('Turns'!D133,'Turns'!D150)=2,SUM('Turns'!D133,'Turns'!D150),"Unknown")</x:f>
        <x:v>475</x:v>
      </x:c>
      <x:c r="K34" s="11" t="n">
        <x:f>IF(COUNT('Turns'!E133,'Turns'!E150)=2,SUM('Turns'!E133,'Turns'!E150),"Unknown")</x:f>
        <x:v>0.00008289700000000002</x:v>
      </x:c>
      <x:c r="L34" s="11" t="n">
        <x:f>IF(COUNT('Turns'!F133,'Turns'!F150)=2,SUM('Turns'!F133,'Turns'!F150),"Unknown")</x:f>
        <x:v>0.000095</x:v>
      </x:c>
      <x:c r="M34" s="33" t="n">
        <x:f>IF(COUNT('Turns'!D149)=1,SUM('Turns'!D149),"Unknown")</x:f>
        <x:v>0</x:v>
      </x:c>
      <x:c r="N34" s="11" t="n">
        <x:f>IF(COUNT('Turns'!E149)=1,SUM('Turns'!E149),"Unknown")</x:f>
        <x:v>0</x:v>
      </x:c>
      <x:c r="O34" s="11" t="n">
        <x:f>IF(COUNT('Turns'!F149)=1,SUM('Turns'!F149),"Unknown")</x:f>
        <x:v>0</x:v>
      </x:c>
      <x:c r="P34" s="33" t="n">
        <x:v>0</x:v>
      </x:c>
      <x:c r="Q34" s="11" t="n">
        <x:v>0</x:v>
      </x:c>
      <x:c r="R34" s="11" t="n">
        <x:v>0</x:v>
      </x:c>
      <x:c r="S34" s="33" t="n">
        <x:f>IF(COUNT('Turns'!D140,'Turns'!D155)=2,SUM('Turns'!D140,'Turns'!D155),"Unknown")</x:f>
        <x:v>83</x:v>
      </x:c>
      <x:c r="T34" s="11" t="n">
        <x:f>IF(COUNT('Turns'!E140,'Turns'!E155)=2,SUM('Turns'!E140,'Turns'!E155),"Unknown")</x:f>
        <x:v>0.00008691096</x:v>
      </x:c>
      <x:c r="U34" s="11" t="n">
        <x:f>IF(COUNT('Turns'!F140,'Turns'!F155)=2,SUM('Turns'!F140,'Turns'!F155),"Unknown")</x:f>
        <x:v>0.00009960000000000001</x:v>
      </x:c>
      <x:c r="V34" s="33" t="n">
        <x:f>IF(COUNT('Turns'!D139)=1,SUM('Turns'!D139),"Unknown")</x:f>
        <x:v>9</x:v>
      </x:c>
      <x:c r="W34" s="11" t="n">
        <x:f>IF(COUNT('Turns'!E139)=1,SUM('Turns'!E139),"Unknown")</x:f>
        <x:v>0.000009424079999999999</x:v>
      </x:c>
      <x:c r="X34" s="11" t="n">
        <x:f>IF(COUNT('Turns'!F139)=1,SUM('Turns'!F139),"Unknown")</x:f>
        <x:v>0.000010799999999999998</x:v>
      </x:c>
      <x:c r="Y34" s="11" t="n">
        <x:f>IF(COUNT('Turns'!E144,'Turns'!E159)=2,SUM('Turns'!E144,'Turns'!E159),"Unknown")</x:f>
        <x:v>0.00017923204</x:v>
      </x:c>
      <x:c r="Z34" s="11" t="n">
        <x:f>IF(COUNT('Turns'!F144,'Turns'!F159)=2,SUM('Turns'!F144,'Turns'!F159),"Unknown")</x:f>
        <x:v>0.0002054</x:v>
      </x:c>
      <x:c r="AA34" s="33" t="n">
        <x:f>IF(ISNUMBER(Y34),ROUND(Y34*'Reference data'!$B$2,0),"Unknown")</x:f>
        <x:v>18</x:v>
      </x:c>
      <x:c r="AB34" s="33" t="n">
        <x:f>IF(ISNUMBER(Z34),ROUND(Z34*'Reference data'!$B$2,0),"Unknown")</x:f>
        <x:v>21</x:v>
      </x:c>
      <x:c r="AC34" s="2"/>
      <x:c r="AD34" s="43" t="n">
        <x:v>4999.971072</x:v>
      </x:c>
      <x:c r="AE34" s="2" t="str">
        <x:v>Subtree total</x:v>
      </x:c>
    </x:row>
    <x:row r="35" ht="54" customHeight="1">
      <x:c r="A35" s="41" t="str">
        <x:v>            history_expert</x:v>
      </x:c>
      <x:c r="B35" s="36" t="n">
        <x:v>3</x:v>
      </x:c>
      <x:c r="C35" s="36" t="str">
        <x:v>workflow</x:v>
      </x:c>
      <x:c r="D35" s="36" t="str"/>
      <x:c r="E35" s="36" t="str">
        <x:v>ok</x:v>
      </x:c>
      <x:c r="F35" s="38"/>
      <x:c r="G35" s="41" t="str">
        <x:v>Execute the history_expert workflow operation and pass its result to the next graph step.</x:v>
      </x:c>
      <x:c r="H35" s="36" t="str">
        <x:v>01a0c410-484c-7a80-b238-9adb8a8c1c30</x:v>
      </x:c>
      <x:c r="I35" s="36" t="str">
        <x:v>01a0c410-484b-79e2-87c5-4eba7e2bdebc</x:v>
      </x:c>
      <x:c r="J35" s="33" t="n">
        <x:f>IF(COUNT('Turns'!D133,'Turns'!D150)=2,SUM('Turns'!D133,'Turns'!D150),"Unknown")</x:f>
        <x:v>475</x:v>
      </x:c>
      <x:c r="K35" s="11" t="n">
        <x:f>IF(COUNT('Turns'!E133,'Turns'!E150)=2,SUM('Turns'!E133,'Turns'!E150),"Unknown")</x:f>
        <x:v>0.00008289700000000002</x:v>
      </x:c>
      <x:c r="L35" s="11" t="n">
        <x:f>IF(COUNT('Turns'!F133,'Turns'!F150)=2,SUM('Turns'!F133,'Turns'!F150),"Unknown")</x:f>
        <x:v>0.000095</x:v>
      </x:c>
      <x:c r="M35" s="33" t="n">
        <x:f>IF(COUNT('Turns'!D149)=1,SUM('Turns'!D149),"Unknown")</x:f>
        <x:v>0</x:v>
      </x:c>
      <x:c r="N35" s="11" t="n">
        <x:f>IF(COUNT('Turns'!E149)=1,SUM('Turns'!E149),"Unknown")</x:f>
        <x:v>0</x:v>
      </x:c>
      <x:c r="O35" s="11" t="n">
        <x:f>IF(COUNT('Turns'!F149)=1,SUM('Turns'!F149),"Unknown")</x:f>
        <x:v>0</x:v>
      </x:c>
      <x:c r="P35" s="33" t="n">
        <x:v>0</x:v>
      </x:c>
      <x:c r="Q35" s="11" t="n">
        <x:v>0</x:v>
      </x:c>
      <x:c r="R35" s="11" t="n">
        <x:v>0</x:v>
      </x:c>
      <x:c r="S35" s="33" t="n">
        <x:f>IF(COUNT('Turns'!D140,'Turns'!D155)=2,SUM('Turns'!D140,'Turns'!D155),"Unknown")</x:f>
        <x:v>83</x:v>
      </x:c>
      <x:c r="T35" s="11" t="n">
        <x:f>IF(COUNT('Turns'!E140,'Turns'!E155)=2,SUM('Turns'!E140,'Turns'!E155),"Unknown")</x:f>
        <x:v>0.00008691096</x:v>
      </x:c>
      <x:c r="U35" s="11" t="n">
        <x:f>IF(COUNT('Turns'!F140,'Turns'!F155)=2,SUM('Turns'!F140,'Turns'!F155),"Unknown")</x:f>
        <x:v>0.00009960000000000001</x:v>
      </x:c>
      <x:c r="V35" s="33" t="n">
        <x:f>IF(COUNT('Turns'!D139)=1,SUM('Turns'!D139),"Unknown")</x:f>
        <x:v>9</x:v>
      </x:c>
      <x:c r="W35" s="11" t="n">
        <x:f>IF(COUNT('Turns'!E139)=1,SUM('Turns'!E139),"Unknown")</x:f>
        <x:v>0.000009424079999999999</x:v>
      </x:c>
      <x:c r="X35" s="11" t="n">
        <x:f>IF(COUNT('Turns'!F139)=1,SUM('Turns'!F139),"Unknown")</x:f>
        <x:v>0.000010799999999999998</x:v>
      </x:c>
      <x:c r="Y35" s="11" t="n">
        <x:f>IF(COUNT('Turns'!E144,'Turns'!E159)=2,SUM('Turns'!E144,'Turns'!E159),"Unknown")</x:f>
        <x:v>0.00017923204</x:v>
      </x:c>
      <x:c r="Z35" s="11" t="n">
        <x:f>IF(COUNT('Turns'!F144,'Turns'!F159)=2,SUM('Turns'!F144,'Turns'!F159),"Unknown")</x:f>
        <x:v>0.0002054</x:v>
      </x:c>
      <x:c r="AA35" s="33" t="n">
        <x:f>IF(ISNUMBER(Y35),ROUND(Y35*'Reference data'!$B$2,0),"Unknown")</x:f>
        <x:v>18</x:v>
      </x:c>
      <x:c r="AB35" s="33" t="n">
        <x:f>IF(ISNUMBER(Z35),ROUND(Z35*'Reference data'!$B$2,0),"Unknown")</x:f>
        <x:v>21</x:v>
      </x:c>
      <x:c r="AC35" s="2"/>
      <x:c r="AD35" s="43" t="n">
        <x:v>4997.199872</x:v>
      </x:c>
      <x:c r="AE35" s="2" t="str">
        <x:v>Subtree total</x:v>
      </x:c>
    </x:row>
    <x:row r="36" ht="54" customHeight="1">
      <x:c r="A36" s="41" t="str">
        <x:v>                model</x:v>
      </x:c>
      <x:c r="B36" s="36" t="n">
        <x:v>4</x:v>
      </x:c>
      <x:c r="C36" s="36" t="str">
        <x:v>workflow</x:v>
      </x:c>
      <x:c r="D36" s="36" t="str"/>
      <x:c r="E36" s="36" t="str">
        <x:v>ok</x:v>
      </x:c>
      <x:c r="F36" s="38"/>
      <x:c r="G36" s="41" t="str">
        <x:v>Prepare the current conversation, run model middleware, and invoke the chat model.</x:v>
      </x:c>
      <x:c r="H36" s="36" t="str">
        <x:v>01a0c410-484e-7950-af43-398b4cae2f90</x:v>
      </x:c>
      <x:c r="I36" s="36" t="str">
        <x:v>01a0c410-484c-7a80-b238-9adb8a8c1c30</x:v>
      </x:c>
      <x:c r="J36" s="33" t="n">
        <x:f>IF(COUNT('Turns'!D133)=1,SUM('Turns'!D133),"Unknown")</x:f>
        <x:v>184</x:v>
      </x:c>
      <x:c r="K36" s="11" t="n">
        <x:f>IF(COUNT('Turns'!E133)=1,SUM('Turns'!E133),"Unknown")</x:f>
        <x:v>0.000032111680000000005</x:v>
      </x:c>
      <x:c r="L36" s="11" t="n">
        <x:f>IF(COUNT('Turns'!F133)=1,SUM('Turns'!F133),"Unknown")</x:f>
        <x:v>0.00003680000000000001</x:v>
      </x:c>
      <x:c r="M36" s="33" t="n">
        <x:v>0</x:v>
      </x:c>
      <x:c r="N36" s="11" t="n">
        <x:v>0</x:v>
      </x:c>
      <x:c r="O36" s="11" t="n">
        <x:v>0</x:v>
      </x:c>
      <x:c r="P36" s="33" t="n">
        <x:v>0</x:v>
      </x:c>
      <x:c r="Q36" s="11" t="n">
        <x:v>0</x:v>
      </x:c>
      <x:c r="R36" s="11" t="n">
        <x:v>0</x:v>
      </x:c>
      <x:c r="S36" s="33" t="n">
        <x:f>IF(COUNT('Turns'!D140)=1,SUM('Turns'!D140),"Unknown")</x:f>
        <x:v>33</x:v>
      </x:c>
      <x:c r="T36" s="11" t="n">
        <x:f>IF(COUNT('Turns'!E140)=1,SUM('Turns'!E140),"Unknown")</x:f>
        <x:v>0.00003455496</x:v>
      </x:c>
      <x:c r="U36" s="11" t="n">
        <x:f>IF(COUNT('Turns'!F140)=1,SUM('Turns'!F140),"Unknown")</x:f>
        <x:v>0.0000396</x:v>
      </x:c>
      <x:c r="V36" s="33" t="n">
        <x:f>IF(COUNT('Turns'!D139)=1,SUM('Turns'!D139),"Unknown")</x:f>
        <x:v>9</x:v>
      </x:c>
      <x:c r="W36" s="11" t="n">
        <x:f>IF(COUNT('Turns'!E139)=1,SUM('Turns'!E139),"Unknown")</x:f>
        <x:v>0.000009424079999999999</x:v>
      </x:c>
      <x:c r="X36" s="11" t="n">
        <x:f>IF(COUNT('Turns'!F139)=1,SUM('Turns'!F139),"Unknown")</x:f>
        <x:v>0.000010799999999999998</x:v>
      </x:c>
      <x:c r="Y36" s="11" t="n">
        <x:f>IF(COUNT('Turns'!E144)=1,SUM('Turns'!E144),"Unknown")</x:f>
        <x:v>0.00007609072000000001</x:v>
      </x:c>
      <x:c r="Z36" s="11" t="n">
        <x:f>IF(COUNT('Turns'!F144)=1,SUM('Turns'!F144),"Unknown")</x:f>
        <x:v>0.0000872</x:v>
      </x:c>
      <x:c r="AA36" s="33" t="n">
        <x:f>IF(ISNUMBER(Y36),ROUND(Y36*'Reference data'!$B$2,0),"Unknown")</x:f>
        <x:v>8</x:v>
      </x:c>
      <x:c r="AB36" s="33" t="n">
        <x:f>IF(ISNUMBER(Z36),ROUND(Z36*'Reference data'!$B$2,0),"Unknown")</x:f>
        <x:v>9</x:v>
      </x:c>
      <x:c r="AC36" s="2"/>
      <x:c r="AD36" s="43" t="n">
        <x:v>1884.09984</x:v>
      </x:c>
      <x:c r="AE36" s="2" t="str">
        <x:v>Subtree total</x:v>
      </x:c>
    </x:row>
    <x:row r="37" ht="54" customHeight="1">
      <x:c r="A37" s="42" t="str">
        <x:v>                    ChatOpenAI</x:v>
      </x:c>
      <x:c r="B37" s="20" t="n">
        <x:v>5</x:v>
      </x:c>
      <x:c r="C37" s="20" t="str">
        <x:v>model</x:v>
      </x:c>
      <x:c r="D37" s="20" t="str">
        <x:v>gpt-5.6-luna</x:v>
      </x:c>
      <x:c r="E37" s="20" t="str">
        <x:v>ok</x:v>
      </x:c>
      <x:c r="F37" s="39" t="n">
        <x:v>184</x:v>
      </x:c>
      <x:c r="G37" s="42" t="str">
        <x:v>Generate the next assistant message or tool request from the current conversation.</x:v>
      </x:c>
      <x:c r="H37" s="20" t="str">
        <x:v>01a0c410-4851-7f72-a853-c54d506209e0</x:v>
      </x:c>
      <x:c r="I37" s="20" t="str">
        <x:v>01a0c410-484e-7950-af43-398b4cae2f90</x:v>
      </x:c>
      <x:c r="J37" s="33" t="n">
        <x:f>IF(COUNT('Turns'!D133)=1,SUM('Turns'!D133),"Unknown")</x:f>
        <x:v>184</x:v>
      </x:c>
      <x:c r="K37" s="11" t="n">
        <x:f>IF(COUNT('Turns'!E133)=1,SUM('Turns'!E133),"Unknown")</x:f>
        <x:v>0.000032111680000000005</x:v>
      </x:c>
      <x:c r="L37" s="11" t="n">
        <x:f>IF(COUNT('Turns'!F133)=1,SUM('Turns'!F133),"Unknown")</x:f>
        <x:v>0.00003680000000000001</x:v>
      </x:c>
      <x:c r="M37" s="33" t="n">
        <x:v>0</x:v>
      </x:c>
      <x:c r="N37" s="11" t="n">
        <x:v>0</x:v>
      </x:c>
      <x:c r="O37" s="11" t="n">
        <x:v>0</x:v>
      </x:c>
      <x:c r="P37" s="33" t="n">
        <x:v>0</x:v>
      </x:c>
      <x:c r="Q37" s="11" t="n">
        <x:v>0</x:v>
      </x:c>
      <x:c r="R37" s="11" t="n">
        <x:v>0</x:v>
      </x:c>
      <x:c r="S37" s="33" t="n">
        <x:f>IF(COUNT('Turns'!D140)=1,SUM('Turns'!D140),"Unknown")</x:f>
        <x:v>33</x:v>
      </x:c>
      <x:c r="T37" s="11" t="n">
        <x:f>IF(COUNT('Turns'!E140)=1,SUM('Turns'!E140),"Unknown")</x:f>
        <x:v>0.00003455496</x:v>
      </x:c>
      <x:c r="U37" s="11" t="n">
        <x:f>IF(COUNT('Turns'!F140)=1,SUM('Turns'!F140),"Unknown")</x:f>
        <x:v>0.0000396</x:v>
      </x:c>
      <x:c r="V37" s="33" t="n">
        <x:f>IF(COUNT('Turns'!D139)=1,SUM('Turns'!D139),"Unknown")</x:f>
        <x:v>9</x:v>
      </x:c>
      <x:c r="W37" s="11" t="n">
        <x:f>IF(COUNT('Turns'!E139)=1,SUM('Turns'!E139),"Unknown")</x:f>
        <x:v>0.000009424079999999999</x:v>
      </x:c>
      <x:c r="X37" s="11" t="n">
        <x:f>IF(COUNT('Turns'!F139)=1,SUM('Turns'!F139),"Unknown")</x:f>
        <x:v>0.000010799999999999998</x:v>
      </x:c>
      <x:c r="Y37" s="11" t="n">
        <x:f>IF(COUNT('Turns'!E144)=1,SUM('Turns'!E144),"Unknown")</x:f>
        <x:v>0.00007609072000000001</x:v>
      </x:c>
      <x:c r="Z37" s="11" t="n">
        <x:f>IF(COUNT('Turns'!F144)=1,SUM('Turns'!F144),"Unknown")</x:f>
        <x:v>0.0000872</x:v>
      </x:c>
      <x:c r="AA37" s="33" t="n">
        <x:f>IF(ISNUMBER(Y37),ROUND(Y37*'Reference data'!$B$2,0),"Unknown")</x:f>
        <x:v>8</x:v>
      </x:c>
      <x:c r="AB37" s="33" t="n">
        <x:f>IF(ISNUMBER(Z37),ROUND(Z37*'Reference data'!$B$2,0),"Unknown")</x:f>
        <x:v>9</x:v>
      </x:c>
      <x:c r="AC37" s="2" t="str">
        <x:v>R10</x:v>
      </x:c>
      <x:c r="AD37" s="43" t="n">
        <x:v>1879.055104</x:v>
      </x:c>
      <x:c r="AE37" s="2" t="str">
        <x:v>Own call</x:v>
      </x:c>
    </x:row>
    <x:row r="38" ht="54" customHeight="1">
      <x:c r="A38" s="41" t="str">
        <x:v>                tools</x:v>
      </x:c>
      <x:c r="B38" s="36" t="n">
        <x:v>4</x:v>
      </x:c>
      <x:c r="C38" s="36" t="str">
        <x:v>workflow</x:v>
      </x:c>
      <x:c r="D38" s="36" t="str"/>
      <x:c r="E38" s="36" t="str">
        <x:v>ok</x:v>
      </x:c>
      <x:c r="F38" s="38"/>
      <x:c r="G38" s="41" t="str">
        <x:v>Execute tool calls requested by the preceding model response and return their observations.</x:v>
      </x:c>
      <x:c r="H38" s="36" t="str">
        <x:v>01a0c410-4fab-7d70-b5ba-5c6a0f6ad984</x:v>
      </x:c>
      <x:c r="I38" s="36" t="str">
        <x:v>01a0c410-484c-7a80-b238-9adb8a8c1c30</x:v>
      </x:c>
      <x:c r="J38" s="33"/>
      <x:c r="K38" s="11"/>
      <x:c r="L38" s="11"/>
      <x:c r="M38" s="33"/>
      <x:c r="N38" s="11"/>
      <x:c r="O38" s="11"/>
      <x:c r="P38" s="33"/>
      <x:c r="Q38" s="11"/>
      <x:c r="R38" s="11"/>
      <x:c r="S38" s="33"/>
      <x:c r="T38" s="11"/>
      <x:c r="U38" s="11"/>
      <x:c r="V38" s="33"/>
      <x:c r="W38" s="11"/>
      <x:c r="X38" s="11"/>
      <x:c r="Y38" s="11"/>
      <x:c r="Z38" s="11"/>
      <x:c r="AA38" s="33"/>
      <x:c r="AB38" s="33"/>
      <x:c r="AC38" s="2"/>
      <x:c r="AD38" s="43" t="n">
        <x:v>1.67296</x:v>
      </x:c>
      <x:c r="AE38" s="2" t="str">
        <x:v>No model charge</x:v>
      </x:c>
    </x:row>
    <x:row r="39" ht="54" customHeight="1">
      <x:c r="A39" s="41" t="str">
        <x:v>                    search_history_reference</x:v>
      </x:c>
      <x:c r="B39" s="36" t="n">
        <x:v>5</x:v>
      </x:c>
      <x:c r="C39" s="36" t="str">
        <x:v>tool</x:v>
      </x:c>
      <x:c r="D39" s="36" t="str"/>
      <x:c r="E39" s="36" t="str">
        <x:v>ok</x:v>
      </x:c>
      <x:c r="F39" s="38"/>
      <x:c r="G39" s="41" t="str">
        <x:v>Look up local history evidence by phrase; return sources or an explicit miss.</x:v>
      </x:c>
      <x:c r="H39" s="36" t="str">
        <x:v>01a0c410-4fac-7860-8e49-9c764e50e999</x:v>
      </x:c>
      <x:c r="I39" s="36" t="str">
        <x:v>01a0c410-4fab-7d70-b5ba-5c6a0f6ad984</x:v>
      </x:c>
      <x:c r="J39" s="33"/>
      <x:c r="K39" s="11"/>
      <x:c r="L39" s="11"/>
      <x:c r="M39" s="33"/>
      <x:c r="N39" s="11"/>
      <x:c r="O39" s="11"/>
      <x:c r="P39" s="33"/>
      <x:c r="Q39" s="11"/>
      <x:c r="R39" s="11"/>
      <x:c r="S39" s="33"/>
      <x:c r="T39" s="11"/>
      <x:c r="U39" s="11"/>
      <x:c r="V39" s="33"/>
      <x:c r="W39" s="11"/>
      <x:c r="X39" s="11"/>
      <x:c r="Y39" s="11"/>
      <x:c r="Z39" s="11"/>
      <x:c r="AA39" s="33"/>
      <x:c r="AB39" s="33"/>
      <x:c r="AC39" s="2"/>
      <x:c r="AD39" s="43" t="n">
        <x:v>0.457984</x:v>
      </x:c>
      <x:c r="AE39" s="2" t="str">
        <x:v>No model charge</x:v>
      </x:c>
    </x:row>
    <x:row r="40" ht="54" customHeight="1">
      <x:c r="A40" s="41" t="str">
        <x:v>                model</x:v>
      </x:c>
      <x:c r="B40" s="36" t="n">
        <x:v>4</x:v>
      </x:c>
      <x:c r="C40" s="36" t="str">
        <x:v>workflow</x:v>
      </x:c>
      <x:c r="D40" s="36" t="str"/>
      <x:c r="E40" s="36" t="str">
        <x:v>ok</x:v>
      </x:c>
      <x:c r="F40" s="38"/>
      <x:c r="G40" s="41" t="str">
        <x:v>Prepare the current conversation, run model middleware, and invoke the chat model.</x:v>
      </x:c>
      <x:c r="H40" s="36" t="str">
        <x:v>01a0c410-4fae-7e32-9cb7-28c54af7f525</x:v>
      </x:c>
      <x:c r="I40" s="36" t="str">
        <x:v>01a0c410-484c-7a80-b238-9adb8a8c1c30</x:v>
      </x:c>
      <x:c r="J40" s="33" t="n">
        <x:f>IF(COUNT('Turns'!D150)=1,SUM('Turns'!D150),"Unknown")</x:f>
        <x:v>291</x:v>
      </x:c>
      <x:c r="K40" s="11" t="n">
        <x:f>IF(COUNT('Turns'!E150)=1,SUM('Turns'!E150),"Unknown")</x:f>
        <x:v>0.000050785320000000005</x:v>
      </x:c>
      <x:c r="L40" s="11" t="n">
        <x:f>IF(COUNT('Turns'!F150)=1,SUM('Turns'!F150),"Unknown")</x:f>
        <x:v>0.000058200000000000005</x:v>
      </x:c>
      <x:c r="M40" s="33" t="n">
        <x:f>IF(COUNT('Turns'!D149)=1,SUM('Turns'!D149),"Unknown")</x:f>
        <x:v>0</x:v>
      </x:c>
      <x:c r="N40" s="11" t="n">
        <x:f>IF(COUNT('Turns'!E149)=1,SUM('Turns'!E149),"Unknown")</x:f>
        <x:v>0</x:v>
      </x:c>
      <x:c r="O40" s="11" t="n">
        <x:f>IF(COUNT('Turns'!F149)=1,SUM('Turns'!F149),"Unknown")</x:f>
        <x:v>0</x:v>
      </x:c>
      <x:c r="P40" s="33" t="n">
        <x:v>0</x:v>
      </x:c>
      <x:c r="Q40" s="11" t="n">
        <x:v>0</x:v>
      </x:c>
      <x:c r="R40" s="11" t="n">
        <x:v>0</x:v>
      </x:c>
      <x:c r="S40" s="33" t="n">
        <x:f>IF(COUNT('Turns'!D155)=1,SUM('Turns'!D155),"Unknown")</x:f>
        <x:v>50</x:v>
      </x:c>
      <x:c r="T40" s="11" t="n">
        <x:f>IF(COUNT('Turns'!E155)=1,SUM('Turns'!E155),"Unknown")</x:f>
        <x:v>0.000052356000000000005</x:v>
      </x:c>
      <x:c r="U40" s="11" t="n">
        <x:f>IF(COUNT('Turns'!F155)=1,SUM('Turns'!F155),"Unknown")</x:f>
        <x:v>0.00006</x:v>
      </x:c>
      <x:c r="V40" s="33" t="n">
        <x:v>0</x:v>
      </x:c>
      <x:c r="W40" s="11" t="n">
        <x:v>0</x:v>
      </x:c>
      <x:c r="X40" s="11" t="n">
        <x:v>0</x:v>
      </x:c>
      <x:c r="Y40" s="11" t="n">
        <x:f>IF(COUNT('Turns'!E159)=1,SUM('Turns'!E159),"Unknown")</x:f>
        <x:v>0.00010314132</x:v>
      </x:c>
      <x:c r="Z40" s="11" t="n">
        <x:f>IF(COUNT('Turns'!F159)=1,SUM('Turns'!F159),"Unknown")</x:f>
        <x:v>0.0001182</x:v>
      </x:c>
      <x:c r="AA40" s="33" t="n">
        <x:f>IF(ISNUMBER(Y40),ROUND(Y40*'Reference data'!$B$2,0),"Unknown")</x:f>
        <x:v>10</x:v>
      </x:c>
      <x:c r="AB40" s="33" t="n">
        <x:f>IF(ISNUMBER(Z40),ROUND(Z40*'Reference data'!$B$2,0),"Unknown")</x:f>
        <x:v>12</x:v>
      </x:c>
      <x:c r="AC40" s="2"/>
      <x:c r="AD40" s="43" t="n">
        <x:v>3106.227968</x:v>
      </x:c>
      <x:c r="AE40" s="2" t="str">
        <x:v>Subtree total</x:v>
      </x:c>
    </x:row>
    <x:row r="41" ht="54" customHeight="1">
      <x:c r="A41" s="42" t="str">
        <x:v>                    ChatOpenAI</x:v>
      </x:c>
      <x:c r="B41" s="20" t="n">
        <x:v>5</x:v>
      </x:c>
      <x:c r="C41" s="20" t="str">
        <x:v>model</x:v>
      </x:c>
      <x:c r="D41" s="20" t="str">
        <x:v>gpt-5.6-luna</x:v>
      </x:c>
      <x:c r="E41" s="20" t="str">
        <x:v>ok</x:v>
      </x:c>
      <x:c r="F41" s="39" t="n">
        <x:v>291</x:v>
      </x:c>
      <x:c r="G41" s="42" t="str">
        <x:v>Generate the next assistant message or tool request from the current conversation.</x:v>
      </x:c>
      <x:c r="H41" s="20" t="str">
        <x:v>01a0c410-4fae-7e32-9cb7-28d82dae8c15</x:v>
      </x:c>
      <x:c r="I41" s="20" t="str">
        <x:v>01a0c410-4fae-7e32-9cb7-28c54af7f525</x:v>
      </x:c>
      <x:c r="J41" s="33" t="n">
        <x:f>IF(COUNT('Turns'!D150)=1,SUM('Turns'!D150),"Unknown")</x:f>
        <x:v>291</x:v>
      </x:c>
      <x:c r="K41" s="11" t="n">
        <x:f>IF(COUNT('Turns'!E150)=1,SUM('Turns'!E150),"Unknown")</x:f>
        <x:v>0.000050785320000000005</x:v>
      </x:c>
      <x:c r="L41" s="11" t="n">
        <x:f>IF(COUNT('Turns'!F150)=1,SUM('Turns'!F150),"Unknown")</x:f>
        <x:v>0.000058200000000000005</x:v>
      </x:c>
      <x:c r="M41" s="33" t="n">
        <x:f>IF(COUNT('Turns'!D149)=1,SUM('Turns'!D149),"Unknown")</x:f>
        <x:v>0</x:v>
      </x:c>
      <x:c r="N41" s="11" t="n">
        <x:f>IF(COUNT('Turns'!E149)=1,SUM('Turns'!E149),"Unknown")</x:f>
        <x:v>0</x:v>
      </x:c>
      <x:c r="O41" s="11" t="n">
        <x:f>IF(COUNT('Turns'!F149)=1,SUM('Turns'!F149),"Unknown")</x:f>
        <x:v>0</x:v>
      </x:c>
      <x:c r="P41" s="33" t="n">
        <x:v>0</x:v>
      </x:c>
      <x:c r="Q41" s="11" t="n">
        <x:v>0</x:v>
      </x:c>
      <x:c r="R41" s="11" t="n">
        <x:v>0</x:v>
      </x:c>
      <x:c r="S41" s="33" t="n">
        <x:f>IF(COUNT('Turns'!D155)=1,SUM('Turns'!D155),"Unknown")</x:f>
        <x:v>50</x:v>
      </x:c>
      <x:c r="T41" s="11" t="n">
        <x:f>IF(COUNT('Turns'!E155)=1,SUM('Turns'!E155),"Unknown")</x:f>
        <x:v>0.000052356000000000005</x:v>
      </x:c>
      <x:c r="U41" s="11" t="n">
        <x:f>IF(COUNT('Turns'!F155)=1,SUM('Turns'!F155),"Unknown")</x:f>
        <x:v>0.00006</x:v>
      </x:c>
      <x:c r="V41" s="33" t="n">
        <x:v>0</x:v>
      </x:c>
      <x:c r="W41" s="11" t="n">
        <x:v>0</x:v>
      </x:c>
      <x:c r="X41" s="11" t="n">
        <x:v>0</x:v>
      </x:c>
      <x:c r="Y41" s="11" t="n">
        <x:f>IF(COUNT('Turns'!E159)=1,SUM('Turns'!E159),"Unknown")</x:f>
        <x:v>0.00010314132</x:v>
      </x:c>
      <x:c r="Z41" s="11" t="n">
        <x:f>IF(COUNT('Turns'!F159)=1,SUM('Turns'!F159),"Unknown")</x:f>
        <x:v>0.0001182</x:v>
      </x:c>
      <x:c r="AA41" s="33" t="n">
        <x:f>IF(ISNUMBER(Y41),ROUND(Y41*'Reference data'!$B$2,0),"Unknown")</x:f>
        <x:v>10</x:v>
      </x:c>
      <x:c r="AB41" s="33" t="n">
        <x:f>IF(ISNUMBER(Z41),ROUND(Z41*'Reference data'!$B$2,0),"Unknown")</x:f>
        <x:v>12</x:v>
      </x:c>
      <x:c r="AC41" s="2" t="str">
        <x:v>R11</x:v>
      </x:c>
      <x:c r="AD41" s="43" t="n">
        <x:v>3104.004864</x:v>
      </x:c>
      <x:c r="AE41" s="2" t="str">
        <x:v>Own call</x:v>
      </x:c>
    </x:row>
    <x:row r="42" ht="54" customHeight="1">
      <x:c r="A42" s="41" t="str">
        <x:v>    model</x:v>
      </x:c>
      <x:c r="B42" s="36" t="n">
        <x:v>1</x:v>
      </x:c>
      <x:c r="C42" s="36" t="str">
        <x:v>workflow</x:v>
      </x:c>
      <x:c r="D42" s="36" t="str"/>
      <x:c r="E42" s="36" t="str">
        <x:v>ok</x:v>
      </x:c>
      <x:c r="F42" s="38"/>
      <x:c r="G42" s="41" t="str">
        <x:v>Prepare the current conversation, run model middleware, and invoke the chat model.</x:v>
      </x:c>
      <x:c r="H42" s="36" t="str">
        <x:v>01a0c410-5bd6-70a3-b7b1-56367f1bb564</x:v>
      </x:c>
      <x:c r="I42" s="36" t="str">
        <x:v>01a0c410-410d-7272-9264-47c008479862</x:v>
      </x:c>
      <x:c r="J42" s="33" t="n">
        <x:f>IF(COUNT('Turns'!D162)=1,SUM('Turns'!D162),"Unknown")</x:f>
        <x:v>683</x:v>
      </x:c>
      <x:c r="K42" s="11" t="n">
        <x:f>IF(COUNT('Turns'!E162)=1,SUM('Turns'!E162),"Unknown")</x:f>
        <x:v>0.00011919715999999999</x:v>
      </x:c>
      <x:c r="L42" s="11" t="n">
        <x:f>IF(COUNT('Turns'!F162)=1,SUM('Turns'!F162),"Unknown")</x:f>
        <x:v>0.00013659999999999999</x:v>
      </x:c>
      <x:c r="M42" s="33" t="n">
        <x:f>IF(COUNT('Turns'!D161)=1,SUM('Turns'!D161),"Unknown")</x:f>
        <x:v>0</x:v>
      </x:c>
      <x:c r="N42" s="11" t="n">
        <x:f>IF(COUNT('Turns'!E161)=1,SUM('Turns'!E161),"Unknown")</x:f>
        <x:v>0</x:v>
      </x:c>
      <x:c r="O42" s="11" t="n">
        <x:f>IF(COUNT('Turns'!F161)=1,SUM('Turns'!F161),"Unknown")</x:f>
        <x:v>0</x:v>
      </x:c>
      <x:c r="P42" s="33" t="n">
        <x:v>0</x:v>
      </x:c>
      <x:c r="Q42" s="11" t="n">
        <x:v>0</x:v>
      </x:c>
      <x:c r="R42" s="11" t="n">
        <x:v>0</x:v>
      </x:c>
      <x:c r="S42" s="33" t="n">
        <x:f>IF(COUNT('Turns'!D167)=1,SUM('Turns'!D167),"Unknown")</x:f>
        <x:v>20</x:v>
      </x:c>
      <x:c r="T42" s="11" t="n">
        <x:f>IF(COUNT('Turns'!E167)=1,SUM('Turns'!E167),"Unknown")</x:f>
        <x:v>0.0000209424</x:v>
      </x:c>
      <x:c r="U42" s="11" t="n">
        <x:f>IF(COUNT('Turns'!F167)=1,SUM('Turns'!F167),"Unknown")</x:f>
        <x:v>0.000024</x:v>
      </x:c>
      <x:c r="V42" s="33" t="n">
        <x:v>0</x:v>
      </x:c>
      <x:c r="W42" s="11" t="n">
        <x:v>0</x:v>
      </x:c>
      <x:c r="X42" s="11" t="n">
        <x:v>0</x:v>
      </x:c>
      <x:c r="Y42" s="11" t="n">
        <x:f>IF(COUNT('Turns'!E171)=1,SUM('Turns'!E171),"Unknown")</x:f>
        <x:v>0.00014013956</x:v>
      </x:c>
      <x:c r="Z42" s="11" t="n">
        <x:f>IF(COUNT('Turns'!F171)=1,SUM('Turns'!F171),"Unknown")</x:f>
        <x:v>0.0001606</x:v>
      </x:c>
      <x:c r="AA42" s="33" t="n">
        <x:f>IF(ISNUMBER(Y42),ROUND(Y42*'Reference data'!$B$2,0),"Unknown")</x:f>
        <x:v>14</x:v>
      </x:c>
      <x:c r="AB42" s="33" t="n">
        <x:f>IF(ISNUMBER(Z42),ROUND(Z42*'Reference data'!$B$2,0),"Unknown")</x:f>
        <x:v>16</x:v>
      </x:c>
      <x:c r="AC42" s="2"/>
      <x:c r="AD42" s="43" t="n">
        <x:v>1465.350144</x:v>
      </x:c>
      <x:c r="AE42" s="2" t="str">
        <x:v>Subtree total</x:v>
      </x:c>
    </x:row>
    <x:row r="43" ht="54" customHeight="1">
      <x:c r="A43" s="42" t="str">
        <x:v>        ChatOpenAI</x:v>
      </x:c>
      <x:c r="B43" s="20" t="n">
        <x:v>2</x:v>
      </x:c>
      <x:c r="C43" s="20" t="str">
        <x:v>model</x:v>
      </x:c>
      <x:c r="D43" s="20" t="str">
        <x:v>gpt-5.6-luna</x:v>
      </x:c>
      <x:c r="E43" s="20" t="str">
        <x:v>ok</x:v>
      </x:c>
      <x:c r="F43" s="39" t="n">
        <x:v>683</x:v>
      </x:c>
      <x:c r="G43" s="42" t="str">
        <x:v>Generate the next assistant message or tool request from the current conversation.</x:v>
      </x:c>
      <x:c r="H43" s="20" t="str">
        <x:v>01a0c410-5bd8-7320-917f-a4faca6f2745</x:v>
      </x:c>
      <x:c r="I43" s="20" t="str">
        <x:v>01a0c410-5bd6-70a3-b7b1-56367f1bb564</x:v>
      </x:c>
      <x:c r="J43" s="33" t="n">
        <x:f>IF(COUNT('Turns'!D162)=1,SUM('Turns'!D162),"Unknown")</x:f>
        <x:v>683</x:v>
      </x:c>
      <x:c r="K43" s="11" t="n">
        <x:f>IF(COUNT('Turns'!E162)=1,SUM('Turns'!E162),"Unknown")</x:f>
        <x:v>0.00011919715999999999</x:v>
      </x:c>
      <x:c r="L43" s="11" t="n">
        <x:f>IF(COUNT('Turns'!F162)=1,SUM('Turns'!F162),"Unknown")</x:f>
        <x:v>0.00013659999999999999</x:v>
      </x:c>
      <x:c r="M43" s="33" t="n">
        <x:f>IF(COUNT('Turns'!D161)=1,SUM('Turns'!D161),"Unknown")</x:f>
        <x:v>0</x:v>
      </x:c>
      <x:c r="N43" s="11" t="n">
        <x:f>IF(COUNT('Turns'!E161)=1,SUM('Turns'!E161),"Unknown")</x:f>
        <x:v>0</x:v>
      </x:c>
      <x:c r="O43" s="11" t="n">
        <x:f>IF(COUNT('Turns'!F161)=1,SUM('Turns'!F161),"Unknown")</x:f>
        <x:v>0</x:v>
      </x:c>
      <x:c r="P43" s="33" t="n">
        <x:v>0</x:v>
      </x:c>
      <x:c r="Q43" s="11" t="n">
        <x:v>0</x:v>
      </x:c>
      <x:c r="R43" s="11" t="n">
        <x:v>0</x:v>
      </x:c>
      <x:c r="S43" s="33" t="n">
        <x:f>IF(COUNT('Turns'!D167)=1,SUM('Turns'!D167),"Unknown")</x:f>
        <x:v>20</x:v>
      </x:c>
      <x:c r="T43" s="11" t="n">
        <x:f>IF(COUNT('Turns'!E167)=1,SUM('Turns'!E167),"Unknown")</x:f>
        <x:v>0.0000209424</x:v>
      </x:c>
      <x:c r="U43" s="11" t="n">
        <x:f>IF(COUNT('Turns'!F167)=1,SUM('Turns'!F167),"Unknown")</x:f>
        <x:v>0.000024</x:v>
      </x:c>
      <x:c r="V43" s="33" t="n">
        <x:v>0</x:v>
      </x:c>
      <x:c r="W43" s="11" t="n">
        <x:v>0</x:v>
      </x:c>
      <x:c r="X43" s="11" t="n">
        <x:v>0</x:v>
      </x:c>
      <x:c r="Y43" s="11" t="n">
        <x:f>IF(COUNT('Turns'!E171)=1,SUM('Turns'!E171),"Unknown")</x:f>
        <x:v>0.00014013956</x:v>
      </x:c>
      <x:c r="Z43" s="11" t="n">
        <x:f>IF(COUNT('Turns'!F171)=1,SUM('Turns'!F171),"Unknown")</x:f>
        <x:v>0.0001606</x:v>
      </x:c>
      <x:c r="AA43" s="33" t="n">
        <x:f>IF(ISNUMBER(Y43),ROUND(Y43*'Reference data'!$B$2,0),"Unknown")</x:f>
        <x:v>14</x:v>
      </x:c>
      <x:c r="AB43" s="33" t="n">
        <x:f>IF(ISNUMBER(Z43),ROUND(Z43*'Reference data'!$B$2,0),"Unknown")</x:f>
        <x:v>16</x:v>
      </x:c>
      <x:c r="AC43" s="2" t="str">
        <x:v>R12</x:v>
      </x:c>
      <x:c r="AD43" s="43" t="n">
        <x:v>1461.787904</x:v>
      </x:c>
      <x:c r="AE43" s="2" t="str">
        <x:v>Own call</x:v>
      </x:c>
    </x:row>
  </x:sheetData>
  <x:conditionalFormatting sqref="A2:AE43">
    <x:cfRule type="expression" dxfId="3" priority="1">
      <x:formula>$E2="error"</x:formula>
    </x:cfRule>
  </x:conditionalFormatting>
  <x:pageMargins left="0.7" right="0.7" top="0.75" bottom="0.75" header="0.3" footer="0.3"/>
</x:worksheet>
</file>

<file path=xl/worksheets/sheet3.xml><?xml version="1.0" encoding="utf-8"?>
<x:worksheet xmlns:x="http://schemas.openxmlformats.org/spreadsheetml/2006/main">
  <x:sheetPr>
    <x:tabColor rgb="FF173B70"/>
  </x:sheetPr>
  <x:sheetViews>
    <x:sheetView showGridLines="0" workbookViewId="0">
      <x:pane xSplit="1" ySplit="1" topLeftCell="B2" activePane="bottomRight" state="frozen"/>
    </x:sheetView>
  </x:sheetViews>
  <x:sheetFormatPr defaultRowHeight="15"/>
  <x:cols>
    <x:col min="1" max="1" width="34" hidden="0" customWidth="1"/>
    <x:col min="2" max="2" width="52" hidden="0" customWidth="1"/>
    <x:col min="3" max="3" width="18" hidden="0" customWidth="1"/>
    <x:col min="4" max="4" width="18" hidden="0" customWidth="1"/>
    <x:col min="5" max="5" width="18" hidden="0" customWidth="1"/>
    <x:col min="6" max="6" width="18" hidden="0" customWidth="1"/>
    <x:col min="7" max="7" width="18" hidden="0" customWidth="1"/>
    <x:col min="8" max="8" width="65" hidden="0" customWidth="1"/>
    <x:col min="9" max="9" width="40" hidden="0" customWidth="1"/>
  </x:cols>
  <x:sheetData>
    <x:row r="1" ht="44" customHeight="1">
      <x:c r="A1" s="7" t="str">
        <x:v>Parameter</x:v>
      </x:c>
      <x:c r="B1" s="7" t="str">
        <x:v>Value</x:v>
      </x:c>
      <x:c r="C1" s="7" t="str">
        <x:v>Unit</x:v>
      </x:c>
      <x:c r="D1" s="7" t="str"/>
      <x:c r="E1" s="7" t="str"/>
      <x:c r="F1" s="7" t="str"/>
      <x:c r="G1" s="7" t="str"/>
      <x:c r="H1" s="7" t="str"/>
      <x:c r="I1" s="7" t="str"/>
    </x:row>
    <x:row r="2" ht="24" customHeight="1">
      <x:c r="A2" s="2" t="str">
        <x:v>Number of executions</x:v>
      </x:c>
      <x:c r="B2" s="10" t="n">
        <x:v>100000</x:v>
      </x:c>
      <x:c r="C2" s="2" t="str">
        <x:v>executions</x:v>
      </x:c>
      <x:c r="D2" s="2"/>
      <x:c r="E2" s="2"/>
      <x:c r="F2" s="2"/>
      <x:c r="G2" s="2"/>
      <x:c r="H2" s="2"/>
      <x:c r="I2" s="2"/>
    </x:row>
    <x:row r="3" ht="24" customHeight="1">
      <x:c r="A3" s="2" t="str">
        <x:v>USD → EUR</x:v>
      </x:c>
      <x:c r="B3" s="11" t="n">
        <x:v>0.8726</x:v>
      </x:c>
      <x:c r="C3" s="2" t="str">
        <x:v>EUR per USD</x:v>
      </x:c>
      <x:c r="D3" s="2"/>
      <x:c r="E3" s="2"/>
      <x:c r="F3" s="2"/>
      <x:c r="G3" s="2"/>
      <x:c r="H3" s="2"/>
      <x:c r="I3" s="2"/>
    </x:row>
    <x:row r="4" ht="24" customHeight="1">
      <x:c r="A4" s="2" t="str">
        <x:v>Cache duration</x:v>
      </x:c>
      <x:c r="B4" s="2" t="str">
        <x:v>5m</x:v>
      </x:c>
      <x:c r="C4" s="2" t="str"/>
      <x:c r="D4" s="2"/>
      <x:c r="E4" s="2"/>
      <x:c r="F4" s="2"/>
      <x:c r="G4" s="2"/>
      <x:c r="H4" s="2"/>
      <x:c r="I4" s="2"/>
    </x:row>
    <x:row r="5" ht="28" customHeight="1">
      <x:c r="A5" s="2" t="str">
        <x:v>Run ID</x:v>
      </x:c>
      <x:c r="B5" s="14" t="str">
        <x:v>01a0c410-0337-70d2-93d4-4b929908eb81</x:v>
      </x:c>
      <x:c r="C5" s="2" t="str"/>
      <x:c r="D5" s="2"/>
      <x:c r="E5" s="2"/>
      <x:c r="F5" s="2"/>
      <x:c r="G5" s="2"/>
      <x:c r="H5" s="2"/>
      <x:c r="I5" s="2"/>
    </x:row>
    <x:row r="6" ht="28" customHeight="1">
      <x:c r="A6" s="2" t="str">
        <x:v>Recording</x:v>
      </x:c>
      <x:c r="B6" s="14" t="str">
        <x:v>Provider trace</x:v>
      </x:c>
      <x:c r="C6" s="2" t="str"/>
      <x:c r="D6" s="2"/>
      <x:c r="E6" s="2"/>
      <x:c r="F6" s="2"/>
      <x:c r="G6" s="2"/>
      <x:c r="H6" s="2"/>
      <x:c r="I6" s="2"/>
    </x:row>
    <x:row r="7" ht="28" customHeight="1">
      <x:c r="A7" s="2" t="str">
        <x:v>FX reference date</x:v>
      </x:c>
      <x:c r="B7" s="15" t="n">
        <x:v>46283</x:v>
      </x:c>
      <x:c r="C7" s="2" t="str"/>
      <x:c r="D7" s="2"/>
      <x:c r="E7" s="2"/>
      <x:c r="F7" s="2"/>
      <x:c r="G7" s="2"/>
      <x:c r="H7" s="2"/>
      <x:c r="I7" s="2"/>
    </x:row>
    <x:row r="8" ht="28" customHeight="1">
      <x:c r="A8" s="2" t="str">
        <x:v>FX fetched at</x:v>
      </x:c>
      <x:c r="B8" s="16" t="n">
        <x:v>46286.54372548611</x:v>
      </x:c>
      <x:c r="C8" s="2" t="str">
        <x:v>UTC</x:v>
      </x:c>
      <x:c r="D8" s="2"/>
      <x:c r="E8" s="2"/>
      <x:c r="F8" s="2"/>
      <x:c r="G8" s="2"/>
      <x:c r="H8" s="2"/>
      <x:c r="I8" s="2"/>
    </x:row>
    <x:row r="9" ht="56" customHeight="1">
      <x:c r="A9" s="2" t="str">
        <x:v>FX source</x:v>
      </x:c>
      <x:c r="B9" s="14" t="str">
        <x:v>https://api.frankfurter.dev/v2/rate/usd/eur?providers=ecb</x:v>
      </x:c>
      <x:c r="C9" s="2" t="str"/>
      <x:c r="D9" s="2"/>
      <x:c r="E9" s="2"/>
      <x:c r="F9" s="2"/>
      <x:c r="G9" s="2"/>
      <x:c r="H9" s="2"/>
      <x:c r="I9" s="2"/>
    </x:row>
    <x:row r="10" ht="56" customHeight="1">
      <x:c r="A10" s="2" t="str">
        <x:v>Rounding</x:v>
      </x:c>
      <x:c r="B10" s="14" t="str">
        <x:v>Only projected costs: ROUND(cost × executions, 0)</x:v>
      </x:c>
      <x:c r="C10" s="2" t="str"/>
      <x:c r="D10" s="2"/>
      <x:c r="E10" s="2"/>
      <x:c r="F10" s="2"/>
      <x:c r="G10" s="2"/>
      <x:c r="H10" s="2"/>
      <x:c r="I10" s="2"/>
    </x:row>
    <x:row r="11" ht="56" customHeight="1">
      <x:c r="A11" s="2" t="str">
        <x:v>Tree totals</x:v>
      </x:c>
      <x:c r="B11" s="14" t="str">
        <x:v>Parent rows include descendants; do not sum all tree rows.</x:v>
      </x:c>
      <x:c r="C11" s="2" t="str"/>
      <x:c r="D11" s="2"/>
      <x:c r="E11" s="2"/>
      <x:c r="F11" s="2"/>
      <x:c r="G11" s="2"/>
      <x:c r="H11" s="2"/>
      <x:c r="I11" s="2"/>
    </x:row>
    <x:row r="12" ht="56" customHeight="1">
      <x:c r="A12" s="2" t="str">
        <x:v>Cache writes</x:v>
      </x:c>
      <x:c r="B12" s="14" t="str">
        <x:v>Simulation cache movements are shown separately from provider-billed writes.</x:v>
      </x:c>
      <x:c r="C12" s="2" t="str"/>
      <x:c r="D12" s="2"/>
      <x:c r="E12" s="2"/>
      <x:c r="F12" s="2"/>
      <x:c r="G12" s="2"/>
      <x:c r="H12" s="2"/>
      <x:c r="I12" s="2"/>
    </x:row>
    <x:row r="13" ht="56" customHeight="1">
      <x:c r="A13" s="2" t="str">
        <x:v>Pricing scope</x:v>
      </x:c>
      <x:c r="B13" s="14" t="str">
        <x:v>Standard online token rates. Verify rates and model access before use. Cache writes with unspecified lifetime use the 5-minute rate unless an explicit cache_write rate is configured. No batch, regional, long-context, tool, or negotiated pricing adjustments are applied.</x:v>
      </x:c>
      <x:c r="C13" s="2" t="str"/>
      <x:c r="D13" s="2"/>
      <x:c r="E13" s="2"/>
      <x:c r="F13" s="2"/>
      <x:c r="G13" s="2"/>
      <x:c r="H13" s="2"/>
      <x:c r="I13" s="2"/>
    </x:row>
    <x:row r="14" ht="24" customHeight="1">
      <x:c r="A14" s="2"/>
      <x:c r="B14" s="2"/>
      <x:c r="C14" s="2"/>
      <x:c r="D14" s="2"/>
      <x:c r="E14" s="2"/>
      <x:c r="F14" s="2"/>
      <x:c r="G14" s="2"/>
      <x:c r="H14" s="2"/>
      <x:c r="I14" s="2"/>
    </x:row>
    <x:row r="15" ht="44" customHeight="1">
      <x:c r="A15" s="5" t="str">
        <x:v>Model</x:v>
      </x:c>
      <x:c r="B15" s="5" t="str">
        <x:v>Input USD / 1M tokens</x:v>
      </x:c>
      <x:c r="C15" s="5" t="str">
        <x:v>Cache read USD / 1M tokens</x:v>
      </x:c>
      <x:c r="D15" s="5" t="str">
        <x:v>Cache write USD / 1M tokens</x:v>
      </x:c>
      <x:c r="E15" s="5" t="str">
        <x:v>Output USD / 1M tokens</x:v>
      </x:c>
      <x:c r="F15" s="5" t="str">
        <x:v>Reasoning USD / 1M tokens</x:v>
      </x:c>
      <x:c r="G15" s="5" t="str">
        <x:v>Verified date</x:v>
      </x:c>
      <x:c r="H15" s="5" t="str">
        <x:v>Source</x:v>
      </x:c>
      <x:c r="I15" s="5" t="str">
        <x:v>Notes</x:v>
      </x:c>
    </x:row>
    <x:row r="16" ht="72" customHeight="1">
      <x:c r="A16" s="14" t="str">
        <x:v>openai:gpt-5.5</x:v>
      </x:c>
      <x:c r="B16" s="17" t="n">
        <x:v>5</x:v>
      </x:c>
      <x:c r="C16" s="17" t="n">
        <x:v>0.5</x:v>
      </x:c>
      <x:c r="D16" s="17"/>
      <x:c r="E16" s="17" t="n">
        <x:v>30</x:v>
      </x:c>
      <x:c r="F16" s="17" t="n">
        <x:v>30</x:v>
      </x:c>
      <x:c r="G16" s="15" t="n">
        <x:v>46283</x:v>
      </x:c>
      <x:c r="H16" s="14" t="str">
        <x:v>https://developers.openai.com/api/docs/models/gpt-5.5.md</x:v>
      </x:c>
      <x:c r="I16" s="14" t="str">
        <x:v>Cache write assumes 5m when unspecified</x:v>
      </x:c>
    </x:row>
    <x:row r="17" ht="72" customHeight="1">
      <x:c r="A17" s="14" t="str">
        <x:v>openai:gpt-5.6-luna</x:v>
      </x:c>
      <x:c r="B17" s="17" t="n">
        <x:v>0.2</x:v>
      </x:c>
      <x:c r="C17" s="17" t="n">
        <x:v>0.02</x:v>
      </x:c>
      <x:c r="D17" s="17" t="n">
        <x:v>0.25</x:v>
      </x:c>
      <x:c r="E17" s="17" t="n">
        <x:v>1.2</x:v>
      </x:c>
      <x:c r="F17" s="17" t="n">
        <x:v>1.2</x:v>
      </x:c>
      <x:c r="G17" s="15" t="n">
        <x:v>46283</x:v>
      </x:c>
      <x:c r="H17" s="14" t="str">
        <x:v>https://developers.openai.com/api/docs/models/gpt-5.6-luna.md</x:v>
      </x:c>
      <x:c r="I17" s="14" t="str">
        <x:v>Cache write assumes 5m when unspecified</x:v>
      </x:c>
    </x:row>
    <x:row r="18" ht="72" customHeight="1">
      <x:c r="A18" s="14" t="str">
        <x:v>openai:gpt-5.6-sol</x:v>
      </x:c>
      <x:c r="B18" s="17" t="n">
        <x:v>4</x:v>
      </x:c>
      <x:c r="C18" s="17" t="n">
        <x:v>0.4</x:v>
      </x:c>
      <x:c r="D18" s="17" t="n">
        <x:v>5</x:v>
      </x:c>
      <x:c r="E18" s="17" t="n">
        <x:v>20</x:v>
      </x:c>
      <x:c r="F18" s="17" t="n">
        <x:v>20</x:v>
      </x:c>
      <x:c r="G18" s="15" t="n">
        <x:v>46283</x:v>
      </x:c>
      <x:c r="H18" s="14" t="str">
        <x:v>https://developers.openai.com/api/docs/models/gpt-5.6-sol.md</x:v>
      </x:c>
      <x:c r="I18" s="14" t="str">
        <x:v>Cache write assumes 5m when unspecified</x:v>
      </x:c>
    </x:row>
    <x:row r="19" ht="72" customHeight="1">
      <x:c r="A19" s="14" t="str">
        <x:v>anthropic:claude-sonnet-5</x:v>
      </x:c>
      <x:c r="B19" s="17" t="n">
        <x:v>2</x:v>
      </x:c>
      <x:c r="C19" s="17" t="n">
        <x:v>0.2</x:v>
      </x:c>
      <x:c r="D19" s="17" t="n">
        <x:v>2.5</x:v>
      </x:c>
      <x:c r="E19" s="17" t="n">
        <x:v>10</x:v>
      </x:c>
      <x:c r="F19" s="17" t="n">
        <x:v>10</x:v>
      </x:c>
      <x:c r="G19" s="15" t="n">
        <x:v>46283</x:v>
      </x:c>
      <x:c r="H19" s="14" t="str">
        <x:v>https://platform.claude.com/docs/en/about-claude/pricing</x:v>
      </x:c>
      <x:c r="I19" s="14" t="str">
        <x:v>Cache write assumes 5m when unspecified</x:v>
      </x:c>
    </x:row>
    <x:row r="20" ht="72" customHeight="1">
      <x:c r="A20" s="14" t="str">
        <x:v>anthropic:claude-opus-4-8</x:v>
      </x:c>
      <x:c r="B20" s="17" t="n">
        <x:v>5</x:v>
      </x:c>
      <x:c r="C20" s="17" t="n">
        <x:v>0.5</x:v>
      </x:c>
      <x:c r="D20" s="17" t="n">
        <x:v>6.25</x:v>
      </x:c>
      <x:c r="E20" s="17" t="n">
        <x:v>25</x:v>
      </x:c>
      <x:c r="F20" s="17" t="n">
        <x:v>25</x:v>
      </x:c>
      <x:c r="G20" s="15" t="n">
        <x:v>46283</x:v>
      </x:c>
      <x:c r="H20" s="14" t="str">
        <x:v>https://platform.claude.com/docs/en/about-claude/pricing</x:v>
      </x:c>
      <x:c r="I20" s="14" t="str">
        <x:v>Cache write assumes 5m when unspecified</x:v>
      </x:c>
    </x:row>
    <x:row r="21" ht="72" customHeight="1">
      <x:c r="A21" s="14" t="str">
        <x:v>anthropic:claude-fable-5-1</x:v>
      </x:c>
      <x:c r="B21" s="17" t="n">
        <x:v>10</x:v>
      </x:c>
      <x:c r="C21" s="17" t="n">
        <x:v>0.25</x:v>
      </x:c>
      <x:c r="D21" s="17" t="n">
        <x:v>12.5</x:v>
      </x:c>
      <x:c r="E21" s="17" t="n">
        <x:v>50</x:v>
      </x:c>
      <x:c r="F21" s="17" t="n">
        <x:v>50</x:v>
      </x:c>
      <x:c r="G21" s="15" t="n">
        <x:v>46283</x:v>
      </x:c>
      <x:c r="H21" s="14" t="str">
        <x:v>https://platform.claude.com/docs/en/about-claude/pricing</x:v>
      </x:c>
      <x:c r="I21" s="14" t="str">
        <x:v>Cache write assumes 5m when unspecified</x:v>
      </x:c>
    </x:row>
    <x:row r="22" ht="72" customHeight="1">
      <x:c r="A22" s="14" t="str">
        <x:v>demo:scripted-chat</x:v>
      </x:c>
      <x:c r="B22" s="17" t="n">
        <x:v>0.2</x:v>
      </x:c>
      <x:c r="C22" s="17" t="n">
        <x:v>0.02</x:v>
      </x:c>
      <x:c r="D22" s="17" t="n">
        <x:v>0.25</x:v>
      </x:c>
      <x:c r="E22" s="17" t="n">
        <x:v>1.2</x:v>
      </x:c>
      <x:c r="F22" s="17" t="n">
        <x:v>1.2</x:v>
      </x:c>
      <x:c r="G22" s="15" t="n">
        <x:v>46283</x:v>
      </x:c>
      <x:c r="H22" s="14" t="str">
        <x:v>Illustrative demo rates based on openai:gpt-5.6-luna; no provider billing</x:v>
      </x:c>
      <x:c r="I22" s="14" t="str">
        <x:v>Cache write assumes 5m when unspecified</x:v>
      </x:c>
    </x:row>
    <x:row r="23" ht="24" customHeight="1">
      <x:c r="A23" s="2"/>
      <x:c r="B23" s="2"/>
      <x:c r="C23" s="2"/>
      <x:c r="D23" s="2"/>
      <x:c r="E23" s="2"/>
      <x:c r="F23" s="2"/>
      <x:c r="G23" s="2"/>
      <x:c r="H23" s="2"/>
      <x:c r="I23" s="2"/>
    </x:row>
    <x:row r="24" ht="24" customHeight="1">
      <x:c r="A24" s="2"/>
      <x:c r="B24" s="2"/>
      <x:c r="C24" s="2"/>
      <x:c r="D24" s="2"/>
      <x:c r="E24" s="2"/>
      <x:c r="F24" s="2"/>
      <x:c r="G24" s="2"/>
      <x:c r="H24" s="2"/>
      <x:c r="I24" s="2"/>
    </x:row>
    <x:row r="25" ht="24" customHeight="1">
      <x:c r="A25" s="2"/>
      <x:c r="B25" s="2"/>
      <x:c r="C25" s="2"/>
      <x:c r="D25" s="2"/>
      <x:c r="E25" s="2"/>
      <x:c r="F25" s="2"/>
      <x:c r="G25" s="2"/>
      <x:c r="H25" s="2"/>
      <x:c r="I25" s="2"/>
    </x:row>
    <x:row r="26" ht="24" customHeight="1">
      <x:c r="A26" s="2"/>
      <x:c r="B26" s="2"/>
      <x:c r="C26" s="2"/>
      <x:c r="D26" s="2"/>
      <x:c r="E26" s="2"/>
      <x:c r="F26" s="2"/>
      <x:c r="G26" s="2"/>
      <x:c r="H26" s="2"/>
      <x:c r="I26" s="2"/>
    </x:row>
    <x:row r="27" ht="24" customHeight="1">
      <x:c r="A27" s="2"/>
      <x:c r="B27" s="2"/>
      <x:c r="C27" s="2"/>
      <x:c r="D27" s="2"/>
      <x:c r="E27" s="2"/>
      <x:c r="F27" s="2"/>
      <x:c r="G27" s="2"/>
      <x:c r="H27" s="2"/>
      <x:c r="I27" s="2"/>
    </x:row>
    <x:row r="28" ht="24" customHeight="1">
      <x:c r="A28" s="2"/>
      <x:c r="B28" s="2"/>
      <x:c r="C28" s="2"/>
      <x:c r="D28" s="2"/>
      <x:c r="E28" s="2"/>
      <x:c r="F28" s="2"/>
      <x:c r="G28" s="2"/>
      <x:c r="H28" s="2"/>
      <x:c r="I28" s="2"/>
    </x:row>
    <x:row r="29" ht="24" customHeight="1">
      <x:c r="A29" s="2"/>
      <x:c r="B29" s="2"/>
      <x:c r="C29" s="2"/>
      <x:c r="D29" s="2"/>
      <x:c r="E29" s="2"/>
      <x:c r="F29" s="2"/>
      <x:c r="G29" s="2"/>
      <x:c r="H29" s="2"/>
      <x:c r="I29" s="2"/>
    </x:row>
    <x:row r="30" ht="24" customHeight="1">
      <x:c r="A30" s="2"/>
      <x:c r="B30" s="2"/>
      <x:c r="C30" s="2"/>
      <x:c r="D30" s="2"/>
      <x:c r="E30" s="2"/>
      <x:c r="F30" s="2"/>
      <x:c r="G30" s="2"/>
      <x:c r="H30" s="2"/>
      <x:c r="I30" s="2"/>
    </x:row>
  </x:sheetData>
  <x:conditionalFormatting sqref="G16:G22">
    <x:cfRule type="expression" dxfId="0" priority="1">
      <x:formula>G16&lt;TODAY()</x:formula>
    </x:cfRule>
  </x:conditionalFormatting>
  <x:conditionalFormatting sqref="B7:B7">
    <x:cfRule type="expression" dxfId="1" priority="2">
      <x:formula>B7&lt;TODAY()</x:formula>
    </x:cfRule>
  </x:conditionalFormatting>
  <x:dataValidations count="1">
    <x:dataValidation type="whole" operator="greaterThanOrEqual" sqref="B2">
      <x:formula1>0</x:formula1>
    </x:dataValidation>
  </x:dataValidations>
  <x:pageMargins left="0.7" right="0.7" top="0.75" bottom="0.75" header="0.3" footer="0.3"/>
</x:worksheet>
</file>
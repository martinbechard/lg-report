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<sst xmlns="http://schemas.openxmlformats.org/spreadsheetml/2006/main" count="863" uniqueCount="235">
  <si>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</si>
  <si>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</si>
  <si>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</si>
  <si>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</si>
  <si>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</si>
  <si>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</si>
  <si>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</si>
  <si>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</si>
  <si>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</si>
  <si>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</si>
  <si>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</si>
  <si>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</si>
  <si>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</si>
  <si>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</si>
  <si>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</si>
  <si>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</si>
  <si>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</si>
  <si>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</si>
  <si>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</si>
  <si>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</si>
  <si>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</si>
  <si>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</si>
  <si>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</si>
  <si>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</si>
  <si>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</si>
  <si>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</si>
  <si>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</si>
  <si>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</si>
  <si>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</si>
  <si>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</si>
  <si>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</si>
  <si>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</si>
  <si>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</si>
  <si>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</si>
  <si>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</si>
  <si>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</si>
  <si>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</si>
  <si>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</si>
  <si>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</si>
  <si>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</si>
  <si>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</si>
  <si>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</si>
  <si>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</si>
  <si>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</si>
  <si>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</si>
  <si>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</si>
  <si>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</si>
  <si>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</si>
  <si>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</si>
  <si>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01a0d584-431a-7670-a84d-31f4a317f39c</t>
  </si>
  <si>
    <t>Recording</t>
  </si>
  <si>
    <t>Provider trace</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</si>
  <si>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</si>
  <si>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</si>
  <si>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</si>
  <si>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</si>
  <si>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</si>
  <si>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</si>
  <si>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</si>
  <si>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</si>
  <si>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</si>
  <si>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</si>
  <si>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</si>
  <si>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</si>
  <si>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</si>
  <si>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</si>
  <si>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</si>
  <si>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</si>
  <si>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</si>
  <si>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</si>
  <si>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</si>
  <si>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</si>
  <si>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</si>
  <si>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</si>
  <si>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</si>
  <si>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</si>
  <si>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</si>
  <si>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</si>
  <si>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</si>
  <si>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</si>
  <si>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</si>
  <si>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</si>
  <si>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</si>
  <si>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</si>
  <si>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</si>
  <si>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</si>
  <si>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</si>
  <si>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</si>
  <si>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</si>
  <si>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</si>
  <si>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</si>
  <si>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</si>
  <si>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</si>
  <si>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</si>
  <si>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</si>
  <si>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gpt-5.6-luna</t>
  </si>
  <si>
    <t>01a0d584-431e-7ec2-a707-25d39b0d3bb6</t>
  </si>
  <si>
    <t>Input at standard rate</t>
  </si>
  <si>
    <t xml:space="preserve">    Tool definitions</t>
  </si>
  <si>
    <t xml:space="preserve">    System prompt</t>
  </si>
  <si>
    <t>You are a dispatcher for movies, sports, and history. For each question, select the most relevant expert from the task tool descriptions and delegate a self-contained question to exactly that expert. Include relevant context from earlier turns when needed. Use the expert's answer to respond; do not answer domain questions yourself. For ambiguous questions ask the user which domain they mean. For requests outside these domains explain the supported subjects without delegating. Never choose an expert merely to force a match.</t>
  </si>
  <si>
    <t xml:space="preserve">    User prompt</t>
  </si>
  <si>
    <t>Who directed Spirited Away?</t>
  </si>
  <si>
    <t>Cache write</t>
  </si>
  <si>
    <t>Context · added / total</t>
  </si>
  <si>
    <t>LLM response</t>
  </si>
  <si>
    <t>Output</t>
  </si>
  <si>
    <t xml:space="preserve">    Output content</t>
  </si>
  <si>
    <t>[{"type": "function_call", "name": "task", "arguments": "{\"description\":\"Answer the movie question: Who directed the film Spirited Away? Provide the director's name and, if useful, a brief identifying detail. Be accurate and concise.\",\"subagent_type\":\"movie_expert\"}", "call_id": "call_vwmI5a38fUZInRHJUPZSkwga", "id": "fc_0ca30177df7fe36f006ab5a2e2f28087d2b80b1536d128db5c", "index": 0}]
{"name": "task", "args": {"description": "Answer the movie question: Who directed the film Spirited Away? Provide the director's name and, if useful, a brief identifying detail. Be accurate and concise.", "subagent_type": "movie_expert"}, "id": "call_vwmI5a38fUZInRHJUPZSkwga", "type": "tool_call"}</t>
  </si>
  <si>
    <t>Call total</t>
  </si>
  <si>
    <t>ok</t>
  </si>
  <si>
    <t>Tool · task</t>
  </si>
  <si>
    <t>01a0d584-48a6-7703-97a7-b1ecc8438e8d</t>
  </si>
  <si>
    <t xml:space="preserve">    Arguments</t>
  </si>
  <si>
    <t>{'description': "Answer the movie question: Who directed the film Spirited Away? Provide the director's name and, if useful, a brief identifying detail. Be accurate and concise.", 'subagent_type': 'movie_expert'}</t>
  </si>
  <si>
    <t xml:space="preserve">    Result</t>
  </si>
  <si>
    <t>Command(update={'messages': [ToolMessage(content='*Spirited Away* was directed by **Hayao Miyazaki**, the acclaimed Studio Ghibli filmmaker. Source: https://www.ghibli.jp/works/', tool_call_id='call_vwmI5a38fUZInRHJUPZSkwga')]})</t>
  </si>
  <si>
    <t>R2</t>
  </si>
  <si>
    <t>01a0d584-48a9-76d2-b472-9ff9ea6c4ec1</t>
  </si>
  <si>
    <t>You are the movies expert. Use search_movie_reference to retrieve evidence before answering the delegated question. Base factual claims on the returned passages and cite their source URLs. If no relevant evidence is found, explain the collection's limits instead of inventing an answer or claiming web research. Answer concisely. The collection is a small local teaching reference, not a complete or continually updated source.</t>
  </si>
  <si>
    <t>[{"type": "function_call", "name": "search_movie_reference", "arguments": "{\"query\":\"Who directed the film Spirited Away?\"}", "call_id": "call_xhvlnQehC2OlrK6VrpCAqeqz", "id": "fc_0a6acba15b3aeb56006ab5a2e41f1887d2b2ccf86031e8e199", "index": 0}]
{"name": "search_movie_reference", "args": {"query": "Who directed the film Spirited Away?"}, "id": "call_xhvlnQehC2OlrK6VrpCAqeqz", "type": "tool_call"}</t>
  </si>
  <si>
    <t>Tool · search_movie_reference</t>
  </si>
  <si>
    <t>01a0d584-4c3c-75b1-afe4-cb1749286f01</t>
  </si>
  <si>
    <t>{'query': 'Who directed the film Spirited Away?'}</t>
  </si>
  <si>
    <t>Spirited Away
Spirited Away was directed by Hayao Miyazaki and released in 2001.
Source: https://www.ghibli.jp/works/</t>
  </si>
  <si>
    <t>R3</t>
  </si>
  <si>
    <t>01a0d584-4c3e-7600-812e-65a9a52d2618</t>
  </si>
  <si>
    <t>Conversation history · cache read</t>
  </si>
  <si>
    <t xml:space="preserve">    Tool result</t>
  </si>
  <si>
    <t>[{"type": "text", "text": "*Spirited Away* was directed by **Hayao Miyazaki**, the acclaimed Studio Ghibli filmmaker. Source: https://www.ghibli.jp/works/", "phase": "final_answer", "index": 0, "id": "msg_0a6acba15b3aeb56006ab5a2e4f0d087d2a575de53a8913080"}]</t>
  </si>
  <si>
    <t>R4</t>
  </si>
  <si>
    <t>01a0d584-4fc3-7821-a7ce-caccaba0de5b</t>
  </si>
  <si>
    <t>*Spirited Away* was directed by **Hayao Miyazaki**, the acclaimed Studio Ghibli filmmaker. Source: https://www.ghibli.jp/works/</t>
  </si>
  <si>
    <t>[{"type": "text", "text": "*Spirited Away* was directed by **Hayao Miyazaki**.", "phase": "final_answer", "index": 0, "id": "msg_0ca30177df7fe36f006ab5a2e5f29887d2b5e554fe93999e0d"}]</t>
  </si>
  <si>
    <t>Turn 2</t>
  </si>
  <si>
    <t>R5</t>
  </si>
  <si>
    <t>01a0d584-5369-7f42-a5cf-bbb41a706ecd</t>
  </si>
  <si>
    <t>How many players does a basketball team have on court?</t>
  </si>
  <si>
    <t>[{"type": "function_call", "name": "task", "arguments": "{\"description\":\"Answer this sports rules question: How many players from one basketball team are on the court at a time during standard basketball play? Mention the standard number and briefly note any common variation only if relevant. Be concise and accurate.\",\"subagent_type\":\"sports_expert\"}", "call_id": "call_dgUD2BUQrltDmZK9vlEAIBuk", "id": "fc_0ca30177df7fe36f006ab5a2e6da8487d299d75f592af663b2", "index": 0}]
{"name": "task", "args": {"description": "Answer this sports rules question: How many players from one basketball team are on the court at a time during standard basketball play? Mention the standard number and briefly note any common variation only if relevant. Be concise and accurate.", "subagent_type": "sports_expert"}, "id": "call_dgUD2BUQrltDmZK9vlEAIBuk", "type": "tool_call"}</t>
  </si>
  <si>
    <t>01a0d584-5885-7831-97cc-894aa3f1fa9d</t>
  </si>
  <si>
    <t>{'description': 'Answer this sports rules question: How many players from one basketball team are on the court at a time during standard basketball play? Mention the standard number and briefly note any common variation only if relevant. Be concise and accurate.', 'subagent_type': 'sports_expert'}</t>
  </si>
  <si>
    <t>Command(update={'messages': [ToolMessage(content='In standard basketball, **five players from each team** are on the court at a time. This differs from **3x3 basketball**, which has three players per team. ([FIBA](https://about.fiba.basketball/en/our-sport/basketball))', tool_call_id='call_dgUD2BUQrltDmZK9vlEAIBuk')]})</t>
  </si>
  <si>
    <t>R6</t>
  </si>
  <si>
    <t>01a0d584-5889-77d1-806c-33b1e32f9fc9</t>
  </si>
  <si>
    <t>You are the sports expert. Use search_sports_reference to retrieve evidence before answering the delegated question. Base factual claims on the returned passages and cite their source URLs. If no relevant evidence is found, explain the collection's limits instead of inventing an answer or claiming web research. Answer concisely. The collection is a small local teaching reference, not a complete or continually updated source.</t>
  </si>
  <si>
    <t>[{"type": "function_call", "name": "search_sports_reference", "arguments": "{\"query\":\"How many players from one basketball team are on the court at a time during standard basketball play? standard number common variation\"}", "call_id": "call_xRvbzoPLIFPiYYipYNQMIoKS", "id": "fc_045902d56d72c85c006ab5a2e8bd8887d28bf0d44510198c30", "index": 0}]
{"name": "search_sports_reference", "args": {"query": "How many players from one basketball team are on the court at a time during standard basketball play? standard number common variation"}, "id": "call_xRvbzoPLIFPiYYipYNQMIoKS", "type": "tool_call"}</t>
  </si>
  <si>
    <t>Tool · search_sports_reference</t>
  </si>
  <si>
    <t>01a0d584-62c8-7bb0-922c-d4f92038f303</t>
  </si>
  <si>
    <t>{'query': 'How many players from one basketball team are on the court at a time during standard basketball play? standard number common variation'}</t>
  </si>
  <si>
    <t>Standard basketball teams
Standard basketball has two teams of five players on court. This is not the separate 3x3 format.
Source: https://about.fiba.basketball/en/our-sport/basketball</t>
  </si>
  <si>
    <t>R7</t>
  </si>
  <si>
    <t>01a0d584-62cb-7a93-87b1-bc6515c5634f</t>
  </si>
  <si>
    <t>[{"type": "text", "text": "In standard basketball, **five players from each team** are on the court at a time. This differs from **3x3 basketball**, which has three players per team. ([FIBA](https://about.fiba.basketball/en/our-sport/basketball))", "phase": "final_answer", "index": 0, "id": "msg_045902d56d72c85c006ab5a2eaba3887d2a79652ca4c1efa03"}]</t>
  </si>
  <si>
    <t>R8</t>
  </si>
  <si>
    <t>01a0d584-6730-71c2-9a2f-74de4fbbbee0</t>
  </si>
  <si>
    <t>In standard basketball, **five players from each team** are on the court at a time. This differs from **3x3 basketball**, which has three players per team. ([FIBA](https://about.fiba.basketball/en/our-sport/basketball))</t>
  </si>
  <si>
    <t>[{"type": "text", "text": "A basketball team has **five players on the court** at a time.", "phase": "final_answer", "index": 0, "id": "msg_0ca30177df7fe36f006ab5a2ebf12087d28bc49e9d6a9f3b67"}]</t>
  </si>
  <si>
    <t>Turn 3</t>
  </si>
  <si>
    <t>R9</t>
  </si>
  <si>
    <t>01a0d584-6b03-7ab2-ad42-ef88e2862f3a</t>
  </si>
  <si>
    <t>In which year did the Berlin Wall fall?</t>
  </si>
  <si>
    <t>[{"type": "function_call", "name": "task", "arguments": "{\"description\":\"Answer the history question: In which year did the Berlin Wall fall? Give the year and optionally the exact date for clarity. Be concise and accurate.\",\"subagent_type\":\"history_expert\"}", "call_id": "call_CzRHVsSMUBPtrOG3PRCUJ0sD", "id": "fc_0ca30177df7fe36f006ab5a2ecff2c87d28da612262dda4490", "index": 0}]
{"name": "task", "args": {"description": "Answer the history question: In which year did the Berlin Wall fall? Give the year and optionally the exact date for clarity. Be concise and accurate.", "subagent_type": "history_expert"}, "id": "call_CzRHVsSMUBPtrOG3PRCUJ0sD", "type": "tool_call"}</t>
  </si>
  <si>
    <t>01a0d584-7004-7a50-8b49-905e97f10c0c</t>
  </si>
  <si>
    <t>{'description': 'Answer the history question: In which year did the Berlin Wall fall? Give the year and optionally the exact date for clarity. Be concise and accurate.', 'subagent_type': 'history_expert'}</t>
  </si>
  <si>
    <t>Command(update={'messages': [ToolMessage(content='The Berlin Wall fell in **1989**, opening on **9 November 1989**. ([Source](https://www.stiftung-berliner-mauer.de/de/ueber-uns/leichte-sprache/geschichte))', tool_call_id='call_CzRHVsSMUBPtrOG3PRCUJ0sD')]})</t>
  </si>
  <si>
    <t>R10</t>
  </si>
  <si>
    <t>01a0d584-700a-7741-9922-a5ace39be30c</t>
  </si>
  <si>
    <t>You are the history expert. Use search_history_reference to retrieve evidence before answering the delegated question. Base factual claims on the returned passages and cite their source URLs. If no relevant evidence is found, explain the collection's limits instead of inventing an answer or claiming web research. Answer concisely. The collection is a small local teaching reference, not a complete or continually updated source.</t>
  </si>
  <si>
    <t>Reasoning</t>
  </si>
  <si>
    <t>[{"id": "rs_04f9fec6b68d93e9006ab5a2ee229887d2bae66b992da4e61a", "summary": [], "type": "reasoning", "content": [], "index": 0, "encrypted_content": "gAAAAABqtaLunQCPJJ3BHzgb_ykdLRQ7CjXe3trLWCU8Cf0a6_TgDH6aZMKwb41tdbabKpOUHgI2-dEq0x7XP5Km4d8uy09SEEOeJlmzz686VGLrTC-dTUEs2-zJMC6qbYWiVF_Z1tqRjOwsuCiNr_OAJKYdJcLJeZJNEaN-zWUXqZGledVR5YfTHt73SWtORxJKTCtsBZrXVuixWmkuzH7FCy_G1kLfqfHUTMlvzvLR0hXA44O843lxKQ6EfAqnppJKa4h1TZf6srCUXVT6lYl0b4HneS1vQd_j9yORpV2i2Pony92DhjAS8DWH4HFu67EKlkM6Hhg49EyOXHQPDUfBK9vicBQHd3ons6uG1axLB0eKkPnvOXwOrPp2uwzmC4Kjl5Mgvx-Xbn94Z9J-N1_VKNfJiyLSkZNwJL99RsyO3NGxUcBXwOJYLhzsXOZ1q6cU4h03GybXGfmqWoEHKqliBw2zqc-XXCOU03YDT43IlHPNvUzy9fHZ4yMF0_FTOMVhHESZyeeAwqz8K1WDpVeadvWZUIsUOj7a_WS7b-rU_C_ZKZBYsK7VEWg7eZvTwkPZGrl6i0dfdQ8mYONUDh5R_rieSyqEz-_9Ou6NQyPDi5Yapxf9BUl9PD6fPNFpmCjJQEegNC977_tQ4zWBqDoOy7ALPaQVWbozPCYPcJjf7XQNHHFyk7eVE_XY1MOLB2X0YfKMrGIEMI8twamNoD1pNcxRco442jc5pegir-A4_5M0X0rF6t3BJc7oOJhANYy7zNnNM3jfoCzmJUpzmGrdCCo5lm83omHEE1a2fOasdjKeRnlcKzZi3HGbbXuhG8rczOuCeiIsv0gOK_RrcsoBu09xX6_jW6N7GqERrhsiQDUVKPjqId8-s-7lJ4NV5iVSVjOdBUhjJYIqvMtuuGHnH8KGzfT77JYsooJIBK02tkNKFSow3y8kmOb0oJ9f_cHDjo7kbFVq2kzL23SPYROw4ytk88PPLoAFKV0Zxo2-0hybrkRsctpa0sVdEMTL5pvx8ZACasICbGBR5vXWMUYB8mNISinIjKI1NjD9JnvBXJYyFf3Q84C5jFUJ8rIwAmAbuA6slEnzSMZq3n0VTW9Bph928lxz887F4NlchTGpzVWoE_KA6rFLimz76GuyNbk4frrW-t1HFGwLY9brMJME2JcT4VvIy6YnEfpY07UUer0UVZVc8PL7prGcjGhg1mOCiobJTF6h"}, {"type": "function_call", "name": "search_history_reference", "arguments": "{\"query\":\"In which year did the Berlin Wall fall? exact date opening\"}", "call_id": "call_Lq6Mb9NjmvsndcGaLWulQdK9", "id": "fc_04f9fec6b68d93e9006ab5a2ee516887d2aca7eb53a9aeb4d8", "index": 1}]
{"name": "search_history_reference", "args": {"query": "In which year did the Berlin Wall fall? exact date opening"}, "id": "call_Lq6Mb9NjmvsndcGaLWulQdK9", "type": "tool_call"}</t>
  </si>
  <si>
    <t>Tool · search_history_reference</t>
  </si>
  <si>
    <t>01a0d584-7415-77d0-9667-00eea0564495</t>
  </si>
  <si>
    <t>{'query': 'In which year did the Berlin Wall fall? exact date opening'}</t>
  </si>
  <si>
    <t>Opening of the Berlin Wall
The Berlin Wall opened on 9 November 1989. The opening and subsequent physical demolition are distinct events.
Source: https://www.stiftung-berliner-mauer.de/de/ueber-uns/leichte-sprache/geschichte</t>
  </si>
  <si>
    <t>R11</t>
  </si>
  <si>
    <t>01a0d584-7418-7603-88b5-ac0fa2ad565e</t>
  </si>
  <si>
    <t>[{"type": "text", "text": "The Berlin Wall fell in **1989**, opening on **9 November 1989**. ([Source](https://www.stiftung-berliner-mauer.de/de/ueber-uns/leichte-sprache/geschichte))", "phase": "final_answer", "index": 0, "id": "msg_04f9fec6b68d93e9006ab5a2ef9b9087d2b6f59f2643a5e527"}]</t>
  </si>
  <si>
    <t>R12</t>
  </si>
  <si>
    <t>01a0d584-7b59-7bc0-95af-6068128398e5</t>
  </si>
  <si>
    <t>The Berlin Wall fell in **1989**, opening on **9 November 1989**. ([Source](https://www.stiftung-berliner-mauer.de/de/ueber-uns/leichte-sprache/geschichte))</t>
  </si>
  <si>
    <t>[{"type": "text", "text": "The Berlin Wall fell in **1989**, on **November 9**.", "phase": "final_answer", "index": 0, "id": "msg_0ca30177df7fe36f006ab5a2f125e887d29c3efb054573f91b"}]</t>
  </si>
  <si>
    <t>dispatcher_agent</t>
  </si>
  <si>
    <t>workflow</t>
  </si>
  <si>
    <t>Execute the dispatcher_agent workflow operation and pass its result to the next graph step.</t>
  </si>
  <si>
    <t>Subtree total</t>
  </si>
  <si>
    <t xml:space="preserve">    model</t>
  </si>
  <si>
    <t>Prepare the current conversation, run model middleware, and invoke the chat model.</t>
  </si>
  <si>
    <t>01a0d584-431c-7523-a2f9-580d9ae4b19b</t>
  </si>
  <si>
    <t xml:space="preserve">        ChatOpenAI</t>
  </si>
  <si>
    <t>model</t>
  </si>
  <si>
    <t>Generate the next assistant message or tool request from the current conversation.</t>
  </si>
  <si>
    <t>Own call</t>
  </si>
  <si>
    <t xml:space="preserve">    tools</t>
  </si>
  <si>
    <t>Execute tool calls requested by the preceding model response and return their observations.</t>
  </si>
  <si>
    <t>01a0d584-48a6-7703-97a7-b1d84542a380</t>
  </si>
  <si>
    <t xml:space="preserve">        task</t>
  </si>
  <si>
    <t>tool</t>
  </si>
  <si>
    <t>Delegate a self-contained question to the matching expert. Available experts:
- movie_expert: Specialist for questions about movies, with its own local reference lookup.
- sports_expert: Specialist for questions about sports, with its own local reference lookup.
- history_expert: Specialist for questions about history, with its own local reference lookup.</t>
  </si>
  <si>
    <t xml:space="preserve">            movie_expert</t>
  </si>
  <si>
    <t>Execute the movie_expert workflow operation and pass its result to the next graph step.</t>
  </si>
  <si>
    <t>01a0d584-48a7-7f42-b873-60570a34271d</t>
  </si>
  <si>
    <t xml:space="preserve">                model</t>
  </si>
  <si>
    <t>01a0d584-48a8-79f3-95db-05e3a18e1c6f</t>
  </si>
  <si>
    <t xml:space="preserve">                    ChatOpenAI</t>
  </si>
  <si>
    <t xml:space="preserve">                tools</t>
  </si>
  <si>
    <t>01a0d584-4c3b-7992-bc25-64c9a339e3b1</t>
  </si>
  <si>
    <t>No model charge</t>
  </si>
  <si>
    <t xml:space="preserve">                    search_movie_reference</t>
  </si>
  <si>
    <t>Look up local movie evidence by phrase; return sources or an explicit miss.</t>
  </si>
  <si>
    <t>01a0d584-4c3e-7600-812e-6594ab68b287</t>
  </si>
  <si>
    <t>01a0d584-4fc2-7693-8ae6-2fd09c6b62e0</t>
  </si>
  <si>
    <t>01a0d584-5367-7a81-9ff9-6737e767749f</t>
  </si>
  <si>
    <t>01a0d584-5368-7600-9dfb-6896090920dc</t>
  </si>
  <si>
    <t>01a0d584-5885-7831-97cc-893cdbadd6ff</t>
  </si>
  <si>
    <t xml:space="preserve">            sports_expert</t>
  </si>
  <si>
    <t>Execute the sports_expert workflow operation and pass its result to the next graph step.</t>
  </si>
  <si>
    <t>01a0d584-5886-77c1-93ee-351efe9d2977</t>
  </si>
  <si>
    <t>01a0d584-5887-7330-82e0-d67124af98e7</t>
  </si>
  <si>
    <t>01a0d584-62c8-7bb0-922c-d4ebdbdf4e52</t>
  </si>
  <si>
    <t xml:space="preserve">                    search_sports_reference</t>
  </si>
  <si>
    <t>Look up local sports evidence by phrase; return sources or an explicit miss.</t>
  </si>
  <si>
    <t>01a0d584-62ca-7361-9d0e-96e6d3fea86c</t>
  </si>
  <si>
    <t>01a0d584-6730-71c2-9a2f-74c86b7fc06a</t>
  </si>
  <si>
    <t>01a0d584-6b02-76f1-bfa4-ae1854b0704d</t>
  </si>
  <si>
    <t>01a0d584-6b03-7ab2-ad42-ef710ce199c3</t>
  </si>
  <si>
    <t>01a0d584-7003-79f0-8039-7980c3124a33</t>
  </si>
  <si>
    <t xml:space="preserve">            history_expert</t>
  </si>
  <si>
    <t>Execute the history_expert workflow operation and pass its result to the next graph step.</t>
  </si>
  <si>
    <t>01a0d584-7005-7fc2-b972-df0f7950ab0a</t>
  </si>
  <si>
    <t>01a0d584-7007-79f3-9822-9d6684519fcc</t>
  </si>
  <si>
    <t>01a0d584-7415-77d0-9667-00d19d31064e</t>
  </si>
  <si>
    <t xml:space="preserve">                    search_history_reference</t>
  </si>
  <si>
    <t>Look up local history evidence by phrase; return sources or an explicit miss.</t>
  </si>
  <si>
    <t>01a0d584-7418-7603-88b5-abf1d3f2c57a</t>
  </si>
  <si>
    <t>01a0d584-7b59-7bc0-95af-605f917dda7d</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</si>
</sst>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169"/>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16,'Turns'!E31,'Turns'!E46,'Turns'!E58,'Turns'!E71,'Turns'!E86,'Turns'!E101,'Turns'!E113,'Turns'!E126,'Turns'!E142,'Turns'!E157,'Turns'!E169)=12,SUM('Turns'!E16,'Turns'!E31,'Turns'!E46,'Turns'!E58,'Turns'!E71,'Turns'!E86,'Turns'!E101,'Turns'!E113,'Turns'!E126,'Turns'!E142,'Turns'!E157,'Turns'!E169),"Unknown")</f>
        <v>0.001269816716</v>
      </c>
      <c r="F2" s="2">
        <f>IF(COUNT('Turns'!F16,'Turns'!F31,'Turns'!F46,'Turns'!F58,'Turns'!F71,'Turns'!F86,'Turns'!F101,'Turns'!F113,'Turns'!F126,'Turns'!F142,'Turns'!F157,'Turns'!F169)=12,SUM('Turns'!F16,'Turns'!F31,'Turns'!F46,'Turns'!F58,'Turns'!F71,'Turns'!F86,'Turns'!F101,'Turns'!F113,'Turns'!F126,'Turns'!F142,'Turns'!F157,'Turns'!F169),"Unknown")</f>
        <v>0.0014434</v>
      </c>
      <c r="G2" s="5">
        <f>IF(ISNUMBER(E2),ROUND(E2*'Reference data'!$B$2,0),"Unknown")</f>
        <v>127.0</v>
      </c>
      <c r="H2" s="5">
        <f>IF(ISNUMBER(F2),ROUND(F2*'Reference data'!$B$2,0),"Unknown")</f>
        <v>144.0</v>
      </c>
    </row>
    <row r="3" spans="1:13" s="4" customFormat="1" ht="24" customHeight="1">
      <c r="B3" s="4">
        <v>1</v>
      </c>
      <c r="C3" s="4" t="s">
        <v>92</v>
      </c>
      <c r="E3" s="2">
        <f>IF(COUNT('Turns'!E16,'Turns'!E31,'Turns'!E46,'Turns'!E58)=4,SUM('Turns'!E16,'Turns'!E31,'Turns'!E46,'Turns'!E58),"Unknown")</f>
        <v>0.000342042912</v>
      </c>
      <c r="F3" s="2">
        <f>IF(COUNT('Turns'!F16,'Turns'!F31,'Turns'!F46,'Turns'!F58)=4,SUM('Turns'!F16,'Turns'!F31,'Turns'!F46,'Turns'!F58),"Unknown")</f>
        <v>0.0003888</v>
      </c>
      <c r="G3" s="5">
        <f>IF(ISNUMBER(E3),ROUND(E3*'Reference data'!$B$2,0),"Unknown")</f>
        <v>34.0</v>
      </c>
      <c r="H3" s="5">
        <f>IF(ISNUMBER(F3),ROUND(F3*'Reference data'!$B$2,0),"Unknown")</f>
        <v>39.0</v>
      </c>
    </row>
    <row r="4" spans="1:13" s="4" customFormat="1" ht="24" customHeight="1">
      <c r="A4" s="4" t="s">
        <v>93</v>
      </c>
      <c r="B4" s="4">
        <v>1</v>
      </c>
      <c r="C4" s="4" t="s">
        <v>94</v>
      </c>
      <c r="D4" s="4">
        <v>262</v>
      </c>
      <c r="J4" s="4" t="s">
        <v>95</v>
      </c>
      <c r="M4" s="4" t="s">
        <v>96</v>
      </c>
    </row>
    <row r="5" spans="1:13" ht="24" customHeight="1">
      <c r="A5" t="s">
        <v>93</v>
      </c>
      <c r="B5">
        <v>1</v>
      </c>
      <c r="C5" t="s">
        <v>97</v>
      </c>
      <c r="D5" s="5">
        <v>262</v>
      </c>
      <c r="E5" s="2">
        <f>IF(AND(ISNUMBER(F5),ISNUMBER('Reference data'!$B$3)),F5*'Reference data'!$B$3,"Unknown")</f>
        <v>4.6098376e-05</v>
      </c>
      <c r="F5" s="2">
        <f>IF(D5=0,0,IF(ISNUMBER('Reference data'!B17),D5*'Reference data'!B17/1000000,"Unknown"))</f>
        <v>5.24e-05</v>
      </c>
      <c r="G5" s="5">
        <f>IF(ISNUMBER(E5),ROUND(E5*'Reference data'!$B$2,0),"Unknown")</f>
        <v>5.0</v>
      </c>
      <c r="H5" s="5">
        <f>IF(ISNUMBER(F5),ROUND(F5*'Reference data'!$B$2,0),"Unknown")</f>
        <v>5.0</v>
      </c>
    </row>
    <row r="6" spans="1:13" ht="24" customHeight="1">
      <c r="A6" t="s">
        <v>93</v>
      </c>
      <c r="B6">
        <v>1</v>
      </c>
      <c r="C6" t="s">
        <v>98</v>
      </c>
    </row>
    <row r="7" spans="1:13" ht="86" customHeight="1">
      <c r="A7" t="s">
        <v>93</v>
      </c>
      <c r="B7">
        <v>1</v>
      </c>
      <c r="C7" t="s">
        <v>99</v>
      </c>
      <c r="I7" s="6" t="s">
        <v>100</v>
      </c>
    </row>
    <row r="8" spans="1:13" ht="24" customHeight="1">
      <c r="A8" t="s">
        <v>93</v>
      </c>
      <c r="B8">
        <v>1</v>
      </c>
      <c r="C8" t="s">
        <v>101</v>
      </c>
      <c r="I8" s="6" t="s">
        <v>102</v>
      </c>
    </row>
    <row r="9" spans="1:13" ht="24" customHeight="1">
      <c r="A9" t="s">
        <v>93</v>
      </c>
      <c r="B9">
        <v>1</v>
      </c>
      <c r="C9" t="s">
        <v>103</v>
      </c>
    </row>
    <row r="10" spans="1:13" ht="24" customHeight="1">
      <c r="A10" t="s">
        <v>93</v>
      </c>
      <c r="B10">
        <v>1</v>
      </c>
      <c r="C10" t="s">
        <v>104</v>
      </c>
    </row>
    <row r="11" spans="1:13" s="4" customFormat="1" ht="24" customHeight="1">
      <c r="A11" s="4" t="s">
        <v>93</v>
      </c>
      <c r="B11" s="4">
        <v>1</v>
      </c>
      <c r="C11" s="4" t="s">
        <v>105</v>
      </c>
      <c r="D11" s="4">
        <v>56</v>
      </c>
    </row>
    <row r="12" spans="1:13" ht="24" customHeight="1">
      <c r="A12" t="s">
        <v>93</v>
      </c>
      <c r="B12">
        <v>1</v>
      </c>
      <c r="C12" t="s">
        <v>106</v>
      </c>
      <c r="D12" s="5">
        <v>56</v>
      </c>
      <c r="E12" s="2">
        <f>IF(AND(ISNUMBER(F12),ISNUMBER('Reference data'!$B$3)),F12*'Reference data'!$B$3,"Unknown")</f>
        <v>5.9118528e-05</v>
      </c>
      <c r="F12" s="2">
        <f>IF(D12=0,0,IF(ISNUMBER('Reference data'!E17),D12*'Reference data'!E17/1000000,"Unknown"))</f>
        <v>6.72e-05</v>
      </c>
      <c r="G12" s="5">
        <f>IF(ISNUMBER(E12),ROUND(E12*'Reference data'!$B$2,0),"Unknown")</f>
        <v>6.0</v>
      </c>
      <c r="H12" s="5">
        <f>IF(ISNUMBER(F12),ROUND(F12*'Reference data'!$B$2,0),"Unknown")</f>
        <v>7.0</v>
      </c>
    </row>
    <row r="13" spans="1:13" ht="125" customHeight="1">
      <c r="A13" t="s">
        <v>93</v>
      </c>
      <c r="B13">
        <v>1</v>
      </c>
      <c r="C13" t="s">
        <v>107</v>
      </c>
      <c r="I13" s="6" t="s">
        <v>108</v>
      </c>
    </row>
    <row r="14" spans="1:13" ht="24" customHeight="1">
      <c r="A14" t="s">
        <v>93</v>
      </c>
      <c r="B14">
        <v>1</v>
      </c>
      <c r="C14" t="s">
        <v>103</v>
      </c>
    </row>
    <row r="15" spans="1:13" ht="24" customHeight="1">
      <c r="A15" t="s">
        <v>93</v>
      </c>
      <c r="B15">
        <v>1</v>
      </c>
      <c r="C15" t="s">
        <v>104</v>
      </c>
    </row>
    <row r="16" spans="1:13" s="4" customFormat="1" ht="24" customHeight="1">
      <c r="A16" s="4" t="s">
        <v>93</v>
      </c>
      <c r="B16" s="4">
        <v>1</v>
      </c>
      <c r="C16" s="4" t="s">
        <v>109</v>
      </c>
      <c r="E16" s="2">
        <f>IF(COUNT('Turns'!E5,'Turns'!E12)=2,SUM('Turns'!E5,'Turns'!E12),"Unknown")</f>
        <v>0.000105216904</v>
      </c>
      <c r="F16" s="2">
        <f>IF(COUNT('Turns'!F5,'Turns'!F12)=2,SUM('Turns'!F5,'Turns'!F12),"Unknown")</f>
        <v>0.0001196</v>
      </c>
      <c r="G16" s="5">
        <f>IF(ISNUMBER(E16),ROUND(E16*'Reference data'!$B$2,0),"Unknown")</f>
        <v>11.0</v>
      </c>
      <c r="H16" s="5">
        <f>IF(ISNUMBER(F16),ROUND(F16*'Reference data'!$B$2,0),"Unknown")</f>
        <v>12.0</v>
      </c>
      <c r="K16" s="4" t="s">
        <v>110</v>
      </c>
    </row>
    <row r="17" spans="1:13" s="4" customFormat="1" ht="24" customHeight="1">
      <c r="B17" s="4">
        <v>1</v>
      </c>
      <c r="C17" s="4" t="s">
        <v>111</v>
      </c>
      <c r="K17" s="4" t="s">
        <v>110</v>
      </c>
      <c r="M17" s="4" t="s">
        <v>112</v>
      </c>
    </row>
    <row r="18" spans="1:13" ht="47" customHeight="1">
      <c r="B18">
        <v>1</v>
      </c>
      <c r="C18" t="s">
        <v>113</v>
      </c>
      <c r="I18" s="6" t="s">
        <v>114</v>
      </c>
    </row>
    <row r="19" spans="1:13" ht="47" customHeight="1">
      <c r="B19">
        <v>1</v>
      </c>
      <c r="C19" t="s">
        <v>115</v>
      </c>
      <c r="I19" s="6" t="s">
        <v>116</v>
      </c>
    </row>
    <row r="20" spans="1:13" s="4" customFormat="1" ht="24" customHeight="1">
      <c r="A20" s="4" t="s">
        <v>117</v>
      </c>
      <c r="B20" s="4">
        <v>1</v>
      </c>
      <c r="C20" s="4" t="s">
        <v>94</v>
      </c>
      <c r="D20" s="4">
        <v>193</v>
      </c>
      <c r="J20" s="4" t="s">
        <v>95</v>
      </c>
      <c r="M20" s="4" t="s">
        <v>118</v>
      </c>
    </row>
    <row r="21" spans="1:13" ht="24" customHeight="1">
      <c r="A21" t="s">
        <v>117</v>
      </c>
      <c r="B21">
        <v>1</v>
      </c>
      <c r="C21" t="s">
        <v>97</v>
      </c>
      <c r="D21" s="5">
        <v>193</v>
      </c>
      <c r="E21" s="2">
        <f>IF(AND(ISNUMBER(F21),ISNUMBER('Reference data'!$B$3)),F21*'Reference data'!$B$3,"Unknown")</f>
        <v>3.3957964e-05</v>
      </c>
      <c r="F21" s="2">
        <f>IF(D21=0,0,IF(ISNUMBER('Reference data'!B17),D21*'Reference data'!B17/1000000,"Unknown"))</f>
        <v>3.86e-05</v>
      </c>
      <c r="G21" s="5">
        <f>IF(ISNUMBER(E21),ROUND(E21*'Reference data'!$B$2,0),"Unknown")</f>
        <v>3.0</v>
      </c>
      <c r="H21" s="5">
        <f>IF(ISNUMBER(F21),ROUND(F21*'Reference data'!$B$2,0),"Unknown")</f>
        <v>4.0</v>
      </c>
    </row>
    <row r="22" spans="1:13" ht="24" customHeight="1">
      <c r="A22" t="s">
        <v>117</v>
      </c>
      <c r="B22">
        <v>1</v>
      </c>
      <c r="C22" t="s">
        <v>98</v>
      </c>
    </row>
    <row r="23" spans="1:13" ht="73" customHeight="1">
      <c r="A23" t="s">
        <v>117</v>
      </c>
      <c r="B23">
        <v>1</v>
      </c>
      <c r="C23" t="s">
        <v>99</v>
      </c>
      <c r="I23" s="6" t="s">
        <v>119</v>
      </c>
    </row>
    <row r="24" spans="1:13" ht="24" customHeight="1">
      <c r="A24" t="s">
        <v>117</v>
      </c>
      <c r="B24">
        <v>1</v>
      </c>
      <c r="C24" t="s">
        <v>103</v>
      </c>
    </row>
    <row r="25" spans="1:13" ht="24" customHeight="1">
      <c r="A25" t="s">
        <v>117</v>
      </c>
      <c r="B25">
        <v>1</v>
      </c>
      <c r="C25" t="s">
        <v>104</v>
      </c>
    </row>
    <row r="26" spans="1:13" s="4" customFormat="1" ht="24" customHeight="1">
      <c r="A26" s="4" t="s">
        <v>117</v>
      </c>
      <c r="B26" s="4">
        <v>1</v>
      </c>
      <c r="C26" s="4" t="s">
        <v>105</v>
      </c>
      <c r="D26" s="4">
        <v>26</v>
      </c>
    </row>
    <row r="27" spans="1:13" ht="24" customHeight="1">
      <c r="A27" t="s">
        <v>117</v>
      </c>
      <c r="B27">
        <v>1</v>
      </c>
      <c r="C27" t="s">
        <v>106</v>
      </c>
      <c r="D27" s="5">
        <v>26</v>
      </c>
      <c r="E27" s="2">
        <f>IF(AND(ISNUMBER(F27),ISNUMBER('Reference data'!$B$3)),F27*'Reference data'!$B$3,"Unknown")</f>
        <v>2.7447888e-05</v>
      </c>
      <c r="F27" s="2">
        <f>IF(D27=0,0,IF(ISNUMBER('Reference data'!E17),D27*'Reference data'!E17/1000000,"Unknown"))</f>
        <v>3.12e-05</v>
      </c>
      <c r="G27" s="5">
        <f>IF(ISNUMBER(E27),ROUND(E27*'Reference data'!$B$2,0),"Unknown")</f>
        <v>3.0</v>
      </c>
      <c r="H27" s="5">
        <f>IF(ISNUMBER(F27),ROUND(F27*'Reference data'!$B$2,0),"Unknown")</f>
        <v>3.0</v>
      </c>
    </row>
    <row r="28" spans="1:13" ht="73" customHeight="1">
      <c r="A28" t="s">
        <v>117</v>
      </c>
      <c r="B28">
        <v>1</v>
      </c>
      <c r="C28" t="s">
        <v>107</v>
      </c>
      <c r="I28" s="6" t="s">
        <v>120</v>
      </c>
    </row>
    <row r="29" spans="1:13" ht="24" customHeight="1">
      <c r="A29" t="s">
        <v>117</v>
      </c>
      <c r="B29">
        <v>1</v>
      </c>
      <c r="C29" t="s">
        <v>103</v>
      </c>
    </row>
    <row r="30" spans="1:13" ht="24" customHeight="1">
      <c r="A30" t="s">
        <v>117</v>
      </c>
      <c r="B30">
        <v>1</v>
      </c>
      <c r="C30" t="s">
        <v>104</v>
      </c>
    </row>
    <row r="31" spans="1:13" s="4" customFormat="1" ht="24" customHeight="1">
      <c r="A31" s="4" t="s">
        <v>117</v>
      </c>
      <c r="B31" s="4">
        <v>1</v>
      </c>
      <c r="C31" s="4" t="s">
        <v>109</v>
      </c>
      <c r="E31" s="2">
        <f>IF(COUNT('Turns'!E21,'Turns'!E27)=2,SUM('Turns'!E21,'Turns'!E27),"Unknown")</f>
        <v>6.1405852e-05</v>
      </c>
      <c r="F31" s="2">
        <f>IF(COUNT('Turns'!F21,'Turns'!F27)=2,SUM('Turns'!F21,'Turns'!F27),"Unknown")</f>
        <v>6.98e-05</v>
      </c>
      <c r="G31" s="5">
        <f>IF(ISNUMBER(E31),ROUND(E31*'Reference data'!$B$2,0),"Unknown")</f>
        <v>6.0</v>
      </c>
      <c r="H31" s="5">
        <f>IF(ISNUMBER(F31),ROUND(F31*'Reference data'!$B$2,0),"Unknown")</f>
        <v>7.0</v>
      </c>
      <c r="K31" s="4" t="s">
        <v>110</v>
      </c>
    </row>
    <row r="32" spans="1:13" s="4" customFormat="1" ht="24" customHeight="1">
      <c r="B32" s="4">
        <v>1</v>
      </c>
      <c r="C32" s="4" t="s">
        <v>121</v>
      </c>
      <c r="K32" s="4" t="s">
        <v>110</v>
      </c>
      <c r="M32" s="4" t="s">
        <v>122</v>
      </c>
    </row>
    <row r="33" spans="1:13" ht="24" customHeight="1">
      <c r="B33">
        <v>1</v>
      </c>
      <c r="C33" t="s">
        <v>113</v>
      </c>
      <c r="I33" s="6" t="s">
        <v>123</v>
      </c>
    </row>
    <row r="34" spans="1:13" ht="47" customHeight="1">
      <c r="B34">
        <v>1</v>
      </c>
      <c r="C34" t="s">
        <v>115</v>
      </c>
      <c r="I34" s="6" t="s">
        <v>124</v>
      </c>
    </row>
    <row r="35" spans="1:13" s="4" customFormat="1" ht="24" customHeight="1">
      <c r="A35" s="4" t="s">
        <v>125</v>
      </c>
      <c r="B35" s="4">
        <v>1</v>
      </c>
      <c r="C35" s="4" t="s">
        <v>94</v>
      </c>
      <c r="D35" s="4">
        <v>267</v>
      </c>
      <c r="J35" s="4" t="s">
        <v>95</v>
      </c>
      <c r="M35" s="4" t="s">
        <v>126</v>
      </c>
    </row>
    <row r="36" spans="1:13" ht="24" customHeight="1">
      <c r="A36" t="s">
        <v>125</v>
      </c>
      <c r="B36">
        <v>1</v>
      </c>
      <c r="C36" t="s">
        <v>127</v>
      </c>
      <c r="D36" s="5">
        <v>0</v>
      </c>
      <c r="E36" s="2">
        <f>IF(AND(ISNUMBER(F36),ISNUMBER('Reference data'!$B$3)),F36*'Reference data'!$B$3,"Unknown")</f>
        <v>0.0</v>
      </c>
      <c r="F36" s="2">
        <f>IF(D36=0,0,IF(ISNUMBER('Reference data'!C17),D36*'Reference data'!C17/1000000,"Unknown"))</f>
        <v>0.0</v>
      </c>
      <c r="G36" s="5">
        <f>IF(ISNUMBER(E36),ROUND(E36*'Reference data'!$B$2,0),"Unknown")</f>
        <v>0.0</v>
      </c>
      <c r="H36" s="5">
        <f>IF(ISNUMBER(F36),ROUND(F36*'Reference data'!$B$2,0),"Unknown")</f>
        <v>0.0</v>
      </c>
    </row>
    <row r="37" spans="1:13" ht="24" customHeight="1">
      <c r="A37" t="s">
        <v>125</v>
      </c>
      <c r="B37">
        <v>1</v>
      </c>
      <c r="C37" t="s">
        <v>97</v>
      </c>
      <c r="D37" s="5">
        <v>267</v>
      </c>
      <c r="E37" s="2">
        <f>IF(AND(ISNUMBER(F37),ISNUMBER('Reference data'!$B$3)),F37*'Reference data'!$B$3,"Unknown")</f>
        <v>4.6978116e-05</v>
      </c>
      <c r="F37" s="2">
        <f>IF(D37=0,0,IF(ISNUMBER('Reference data'!B17),D37*'Reference data'!B17/1000000,"Unknown"))</f>
        <v>5.34e-05</v>
      </c>
      <c r="G37" s="5">
        <f>IF(ISNUMBER(E37),ROUND(E37*'Reference data'!$B$2,0),"Unknown")</f>
        <v>5.0</v>
      </c>
      <c r="H37" s="5">
        <f>IF(ISNUMBER(F37),ROUND(F37*'Reference data'!$B$2,0),"Unknown")</f>
        <v>5.0</v>
      </c>
    </row>
    <row r="38" spans="1:13" ht="47" customHeight="1">
      <c r="A38" t="s">
        <v>125</v>
      </c>
      <c r="B38">
        <v>1</v>
      </c>
      <c r="C38" t="s">
        <v>128</v>
      </c>
      <c r="I38" s="6" t="s">
        <v>124</v>
      </c>
    </row>
    <row r="39" spans="1:13" ht="24" customHeight="1">
      <c r="A39" t="s">
        <v>125</v>
      </c>
      <c r="B39">
        <v>1</v>
      </c>
      <c r="C39" t="s">
        <v>103</v>
      </c>
    </row>
    <row r="40" spans="1:13" ht="24" customHeight="1">
      <c r="A40" t="s">
        <v>125</v>
      </c>
      <c r="B40">
        <v>1</v>
      </c>
      <c r="C40" t="s">
        <v>104</v>
      </c>
    </row>
    <row r="41" spans="1:13" s="4" customFormat="1" ht="24" customHeight="1">
      <c r="A41" s="4" t="s">
        <v>125</v>
      </c>
      <c r="B41" s="4">
        <v>1</v>
      </c>
      <c r="C41" s="4" t="s">
        <v>105</v>
      </c>
      <c r="D41" s="4">
        <v>40</v>
      </c>
    </row>
    <row r="42" spans="1:13" ht="24" customHeight="1">
      <c r="A42" t="s">
        <v>125</v>
      </c>
      <c r="B42">
        <v>1</v>
      </c>
      <c r="C42" t="s">
        <v>106</v>
      </c>
      <c r="D42" s="5">
        <v>40</v>
      </c>
      <c r="E42" s="2">
        <f>IF(AND(ISNUMBER(F42),ISNUMBER('Reference data'!$B$3)),F42*'Reference data'!$B$3,"Unknown")</f>
        <v>4.222752e-05</v>
      </c>
      <c r="F42" s="2">
        <f>IF(D42=0,0,IF(ISNUMBER('Reference data'!E17),D42*'Reference data'!E17/1000000,"Unknown"))</f>
        <v>4.8e-05</v>
      </c>
      <c r="G42" s="5">
        <f>IF(ISNUMBER(E42),ROUND(E42*'Reference data'!$B$2,0),"Unknown")</f>
        <v>4.0</v>
      </c>
      <c r="H42" s="5">
        <f>IF(ISNUMBER(F42),ROUND(F42*'Reference data'!$B$2,0),"Unknown")</f>
        <v>5.0</v>
      </c>
    </row>
    <row r="43" spans="1:13" ht="47" customHeight="1">
      <c r="A43" t="s">
        <v>125</v>
      </c>
      <c r="B43">
        <v>1</v>
      </c>
      <c r="C43" t="s">
        <v>107</v>
      </c>
      <c r="I43" s="6" t="s">
        <v>129</v>
      </c>
    </row>
    <row r="44" spans="1:13" ht="24" customHeight="1">
      <c r="A44" t="s">
        <v>125</v>
      </c>
      <c r="B44">
        <v>1</v>
      </c>
      <c r="C44" t="s">
        <v>103</v>
      </c>
    </row>
    <row r="45" spans="1:13" ht="24" customHeight="1">
      <c r="A45" t="s">
        <v>125</v>
      </c>
      <c r="B45">
        <v>1</v>
      </c>
      <c r="C45" t="s">
        <v>104</v>
      </c>
    </row>
    <row r="46" spans="1:13" s="4" customFormat="1" ht="24" customHeight="1">
      <c r="A46" s="4" t="s">
        <v>125</v>
      </c>
      <c r="B46" s="4">
        <v>1</v>
      </c>
      <c r="C46" s="4" t="s">
        <v>109</v>
      </c>
      <c r="E46" s="2">
        <f>IF(COUNT('Turns'!E36,'Turns'!E37,'Turns'!E42)=3,SUM('Turns'!E36,'Turns'!E37,'Turns'!E42),"Unknown")</f>
        <v>8.9205636e-05</v>
      </c>
      <c r="F46" s="2">
        <f>IF(COUNT('Turns'!F36,'Turns'!F37,'Turns'!F42)=3,SUM('Turns'!F36,'Turns'!F37,'Turns'!F42),"Unknown")</f>
        <v>0.0001014</v>
      </c>
      <c r="G46" s="5">
        <f>IF(ISNUMBER(E46),ROUND(E46*'Reference data'!$B$2,0),"Unknown")</f>
        <v>9.0</v>
      </c>
      <c r="H46" s="5">
        <f>IF(ISNUMBER(F46),ROUND(F46*'Reference data'!$B$2,0),"Unknown")</f>
        <v>10.0</v>
      </c>
      <c r="K46" s="4" t="s">
        <v>110</v>
      </c>
    </row>
    <row r="47" spans="1:13" s="4" customFormat="1" ht="24" customHeight="1">
      <c r="A47" s="4" t="s">
        <v>130</v>
      </c>
      <c r="B47" s="4">
        <v>1</v>
      </c>
      <c r="C47" s="4" t="s">
        <v>94</v>
      </c>
      <c r="D47" s="4">
        <v>364</v>
      </c>
      <c r="J47" s="4" t="s">
        <v>95</v>
      </c>
      <c r="M47" s="4" t="s">
        <v>131</v>
      </c>
    </row>
    <row r="48" spans="1:13" ht="24" customHeight="1">
      <c r="A48" t="s">
        <v>130</v>
      </c>
      <c r="B48">
        <v>1</v>
      </c>
      <c r="C48" t="s">
        <v>127</v>
      </c>
      <c r="D48" s="5">
        <v>0</v>
      </c>
      <c r="E48" s="2">
        <f>IF(AND(ISNUMBER(F48),ISNUMBER('Reference data'!$B$3)),F48*'Reference data'!$B$3,"Unknown")</f>
        <v>0.0</v>
      </c>
      <c r="F48" s="2">
        <f>IF(D48=0,0,IF(ISNUMBER('Reference data'!C17),D48*'Reference data'!C17/1000000,"Unknown"))</f>
        <v>0.0</v>
      </c>
      <c r="G48" s="5">
        <f>IF(ISNUMBER(E48),ROUND(E48*'Reference data'!$B$2,0),"Unknown")</f>
        <v>0.0</v>
      </c>
      <c r="H48" s="5">
        <f>IF(ISNUMBER(F48),ROUND(F48*'Reference data'!$B$2,0),"Unknown")</f>
        <v>0.0</v>
      </c>
    </row>
    <row r="49" spans="1:13" ht="24" customHeight="1">
      <c r="A49" t="s">
        <v>130</v>
      </c>
      <c r="B49">
        <v>1</v>
      </c>
      <c r="C49" t="s">
        <v>97</v>
      </c>
      <c r="D49" s="5">
        <v>364</v>
      </c>
      <c r="E49" s="2">
        <f>IF(AND(ISNUMBER(F49),ISNUMBER('Reference data'!$B$3)),F49*'Reference data'!$B$3,"Unknown")</f>
        <v>6.4045072e-05</v>
      </c>
      <c r="F49" s="2">
        <f>IF(D49=0,0,IF(ISNUMBER('Reference data'!B17),D49*'Reference data'!B17/1000000,"Unknown"))</f>
        <v>7.28e-05</v>
      </c>
      <c r="G49" s="5">
        <f>IF(ISNUMBER(E49),ROUND(E49*'Reference data'!$B$2,0),"Unknown")</f>
        <v>6.0</v>
      </c>
      <c r="H49" s="5">
        <f>IF(ISNUMBER(F49),ROUND(F49*'Reference data'!$B$2,0),"Unknown")</f>
        <v>7.0</v>
      </c>
    </row>
    <row r="50" spans="1:13" ht="34" customHeight="1">
      <c r="A50" t="s">
        <v>130</v>
      </c>
      <c r="B50">
        <v>1</v>
      </c>
      <c r="C50" t="s">
        <v>128</v>
      </c>
      <c r="I50" s="6" t="s">
        <v>132</v>
      </c>
    </row>
    <row r="51" spans="1:13" ht="24" customHeight="1">
      <c r="A51" t="s">
        <v>130</v>
      </c>
      <c r="B51">
        <v>1</v>
      </c>
      <c r="C51" t="s">
        <v>103</v>
      </c>
    </row>
    <row r="52" spans="1:13" ht="24" customHeight="1">
      <c r="A52" t="s">
        <v>130</v>
      </c>
      <c r="B52">
        <v>1</v>
      </c>
      <c r="C52" t="s">
        <v>104</v>
      </c>
    </row>
    <row r="53" spans="1:13" s="4" customFormat="1" ht="24" customHeight="1">
      <c r="A53" s="4" t="s">
        <v>130</v>
      </c>
      <c r="B53" s="4">
        <v>1</v>
      </c>
      <c r="C53" s="4" t="s">
        <v>105</v>
      </c>
      <c r="D53" s="4">
        <v>21</v>
      </c>
    </row>
    <row r="54" spans="1:13" ht="24" customHeight="1">
      <c r="A54" t="s">
        <v>130</v>
      </c>
      <c r="B54">
        <v>1</v>
      </c>
      <c r="C54" t="s">
        <v>106</v>
      </c>
      <c r="D54" s="5">
        <v>21</v>
      </c>
      <c r="E54" s="2">
        <f>IF(AND(ISNUMBER(F54),ISNUMBER('Reference data'!$B$3)),F54*'Reference data'!$B$3,"Unknown")</f>
        <v>2.2169448e-05</v>
      </c>
      <c r="F54" s="2">
        <f>IF(D54=0,0,IF(ISNUMBER('Reference data'!E17),D54*'Reference data'!E17/1000000,"Unknown"))</f>
        <v>2.52e-05</v>
      </c>
      <c r="G54" s="5">
        <f>IF(ISNUMBER(E54),ROUND(E54*'Reference data'!$B$2,0),"Unknown")</f>
        <v>2.0</v>
      </c>
      <c r="H54" s="5">
        <f>IF(ISNUMBER(F54),ROUND(F54*'Reference data'!$B$2,0),"Unknown")</f>
        <v>3.0</v>
      </c>
    </row>
    <row r="55" spans="1:13" ht="47" customHeight="1">
      <c r="A55" t="s">
        <v>130</v>
      </c>
      <c r="B55">
        <v>1</v>
      </c>
      <c r="C55" t="s">
        <v>107</v>
      </c>
      <c r="I55" s="6" t="s">
        <v>133</v>
      </c>
    </row>
    <row r="56" spans="1:13" ht="24" customHeight="1">
      <c r="A56" t="s">
        <v>130</v>
      </c>
      <c r="B56">
        <v>1</v>
      </c>
      <c r="C56" t="s">
        <v>103</v>
      </c>
    </row>
    <row r="57" spans="1:13" ht="24" customHeight="1">
      <c r="A57" t="s">
        <v>130</v>
      </c>
      <c r="B57">
        <v>1</v>
      </c>
      <c r="C57" t="s">
        <v>104</v>
      </c>
    </row>
    <row r="58" spans="1:13" s="4" customFormat="1" ht="24" customHeight="1">
      <c r="A58" s="4" t="s">
        <v>130</v>
      </c>
      <c r="B58" s="4">
        <v>1</v>
      </c>
      <c r="C58" s="4" t="s">
        <v>109</v>
      </c>
      <c r="E58" s="2">
        <f>IF(COUNT('Turns'!E48,'Turns'!E49,'Turns'!E54)=3,SUM('Turns'!E48,'Turns'!E49,'Turns'!E54),"Unknown")</f>
        <v>8.621452e-05</v>
      </c>
      <c r="F58" s="2">
        <f>IF(COUNT('Turns'!F48,'Turns'!F49,'Turns'!F54)=3,SUM('Turns'!F48,'Turns'!F49,'Turns'!F54),"Unknown")</f>
        <v>9.8e-05</v>
      </c>
      <c r="G58" s="5">
        <f>IF(ISNUMBER(E58),ROUND(E58*'Reference data'!$B$2,0),"Unknown")</f>
        <v>9.0</v>
      </c>
      <c r="H58" s="5">
        <f>IF(ISNUMBER(F58),ROUND(F58*'Reference data'!$B$2,0),"Unknown")</f>
        <v>10.0</v>
      </c>
      <c r="K58" s="4" t="s">
        <v>110</v>
      </c>
    </row>
    <row r="59" spans="1:13" s="4" customFormat="1" ht="24" customHeight="1">
      <c r="B59" s="4">
        <v>2</v>
      </c>
      <c r="C59" s="4" t="s">
        <v>134</v>
      </c>
      <c r="E59" s="2">
        <f>IF(COUNT('Turns'!E71,'Turns'!E86,'Turns'!E101,'Turns'!E113)=4,SUM('Turns'!E71,'Turns'!E86,'Turns'!E101,'Turns'!E113),"Unknown")</f>
        <v>0.000451482568</v>
      </c>
      <c r="F59" s="2">
        <f>IF(COUNT('Turns'!F71,'Turns'!F86,'Turns'!F101,'Turns'!F113)=4,SUM('Turns'!F71,'Turns'!F86,'Turns'!F101,'Turns'!F113),"Unknown")</f>
        <v>0.0005132</v>
      </c>
      <c r="G59" s="5">
        <f>IF(ISNUMBER(E59),ROUND(E59*'Reference data'!$B$2,0),"Unknown")</f>
        <v>45.0</v>
      </c>
      <c r="H59" s="5">
        <f>IF(ISNUMBER(F59),ROUND(F59*'Reference data'!$B$2,0),"Unknown")</f>
        <v>51.0</v>
      </c>
    </row>
    <row r="60" spans="1:13" s="4" customFormat="1" ht="24" customHeight="1">
      <c r="A60" s="4" t="s">
        <v>135</v>
      </c>
      <c r="B60" s="4">
        <v>2</v>
      </c>
      <c r="C60" s="4" t="s">
        <v>94</v>
      </c>
      <c r="D60" s="4">
        <v>402</v>
      </c>
      <c r="J60" s="4" t="s">
        <v>95</v>
      </c>
      <c r="M60" s="4" t="s">
        <v>136</v>
      </c>
    </row>
    <row r="61" spans="1:13" ht="24" customHeight="1">
      <c r="A61" t="s">
        <v>135</v>
      </c>
      <c r="B61">
        <v>2</v>
      </c>
      <c r="C61" t="s">
        <v>127</v>
      </c>
      <c r="D61" s="5">
        <v>0</v>
      </c>
      <c r="E61" s="2">
        <f>IF(AND(ISNUMBER(F61),ISNUMBER('Reference data'!$B$3)),F61*'Reference data'!$B$3,"Unknown")</f>
        <v>0.0</v>
      </c>
      <c r="F61" s="2">
        <f>IF(D61=0,0,IF(ISNUMBER('Reference data'!C17),D61*'Reference data'!C17/1000000,"Unknown"))</f>
        <v>0.0</v>
      </c>
      <c r="G61" s="5">
        <f>IF(ISNUMBER(E61),ROUND(E61*'Reference data'!$B$2,0),"Unknown")</f>
        <v>0.0</v>
      </c>
      <c r="H61" s="5">
        <f>IF(ISNUMBER(F61),ROUND(F61*'Reference data'!$B$2,0),"Unknown")</f>
        <v>0.0</v>
      </c>
    </row>
    <row r="62" spans="1:13" ht="24" customHeight="1">
      <c r="A62" t="s">
        <v>135</v>
      </c>
      <c r="B62">
        <v>2</v>
      </c>
      <c r="C62" t="s">
        <v>97</v>
      </c>
      <c r="D62" s="5">
        <v>402</v>
      </c>
      <c r="E62" s="2">
        <f>IF(AND(ISNUMBER(F62),ISNUMBER('Reference data'!$B$3)),F62*'Reference data'!$B$3,"Unknown")</f>
        <v>7.0731096e-05</v>
      </c>
      <c r="F62" s="2">
        <f>IF(D62=0,0,IF(ISNUMBER('Reference data'!B17),D62*'Reference data'!B17/1000000,"Unknown"))</f>
        <v>8.04e-05</v>
      </c>
      <c r="G62" s="5">
        <f>IF(ISNUMBER(E62),ROUND(E62*'Reference data'!$B$2,0),"Unknown")</f>
        <v>7.0</v>
      </c>
      <c r="H62" s="5">
        <f>IF(ISNUMBER(F62),ROUND(F62*'Reference data'!$B$2,0),"Unknown")</f>
        <v>8.0</v>
      </c>
    </row>
    <row r="63" spans="1:13" ht="24" customHeight="1">
      <c r="A63" t="s">
        <v>135</v>
      </c>
      <c r="B63">
        <v>2</v>
      </c>
      <c r="C63" t="s">
        <v>101</v>
      </c>
      <c r="I63" s="6" t="s">
        <v>137</v>
      </c>
    </row>
    <row r="64" spans="1:13" ht="24" customHeight="1">
      <c r="A64" t="s">
        <v>135</v>
      </c>
      <c r="B64">
        <v>2</v>
      </c>
      <c r="C64" t="s">
        <v>103</v>
      </c>
    </row>
    <row r="65" spans="1:13" ht="24" customHeight="1">
      <c r="A65" t="s">
        <v>135</v>
      </c>
      <c r="B65">
        <v>2</v>
      </c>
      <c r="C65" t="s">
        <v>104</v>
      </c>
    </row>
    <row r="66" spans="1:13" s="4" customFormat="1" ht="24" customHeight="1">
      <c r="A66" s="4" t="s">
        <v>135</v>
      </c>
      <c r="B66" s="4">
        <v>2</v>
      </c>
      <c r="C66" s="4" t="s">
        <v>105</v>
      </c>
      <c r="D66" s="4">
        <v>67</v>
      </c>
    </row>
    <row r="67" spans="1:13" ht="24" customHeight="1">
      <c r="A67" t="s">
        <v>135</v>
      </c>
      <c r="B67">
        <v>2</v>
      </c>
      <c r="C67" t="s">
        <v>106</v>
      </c>
      <c r="D67" s="5">
        <v>67</v>
      </c>
      <c r="E67" s="2">
        <f>IF(AND(ISNUMBER(F67),ISNUMBER('Reference data'!$B$3)),F67*'Reference data'!$B$3,"Unknown")</f>
        <v>7.0731096e-05</v>
      </c>
      <c r="F67" s="2">
        <f>IF(D67=0,0,IF(ISNUMBER('Reference data'!E17),D67*'Reference data'!E17/1000000,"Unknown"))</f>
        <v>8.04e-05</v>
      </c>
      <c r="G67" s="5">
        <f>IF(ISNUMBER(E67),ROUND(E67*'Reference data'!$B$2,0),"Unknown")</f>
        <v>7.0</v>
      </c>
      <c r="H67" s="5">
        <f>IF(ISNUMBER(F67),ROUND(F67*'Reference data'!$B$2,0),"Unknown")</f>
        <v>8.0</v>
      </c>
    </row>
    <row r="68" spans="1:13" ht="151" customHeight="1">
      <c r="A68" t="s">
        <v>135</v>
      </c>
      <c r="B68">
        <v>2</v>
      </c>
      <c r="C68" t="s">
        <v>107</v>
      </c>
      <c r="I68" s="6" t="s">
        <v>138</v>
      </c>
    </row>
    <row r="69" spans="1:13" ht="24" customHeight="1">
      <c r="A69" t="s">
        <v>135</v>
      </c>
      <c r="B69">
        <v>2</v>
      </c>
      <c r="C69" t="s">
        <v>103</v>
      </c>
    </row>
    <row r="70" spans="1:13" ht="24" customHeight="1">
      <c r="A70" t="s">
        <v>135</v>
      </c>
      <c r="B70">
        <v>2</v>
      </c>
      <c r="C70" t="s">
        <v>104</v>
      </c>
    </row>
    <row r="71" spans="1:13" s="4" customFormat="1" ht="24" customHeight="1">
      <c r="A71" s="4" t="s">
        <v>135</v>
      </c>
      <c r="B71" s="4">
        <v>2</v>
      </c>
      <c r="C71" s="4" t="s">
        <v>109</v>
      </c>
      <c r="E71" s="2">
        <f>IF(COUNT('Turns'!E61,'Turns'!E62,'Turns'!E67)=3,SUM('Turns'!E61,'Turns'!E62,'Turns'!E67),"Unknown")</f>
        <v>0.000141462192</v>
      </c>
      <c r="F71" s="2">
        <f>IF(COUNT('Turns'!F61,'Turns'!F62,'Turns'!F67)=3,SUM('Turns'!F61,'Turns'!F62,'Turns'!F67),"Unknown")</f>
        <v>0.0001608</v>
      </c>
      <c r="G71" s="5">
        <f>IF(ISNUMBER(E71),ROUND(E71*'Reference data'!$B$2,0),"Unknown")</f>
        <v>14.0</v>
      </c>
      <c r="H71" s="5">
        <f>IF(ISNUMBER(F71),ROUND(F71*'Reference data'!$B$2,0),"Unknown")</f>
        <v>16.0</v>
      </c>
      <c r="K71" s="4" t="s">
        <v>110</v>
      </c>
    </row>
    <row r="72" spans="1:13" s="4" customFormat="1" ht="24" customHeight="1">
      <c r="B72" s="4">
        <v>2</v>
      </c>
      <c r="C72" s="4" t="s">
        <v>111</v>
      </c>
      <c r="K72" s="4" t="s">
        <v>110</v>
      </c>
      <c r="M72" s="4" t="s">
        <v>139</v>
      </c>
    </row>
    <row r="73" spans="1:13" ht="60" customHeight="1">
      <c r="B73">
        <v>2</v>
      </c>
      <c r="C73" t="s">
        <v>113</v>
      </c>
      <c r="I73" s="6" t="s">
        <v>140</v>
      </c>
    </row>
    <row r="74" spans="1:13" ht="60" customHeight="1">
      <c r="B74">
        <v>2</v>
      </c>
      <c r="C74" t="s">
        <v>115</v>
      </c>
      <c r="I74" s="6" t="s">
        <v>141</v>
      </c>
    </row>
    <row r="75" spans="1:13" s="4" customFormat="1" ht="24" customHeight="1">
      <c r="A75" s="4" t="s">
        <v>142</v>
      </c>
      <c r="B75" s="4">
        <v>2</v>
      </c>
      <c r="C75" s="4" t="s">
        <v>94</v>
      </c>
      <c r="D75" s="4">
        <v>201</v>
      </c>
      <c r="J75" s="4" t="s">
        <v>95</v>
      </c>
      <c r="M75" s="4" t="s">
        <v>143</v>
      </c>
    </row>
    <row r="76" spans="1:13" ht="24" customHeight="1">
      <c r="A76" t="s">
        <v>142</v>
      </c>
      <c r="B76">
        <v>2</v>
      </c>
      <c r="C76" t="s">
        <v>97</v>
      </c>
      <c r="D76" s="5">
        <v>201</v>
      </c>
      <c r="E76" s="2">
        <f>IF(AND(ISNUMBER(F76),ISNUMBER('Reference data'!$B$3)),F76*'Reference data'!$B$3,"Unknown")</f>
        <v>3.5365548e-05</v>
      </c>
      <c r="F76" s="2">
        <f>IF(D76=0,0,IF(ISNUMBER('Reference data'!B17),D76*'Reference data'!B17/1000000,"Unknown"))</f>
        <v>4.02e-05</v>
      </c>
      <c r="G76" s="5">
        <f>IF(ISNUMBER(E76),ROUND(E76*'Reference data'!$B$2,0),"Unknown")</f>
        <v>4.0</v>
      </c>
      <c r="H76" s="5">
        <f>IF(ISNUMBER(F76),ROUND(F76*'Reference data'!$B$2,0),"Unknown")</f>
        <v>4.0</v>
      </c>
    </row>
    <row r="77" spans="1:13" ht="24" customHeight="1">
      <c r="A77" t="s">
        <v>142</v>
      </c>
      <c r="B77">
        <v>2</v>
      </c>
      <c r="C77" t="s">
        <v>98</v>
      </c>
    </row>
    <row r="78" spans="1:13" ht="73" customHeight="1">
      <c r="A78" t="s">
        <v>142</v>
      </c>
      <c r="B78">
        <v>2</v>
      </c>
      <c r="C78" t="s">
        <v>99</v>
      </c>
      <c r="I78" s="6" t="s">
        <v>144</v>
      </c>
    </row>
    <row r="79" spans="1:13" ht="24" customHeight="1">
      <c r="A79" t="s">
        <v>142</v>
      </c>
      <c r="B79">
        <v>2</v>
      </c>
      <c r="C79" t="s">
        <v>103</v>
      </c>
    </row>
    <row r="80" spans="1:13" ht="24" customHeight="1">
      <c r="A80" t="s">
        <v>142</v>
      </c>
      <c r="B80">
        <v>2</v>
      </c>
      <c r="C80" t="s">
        <v>104</v>
      </c>
    </row>
    <row r="81" spans="1:13" s="4" customFormat="1" ht="24" customHeight="1">
      <c r="A81" s="4" t="s">
        <v>142</v>
      </c>
      <c r="B81" s="4">
        <v>2</v>
      </c>
      <c r="C81" s="4" t="s">
        <v>105</v>
      </c>
      <c r="D81" s="4">
        <v>42</v>
      </c>
    </row>
    <row r="82" spans="1:13" ht="24" customHeight="1">
      <c r="A82" t="s">
        <v>142</v>
      </c>
      <c r="B82">
        <v>2</v>
      </c>
      <c r="C82" t="s">
        <v>106</v>
      </c>
      <c r="D82" s="5">
        <v>42</v>
      </c>
      <c r="E82" s="2">
        <f>IF(AND(ISNUMBER(F82),ISNUMBER('Reference data'!$B$3)),F82*'Reference data'!$B$3,"Unknown")</f>
        <v>4.4338896e-05</v>
      </c>
      <c r="F82" s="2">
        <f>IF(D82=0,0,IF(ISNUMBER('Reference data'!E17),D82*'Reference data'!E17/1000000,"Unknown"))</f>
        <v>5.04e-05</v>
      </c>
      <c r="G82" s="5">
        <f>IF(ISNUMBER(E82),ROUND(E82*'Reference data'!$B$2,0),"Unknown")</f>
        <v>4.0</v>
      </c>
      <c r="H82" s="5">
        <f>IF(ISNUMBER(F82),ROUND(F82*'Reference data'!$B$2,0),"Unknown")</f>
        <v>5.0</v>
      </c>
    </row>
    <row r="83" spans="1:13" ht="99" customHeight="1">
      <c r="A83" t="s">
        <v>142</v>
      </c>
      <c r="B83">
        <v>2</v>
      </c>
      <c r="C83" t="s">
        <v>107</v>
      </c>
      <c r="I83" s="6" t="s">
        <v>145</v>
      </c>
    </row>
    <row r="84" spans="1:13" ht="24" customHeight="1">
      <c r="A84" t="s">
        <v>142</v>
      </c>
      <c r="B84">
        <v>2</v>
      </c>
      <c r="C84" t="s">
        <v>103</v>
      </c>
    </row>
    <row r="85" spans="1:13" ht="24" customHeight="1">
      <c r="A85" t="s">
        <v>142</v>
      </c>
      <c r="B85">
        <v>2</v>
      </c>
      <c r="C85" t="s">
        <v>104</v>
      </c>
    </row>
    <row r="86" spans="1:13" s="4" customFormat="1" ht="24" customHeight="1">
      <c r="A86" s="4" t="s">
        <v>142</v>
      </c>
      <c r="B86" s="4">
        <v>2</v>
      </c>
      <c r="C86" s="4" t="s">
        <v>109</v>
      </c>
      <c r="E86" s="2">
        <f>IF(COUNT('Turns'!E76,'Turns'!E82)=2,SUM('Turns'!E76,'Turns'!E82),"Unknown")</f>
        <v>7.9704444e-05</v>
      </c>
      <c r="F86" s="2">
        <f>IF(COUNT('Turns'!F76,'Turns'!F82)=2,SUM('Turns'!F76,'Turns'!F82),"Unknown")</f>
        <v>9.06e-05</v>
      </c>
      <c r="G86" s="5">
        <f>IF(ISNUMBER(E86),ROUND(E86*'Reference data'!$B$2,0),"Unknown")</f>
        <v>8.0</v>
      </c>
      <c r="H86" s="5">
        <f>IF(ISNUMBER(F86),ROUND(F86*'Reference data'!$B$2,0),"Unknown")</f>
        <v>9.0</v>
      </c>
      <c r="K86" s="4" t="s">
        <v>110</v>
      </c>
    </row>
    <row r="87" spans="1:13" s="4" customFormat="1" ht="24" customHeight="1">
      <c r="B87" s="4">
        <v>2</v>
      </c>
      <c r="C87" s="4" t="s">
        <v>146</v>
      </c>
      <c r="K87" s="4" t="s">
        <v>110</v>
      </c>
      <c r="M87" s="4" t="s">
        <v>147</v>
      </c>
    </row>
    <row r="88" spans="1:13" ht="34" customHeight="1">
      <c r="B88">
        <v>2</v>
      </c>
      <c r="C88" t="s">
        <v>113</v>
      </c>
      <c r="I88" s="6" t="s">
        <v>148</v>
      </c>
    </row>
    <row r="89" spans="1:13" ht="60" customHeight="1">
      <c r="B89">
        <v>2</v>
      </c>
      <c r="C89" t="s">
        <v>115</v>
      </c>
      <c r="I89" s="6" t="s">
        <v>149</v>
      </c>
    </row>
    <row r="90" spans="1:13" s="4" customFormat="1" ht="24" customHeight="1">
      <c r="A90" s="4" t="s">
        <v>150</v>
      </c>
      <c r="B90" s="4">
        <v>2</v>
      </c>
      <c r="C90" s="4" t="s">
        <v>94</v>
      </c>
      <c r="D90" s="4">
        <v>300</v>
      </c>
      <c r="J90" s="4" t="s">
        <v>95</v>
      </c>
      <c r="M90" s="4" t="s">
        <v>151</v>
      </c>
    </row>
    <row r="91" spans="1:13" ht="24" customHeight="1">
      <c r="A91" t="s">
        <v>150</v>
      </c>
      <c r="B91">
        <v>2</v>
      </c>
      <c r="C91" t="s">
        <v>127</v>
      </c>
      <c r="D91" s="5">
        <v>0</v>
      </c>
      <c r="E91" s="2">
        <f>IF(AND(ISNUMBER(F91),ISNUMBER('Reference data'!$B$3)),F91*'Reference data'!$B$3,"Unknown")</f>
        <v>0.0</v>
      </c>
      <c r="F91" s="2">
        <f>IF(D91=0,0,IF(ISNUMBER('Reference data'!C17),D91*'Reference data'!C17/1000000,"Unknown"))</f>
        <v>0.0</v>
      </c>
      <c r="G91" s="5">
        <f>IF(ISNUMBER(E91),ROUND(E91*'Reference data'!$B$2,0),"Unknown")</f>
        <v>0.0</v>
      </c>
      <c r="H91" s="5">
        <f>IF(ISNUMBER(F91),ROUND(F91*'Reference data'!$B$2,0),"Unknown")</f>
        <v>0.0</v>
      </c>
    </row>
    <row r="92" spans="1:13" ht="24" customHeight="1">
      <c r="A92" t="s">
        <v>150</v>
      </c>
      <c r="B92">
        <v>2</v>
      </c>
      <c r="C92" t="s">
        <v>97</v>
      </c>
      <c r="D92" s="5">
        <v>300</v>
      </c>
      <c r="E92" s="2">
        <f>IF(AND(ISNUMBER(F92),ISNUMBER('Reference data'!$B$3)),F92*'Reference data'!$B$3,"Unknown")</f>
        <v>5.27844e-05</v>
      </c>
      <c r="F92" s="2">
        <f>IF(D92=0,0,IF(ISNUMBER('Reference data'!B17),D92*'Reference data'!B17/1000000,"Unknown"))</f>
        <v>6e-05</v>
      </c>
      <c r="G92" s="5">
        <f>IF(ISNUMBER(E92),ROUND(E92*'Reference data'!$B$2,0),"Unknown")</f>
        <v>5.0</v>
      </c>
      <c r="H92" s="5">
        <f>IF(ISNUMBER(F92),ROUND(F92*'Reference data'!$B$2,0),"Unknown")</f>
        <v>6.0</v>
      </c>
    </row>
    <row r="93" spans="1:13" ht="60" customHeight="1">
      <c r="A93" t="s">
        <v>150</v>
      </c>
      <c r="B93">
        <v>2</v>
      </c>
      <c r="C93" t="s">
        <v>128</v>
      </c>
      <c r="I93" s="6" t="s">
        <v>149</v>
      </c>
    </row>
    <row r="94" spans="1:13" ht="24" customHeight="1">
      <c r="A94" t="s">
        <v>150</v>
      </c>
      <c r="B94">
        <v>2</v>
      </c>
      <c r="C94" t="s">
        <v>103</v>
      </c>
    </row>
    <row r="95" spans="1:13" ht="24" customHeight="1">
      <c r="A95" t="s">
        <v>150</v>
      </c>
      <c r="B95">
        <v>2</v>
      </c>
      <c r="C95" t="s">
        <v>104</v>
      </c>
    </row>
    <row r="96" spans="1:13" s="4" customFormat="1" ht="24" customHeight="1">
      <c r="A96" s="4" t="s">
        <v>150</v>
      </c>
      <c r="B96" s="4">
        <v>2</v>
      </c>
      <c r="C96" s="4" t="s">
        <v>105</v>
      </c>
      <c r="D96" s="4">
        <v>60</v>
      </c>
    </row>
    <row r="97" spans="1:13" ht="24" customHeight="1">
      <c r="A97" t="s">
        <v>150</v>
      </c>
      <c r="B97">
        <v>2</v>
      </c>
      <c r="C97" t="s">
        <v>106</v>
      </c>
      <c r="D97" s="5">
        <v>60</v>
      </c>
      <c r="E97" s="2">
        <f>IF(AND(ISNUMBER(F97),ISNUMBER('Reference data'!$B$3)),F97*'Reference data'!$B$3,"Unknown")</f>
        <v>6.334128e-05</v>
      </c>
      <c r="F97" s="2">
        <f>IF(D97=0,0,IF(ISNUMBER('Reference data'!E17),D97*'Reference data'!E17/1000000,"Unknown"))</f>
        <v>7.2e-05</v>
      </c>
      <c r="G97" s="5">
        <f>IF(ISNUMBER(E97),ROUND(E97*'Reference data'!$B$2,0),"Unknown")</f>
        <v>6.0</v>
      </c>
      <c r="H97" s="5">
        <f>IF(ISNUMBER(F97),ROUND(F97*'Reference data'!$B$2,0),"Unknown")</f>
        <v>7.0</v>
      </c>
    </row>
    <row r="98" spans="1:13" ht="60" customHeight="1">
      <c r="A98" t="s">
        <v>150</v>
      </c>
      <c r="B98">
        <v>2</v>
      </c>
      <c r="C98" t="s">
        <v>107</v>
      </c>
      <c r="I98" s="6" t="s">
        <v>152</v>
      </c>
    </row>
    <row r="99" spans="1:13" ht="24" customHeight="1">
      <c r="A99" t="s">
        <v>150</v>
      </c>
      <c r="B99">
        <v>2</v>
      </c>
      <c r="C99" t="s">
        <v>103</v>
      </c>
    </row>
    <row r="100" spans="1:13" ht="24" customHeight="1">
      <c r="A100" t="s">
        <v>150</v>
      </c>
      <c r="B100">
        <v>2</v>
      </c>
      <c r="C100" t="s">
        <v>104</v>
      </c>
    </row>
    <row r="101" spans="1:13" s="4" customFormat="1" ht="24" customHeight="1">
      <c r="A101" s="4" t="s">
        <v>150</v>
      </c>
      <c r="B101" s="4">
        <v>2</v>
      </c>
      <c r="C101" s="4" t="s">
        <v>109</v>
      </c>
      <c r="E101" s="2">
        <f>IF(COUNT('Turns'!E91,'Turns'!E92,'Turns'!E97)=3,SUM('Turns'!E91,'Turns'!E92,'Turns'!E97),"Unknown")</f>
        <v>0.00011612568</v>
      </c>
      <c r="F101" s="2">
        <f>IF(COUNT('Turns'!F91,'Turns'!F92,'Turns'!F97)=3,SUM('Turns'!F91,'Turns'!F92,'Turns'!F97),"Unknown")</f>
        <v>0.000132</v>
      </c>
      <c r="G101" s="5">
        <f>IF(ISNUMBER(E101),ROUND(E101*'Reference data'!$B$2,0),"Unknown")</f>
        <v>12.0</v>
      </c>
      <c r="H101" s="5">
        <f>IF(ISNUMBER(F101),ROUND(F101*'Reference data'!$B$2,0),"Unknown")</f>
        <v>13.0</v>
      </c>
      <c r="K101" s="4" t="s">
        <v>110</v>
      </c>
    </row>
    <row r="102" spans="1:13" s="4" customFormat="1" ht="24" customHeight="1">
      <c r="A102" s="4" t="s">
        <v>153</v>
      </c>
      <c r="B102" s="4">
        <v>2</v>
      </c>
      <c r="C102" s="4" t="s">
        <v>94</v>
      </c>
      <c r="D102" s="4">
        <v>535</v>
      </c>
      <c r="J102" s="4" t="s">
        <v>95</v>
      </c>
      <c r="M102" s="4" t="s">
        <v>154</v>
      </c>
    </row>
    <row r="103" spans="1:13" ht="24" customHeight="1">
      <c r="A103" t="s">
        <v>153</v>
      </c>
      <c r="B103">
        <v>2</v>
      </c>
      <c r="C103" t="s">
        <v>127</v>
      </c>
      <c r="D103" s="5">
        <v>0</v>
      </c>
      <c r="E103" s="2">
        <f>IF(AND(ISNUMBER(F103),ISNUMBER('Reference data'!$B$3)),F103*'Reference data'!$B$3,"Unknown")</f>
        <v>0.0</v>
      </c>
      <c r="F103" s="2">
        <f>IF(D103=0,0,IF(ISNUMBER('Reference data'!C17),D103*'Reference data'!C17/1000000,"Unknown"))</f>
        <v>0.0</v>
      </c>
      <c r="G103" s="5">
        <f>IF(ISNUMBER(E103),ROUND(E103*'Reference data'!$B$2,0),"Unknown")</f>
        <v>0.0</v>
      </c>
      <c r="H103" s="5">
        <f>IF(ISNUMBER(F103),ROUND(F103*'Reference data'!$B$2,0),"Unknown")</f>
        <v>0.0</v>
      </c>
    </row>
    <row r="104" spans="1:13" ht="24" customHeight="1">
      <c r="A104" t="s">
        <v>153</v>
      </c>
      <c r="B104">
        <v>2</v>
      </c>
      <c r="C104" t="s">
        <v>97</v>
      </c>
      <c r="D104" s="5">
        <v>535</v>
      </c>
      <c r="E104" s="2">
        <f>IF(AND(ISNUMBER(F104),ISNUMBER('Reference data'!$B$3)),F104*'Reference data'!$B$3,"Unknown")</f>
        <v>9.413218e-05</v>
      </c>
      <c r="F104" s="2">
        <f>IF(D104=0,0,IF(ISNUMBER('Reference data'!B17),D104*'Reference data'!B17/1000000,"Unknown"))</f>
        <v>0.000107</v>
      </c>
      <c r="G104" s="5">
        <f>IF(ISNUMBER(E104),ROUND(E104*'Reference data'!$B$2,0),"Unknown")</f>
        <v>9.0</v>
      </c>
      <c r="H104" s="5">
        <f>IF(ISNUMBER(F104),ROUND(F104*'Reference data'!$B$2,0),"Unknown")</f>
        <v>11.0</v>
      </c>
    </row>
    <row r="105" spans="1:13" ht="47" customHeight="1">
      <c r="A105" t="s">
        <v>153</v>
      </c>
      <c r="B105">
        <v>2</v>
      </c>
      <c r="C105" t="s">
        <v>128</v>
      </c>
      <c r="I105" s="6" t="s">
        <v>155</v>
      </c>
    </row>
    <row r="106" spans="1:13" ht="24" customHeight="1">
      <c r="A106" t="s">
        <v>153</v>
      </c>
      <c r="B106">
        <v>2</v>
      </c>
      <c r="C106" t="s">
        <v>103</v>
      </c>
    </row>
    <row r="107" spans="1:13" ht="24" customHeight="1">
      <c r="A107" t="s">
        <v>153</v>
      </c>
      <c r="B107">
        <v>2</v>
      </c>
      <c r="C107" t="s">
        <v>104</v>
      </c>
    </row>
    <row r="108" spans="1:13" s="4" customFormat="1" ht="24" customHeight="1">
      <c r="A108" s="4" t="s">
        <v>153</v>
      </c>
      <c r="B108" s="4">
        <v>2</v>
      </c>
      <c r="C108" s="4" t="s">
        <v>105</v>
      </c>
      <c r="D108" s="4">
        <v>19</v>
      </c>
    </row>
    <row r="109" spans="1:13" ht="24" customHeight="1">
      <c r="A109" t="s">
        <v>153</v>
      </c>
      <c r="B109">
        <v>2</v>
      </c>
      <c r="C109" t="s">
        <v>106</v>
      </c>
      <c r="D109" s="5">
        <v>19</v>
      </c>
      <c r="E109" s="2">
        <f>IF(AND(ISNUMBER(F109),ISNUMBER('Reference data'!$B$3)),F109*'Reference data'!$B$3,"Unknown")</f>
        <v>2.0058072e-05</v>
      </c>
      <c r="F109" s="2">
        <f>IF(D109=0,0,IF(ISNUMBER('Reference data'!E17),D109*'Reference data'!E17/1000000,"Unknown"))</f>
        <v>2.28e-05</v>
      </c>
      <c r="G109" s="5">
        <f>IF(ISNUMBER(E109),ROUND(E109*'Reference data'!$B$2,0),"Unknown")</f>
        <v>2.0</v>
      </c>
      <c r="H109" s="5">
        <f>IF(ISNUMBER(F109),ROUND(F109*'Reference data'!$B$2,0),"Unknown")</f>
        <v>2.0</v>
      </c>
    </row>
    <row r="110" spans="1:13" ht="47" customHeight="1">
      <c r="A110" t="s">
        <v>153</v>
      </c>
      <c r="B110">
        <v>2</v>
      </c>
      <c r="C110" t="s">
        <v>107</v>
      </c>
      <c r="I110" s="6" t="s">
        <v>156</v>
      </c>
    </row>
    <row r="111" spans="1:13" ht="24" customHeight="1">
      <c r="A111" t="s">
        <v>153</v>
      </c>
      <c r="B111">
        <v>2</v>
      </c>
      <c r="C111" t="s">
        <v>103</v>
      </c>
    </row>
    <row r="112" spans="1:13" ht="24" customHeight="1">
      <c r="A112" t="s">
        <v>153</v>
      </c>
      <c r="B112">
        <v>2</v>
      </c>
      <c r="C112" t="s">
        <v>104</v>
      </c>
    </row>
    <row r="113" spans="1:13" s="4" customFormat="1" ht="24" customHeight="1">
      <c r="A113" s="4" t="s">
        <v>153</v>
      </c>
      <c r="B113" s="4">
        <v>2</v>
      </c>
      <c r="C113" s="4" t="s">
        <v>109</v>
      </c>
      <c r="E113" s="2">
        <f>IF(COUNT('Turns'!E103,'Turns'!E104,'Turns'!E109)=3,SUM('Turns'!E103,'Turns'!E104,'Turns'!E109),"Unknown")</f>
        <v>0.000114190252</v>
      </c>
      <c r="F113" s="2">
        <f>IF(COUNT('Turns'!F103,'Turns'!F104,'Turns'!F109)=3,SUM('Turns'!F103,'Turns'!F104,'Turns'!F109),"Unknown")</f>
        <v>0.0001298</v>
      </c>
      <c r="G113" s="5">
        <f>IF(ISNUMBER(E113),ROUND(E113*'Reference data'!$B$2,0),"Unknown")</f>
        <v>11.0</v>
      </c>
      <c r="H113" s="5">
        <f>IF(ISNUMBER(F113),ROUND(F113*'Reference data'!$B$2,0),"Unknown")</f>
        <v>13.0</v>
      </c>
      <c r="K113" s="4" t="s">
        <v>110</v>
      </c>
    </row>
    <row r="114" spans="1:13" s="4" customFormat="1" ht="24" customHeight="1">
      <c r="B114" s="4">
        <v>3</v>
      </c>
      <c r="C114" s="4" t="s">
        <v>157</v>
      </c>
      <c r="E114" s="2">
        <f>IF(COUNT('Turns'!E126,'Turns'!E142,'Turns'!E157,'Turns'!E169)=4,SUM('Turns'!E126,'Turns'!E142,'Turns'!E157,'Turns'!E169),"Unknown")</f>
        <v>0.000476291236</v>
      </c>
      <c r="F114" s="2">
        <f>IF(COUNT('Turns'!F126,'Turns'!F142,'Turns'!F157,'Turns'!F169)=4,SUM('Turns'!F126,'Turns'!F142,'Turns'!F157,'Turns'!F169),"Unknown")</f>
        <v>0.0005414</v>
      </c>
      <c r="G114" s="5">
        <f>IF(ISNUMBER(E114),ROUND(E114*'Reference data'!$B$2,0),"Unknown")</f>
        <v>48.0</v>
      </c>
      <c r="H114" s="5">
        <f>IF(ISNUMBER(F114),ROUND(F114*'Reference data'!$B$2,0),"Unknown")</f>
        <v>54.0</v>
      </c>
    </row>
    <row r="115" spans="1:13" s="4" customFormat="1" ht="24" customHeight="1">
      <c r="A115" s="4" t="s">
        <v>158</v>
      </c>
      <c r="B115" s="4">
        <v>3</v>
      </c>
      <c r="C115" s="4" t="s">
        <v>94</v>
      </c>
      <c r="D115" s="4">
        <v>569</v>
      </c>
      <c r="J115" s="4" t="s">
        <v>95</v>
      </c>
      <c r="M115" s="4" t="s">
        <v>159</v>
      </c>
    </row>
    <row r="116" spans="1:13" ht="24" customHeight="1">
      <c r="A116" t="s">
        <v>158</v>
      </c>
      <c r="B116">
        <v>3</v>
      </c>
      <c r="C116" t="s">
        <v>127</v>
      </c>
      <c r="D116" s="5">
        <v>0</v>
      </c>
      <c r="E116" s="2">
        <f>IF(AND(ISNUMBER(F116),ISNUMBER('Reference data'!$B$3)),F116*'Reference data'!$B$3,"Unknown")</f>
        <v>0.0</v>
      </c>
      <c r="F116" s="2">
        <f>IF(D116=0,0,IF(ISNUMBER('Reference data'!C17),D116*'Reference data'!C17/1000000,"Unknown"))</f>
        <v>0.0</v>
      </c>
      <c r="G116" s="5">
        <f>IF(ISNUMBER(E116),ROUND(E116*'Reference data'!$B$2,0),"Unknown")</f>
        <v>0.0</v>
      </c>
      <c r="H116" s="5">
        <f>IF(ISNUMBER(F116),ROUND(F116*'Reference data'!$B$2,0),"Unknown")</f>
        <v>0.0</v>
      </c>
    </row>
    <row r="117" spans="1:13" ht="24" customHeight="1">
      <c r="A117" t="s">
        <v>158</v>
      </c>
      <c r="B117">
        <v>3</v>
      </c>
      <c r="C117" t="s">
        <v>97</v>
      </c>
      <c r="D117" s="5">
        <v>569</v>
      </c>
      <c r="E117" s="2">
        <f>IF(AND(ISNUMBER(F117),ISNUMBER('Reference data'!$B$3)),F117*'Reference data'!$B$3,"Unknown")</f>
        <v>0.000100114412</v>
      </c>
      <c r="F117" s="2">
        <f>IF(D117=0,0,IF(ISNUMBER('Reference data'!B17),D117*'Reference data'!B17/1000000,"Unknown"))</f>
        <v>0.0001138</v>
      </c>
      <c r="G117" s="5">
        <f>IF(ISNUMBER(E117),ROUND(E117*'Reference data'!$B$2,0),"Unknown")</f>
        <v>10.0</v>
      </c>
      <c r="H117" s="5">
        <f>IF(ISNUMBER(F117),ROUND(F117*'Reference data'!$B$2,0),"Unknown")</f>
        <v>11.0</v>
      </c>
    </row>
    <row r="118" spans="1:13" ht="24" customHeight="1">
      <c r="A118" t="s">
        <v>158</v>
      </c>
      <c r="B118">
        <v>3</v>
      </c>
      <c r="C118" t="s">
        <v>101</v>
      </c>
      <c r="I118" s="6" t="s">
        <v>160</v>
      </c>
    </row>
    <row r="119" spans="1:13" ht="24" customHeight="1">
      <c r="A119" t="s">
        <v>158</v>
      </c>
      <c r="B119">
        <v>3</v>
      </c>
      <c r="C119" t="s">
        <v>103</v>
      </c>
    </row>
    <row r="120" spans="1:13" ht="24" customHeight="1">
      <c r="A120" t="s">
        <v>158</v>
      </c>
      <c r="B120">
        <v>3</v>
      </c>
      <c r="C120" t="s">
        <v>104</v>
      </c>
    </row>
    <row r="121" spans="1:13" s="4" customFormat="1" ht="24" customHeight="1">
      <c r="A121" s="4" t="s">
        <v>158</v>
      </c>
      <c r="B121" s="4">
        <v>3</v>
      </c>
      <c r="C121" s="4" t="s">
        <v>105</v>
      </c>
      <c r="D121" s="4">
        <v>53</v>
      </c>
    </row>
    <row r="122" spans="1:13" ht="24" customHeight="1">
      <c r="A122" t="s">
        <v>158</v>
      </c>
      <c r="B122">
        <v>3</v>
      </c>
      <c r="C122" t="s">
        <v>106</v>
      </c>
      <c r="D122" s="5">
        <v>53</v>
      </c>
      <c r="E122" s="2">
        <f>IF(AND(ISNUMBER(F122),ISNUMBER('Reference data'!$B$3)),F122*'Reference data'!$B$3,"Unknown")</f>
        <v>5.5951464e-05</v>
      </c>
      <c r="F122" s="2">
        <f>IF(D122=0,0,IF(ISNUMBER('Reference data'!E17),D122*'Reference data'!E17/1000000,"Unknown"))</f>
        <v>6.36e-05</v>
      </c>
      <c r="G122" s="5">
        <f>IF(ISNUMBER(E122),ROUND(E122*'Reference data'!$B$2,0),"Unknown")</f>
        <v>6.0</v>
      </c>
      <c r="H122" s="5">
        <f>IF(ISNUMBER(F122),ROUND(F122*'Reference data'!$B$2,0),"Unknown")</f>
        <v>6.0</v>
      </c>
    </row>
    <row r="123" spans="1:13" ht="125" customHeight="1">
      <c r="A123" t="s">
        <v>158</v>
      </c>
      <c r="B123">
        <v>3</v>
      </c>
      <c r="C123" t="s">
        <v>107</v>
      </c>
      <c r="I123" s="6" t="s">
        <v>161</v>
      </c>
    </row>
    <row r="124" spans="1:13" ht="24" customHeight="1">
      <c r="A124" t="s">
        <v>158</v>
      </c>
      <c r="B124">
        <v>3</v>
      </c>
      <c r="C124" t="s">
        <v>103</v>
      </c>
    </row>
    <row r="125" spans="1:13" ht="24" customHeight="1">
      <c r="A125" t="s">
        <v>158</v>
      </c>
      <c r="B125">
        <v>3</v>
      </c>
      <c r="C125" t="s">
        <v>104</v>
      </c>
    </row>
    <row r="126" spans="1:13" s="4" customFormat="1" ht="24" customHeight="1">
      <c r="A126" s="4" t="s">
        <v>158</v>
      </c>
      <c r="B126" s="4">
        <v>3</v>
      </c>
      <c r="C126" s="4" t="s">
        <v>109</v>
      </c>
      <c r="E126" s="2">
        <f>IF(COUNT('Turns'!E116,'Turns'!E117,'Turns'!E122)=3,SUM('Turns'!E116,'Turns'!E117,'Turns'!E122),"Unknown")</f>
        <v>0.000156065876</v>
      </c>
      <c r="F126" s="2">
        <f>IF(COUNT('Turns'!F116,'Turns'!F117,'Turns'!F122)=3,SUM('Turns'!F116,'Turns'!F117,'Turns'!F122),"Unknown")</f>
        <v>0.0001774</v>
      </c>
      <c r="G126" s="5">
        <f>IF(ISNUMBER(E126),ROUND(E126*'Reference data'!$B$2,0),"Unknown")</f>
        <v>16.0</v>
      </c>
      <c r="H126" s="5">
        <f>IF(ISNUMBER(F126),ROUND(F126*'Reference data'!$B$2,0),"Unknown")</f>
        <v>18.0</v>
      </c>
      <c r="K126" s="4" t="s">
        <v>110</v>
      </c>
    </row>
    <row r="127" spans="1:13" s="4" customFormat="1" ht="24" customHeight="1">
      <c r="B127" s="4">
        <v>3</v>
      </c>
      <c r="C127" s="4" t="s">
        <v>111</v>
      </c>
      <c r="K127" s="4" t="s">
        <v>110</v>
      </c>
      <c r="M127" s="4" t="s">
        <v>162</v>
      </c>
    </row>
    <row r="128" spans="1:13" ht="47" customHeight="1">
      <c r="B128">
        <v>3</v>
      </c>
      <c r="C128" t="s">
        <v>113</v>
      </c>
      <c r="I128" s="6" t="s">
        <v>163</v>
      </c>
    </row>
    <row r="129" spans="1:13" ht="47" customHeight="1">
      <c r="B129">
        <v>3</v>
      </c>
      <c r="C129" t="s">
        <v>115</v>
      </c>
      <c r="I129" s="6" t="s">
        <v>164</v>
      </c>
    </row>
    <row r="130" spans="1:13" s="4" customFormat="1" ht="24" customHeight="1">
      <c r="A130" s="4" t="s">
        <v>165</v>
      </c>
      <c r="B130" s="4">
        <v>3</v>
      </c>
      <c r="C130" s="4" t="s">
        <v>94</v>
      </c>
      <c r="D130" s="4">
        <v>185</v>
      </c>
      <c r="J130" s="4" t="s">
        <v>95</v>
      </c>
      <c r="M130" s="4" t="s">
        <v>166</v>
      </c>
    </row>
    <row r="131" spans="1:13" ht="24" customHeight="1">
      <c r="A131" t="s">
        <v>165</v>
      </c>
      <c r="B131">
        <v>3</v>
      </c>
      <c r="C131" t="s">
        <v>97</v>
      </c>
      <c r="D131" s="5">
        <v>185</v>
      </c>
      <c r="E131" s="2">
        <f>IF(AND(ISNUMBER(F131),ISNUMBER('Reference data'!$B$3)),F131*'Reference data'!$B$3,"Unknown")</f>
        <v>3.255038e-05</v>
      </c>
      <c r="F131" s="2">
        <f>IF(D131=0,0,IF(ISNUMBER('Reference data'!B17),D131*'Reference data'!B17/1000000,"Unknown"))</f>
        <v>3.7e-05</v>
      </c>
      <c r="G131" s="5">
        <f>IF(ISNUMBER(E131),ROUND(E131*'Reference data'!$B$2,0),"Unknown")</f>
        <v>3.0</v>
      </c>
      <c r="H131" s="5">
        <f>IF(ISNUMBER(F131),ROUND(F131*'Reference data'!$B$2,0),"Unknown")</f>
        <v>4.0</v>
      </c>
    </row>
    <row r="132" spans="1:13" ht="24" customHeight="1">
      <c r="A132" t="s">
        <v>165</v>
      </c>
      <c r="B132">
        <v>3</v>
      </c>
      <c r="C132" t="s">
        <v>98</v>
      </c>
    </row>
    <row r="133" spans="1:13" ht="73" customHeight="1">
      <c r="A133" t="s">
        <v>165</v>
      </c>
      <c r="B133">
        <v>3</v>
      </c>
      <c r="C133" t="s">
        <v>99</v>
      </c>
      <c r="I133" s="6" t="s">
        <v>167</v>
      </c>
    </row>
    <row r="134" spans="1:13" ht="24" customHeight="1">
      <c r="A134" t="s">
        <v>165</v>
      </c>
      <c r="B134">
        <v>3</v>
      </c>
      <c r="C134" t="s">
        <v>103</v>
      </c>
    </row>
    <row r="135" spans="1:13" ht="24" customHeight="1">
      <c r="A135" t="s">
        <v>165</v>
      </c>
      <c r="B135">
        <v>3</v>
      </c>
      <c r="C135" t="s">
        <v>104</v>
      </c>
    </row>
    <row r="136" spans="1:13" s="4" customFormat="1" ht="24" customHeight="1">
      <c r="A136" s="4" t="s">
        <v>165</v>
      </c>
      <c r="B136" s="4">
        <v>3</v>
      </c>
      <c r="C136" s="4" t="s">
        <v>105</v>
      </c>
      <c r="D136" s="4">
        <v>41</v>
      </c>
    </row>
    <row r="137" spans="1:13" ht="24" customHeight="1">
      <c r="A137" t="s">
        <v>165</v>
      </c>
      <c r="B137">
        <v>3</v>
      </c>
      <c r="C137" t="s">
        <v>168</v>
      </c>
      <c r="D137" s="5">
        <v>9</v>
      </c>
      <c r="E137" s="2">
        <f>IF(AND(ISNUMBER(F137),ISNUMBER('Reference data'!$B$3)),F137*'Reference data'!$B$3,"Unknown")</f>
        <v>9.501192e-06</v>
      </c>
      <c r="F137" s="2">
        <f>IF(D137=0,0,IF(ISNUMBER('Reference data'!F17),D137*'Reference data'!F17/1000000,"Unknown"))</f>
        <v>1.08e-05</v>
      </c>
      <c r="G137" s="5">
        <f>IF(ISNUMBER(E137),ROUND(E137*'Reference data'!$B$2,0),"Unknown")</f>
        <v>1.0</v>
      </c>
      <c r="H137" s="5">
        <f>IF(ISNUMBER(F137),ROUND(F137*'Reference data'!$B$2,0),"Unknown")</f>
        <v>1.0</v>
      </c>
    </row>
    <row r="138" spans="1:13" ht="24" customHeight="1">
      <c r="A138" t="s">
        <v>165</v>
      </c>
      <c r="B138">
        <v>3</v>
      </c>
      <c r="C138" t="s">
        <v>106</v>
      </c>
      <c r="D138" s="5">
        <v>32</v>
      </c>
      <c r="E138" s="2">
        <f>IF(AND(ISNUMBER(F138),ISNUMBER('Reference data'!$B$3)),F138*'Reference data'!$B$3,"Unknown")</f>
        <v>3.3782016e-05</v>
      </c>
      <c r="F138" s="2">
        <f>IF(D138=0,0,IF(ISNUMBER('Reference data'!E17),D138*'Reference data'!E17/1000000,"Unknown"))</f>
        <v>3.84e-05</v>
      </c>
      <c r="G138" s="5">
        <f>IF(ISNUMBER(E138),ROUND(E138*'Reference data'!$B$2,0),"Unknown")</f>
        <v>3.0</v>
      </c>
      <c r="H138" s="5">
        <f>IF(ISNUMBER(F138),ROUND(F138*'Reference data'!$B$2,0),"Unknown")</f>
        <v>4.0</v>
      </c>
    </row>
    <row r="139" spans="1:13" ht="294" customHeight="1">
      <c r="A139" t="s">
        <v>165</v>
      </c>
      <c r="B139">
        <v>3</v>
      </c>
      <c r="C139" t="s">
        <v>107</v>
      </c>
      <c r="I139" s="6" t="s">
        <v>169</v>
      </c>
    </row>
    <row r="140" spans="1:13" ht="24" customHeight="1">
      <c r="A140" t="s">
        <v>165</v>
      </c>
      <c r="B140">
        <v>3</v>
      </c>
      <c r="C140" t="s">
        <v>103</v>
      </c>
    </row>
    <row r="141" spans="1:13" ht="24" customHeight="1">
      <c r="A141" t="s">
        <v>165</v>
      </c>
      <c r="B141">
        <v>3</v>
      </c>
      <c r="C141" t="s">
        <v>104</v>
      </c>
    </row>
    <row r="142" spans="1:13" s="4" customFormat="1" ht="24" customHeight="1">
      <c r="A142" s="4" t="s">
        <v>165</v>
      </c>
      <c r="B142" s="4">
        <v>3</v>
      </c>
      <c r="C142" s="4" t="s">
        <v>109</v>
      </c>
      <c r="E142" s="2">
        <f>IF(COUNT('Turns'!E131,'Turns'!E137,'Turns'!E138)=3,SUM('Turns'!E131,'Turns'!E137,'Turns'!E138),"Unknown")</f>
        <v>7.5833588e-05</v>
      </c>
      <c r="F142" s="2">
        <f>IF(COUNT('Turns'!F131,'Turns'!F137,'Turns'!F138)=3,SUM('Turns'!F131,'Turns'!F137,'Turns'!F138),"Unknown")</f>
        <v>8.62e-05</v>
      </c>
      <c r="G142" s="5">
        <f>IF(ISNUMBER(E142),ROUND(E142*'Reference data'!$B$2,0),"Unknown")</f>
        <v>8.0</v>
      </c>
      <c r="H142" s="5">
        <f>IF(ISNUMBER(F142),ROUND(F142*'Reference data'!$B$2,0),"Unknown")</f>
        <v>9.0</v>
      </c>
      <c r="K142" s="4" t="s">
        <v>110</v>
      </c>
    </row>
    <row r="143" spans="1:13" s="4" customFormat="1" ht="24" customHeight="1">
      <c r="B143" s="4">
        <v>3</v>
      </c>
      <c r="C143" s="4" t="s">
        <v>170</v>
      </c>
      <c r="K143" s="4" t="s">
        <v>110</v>
      </c>
      <c r="M143" s="4" t="s">
        <v>171</v>
      </c>
    </row>
    <row r="144" spans="1:13" ht="24" customHeight="1">
      <c r="B144">
        <v>3</v>
      </c>
      <c r="C144" t="s">
        <v>113</v>
      </c>
      <c r="I144" s="6" t="s">
        <v>172</v>
      </c>
    </row>
    <row r="145" spans="1:13" ht="60" customHeight="1">
      <c r="B145">
        <v>3</v>
      </c>
      <c r="C145" t="s">
        <v>115</v>
      </c>
      <c r="I145" s="6" t="s">
        <v>173</v>
      </c>
    </row>
    <row r="146" spans="1:13" s="4" customFormat="1" ht="24" customHeight="1">
      <c r="A146" s="4" t="s">
        <v>174</v>
      </c>
      <c r="B146" s="4">
        <v>3</v>
      </c>
      <c r="C146" s="4" t="s">
        <v>94</v>
      </c>
      <c r="D146" s="4">
        <v>291</v>
      </c>
      <c r="J146" s="4" t="s">
        <v>95</v>
      </c>
      <c r="M146" s="4" t="s">
        <v>175</v>
      </c>
    </row>
    <row r="147" spans="1:13" ht="24" customHeight="1">
      <c r="A147" t="s">
        <v>174</v>
      </c>
      <c r="B147">
        <v>3</v>
      </c>
      <c r="C147" t="s">
        <v>127</v>
      </c>
      <c r="D147" s="5">
        <v>0</v>
      </c>
      <c r="E147" s="2">
        <f>IF(AND(ISNUMBER(F147),ISNUMBER('Reference data'!$B$3)),F147*'Reference data'!$B$3,"Unknown")</f>
        <v>0.0</v>
      </c>
      <c r="F147" s="2">
        <f>IF(D147=0,0,IF(ISNUMBER('Reference data'!C17),D147*'Reference data'!C17/1000000,"Unknown"))</f>
        <v>0.0</v>
      </c>
      <c r="G147" s="5">
        <f>IF(ISNUMBER(E147),ROUND(E147*'Reference data'!$B$2,0),"Unknown")</f>
        <v>0.0</v>
      </c>
      <c r="H147" s="5">
        <f>IF(ISNUMBER(F147),ROUND(F147*'Reference data'!$B$2,0),"Unknown")</f>
        <v>0.0</v>
      </c>
    </row>
    <row r="148" spans="1:13" ht="24" customHeight="1">
      <c r="A148" t="s">
        <v>174</v>
      </c>
      <c r="B148">
        <v>3</v>
      </c>
      <c r="C148" t="s">
        <v>97</v>
      </c>
      <c r="D148" s="5">
        <v>291</v>
      </c>
      <c r="E148" s="2">
        <f>IF(AND(ISNUMBER(F148),ISNUMBER('Reference data'!$B$3)),F148*'Reference data'!$B$3,"Unknown")</f>
        <v>5.1200868e-05</v>
      </c>
      <c r="F148" s="2">
        <f>IF(D148=0,0,IF(ISNUMBER('Reference data'!B17),D148*'Reference data'!B17/1000000,"Unknown"))</f>
        <v>5.82e-05</v>
      </c>
      <c r="G148" s="5">
        <f>IF(ISNUMBER(E148),ROUND(E148*'Reference data'!$B$2,0),"Unknown")</f>
        <v>5.0</v>
      </c>
      <c r="H148" s="5">
        <f>IF(ISNUMBER(F148),ROUND(F148*'Reference data'!$B$2,0),"Unknown")</f>
        <v>6.0</v>
      </c>
    </row>
    <row r="149" spans="1:13" ht="60" customHeight="1">
      <c r="A149" t="s">
        <v>174</v>
      </c>
      <c r="B149">
        <v>3</v>
      </c>
      <c r="C149" t="s">
        <v>128</v>
      </c>
      <c r="I149" s="6" t="s">
        <v>173</v>
      </c>
    </row>
    <row r="150" spans="1:13" ht="24" customHeight="1">
      <c r="A150" t="s">
        <v>174</v>
      </c>
      <c r="B150">
        <v>3</v>
      </c>
      <c r="C150" t="s">
        <v>103</v>
      </c>
    </row>
    <row r="151" spans="1:13" ht="24" customHeight="1">
      <c r="A151" t="s">
        <v>174</v>
      </c>
      <c r="B151">
        <v>3</v>
      </c>
      <c r="C151" t="s">
        <v>104</v>
      </c>
    </row>
    <row r="152" spans="1:13" s="4" customFormat="1" ht="24" customHeight="1">
      <c r="A152" s="4" t="s">
        <v>174</v>
      </c>
      <c r="B152" s="4">
        <v>3</v>
      </c>
      <c r="C152" s="4" t="s">
        <v>105</v>
      </c>
      <c r="D152" s="4">
        <v>50</v>
      </c>
    </row>
    <row r="153" spans="1:13" ht="24" customHeight="1">
      <c r="A153" t="s">
        <v>174</v>
      </c>
      <c r="B153">
        <v>3</v>
      </c>
      <c r="C153" t="s">
        <v>106</v>
      </c>
      <c r="D153" s="5">
        <v>50</v>
      </c>
      <c r="E153" s="2">
        <f>IF(AND(ISNUMBER(F153),ISNUMBER('Reference data'!$B$3)),F153*'Reference data'!$B$3,"Unknown")</f>
        <v>5.27844e-05</v>
      </c>
      <c r="F153" s="2">
        <f>IF(D153=0,0,IF(ISNUMBER('Reference data'!E17),D153*'Reference data'!E17/1000000,"Unknown"))</f>
        <v>6e-05</v>
      </c>
      <c r="G153" s="5">
        <f>IF(ISNUMBER(E153),ROUND(E153*'Reference data'!$B$2,0),"Unknown")</f>
        <v>5.0</v>
      </c>
      <c r="H153" s="5">
        <f>IF(ISNUMBER(F153),ROUND(F153*'Reference data'!$B$2,0),"Unknown")</f>
        <v>6.0</v>
      </c>
    </row>
    <row r="154" spans="1:13" ht="60" customHeight="1">
      <c r="A154" t="s">
        <v>174</v>
      </c>
      <c r="B154">
        <v>3</v>
      </c>
      <c r="C154" t="s">
        <v>107</v>
      </c>
      <c r="I154" s="6" t="s">
        <v>176</v>
      </c>
    </row>
    <row r="155" spans="1:13" ht="24" customHeight="1">
      <c r="A155" t="s">
        <v>174</v>
      </c>
      <c r="B155">
        <v>3</v>
      </c>
      <c r="C155" t="s">
        <v>103</v>
      </c>
    </row>
    <row r="156" spans="1:13" ht="24" customHeight="1">
      <c r="A156" t="s">
        <v>174</v>
      </c>
      <c r="B156">
        <v>3</v>
      </c>
      <c r="C156" t="s">
        <v>104</v>
      </c>
    </row>
    <row r="157" spans="1:13" s="4" customFormat="1" ht="24" customHeight="1">
      <c r="A157" s="4" t="s">
        <v>174</v>
      </c>
      <c r="B157" s="4">
        <v>3</v>
      </c>
      <c r="C157" s="4" t="s">
        <v>109</v>
      </c>
      <c r="E157" s="2">
        <f>IF(COUNT('Turns'!E147,'Turns'!E148,'Turns'!E153)=3,SUM('Turns'!E147,'Turns'!E148,'Turns'!E153),"Unknown")</f>
        <v>0.000103985268</v>
      </c>
      <c r="F157" s="2">
        <f>IF(COUNT('Turns'!F147,'Turns'!F148,'Turns'!F153)=3,SUM('Turns'!F147,'Turns'!F148,'Turns'!F153),"Unknown")</f>
        <v>0.0001182</v>
      </c>
      <c r="G157" s="5">
        <f>IF(ISNUMBER(E157),ROUND(E157*'Reference data'!$B$2,0),"Unknown")</f>
        <v>10.0</v>
      </c>
      <c r="H157" s="5">
        <f>IF(ISNUMBER(F157),ROUND(F157*'Reference data'!$B$2,0),"Unknown")</f>
        <v>12.0</v>
      </c>
      <c r="K157" s="4" t="s">
        <v>110</v>
      </c>
    </row>
    <row r="158" spans="1:13" s="4" customFormat="1" ht="24" customHeight="1">
      <c r="A158" s="4" t="s">
        <v>177</v>
      </c>
      <c r="B158" s="4">
        <v>3</v>
      </c>
      <c r="C158" s="4" t="s">
        <v>94</v>
      </c>
      <c r="D158" s="4">
        <v>678</v>
      </c>
      <c r="J158" s="4" t="s">
        <v>95</v>
      </c>
      <c r="M158" s="4" t="s">
        <v>178</v>
      </c>
    </row>
    <row r="159" spans="1:13" ht="24" customHeight="1">
      <c r="A159" t="s">
        <v>177</v>
      </c>
      <c r="B159">
        <v>3</v>
      </c>
      <c r="C159" t="s">
        <v>127</v>
      </c>
      <c r="D159" s="5">
        <v>0</v>
      </c>
      <c r="E159" s="2">
        <f>IF(AND(ISNUMBER(F159),ISNUMBER('Reference data'!$B$3)),F159*'Reference data'!$B$3,"Unknown")</f>
        <v>0.0</v>
      </c>
      <c r="F159" s="2">
        <f>IF(D159=0,0,IF(ISNUMBER('Reference data'!C17),D159*'Reference data'!C17/1000000,"Unknown"))</f>
        <v>0.0</v>
      </c>
      <c r="G159" s="5">
        <f>IF(ISNUMBER(E159),ROUND(E159*'Reference data'!$B$2,0),"Unknown")</f>
        <v>0.0</v>
      </c>
      <c r="H159" s="5">
        <f>IF(ISNUMBER(F159),ROUND(F159*'Reference data'!$B$2,0),"Unknown")</f>
        <v>0.0</v>
      </c>
    </row>
    <row r="160" spans="1:13" ht="24" customHeight="1">
      <c r="A160" t="s">
        <v>177</v>
      </c>
      <c r="B160">
        <v>3</v>
      </c>
      <c r="C160" t="s">
        <v>97</v>
      </c>
      <c r="D160" s="5">
        <v>678</v>
      </c>
      <c r="E160" s="2">
        <f>IF(AND(ISNUMBER(F160),ISNUMBER('Reference data'!$B$3)),F160*'Reference data'!$B$3,"Unknown")</f>
        <v>0.000119292744</v>
      </c>
      <c r="F160" s="2">
        <f>IF(D160=0,0,IF(ISNUMBER('Reference data'!B17),D160*'Reference data'!B17/1000000,"Unknown"))</f>
        <v>0.0001356</v>
      </c>
      <c r="G160" s="5">
        <f>IF(ISNUMBER(E160),ROUND(E160*'Reference data'!$B$2,0),"Unknown")</f>
        <v>12.0</v>
      </c>
      <c r="H160" s="5">
        <f>IF(ISNUMBER(F160),ROUND(F160*'Reference data'!$B$2,0),"Unknown")</f>
        <v>14.0</v>
      </c>
    </row>
    <row r="161" spans="1:11" ht="34" customHeight="1">
      <c r="A161" t="s">
        <v>177</v>
      </c>
      <c r="B161">
        <v>3</v>
      </c>
      <c r="C161" t="s">
        <v>128</v>
      </c>
      <c r="I161" s="6" t="s">
        <v>179</v>
      </c>
    </row>
    <row r="162" spans="1:11" ht="24" customHeight="1">
      <c r="A162" t="s">
        <v>177</v>
      </c>
      <c r="B162">
        <v>3</v>
      </c>
      <c r="C162" t="s">
        <v>103</v>
      </c>
    </row>
    <row r="163" spans="1:11" ht="24" customHeight="1">
      <c r="A163" t="s">
        <v>177</v>
      </c>
      <c r="B163">
        <v>3</v>
      </c>
      <c r="C163" t="s">
        <v>104</v>
      </c>
    </row>
    <row r="164" spans="1:11" s="4" customFormat="1" ht="24" customHeight="1">
      <c r="A164" s="4" t="s">
        <v>177</v>
      </c>
      <c r="B164" s="4">
        <v>3</v>
      </c>
      <c r="C164" s="4" t="s">
        <v>105</v>
      </c>
      <c r="D164" s="4">
        <v>20</v>
      </c>
    </row>
    <row r="165" spans="1:11" ht="24" customHeight="1">
      <c r="A165" t="s">
        <v>177</v>
      </c>
      <c r="B165">
        <v>3</v>
      </c>
      <c r="C165" t="s">
        <v>106</v>
      </c>
      <c r="D165" s="5">
        <v>20</v>
      </c>
      <c r="E165" s="2">
        <f>IF(AND(ISNUMBER(F165),ISNUMBER('Reference data'!$B$3)),F165*'Reference data'!$B$3,"Unknown")</f>
        <v>2.111376e-05</v>
      </c>
      <c r="F165" s="2">
        <f>IF(D165=0,0,IF(ISNUMBER('Reference data'!E17),D165*'Reference data'!E17/1000000,"Unknown"))</f>
        <v>2.4e-05</v>
      </c>
      <c r="G165" s="5">
        <f>IF(ISNUMBER(E165),ROUND(E165*'Reference data'!$B$2,0),"Unknown")</f>
        <v>2.0</v>
      </c>
      <c r="H165" s="5">
        <f>IF(ISNUMBER(F165),ROUND(F165*'Reference data'!$B$2,0),"Unknown")</f>
        <v>2.0</v>
      </c>
    </row>
    <row r="166" spans="1:11" ht="47" customHeight="1">
      <c r="A166" t="s">
        <v>177</v>
      </c>
      <c r="B166">
        <v>3</v>
      </c>
      <c r="C166" t="s">
        <v>107</v>
      </c>
      <c r="I166" s="6" t="s">
        <v>180</v>
      </c>
    </row>
    <row r="167" spans="1:11" ht="24" customHeight="1">
      <c r="A167" t="s">
        <v>177</v>
      </c>
      <c r="B167">
        <v>3</v>
      </c>
      <c r="C167" t="s">
        <v>103</v>
      </c>
    </row>
    <row r="168" spans="1:11" ht="24" customHeight="1">
      <c r="A168" t="s">
        <v>177</v>
      </c>
      <c r="B168">
        <v>3</v>
      </c>
      <c r="C168" t="s">
        <v>104</v>
      </c>
    </row>
    <row r="169" spans="1:11" s="4" customFormat="1" ht="24" customHeight="1">
      <c r="A169" s="4" t="s">
        <v>177</v>
      </c>
      <c r="B169" s="4">
        <v>3</v>
      </c>
      <c r="C169" s="4" t="s">
        <v>109</v>
      </c>
      <c r="E169" s="2">
        <f>IF(COUNT('Turns'!E159,'Turns'!E160,'Turns'!E165)=3,SUM('Turns'!E159,'Turns'!E160,'Turns'!E165),"Unknown")</f>
        <v>0.000140406504</v>
      </c>
      <c r="F169" s="2">
        <f>IF(COUNT('Turns'!F159,'Turns'!F160,'Turns'!F165)=3,SUM('Turns'!F159,'Turns'!F160,'Turns'!F165),"Unknown")</f>
        <v>0.0001596</v>
      </c>
      <c r="G169" s="5">
        <f>IF(ISNUMBER(E169),ROUND(E169*'Reference data'!$B$2,0),"Unknown")</f>
        <v>14.0</v>
      </c>
      <c r="H169" s="5">
        <f>IF(ISNUMBER(F169),ROUND(F169*'Reference data'!$B$2,0),"Unknown")</f>
        <v>16.0</v>
      </c>
      <c r="K169" s="4" t="s">
        <v>110</v>
      </c>
    </row>
  </sheetData>
  <conditionalFormatting sqref="A2:AE169">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4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181</v>
      </c>
      <c r="B2" s="1">
        <v>0</v>
      </c>
      <c r="C2" s="1" t="s">
        <v>182</v>
      </c>
      <c r="D2" s="1" t="s">
        <v>47</v>
      </c>
      <c r="E2" s="1" t="s">
        <v>110</v>
      </c>
      <c r="G2" s="6" t="s">
        <v>183</v>
      </c>
      <c r="H2" t="s">
        <v>49</v>
      </c>
      <c r="J2" s="2">
        <f>IF(COUNT('Turns'!D5,'Turns'!D21,'Turns'!D37,'Turns'!D49)=4,SUM('Turns'!D5,'Turns'!D21,'Turns'!D37,'Turns'!D49),"Unknown")</f>
        <v>1086.0</v>
      </c>
      <c r="K2" s="2">
        <f>IF(COUNT('Turns'!E5,'Turns'!E21,'Turns'!E37,'Turns'!E49)=4,SUM('Turns'!E5,'Turns'!E21,'Turns'!E37,'Turns'!E49),"Unknown")</f>
        <v>0.000191079528</v>
      </c>
      <c r="L2" s="2">
        <f>IF(COUNT('Turns'!F5,'Turns'!F21,'Turns'!F37,'Turns'!F49)=4,SUM('Turns'!F5,'Turns'!F21,'Turns'!F37,'Turns'!F49),"Unknown")</f>
        <v>0.0002172</v>
      </c>
      <c r="M2" s="2">
        <f>IF(COUNT('Turns'!D36,'Turns'!D48)=2,SUM('Turns'!D36,'Turns'!D48),"Unknown")</f>
        <v>0.0</v>
      </c>
      <c r="N2" s="2">
        <f>IF(COUNT('Turns'!E36,'Turns'!E48)=2,SUM('Turns'!E36,'Turns'!E48),"Unknown")</f>
        <v>0.0</v>
      </c>
      <c r="O2" s="2">
        <f>IF(COUNT('Turns'!F36,'Turns'!F48)=2,SUM('Turns'!F36,'Turns'!F48),"Unknown")</f>
        <v>0.0</v>
      </c>
      <c r="P2" s="2">
        <v>0</v>
      </c>
      <c r="Q2" s="2">
        <v>0</v>
      </c>
      <c r="R2" s="2">
        <v>0</v>
      </c>
      <c r="S2" s="2">
        <f>IF(COUNT('Turns'!D12,'Turns'!D27,'Turns'!D42,'Turns'!D54)=4,SUM('Turns'!D12,'Turns'!D27,'Turns'!D42,'Turns'!D54),"Unknown")</f>
        <v>143.0</v>
      </c>
      <c r="T2" s="2">
        <f>IF(COUNT('Turns'!E12,'Turns'!E27,'Turns'!E42,'Turns'!E54)=4,SUM('Turns'!E12,'Turns'!E27,'Turns'!E42,'Turns'!E54),"Unknown")</f>
        <v>0.000150963384</v>
      </c>
      <c r="U2" s="2">
        <f>IF(COUNT('Turns'!F12,'Turns'!F27,'Turns'!F42,'Turns'!F54)=4,SUM('Turns'!F12,'Turns'!F27,'Turns'!F42,'Turns'!F54),"Unknown")</f>
        <v>0.0001716</v>
      </c>
      <c r="V2" s="2">
        <v>0</v>
      </c>
      <c r="W2" s="2">
        <v>0</v>
      </c>
      <c r="X2" s="2">
        <v>0</v>
      </c>
      <c r="Y2" s="2">
        <f>IF(COUNT('Turns'!E16,'Turns'!E31,'Turns'!E46,'Turns'!E58)=4,SUM('Turns'!E16,'Turns'!E31,'Turns'!E46,'Turns'!E58),"Unknown")</f>
        <v>0.000342042912</v>
      </c>
      <c r="Z2" s="2">
        <f>IF(COUNT('Turns'!F16,'Turns'!F31,'Turns'!F46,'Turns'!F58)=4,SUM('Turns'!F16,'Turns'!F31,'Turns'!F46,'Turns'!F58),"Unknown")</f>
        <v>0.0003888</v>
      </c>
      <c r="AA2" s="5">
        <f>IF(ISNUMBER(Y2),ROUND(Y2*'Reference data'!$B$2,0),"Unknown")</f>
        <v>34.0</v>
      </c>
      <c r="AB2" s="5">
        <f>IF(ISNUMBER(Z2),ROUND(Z2*'Reference data'!$B$2,0),"Unknown")</f>
        <v>39.0</v>
      </c>
      <c r="AD2" s="1">
        <v>4155.05</v>
      </c>
      <c r="AE2" s="1" t="s">
        <v>184</v>
      </c>
    </row>
    <row r="3" spans="1:31" ht="54" customHeight="1">
      <c r="A3" s="6" t="s">
        <v>185</v>
      </c>
      <c r="B3" s="1">
        <v>1</v>
      </c>
      <c r="C3" s="1" t="s">
        <v>182</v>
      </c>
      <c r="D3" s="1" t="s">
        <v>47</v>
      </c>
      <c r="E3" s="1" t="s">
        <v>110</v>
      </c>
      <c r="G3" s="6" t="s">
        <v>186</v>
      </c>
      <c r="H3" t="s">
        <v>187</v>
      </c>
      <c r="I3" t="s">
        <v>49</v>
      </c>
      <c r="J3" s="2">
        <f>IF(COUNT('Turns'!D5)=1,SUM('Turns'!D5),"Unknown")</f>
        <v>262.0</v>
      </c>
      <c r="K3" s="2">
        <f>IF(COUNT('Turns'!E5)=1,SUM('Turns'!E5),"Unknown")</f>
        <v>4.6098376e-05</v>
      </c>
      <c r="L3" s="2">
        <f>IF(COUNT('Turns'!F5)=1,SUM('Turns'!F5),"Unknown")</f>
        <v>5.24e-05</v>
      </c>
      <c r="M3" s="2">
        <v>0</v>
      </c>
      <c r="N3" s="2">
        <v>0</v>
      </c>
      <c r="O3" s="2">
        <v>0</v>
      </c>
      <c r="P3" s="2">
        <v>0</v>
      </c>
      <c r="Q3" s="2">
        <v>0</v>
      </c>
      <c r="R3" s="2">
        <v>0</v>
      </c>
      <c r="S3" s="2">
        <f>IF(COUNT('Turns'!D12)=1,SUM('Turns'!D12),"Unknown")</f>
        <v>56.0</v>
      </c>
      <c r="T3" s="2">
        <f>IF(COUNT('Turns'!E12)=1,SUM('Turns'!E12),"Unknown")</f>
        <v>5.9118528e-05</v>
      </c>
      <c r="U3" s="2">
        <f>IF(COUNT('Turns'!F12)=1,SUM('Turns'!F12),"Unknown")</f>
        <v>6.72e-05</v>
      </c>
      <c r="V3" s="2">
        <v>0</v>
      </c>
      <c r="W3" s="2">
        <v>0</v>
      </c>
      <c r="X3" s="2">
        <v>0</v>
      </c>
      <c r="Y3" s="2">
        <f>IF(COUNT('Turns'!E16)=1,SUM('Turns'!E16),"Unknown")</f>
        <v>0.000105216904</v>
      </c>
      <c r="Z3" s="2">
        <f>IF(COUNT('Turns'!F16)=1,SUM('Turns'!F16),"Unknown")</f>
        <v>0.0001196</v>
      </c>
      <c r="AA3" s="5">
        <f>IF(ISNUMBER(Y3),ROUND(Y3*'Reference data'!$B$2,0),"Unknown")</f>
        <v>11.0</v>
      </c>
      <c r="AB3" s="5">
        <f>IF(ISNUMBER(Z3),ROUND(Z3*'Reference data'!$B$2,0),"Unknown")</f>
        <v>12.0</v>
      </c>
      <c r="AD3" s="1">
        <v>1416.21</v>
      </c>
      <c r="AE3" s="1" t="s">
        <v>184</v>
      </c>
    </row>
    <row r="4" spans="1:31" ht="54" customHeight="1">
      <c r="A4" s="6" t="s">
        <v>188</v>
      </c>
      <c r="B4" s="1">
        <v>2</v>
      </c>
      <c r="C4" s="1" t="s">
        <v>189</v>
      </c>
      <c r="D4" s="1" t="s">
        <v>95</v>
      </c>
      <c r="E4" s="1" t="s">
        <v>110</v>
      </c>
      <c r="F4" s="1">
        <v>262</v>
      </c>
      <c r="G4" s="6" t="s">
        <v>190</v>
      </c>
      <c r="H4" t="s">
        <v>96</v>
      </c>
      <c r="I4" t="s">
        <v>187</v>
      </c>
      <c r="J4" s="2">
        <f>IF(COUNT('Turns'!D5)=1,SUM('Turns'!D5),"Unknown")</f>
        <v>262.0</v>
      </c>
      <c r="K4" s="2">
        <f>IF(COUNT('Turns'!E5)=1,SUM('Turns'!E5),"Unknown")</f>
        <v>4.6098376e-05</v>
      </c>
      <c r="L4" s="2">
        <f>IF(COUNT('Turns'!F5)=1,SUM('Turns'!F5),"Unknown")</f>
        <v>5.24e-05</v>
      </c>
      <c r="M4" s="2">
        <v>0</v>
      </c>
      <c r="N4" s="2">
        <v>0</v>
      </c>
      <c r="O4" s="2">
        <v>0</v>
      </c>
      <c r="P4" s="2">
        <v>0</v>
      </c>
      <c r="Q4" s="2">
        <v>0</v>
      </c>
      <c r="R4" s="2">
        <v>0</v>
      </c>
      <c r="S4" s="2">
        <f>IF(COUNT('Turns'!D12)=1,SUM('Turns'!D12),"Unknown")</f>
        <v>56.0</v>
      </c>
      <c r="T4" s="2">
        <f>IF(COUNT('Turns'!E12)=1,SUM('Turns'!E12),"Unknown")</f>
        <v>5.9118528e-05</v>
      </c>
      <c r="U4" s="2">
        <f>IF(COUNT('Turns'!F12)=1,SUM('Turns'!F12),"Unknown")</f>
        <v>6.72e-05</v>
      </c>
      <c r="V4" s="2">
        <v>0</v>
      </c>
      <c r="W4" s="2">
        <v>0</v>
      </c>
      <c r="X4" s="2">
        <v>0</v>
      </c>
      <c r="Y4" s="2">
        <f>IF(COUNT('Turns'!E16)=1,SUM('Turns'!E16),"Unknown")</f>
        <v>0.000105216904</v>
      </c>
      <c r="Z4" s="2">
        <f>IF(COUNT('Turns'!F16)=1,SUM('Turns'!F16),"Unknown")</f>
        <v>0.0001196</v>
      </c>
      <c r="AA4" s="5">
        <f>IF(ISNUMBER(Y4),ROUND(Y4*'Reference data'!$B$2,0),"Unknown")</f>
        <v>11.0</v>
      </c>
      <c r="AB4" s="5">
        <f>IF(ISNUMBER(Z4),ROUND(Z4*'Reference data'!$B$2,0),"Unknown")</f>
        <v>12.0</v>
      </c>
      <c r="AC4" s="1" t="s">
        <v>93</v>
      </c>
      <c r="AD4" s="1">
        <v>1413.068</v>
      </c>
      <c r="AE4" s="1" t="s">
        <v>191</v>
      </c>
    </row>
    <row r="5" spans="1:31" ht="54" customHeight="1">
      <c r="A5" s="6" t="s">
        <v>192</v>
      </c>
      <c r="B5" s="1">
        <v>1</v>
      </c>
      <c r="C5" s="1" t="s">
        <v>182</v>
      </c>
      <c r="D5" s="1" t="s">
        <v>47</v>
      </c>
      <c r="E5" s="1" t="s">
        <v>110</v>
      </c>
      <c r="G5" s="6" t="s">
        <v>193</v>
      </c>
      <c r="H5" t="s">
        <v>194</v>
      </c>
      <c r="I5" t="s">
        <v>49</v>
      </c>
      <c r="J5" s="2">
        <f>IF(COUNT('Turns'!D21,'Turns'!D37)=2,SUM('Turns'!D21,'Turns'!D37),"Unknown")</f>
        <v>460.0</v>
      </c>
      <c r="K5" s="2">
        <f>IF(COUNT('Turns'!E21,'Turns'!E37)=2,SUM('Turns'!E21,'Turns'!E37),"Unknown")</f>
        <v>8.093608e-05</v>
      </c>
      <c r="L5" s="2">
        <f>IF(COUNT('Turns'!F21,'Turns'!F37)=2,SUM('Turns'!F21,'Turns'!F37),"Unknown")</f>
        <v>9.2e-05</v>
      </c>
      <c r="M5" s="2">
        <f>IF(COUNT('Turns'!D36)=1,SUM('Turns'!D36),"Unknown")</f>
        <v>0.0</v>
      </c>
      <c r="N5" s="2">
        <f>IF(COUNT('Turns'!E36)=1,SUM('Turns'!E36),"Unknown")</f>
        <v>0.0</v>
      </c>
      <c r="O5" s="2">
        <f>IF(COUNT('Turns'!F36)=1,SUM('Turns'!F36),"Unknown")</f>
        <v>0.0</v>
      </c>
      <c r="P5" s="2">
        <v>0</v>
      </c>
      <c r="Q5" s="2">
        <v>0</v>
      </c>
      <c r="R5" s="2">
        <v>0</v>
      </c>
      <c r="S5" s="2">
        <f>IF(COUNT('Turns'!D27,'Turns'!D42)=2,SUM('Turns'!D27,'Turns'!D42),"Unknown")</f>
        <v>66.0</v>
      </c>
      <c r="T5" s="2">
        <f>IF(COUNT('Turns'!E27,'Turns'!E42)=2,SUM('Turns'!E27,'Turns'!E42),"Unknown")</f>
        <v>6.9675408e-05</v>
      </c>
      <c r="U5" s="2">
        <f>IF(COUNT('Turns'!F27,'Turns'!F42)=2,SUM('Turns'!F27,'Turns'!F42),"Unknown")</f>
        <v>7.92e-05</v>
      </c>
      <c r="V5" s="2">
        <v>0</v>
      </c>
      <c r="W5" s="2">
        <v>0</v>
      </c>
      <c r="X5" s="2">
        <v>0</v>
      </c>
      <c r="Y5" s="2">
        <f>IF(COUNT('Turns'!E31,'Turns'!E46)=2,SUM('Turns'!E31,'Turns'!E46),"Unknown")</f>
        <v>0.000150611488</v>
      </c>
      <c r="Z5" s="2">
        <f>IF(COUNT('Turns'!F31,'Turns'!F46)=2,SUM('Turns'!F31,'Turns'!F46),"Unknown")</f>
        <v>0.0001712</v>
      </c>
      <c r="AA5" s="5">
        <f>IF(ISNUMBER(Y5),ROUND(Y5*'Reference data'!$B$2,0),"Unknown")</f>
        <v>15.0</v>
      </c>
      <c r="AB5" s="5">
        <f>IF(ISNUMBER(Z5),ROUND(Z5*'Reference data'!$B$2,0),"Unknown")</f>
        <v>17.0</v>
      </c>
      <c r="AD5" s="1">
        <v>1819.893</v>
      </c>
      <c r="AE5" s="1" t="s">
        <v>184</v>
      </c>
    </row>
    <row r="6" spans="1:31" ht="54" customHeight="1">
      <c r="A6" s="6" t="s">
        <v>195</v>
      </c>
      <c r="B6" s="1">
        <v>2</v>
      </c>
      <c r="C6" s="1" t="s">
        <v>196</v>
      </c>
      <c r="D6" s="1" t="s">
        <v>47</v>
      </c>
      <c r="E6" s="1" t="s">
        <v>110</v>
      </c>
      <c r="G6" s="6" t="s">
        <v>197</v>
      </c>
      <c r="H6" t="s">
        <v>112</v>
      </c>
      <c r="I6" t="s">
        <v>194</v>
      </c>
      <c r="J6" s="2">
        <f>IF(COUNT('Turns'!D21,'Turns'!D37)=2,SUM('Turns'!D21,'Turns'!D37),"Unknown")</f>
        <v>460.0</v>
      </c>
      <c r="K6" s="2">
        <f>IF(COUNT('Turns'!E21,'Turns'!E37)=2,SUM('Turns'!E21,'Turns'!E37),"Unknown")</f>
        <v>8.093608e-05</v>
      </c>
      <c r="L6" s="2">
        <f>IF(COUNT('Turns'!F21,'Turns'!F37)=2,SUM('Turns'!F21,'Turns'!F37),"Unknown")</f>
        <v>9.2e-05</v>
      </c>
      <c r="M6" s="2">
        <f>IF(COUNT('Turns'!D36)=1,SUM('Turns'!D36),"Unknown")</f>
        <v>0.0</v>
      </c>
      <c r="N6" s="2">
        <f>IF(COUNT('Turns'!E36)=1,SUM('Turns'!E36),"Unknown")</f>
        <v>0.0</v>
      </c>
      <c r="O6" s="2">
        <f>IF(COUNT('Turns'!F36)=1,SUM('Turns'!F36),"Unknown")</f>
        <v>0.0</v>
      </c>
      <c r="P6" s="2">
        <v>0</v>
      </c>
      <c r="Q6" s="2">
        <v>0</v>
      </c>
      <c r="R6" s="2">
        <v>0</v>
      </c>
      <c r="S6" s="2">
        <f>IF(COUNT('Turns'!D27,'Turns'!D42)=2,SUM('Turns'!D27,'Turns'!D42),"Unknown")</f>
        <v>66.0</v>
      </c>
      <c r="T6" s="2">
        <f>IF(COUNT('Turns'!E27,'Turns'!E42)=2,SUM('Turns'!E27,'Turns'!E42),"Unknown")</f>
        <v>6.9675408e-05</v>
      </c>
      <c r="U6" s="2">
        <f>IF(COUNT('Turns'!F27,'Turns'!F42)=2,SUM('Turns'!F27,'Turns'!F42),"Unknown")</f>
        <v>7.92e-05</v>
      </c>
      <c r="V6" s="2">
        <v>0</v>
      </c>
      <c r="W6" s="2">
        <v>0</v>
      </c>
      <c r="X6" s="2">
        <v>0</v>
      </c>
      <c r="Y6" s="2">
        <f>IF(COUNT('Turns'!E31,'Turns'!E46)=2,SUM('Turns'!E31,'Turns'!E46),"Unknown")</f>
        <v>0.000150611488</v>
      </c>
      <c r="Z6" s="2">
        <f>IF(COUNT('Turns'!F31,'Turns'!F46)=2,SUM('Turns'!F31,'Turns'!F46),"Unknown")</f>
        <v>0.0001712</v>
      </c>
      <c r="AA6" s="5">
        <f>IF(ISNUMBER(Y6),ROUND(Y6*'Reference data'!$B$2,0),"Unknown")</f>
        <v>15.0</v>
      </c>
      <c r="AB6" s="5">
        <f>IF(ISNUMBER(Z6),ROUND(Z6*'Reference data'!$B$2,0),"Unknown")</f>
        <v>17.0</v>
      </c>
      <c r="AD6" s="1">
        <v>1818.657</v>
      </c>
      <c r="AE6" s="1" t="s">
        <v>184</v>
      </c>
    </row>
    <row r="7" spans="1:31" ht="54" customHeight="1">
      <c r="A7" s="6" t="s">
        <v>198</v>
      </c>
      <c r="B7" s="1">
        <v>3</v>
      </c>
      <c r="C7" s="1" t="s">
        <v>182</v>
      </c>
      <c r="D7" s="1" t="s">
        <v>47</v>
      </c>
      <c r="E7" s="1" t="s">
        <v>110</v>
      </c>
      <c r="G7" s="6" t="s">
        <v>199</v>
      </c>
      <c r="H7" t="s">
        <v>200</v>
      </c>
      <c r="I7" t="s">
        <v>112</v>
      </c>
      <c r="J7" s="2">
        <f>IF(COUNT('Turns'!D21,'Turns'!D37)=2,SUM('Turns'!D21,'Turns'!D37),"Unknown")</f>
        <v>460.0</v>
      </c>
      <c r="K7" s="2">
        <f>IF(COUNT('Turns'!E21,'Turns'!E37)=2,SUM('Turns'!E21,'Turns'!E37),"Unknown")</f>
        <v>8.093608e-05</v>
      </c>
      <c r="L7" s="2">
        <f>IF(COUNT('Turns'!F21,'Turns'!F37)=2,SUM('Turns'!F21,'Turns'!F37),"Unknown")</f>
        <v>9.2e-05</v>
      </c>
      <c r="M7" s="2">
        <f>IF(COUNT('Turns'!D36)=1,SUM('Turns'!D36),"Unknown")</f>
        <v>0.0</v>
      </c>
      <c r="N7" s="2">
        <f>IF(COUNT('Turns'!E36)=1,SUM('Turns'!E36),"Unknown")</f>
        <v>0.0</v>
      </c>
      <c r="O7" s="2">
        <f>IF(COUNT('Turns'!F36)=1,SUM('Turns'!F36),"Unknown")</f>
        <v>0.0</v>
      </c>
      <c r="P7" s="2">
        <v>0</v>
      </c>
      <c r="Q7" s="2">
        <v>0</v>
      </c>
      <c r="R7" s="2">
        <v>0</v>
      </c>
      <c r="S7" s="2">
        <f>IF(COUNT('Turns'!D27,'Turns'!D42)=2,SUM('Turns'!D27,'Turns'!D42),"Unknown")</f>
        <v>66.0</v>
      </c>
      <c r="T7" s="2">
        <f>IF(COUNT('Turns'!E27,'Turns'!E42)=2,SUM('Turns'!E27,'Turns'!E42),"Unknown")</f>
        <v>6.9675408e-05</v>
      </c>
      <c r="U7" s="2">
        <f>IF(COUNT('Turns'!F27,'Turns'!F42)=2,SUM('Turns'!F27,'Turns'!F42),"Unknown")</f>
        <v>7.92e-05</v>
      </c>
      <c r="V7" s="2">
        <v>0</v>
      </c>
      <c r="W7" s="2">
        <v>0</v>
      </c>
      <c r="X7" s="2">
        <v>0</v>
      </c>
      <c r="Y7" s="2">
        <f>IF(COUNT('Turns'!E31,'Turns'!E46)=2,SUM('Turns'!E31,'Turns'!E46),"Unknown")</f>
        <v>0.000150611488</v>
      </c>
      <c r="Z7" s="2">
        <f>IF(COUNT('Turns'!F31,'Turns'!F46)=2,SUM('Turns'!F31,'Turns'!F46),"Unknown")</f>
        <v>0.0001712</v>
      </c>
      <c r="AA7" s="5">
        <f>IF(ISNUMBER(Y7),ROUND(Y7*'Reference data'!$B$2,0),"Unknown")</f>
        <v>15.0</v>
      </c>
      <c r="AB7" s="5">
        <f>IF(ISNUMBER(Z7),ROUND(Z7*'Reference data'!$B$2,0),"Unknown")</f>
        <v>17.0</v>
      </c>
      <c r="AD7" s="1">
        <v>1817.685</v>
      </c>
      <c r="AE7" s="1" t="s">
        <v>184</v>
      </c>
    </row>
    <row r="8" spans="1:31" ht="54" customHeight="1">
      <c r="A8" s="6" t="s">
        <v>201</v>
      </c>
      <c r="B8" s="1">
        <v>4</v>
      </c>
      <c r="C8" s="1" t="s">
        <v>182</v>
      </c>
      <c r="D8" s="1" t="s">
        <v>47</v>
      </c>
      <c r="E8" s="1" t="s">
        <v>110</v>
      </c>
      <c r="G8" s="6" t="s">
        <v>186</v>
      </c>
      <c r="H8" t="s">
        <v>202</v>
      </c>
      <c r="I8" t="s">
        <v>200</v>
      </c>
      <c r="J8" s="2">
        <f>IF(COUNT('Turns'!D21)=1,SUM('Turns'!D21),"Unknown")</f>
        <v>193.0</v>
      </c>
      <c r="K8" s="2">
        <f>IF(COUNT('Turns'!E21)=1,SUM('Turns'!E21),"Unknown")</f>
        <v>3.3957964e-05</v>
      </c>
      <c r="L8" s="2">
        <f>IF(COUNT('Turns'!F21)=1,SUM('Turns'!F21),"Unknown")</f>
        <v>3.86e-05</v>
      </c>
      <c r="M8" s="2">
        <v>0</v>
      </c>
      <c r="N8" s="2">
        <v>0</v>
      </c>
      <c r="O8" s="2">
        <v>0</v>
      </c>
      <c r="P8" s="2">
        <v>0</v>
      </c>
      <c r="Q8" s="2">
        <v>0</v>
      </c>
      <c r="R8" s="2">
        <v>0</v>
      </c>
      <c r="S8" s="2">
        <f>IF(COUNT('Turns'!D27)=1,SUM('Turns'!D27),"Unknown")</f>
        <v>26.0</v>
      </c>
      <c r="T8" s="2">
        <f>IF(COUNT('Turns'!E27)=1,SUM('Turns'!E27),"Unknown")</f>
        <v>2.7447888e-05</v>
      </c>
      <c r="U8" s="2">
        <f>IF(COUNT('Turns'!F27)=1,SUM('Turns'!F27),"Unknown")</f>
        <v>3.12e-05</v>
      </c>
      <c r="V8" s="2">
        <v>0</v>
      </c>
      <c r="W8" s="2">
        <v>0</v>
      </c>
      <c r="X8" s="2">
        <v>0</v>
      </c>
      <c r="Y8" s="2">
        <f>IF(COUNT('Turns'!E31)=1,SUM('Turns'!E31),"Unknown")</f>
        <v>6.1405852e-05</v>
      </c>
      <c r="Z8" s="2">
        <f>IF(COUNT('Turns'!F31)=1,SUM('Turns'!F31),"Unknown")</f>
        <v>6.98e-05</v>
      </c>
      <c r="AA8" s="5">
        <f>IF(ISNUMBER(Y8),ROUND(Y8*'Reference data'!$B$2,0),"Unknown")</f>
        <v>6.0</v>
      </c>
      <c r="AB8" s="5">
        <f>IF(ISNUMBER(Z8),ROUND(Z8*'Reference data'!$B$2,0),"Unknown")</f>
        <v>7.0</v>
      </c>
      <c r="AD8" s="1">
        <v>914.684</v>
      </c>
      <c r="AE8" s="1" t="s">
        <v>184</v>
      </c>
    </row>
    <row r="9" spans="1:31" ht="54" customHeight="1">
      <c r="A9" s="6" t="s">
        <v>203</v>
      </c>
      <c r="B9" s="1">
        <v>5</v>
      </c>
      <c r="C9" s="1" t="s">
        <v>189</v>
      </c>
      <c r="D9" s="1" t="s">
        <v>95</v>
      </c>
      <c r="E9" s="1" t="s">
        <v>110</v>
      </c>
      <c r="F9" s="1">
        <v>193</v>
      </c>
      <c r="G9" s="6" t="s">
        <v>190</v>
      </c>
      <c r="H9" t="s">
        <v>118</v>
      </c>
      <c r="I9" t="s">
        <v>202</v>
      </c>
      <c r="J9" s="2">
        <f>IF(COUNT('Turns'!D21)=1,SUM('Turns'!D21),"Unknown")</f>
        <v>193.0</v>
      </c>
      <c r="K9" s="2">
        <f>IF(COUNT('Turns'!E21)=1,SUM('Turns'!E21),"Unknown")</f>
        <v>3.3957964e-05</v>
      </c>
      <c r="L9" s="2">
        <f>IF(COUNT('Turns'!F21)=1,SUM('Turns'!F21),"Unknown")</f>
        <v>3.86e-05</v>
      </c>
      <c r="M9" s="2">
        <v>0</v>
      </c>
      <c r="N9" s="2">
        <v>0</v>
      </c>
      <c r="O9" s="2">
        <v>0</v>
      </c>
      <c r="P9" s="2">
        <v>0</v>
      </c>
      <c r="Q9" s="2">
        <v>0</v>
      </c>
      <c r="R9" s="2">
        <v>0</v>
      </c>
      <c r="S9" s="2">
        <f>IF(COUNT('Turns'!D27)=1,SUM('Turns'!D27),"Unknown")</f>
        <v>26.0</v>
      </c>
      <c r="T9" s="2">
        <f>IF(COUNT('Turns'!E27)=1,SUM('Turns'!E27),"Unknown")</f>
        <v>2.7447888e-05</v>
      </c>
      <c r="U9" s="2">
        <f>IF(COUNT('Turns'!F27)=1,SUM('Turns'!F27),"Unknown")</f>
        <v>3.12e-05</v>
      </c>
      <c r="V9" s="2">
        <v>0</v>
      </c>
      <c r="W9" s="2">
        <v>0</v>
      </c>
      <c r="X9" s="2">
        <v>0</v>
      </c>
      <c r="Y9" s="2">
        <f>IF(COUNT('Turns'!E31)=1,SUM('Turns'!E31),"Unknown")</f>
        <v>6.1405852e-05</v>
      </c>
      <c r="Z9" s="2">
        <f>IF(COUNT('Turns'!F31)=1,SUM('Turns'!F31),"Unknown")</f>
        <v>6.98e-05</v>
      </c>
      <c r="AA9" s="5">
        <f>IF(ISNUMBER(Y9),ROUND(Y9*'Reference data'!$B$2,0),"Unknown")</f>
        <v>6.0</v>
      </c>
      <c r="AB9" s="5">
        <f>IF(ISNUMBER(Z9),ROUND(Z9*'Reference data'!$B$2,0),"Unknown")</f>
        <v>7.0</v>
      </c>
      <c r="AC9" s="1" t="s">
        <v>117</v>
      </c>
      <c r="AD9" s="1">
        <v>911.932</v>
      </c>
      <c r="AE9" s="1" t="s">
        <v>191</v>
      </c>
    </row>
    <row r="10" spans="1:31" ht="54" customHeight="1">
      <c r="A10" s="6" t="s">
        <v>204</v>
      </c>
      <c r="B10" s="1">
        <v>4</v>
      </c>
      <c r="C10" s="1" t="s">
        <v>182</v>
      </c>
      <c r="D10" s="1" t="s">
        <v>47</v>
      </c>
      <c r="E10" s="1" t="s">
        <v>110</v>
      </c>
      <c r="G10" s="6" t="s">
        <v>193</v>
      </c>
      <c r="H10" t="s">
        <v>205</v>
      </c>
      <c r="I10" t="s">
        <v>200</v>
      </c>
      <c r="AD10" s="1">
        <v>1.782</v>
      </c>
      <c r="AE10" s="1" t="s">
        <v>206</v>
      </c>
    </row>
    <row r="11" spans="1:31" ht="54" customHeight="1">
      <c r="A11" s="6" t="s">
        <v>207</v>
      </c>
      <c r="B11" s="1">
        <v>5</v>
      </c>
      <c r="C11" s="1" t="s">
        <v>196</v>
      </c>
      <c r="D11" s="1" t="s">
        <v>47</v>
      </c>
      <c r="E11" s="1" t="s">
        <v>110</v>
      </c>
      <c r="G11" s="6" t="s">
        <v>208</v>
      </c>
      <c r="H11" t="s">
        <v>122</v>
      </c>
      <c r="I11" t="s">
        <v>205</v>
      </c>
      <c r="AD11" s="1">
        <v>0.517</v>
      </c>
      <c r="AE11" s="1" t="s">
        <v>206</v>
      </c>
    </row>
    <row r="12" spans="1:31" ht="54" customHeight="1">
      <c r="A12" s="6" t="s">
        <v>201</v>
      </c>
      <c r="B12" s="1">
        <v>4</v>
      </c>
      <c r="C12" s="1" t="s">
        <v>182</v>
      </c>
      <c r="D12" s="1" t="s">
        <v>47</v>
      </c>
      <c r="E12" s="1" t="s">
        <v>110</v>
      </c>
      <c r="G12" s="6" t="s">
        <v>186</v>
      </c>
      <c r="H12" t="s">
        <v>209</v>
      </c>
      <c r="I12" t="s">
        <v>200</v>
      </c>
      <c r="J12" s="2">
        <f>IF(COUNT('Turns'!D37)=1,SUM('Turns'!D37),"Unknown")</f>
        <v>267.0</v>
      </c>
      <c r="K12" s="2">
        <f>IF(COUNT('Turns'!E37)=1,SUM('Turns'!E37),"Unknown")</f>
        <v>4.6978116e-05</v>
      </c>
      <c r="L12" s="2">
        <f>IF(COUNT('Turns'!F37)=1,SUM('Turns'!F37),"Unknown")</f>
        <v>5.34e-05</v>
      </c>
      <c r="M12" s="2">
        <f>IF(COUNT('Turns'!D36)=1,SUM('Turns'!D36),"Unknown")</f>
        <v>0.0</v>
      </c>
      <c r="N12" s="2">
        <f>IF(COUNT('Turns'!E36)=1,SUM('Turns'!E36),"Unknown")</f>
        <v>0.0</v>
      </c>
      <c r="O12" s="2">
        <f>IF(COUNT('Turns'!F36)=1,SUM('Turns'!F36),"Unknown")</f>
        <v>0.0</v>
      </c>
      <c r="P12" s="2">
        <v>0</v>
      </c>
      <c r="Q12" s="2">
        <v>0</v>
      </c>
      <c r="R12" s="2">
        <v>0</v>
      </c>
      <c r="S12" s="2">
        <f>IF(COUNT('Turns'!D42)=1,SUM('Turns'!D42),"Unknown")</f>
        <v>40.0</v>
      </c>
      <c r="T12" s="2">
        <f>IF(COUNT('Turns'!E42)=1,SUM('Turns'!E42),"Unknown")</f>
        <v>4.222752e-05</v>
      </c>
      <c r="U12" s="2">
        <f>IF(COUNT('Turns'!F42)=1,SUM('Turns'!F42),"Unknown")</f>
        <v>4.8e-05</v>
      </c>
      <c r="V12" s="2">
        <v>0</v>
      </c>
      <c r="W12" s="2">
        <v>0</v>
      </c>
      <c r="X12" s="2">
        <v>0</v>
      </c>
      <c r="Y12" s="2">
        <f>IF(COUNT('Turns'!E46)=1,SUM('Turns'!E46),"Unknown")</f>
        <v>8.9205636e-05</v>
      </c>
      <c r="Z12" s="2">
        <f>IF(COUNT('Turns'!F46)=1,SUM('Turns'!F46),"Unknown")</f>
        <v>0.0001014</v>
      </c>
      <c r="AA12" s="5">
        <f>IF(ISNUMBER(Y12),ROUND(Y12*'Reference data'!$B$2,0),"Unknown")</f>
        <v>9.0</v>
      </c>
      <c r="AB12" s="5">
        <f>IF(ISNUMBER(Z12),ROUND(Z12*'Reference data'!$B$2,0),"Unknown")</f>
        <v>10.0</v>
      </c>
      <c r="AD12" s="1">
        <v>898.388</v>
      </c>
      <c r="AE12" s="1" t="s">
        <v>184</v>
      </c>
    </row>
    <row r="13" spans="1:31" ht="54" customHeight="1">
      <c r="A13" s="6" t="s">
        <v>203</v>
      </c>
      <c r="B13" s="1">
        <v>5</v>
      </c>
      <c r="C13" s="1" t="s">
        <v>189</v>
      </c>
      <c r="D13" s="1" t="s">
        <v>95</v>
      </c>
      <c r="E13" s="1" t="s">
        <v>110</v>
      </c>
      <c r="F13" s="1">
        <v>267</v>
      </c>
      <c r="G13" s="6" t="s">
        <v>190</v>
      </c>
      <c r="H13" t="s">
        <v>126</v>
      </c>
      <c r="I13" t="s">
        <v>209</v>
      </c>
      <c r="J13" s="2">
        <f>IF(COUNT('Turns'!D37)=1,SUM('Turns'!D37),"Unknown")</f>
        <v>267.0</v>
      </c>
      <c r="K13" s="2">
        <f>IF(COUNT('Turns'!E37)=1,SUM('Turns'!E37),"Unknown")</f>
        <v>4.6978116e-05</v>
      </c>
      <c r="L13" s="2">
        <f>IF(COUNT('Turns'!F37)=1,SUM('Turns'!F37),"Unknown")</f>
        <v>5.34e-05</v>
      </c>
      <c r="M13" s="2">
        <f>IF(COUNT('Turns'!D36)=1,SUM('Turns'!D36),"Unknown")</f>
        <v>0.0</v>
      </c>
      <c r="N13" s="2">
        <f>IF(COUNT('Turns'!E36)=1,SUM('Turns'!E36),"Unknown")</f>
        <v>0.0</v>
      </c>
      <c r="O13" s="2">
        <f>IF(COUNT('Turns'!F36)=1,SUM('Turns'!F36),"Unknown")</f>
        <v>0.0</v>
      </c>
      <c r="P13" s="2">
        <v>0</v>
      </c>
      <c r="Q13" s="2">
        <v>0</v>
      </c>
      <c r="R13" s="2">
        <v>0</v>
      </c>
      <c r="S13" s="2">
        <f>IF(COUNT('Turns'!D42)=1,SUM('Turns'!D42),"Unknown")</f>
        <v>40.0</v>
      </c>
      <c r="T13" s="2">
        <f>IF(COUNT('Turns'!E42)=1,SUM('Turns'!E42),"Unknown")</f>
        <v>4.222752e-05</v>
      </c>
      <c r="U13" s="2">
        <f>IF(COUNT('Turns'!F42)=1,SUM('Turns'!F42),"Unknown")</f>
        <v>4.8e-05</v>
      </c>
      <c r="V13" s="2">
        <v>0</v>
      </c>
      <c r="W13" s="2">
        <v>0</v>
      </c>
      <c r="X13" s="2">
        <v>0</v>
      </c>
      <c r="Y13" s="2">
        <f>IF(COUNT('Turns'!E46)=1,SUM('Turns'!E46),"Unknown")</f>
        <v>8.9205636e-05</v>
      </c>
      <c r="Z13" s="2">
        <f>IF(COUNT('Turns'!F46)=1,SUM('Turns'!F46),"Unknown")</f>
        <v>0.0001014</v>
      </c>
      <c r="AA13" s="5">
        <f>IF(ISNUMBER(Y13),ROUND(Y13*'Reference data'!$B$2,0),"Unknown")</f>
        <v>9.0</v>
      </c>
      <c r="AB13" s="5">
        <f>IF(ISNUMBER(Z13),ROUND(Z13*'Reference data'!$B$2,0),"Unknown")</f>
        <v>10.0</v>
      </c>
      <c r="AC13" s="1" t="s">
        <v>125</v>
      </c>
      <c r="AD13" s="1">
        <v>897.296</v>
      </c>
      <c r="AE13" s="1" t="s">
        <v>191</v>
      </c>
    </row>
    <row r="14" spans="1:31" ht="54" customHeight="1">
      <c r="A14" s="6" t="s">
        <v>185</v>
      </c>
      <c r="B14" s="1">
        <v>1</v>
      </c>
      <c r="C14" s="1" t="s">
        <v>182</v>
      </c>
      <c r="D14" s="1" t="s">
        <v>47</v>
      </c>
      <c r="E14" s="1" t="s">
        <v>110</v>
      </c>
      <c r="G14" s="6" t="s">
        <v>186</v>
      </c>
      <c r="H14" t="s">
        <v>210</v>
      </c>
      <c r="I14" t="s">
        <v>49</v>
      </c>
      <c r="J14" s="2">
        <f>IF(COUNT('Turns'!D49)=1,SUM('Turns'!D49),"Unknown")</f>
        <v>364.0</v>
      </c>
      <c r="K14" s="2">
        <f>IF(COUNT('Turns'!E49)=1,SUM('Turns'!E49),"Unknown")</f>
        <v>6.4045072e-05</v>
      </c>
      <c r="L14" s="2">
        <f>IF(COUNT('Turns'!F49)=1,SUM('Turns'!F49),"Unknown")</f>
        <v>7.28e-05</v>
      </c>
      <c r="M14" s="2">
        <f>IF(COUNT('Turns'!D48)=1,SUM('Turns'!D48),"Unknown")</f>
        <v>0.0</v>
      </c>
      <c r="N14" s="2">
        <f>IF(COUNT('Turns'!E48)=1,SUM('Turns'!E48),"Unknown")</f>
        <v>0.0</v>
      </c>
      <c r="O14" s="2">
        <f>IF(COUNT('Turns'!F48)=1,SUM('Turns'!F48),"Unknown")</f>
        <v>0.0</v>
      </c>
      <c r="P14" s="2">
        <v>0</v>
      </c>
      <c r="Q14" s="2">
        <v>0</v>
      </c>
      <c r="R14" s="2">
        <v>0</v>
      </c>
      <c r="S14" s="2">
        <f>IF(COUNT('Turns'!D54)=1,SUM('Turns'!D54),"Unknown")</f>
        <v>21.0</v>
      </c>
      <c r="T14" s="2">
        <f>IF(COUNT('Turns'!E54)=1,SUM('Turns'!E54),"Unknown")</f>
        <v>2.2169448e-05</v>
      </c>
      <c r="U14" s="2">
        <f>IF(COUNT('Turns'!F54)=1,SUM('Turns'!F54),"Unknown")</f>
        <v>2.52e-05</v>
      </c>
      <c r="V14" s="2">
        <v>0</v>
      </c>
      <c r="W14" s="2">
        <v>0</v>
      </c>
      <c r="X14" s="2">
        <v>0</v>
      </c>
      <c r="Y14" s="2">
        <f>IF(COUNT('Turns'!E58)=1,SUM('Turns'!E58),"Unknown")</f>
        <v>8.621452e-05</v>
      </c>
      <c r="Z14" s="2">
        <f>IF(COUNT('Turns'!F58)=1,SUM('Turns'!F58),"Unknown")</f>
        <v>9.8e-05</v>
      </c>
      <c r="AA14" s="5">
        <f>IF(ISNUMBER(Y14),ROUND(Y14*'Reference data'!$B$2,0),"Unknown")</f>
        <v>9.0</v>
      </c>
      <c r="AB14" s="5">
        <f>IF(ISNUMBER(Z14),ROUND(Z14*'Reference data'!$B$2,0),"Unknown")</f>
        <v>10.0</v>
      </c>
      <c r="AD14" s="1">
        <v>915.265</v>
      </c>
      <c r="AE14" s="1" t="s">
        <v>184</v>
      </c>
    </row>
    <row r="15" spans="1:31" ht="54" customHeight="1">
      <c r="A15" s="6" t="s">
        <v>188</v>
      </c>
      <c r="B15" s="1">
        <v>2</v>
      </c>
      <c r="C15" s="1" t="s">
        <v>189</v>
      </c>
      <c r="D15" s="1" t="s">
        <v>95</v>
      </c>
      <c r="E15" s="1" t="s">
        <v>110</v>
      </c>
      <c r="F15" s="1">
        <v>364</v>
      </c>
      <c r="G15" s="6" t="s">
        <v>190</v>
      </c>
      <c r="H15" t="s">
        <v>131</v>
      </c>
      <c r="I15" t="s">
        <v>210</v>
      </c>
      <c r="J15" s="2">
        <f>IF(COUNT('Turns'!D49)=1,SUM('Turns'!D49),"Unknown")</f>
        <v>364.0</v>
      </c>
      <c r="K15" s="2">
        <f>IF(COUNT('Turns'!E49)=1,SUM('Turns'!E49),"Unknown")</f>
        <v>6.4045072e-05</v>
      </c>
      <c r="L15" s="2">
        <f>IF(COUNT('Turns'!F49)=1,SUM('Turns'!F49),"Unknown")</f>
        <v>7.28e-05</v>
      </c>
      <c r="M15" s="2">
        <f>IF(COUNT('Turns'!D48)=1,SUM('Turns'!D48),"Unknown")</f>
        <v>0.0</v>
      </c>
      <c r="N15" s="2">
        <f>IF(COUNT('Turns'!E48)=1,SUM('Turns'!E48),"Unknown")</f>
        <v>0.0</v>
      </c>
      <c r="O15" s="2">
        <f>IF(COUNT('Turns'!F48)=1,SUM('Turns'!F48),"Unknown")</f>
        <v>0.0</v>
      </c>
      <c r="P15" s="2">
        <v>0</v>
      </c>
      <c r="Q15" s="2">
        <v>0</v>
      </c>
      <c r="R15" s="2">
        <v>0</v>
      </c>
      <c r="S15" s="2">
        <f>IF(COUNT('Turns'!D54)=1,SUM('Turns'!D54),"Unknown")</f>
        <v>21.0</v>
      </c>
      <c r="T15" s="2">
        <f>IF(COUNT('Turns'!E54)=1,SUM('Turns'!E54),"Unknown")</f>
        <v>2.2169448e-05</v>
      </c>
      <c r="U15" s="2">
        <f>IF(COUNT('Turns'!F54)=1,SUM('Turns'!F54),"Unknown")</f>
        <v>2.52e-05</v>
      </c>
      <c r="V15" s="2">
        <v>0</v>
      </c>
      <c r="W15" s="2">
        <v>0</v>
      </c>
      <c r="X15" s="2">
        <v>0</v>
      </c>
      <c r="Y15" s="2">
        <f>IF(COUNT('Turns'!E58)=1,SUM('Turns'!E58),"Unknown")</f>
        <v>8.621452e-05</v>
      </c>
      <c r="Z15" s="2">
        <f>IF(COUNT('Turns'!F58)=1,SUM('Turns'!F58),"Unknown")</f>
        <v>9.8e-05</v>
      </c>
      <c r="AA15" s="5">
        <f>IF(ISNUMBER(Y15),ROUND(Y15*'Reference data'!$B$2,0),"Unknown")</f>
        <v>9.0</v>
      </c>
      <c r="AB15" s="5">
        <f>IF(ISNUMBER(Z15),ROUND(Z15*'Reference data'!$B$2,0),"Unknown")</f>
        <v>10.0</v>
      </c>
      <c r="AC15" s="1" t="s">
        <v>130</v>
      </c>
      <c r="AD15" s="1">
        <v>914.054</v>
      </c>
      <c r="AE15" s="1" t="s">
        <v>191</v>
      </c>
    </row>
    <row r="16" spans="1:31" ht="54" customHeight="1">
      <c r="A16" s="6" t="s">
        <v>181</v>
      </c>
      <c r="B16" s="1">
        <v>0</v>
      </c>
      <c r="C16" s="1" t="s">
        <v>182</v>
      </c>
      <c r="D16" s="1" t="s">
        <v>47</v>
      </c>
      <c r="E16" s="1" t="s">
        <v>110</v>
      </c>
      <c r="G16" s="6" t="s">
        <v>183</v>
      </c>
      <c r="H16" t="s">
        <v>211</v>
      </c>
      <c r="J16" s="2">
        <f>IF(COUNT('Turns'!D62,'Turns'!D76,'Turns'!D92,'Turns'!D104)=4,SUM('Turns'!D62,'Turns'!D76,'Turns'!D92,'Turns'!D104),"Unknown")</f>
        <v>1438.0</v>
      </c>
      <c r="K16" s="2">
        <f>IF(COUNT('Turns'!E62,'Turns'!E76,'Turns'!E92,'Turns'!E104)=4,SUM('Turns'!E62,'Turns'!E76,'Turns'!E92,'Turns'!E104),"Unknown")</f>
        <v>0.000253013224</v>
      </c>
      <c r="L16" s="2">
        <f>IF(COUNT('Turns'!F62,'Turns'!F76,'Turns'!F92,'Turns'!F104)=4,SUM('Turns'!F62,'Turns'!F76,'Turns'!F92,'Turns'!F104),"Unknown")</f>
        <v>0.0002876</v>
      </c>
      <c r="M16" s="2">
        <f>IF(COUNT('Turns'!D61,'Turns'!D91,'Turns'!D103)=3,SUM('Turns'!D61,'Turns'!D91,'Turns'!D103),"Unknown")</f>
        <v>0.0</v>
      </c>
      <c r="N16" s="2">
        <f>IF(COUNT('Turns'!E61,'Turns'!E91,'Turns'!E103)=3,SUM('Turns'!E61,'Turns'!E91,'Turns'!E103),"Unknown")</f>
        <v>0.0</v>
      </c>
      <c r="O16" s="2">
        <f>IF(COUNT('Turns'!F61,'Turns'!F91,'Turns'!F103)=3,SUM('Turns'!F61,'Turns'!F91,'Turns'!F103),"Unknown")</f>
        <v>0.0</v>
      </c>
      <c r="P16" s="2">
        <v>0</v>
      </c>
      <c r="Q16" s="2">
        <v>0</v>
      </c>
      <c r="R16" s="2">
        <v>0</v>
      </c>
      <c r="S16" s="2">
        <f>IF(COUNT('Turns'!D67,'Turns'!D82,'Turns'!D97,'Turns'!D109)=4,SUM('Turns'!D67,'Turns'!D82,'Turns'!D97,'Turns'!D109),"Unknown")</f>
        <v>188.0</v>
      </c>
      <c r="T16" s="2">
        <f>IF(COUNT('Turns'!E67,'Turns'!E82,'Turns'!E97,'Turns'!E109)=4,SUM('Turns'!E67,'Turns'!E82,'Turns'!E97,'Turns'!E109),"Unknown")</f>
        <v>0.000198469344</v>
      </c>
      <c r="U16" s="2">
        <f>IF(COUNT('Turns'!F67,'Turns'!F82,'Turns'!F97,'Turns'!F109)=4,SUM('Turns'!F67,'Turns'!F82,'Turns'!F97,'Turns'!F109),"Unknown")</f>
        <v>0.0002256</v>
      </c>
      <c r="V16" s="2">
        <v>0</v>
      </c>
      <c r="W16" s="2">
        <v>0</v>
      </c>
      <c r="X16" s="2">
        <v>0</v>
      </c>
      <c r="Y16" s="2">
        <f>IF(COUNT('Turns'!E71,'Turns'!E86,'Turns'!E101,'Turns'!E113)=4,SUM('Turns'!E71,'Turns'!E86,'Turns'!E101,'Turns'!E113),"Unknown")</f>
        <v>0.000451482568</v>
      </c>
      <c r="Z16" s="2">
        <f>IF(COUNT('Turns'!F71,'Turns'!F86,'Turns'!F101,'Turns'!F113)=4,SUM('Turns'!F71,'Turns'!F86,'Turns'!F101,'Turns'!F113),"Unknown")</f>
        <v>0.0005132</v>
      </c>
      <c r="AA16" s="5">
        <f>IF(ISNUMBER(Y16),ROUND(Y16*'Reference data'!$B$2,0),"Unknown")</f>
        <v>45.0</v>
      </c>
      <c r="AB16" s="5">
        <f>IF(ISNUMBER(Z16),ROUND(Z16*'Reference data'!$B$2,0),"Unknown")</f>
        <v>51.0</v>
      </c>
      <c r="AD16" s="1">
        <v>6026.143</v>
      </c>
      <c r="AE16" s="1" t="s">
        <v>184</v>
      </c>
    </row>
    <row r="17" spans="1:31" ht="54" customHeight="1">
      <c r="A17" s="6" t="s">
        <v>185</v>
      </c>
      <c r="B17" s="1">
        <v>1</v>
      </c>
      <c r="C17" s="1" t="s">
        <v>182</v>
      </c>
      <c r="D17" s="1" t="s">
        <v>47</v>
      </c>
      <c r="E17" s="1" t="s">
        <v>110</v>
      </c>
      <c r="G17" s="6" t="s">
        <v>186</v>
      </c>
      <c r="H17" t="s">
        <v>212</v>
      </c>
      <c r="I17" t="s">
        <v>211</v>
      </c>
      <c r="J17" s="2">
        <f>IF(COUNT('Turns'!D62)=1,SUM('Turns'!D62),"Unknown")</f>
        <v>402.0</v>
      </c>
      <c r="K17" s="2">
        <f>IF(COUNT('Turns'!E62)=1,SUM('Turns'!E62),"Unknown")</f>
        <v>7.0731096e-05</v>
      </c>
      <c r="L17" s="2">
        <f>IF(COUNT('Turns'!F62)=1,SUM('Turns'!F62),"Unknown")</f>
        <v>8.04e-05</v>
      </c>
      <c r="M17" s="2">
        <f>IF(COUNT('Turns'!D61)=1,SUM('Turns'!D61),"Unknown")</f>
        <v>0.0</v>
      </c>
      <c r="N17" s="2">
        <f>IF(COUNT('Turns'!E61)=1,SUM('Turns'!E61),"Unknown")</f>
        <v>0.0</v>
      </c>
      <c r="O17" s="2">
        <f>IF(COUNT('Turns'!F61)=1,SUM('Turns'!F61),"Unknown")</f>
        <v>0.0</v>
      </c>
      <c r="P17" s="2">
        <v>0</v>
      </c>
      <c r="Q17" s="2">
        <v>0</v>
      </c>
      <c r="R17" s="2">
        <v>0</v>
      </c>
      <c r="S17" s="2">
        <f>IF(COUNT('Turns'!D67)=1,SUM('Turns'!D67),"Unknown")</f>
        <v>67.0</v>
      </c>
      <c r="T17" s="2">
        <f>IF(COUNT('Turns'!E67)=1,SUM('Turns'!E67),"Unknown")</f>
        <v>7.0731096e-05</v>
      </c>
      <c r="U17" s="2">
        <f>IF(COUNT('Turns'!F67)=1,SUM('Turns'!F67),"Unknown")</f>
        <v>8.04e-05</v>
      </c>
      <c r="V17" s="2">
        <v>0</v>
      </c>
      <c r="W17" s="2">
        <v>0</v>
      </c>
      <c r="X17" s="2">
        <v>0</v>
      </c>
      <c r="Y17" s="2">
        <f>IF(COUNT('Turns'!E71)=1,SUM('Turns'!E71),"Unknown")</f>
        <v>0.000141462192</v>
      </c>
      <c r="Z17" s="2">
        <f>IF(COUNT('Turns'!F71)=1,SUM('Turns'!F71),"Unknown")</f>
        <v>0.0001608</v>
      </c>
      <c r="AA17" s="5">
        <f>IF(ISNUMBER(Y17),ROUND(Y17*'Reference data'!$B$2,0),"Unknown")</f>
        <v>14.0</v>
      </c>
      <c r="AB17" s="5">
        <f>IF(ISNUMBER(Z17),ROUND(Z17*'Reference data'!$B$2,0),"Unknown")</f>
        <v>16.0</v>
      </c>
      <c r="AD17" s="1">
        <v>1308.409</v>
      </c>
      <c r="AE17" s="1" t="s">
        <v>184</v>
      </c>
    </row>
    <row r="18" spans="1:31" ht="54" customHeight="1">
      <c r="A18" s="6" t="s">
        <v>188</v>
      </c>
      <c r="B18" s="1">
        <v>2</v>
      </c>
      <c r="C18" s="1" t="s">
        <v>189</v>
      </c>
      <c r="D18" s="1" t="s">
        <v>95</v>
      </c>
      <c r="E18" s="1" t="s">
        <v>110</v>
      </c>
      <c r="F18" s="1">
        <v>402</v>
      </c>
      <c r="G18" s="6" t="s">
        <v>190</v>
      </c>
      <c r="H18" t="s">
        <v>136</v>
      </c>
      <c r="I18" t="s">
        <v>212</v>
      </c>
      <c r="J18" s="2">
        <f>IF(COUNT('Turns'!D62)=1,SUM('Turns'!D62),"Unknown")</f>
        <v>402.0</v>
      </c>
      <c r="K18" s="2">
        <f>IF(COUNT('Turns'!E62)=1,SUM('Turns'!E62),"Unknown")</f>
        <v>7.0731096e-05</v>
      </c>
      <c r="L18" s="2">
        <f>IF(COUNT('Turns'!F62)=1,SUM('Turns'!F62),"Unknown")</f>
        <v>8.04e-05</v>
      </c>
      <c r="M18" s="2">
        <f>IF(COUNT('Turns'!D61)=1,SUM('Turns'!D61),"Unknown")</f>
        <v>0.0</v>
      </c>
      <c r="N18" s="2">
        <f>IF(COUNT('Turns'!E61)=1,SUM('Turns'!E61),"Unknown")</f>
        <v>0.0</v>
      </c>
      <c r="O18" s="2">
        <f>IF(COUNT('Turns'!F61)=1,SUM('Turns'!F61),"Unknown")</f>
        <v>0.0</v>
      </c>
      <c r="P18" s="2">
        <v>0</v>
      </c>
      <c r="Q18" s="2">
        <v>0</v>
      </c>
      <c r="R18" s="2">
        <v>0</v>
      </c>
      <c r="S18" s="2">
        <f>IF(COUNT('Turns'!D67)=1,SUM('Turns'!D67),"Unknown")</f>
        <v>67.0</v>
      </c>
      <c r="T18" s="2">
        <f>IF(COUNT('Turns'!E67)=1,SUM('Turns'!E67),"Unknown")</f>
        <v>7.0731096e-05</v>
      </c>
      <c r="U18" s="2">
        <f>IF(COUNT('Turns'!F67)=1,SUM('Turns'!F67),"Unknown")</f>
        <v>8.04e-05</v>
      </c>
      <c r="V18" s="2">
        <v>0</v>
      </c>
      <c r="W18" s="2">
        <v>0</v>
      </c>
      <c r="X18" s="2">
        <v>0</v>
      </c>
      <c r="Y18" s="2">
        <f>IF(COUNT('Turns'!E71)=1,SUM('Turns'!E71),"Unknown")</f>
        <v>0.000141462192</v>
      </c>
      <c r="Z18" s="2">
        <f>IF(COUNT('Turns'!F71)=1,SUM('Turns'!F71),"Unknown")</f>
        <v>0.0001608</v>
      </c>
      <c r="AA18" s="5">
        <f>IF(ISNUMBER(Y18),ROUND(Y18*'Reference data'!$B$2,0),"Unknown")</f>
        <v>14.0</v>
      </c>
      <c r="AB18" s="5">
        <f>IF(ISNUMBER(Z18),ROUND(Z18*'Reference data'!$B$2,0),"Unknown")</f>
        <v>16.0</v>
      </c>
      <c r="AC18" s="1" t="s">
        <v>135</v>
      </c>
      <c r="AD18" s="1">
        <v>1307.183</v>
      </c>
      <c r="AE18" s="1" t="s">
        <v>191</v>
      </c>
    </row>
    <row r="19" spans="1:31" ht="54" customHeight="1">
      <c r="A19" s="6" t="s">
        <v>192</v>
      </c>
      <c r="B19" s="1">
        <v>1</v>
      </c>
      <c r="C19" s="1" t="s">
        <v>182</v>
      </c>
      <c r="D19" s="1" t="s">
        <v>47</v>
      </c>
      <c r="E19" s="1" t="s">
        <v>110</v>
      </c>
      <c r="G19" s="6" t="s">
        <v>193</v>
      </c>
      <c r="H19" t="s">
        <v>213</v>
      </c>
      <c r="I19" t="s">
        <v>211</v>
      </c>
      <c r="J19" s="2">
        <f>IF(COUNT('Turns'!D76,'Turns'!D92)=2,SUM('Turns'!D76,'Turns'!D92),"Unknown")</f>
        <v>501.0</v>
      </c>
      <c r="K19" s="2">
        <f>IF(COUNT('Turns'!E76,'Turns'!E92)=2,SUM('Turns'!E76,'Turns'!E92),"Unknown")</f>
        <v>8.8149948e-05</v>
      </c>
      <c r="L19" s="2">
        <f>IF(COUNT('Turns'!F76,'Turns'!F92)=2,SUM('Turns'!F76,'Turns'!F92),"Unknown")</f>
        <v>0.0001002</v>
      </c>
      <c r="M19" s="2">
        <f>IF(COUNT('Turns'!D91)=1,SUM('Turns'!D91),"Unknown")</f>
        <v>0.0</v>
      </c>
      <c r="N19" s="2">
        <f>IF(COUNT('Turns'!E91)=1,SUM('Turns'!E91),"Unknown")</f>
        <v>0.0</v>
      </c>
      <c r="O19" s="2">
        <f>IF(COUNT('Turns'!F91)=1,SUM('Turns'!F91),"Unknown")</f>
        <v>0.0</v>
      </c>
      <c r="P19" s="2">
        <v>0</v>
      </c>
      <c r="Q19" s="2">
        <v>0</v>
      </c>
      <c r="R19" s="2">
        <v>0</v>
      </c>
      <c r="S19" s="2">
        <f>IF(COUNT('Turns'!D82,'Turns'!D97)=2,SUM('Turns'!D82,'Turns'!D97),"Unknown")</f>
        <v>102.0</v>
      </c>
      <c r="T19" s="2">
        <f>IF(COUNT('Turns'!E82,'Turns'!E97)=2,SUM('Turns'!E82,'Turns'!E97),"Unknown")</f>
        <v>0.000107680176</v>
      </c>
      <c r="U19" s="2">
        <f>IF(COUNT('Turns'!F82,'Turns'!F97)=2,SUM('Turns'!F82,'Turns'!F97),"Unknown")</f>
        <v>0.0001224</v>
      </c>
      <c r="V19" s="2">
        <v>0</v>
      </c>
      <c r="W19" s="2">
        <v>0</v>
      </c>
      <c r="X19" s="2">
        <v>0</v>
      </c>
      <c r="Y19" s="2">
        <f>IF(COUNT('Turns'!E86,'Turns'!E101)=2,SUM('Turns'!E86,'Turns'!E101),"Unknown")</f>
        <v>0.000195830124</v>
      </c>
      <c r="Z19" s="2">
        <f>IF(COUNT('Turns'!F86,'Turns'!F101)=2,SUM('Turns'!F86,'Turns'!F101),"Unknown")</f>
        <v>0.0002226</v>
      </c>
      <c r="AA19" s="5">
        <f>IF(ISNUMBER(Y19),ROUND(Y19*'Reference data'!$B$2,0),"Unknown")</f>
        <v>20.0</v>
      </c>
      <c r="AB19" s="5">
        <f>IF(ISNUMBER(Z19),ROUND(Z19*'Reference data'!$B$2,0),"Unknown")</f>
        <v>22.0</v>
      </c>
      <c r="AD19" s="1">
        <v>3753.883</v>
      </c>
      <c r="AE19" s="1" t="s">
        <v>184</v>
      </c>
    </row>
    <row r="20" spans="1:31" ht="54" customHeight="1">
      <c r="A20" s="6" t="s">
        <v>195</v>
      </c>
      <c r="B20" s="1">
        <v>2</v>
      </c>
      <c r="C20" s="1" t="s">
        <v>196</v>
      </c>
      <c r="D20" s="1" t="s">
        <v>47</v>
      </c>
      <c r="E20" s="1" t="s">
        <v>110</v>
      </c>
      <c r="G20" s="6" t="s">
        <v>197</v>
      </c>
      <c r="H20" t="s">
        <v>139</v>
      </c>
      <c r="I20" t="s">
        <v>213</v>
      </c>
      <c r="J20" s="2">
        <f>IF(COUNT('Turns'!D76,'Turns'!D92)=2,SUM('Turns'!D76,'Turns'!D92),"Unknown")</f>
        <v>501.0</v>
      </c>
      <c r="K20" s="2">
        <f>IF(COUNT('Turns'!E76,'Turns'!E92)=2,SUM('Turns'!E76,'Turns'!E92),"Unknown")</f>
        <v>8.8149948e-05</v>
      </c>
      <c r="L20" s="2">
        <f>IF(COUNT('Turns'!F76,'Turns'!F92)=2,SUM('Turns'!F76,'Turns'!F92),"Unknown")</f>
        <v>0.0001002</v>
      </c>
      <c r="M20" s="2">
        <f>IF(COUNT('Turns'!D91)=1,SUM('Turns'!D91),"Unknown")</f>
        <v>0.0</v>
      </c>
      <c r="N20" s="2">
        <f>IF(COUNT('Turns'!E91)=1,SUM('Turns'!E91),"Unknown")</f>
        <v>0.0</v>
      </c>
      <c r="O20" s="2">
        <f>IF(COUNT('Turns'!F91)=1,SUM('Turns'!F91),"Unknown")</f>
        <v>0.0</v>
      </c>
      <c r="P20" s="2">
        <v>0</v>
      </c>
      <c r="Q20" s="2">
        <v>0</v>
      </c>
      <c r="R20" s="2">
        <v>0</v>
      </c>
      <c r="S20" s="2">
        <f>IF(COUNT('Turns'!D82,'Turns'!D97)=2,SUM('Turns'!D82,'Turns'!D97),"Unknown")</f>
        <v>102.0</v>
      </c>
      <c r="T20" s="2">
        <f>IF(COUNT('Turns'!E82,'Turns'!E97)=2,SUM('Turns'!E82,'Turns'!E97),"Unknown")</f>
        <v>0.000107680176</v>
      </c>
      <c r="U20" s="2">
        <f>IF(COUNT('Turns'!F82,'Turns'!F97)=2,SUM('Turns'!F82,'Turns'!F97),"Unknown")</f>
        <v>0.0001224</v>
      </c>
      <c r="V20" s="2">
        <v>0</v>
      </c>
      <c r="W20" s="2">
        <v>0</v>
      </c>
      <c r="X20" s="2">
        <v>0</v>
      </c>
      <c r="Y20" s="2">
        <f>IF(COUNT('Turns'!E86,'Turns'!E101)=2,SUM('Turns'!E86,'Turns'!E101),"Unknown")</f>
        <v>0.000195830124</v>
      </c>
      <c r="Z20" s="2">
        <f>IF(COUNT('Turns'!F86,'Turns'!F101)=2,SUM('Turns'!F86,'Turns'!F101),"Unknown")</f>
        <v>0.0002226</v>
      </c>
      <c r="AA20" s="5">
        <f>IF(ISNUMBER(Y20),ROUND(Y20*'Reference data'!$B$2,0),"Unknown")</f>
        <v>20.0</v>
      </c>
      <c r="AB20" s="5">
        <f>IF(ISNUMBER(Z20),ROUND(Z20*'Reference data'!$B$2,0),"Unknown")</f>
        <v>22.0</v>
      </c>
      <c r="AD20" s="1">
        <v>3752.964</v>
      </c>
      <c r="AE20" s="1" t="s">
        <v>184</v>
      </c>
    </row>
    <row r="21" spans="1:31" ht="54" customHeight="1">
      <c r="A21" s="6" t="s">
        <v>214</v>
      </c>
      <c r="B21" s="1">
        <v>3</v>
      </c>
      <c r="C21" s="1" t="s">
        <v>182</v>
      </c>
      <c r="D21" s="1" t="s">
        <v>47</v>
      </c>
      <c r="E21" s="1" t="s">
        <v>110</v>
      </c>
      <c r="G21" s="6" t="s">
        <v>215</v>
      </c>
      <c r="H21" t="s">
        <v>216</v>
      </c>
      <c r="I21" t="s">
        <v>139</v>
      </c>
      <c r="J21" s="2">
        <f>IF(COUNT('Turns'!D76,'Turns'!D92)=2,SUM('Turns'!D76,'Turns'!D92),"Unknown")</f>
        <v>501.0</v>
      </c>
      <c r="K21" s="2">
        <f>IF(COUNT('Turns'!E76,'Turns'!E92)=2,SUM('Turns'!E76,'Turns'!E92),"Unknown")</f>
        <v>8.8149948e-05</v>
      </c>
      <c r="L21" s="2">
        <f>IF(COUNT('Turns'!F76,'Turns'!F92)=2,SUM('Turns'!F76,'Turns'!F92),"Unknown")</f>
        <v>0.0001002</v>
      </c>
      <c r="M21" s="2">
        <f>IF(COUNT('Turns'!D91)=1,SUM('Turns'!D91),"Unknown")</f>
        <v>0.0</v>
      </c>
      <c r="N21" s="2">
        <f>IF(COUNT('Turns'!E91)=1,SUM('Turns'!E91),"Unknown")</f>
        <v>0.0</v>
      </c>
      <c r="O21" s="2">
        <f>IF(COUNT('Turns'!F91)=1,SUM('Turns'!F91),"Unknown")</f>
        <v>0.0</v>
      </c>
      <c r="P21" s="2">
        <v>0</v>
      </c>
      <c r="Q21" s="2">
        <v>0</v>
      </c>
      <c r="R21" s="2">
        <v>0</v>
      </c>
      <c r="S21" s="2">
        <f>IF(COUNT('Turns'!D82,'Turns'!D97)=2,SUM('Turns'!D82,'Turns'!D97),"Unknown")</f>
        <v>102.0</v>
      </c>
      <c r="T21" s="2">
        <f>IF(COUNT('Turns'!E82,'Turns'!E97)=2,SUM('Turns'!E82,'Turns'!E97),"Unknown")</f>
        <v>0.000107680176</v>
      </c>
      <c r="U21" s="2">
        <f>IF(COUNT('Turns'!F82,'Turns'!F97)=2,SUM('Turns'!F82,'Turns'!F97),"Unknown")</f>
        <v>0.0001224</v>
      </c>
      <c r="V21" s="2">
        <v>0</v>
      </c>
      <c r="W21" s="2">
        <v>0</v>
      </c>
      <c r="X21" s="2">
        <v>0</v>
      </c>
      <c r="Y21" s="2">
        <f>IF(COUNT('Turns'!E86,'Turns'!E101)=2,SUM('Turns'!E86,'Turns'!E101),"Unknown")</f>
        <v>0.000195830124</v>
      </c>
      <c r="Z21" s="2">
        <f>IF(COUNT('Turns'!F86,'Turns'!F101)=2,SUM('Turns'!F86,'Turns'!F101),"Unknown")</f>
        <v>0.0002226</v>
      </c>
      <c r="AA21" s="5">
        <f>IF(ISNUMBER(Y21),ROUND(Y21*'Reference data'!$B$2,0),"Unknown")</f>
        <v>20.0</v>
      </c>
      <c r="AB21" s="5">
        <f>IF(ISNUMBER(Z21),ROUND(Z21*'Reference data'!$B$2,0),"Unknown")</f>
        <v>22.0</v>
      </c>
      <c r="AD21" s="1">
        <v>3751.748</v>
      </c>
      <c r="AE21" s="1" t="s">
        <v>184</v>
      </c>
    </row>
    <row r="22" spans="1:31" ht="54" customHeight="1">
      <c r="A22" s="6" t="s">
        <v>201</v>
      </c>
      <c r="B22" s="1">
        <v>4</v>
      </c>
      <c r="C22" s="1" t="s">
        <v>182</v>
      </c>
      <c r="D22" s="1" t="s">
        <v>47</v>
      </c>
      <c r="E22" s="1" t="s">
        <v>110</v>
      </c>
      <c r="G22" s="6" t="s">
        <v>186</v>
      </c>
      <c r="H22" t="s">
        <v>217</v>
      </c>
      <c r="I22" t="s">
        <v>216</v>
      </c>
      <c r="J22" s="2">
        <f>IF(COUNT('Turns'!D76)=1,SUM('Turns'!D76),"Unknown")</f>
        <v>201.0</v>
      </c>
      <c r="K22" s="2">
        <f>IF(COUNT('Turns'!E76)=1,SUM('Turns'!E76),"Unknown")</f>
        <v>3.5365548e-05</v>
      </c>
      <c r="L22" s="2">
        <f>IF(COUNT('Turns'!F76)=1,SUM('Turns'!F76),"Unknown")</f>
        <v>4.02e-05</v>
      </c>
      <c r="M22" s="2">
        <v>0</v>
      </c>
      <c r="N22" s="2">
        <v>0</v>
      </c>
      <c r="O22" s="2">
        <v>0</v>
      </c>
      <c r="P22" s="2">
        <v>0</v>
      </c>
      <c r="Q22" s="2">
        <v>0</v>
      </c>
      <c r="R22" s="2">
        <v>0</v>
      </c>
      <c r="S22" s="2">
        <f>IF(COUNT('Turns'!D82)=1,SUM('Turns'!D82),"Unknown")</f>
        <v>42.0</v>
      </c>
      <c r="T22" s="2">
        <f>IF(COUNT('Turns'!E82)=1,SUM('Turns'!E82),"Unknown")</f>
        <v>4.4338896e-05</v>
      </c>
      <c r="U22" s="2">
        <f>IF(COUNT('Turns'!F82)=1,SUM('Turns'!F82),"Unknown")</f>
        <v>5.04e-05</v>
      </c>
      <c r="V22" s="2">
        <v>0</v>
      </c>
      <c r="W22" s="2">
        <v>0</v>
      </c>
      <c r="X22" s="2">
        <v>0</v>
      </c>
      <c r="Y22" s="2">
        <f>IF(COUNT('Turns'!E86)=1,SUM('Turns'!E86),"Unknown")</f>
        <v>7.9704444e-05</v>
      </c>
      <c r="Z22" s="2">
        <f>IF(COUNT('Turns'!F86)=1,SUM('Turns'!F86),"Unknown")</f>
        <v>9.06e-05</v>
      </c>
      <c r="AA22" s="5">
        <f>IF(ISNUMBER(Y22),ROUND(Y22*'Reference data'!$B$2,0),"Unknown")</f>
        <v>8.0</v>
      </c>
      <c r="AB22" s="5">
        <f>IF(ISNUMBER(Z22),ROUND(Z22*'Reference data'!$B$2,0),"Unknown")</f>
        <v>9.0</v>
      </c>
      <c r="AD22" s="1">
        <v>2623.669</v>
      </c>
      <c r="AE22" s="1" t="s">
        <v>184</v>
      </c>
    </row>
    <row r="23" spans="1:31" ht="54" customHeight="1">
      <c r="A23" s="6" t="s">
        <v>203</v>
      </c>
      <c r="B23" s="1">
        <v>5</v>
      </c>
      <c r="C23" s="1" t="s">
        <v>189</v>
      </c>
      <c r="D23" s="1" t="s">
        <v>95</v>
      </c>
      <c r="E23" s="1" t="s">
        <v>110</v>
      </c>
      <c r="F23" s="1">
        <v>201</v>
      </c>
      <c r="G23" s="6" t="s">
        <v>190</v>
      </c>
      <c r="H23" t="s">
        <v>143</v>
      </c>
      <c r="I23" t="s">
        <v>217</v>
      </c>
      <c r="J23" s="2">
        <f>IF(COUNT('Turns'!D76)=1,SUM('Turns'!D76),"Unknown")</f>
        <v>201.0</v>
      </c>
      <c r="K23" s="2">
        <f>IF(COUNT('Turns'!E76)=1,SUM('Turns'!E76),"Unknown")</f>
        <v>3.5365548e-05</v>
      </c>
      <c r="L23" s="2">
        <f>IF(COUNT('Turns'!F76)=1,SUM('Turns'!F76),"Unknown")</f>
        <v>4.02e-05</v>
      </c>
      <c r="M23" s="2">
        <v>0</v>
      </c>
      <c r="N23" s="2">
        <v>0</v>
      </c>
      <c r="O23" s="2">
        <v>0</v>
      </c>
      <c r="P23" s="2">
        <v>0</v>
      </c>
      <c r="Q23" s="2">
        <v>0</v>
      </c>
      <c r="R23" s="2">
        <v>0</v>
      </c>
      <c r="S23" s="2">
        <f>IF(COUNT('Turns'!D82)=1,SUM('Turns'!D82),"Unknown")</f>
        <v>42.0</v>
      </c>
      <c r="T23" s="2">
        <f>IF(COUNT('Turns'!E82)=1,SUM('Turns'!E82),"Unknown")</f>
        <v>4.4338896e-05</v>
      </c>
      <c r="U23" s="2">
        <f>IF(COUNT('Turns'!F82)=1,SUM('Turns'!F82),"Unknown")</f>
        <v>5.04e-05</v>
      </c>
      <c r="V23" s="2">
        <v>0</v>
      </c>
      <c r="W23" s="2">
        <v>0</v>
      </c>
      <c r="X23" s="2">
        <v>0</v>
      </c>
      <c r="Y23" s="2">
        <f>IF(COUNT('Turns'!E86)=1,SUM('Turns'!E86),"Unknown")</f>
        <v>7.9704444e-05</v>
      </c>
      <c r="Z23" s="2">
        <f>IF(COUNT('Turns'!F86)=1,SUM('Turns'!F86),"Unknown")</f>
        <v>9.06e-05</v>
      </c>
      <c r="AA23" s="5">
        <f>IF(ISNUMBER(Y23),ROUND(Y23*'Reference data'!$B$2,0),"Unknown")</f>
        <v>8.0</v>
      </c>
      <c r="AB23" s="5">
        <f>IF(ISNUMBER(Z23),ROUND(Z23*'Reference data'!$B$2,0),"Unknown")</f>
        <v>9.0</v>
      </c>
      <c r="AC23" s="1" t="s">
        <v>142</v>
      </c>
      <c r="AD23" s="1">
        <v>2621.446</v>
      </c>
      <c r="AE23" s="1" t="s">
        <v>191</v>
      </c>
    </row>
    <row r="24" spans="1:31" ht="54" customHeight="1">
      <c r="A24" s="6" t="s">
        <v>204</v>
      </c>
      <c r="B24" s="1">
        <v>4</v>
      </c>
      <c r="C24" s="1" t="s">
        <v>182</v>
      </c>
      <c r="D24" s="1" t="s">
        <v>47</v>
      </c>
      <c r="E24" s="1" t="s">
        <v>110</v>
      </c>
      <c r="G24" s="6" t="s">
        <v>193</v>
      </c>
      <c r="H24" t="s">
        <v>218</v>
      </c>
      <c r="I24" t="s">
        <v>216</v>
      </c>
      <c r="AD24" s="1">
        <v>1.503</v>
      </c>
      <c r="AE24" s="1" t="s">
        <v>206</v>
      </c>
    </row>
    <row r="25" spans="1:31" ht="54" customHeight="1">
      <c r="A25" s="6" t="s">
        <v>219</v>
      </c>
      <c r="B25" s="1">
        <v>5</v>
      </c>
      <c r="C25" s="1" t="s">
        <v>196</v>
      </c>
      <c r="D25" s="1" t="s">
        <v>47</v>
      </c>
      <c r="E25" s="1" t="s">
        <v>110</v>
      </c>
      <c r="G25" s="6" t="s">
        <v>220</v>
      </c>
      <c r="H25" t="s">
        <v>147</v>
      </c>
      <c r="I25" t="s">
        <v>218</v>
      </c>
      <c r="AD25" s="1">
        <v>0.445</v>
      </c>
      <c r="AE25" s="1" t="s">
        <v>206</v>
      </c>
    </row>
    <row r="26" spans="1:31" ht="54" customHeight="1">
      <c r="A26" s="6" t="s">
        <v>201</v>
      </c>
      <c r="B26" s="1">
        <v>4</v>
      </c>
      <c r="C26" s="1" t="s">
        <v>182</v>
      </c>
      <c r="D26" s="1" t="s">
        <v>47</v>
      </c>
      <c r="E26" s="1" t="s">
        <v>110</v>
      </c>
      <c r="G26" s="6" t="s">
        <v>186</v>
      </c>
      <c r="H26" t="s">
        <v>221</v>
      </c>
      <c r="I26" t="s">
        <v>216</v>
      </c>
      <c r="J26" s="2">
        <f>IF(COUNT('Turns'!D92)=1,SUM('Turns'!D92),"Unknown")</f>
        <v>300.0</v>
      </c>
      <c r="K26" s="2">
        <f>IF(COUNT('Turns'!E92)=1,SUM('Turns'!E92),"Unknown")</f>
        <v>5.27844e-05</v>
      </c>
      <c r="L26" s="2">
        <f>IF(COUNT('Turns'!F92)=1,SUM('Turns'!F92),"Unknown")</f>
        <v>6e-05</v>
      </c>
      <c r="M26" s="2">
        <f>IF(COUNT('Turns'!D91)=1,SUM('Turns'!D91),"Unknown")</f>
        <v>0.0</v>
      </c>
      <c r="N26" s="2">
        <f>IF(COUNT('Turns'!E91)=1,SUM('Turns'!E91),"Unknown")</f>
        <v>0.0</v>
      </c>
      <c r="O26" s="2">
        <f>IF(COUNT('Turns'!F91)=1,SUM('Turns'!F91),"Unknown")</f>
        <v>0.0</v>
      </c>
      <c r="P26" s="2">
        <v>0</v>
      </c>
      <c r="Q26" s="2">
        <v>0</v>
      </c>
      <c r="R26" s="2">
        <v>0</v>
      </c>
      <c r="S26" s="2">
        <f>IF(COUNT('Turns'!D97)=1,SUM('Turns'!D97),"Unknown")</f>
        <v>60.0</v>
      </c>
      <c r="T26" s="2">
        <f>IF(COUNT('Turns'!E97)=1,SUM('Turns'!E97),"Unknown")</f>
        <v>6.334128e-05</v>
      </c>
      <c r="U26" s="2">
        <f>IF(COUNT('Turns'!F97)=1,SUM('Turns'!F97),"Unknown")</f>
        <v>7.2e-05</v>
      </c>
      <c r="V26" s="2">
        <v>0</v>
      </c>
      <c r="W26" s="2">
        <v>0</v>
      </c>
      <c r="X26" s="2">
        <v>0</v>
      </c>
      <c r="Y26" s="2">
        <f>IF(COUNT('Turns'!E101)=1,SUM('Turns'!E101),"Unknown")</f>
        <v>0.00011612568</v>
      </c>
      <c r="Z26" s="2">
        <f>IF(COUNT('Turns'!F101)=1,SUM('Turns'!F101),"Unknown")</f>
        <v>0.000132</v>
      </c>
      <c r="AA26" s="5">
        <f>IF(ISNUMBER(Y26),ROUND(Y26*'Reference data'!$B$2,0),"Unknown")</f>
        <v>12.0</v>
      </c>
      <c r="AB26" s="5">
        <f>IF(ISNUMBER(Z26),ROUND(Z26*'Reference data'!$B$2,0),"Unknown")</f>
        <v>13.0</v>
      </c>
      <c r="AD26" s="1">
        <v>1123.121</v>
      </c>
      <c r="AE26" s="1" t="s">
        <v>184</v>
      </c>
    </row>
    <row r="27" spans="1:31" ht="54" customHeight="1">
      <c r="A27" s="6" t="s">
        <v>203</v>
      </c>
      <c r="B27" s="1">
        <v>5</v>
      </c>
      <c r="C27" s="1" t="s">
        <v>189</v>
      </c>
      <c r="D27" s="1" t="s">
        <v>95</v>
      </c>
      <c r="E27" s="1" t="s">
        <v>110</v>
      </c>
      <c r="F27" s="1">
        <v>300</v>
      </c>
      <c r="G27" s="6" t="s">
        <v>190</v>
      </c>
      <c r="H27" t="s">
        <v>151</v>
      </c>
      <c r="I27" t="s">
        <v>221</v>
      </c>
      <c r="J27" s="2">
        <f>IF(COUNT('Turns'!D92)=1,SUM('Turns'!D92),"Unknown")</f>
        <v>300.0</v>
      </c>
      <c r="K27" s="2">
        <f>IF(COUNT('Turns'!E92)=1,SUM('Turns'!E92),"Unknown")</f>
        <v>5.27844e-05</v>
      </c>
      <c r="L27" s="2">
        <f>IF(COUNT('Turns'!F92)=1,SUM('Turns'!F92),"Unknown")</f>
        <v>6e-05</v>
      </c>
      <c r="M27" s="2">
        <f>IF(COUNT('Turns'!D91)=1,SUM('Turns'!D91),"Unknown")</f>
        <v>0.0</v>
      </c>
      <c r="N27" s="2">
        <f>IF(COUNT('Turns'!E91)=1,SUM('Turns'!E91),"Unknown")</f>
        <v>0.0</v>
      </c>
      <c r="O27" s="2">
        <f>IF(COUNT('Turns'!F91)=1,SUM('Turns'!F91),"Unknown")</f>
        <v>0.0</v>
      </c>
      <c r="P27" s="2">
        <v>0</v>
      </c>
      <c r="Q27" s="2">
        <v>0</v>
      </c>
      <c r="R27" s="2">
        <v>0</v>
      </c>
      <c r="S27" s="2">
        <f>IF(COUNT('Turns'!D97)=1,SUM('Turns'!D97),"Unknown")</f>
        <v>60.0</v>
      </c>
      <c r="T27" s="2">
        <f>IF(COUNT('Turns'!E97)=1,SUM('Turns'!E97),"Unknown")</f>
        <v>6.334128e-05</v>
      </c>
      <c r="U27" s="2">
        <f>IF(COUNT('Turns'!F97)=1,SUM('Turns'!F97),"Unknown")</f>
        <v>7.2e-05</v>
      </c>
      <c r="V27" s="2">
        <v>0</v>
      </c>
      <c r="W27" s="2">
        <v>0</v>
      </c>
      <c r="X27" s="2">
        <v>0</v>
      </c>
      <c r="Y27" s="2">
        <f>IF(COUNT('Turns'!E101)=1,SUM('Turns'!E101),"Unknown")</f>
        <v>0.00011612568</v>
      </c>
      <c r="Z27" s="2">
        <f>IF(COUNT('Turns'!F101)=1,SUM('Turns'!F101),"Unknown")</f>
        <v>0.000132</v>
      </c>
      <c r="AA27" s="5">
        <f>IF(ISNUMBER(Y27),ROUND(Y27*'Reference data'!$B$2,0),"Unknown")</f>
        <v>12.0</v>
      </c>
      <c r="AB27" s="5">
        <f>IF(ISNUMBER(Z27),ROUND(Z27*'Reference data'!$B$2,0),"Unknown")</f>
        <v>13.0</v>
      </c>
      <c r="AC27" s="1" t="s">
        <v>150</v>
      </c>
      <c r="AD27" s="1">
        <v>1121.278</v>
      </c>
      <c r="AE27" s="1" t="s">
        <v>191</v>
      </c>
    </row>
    <row r="28" spans="1:31" ht="54" customHeight="1">
      <c r="A28" s="6" t="s">
        <v>185</v>
      </c>
      <c r="B28" s="1">
        <v>1</v>
      </c>
      <c r="C28" s="1" t="s">
        <v>182</v>
      </c>
      <c r="D28" s="1" t="s">
        <v>47</v>
      </c>
      <c r="E28" s="1" t="s">
        <v>110</v>
      </c>
      <c r="G28" s="6" t="s">
        <v>186</v>
      </c>
      <c r="H28" t="s">
        <v>222</v>
      </c>
      <c r="I28" t="s">
        <v>211</v>
      </c>
      <c r="J28" s="2">
        <f>IF(COUNT('Turns'!D104)=1,SUM('Turns'!D104),"Unknown")</f>
        <v>535.0</v>
      </c>
      <c r="K28" s="2">
        <f>IF(COUNT('Turns'!E104)=1,SUM('Turns'!E104),"Unknown")</f>
        <v>9.413218e-05</v>
      </c>
      <c r="L28" s="2">
        <f>IF(COUNT('Turns'!F104)=1,SUM('Turns'!F104),"Unknown")</f>
        <v>0.000107</v>
      </c>
      <c r="M28" s="2">
        <f>IF(COUNT('Turns'!D103)=1,SUM('Turns'!D103),"Unknown")</f>
        <v>0.0</v>
      </c>
      <c r="N28" s="2">
        <f>IF(COUNT('Turns'!E103)=1,SUM('Turns'!E103),"Unknown")</f>
        <v>0.0</v>
      </c>
      <c r="O28" s="2">
        <f>IF(COUNT('Turns'!F103)=1,SUM('Turns'!F103),"Unknown")</f>
        <v>0.0</v>
      </c>
      <c r="P28" s="2">
        <v>0</v>
      </c>
      <c r="Q28" s="2">
        <v>0</v>
      </c>
      <c r="R28" s="2">
        <v>0</v>
      </c>
      <c r="S28" s="2">
        <f>IF(COUNT('Turns'!D109)=1,SUM('Turns'!D109),"Unknown")</f>
        <v>19.0</v>
      </c>
      <c r="T28" s="2">
        <f>IF(COUNT('Turns'!E109)=1,SUM('Turns'!E109),"Unknown")</f>
        <v>2.0058072e-05</v>
      </c>
      <c r="U28" s="2">
        <f>IF(COUNT('Turns'!F109)=1,SUM('Turns'!F109),"Unknown")</f>
        <v>2.28e-05</v>
      </c>
      <c r="V28" s="2">
        <v>0</v>
      </c>
      <c r="W28" s="2">
        <v>0</v>
      </c>
      <c r="X28" s="2">
        <v>0</v>
      </c>
      <c r="Y28" s="2">
        <f>IF(COUNT('Turns'!E113)=1,SUM('Turns'!E113),"Unknown")</f>
        <v>0.000114190252</v>
      </c>
      <c r="Z28" s="2">
        <f>IF(COUNT('Turns'!F113)=1,SUM('Turns'!F113),"Unknown")</f>
        <v>0.0001298</v>
      </c>
      <c r="AA28" s="5">
        <f>IF(ISNUMBER(Y28),ROUND(Y28*'Reference data'!$B$2,0),"Unknown")</f>
        <v>11.0</v>
      </c>
      <c r="AB28" s="5">
        <f>IF(ISNUMBER(Z28),ROUND(Z28*'Reference data'!$B$2,0),"Unknown")</f>
        <v>13.0</v>
      </c>
      <c r="AD28" s="1">
        <v>960.659</v>
      </c>
      <c r="AE28" s="1" t="s">
        <v>184</v>
      </c>
    </row>
    <row r="29" spans="1:31" ht="54" customHeight="1">
      <c r="A29" s="6" t="s">
        <v>188</v>
      </c>
      <c r="B29" s="1">
        <v>2</v>
      </c>
      <c r="C29" s="1" t="s">
        <v>189</v>
      </c>
      <c r="D29" s="1" t="s">
        <v>95</v>
      </c>
      <c r="E29" s="1" t="s">
        <v>110</v>
      </c>
      <c r="F29" s="1">
        <v>535</v>
      </c>
      <c r="G29" s="6" t="s">
        <v>190</v>
      </c>
      <c r="H29" t="s">
        <v>154</v>
      </c>
      <c r="I29" t="s">
        <v>222</v>
      </c>
      <c r="J29" s="2">
        <f>IF(COUNT('Turns'!D104)=1,SUM('Turns'!D104),"Unknown")</f>
        <v>535.0</v>
      </c>
      <c r="K29" s="2">
        <f>IF(COUNT('Turns'!E104)=1,SUM('Turns'!E104),"Unknown")</f>
        <v>9.413218e-05</v>
      </c>
      <c r="L29" s="2">
        <f>IF(COUNT('Turns'!F104)=1,SUM('Turns'!F104),"Unknown")</f>
        <v>0.000107</v>
      </c>
      <c r="M29" s="2">
        <f>IF(COUNT('Turns'!D103)=1,SUM('Turns'!D103),"Unknown")</f>
        <v>0.0</v>
      </c>
      <c r="N29" s="2">
        <f>IF(COUNT('Turns'!E103)=1,SUM('Turns'!E103),"Unknown")</f>
        <v>0.0</v>
      </c>
      <c r="O29" s="2">
        <f>IF(COUNT('Turns'!F103)=1,SUM('Turns'!F103),"Unknown")</f>
        <v>0.0</v>
      </c>
      <c r="P29" s="2">
        <v>0</v>
      </c>
      <c r="Q29" s="2">
        <v>0</v>
      </c>
      <c r="R29" s="2">
        <v>0</v>
      </c>
      <c r="S29" s="2">
        <f>IF(COUNT('Turns'!D109)=1,SUM('Turns'!D109),"Unknown")</f>
        <v>19.0</v>
      </c>
      <c r="T29" s="2">
        <f>IF(COUNT('Turns'!E109)=1,SUM('Turns'!E109),"Unknown")</f>
        <v>2.0058072e-05</v>
      </c>
      <c r="U29" s="2">
        <f>IF(COUNT('Turns'!F109)=1,SUM('Turns'!F109),"Unknown")</f>
        <v>2.28e-05</v>
      </c>
      <c r="V29" s="2">
        <v>0</v>
      </c>
      <c r="W29" s="2">
        <v>0</v>
      </c>
      <c r="X29" s="2">
        <v>0</v>
      </c>
      <c r="Y29" s="2">
        <f>IF(COUNT('Turns'!E113)=1,SUM('Turns'!E113),"Unknown")</f>
        <v>0.000114190252</v>
      </c>
      <c r="Z29" s="2">
        <f>IF(COUNT('Turns'!F113)=1,SUM('Turns'!F113),"Unknown")</f>
        <v>0.0001298</v>
      </c>
      <c r="AA29" s="5">
        <f>IF(ISNUMBER(Y29),ROUND(Y29*'Reference data'!$B$2,0),"Unknown")</f>
        <v>11.0</v>
      </c>
      <c r="AB29" s="5">
        <f>IF(ISNUMBER(Z29),ROUND(Z29*'Reference data'!$B$2,0),"Unknown")</f>
        <v>13.0</v>
      </c>
      <c r="AC29" s="1" t="s">
        <v>153</v>
      </c>
      <c r="AD29" s="1">
        <v>959.207</v>
      </c>
      <c r="AE29" s="1" t="s">
        <v>191</v>
      </c>
    </row>
    <row r="30" spans="1:31" ht="54" customHeight="1">
      <c r="A30" s="6" t="s">
        <v>181</v>
      </c>
      <c r="B30" s="1">
        <v>0</v>
      </c>
      <c r="C30" s="1" t="s">
        <v>182</v>
      </c>
      <c r="D30" s="1" t="s">
        <v>47</v>
      </c>
      <c r="E30" s="1" t="s">
        <v>110</v>
      </c>
      <c r="G30" s="6" t="s">
        <v>183</v>
      </c>
      <c r="H30" t="s">
        <v>223</v>
      </c>
      <c r="J30" s="2">
        <f>IF(COUNT('Turns'!D117,'Turns'!D131,'Turns'!D148,'Turns'!D160)=4,SUM('Turns'!D117,'Turns'!D131,'Turns'!D148,'Turns'!D160),"Unknown")</f>
        <v>1723.0</v>
      </c>
      <c r="K30" s="2">
        <f>IF(COUNT('Turns'!E117,'Turns'!E131,'Turns'!E148,'Turns'!E160)=4,SUM('Turns'!E117,'Turns'!E131,'Turns'!E148,'Turns'!E160),"Unknown")</f>
        <v>0.000303158404</v>
      </c>
      <c r="L30" s="2">
        <f>IF(COUNT('Turns'!F117,'Turns'!F131,'Turns'!F148,'Turns'!F160)=4,SUM('Turns'!F117,'Turns'!F131,'Turns'!F148,'Turns'!F160),"Unknown")</f>
        <v>0.0003446</v>
      </c>
      <c r="M30" s="2">
        <f>IF(COUNT('Turns'!D116,'Turns'!D147,'Turns'!D159)=3,SUM('Turns'!D116,'Turns'!D147,'Turns'!D159),"Unknown")</f>
        <v>0.0</v>
      </c>
      <c r="N30" s="2">
        <f>IF(COUNT('Turns'!E116,'Turns'!E147,'Turns'!E159)=3,SUM('Turns'!E116,'Turns'!E147,'Turns'!E159),"Unknown")</f>
        <v>0.0</v>
      </c>
      <c r="O30" s="2">
        <f>IF(COUNT('Turns'!F116,'Turns'!F147,'Turns'!F159)=3,SUM('Turns'!F116,'Turns'!F147,'Turns'!F159),"Unknown")</f>
        <v>0.0</v>
      </c>
      <c r="P30" s="2">
        <v>0</v>
      </c>
      <c r="Q30" s="2">
        <v>0</v>
      </c>
      <c r="R30" s="2">
        <v>0</v>
      </c>
      <c r="S30" s="2">
        <f>IF(COUNT('Turns'!D122,'Turns'!D138,'Turns'!D153,'Turns'!D165)=4,SUM('Turns'!D122,'Turns'!D138,'Turns'!D153,'Turns'!D165),"Unknown")</f>
        <v>155.0</v>
      </c>
      <c r="T30" s="2">
        <f>IF(COUNT('Turns'!E122,'Turns'!E138,'Turns'!E153,'Turns'!E165)=4,SUM('Turns'!E122,'Turns'!E138,'Turns'!E153,'Turns'!E165),"Unknown")</f>
        <v>0.00016363164</v>
      </c>
      <c r="U30" s="2">
        <f>IF(COUNT('Turns'!F122,'Turns'!F138,'Turns'!F153,'Turns'!F165)=4,SUM('Turns'!F122,'Turns'!F138,'Turns'!F153,'Turns'!F165),"Unknown")</f>
        <v>0.000186</v>
      </c>
      <c r="V30" s="2">
        <f>IF(COUNT('Turns'!D137)=1,SUM('Turns'!D137),"Unknown")</f>
        <v>9.0</v>
      </c>
      <c r="W30" s="2">
        <f>IF(COUNT('Turns'!E137)=1,SUM('Turns'!E137),"Unknown")</f>
        <v>9.501192e-06</v>
      </c>
      <c r="X30" s="2">
        <f>IF(COUNT('Turns'!F137)=1,SUM('Turns'!F137),"Unknown")</f>
        <v>1.08e-05</v>
      </c>
      <c r="Y30" s="2">
        <f>IF(COUNT('Turns'!E126,'Turns'!E142,'Turns'!E157,'Turns'!E169)=4,SUM('Turns'!E126,'Turns'!E142,'Turns'!E157,'Turns'!E169),"Unknown")</f>
        <v>0.000476291236</v>
      </c>
      <c r="Z30" s="2">
        <f>IF(COUNT('Turns'!F126,'Turns'!F142,'Turns'!F157,'Turns'!F169)=4,SUM('Turns'!F126,'Turns'!F142,'Turns'!F157,'Turns'!F169),"Unknown")</f>
        <v>0.0005414</v>
      </c>
      <c r="AA30" s="5">
        <f>IF(ISNUMBER(Y30),ROUND(Y30*'Reference data'!$B$2,0),"Unknown")</f>
        <v>48.0</v>
      </c>
      <c r="AB30" s="5">
        <f>IF(ISNUMBER(Z30),ROUND(Z30*'Reference data'!$B$2,0),"Unknown")</f>
        <v>54.0</v>
      </c>
      <c r="AD30" s="1">
        <v>5087.24</v>
      </c>
      <c r="AE30" s="1" t="s">
        <v>184</v>
      </c>
    </row>
    <row r="31" spans="1:31" ht="54" customHeight="1">
      <c r="A31" s="6" t="s">
        <v>185</v>
      </c>
      <c r="B31" s="1">
        <v>1</v>
      </c>
      <c r="C31" s="1" t="s">
        <v>182</v>
      </c>
      <c r="D31" s="1" t="s">
        <v>47</v>
      </c>
      <c r="E31" s="1" t="s">
        <v>110</v>
      </c>
      <c r="G31" s="6" t="s">
        <v>186</v>
      </c>
      <c r="H31" t="s">
        <v>224</v>
      </c>
      <c r="I31" t="s">
        <v>223</v>
      </c>
      <c r="J31" s="2">
        <f>IF(COUNT('Turns'!D117)=1,SUM('Turns'!D117),"Unknown")</f>
        <v>569.0</v>
      </c>
      <c r="K31" s="2">
        <f>IF(COUNT('Turns'!E117)=1,SUM('Turns'!E117),"Unknown")</f>
        <v>0.000100114412</v>
      </c>
      <c r="L31" s="2">
        <f>IF(COUNT('Turns'!F117)=1,SUM('Turns'!F117),"Unknown")</f>
        <v>0.0001138</v>
      </c>
      <c r="M31" s="2">
        <f>IF(COUNT('Turns'!D116)=1,SUM('Turns'!D116),"Unknown")</f>
        <v>0.0</v>
      </c>
      <c r="N31" s="2">
        <f>IF(COUNT('Turns'!E116)=1,SUM('Turns'!E116),"Unknown")</f>
        <v>0.0</v>
      </c>
      <c r="O31" s="2">
        <f>IF(COUNT('Turns'!F116)=1,SUM('Turns'!F116),"Unknown")</f>
        <v>0.0</v>
      </c>
      <c r="P31" s="2">
        <v>0</v>
      </c>
      <c r="Q31" s="2">
        <v>0</v>
      </c>
      <c r="R31" s="2">
        <v>0</v>
      </c>
      <c r="S31" s="2">
        <f>IF(COUNT('Turns'!D122)=1,SUM('Turns'!D122),"Unknown")</f>
        <v>53.0</v>
      </c>
      <c r="T31" s="2">
        <f>IF(COUNT('Turns'!E122)=1,SUM('Turns'!E122),"Unknown")</f>
        <v>5.5951464e-05</v>
      </c>
      <c r="U31" s="2">
        <f>IF(COUNT('Turns'!F122)=1,SUM('Turns'!F122),"Unknown")</f>
        <v>6.36e-05</v>
      </c>
      <c r="V31" s="2">
        <v>0</v>
      </c>
      <c r="W31" s="2">
        <v>0</v>
      </c>
      <c r="X31" s="2">
        <v>0</v>
      </c>
      <c r="Y31" s="2">
        <f>IF(COUNT('Turns'!E126)=1,SUM('Turns'!E126),"Unknown")</f>
        <v>0.000156065876</v>
      </c>
      <c r="Z31" s="2">
        <f>IF(COUNT('Turns'!F126)=1,SUM('Turns'!F126),"Unknown")</f>
        <v>0.0001774</v>
      </c>
      <c r="AA31" s="5">
        <f>IF(ISNUMBER(Y31),ROUND(Y31*'Reference data'!$B$2,0),"Unknown")</f>
        <v>16.0</v>
      </c>
      <c r="AB31" s="5">
        <f>IF(ISNUMBER(Z31),ROUND(Z31*'Reference data'!$B$2,0),"Unknown")</f>
        <v>18.0</v>
      </c>
      <c r="AD31" s="1">
        <v>1279.051</v>
      </c>
      <c r="AE31" s="1" t="s">
        <v>184</v>
      </c>
    </row>
    <row r="32" spans="1:31" ht="54" customHeight="1">
      <c r="A32" s="6" t="s">
        <v>188</v>
      </c>
      <c r="B32" s="1">
        <v>2</v>
      </c>
      <c r="C32" s="1" t="s">
        <v>189</v>
      </c>
      <c r="D32" s="1" t="s">
        <v>95</v>
      </c>
      <c r="E32" s="1" t="s">
        <v>110</v>
      </c>
      <c r="F32" s="1">
        <v>569</v>
      </c>
      <c r="G32" s="6" t="s">
        <v>190</v>
      </c>
      <c r="H32" t="s">
        <v>159</v>
      </c>
      <c r="I32" t="s">
        <v>224</v>
      </c>
      <c r="J32" s="2">
        <f>IF(COUNT('Turns'!D117)=1,SUM('Turns'!D117),"Unknown")</f>
        <v>569.0</v>
      </c>
      <c r="K32" s="2">
        <f>IF(COUNT('Turns'!E117)=1,SUM('Turns'!E117),"Unknown")</f>
        <v>0.000100114412</v>
      </c>
      <c r="L32" s="2">
        <f>IF(COUNT('Turns'!F117)=1,SUM('Turns'!F117),"Unknown")</f>
        <v>0.0001138</v>
      </c>
      <c r="M32" s="2">
        <f>IF(COUNT('Turns'!D116)=1,SUM('Turns'!D116),"Unknown")</f>
        <v>0.0</v>
      </c>
      <c r="N32" s="2">
        <f>IF(COUNT('Turns'!E116)=1,SUM('Turns'!E116),"Unknown")</f>
        <v>0.0</v>
      </c>
      <c r="O32" s="2">
        <f>IF(COUNT('Turns'!F116)=1,SUM('Turns'!F116),"Unknown")</f>
        <v>0.0</v>
      </c>
      <c r="P32" s="2">
        <v>0</v>
      </c>
      <c r="Q32" s="2">
        <v>0</v>
      </c>
      <c r="R32" s="2">
        <v>0</v>
      </c>
      <c r="S32" s="2">
        <f>IF(COUNT('Turns'!D122)=1,SUM('Turns'!D122),"Unknown")</f>
        <v>53.0</v>
      </c>
      <c r="T32" s="2">
        <f>IF(COUNT('Turns'!E122)=1,SUM('Turns'!E122),"Unknown")</f>
        <v>5.5951464e-05</v>
      </c>
      <c r="U32" s="2">
        <f>IF(COUNT('Turns'!F122)=1,SUM('Turns'!F122),"Unknown")</f>
        <v>6.36e-05</v>
      </c>
      <c r="V32" s="2">
        <v>0</v>
      </c>
      <c r="W32" s="2">
        <v>0</v>
      </c>
      <c r="X32" s="2">
        <v>0</v>
      </c>
      <c r="Y32" s="2">
        <f>IF(COUNT('Turns'!E126)=1,SUM('Turns'!E126),"Unknown")</f>
        <v>0.000156065876</v>
      </c>
      <c r="Z32" s="2">
        <f>IF(COUNT('Turns'!F126)=1,SUM('Turns'!F126),"Unknown")</f>
        <v>0.0001774</v>
      </c>
      <c r="AA32" s="5">
        <f>IF(ISNUMBER(Y32),ROUND(Y32*'Reference data'!$B$2,0),"Unknown")</f>
        <v>16.0</v>
      </c>
      <c r="AB32" s="5">
        <f>IF(ISNUMBER(Z32),ROUND(Z32*'Reference data'!$B$2,0),"Unknown")</f>
        <v>18.0</v>
      </c>
      <c r="AC32" s="1" t="s">
        <v>158</v>
      </c>
      <c r="AD32" s="1">
        <v>1276.855</v>
      </c>
      <c r="AE32" s="1" t="s">
        <v>191</v>
      </c>
    </row>
    <row r="33" spans="1:31" ht="54" customHeight="1">
      <c r="A33" s="6" t="s">
        <v>192</v>
      </c>
      <c r="B33" s="1">
        <v>1</v>
      </c>
      <c r="C33" s="1" t="s">
        <v>182</v>
      </c>
      <c r="D33" s="1" t="s">
        <v>47</v>
      </c>
      <c r="E33" s="1" t="s">
        <v>110</v>
      </c>
      <c r="G33" s="6" t="s">
        <v>193</v>
      </c>
      <c r="H33" t="s">
        <v>225</v>
      </c>
      <c r="I33" t="s">
        <v>223</v>
      </c>
      <c r="J33" s="2">
        <f>IF(COUNT('Turns'!D131,'Turns'!D148)=2,SUM('Turns'!D131,'Turns'!D148),"Unknown")</f>
        <v>476.0</v>
      </c>
      <c r="K33" s="2">
        <f>IF(COUNT('Turns'!E131,'Turns'!E148)=2,SUM('Turns'!E131,'Turns'!E148),"Unknown")</f>
        <v>8.3751248e-05</v>
      </c>
      <c r="L33" s="2">
        <f>IF(COUNT('Turns'!F131,'Turns'!F148)=2,SUM('Turns'!F131,'Turns'!F148),"Unknown")</f>
        <v>9.52e-05</v>
      </c>
      <c r="M33" s="2">
        <f>IF(COUNT('Turns'!D147)=1,SUM('Turns'!D147),"Unknown")</f>
        <v>0.0</v>
      </c>
      <c r="N33" s="2">
        <f>IF(COUNT('Turns'!E147)=1,SUM('Turns'!E147),"Unknown")</f>
        <v>0.0</v>
      </c>
      <c r="O33" s="2">
        <f>IF(COUNT('Turns'!F147)=1,SUM('Turns'!F147),"Unknown")</f>
        <v>0.0</v>
      </c>
      <c r="P33" s="2">
        <v>0</v>
      </c>
      <c r="Q33" s="2">
        <v>0</v>
      </c>
      <c r="R33" s="2">
        <v>0</v>
      </c>
      <c r="S33" s="2">
        <f>IF(COUNT('Turns'!D138,'Turns'!D153)=2,SUM('Turns'!D138,'Turns'!D153),"Unknown")</f>
        <v>82.0</v>
      </c>
      <c r="T33" s="2">
        <f>IF(COUNT('Turns'!E138,'Turns'!E153)=2,SUM('Turns'!E138,'Turns'!E153),"Unknown")</f>
        <v>8.6566416e-05</v>
      </c>
      <c r="U33" s="2">
        <f>IF(COUNT('Turns'!F138,'Turns'!F153)=2,SUM('Turns'!F138,'Turns'!F153),"Unknown")</f>
        <v>9.84e-05</v>
      </c>
      <c r="V33" s="2">
        <f>IF(COUNT('Turns'!D137)=1,SUM('Turns'!D137),"Unknown")</f>
        <v>9.0</v>
      </c>
      <c r="W33" s="2">
        <f>IF(COUNT('Turns'!E137)=1,SUM('Turns'!E137),"Unknown")</f>
        <v>9.501192e-06</v>
      </c>
      <c r="X33" s="2">
        <f>IF(COUNT('Turns'!F137)=1,SUM('Turns'!F137),"Unknown")</f>
        <v>1.08e-05</v>
      </c>
      <c r="Y33" s="2">
        <f>IF(COUNT('Turns'!E142,'Turns'!E157)=2,SUM('Turns'!E142,'Turns'!E157),"Unknown")</f>
        <v>0.000179818856</v>
      </c>
      <c r="Z33" s="2">
        <f>IF(COUNT('Turns'!F142,'Turns'!F157)=2,SUM('Turns'!F142,'Turns'!F157),"Unknown")</f>
        <v>0.0002044</v>
      </c>
      <c r="AA33" s="5">
        <f>IF(ISNUMBER(Y33),ROUND(Y33*'Reference data'!$B$2,0),"Unknown")</f>
        <v>18.0</v>
      </c>
      <c r="AB33" s="5">
        <f>IF(ISNUMBER(Z33),ROUND(Z33*'Reference data'!$B$2,0),"Unknown")</f>
        <v>20.0</v>
      </c>
      <c r="AD33" s="1">
        <v>2900.45</v>
      </c>
      <c r="AE33" s="1" t="s">
        <v>184</v>
      </c>
    </row>
    <row r="34" spans="1:31" ht="54" customHeight="1">
      <c r="A34" s="6" t="s">
        <v>195</v>
      </c>
      <c r="B34" s="1">
        <v>2</v>
      </c>
      <c r="C34" s="1" t="s">
        <v>196</v>
      </c>
      <c r="D34" s="1" t="s">
        <v>47</v>
      </c>
      <c r="E34" s="1" t="s">
        <v>110</v>
      </c>
      <c r="G34" s="6" t="s">
        <v>197</v>
      </c>
      <c r="H34" t="s">
        <v>162</v>
      </c>
      <c r="I34" t="s">
        <v>225</v>
      </c>
      <c r="J34" s="2">
        <f>IF(COUNT('Turns'!D131,'Turns'!D148)=2,SUM('Turns'!D131,'Turns'!D148),"Unknown")</f>
        <v>476.0</v>
      </c>
      <c r="K34" s="2">
        <f>IF(COUNT('Turns'!E131,'Turns'!E148)=2,SUM('Turns'!E131,'Turns'!E148),"Unknown")</f>
        <v>8.3751248e-05</v>
      </c>
      <c r="L34" s="2">
        <f>IF(COUNT('Turns'!F131,'Turns'!F148)=2,SUM('Turns'!F131,'Turns'!F148),"Unknown")</f>
        <v>9.52e-05</v>
      </c>
      <c r="M34" s="2">
        <f>IF(COUNT('Turns'!D147)=1,SUM('Turns'!D147),"Unknown")</f>
        <v>0.0</v>
      </c>
      <c r="N34" s="2">
        <f>IF(COUNT('Turns'!E147)=1,SUM('Turns'!E147),"Unknown")</f>
        <v>0.0</v>
      </c>
      <c r="O34" s="2">
        <f>IF(COUNT('Turns'!F147)=1,SUM('Turns'!F147),"Unknown")</f>
        <v>0.0</v>
      </c>
      <c r="P34" s="2">
        <v>0</v>
      </c>
      <c r="Q34" s="2">
        <v>0</v>
      </c>
      <c r="R34" s="2">
        <v>0</v>
      </c>
      <c r="S34" s="2">
        <f>IF(COUNT('Turns'!D138,'Turns'!D153)=2,SUM('Turns'!D138,'Turns'!D153),"Unknown")</f>
        <v>82.0</v>
      </c>
      <c r="T34" s="2">
        <f>IF(COUNT('Turns'!E138,'Turns'!E153)=2,SUM('Turns'!E138,'Turns'!E153),"Unknown")</f>
        <v>8.6566416e-05</v>
      </c>
      <c r="U34" s="2">
        <f>IF(COUNT('Turns'!F138,'Turns'!F153)=2,SUM('Turns'!F138,'Turns'!F153),"Unknown")</f>
        <v>9.84e-05</v>
      </c>
      <c r="V34" s="2">
        <f>IF(COUNT('Turns'!D137)=1,SUM('Turns'!D137),"Unknown")</f>
        <v>9.0</v>
      </c>
      <c r="W34" s="2">
        <f>IF(COUNT('Turns'!E137)=1,SUM('Turns'!E137),"Unknown")</f>
        <v>9.501192e-06</v>
      </c>
      <c r="X34" s="2">
        <f>IF(COUNT('Turns'!F137)=1,SUM('Turns'!F137),"Unknown")</f>
        <v>1.08e-05</v>
      </c>
      <c r="Y34" s="2">
        <f>IF(COUNT('Turns'!E142,'Turns'!E157)=2,SUM('Turns'!E142,'Turns'!E157),"Unknown")</f>
        <v>0.000179818856</v>
      </c>
      <c r="Z34" s="2">
        <f>IF(COUNT('Turns'!F142,'Turns'!F157)=2,SUM('Turns'!F142,'Turns'!F157),"Unknown")</f>
        <v>0.0002044</v>
      </c>
      <c r="AA34" s="5">
        <f>IF(ISNUMBER(Y34),ROUND(Y34*'Reference data'!$B$2,0),"Unknown")</f>
        <v>18.0</v>
      </c>
      <c r="AB34" s="5">
        <f>IF(ISNUMBER(Z34),ROUND(Z34*'Reference data'!$B$2,0),"Unknown")</f>
        <v>20.0</v>
      </c>
      <c r="AD34" s="1">
        <v>2899.258</v>
      </c>
      <c r="AE34" s="1" t="s">
        <v>184</v>
      </c>
    </row>
    <row r="35" spans="1:31" ht="54" customHeight="1">
      <c r="A35" s="6" t="s">
        <v>226</v>
      </c>
      <c r="B35" s="1">
        <v>3</v>
      </c>
      <c r="C35" s="1" t="s">
        <v>182</v>
      </c>
      <c r="D35" s="1" t="s">
        <v>47</v>
      </c>
      <c r="E35" s="1" t="s">
        <v>110</v>
      </c>
      <c r="G35" s="6" t="s">
        <v>227</v>
      </c>
      <c r="H35" t="s">
        <v>228</v>
      </c>
      <c r="I35" t="s">
        <v>162</v>
      </c>
      <c r="J35" s="2">
        <f>IF(COUNT('Turns'!D131,'Turns'!D148)=2,SUM('Turns'!D131,'Turns'!D148),"Unknown")</f>
        <v>476.0</v>
      </c>
      <c r="K35" s="2">
        <f>IF(COUNT('Turns'!E131,'Turns'!E148)=2,SUM('Turns'!E131,'Turns'!E148),"Unknown")</f>
        <v>8.3751248e-05</v>
      </c>
      <c r="L35" s="2">
        <f>IF(COUNT('Turns'!F131,'Turns'!F148)=2,SUM('Turns'!F131,'Turns'!F148),"Unknown")</f>
        <v>9.52e-05</v>
      </c>
      <c r="M35" s="2">
        <f>IF(COUNT('Turns'!D147)=1,SUM('Turns'!D147),"Unknown")</f>
        <v>0.0</v>
      </c>
      <c r="N35" s="2">
        <f>IF(COUNT('Turns'!E147)=1,SUM('Turns'!E147),"Unknown")</f>
        <v>0.0</v>
      </c>
      <c r="O35" s="2">
        <f>IF(COUNT('Turns'!F147)=1,SUM('Turns'!F147),"Unknown")</f>
        <v>0.0</v>
      </c>
      <c r="P35" s="2">
        <v>0</v>
      </c>
      <c r="Q35" s="2">
        <v>0</v>
      </c>
      <c r="R35" s="2">
        <v>0</v>
      </c>
      <c r="S35" s="2">
        <f>IF(COUNT('Turns'!D138,'Turns'!D153)=2,SUM('Turns'!D138,'Turns'!D153),"Unknown")</f>
        <v>82.0</v>
      </c>
      <c r="T35" s="2">
        <f>IF(COUNT('Turns'!E138,'Turns'!E153)=2,SUM('Turns'!E138,'Turns'!E153),"Unknown")</f>
        <v>8.6566416e-05</v>
      </c>
      <c r="U35" s="2">
        <f>IF(COUNT('Turns'!F138,'Turns'!F153)=2,SUM('Turns'!F138,'Turns'!F153),"Unknown")</f>
        <v>9.84e-05</v>
      </c>
      <c r="V35" s="2">
        <f>IF(COUNT('Turns'!D137)=1,SUM('Turns'!D137),"Unknown")</f>
        <v>9.0</v>
      </c>
      <c r="W35" s="2">
        <f>IF(COUNT('Turns'!E137)=1,SUM('Turns'!E137),"Unknown")</f>
        <v>9.501192e-06</v>
      </c>
      <c r="X35" s="2">
        <f>IF(COUNT('Turns'!F137)=1,SUM('Turns'!F137),"Unknown")</f>
        <v>1.08e-05</v>
      </c>
      <c r="Y35" s="2">
        <f>IF(COUNT('Turns'!E142,'Turns'!E157)=2,SUM('Turns'!E142,'Turns'!E157),"Unknown")</f>
        <v>0.000179818856</v>
      </c>
      <c r="Z35" s="2">
        <f>IF(COUNT('Turns'!F142,'Turns'!F157)=2,SUM('Turns'!F142,'Turns'!F157),"Unknown")</f>
        <v>0.0002044</v>
      </c>
      <c r="AA35" s="5">
        <f>IF(ISNUMBER(Y35),ROUND(Y35*'Reference data'!$B$2,0),"Unknown")</f>
        <v>18.0</v>
      </c>
      <c r="AB35" s="5">
        <f>IF(ISNUMBER(Z35),ROUND(Z35*'Reference data'!$B$2,0),"Unknown")</f>
        <v>20.0</v>
      </c>
      <c r="AD35" s="1">
        <v>2898.057</v>
      </c>
      <c r="AE35" s="1" t="s">
        <v>184</v>
      </c>
    </row>
    <row r="36" spans="1:31" ht="54" customHeight="1">
      <c r="A36" s="6" t="s">
        <v>201</v>
      </c>
      <c r="B36" s="1">
        <v>4</v>
      </c>
      <c r="C36" s="1" t="s">
        <v>182</v>
      </c>
      <c r="D36" s="1" t="s">
        <v>47</v>
      </c>
      <c r="E36" s="1" t="s">
        <v>110</v>
      </c>
      <c r="G36" s="6" t="s">
        <v>186</v>
      </c>
      <c r="H36" t="s">
        <v>229</v>
      </c>
      <c r="I36" t="s">
        <v>228</v>
      </c>
      <c r="J36" s="2">
        <f>IF(COUNT('Turns'!D131)=1,SUM('Turns'!D131),"Unknown")</f>
        <v>185.0</v>
      </c>
      <c r="K36" s="2">
        <f>IF(COUNT('Turns'!E131)=1,SUM('Turns'!E131),"Unknown")</f>
        <v>3.255038e-05</v>
      </c>
      <c r="L36" s="2">
        <f>IF(COUNT('Turns'!F131)=1,SUM('Turns'!F131),"Unknown")</f>
        <v>3.7e-05</v>
      </c>
      <c r="M36" s="2">
        <v>0</v>
      </c>
      <c r="N36" s="2">
        <v>0</v>
      </c>
      <c r="O36" s="2">
        <v>0</v>
      </c>
      <c r="P36" s="2">
        <v>0</v>
      </c>
      <c r="Q36" s="2">
        <v>0</v>
      </c>
      <c r="R36" s="2">
        <v>0</v>
      </c>
      <c r="S36" s="2">
        <f>IF(COUNT('Turns'!D138)=1,SUM('Turns'!D138),"Unknown")</f>
        <v>32.0</v>
      </c>
      <c r="T36" s="2">
        <f>IF(COUNT('Turns'!E138)=1,SUM('Turns'!E138),"Unknown")</f>
        <v>3.3782016e-05</v>
      </c>
      <c r="U36" s="2">
        <f>IF(COUNT('Turns'!F138)=1,SUM('Turns'!F138),"Unknown")</f>
        <v>3.84e-05</v>
      </c>
      <c r="V36" s="2">
        <f>IF(COUNT('Turns'!D137)=1,SUM('Turns'!D137),"Unknown")</f>
        <v>9.0</v>
      </c>
      <c r="W36" s="2">
        <f>IF(COUNT('Turns'!E137)=1,SUM('Turns'!E137),"Unknown")</f>
        <v>9.501192e-06</v>
      </c>
      <c r="X36" s="2">
        <f>IF(COUNT('Turns'!F137)=1,SUM('Turns'!F137),"Unknown")</f>
        <v>1.08e-05</v>
      </c>
      <c r="Y36" s="2">
        <f>IF(COUNT('Turns'!E142)=1,SUM('Turns'!E142),"Unknown")</f>
        <v>7.5833588e-05</v>
      </c>
      <c r="Z36" s="2">
        <f>IF(COUNT('Turns'!F142)=1,SUM('Turns'!F142),"Unknown")</f>
        <v>8.62e-05</v>
      </c>
      <c r="AA36" s="5">
        <f>IF(ISNUMBER(Y36),ROUND(Y36*'Reference data'!$B$2,0),"Unknown")</f>
        <v>8.0</v>
      </c>
      <c r="AB36" s="5">
        <f>IF(ISNUMBER(Z36),ROUND(Z36*'Reference data'!$B$2,0),"Unknown")</f>
        <v>9.0</v>
      </c>
      <c r="AD36" s="1">
        <v>1037.289</v>
      </c>
      <c r="AE36" s="1" t="s">
        <v>184</v>
      </c>
    </row>
    <row r="37" spans="1:31" ht="54" customHeight="1">
      <c r="A37" s="6" t="s">
        <v>203</v>
      </c>
      <c r="B37" s="1">
        <v>5</v>
      </c>
      <c r="C37" s="1" t="s">
        <v>189</v>
      </c>
      <c r="D37" s="1" t="s">
        <v>95</v>
      </c>
      <c r="E37" s="1" t="s">
        <v>110</v>
      </c>
      <c r="F37" s="1">
        <v>185</v>
      </c>
      <c r="G37" s="6" t="s">
        <v>190</v>
      </c>
      <c r="H37" t="s">
        <v>166</v>
      </c>
      <c r="I37" t="s">
        <v>229</v>
      </c>
      <c r="J37" s="2">
        <f>IF(COUNT('Turns'!D131)=1,SUM('Turns'!D131),"Unknown")</f>
        <v>185.0</v>
      </c>
      <c r="K37" s="2">
        <f>IF(COUNT('Turns'!E131)=1,SUM('Turns'!E131),"Unknown")</f>
        <v>3.255038e-05</v>
      </c>
      <c r="L37" s="2">
        <f>IF(COUNT('Turns'!F131)=1,SUM('Turns'!F131),"Unknown")</f>
        <v>3.7e-05</v>
      </c>
      <c r="M37" s="2">
        <v>0</v>
      </c>
      <c r="N37" s="2">
        <v>0</v>
      </c>
      <c r="O37" s="2">
        <v>0</v>
      </c>
      <c r="P37" s="2">
        <v>0</v>
      </c>
      <c r="Q37" s="2">
        <v>0</v>
      </c>
      <c r="R37" s="2">
        <v>0</v>
      </c>
      <c r="S37" s="2">
        <f>IF(COUNT('Turns'!D138)=1,SUM('Turns'!D138),"Unknown")</f>
        <v>32.0</v>
      </c>
      <c r="T37" s="2">
        <f>IF(COUNT('Turns'!E138)=1,SUM('Turns'!E138),"Unknown")</f>
        <v>3.3782016e-05</v>
      </c>
      <c r="U37" s="2">
        <f>IF(COUNT('Turns'!F138)=1,SUM('Turns'!F138),"Unknown")</f>
        <v>3.84e-05</v>
      </c>
      <c r="V37" s="2">
        <f>IF(COUNT('Turns'!D137)=1,SUM('Turns'!D137),"Unknown")</f>
        <v>9.0</v>
      </c>
      <c r="W37" s="2">
        <f>IF(COUNT('Turns'!E137)=1,SUM('Turns'!E137),"Unknown")</f>
        <v>9.501192e-06</v>
      </c>
      <c r="X37" s="2">
        <f>IF(COUNT('Turns'!F137)=1,SUM('Turns'!F137),"Unknown")</f>
        <v>1.08e-05</v>
      </c>
      <c r="Y37" s="2">
        <f>IF(COUNT('Turns'!E142)=1,SUM('Turns'!E142),"Unknown")</f>
        <v>7.5833588e-05</v>
      </c>
      <c r="Z37" s="2">
        <f>IF(COUNT('Turns'!F142)=1,SUM('Turns'!F142),"Unknown")</f>
        <v>8.62e-05</v>
      </c>
      <c r="AA37" s="5">
        <f>IF(ISNUMBER(Y37),ROUND(Y37*'Reference data'!$B$2,0),"Unknown")</f>
        <v>8.0</v>
      </c>
      <c r="AB37" s="5">
        <f>IF(ISNUMBER(Z37),ROUND(Z37*'Reference data'!$B$2,0),"Unknown")</f>
        <v>9.0</v>
      </c>
      <c r="AC37" s="1" t="s">
        <v>165</v>
      </c>
      <c r="AD37" s="1">
        <v>1033.674</v>
      </c>
      <c r="AE37" s="1" t="s">
        <v>191</v>
      </c>
    </row>
    <row r="38" spans="1:31" ht="54" customHeight="1">
      <c r="A38" s="6" t="s">
        <v>204</v>
      </c>
      <c r="B38" s="1">
        <v>4</v>
      </c>
      <c r="C38" s="1" t="s">
        <v>182</v>
      </c>
      <c r="D38" s="1" t="s">
        <v>47</v>
      </c>
      <c r="E38" s="1" t="s">
        <v>110</v>
      </c>
      <c r="G38" s="6" t="s">
        <v>193</v>
      </c>
      <c r="H38" t="s">
        <v>230</v>
      </c>
      <c r="I38" t="s">
        <v>228</v>
      </c>
      <c r="AD38" s="1">
        <v>2.105</v>
      </c>
      <c r="AE38" s="1" t="s">
        <v>206</v>
      </c>
    </row>
    <row r="39" spans="1:31" ht="54" customHeight="1">
      <c r="A39" s="6" t="s">
        <v>231</v>
      </c>
      <c r="B39" s="1">
        <v>5</v>
      </c>
      <c r="C39" s="1" t="s">
        <v>196</v>
      </c>
      <c r="D39" s="1" t="s">
        <v>47</v>
      </c>
      <c r="E39" s="1" t="s">
        <v>110</v>
      </c>
      <c r="G39" s="6" t="s">
        <v>232</v>
      </c>
      <c r="H39" t="s">
        <v>171</v>
      </c>
      <c r="I39" t="s">
        <v>230</v>
      </c>
      <c r="AD39" s="1">
        <v>0.5570000000000001</v>
      </c>
      <c r="AE39" s="1" t="s">
        <v>206</v>
      </c>
    </row>
    <row r="40" spans="1:31" ht="54" customHeight="1">
      <c r="A40" s="6" t="s">
        <v>201</v>
      </c>
      <c r="B40" s="1">
        <v>4</v>
      </c>
      <c r="C40" s="1" t="s">
        <v>182</v>
      </c>
      <c r="D40" s="1" t="s">
        <v>47</v>
      </c>
      <c r="E40" s="1" t="s">
        <v>110</v>
      </c>
      <c r="G40" s="6" t="s">
        <v>186</v>
      </c>
      <c r="H40" t="s">
        <v>233</v>
      </c>
      <c r="I40" t="s">
        <v>228</v>
      </c>
      <c r="J40" s="2">
        <f>IF(COUNT('Turns'!D148)=1,SUM('Turns'!D148),"Unknown")</f>
        <v>291.0</v>
      </c>
      <c r="K40" s="2">
        <f>IF(COUNT('Turns'!E148)=1,SUM('Turns'!E148),"Unknown")</f>
        <v>5.1200868e-05</v>
      </c>
      <c r="L40" s="2">
        <f>IF(COUNT('Turns'!F148)=1,SUM('Turns'!F148),"Unknown")</f>
        <v>5.82e-05</v>
      </c>
      <c r="M40" s="2">
        <f>IF(COUNT('Turns'!D147)=1,SUM('Turns'!D147),"Unknown")</f>
        <v>0.0</v>
      </c>
      <c r="N40" s="2">
        <f>IF(COUNT('Turns'!E147)=1,SUM('Turns'!E147),"Unknown")</f>
        <v>0.0</v>
      </c>
      <c r="O40" s="2">
        <f>IF(COUNT('Turns'!F147)=1,SUM('Turns'!F147),"Unknown")</f>
        <v>0.0</v>
      </c>
      <c r="P40" s="2">
        <v>0</v>
      </c>
      <c r="Q40" s="2">
        <v>0</v>
      </c>
      <c r="R40" s="2">
        <v>0</v>
      </c>
      <c r="S40" s="2">
        <f>IF(COUNT('Turns'!D153)=1,SUM('Turns'!D153),"Unknown")</f>
        <v>50.0</v>
      </c>
      <c r="T40" s="2">
        <f>IF(COUNT('Turns'!E153)=1,SUM('Turns'!E153),"Unknown")</f>
        <v>5.27844e-05</v>
      </c>
      <c r="U40" s="2">
        <f>IF(COUNT('Turns'!F153)=1,SUM('Turns'!F153),"Unknown")</f>
        <v>6e-05</v>
      </c>
      <c r="V40" s="2">
        <v>0</v>
      </c>
      <c r="W40" s="2">
        <v>0</v>
      </c>
      <c r="X40" s="2">
        <v>0</v>
      </c>
      <c r="Y40" s="2">
        <f>IF(COUNT('Turns'!E157)=1,SUM('Turns'!E157),"Unknown")</f>
        <v>0.000103985268</v>
      </c>
      <c r="Z40" s="2">
        <f>IF(COUNT('Turns'!F157)=1,SUM('Turns'!F157),"Unknown")</f>
        <v>0.0001182</v>
      </c>
      <c r="AA40" s="5">
        <f>IF(ISNUMBER(Y40),ROUND(Y40*'Reference data'!$B$2,0),"Unknown")</f>
        <v>10.0</v>
      </c>
      <c r="AB40" s="5">
        <f>IF(ISNUMBER(Z40),ROUND(Z40*'Reference data'!$B$2,0),"Unknown")</f>
        <v>12.0</v>
      </c>
      <c r="AD40" s="1">
        <v>1854.657</v>
      </c>
      <c r="AE40" s="1" t="s">
        <v>184</v>
      </c>
    </row>
    <row r="41" spans="1:31" ht="54" customHeight="1">
      <c r="A41" s="6" t="s">
        <v>203</v>
      </c>
      <c r="B41" s="1">
        <v>5</v>
      </c>
      <c r="C41" s="1" t="s">
        <v>189</v>
      </c>
      <c r="D41" s="1" t="s">
        <v>95</v>
      </c>
      <c r="E41" s="1" t="s">
        <v>110</v>
      </c>
      <c r="F41" s="1">
        <v>291</v>
      </c>
      <c r="G41" s="6" t="s">
        <v>190</v>
      </c>
      <c r="H41" t="s">
        <v>175</v>
      </c>
      <c r="I41" t="s">
        <v>233</v>
      </c>
      <c r="J41" s="2">
        <f>IF(COUNT('Turns'!D148)=1,SUM('Turns'!D148),"Unknown")</f>
        <v>291.0</v>
      </c>
      <c r="K41" s="2">
        <f>IF(COUNT('Turns'!E148)=1,SUM('Turns'!E148),"Unknown")</f>
        <v>5.1200868e-05</v>
      </c>
      <c r="L41" s="2">
        <f>IF(COUNT('Turns'!F148)=1,SUM('Turns'!F148),"Unknown")</f>
        <v>5.82e-05</v>
      </c>
      <c r="M41" s="2">
        <f>IF(COUNT('Turns'!D147)=1,SUM('Turns'!D147),"Unknown")</f>
        <v>0.0</v>
      </c>
      <c r="N41" s="2">
        <f>IF(COUNT('Turns'!E147)=1,SUM('Turns'!E147),"Unknown")</f>
        <v>0.0</v>
      </c>
      <c r="O41" s="2">
        <f>IF(COUNT('Turns'!F147)=1,SUM('Turns'!F147),"Unknown")</f>
        <v>0.0</v>
      </c>
      <c r="P41" s="2">
        <v>0</v>
      </c>
      <c r="Q41" s="2">
        <v>0</v>
      </c>
      <c r="R41" s="2">
        <v>0</v>
      </c>
      <c r="S41" s="2">
        <f>IF(COUNT('Turns'!D153)=1,SUM('Turns'!D153),"Unknown")</f>
        <v>50.0</v>
      </c>
      <c r="T41" s="2">
        <f>IF(COUNT('Turns'!E153)=1,SUM('Turns'!E153),"Unknown")</f>
        <v>5.27844e-05</v>
      </c>
      <c r="U41" s="2">
        <f>IF(COUNT('Turns'!F153)=1,SUM('Turns'!F153),"Unknown")</f>
        <v>6e-05</v>
      </c>
      <c r="V41" s="2">
        <v>0</v>
      </c>
      <c r="W41" s="2">
        <v>0</v>
      </c>
      <c r="X41" s="2">
        <v>0</v>
      </c>
      <c r="Y41" s="2">
        <f>IF(COUNT('Turns'!E157)=1,SUM('Turns'!E157),"Unknown")</f>
        <v>0.000103985268</v>
      </c>
      <c r="Z41" s="2">
        <f>IF(COUNT('Turns'!F157)=1,SUM('Turns'!F157),"Unknown")</f>
        <v>0.0001182</v>
      </c>
      <c r="AA41" s="5">
        <f>IF(ISNUMBER(Y41),ROUND(Y41*'Reference data'!$B$2,0),"Unknown")</f>
        <v>10.0</v>
      </c>
      <c r="AB41" s="5">
        <f>IF(ISNUMBER(Z41),ROUND(Z41*'Reference data'!$B$2,0),"Unknown")</f>
        <v>12.0</v>
      </c>
      <c r="AC41" s="1" t="s">
        <v>174</v>
      </c>
      <c r="AD41" s="1">
        <v>1853.468</v>
      </c>
      <c r="AE41" s="1" t="s">
        <v>191</v>
      </c>
    </row>
    <row r="42" spans="1:31" ht="54" customHeight="1">
      <c r="A42" s="6" t="s">
        <v>185</v>
      </c>
      <c r="B42" s="1">
        <v>1</v>
      </c>
      <c r="C42" s="1" t="s">
        <v>182</v>
      </c>
      <c r="D42" s="1" t="s">
        <v>47</v>
      </c>
      <c r="E42" s="1" t="s">
        <v>110</v>
      </c>
      <c r="G42" s="6" t="s">
        <v>186</v>
      </c>
      <c r="H42" t="s">
        <v>234</v>
      </c>
      <c r="I42" t="s">
        <v>223</v>
      </c>
      <c r="J42" s="2">
        <f>IF(COUNT('Turns'!D160)=1,SUM('Turns'!D160),"Unknown")</f>
        <v>678.0</v>
      </c>
      <c r="K42" s="2">
        <f>IF(COUNT('Turns'!E160)=1,SUM('Turns'!E160),"Unknown")</f>
        <v>0.000119292744</v>
      </c>
      <c r="L42" s="2">
        <f>IF(COUNT('Turns'!F160)=1,SUM('Turns'!F160),"Unknown")</f>
        <v>0.0001356</v>
      </c>
      <c r="M42" s="2">
        <f>IF(COUNT('Turns'!D159)=1,SUM('Turns'!D159),"Unknown")</f>
        <v>0.0</v>
      </c>
      <c r="N42" s="2">
        <f>IF(COUNT('Turns'!E159)=1,SUM('Turns'!E159),"Unknown")</f>
        <v>0.0</v>
      </c>
      <c r="O42" s="2">
        <f>IF(COUNT('Turns'!F159)=1,SUM('Turns'!F159),"Unknown")</f>
        <v>0.0</v>
      </c>
      <c r="P42" s="2">
        <v>0</v>
      </c>
      <c r="Q42" s="2">
        <v>0</v>
      </c>
      <c r="R42" s="2">
        <v>0</v>
      </c>
      <c r="S42" s="2">
        <f>IF(COUNT('Turns'!D165)=1,SUM('Turns'!D165),"Unknown")</f>
        <v>20.0</v>
      </c>
      <c r="T42" s="2">
        <f>IF(COUNT('Turns'!E165)=1,SUM('Turns'!E165),"Unknown")</f>
        <v>2.111376e-05</v>
      </c>
      <c r="U42" s="2">
        <f>IF(COUNT('Turns'!F165)=1,SUM('Turns'!F165),"Unknown")</f>
        <v>2.4e-05</v>
      </c>
      <c r="V42" s="2">
        <v>0</v>
      </c>
      <c r="W42" s="2">
        <v>0</v>
      </c>
      <c r="X42" s="2">
        <v>0</v>
      </c>
      <c r="Y42" s="2">
        <f>IF(COUNT('Turns'!E169)=1,SUM('Turns'!E169),"Unknown")</f>
        <v>0.000140406504</v>
      </c>
      <c r="Z42" s="2">
        <f>IF(COUNT('Turns'!F169)=1,SUM('Turns'!F169),"Unknown")</f>
        <v>0.0001596</v>
      </c>
      <c r="AA42" s="5">
        <f>IF(ISNUMBER(Y42),ROUND(Y42*'Reference data'!$B$2,0),"Unknown")</f>
        <v>14.0</v>
      </c>
      <c r="AB42" s="5">
        <f>IF(ISNUMBER(Z42),ROUND(Z42*'Reference data'!$B$2,0),"Unknown")</f>
        <v>16.0</v>
      </c>
      <c r="AD42" s="1">
        <v>903.617</v>
      </c>
      <c r="AE42" s="1" t="s">
        <v>184</v>
      </c>
    </row>
    <row r="43" spans="1:31" ht="54" customHeight="1">
      <c r="A43" s="6" t="s">
        <v>188</v>
      </c>
      <c r="B43" s="1">
        <v>2</v>
      </c>
      <c r="C43" s="1" t="s">
        <v>189</v>
      </c>
      <c r="D43" s="1" t="s">
        <v>95</v>
      </c>
      <c r="E43" s="1" t="s">
        <v>110</v>
      </c>
      <c r="F43" s="1">
        <v>678</v>
      </c>
      <c r="G43" s="6" t="s">
        <v>190</v>
      </c>
      <c r="H43" t="s">
        <v>178</v>
      </c>
      <c r="I43" t="s">
        <v>234</v>
      </c>
      <c r="J43" s="2">
        <f>IF(COUNT('Turns'!D160)=1,SUM('Turns'!D160),"Unknown")</f>
        <v>678.0</v>
      </c>
      <c r="K43" s="2">
        <f>IF(COUNT('Turns'!E160)=1,SUM('Turns'!E160),"Unknown")</f>
        <v>0.000119292744</v>
      </c>
      <c r="L43" s="2">
        <f>IF(COUNT('Turns'!F160)=1,SUM('Turns'!F160),"Unknown")</f>
        <v>0.0001356</v>
      </c>
      <c r="M43" s="2">
        <f>IF(COUNT('Turns'!D159)=1,SUM('Turns'!D159),"Unknown")</f>
        <v>0.0</v>
      </c>
      <c r="N43" s="2">
        <f>IF(COUNT('Turns'!E159)=1,SUM('Turns'!E159),"Unknown")</f>
        <v>0.0</v>
      </c>
      <c r="O43" s="2">
        <f>IF(COUNT('Turns'!F159)=1,SUM('Turns'!F159),"Unknown")</f>
        <v>0.0</v>
      </c>
      <c r="P43" s="2">
        <v>0</v>
      </c>
      <c r="Q43" s="2">
        <v>0</v>
      </c>
      <c r="R43" s="2">
        <v>0</v>
      </c>
      <c r="S43" s="2">
        <f>IF(COUNT('Turns'!D165)=1,SUM('Turns'!D165),"Unknown")</f>
        <v>20.0</v>
      </c>
      <c r="T43" s="2">
        <f>IF(COUNT('Turns'!E165)=1,SUM('Turns'!E165),"Unknown")</f>
        <v>2.111376e-05</v>
      </c>
      <c r="U43" s="2">
        <f>IF(COUNT('Turns'!F165)=1,SUM('Turns'!F165),"Unknown")</f>
        <v>2.4e-05</v>
      </c>
      <c r="V43" s="2">
        <v>0</v>
      </c>
      <c r="W43" s="2">
        <v>0</v>
      </c>
      <c r="X43" s="2">
        <v>0</v>
      </c>
      <c r="Y43" s="2">
        <f>IF(COUNT('Turns'!E169)=1,SUM('Turns'!E169),"Unknown")</f>
        <v>0.000140406504</v>
      </c>
      <c r="Z43" s="2">
        <f>IF(COUNT('Turns'!F169)=1,SUM('Turns'!F169),"Unknown")</f>
        <v>0.0001596</v>
      </c>
      <c r="AA43" s="5">
        <f>IF(ISNUMBER(Y43),ROUND(Y43*'Reference data'!$B$2,0),"Unknown")</f>
        <v>14.0</v>
      </c>
      <c r="AB43" s="5">
        <f>IF(ISNUMBER(Z43),ROUND(Z43*'Reference data'!$B$2,0),"Unknown")</f>
        <v>16.0</v>
      </c>
      <c r="AC43" s="1" t="s">
        <v>177</v>
      </c>
      <c r="AD43" s="1">
        <v>901.759</v>
      </c>
      <c r="AE43" s="1" t="s">
        <v>191</v>
      </c>
    </row>
  </sheetData>
  <conditionalFormatting sqref="A2:AE43">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2026-09-24T22:23:47Z</dcterms:created>
  <dcterms:modified xsi:type="dcterms:W3CDTF">2026-09-24T22:23:47Z</dcterms:modified>
</cp:coreProperties>
</file>
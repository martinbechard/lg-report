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urns" sheetId="1" r:id="rId1"/>
    <sheet name="Execution tree" sheetId="2" r:id="rId2"/>
    <sheet name="Reference data" sheetId="3" r:id="rId3"/>
  </sheets>
  <calcPr calcId="124519" fullCalcOnLoad="1"/>
</workbook>
</file>

<file path=xl/sharedStrings.xml><?xml version="1.0" encoding="utf-8"?>
<sst xmlns="http://schemas.openxmlformats.org/spreadsheetml/2006/main" count="488" uniqueCount="174">
  <si>
    <t>Request</t>
  </si>
  <si>
    <t>Turn</t>
  </si>
  <si>
    <t>Sequence</t>
  </si>
  <si>
    <t>Tokens</t>
  </si>
  <si>
    <t>EUR / execution</t>
  </si>
  <si>
    <t>USD / execution</t>
  </si>
  <si>
    <t>Projected EUR</t>
  </si>
  <si>
    <t>Projected USD</t>
  </si>
  <si>
    <t>Content</t>
  </si>
  <si>
    <t>Model · effort</t>
  </si>
  <si>
    <t>Status</t>
  </si>
  <si>
    <t>Context total tokens</t>
  </si>
  <si>
    <t>Span ID</t>
  </si>
  <si>
    <t>Operation</t>
  </si>
  <si>
    <t>Depth</t>
  </si>
  <si>
    <t>Type</t>
  </si>
  <si>
    <t>Input context tokens</t>
  </si>
  <si>
    <t>Description</t>
  </si>
  <si>
    <t>Parent ID</t>
  </si>
  <si>
    <t>Input at standard rate tokens</t>
  </si>
  <si>
    <t>Input at standard rate EUR</t>
  </si>
  <si>
    <t>Input at standard rate USD</t>
  </si>
  <si>
    <t>Cache read tokens</t>
  </si>
  <si>
    <t>Cache read EUR</t>
  </si>
  <si>
    <t>Cache read USD</t>
  </si>
  <si>
    <t>Cache write tokens</t>
  </si>
  <si>
    <t>Cache write EUR</t>
  </si>
  <si>
    <t>Cache write USD</t>
  </si>
  <si>
    <t>Output (non-reasoning) tokens</t>
  </si>
  <si>
    <t>Output (non-reasoning) EUR</t>
  </si>
  <si>
    <t>Output (non-reasoning) USD</t>
  </si>
  <si>
    <t>Reasoning tokens</t>
  </si>
  <si>
    <t>Reasoning EUR</t>
  </si>
  <si>
    <t>Reasoning USD</t>
  </si>
  <si>
    <t>Total EUR</t>
  </si>
  <si>
    <t>Total USD</t>
  </si>
  <si>
    <t>Elapsed ms</t>
  </si>
  <si>
    <t>Accounting</t>
  </si>
  <si>
    <t>Parameter</t>
  </si>
  <si>
    <t>Value</t>
  </si>
  <si>
    <t>Unit</t>
  </si>
  <si>
    <t>Number of executions</t>
  </si>
  <si>
    <t>executions</t>
  </si>
  <si>
    <t>USD → EUR</t>
  </si>
  <si>
    <t>EUR per USD</t>
  </si>
  <si>
    <t>Cache duration</t>
  </si>
  <si>
    <t>5m</t>
  </si>
  <si>
    <t/>
  </si>
  <si>
    <t>Run ID</t>
  </si>
  <si>
    <t>01a0d582-8931-7792-9e27-0d96663351ed</t>
  </si>
  <si>
    <t>Recording</t>
  </si>
  <si>
    <t>Provider trace</t>
  </si>
  <si>
    <t>FX reference date</t>
  </si>
  <si>
    <t>2026-09-24</t>
  </si>
  <si>
    <t>FX fetched at</t>
  </si>
  <si>
    <t>2026-09-24T22:21:31.719587Z</t>
  </si>
  <si>
    <t>UTC</t>
  </si>
  <si>
    <t>FX source</t>
  </si>
  <si>
    <t>https://api.frankfurter.dev/v2/rate/usd/eur?providers=ecb</t>
  </si>
  <si>
    <t>Rounding</t>
  </si>
  <si>
    <t>Only projected costs: ROUND(cost × executions, 0)</t>
  </si>
  <si>
    <t>Tree totals</t>
  </si>
  <si>
    <t>Parent rows include descendants; do not sum all tree rows.</t>
  </si>
  <si>
    <t>Cache writes</t>
  </si>
  <si>
    <t>Simulated context movement is not a provider-billed write.</t>
  </si>
  <si>
    <t>Pricing scope</t>
  </si>
  <si>
    <t>Standard online token rates. Verify rates and model access before use. Cache writes with unspecified lifetime use the 5-minute rate unless an explicit cache_write rate is configured. No batch, regional, long-context, tool, or negotiated pricing adjustments are applied.</t>
  </si>
  <si>
    <t>Model</t>
  </si>
  <si>
    <t>Input USD / 1M tokens</t>
  </si>
  <si>
    <t>Cache read USD / 1M tokens</t>
  </si>
  <si>
    <t>Cache write USD / 1M tokens</t>
  </si>
  <si>
    <t>Output USD / 1M tokens</t>
  </si>
  <si>
    <t>Reasoning USD / 1M tokens</t>
  </si>
  <si>
    <t>Verified date</t>
  </si>
  <si>
    <t>Source</t>
  </si>
  <si>
    <t>Notes</t>
  </si>
  <si>
    <t>openai:gpt-5.5</t>
  </si>
  <si>
    <t>Unknown</t>
  </si>
  <si>
    <t>2026-09-18</t>
  </si>
  <si>
    <t>https://developers.openai.com/api/docs/models/gpt-5.5.md</t>
  </si>
  <si>
    <t>Cache write assumes 5m when unspecified</t>
  </si>
  <si>
    <t>openai:gpt-5.6-luna</t>
  </si>
  <si>
    <t>https://developers.openai.com/api/docs/models/gpt-5.6-luna.md</t>
  </si>
  <si>
    <t>openai:gpt-5.6-sol</t>
  </si>
  <si>
    <t>https://developers.openai.com/api/docs/models/gpt-5.6-sol.md</t>
  </si>
  <si>
    <t>anthropic:claude-sonnet-5</t>
  </si>
  <si>
    <t>https://platform.claude.com/docs/en/about-claude/pricing</t>
  </si>
  <si>
    <t>anthropic:claude-opus-4-8</t>
  </si>
  <si>
    <t>anthropic:claude-fable-5-1</t>
  </si>
  <si>
    <t>demo:scripted-chat</t>
  </si>
  <si>
    <t>Illustrative demo rates based on openai:gpt-5.6-luna; no provider billing</t>
  </si>
  <si>
    <t>Run total</t>
  </si>
  <si>
    <t>Turn 1</t>
  </si>
  <si>
    <t>R1</t>
  </si>
  <si>
    <t>LLM request</t>
  </si>
  <si>
    <t>gpt-5.6-luna</t>
  </si>
  <si>
    <t>01a0d582-8938-71f2-aa92-62a27dfb0bf1</t>
  </si>
  <si>
    <t>Input at standard rate</t>
  </si>
  <si>
    <t xml:space="preserve">    Tool definitions</t>
  </si>
  <si>
    <t xml:space="preserve">    System prompt</t>
  </si>
  <si>
    <t>You are the worker in an intentional circuit-breaker demonstration. The defective plan requires /slugify.py, but the backend only allows /plan.md, /slug.py, and /test_slug.py. Reproduce the failure by calling write_file for /slugify.py with the assigned content. After every rejection, request exactly the same write again. Do not change the path or content, and do not claim success. The application, not you, will stop repeated attempts through its call limit.</t>
  </si>
  <si>
    <t xml:space="preserve">    User prompt</t>
  </si>
  <si>
    <t>Reproduce the defective plan: write /slugify.py containing '# Slug implementation pending'. Repeat the identical write after rejection so the circuit breaker can stop the loop.</t>
  </si>
  <si>
    <t>Cache write</t>
  </si>
  <si>
    <t>Context · added / total</t>
  </si>
  <si>
    <t>LLM response</t>
  </si>
  <si>
    <t>Reasoning</t>
  </si>
  <si>
    <t>Output</t>
  </si>
  <si>
    <t xml:space="preserve">    Output content</t>
  </si>
  <si>
    <t>[{"id": "rs_01eea4e71c40a538006ab5a27394dc87d298156d69e70cb140", "summary": [], "type": "reasoning", "content": [], "index": 0, "encrypted_content": "gAAAAABqtaJzzUKX7jyNhUeaLQza_1JyHBUg1h8QJ4T3OZ6CoIlN2njXtl_8Xh2BG91IZsFiNVre1HtiayRrdudM3P91EsEZr1VldRTcAVrAuxJjws5bcq-_BFerc8Ax2fuILzqxyN_iSBhGCiZCMYKRG1GS49uTy8fnjseeebCH_RLXqasvJxG7Iwayy1y3l098h6kXshMssNBcdmoSDXZqA42OxHuDw1WOkYG_gsMhezG4mAkS87-lhq_febiDd0CpCyW8giIpQBm3dfsrZs6L5BxiuJd68-noGpQUkK1v6Q8wnLuK4CGqUUEnApjZplO8atRembQJVT15C1R_chWCiPEHAIklr-LFvcIIY8GOd__mCEqpeJLrbuWMhS4Fx4SdPdLm69xOV93duB5sjt0l7AFjCa0iicGO0bG34JM5cQ9Prxtb8ii9hPH_ai9o0rC5S7MCu3gWHZj4rXKsJzPiNBpz1qujDi_ieieGRu9Y91NSC3-qYqOYacaLT92G0rsqDnggVL-6YbwrM4iR1vE9fA5cah5tDgnw648G2JUZfijY5Lhycblv4ZAtQ0gkqlrDSPHPL2sIi9HvAy3_WXJRgvvJ3OWxu2HLH7wnGNvFa6uSyZ5O0drfAxCs5_1IEJuCLOx_Ecrw4emeFhvXKPufIYJkXEMYoV60jZfoNkVHUepz06CLEr1LfjUqUueyiAzIA0wbKg6rUVCaeGclXD-gyaKjKFjwsBJRSRAgZtgFOaWjDqm8HwPswOxEZxdC3p8_VUBlROESii-z-pR9ZilaweVS7sdyYG_cFz1_9-lJPOLoh-ideypcFn9P11OXyPftUNa-4KnBoriHWbsusU426le_5lp46MG3BNDuoL2gmLc9UrhR2Lz-XJsPrSMGf59Kq6cwc7u0e0HbvvoBbzygRdGZyO-2AWANGgcoooteI1gFHhTMc4473TfECS-Ao0nntj7o3mIH6dZGp7S2WWFpIYKpnVs6an0DTAngJsuq1wIpEmCzTibTrbyKp-ng01cyGJMVYK7HXQLTz83-cFZIS93Mxsoo9UhdbIdQ4kBfpRIob45SywRz-_H4R1XnSA1ugOyCIQv7oql7maEOQaASlZd4AvKgqIB558TDrLJUlYuzm2Nz7s-fU9jJJTTJLhtGE0iXqec1kbZ_L0y_ePztpiReKNjQZkVI_iR0gEVMdJWlRYhpFtNlkflxOpA5oqvfvXdgatsdt8GTvRHo7RCQuh6UalLskIj3WpTgkS0HRhLUXRiNYY4kX8m5Ne_HfuCV2QyiEaPAiuDFVaPccNfzsRo8mfs83h6lqHHeJYTBc0-ipESVzIDdeC1rVuzrtrVEj76CNOT9"}, {"type": "function_call", "name": "write_file", "arguments": "{\"file_path\":\"/slugify.py\",\"content\":\"# Slug implementation pending\"}", "call_id": "call_AoTvV8HHukCyU7ZXXZydDHrV", "id": "fc_01eea4e71c40a538006ab5a273f2f087d2a66ef115628d8310", "index": 1}]
{"name": "write_file", "args": {"file_path": "/slugify.py", "content": "# Slug implementation pending"}, "id": "call_AoTvV8HHukCyU7ZXXZydDHrV", "type": "tool_call"}</t>
  </si>
  <si>
    <t>Call total</t>
  </si>
  <si>
    <t>ok</t>
  </si>
  <si>
    <t>Tool · write_file</t>
  </si>
  <si>
    <t>error</t>
  </si>
  <si>
    <t>01a0d582-963e-7563-8e82-c9dc1b66cced</t>
  </si>
  <si>
    <t xml:space="preserve">    Arguments</t>
  </si>
  <si>
    <t>{'file_path': '/slugify.py', 'content': '# Slug implementation pending'}</t>
  </si>
  <si>
    <t xml:space="preserve">    Result</t>
  </si>
  <si>
    <t>Only /plan.md, /slug.py, and /test_slug.py may be written</t>
  </si>
  <si>
    <t>R2</t>
  </si>
  <si>
    <t>01a0d582-9649-7292-aa53-d3db05a9d2f1</t>
  </si>
  <si>
    <t>Conversation history · cache read</t>
  </si>
  <si>
    <t xml:space="preserve">    Tool result</t>
  </si>
  <si>
    <t>[{"id": "rs_01eea4e71c40a538006ab5a2754b9487d2819aa15a89ef84f8", "summary": [], "type": "reasoning", "content": [], "index": 0, "encrypted_content": "gAAAAABqtaJ1kaM3PRSyNh1S0MhQ5l02yb-eAvtN5wv2a2t6PHj_KFFa8e4jJRnCO8iyzv29maIDbgoIjPKd5kg8V8eGkhgMR-r2Bd5ZhnAMDxe8pSyAJgVFHvhCUkdMWmX9Kr3SH-5MhKeAKhzCfiDcnF2WVSyX85NgfNrsV8sKmVkZpVRlailtLpS6RWJ4BnfhbLVLxnVVzDXO-JbgHurtHxO3sbGNr6Ch7-rda6-lMeb_JGhHmSJCqkPRVLEXCgn17aEXd_msIzZX89744CZBdb9FK3FUFT1KpxslSWbyPthd1IOXnGeVFVm5IRMM8bVeF97ZBBOtTJriSKbmeiBwcG2SMt8ahijQdAXAwdZUC9Qajz3Z4y0bVK1eVB4cu9t0XToC6tVjHP3r23tQYngBTWDMfyaBOBNcnzNUNS7HvWY6beYgM72L40HbwfGKJj9z4AnEEp0XttT7k2s_WGiTjQwxyU8zyVk6_I9Ygt-hA1odR8KJbDGATw_1Y1oRwMXpx5OgOLDvKbfUkfxHUvKoV9AmfjS5Rwx37CdzR8h_ky6i757S-YcPNoHT91_cqHKQ5TsqC5PAS3TKS3puxeQqh4Lxp3vdakmgx4qg2aolk7waXth-2qxeXiTdM-fbSjswksBXqSMSYZVygArxeWo59tLXfZ87Cv3V6cNhtHK8W44mfhbButOisBYfw6obqmYb4vttZqucYGVOdM90Oi1sFvaz1CDqvEznE8gSZnsF2HceouWpEaEuBP_7B38ebyu3wX8oIaMwZyN-XHhl7SVZ_3CR3_IQ2x3PvlZai1sTdt98-9QAhebSJGgTGY6AQ3pOBWRSgKSvp6PjMWwIpHiHzJUE7U-i4YfhisfA-tA-B9_EHrYRyzOZtyfgPuiqnBTjeRBsPTyI3WlBa_V4KlAnbwv0VArDXSeEwmETM9IAq-1g8QzRW3TqIFMqNHB02eUO9wIBk2oDxpMtcSDGcBgOkIw5bewYdfFOubt9qnocual2cy9Y4oMis19CuL2-Zx896vF0SDs48Dg6CJKGvm8zFJztVPgCjaNJiaClb6czrnXNHO-32IyRrpXQOD1ALrG7VW9SplHewtv3aS2nW1qJYp46OM4CROlzgtnA1lrPPsEIxyPvECfZNSnWA5ZOEnP4CiQYJ2vSE76fzV-9YRIuMS0vH330OQ-Db4lbQ-U1l2ITkTdNicqLmwiGgwJ3SX16-gbOPUAjE73NsGk6D6lYMFs7ORna-A=="}, {"type": "function_call", "name": "write_file", "arguments": "{\"file_path\":\"/slugify.py\",\"content\":\"# Slug implementation pending\"}", "call_id": "call_UZQ6CumicyTUTwBUPzxFS69w", "id": "fc_01eea4e71c40a538006ab5a275757887d28392acc905f79240", "index": 1}]
{"name": "write_file", "args": {"file_path": "/slugify.py", "content": "# Slug implementation pending"}, "id": "call_UZQ6CumicyTUTwBUPzxFS69w", "type": "tool_call"}</t>
  </si>
  <si>
    <t>01a0d582-9c23-7de0-9568-7a34c169a9ee</t>
  </si>
  <si>
    <t>R3</t>
  </si>
  <si>
    <t>01a0d582-9c2a-7112-bf30-a1688eb73a8e</t>
  </si>
  <si>
    <t>[{"id": "rs_01eea4e71c40a538006ab5a277158087d2b4f9f68ec2902f93", "summary": [], "type": "reasoning", "content": [], "index": 0, "encrypted_content": "gAAAAABqtaJ3rwhxqmL6ZOu4C6QNKH2keOAcfovf6s609bgx7I5SZbIQg3FlLyVUIGXBC5-_1XnOxcjtebrwUhcAA6XQbwtYBd_ZY0xB6A9y3vUmo_W333bdTsS_D_2gCaIrOkmz-IFatFXuVi3mekkGW6h0wtqfFPQretZUtY3oQ2uyXglmoo8fVDd7Cz_gN7_55jsXFW53IVS8pkYvRPzEaVvcv10zeLGuZ5bG8_M7Fl5q-fdiwlVf03ZATjGvK0_2JFTCsstmKrBMOxjJipn7L_It6JhFUSvP_xf47M3kXpQ09-kRhQeidmE-8BWe5Sk7Wqg-x_rkciUxBUl3ElkZnNU1fX08bTE-0LzVjQYHzdxgfq2NquLdDR-fPNYMZKKsV3WXXvb0rl7k0QSk6NbFgCKLVzgnA8PTGf6DqUKJp5YuQJcpt3mP-HwVvf54KifpuKsdDwuclURVCCiixOrft9vFYOBRwyC1GDlkvdgLhwqI3fItVOUa87PAaLefzKHm6XkJT1rQI4T-b-QUeyDdH6ToYCpM8aT1zjwcdh5s11-5sjkb1m7mRR0pWvqM-BQ0Jmi9mVfUFybZcEc-GGYInbEd05COMIprMHlZcj84XGh-JuiewFx-BOYP_ZJtHi1zMFKna1p9ARwb3UaXKaqQo_cpmmGpXeM4iPg9nN8SgV-DquYYAw8ac4YDqSHzLlWRjNPGtShrjEap2OEnVTmQoeXsvnv1LGXy0EOwHLXBXtfA4j8Om75bgHJh38Nau58sCKszR2Kbr1rqc9rffH5MAELRzWBmEE9AumZZgCvtd71gJWTcudzUXU_-c5zMDCyualILeE9nwId5UWcgeMhLBv5WJ7_Ig8mQIygR_m_tt7HbKRA0cbWNMAIvPHQxz9HZfxwIMOKsfwxhtLQCJ18AfWaX7quYJ-9HgMHmews41VBtxkZMGj6V1GgdXgiX6Ar44_Q6NKY461R8ghCryWcsfM2DyzTYe95Hc52coUSS0h-OWv0noc1xDrKQ0H0ayIx-0ccT8sh8GDuD_LoN452CtaEJJRRUxzHGfM8-cBZLF9tkmq1nsPs-SE1RDkxurSE1gXBQ7yuuohH0R2kgehLfSiZvRNUM6xQ_6XC9Ww0DPukFmEPs65B9B5e-Fj-hoTUYxVL0kDqmOO5nWF306pEpoNQm40E2w_utwoCUcOcj07GQsIgUHsCFP08Jo1oxAfo2_02C1oFjWs5wL6PTF-ifPGGTCyF9PQ7j2fLdc9wImV4akbed6fy7AHpSUR21ilLfu-fUVSmLOdvimbiwETVSiEzFkhu99tBbN-8i94J0yBvRu1ZSUwy6EcfNt9yff4pDcsnzTddY91QLymiKkIfFHoi7rHm04Q=="}, {"type": "function_call", "name": "write_file", "arguments": "{\"file_path\":\"/slugify.py\",\"content\":\"# Slug implementation pending\"}", "call_id": "call_LsiRDwZBXEOnGsvjwKkOCvS5", "id": "fc_01eea4e71c40a538006ab5a277684c87d280514a0cb9b1ad6c", "index": 1}]
{"name": "write_file", "args": {"file_path": "/slugify.py", "content": "# Slug implementation pending"}, "id": "call_LsiRDwZBXEOnGsvjwKkOCvS5", "type": "tool_call"}</t>
  </si>
  <si>
    <t>01a0d582-a344-7150-9da7-c285aea8d940</t>
  </si>
  <si>
    <t>R4</t>
  </si>
  <si>
    <t>01a0d582-a349-7653-85f6-133afc7c0558</t>
  </si>
  <si>
    <t>[{"id": "rs_01eea4e71c40a538006ab5a278c7a887d292f0d8b549e01ce9", "summary": [], "type": "reasoning", "content": [], "index": 0, "encrypted_content": "gAAAAABqtaJ5k8m5jDYfiR37yrBYuHmEJ_FCn-oVTUDJHUtIxqQLkGvore02oR8c6AWqVtY4ewt05MLD17GC5n_uakrFbWoTeudIaaycjYsI53WLvvGEB5NOd2Z8B9sBgq9OJBRkvXMkCN1fW3gCV-iZTtLmoUqRjJdtwORpcnksMrnemDJWMhqLXpQXNmams-iMuk3JZwzg6O-NPEnWcdFQUeyiCBEQPi2KypbOWiD8FYgmrvi83NP96TJ8isoCrxCUtWxlGJpKeTexlPkcqJDzRfRRjZWJ1SkfjuZQpnTaHW2JFxcHrEinNRyYVHKPv0UlK-8uEPoZ_6RrV3Jan3fcHF8GW2XOk05MQzOp8Bccjodye7LWQMaoTHOmx_bdf20nWtYNQk_v01HdPwc6niU-PDaiWAIlaeVrZ958yTSavR_Q3jteW17L876Q6Ltt4Di2tt4QyXDAV7Sgj8EPKheJe_0XG87IHiAYO-0T8AsgcDeooSWjsTrIVebFlJ8GMflzBCdcqsZZzIgmuseqw6xoFfYwEV-HfgtAzjA4UX7cTc16wQzLsAOuB-wPffPxEy-fShy7D9icWUTV54f1JUEtqZk5baT6U_fDqBDjDrbw47dholAzQpGMGucfEtN55f0qdUs9tNLZW4pK15_lu2KTVFxRJuYf19p6V6pkZqaBNQ0qjvOZ4kcKw8I2ZiI1lulX5vRf2sLLjAEhKAEpFOehKyuUU6K0ub78cFhmrEA0-J__oBmcQ-EgOIRbZrOJiIzfs0ltXRnwoToM-a-eXEuS4cvBlxYoMBmS0KmAnUahA2daD1dvdH6xhLBqxQG7FSStSNl7eJw2VysUwVPEC4DnZLSbV9GEj8xfcsE1ezOUbfobyathxCfP7mKeSF4oFdOPfU9lvsfz7WTAIRKOfoP_4PTQLRsSLt0z2pyr1lBTKp-0k0Iuii9X7zWzKAVqp3Q9cZ3qyU_9ILwFnKAXxwM_FRuO-_6k2rvE8WpdyTmIkyJNmRDZi4uQXaZHz1j50RJ7r2bBXzt6673HQz-Goz9PNUbSOxSwp8jcrrE-OC2HcU0vwYHMCVTf7hcjtrJfS4LD1OaCKqdj3_kVxQqNE__zGcV_hmOFaR3L7TUc6Py48XBI5KjYlpBLifvdx879-KX1Uzb4Ec408tYEttugxL34g2sHHmeLmWZ_wlK7MVGU8ol-bWslmhG0GL86sePqF_I1qe5QLpgd5lCY7U9LmtEYYVRqpKOB_B05rTVftohX0_-wPUiEMoiqIURT5zoCplqrI5ekQR9p26O_3127bRAcvRAGIik-MncPoAVwjv6hoN0ozMUrZrnHV_HZw4O0pURHr9S5e8HuAwd9lkaxRICke600Y1TKp94F1ebM2XPMU8SX0xbA9WAJ1UoIZKWrrdXuEWvfk1IlS2AifmclCnB1m0Zrd47sBwMW6NLZ5_nykRApT7xKhPIeFWHFNNj4FKzWWGOi5K-_aUnhm6rt6vAsRutxAF3gyXDwdIPVbJQ8ApPup2HFB7Wv1QdlhUY8OK03srfqRJXp"}, {"type": "function_call", "name": "write_file", "arguments": "{\"file_path\":\"/slugify.py\",\"content\":\"# Slug implementation pending\"}", "call_id": "call_cIRjOZKJBcIyw3JZPmvb0UUS", "id": "fc_01eea4e71c40a538006ab5a2795fac87d28bb7152b8d51ddc6", "index": 1}]
{"name": "write_file", "args": {"file_path": "/slugify.py", "content": "# Slug implementation pending"}, "id": "call_cIRjOZKJBcIyw3JZPmvb0UUS", "type": "tool_call"}</t>
  </si>
  <si>
    <t>worker</t>
  </si>
  <si>
    <t>workflow</t>
  </si>
  <si>
    <t>Execute the worker workflow operation and pass its result to the next graph step.</t>
  </si>
  <si>
    <t>Subtree total</t>
  </si>
  <si>
    <t xml:space="preserve">    ModelCallLimitMiddleware.before_model</t>
  </si>
  <si>
    <t>Execute the ModelCallLimitMiddleware.before_model workflow operation and pass its result to the next graph step.</t>
  </si>
  <si>
    <t>01a0d582-8934-7c51-b7e9-20cfc2097d66</t>
  </si>
  <si>
    <t>No model charge</t>
  </si>
  <si>
    <t xml:space="preserve">    model</t>
  </si>
  <si>
    <t>Prepare the current conversation, run model middleware, and invoke the chat model.</t>
  </si>
  <si>
    <t>01a0d582-8936-7321-808f-44660c65019a</t>
  </si>
  <si>
    <t xml:space="preserve">        ChatOpenAI</t>
  </si>
  <si>
    <t>model</t>
  </si>
  <si>
    <t>Generate the next assistant message or tool request from the current conversation.</t>
  </si>
  <si>
    <t>Own call</t>
  </si>
  <si>
    <t xml:space="preserve">    ModelCallLimitMiddleware.after_model</t>
  </si>
  <si>
    <t>Execute the ModelCallLimitMiddleware.after_model workflow operation and pass its result to the next graph step.</t>
  </si>
  <si>
    <t>01a0d582-963a-7731-b92c-0a6c870cb481</t>
  </si>
  <si>
    <t xml:space="preserve">    ToolCallLimitMiddleware[write_file].after_model</t>
  </si>
  <si>
    <t>Execute the ToolCallLimitMiddleware[write_file].after_model workflow operation and pass its result to the next graph step.</t>
  </si>
  <si>
    <t>01a0d582-963c-7d50-a9f6-2eb22b873459</t>
  </si>
  <si>
    <t xml:space="preserve">    tools</t>
  </si>
  <si>
    <t>Execute tool calls requested by the preceding model response and return their observations.</t>
  </si>
  <si>
    <t>01a0d582-963d-7c50-b393-4ef606ff2dcd</t>
  </si>
  <si>
    <t xml:space="preserve">        write_file</t>
  </si>
  <si>
    <t>tool</t>
  </si>
  <si>
    <t>Writes content to a file. Creates the file if it does not exist; replaces it entirely if it does.
Usage:
- Use this tool when you intend to create a new file or replace the whole file. You do not need to read the file first.
- Prefer to edit existing files (with the edit_file tool) over creating new ones when possible.</t>
  </si>
  <si>
    <t>01a0d582-9645-7d30-a2be-b2190b5895df</t>
  </si>
  <si>
    <t>01a0d582-9647-7ce0-a177-cf3386c01d68</t>
  </si>
  <si>
    <t>01a0d582-9c1e-71d0-ad18-ed2f501c0b26</t>
  </si>
  <si>
    <t>01a0d582-9c20-7e32-88cc-0301251c1979</t>
  </si>
  <si>
    <t>01a0d582-9c21-7d50-9e70-eab6b5cb0f5b</t>
  </si>
  <si>
    <t>01a0d582-9c27-7eb2-9c63-cb7911adad49</t>
  </si>
  <si>
    <t>01a0d582-9c29-7683-862c-7a0978df651b</t>
  </si>
  <si>
    <t>01a0d582-a340-7322-91e6-abcecef72969</t>
  </si>
  <si>
    <t>01a0d582-a342-7282-9a9b-6beea3e23d34</t>
  </si>
  <si>
    <t>01a0d582-a343-77b3-b8d8-44afd0fd486e</t>
  </si>
  <si>
    <t>01a0d582-a346-7030-9a5b-d15cc3b33c29</t>
  </si>
  <si>
    <t>01a0d582-a348-7c00-a4db-b4d014b17552</t>
  </si>
  <si>
    <t>01a0d582-ab48-7d92-99cd-0715e8e089d7</t>
  </si>
  <si>
    <t>Circuit breaker tripped | 'write_file' tool call limit reached: run limit exceeded (4/3 calls). | Agent stopped</t>
  </si>
  <si>
    <t>01a0d582-ab4a-7921-8b82-e2d4a7d8a175</t>
  </si>
</sst>
</file>

<file path=xl/styles.xml><?xml version="1.0" encoding="utf-8"?>
<styleSheet xmlns="http://schemas.openxmlformats.org/spreadsheetml/2006/main">
  <numFmts count="2">
    <numFmt numFmtId="164" formatCode="0.###############;-0.###############;0"/>
    <numFmt numFmtId="165" formatCode="#,##0"/>
  </numFmts>
  <fonts count="4">
    <font>
      <sz val="11"/>
      <color theme="1"/>
      <name val="Calibri"/>
      <family val="2"/>
      <scheme val="minor"/>
    </font>
    <font>
      <sz val="10"/>
      <color theme="1"/>
      <name val="Arial"/>
      <family val="2"/>
    </font>
    <font>
      <b/>
      <sz val="10"/>
      <color rgb="FFFFFFFF"/>
      <name val="Arial"/>
      <family val="2"/>
    </font>
    <font>
      <b/>
      <sz val="10"/>
      <color rgb="FF173B70"/>
      <name val="Arial"/>
      <family val="2"/>
    </font>
  </fonts>
  <fills count="5">
    <fill>
      <patternFill patternType="none"/>
    </fill>
    <fill>
      <patternFill patternType="gray125"/>
    </fill>
    <fill>
      <patternFill patternType="solid">
        <fgColor rgb="FF173B70"/>
        <bgColor indexed="64"/>
      </patternFill>
    </fill>
    <fill>
      <patternFill patternType="solid">
        <fgColor rgb="FFDBE5F1"/>
        <bgColor indexed="64"/>
      </patternFill>
    </fill>
    <fill>
      <patternFill patternType="solid">
        <fgColor rgb="FFFFF1B8"/>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xf>
    <xf numFmtId="164" fontId="1" fillId="0" borderId="0" xfId="0" applyNumberFormat="1" applyFont="1" applyAlignment="1">
      <alignment vertical="top"/>
    </xf>
    <xf numFmtId="0" fontId="2" fillId="2" borderId="0" xfId="0" applyFont="1" applyFill="1" applyAlignment="1">
      <alignment vertical="top" wrapText="1"/>
    </xf>
    <xf numFmtId="0" fontId="3" fillId="3" borderId="0" xfId="0" applyFont="1" applyFill="1" applyAlignment="1">
      <alignment vertical="top"/>
    </xf>
    <xf numFmtId="165" fontId="1" fillId="0" borderId="0" xfId="0" applyNumberFormat="1" applyFont="1" applyAlignment="1">
      <alignment vertical="top"/>
    </xf>
    <xf numFmtId="0" fontId="1" fillId="0" borderId="0" xfId="0" applyFont="1" applyAlignment="1">
      <alignment vertical="top" wrapText="1"/>
    </xf>
    <xf numFmtId="165" fontId="0" fillId="4" borderId="0" xfId="0" applyNumberFormat="1" applyFill="1"/>
  </cellXfs>
  <cellStyles count="1">
    <cellStyle name="Normal" xfId="0" builtinId="0"/>
  </cellStyles>
  <dxfs count="1">
    <dxf>
      <font>
        <color rgb="FF8B1010"/>
      </font>
      <fill>
        <patternFill>
          <bgColor rgb="FFFFD3D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73B70"/>
  </sheetPr>
  <dimension ref="A1:M65"/>
  <sheetViews>
    <sheetView showGridLines="0" tabSelected="1"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2" width="10.7109375" customWidth="1"/>
    <col min="3" max="3" width="38.7109375" customWidth="1"/>
    <col min="4" max="4" width="18.7109375" style="1" customWidth="1"/>
    <col min="5" max="6" width="22.7109375" style="2" customWidth="1"/>
    <col min="7" max="8" width="18.7109375" style="1" customWidth="1"/>
    <col min="9" max="9" width="100.7109375" customWidth="1"/>
    <col min="10" max="10" width="26.7109375" customWidth="1"/>
    <col min="11" max="12" width="18.7109375" style="1" customWidth="1"/>
    <col min="13" max="13" width="38.7109375" customWidth="1"/>
  </cols>
  <sheetData>
    <row r="1" spans="1:13" ht="44" customHeight="1">
      <c r="A1" s="3" t="s">
        <v>0</v>
      </c>
      <c r="B1" s="3" t="s">
        <v>1</v>
      </c>
      <c r="C1" s="3" t="s">
        <v>2</v>
      </c>
      <c r="D1" s="3" t="s">
        <v>3</v>
      </c>
      <c r="E1" s="3" t="s">
        <v>4</v>
      </c>
      <c r="F1" s="3" t="s">
        <v>5</v>
      </c>
      <c r="G1" s="3" t="s">
        <v>6</v>
      </c>
      <c r="H1" s="3" t="s">
        <v>7</v>
      </c>
      <c r="I1" s="3" t="s">
        <v>8</v>
      </c>
      <c r="J1" s="3" t="s">
        <v>9</v>
      </c>
      <c r="K1" s="3" t="s">
        <v>10</v>
      </c>
      <c r="L1" s="3" t="s">
        <v>11</v>
      </c>
      <c r="M1" s="3" t="s">
        <v>12</v>
      </c>
    </row>
    <row r="2" spans="1:13" s="4" customFormat="1" ht="24" customHeight="1">
      <c r="C2" s="4" t="s">
        <v>91</v>
      </c>
      <c r="E2" s="2">
        <f>IF(COUNT('Turns'!E17,'Turns'!E33,'Turns'!E49,'Turns'!E65)=4,SUM('Turns'!E17,'Turns'!E33,'Turns'!E49,'Turns'!E65),"Unknown")</f>
        <v>0.000794053324</v>
      </c>
      <c r="F2" s="2">
        <f>IF(COUNT('Turns'!F17,'Turns'!F33,'Turns'!F49,'Turns'!F65)=4,SUM('Turns'!F17,'Turns'!F33,'Turns'!F49,'Turns'!F65),"Unknown")</f>
        <v>0.0009026</v>
      </c>
      <c r="G2" s="5">
        <f>IF(ISNUMBER(E2),ROUND(E2*'Reference data'!$B$2,0),"Unknown")</f>
        <v>79.0</v>
      </c>
      <c r="H2" s="5">
        <f>IF(ISNUMBER(F2),ROUND(F2*'Reference data'!$B$2,0),"Unknown")</f>
        <v>90.0</v>
      </c>
    </row>
    <row r="3" spans="1:13" s="4" customFormat="1" ht="24" customHeight="1">
      <c r="B3" s="4">
        <v>1</v>
      </c>
      <c r="C3" s="4" t="s">
        <v>92</v>
      </c>
      <c r="E3" s="2">
        <f>IF(COUNT('Turns'!E17,'Turns'!E33,'Turns'!E49,'Turns'!E65)=4,SUM('Turns'!E17,'Turns'!E33,'Turns'!E49,'Turns'!E65),"Unknown")</f>
        <v>0.000794053324</v>
      </c>
      <c r="F3" s="2">
        <f>IF(COUNT('Turns'!F17,'Turns'!F33,'Turns'!F49,'Turns'!F65)=4,SUM('Turns'!F17,'Turns'!F33,'Turns'!F49,'Turns'!F65),"Unknown")</f>
        <v>0.0009026</v>
      </c>
      <c r="G3" s="5">
        <f>IF(ISNUMBER(E3),ROUND(E3*'Reference data'!$B$2,0),"Unknown")</f>
        <v>79.0</v>
      </c>
      <c r="H3" s="5">
        <f>IF(ISNUMBER(F3),ROUND(F3*'Reference data'!$B$2,0),"Unknown")</f>
        <v>90.0</v>
      </c>
    </row>
    <row r="4" spans="1:13" s="4" customFormat="1" ht="24" customHeight="1">
      <c r="A4" s="4" t="s">
        <v>93</v>
      </c>
      <c r="B4" s="4">
        <v>1</v>
      </c>
      <c r="C4" s="4" t="s">
        <v>94</v>
      </c>
      <c r="D4" s="4">
        <v>626</v>
      </c>
      <c r="J4" s="4" t="s">
        <v>95</v>
      </c>
      <c r="M4" s="4" t="s">
        <v>96</v>
      </c>
    </row>
    <row r="5" spans="1:13" ht="24" customHeight="1">
      <c r="A5" t="s">
        <v>93</v>
      </c>
      <c r="B5">
        <v>1</v>
      </c>
      <c r="C5" t="s">
        <v>97</v>
      </c>
      <c r="D5" s="5">
        <v>626</v>
      </c>
      <c r="E5" s="2">
        <f>IF(AND(ISNUMBER(F5),ISNUMBER('Reference data'!$B$3)),F5*'Reference data'!$B$3,"Unknown")</f>
        <v>0.000110143448</v>
      </c>
      <c r="F5" s="2">
        <f>IF(D5=0,0,IF(ISNUMBER('Reference data'!B17),D5*'Reference data'!B17/1000000,"Unknown"))</f>
        <v>0.0001252</v>
      </c>
      <c r="G5" s="5">
        <f>IF(ISNUMBER(E5),ROUND(E5*'Reference data'!$B$2,0),"Unknown")</f>
        <v>11.0</v>
      </c>
      <c r="H5" s="5">
        <f>IF(ISNUMBER(F5),ROUND(F5*'Reference data'!$B$2,0),"Unknown")</f>
        <v>13.0</v>
      </c>
    </row>
    <row r="6" spans="1:13" ht="24" customHeight="1">
      <c r="A6" t="s">
        <v>93</v>
      </c>
      <c r="B6">
        <v>1</v>
      </c>
      <c r="C6" t="s">
        <v>98</v>
      </c>
    </row>
    <row r="7" spans="1:13" ht="86" customHeight="1">
      <c r="A7" t="s">
        <v>93</v>
      </c>
      <c r="B7">
        <v>1</v>
      </c>
      <c r="C7" t="s">
        <v>99</v>
      </c>
      <c r="I7" s="6" t="s">
        <v>100</v>
      </c>
    </row>
    <row r="8" spans="1:13" ht="34" customHeight="1">
      <c r="A8" t="s">
        <v>93</v>
      </c>
      <c r="B8">
        <v>1</v>
      </c>
      <c r="C8" t="s">
        <v>101</v>
      </c>
      <c r="I8" s="6" t="s">
        <v>102</v>
      </c>
    </row>
    <row r="9" spans="1:13" ht="24" customHeight="1">
      <c r="A9" t="s">
        <v>93</v>
      </c>
      <c r="B9">
        <v>1</v>
      </c>
      <c r="C9" t="s">
        <v>103</v>
      </c>
    </row>
    <row r="10" spans="1:13" ht="24" customHeight="1">
      <c r="A10" t="s">
        <v>93</v>
      </c>
      <c r="B10">
        <v>1</v>
      </c>
      <c r="C10" t="s">
        <v>104</v>
      </c>
    </row>
    <row r="11" spans="1:13" s="4" customFormat="1" ht="24" customHeight="1">
      <c r="A11" s="4" t="s">
        <v>93</v>
      </c>
      <c r="B11" s="4">
        <v>1</v>
      </c>
      <c r="C11" s="4" t="s">
        <v>105</v>
      </c>
      <c r="D11" s="4">
        <v>63</v>
      </c>
    </row>
    <row r="12" spans="1:13" ht="24" customHeight="1">
      <c r="A12" t="s">
        <v>93</v>
      </c>
      <c r="B12">
        <v>1</v>
      </c>
      <c r="C12" t="s">
        <v>106</v>
      </c>
      <c r="D12" s="5">
        <v>31</v>
      </c>
      <c r="E12" s="2">
        <f>IF(AND(ISNUMBER(F12),ISNUMBER('Reference data'!$B$3)),F12*'Reference data'!$B$3,"Unknown")</f>
        <v>3.2726328e-05</v>
      </c>
      <c r="F12" s="2">
        <f>IF(D12=0,0,IF(ISNUMBER('Reference data'!F17),D12*'Reference data'!F17/1000000,"Unknown"))</f>
        <v>3.72e-05</v>
      </c>
      <c r="G12" s="5">
        <f>IF(ISNUMBER(E12),ROUND(E12*'Reference data'!$B$2,0),"Unknown")</f>
        <v>3.0</v>
      </c>
      <c r="H12" s="5">
        <f>IF(ISNUMBER(F12),ROUND(F12*'Reference data'!$B$2,0),"Unknown")</f>
        <v>4.0</v>
      </c>
    </row>
    <row r="13" spans="1:13" ht="24" customHeight="1">
      <c r="A13" t="s">
        <v>93</v>
      </c>
      <c r="B13">
        <v>1</v>
      </c>
      <c r="C13" t="s">
        <v>107</v>
      </c>
      <c r="D13" s="5">
        <v>32</v>
      </c>
      <c r="E13" s="2">
        <f>IF(AND(ISNUMBER(F13),ISNUMBER('Reference data'!$B$3)),F13*'Reference data'!$B$3,"Unknown")</f>
        <v>3.3782016e-05</v>
      </c>
      <c r="F13" s="2">
        <f>IF(D13=0,0,IF(ISNUMBER('Reference data'!E17),D13*'Reference data'!E17/1000000,"Unknown"))</f>
        <v>3.84e-05</v>
      </c>
      <c r="G13" s="5">
        <f>IF(ISNUMBER(E13),ROUND(E13*'Reference data'!$B$2,0),"Unknown")</f>
        <v>3.0</v>
      </c>
      <c r="H13" s="5">
        <f>IF(ISNUMBER(F13),ROUND(F13*'Reference data'!$B$2,0),"Unknown")</f>
        <v>4.0</v>
      </c>
    </row>
    <row r="14" spans="1:13" ht="307" customHeight="1">
      <c r="A14" t="s">
        <v>93</v>
      </c>
      <c r="B14">
        <v>1</v>
      </c>
      <c r="C14" t="s">
        <v>108</v>
      </c>
      <c r="I14" s="6" t="s">
        <v>109</v>
      </c>
    </row>
    <row r="15" spans="1:13" ht="24" customHeight="1">
      <c r="A15" t="s">
        <v>93</v>
      </c>
      <c r="B15">
        <v>1</v>
      </c>
      <c r="C15" t="s">
        <v>103</v>
      </c>
    </row>
    <row r="16" spans="1:13" ht="24" customHeight="1">
      <c r="A16" t="s">
        <v>93</v>
      </c>
      <c r="B16">
        <v>1</v>
      </c>
      <c r="C16" t="s">
        <v>104</v>
      </c>
    </row>
    <row r="17" spans="1:13" s="4" customFormat="1" ht="24" customHeight="1">
      <c r="A17" s="4" t="s">
        <v>93</v>
      </c>
      <c r="B17" s="4">
        <v>1</v>
      </c>
      <c r="C17" s="4" t="s">
        <v>110</v>
      </c>
      <c r="E17" s="2">
        <f>IF(COUNT('Turns'!E5,'Turns'!E12,'Turns'!E13)=3,SUM('Turns'!E5,'Turns'!E12,'Turns'!E13),"Unknown")</f>
        <v>0.000176651792</v>
      </c>
      <c r="F17" s="2">
        <f>IF(COUNT('Turns'!F5,'Turns'!F12,'Turns'!F13)=3,SUM('Turns'!F5,'Turns'!F12,'Turns'!F13),"Unknown")</f>
        <v>0.0002008</v>
      </c>
      <c r="G17" s="5">
        <f>IF(ISNUMBER(E17),ROUND(E17*'Reference data'!$B$2,0),"Unknown")</f>
        <v>18.0</v>
      </c>
      <c r="H17" s="5">
        <f>IF(ISNUMBER(F17),ROUND(F17*'Reference data'!$B$2,0),"Unknown")</f>
        <v>20.0</v>
      </c>
      <c r="K17" s="4" t="s">
        <v>111</v>
      </c>
    </row>
    <row r="18" spans="1:13" s="4" customFormat="1" ht="24" customHeight="1">
      <c r="B18" s="4">
        <v>1</v>
      </c>
      <c r="C18" s="4" t="s">
        <v>112</v>
      </c>
      <c r="K18" s="4" t="s">
        <v>113</v>
      </c>
      <c r="M18" s="4" t="s">
        <v>114</v>
      </c>
    </row>
    <row r="19" spans="1:13" ht="24" customHeight="1">
      <c r="B19">
        <v>1</v>
      </c>
      <c r="C19" t="s">
        <v>115</v>
      </c>
      <c r="I19" s="6" t="s">
        <v>116</v>
      </c>
    </row>
    <row r="20" spans="1:13" ht="24" customHeight="1">
      <c r="B20">
        <v>1</v>
      </c>
      <c r="C20" t="s">
        <v>117</v>
      </c>
      <c r="I20" s="6" t="s">
        <v>118</v>
      </c>
    </row>
    <row r="21" spans="1:13" s="4" customFormat="1" ht="24" customHeight="1">
      <c r="A21" s="4" t="s">
        <v>119</v>
      </c>
      <c r="B21" s="4">
        <v>1</v>
      </c>
      <c r="C21" s="4" t="s">
        <v>94</v>
      </c>
      <c r="D21" s="4">
        <v>717</v>
      </c>
      <c r="J21" s="4" t="s">
        <v>95</v>
      </c>
      <c r="M21" s="4" t="s">
        <v>120</v>
      </c>
    </row>
    <row r="22" spans="1:13" ht="24" customHeight="1">
      <c r="A22" t="s">
        <v>119</v>
      </c>
      <c r="B22">
        <v>1</v>
      </c>
      <c r="C22" t="s">
        <v>121</v>
      </c>
      <c r="D22" s="5">
        <v>0</v>
      </c>
      <c r="E22" s="2">
        <f>IF(AND(ISNUMBER(F22),ISNUMBER('Reference data'!$B$3)),F22*'Reference data'!$B$3,"Unknown")</f>
        <v>0.0</v>
      </c>
      <c r="F22" s="2">
        <f>IF(D22=0,0,IF(ISNUMBER('Reference data'!C17),D22*'Reference data'!C17/1000000,"Unknown"))</f>
        <v>0.0</v>
      </c>
      <c r="G22" s="5">
        <f>IF(ISNUMBER(E22),ROUND(E22*'Reference data'!$B$2,0),"Unknown")</f>
        <v>0.0</v>
      </c>
      <c r="H22" s="5">
        <f>IF(ISNUMBER(F22),ROUND(F22*'Reference data'!$B$2,0),"Unknown")</f>
        <v>0.0</v>
      </c>
    </row>
    <row r="23" spans="1:13" ht="24" customHeight="1">
      <c r="A23" t="s">
        <v>119</v>
      </c>
      <c r="B23">
        <v>1</v>
      </c>
      <c r="C23" t="s">
        <v>97</v>
      </c>
      <c r="D23" s="5">
        <v>717</v>
      </c>
      <c r="E23" s="2">
        <f>IF(AND(ISNUMBER(F23),ISNUMBER('Reference data'!$B$3)),F23*'Reference data'!$B$3,"Unknown")</f>
        <v>0.000126154716</v>
      </c>
      <c r="F23" s="2">
        <f>IF(D23=0,0,IF(ISNUMBER('Reference data'!B17),D23*'Reference data'!B17/1000000,"Unknown"))</f>
        <v>0.0001434</v>
      </c>
      <c r="G23" s="5">
        <f>IF(ISNUMBER(E23),ROUND(E23*'Reference data'!$B$2,0),"Unknown")</f>
        <v>13.0</v>
      </c>
      <c r="H23" s="5">
        <f>IF(ISNUMBER(F23),ROUND(F23*'Reference data'!$B$2,0),"Unknown")</f>
        <v>14.0</v>
      </c>
    </row>
    <row r="24" spans="1:13" ht="24" customHeight="1">
      <c r="A24" t="s">
        <v>119</v>
      </c>
      <c r="B24">
        <v>1</v>
      </c>
      <c r="C24" t="s">
        <v>122</v>
      </c>
      <c r="I24" s="6" t="s">
        <v>118</v>
      </c>
    </row>
    <row r="25" spans="1:13" ht="24" customHeight="1">
      <c r="A25" t="s">
        <v>119</v>
      </c>
      <c r="B25">
        <v>1</v>
      </c>
      <c r="C25" t="s">
        <v>103</v>
      </c>
    </row>
    <row r="26" spans="1:13" ht="24" customHeight="1">
      <c r="A26" t="s">
        <v>119</v>
      </c>
      <c r="B26">
        <v>1</v>
      </c>
      <c r="C26" t="s">
        <v>104</v>
      </c>
    </row>
    <row r="27" spans="1:13" s="4" customFormat="1" ht="24" customHeight="1">
      <c r="A27" s="4" t="s">
        <v>119</v>
      </c>
      <c r="B27" s="4">
        <v>1</v>
      </c>
      <c r="C27" s="4" t="s">
        <v>105</v>
      </c>
      <c r="D27" s="4">
        <v>43</v>
      </c>
    </row>
    <row r="28" spans="1:13" ht="24" customHeight="1">
      <c r="A28" t="s">
        <v>119</v>
      </c>
      <c r="B28">
        <v>1</v>
      </c>
      <c r="C28" t="s">
        <v>106</v>
      </c>
      <c r="D28" s="5">
        <v>11</v>
      </c>
      <c r="E28" s="2">
        <f>IF(AND(ISNUMBER(F28),ISNUMBER('Reference data'!$B$3)),F28*'Reference data'!$B$3,"Unknown")</f>
        <v>1.1612568e-05</v>
      </c>
      <c r="F28" s="2">
        <f>IF(D28=0,0,IF(ISNUMBER('Reference data'!F17),D28*'Reference data'!F17/1000000,"Unknown"))</f>
        <v>1.32e-05</v>
      </c>
      <c r="G28" s="5">
        <f>IF(ISNUMBER(E28),ROUND(E28*'Reference data'!$B$2,0),"Unknown")</f>
        <v>1.0</v>
      </c>
      <c r="H28" s="5">
        <f>IF(ISNUMBER(F28),ROUND(F28*'Reference data'!$B$2,0),"Unknown")</f>
        <v>1.0</v>
      </c>
    </row>
    <row r="29" spans="1:13" ht="24" customHeight="1">
      <c r="A29" t="s">
        <v>119</v>
      </c>
      <c r="B29">
        <v>1</v>
      </c>
      <c r="C29" t="s">
        <v>107</v>
      </c>
      <c r="D29" s="5">
        <v>32</v>
      </c>
      <c r="E29" s="2">
        <f>IF(AND(ISNUMBER(F29),ISNUMBER('Reference data'!$B$3)),F29*'Reference data'!$B$3,"Unknown")</f>
        <v>3.3782016e-05</v>
      </c>
      <c r="F29" s="2">
        <f>IF(D29=0,0,IF(ISNUMBER('Reference data'!E17),D29*'Reference data'!E17/1000000,"Unknown"))</f>
        <v>3.84e-05</v>
      </c>
      <c r="G29" s="5">
        <f>IF(ISNUMBER(E29),ROUND(E29*'Reference data'!$B$2,0),"Unknown")</f>
        <v>3.0</v>
      </c>
      <c r="H29" s="5">
        <f>IF(ISNUMBER(F29),ROUND(F29*'Reference data'!$B$2,0),"Unknown")</f>
        <v>4.0</v>
      </c>
    </row>
    <row r="30" spans="1:13" ht="281" customHeight="1">
      <c r="A30" t="s">
        <v>119</v>
      </c>
      <c r="B30">
        <v>1</v>
      </c>
      <c r="C30" t="s">
        <v>108</v>
      </c>
      <c r="I30" s="6" t="s">
        <v>123</v>
      </c>
    </row>
    <row r="31" spans="1:13" ht="24" customHeight="1">
      <c r="A31" t="s">
        <v>119</v>
      </c>
      <c r="B31">
        <v>1</v>
      </c>
      <c r="C31" t="s">
        <v>103</v>
      </c>
    </row>
    <row r="32" spans="1:13" ht="24" customHeight="1">
      <c r="A32" t="s">
        <v>119</v>
      </c>
      <c r="B32">
        <v>1</v>
      </c>
      <c r="C32" t="s">
        <v>104</v>
      </c>
    </row>
    <row r="33" spans="1:13" s="4" customFormat="1" ht="24" customHeight="1">
      <c r="A33" s="4" t="s">
        <v>119</v>
      </c>
      <c r="B33" s="4">
        <v>1</v>
      </c>
      <c r="C33" s="4" t="s">
        <v>110</v>
      </c>
      <c r="E33" s="2">
        <f>IF(COUNT('Turns'!E22,'Turns'!E23,'Turns'!E28,'Turns'!E29)=4,SUM('Turns'!E22,'Turns'!E23,'Turns'!E28,'Turns'!E29),"Unknown")</f>
        <v>0.0001715493</v>
      </c>
      <c r="F33" s="2">
        <f>IF(COUNT('Turns'!F22,'Turns'!F23,'Turns'!F28,'Turns'!F29)=4,SUM('Turns'!F22,'Turns'!F23,'Turns'!F28,'Turns'!F29),"Unknown")</f>
        <v>0.000195</v>
      </c>
      <c r="G33" s="5">
        <f>IF(ISNUMBER(E33),ROUND(E33*'Reference data'!$B$2,0),"Unknown")</f>
        <v>17.0</v>
      </c>
      <c r="H33" s="5">
        <f>IF(ISNUMBER(F33),ROUND(F33*'Reference data'!$B$2,0),"Unknown")</f>
        <v>20.0</v>
      </c>
      <c r="K33" s="4" t="s">
        <v>111</v>
      </c>
    </row>
    <row r="34" spans="1:13" s="4" customFormat="1" ht="24" customHeight="1">
      <c r="B34" s="4">
        <v>1</v>
      </c>
      <c r="C34" s="4" t="s">
        <v>112</v>
      </c>
      <c r="K34" s="4" t="s">
        <v>113</v>
      </c>
      <c r="M34" s="4" t="s">
        <v>124</v>
      </c>
    </row>
    <row r="35" spans="1:13" ht="24" customHeight="1">
      <c r="B35">
        <v>1</v>
      </c>
      <c r="C35" t="s">
        <v>115</v>
      </c>
      <c r="I35" s="6" t="s">
        <v>116</v>
      </c>
    </row>
    <row r="36" spans="1:13" ht="24" customHeight="1">
      <c r="B36">
        <v>1</v>
      </c>
      <c r="C36" t="s">
        <v>117</v>
      </c>
      <c r="I36" s="6" t="s">
        <v>118</v>
      </c>
    </row>
    <row r="37" spans="1:13" s="4" customFormat="1" ht="24" customHeight="1">
      <c r="A37" s="4" t="s">
        <v>125</v>
      </c>
      <c r="B37" s="4">
        <v>1</v>
      </c>
      <c r="C37" s="4" t="s">
        <v>94</v>
      </c>
      <c r="D37" s="4">
        <v>788</v>
      </c>
      <c r="J37" s="4" t="s">
        <v>95</v>
      </c>
      <c r="M37" s="4" t="s">
        <v>126</v>
      </c>
    </row>
    <row r="38" spans="1:13" ht="24" customHeight="1">
      <c r="A38" t="s">
        <v>125</v>
      </c>
      <c r="B38">
        <v>1</v>
      </c>
      <c r="C38" t="s">
        <v>121</v>
      </c>
      <c r="D38" s="5">
        <v>0</v>
      </c>
      <c r="E38" s="2">
        <f>IF(AND(ISNUMBER(F38),ISNUMBER('Reference data'!$B$3)),F38*'Reference data'!$B$3,"Unknown")</f>
        <v>0.0</v>
      </c>
      <c r="F38" s="2">
        <f>IF(D38=0,0,IF(ISNUMBER('Reference data'!C17),D38*'Reference data'!C17/1000000,"Unknown"))</f>
        <v>0.0</v>
      </c>
      <c r="G38" s="5">
        <f>IF(ISNUMBER(E38),ROUND(E38*'Reference data'!$B$2,0),"Unknown")</f>
        <v>0.0</v>
      </c>
      <c r="H38" s="5">
        <f>IF(ISNUMBER(F38),ROUND(F38*'Reference data'!$B$2,0),"Unknown")</f>
        <v>0.0</v>
      </c>
    </row>
    <row r="39" spans="1:13" ht="24" customHeight="1">
      <c r="A39" t="s">
        <v>125</v>
      </c>
      <c r="B39">
        <v>1</v>
      </c>
      <c r="C39" t="s">
        <v>97</v>
      </c>
      <c r="D39" s="5">
        <v>788</v>
      </c>
      <c r="E39" s="2">
        <f>IF(AND(ISNUMBER(F39),ISNUMBER('Reference data'!$B$3)),F39*'Reference data'!$B$3,"Unknown")</f>
        <v>0.000138647024</v>
      </c>
      <c r="F39" s="2">
        <f>IF(D39=0,0,IF(ISNUMBER('Reference data'!B17),D39*'Reference data'!B17/1000000,"Unknown"))</f>
        <v>0.0001576</v>
      </c>
      <c r="G39" s="5">
        <f>IF(ISNUMBER(E39),ROUND(E39*'Reference data'!$B$2,0),"Unknown")</f>
        <v>14.0</v>
      </c>
      <c r="H39" s="5">
        <f>IF(ISNUMBER(F39),ROUND(F39*'Reference data'!$B$2,0),"Unknown")</f>
        <v>16.0</v>
      </c>
    </row>
    <row r="40" spans="1:13" ht="24" customHeight="1">
      <c r="A40" t="s">
        <v>125</v>
      </c>
      <c r="B40">
        <v>1</v>
      </c>
      <c r="C40" t="s">
        <v>122</v>
      </c>
      <c r="I40" s="6" t="s">
        <v>118</v>
      </c>
    </row>
    <row r="41" spans="1:13" ht="24" customHeight="1">
      <c r="A41" t="s">
        <v>125</v>
      </c>
      <c r="B41">
        <v>1</v>
      </c>
      <c r="C41" t="s">
        <v>103</v>
      </c>
    </row>
    <row r="42" spans="1:13" ht="24" customHeight="1">
      <c r="A42" t="s">
        <v>125</v>
      </c>
      <c r="B42">
        <v>1</v>
      </c>
      <c r="C42" t="s">
        <v>104</v>
      </c>
    </row>
    <row r="43" spans="1:13" s="4" customFormat="1" ht="24" customHeight="1">
      <c r="A43" s="4" t="s">
        <v>125</v>
      </c>
      <c r="B43" s="4">
        <v>1</v>
      </c>
      <c r="C43" s="4" t="s">
        <v>105</v>
      </c>
      <c r="D43" s="4">
        <v>60</v>
      </c>
    </row>
    <row r="44" spans="1:13" ht="24" customHeight="1">
      <c r="A44" t="s">
        <v>125</v>
      </c>
      <c r="B44">
        <v>1</v>
      </c>
      <c r="C44" t="s">
        <v>106</v>
      </c>
      <c r="D44" s="5">
        <v>28</v>
      </c>
      <c r="E44" s="2">
        <f>IF(AND(ISNUMBER(F44),ISNUMBER('Reference data'!$B$3)),F44*'Reference data'!$B$3,"Unknown")</f>
        <v>2.9559264e-05</v>
      </c>
      <c r="F44" s="2">
        <f>IF(D44=0,0,IF(ISNUMBER('Reference data'!F17),D44*'Reference data'!F17/1000000,"Unknown"))</f>
        <v>3.36e-05</v>
      </c>
      <c r="G44" s="5">
        <f>IF(ISNUMBER(E44),ROUND(E44*'Reference data'!$B$2,0),"Unknown")</f>
        <v>3.0</v>
      </c>
      <c r="H44" s="5">
        <f>IF(ISNUMBER(F44),ROUND(F44*'Reference data'!$B$2,0),"Unknown")</f>
        <v>3.0</v>
      </c>
    </row>
    <row r="45" spans="1:13" ht="24" customHeight="1">
      <c r="A45" t="s">
        <v>125</v>
      </c>
      <c r="B45">
        <v>1</v>
      </c>
      <c r="C45" t="s">
        <v>107</v>
      </c>
      <c r="D45" s="5">
        <v>32</v>
      </c>
      <c r="E45" s="2">
        <f>IF(AND(ISNUMBER(F45),ISNUMBER('Reference data'!$B$3)),F45*'Reference data'!$B$3,"Unknown")</f>
        <v>3.3782016e-05</v>
      </c>
      <c r="F45" s="2">
        <f>IF(D45=0,0,IF(ISNUMBER('Reference data'!E17),D45*'Reference data'!E17/1000000,"Unknown"))</f>
        <v>3.84e-05</v>
      </c>
      <c r="G45" s="5">
        <f>IF(ISNUMBER(E45),ROUND(E45*'Reference data'!$B$2,0),"Unknown")</f>
        <v>3.0</v>
      </c>
      <c r="H45" s="5">
        <f>IF(ISNUMBER(F45),ROUND(F45*'Reference data'!$B$2,0),"Unknown")</f>
        <v>4.0</v>
      </c>
    </row>
    <row r="46" spans="1:13" ht="307" customHeight="1">
      <c r="A46" t="s">
        <v>125</v>
      </c>
      <c r="B46">
        <v>1</v>
      </c>
      <c r="C46" t="s">
        <v>108</v>
      </c>
      <c r="I46" s="6" t="s">
        <v>127</v>
      </c>
    </row>
    <row r="47" spans="1:13" ht="24" customHeight="1">
      <c r="A47" t="s">
        <v>125</v>
      </c>
      <c r="B47">
        <v>1</v>
      </c>
      <c r="C47" t="s">
        <v>103</v>
      </c>
    </row>
    <row r="48" spans="1:13" ht="24" customHeight="1">
      <c r="A48" t="s">
        <v>125</v>
      </c>
      <c r="B48">
        <v>1</v>
      </c>
      <c r="C48" t="s">
        <v>104</v>
      </c>
    </row>
    <row r="49" spans="1:13" s="4" customFormat="1" ht="24" customHeight="1">
      <c r="A49" s="4" t="s">
        <v>125</v>
      </c>
      <c r="B49" s="4">
        <v>1</v>
      </c>
      <c r="C49" s="4" t="s">
        <v>110</v>
      </c>
      <c r="E49" s="2">
        <f>IF(COUNT('Turns'!E38,'Turns'!E39,'Turns'!E44,'Turns'!E45)=4,SUM('Turns'!E38,'Turns'!E39,'Turns'!E44,'Turns'!E45),"Unknown")</f>
        <v>0.000201988304</v>
      </c>
      <c r="F49" s="2">
        <f>IF(COUNT('Turns'!F38,'Turns'!F39,'Turns'!F44,'Turns'!F45)=4,SUM('Turns'!F38,'Turns'!F39,'Turns'!F44,'Turns'!F45),"Unknown")</f>
        <v>0.0002296</v>
      </c>
      <c r="G49" s="5">
        <f>IF(ISNUMBER(E49),ROUND(E49*'Reference data'!$B$2,0),"Unknown")</f>
        <v>20.0</v>
      </c>
      <c r="H49" s="5">
        <f>IF(ISNUMBER(F49),ROUND(F49*'Reference data'!$B$2,0),"Unknown")</f>
        <v>23.0</v>
      </c>
      <c r="K49" s="4" t="s">
        <v>111</v>
      </c>
    </row>
    <row r="50" spans="1:13" s="4" customFormat="1" ht="24" customHeight="1">
      <c r="B50" s="4">
        <v>1</v>
      </c>
      <c r="C50" s="4" t="s">
        <v>112</v>
      </c>
      <c r="K50" s="4" t="s">
        <v>113</v>
      </c>
      <c r="M50" s="4" t="s">
        <v>128</v>
      </c>
    </row>
    <row r="51" spans="1:13" ht="24" customHeight="1">
      <c r="B51">
        <v>1</v>
      </c>
      <c r="C51" t="s">
        <v>115</v>
      </c>
      <c r="I51" s="6" t="s">
        <v>116</v>
      </c>
    </row>
    <row r="52" spans="1:13" ht="24" customHeight="1">
      <c r="B52">
        <v>1</v>
      </c>
      <c r="C52" t="s">
        <v>117</v>
      </c>
      <c r="I52" s="6" t="s">
        <v>118</v>
      </c>
    </row>
    <row r="53" spans="1:13" s="4" customFormat="1" ht="24" customHeight="1">
      <c r="A53" s="4" t="s">
        <v>129</v>
      </c>
      <c r="B53" s="4">
        <v>1</v>
      </c>
      <c r="C53" s="4" t="s">
        <v>94</v>
      </c>
      <c r="D53" s="4">
        <v>876</v>
      </c>
      <c r="J53" s="4" t="s">
        <v>95</v>
      </c>
      <c r="M53" s="4" t="s">
        <v>130</v>
      </c>
    </row>
    <row r="54" spans="1:13" ht="24" customHeight="1">
      <c r="A54" t="s">
        <v>129</v>
      </c>
      <c r="B54">
        <v>1</v>
      </c>
      <c r="C54" t="s">
        <v>121</v>
      </c>
      <c r="D54" s="5">
        <v>0</v>
      </c>
      <c r="E54" s="2">
        <f>IF(AND(ISNUMBER(F54),ISNUMBER('Reference data'!$B$3)),F54*'Reference data'!$B$3,"Unknown")</f>
        <v>0.0</v>
      </c>
      <c r="F54" s="2">
        <f>IF(D54=0,0,IF(ISNUMBER('Reference data'!C17),D54*'Reference data'!C17/1000000,"Unknown"))</f>
        <v>0.0</v>
      </c>
      <c r="G54" s="5">
        <f>IF(ISNUMBER(E54),ROUND(E54*'Reference data'!$B$2,0),"Unknown")</f>
        <v>0.0</v>
      </c>
      <c r="H54" s="5">
        <f>IF(ISNUMBER(F54),ROUND(F54*'Reference data'!$B$2,0),"Unknown")</f>
        <v>0.0</v>
      </c>
    </row>
    <row r="55" spans="1:13" ht="24" customHeight="1">
      <c r="A55" t="s">
        <v>129</v>
      </c>
      <c r="B55">
        <v>1</v>
      </c>
      <c r="C55" t="s">
        <v>97</v>
      </c>
      <c r="D55" s="5">
        <v>876</v>
      </c>
      <c r="E55" s="2">
        <f>IF(AND(ISNUMBER(F55),ISNUMBER('Reference data'!$B$3)),F55*'Reference data'!$B$3,"Unknown")</f>
        <v>0.000154130448</v>
      </c>
      <c r="F55" s="2">
        <f>IF(D55=0,0,IF(ISNUMBER('Reference data'!B17),D55*'Reference data'!B17/1000000,"Unknown"))</f>
        <v>0.0001752</v>
      </c>
      <c r="G55" s="5">
        <f>IF(ISNUMBER(E55),ROUND(E55*'Reference data'!$B$2,0),"Unknown")</f>
        <v>15.0</v>
      </c>
      <c r="H55" s="5">
        <f>IF(ISNUMBER(F55),ROUND(F55*'Reference data'!$B$2,0),"Unknown")</f>
        <v>18.0</v>
      </c>
    </row>
    <row r="56" spans="1:13" ht="24" customHeight="1">
      <c r="A56" t="s">
        <v>129</v>
      </c>
      <c r="B56">
        <v>1</v>
      </c>
      <c r="C56" t="s">
        <v>122</v>
      </c>
      <c r="I56" s="6" t="s">
        <v>118</v>
      </c>
    </row>
    <row r="57" spans="1:13" ht="24" customHeight="1">
      <c r="A57" t="s">
        <v>129</v>
      </c>
      <c r="B57">
        <v>1</v>
      </c>
      <c r="C57" t="s">
        <v>103</v>
      </c>
    </row>
    <row r="58" spans="1:13" ht="24" customHeight="1">
      <c r="A58" t="s">
        <v>129</v>
      </c>
      <c r="B58">
        <v>1</v>
      </c>
      <c r="C58" t="s">
        <v>104</v>
      </c>
    </row>
    <row r="59" spans="1:13" s="4" customFormat="1" ht="24" customHeight="1">
      <c r="A59" s="4" t="s">
        <v>129</v>
      </c>
      <c r="B59" s="4">
        <v>1</v>
      </c>
      <c r="C59" s="4" t="s">
        <v>105</v>
      </c>
      <c r="D59" s="4">
        <v>85</v>
      </c>
    </row>
    <row r="60" spans="1:13" ht="24" customHeight="1">
      <c r="A60" t="s">
        <v>129</v>
      </c>
      <c r="B60">
        <v>1</v>
      </c>
      <c r="C60" t="s">
        <v>106</v>
      </c>
      <c r="D60" s="5">
        <v>53</v>
      </c>
      <c r="E60" s="2">
        <f>IF(AND(ISNUMBER(F60),ISNUMBER('Reference data'!$B$3)),F60*'Reference data'!$B$3,"Unknown")</f>
        <v>5.5951464e-05</v>
      </c>
      <c r="F60" s="2">
        <f>IF(D60=0,0,IF(ISNUMBER('Reference data'!F17),D60*'Reference data'!F17/1000000,"Unknown"))</f>
        <v>6.36e-05</v>
      </c>
      <c r="G60" s="5">
        <f>IF(ISNUMBER(E60),ROUND(E60*'Reference data'!$B$2,0),"Unknown")</f>
        <v>6.0</v>
      </c>
      <c r="H60" s="5">
        <f>IF(ISNUMBER(F60),ROUND(F60*'Reference data'!$B$2,0),"Unknown")</f>
        <v>6.0</v>
      </c>
    </row>
    <row r="61" spans="1:13" ht="24" customHeight="1">
      <c r="A61" t="s">
        <v>129</v>
      </c>
      <c r="B61">
        <v>1</v>
      </c>
      <c r="C61" t="s">
        <v>107</v>
      </c>
      <c r="D61" s="5">
        <v>32</v>
      </c>
      <c r="E61" s="2">
        <f>IF(AND(ISNUMBER(F61),ISNUMBER('Reference data'!$B$3)),F61*'Reference data'!$B$3,"Unknown")</f>
        <v>3.3782016e-05</v>
      </c>
      <c r="F61" s="2">
        <f>IF(D61=0,0,IF(ISNUMBER('Reference data'!E17),D61*'Reference data'!E17/1000000,"Unknown"))</f>
        <v>3.84e-05</v>
      </c>
      <c r="G61" s="5">
        <f>IF(ISNUMBER(E61),ROUND(E61*'Reference data'!$B$2,0),"Unknown")</f>
        <v>3.0</v>
      </c>
      <c r="H61" s="5">
        <f>IF(ISNUMBER(F61),ROUND(F61*'Reference data'!$B$2,0),"Unknown")</f>
        <v>4.0</v>
      </c>
    </row>
    <row r="62" spans="1:13" ht="333" customHeight="1">
      <c r="A62" t="s">
        <v>129</v>
      </c>
      <c r="B62">
        <v>1</v>
      </c>
      <c r="C62" t="s">
        <v>108</v>
      </c>
      <c r="I62" s="6" t="s">
        <v>131</v>
      </c>
    </row>
    <row r="63" spans="1:13" ht="24" customHeight="1">
      <c r="A63" t="s">
        <v>129</v>
      </c>
      <c r="B63">
        <v>1</v>
      </c>
      <c r="C63" t="s">
        <v>103</v>
      </c>
    </row>
    <row r="64" spans="1:13" ht="24" customHeight="1">
      <c r="A64" t="s">
        <v>129</v>
      </c>
      <c r="B64">
        <v>1</v>
      </c>
      <c r="C64" t="s">
        <v>104</v>
      </c>
    </row>
    <row r="65" spans="1:11" s="4" customFormat="1" ht="24" customHeight="1">
      <c r="A65" s="4" t="s">
        <v>129</v>
      </c>
      <c r="B65" s="4">
        <v>1</v>
      </c>
      <c r="C65" s="4" t="s">
        <v>110</v>
      </c>
      <c r="E65" s="2">
        <f>IF(COUNT('Turns'!E54,'Turns'!E55,'Turns'!E60,'Turns'!E61)=4,SUM('Turns'!E54,'Turns'!E55,'Turns'!E60,'Turns'!E61),"Unknown")</f>
        <v>0.000243863928</v>
      </c>
      <c r="F65" s="2">
        <f>IF(COUNT('Turns'!F54,'Turns'!F55,'Turns'!F60,'Turns'!F61)=4,SUM('Turns'!F54,'Turns'!F55,'Turns'!F60,'Turns'!F61),"Unknown")</f>
        <v>0.0002772</v>
      </c>
      <c r="G65" s="5">
        <f>IF(ISNUMBER(E65),ROUND(E65*'Reference data'!$B$2,0),"Unknown")</f>
        <v>24.0</v>
      </c>
      <c r="H65" s="5">
        <f>IF(ISNUMBER(F65),ROUND(F65*'Reference data'!$B$2,0),"Unknown")</f>
        <v>28.0</v>
      </c>
      <c r="K65" s="4" t="s">
        <v>111</v>
      </c>
    </row>
  </sheetData>
  <conditionalFormatting sqref="A2:AE65">
    <cfRule type="expression" dxfId="0" priority="1">
      <formula>$K2="error"</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73B70"/>
  </sheetPr>
  <dimension ref="A1:AE28"/>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48.7109375" customWidth="1"/>
    <col min="2" max="6" width="18.7109375" style="1" customWidth="1"/>
    <col min="7" max="7" width="62.7109375" customWidth="1"/>
    <col min="8" max="9" width="38.7109375" customWidth="1"/>
    <col min="10" max="31" width="18.7109375" style="1" customWidth="1"/>
  </cols>
  <sheetData>
    <row r="1" spans="1:31" ht="44" customHeight="1">
      <c r="A1" s="3" t="s">
        <v>13</v>
      </c>
      <c r="B1" s="3" t="s">
        <v>14</v>
      </c>
      <c r="C1" s="3" t="s">
        <v>15</v>
      </c>
      <c r="D1" s="3" t="s">
        <v>9</v>
      </c>
      <c r="E1" s="3" t="s">
        <v>10</v>
      </c>
      <c r="F1" s="3" t="s">
        <v>16</v>
      </c>
      <c r="G1" s="3" t="s">
        <v>17</v>
      </c>
      <c r="H1" s="3" t="s">
        <v>12</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3" t="s">
        <v>34</v>
      </c>
      <c r="Z1" s="3" t="s">
        <v>35</v>
      </c>
      <c r="AA1" s="3" t="s">
        <v>6</v>
      </c>
      <c r="AB1" s="3" t="s">
        <v>7</v>
      </c>
      <c r="AC1" s="3" t="s">
        <v>0</v>
      </c>
      <c r="AD1" s="3" t="s">
        <v>36</v>
      </c>
      <c r="AE1" s="3" t="s">
        <v>37</v>
      </c>
    </row>
    <row r="2" spans="1:31" ht="54" customHeight="1">
      <c r="A2" s="6" t="s">
        <v>132</v>
      </c>
      <c r="B2" s="1">
        <v>0</v>
      </c>
      <c r="C2" s="1" t="s">
        <v>133</v>
      </c>
      <c r="D2" s="1" t="s">
        <v>47</v>
      </c>
      <c r="E2" s="1" t="s">
        <v>111</v>
      </c>
      <c r="G2" s="6" t="s">
        <v>134</v>
      </c>
      <c r="H2" t="s">
        <v>49</v>
      </c>
      <c r="J2" s="2">
        <f>IF(COUNT('Turns'!D5,'Turns'!D23,'Turns'!D39,'Turns'!D55)=4,SUM('Turns'!D5,'Turns'!D23,'Turns'!D39,'Turns'!D55),"Unknown")</f>
        <v>3007.0</v>
      </c>
      <c r="K2" s="2">
        <f>IF(COUNT('Turns'!E5,'Turns'!E23,'Turns'!E39,'Turns'!E55)=4,SUM('Turns'!E5,'Turns'!E23,'Turns'!E39,'Turns'!E55),"Unknown")</f>
        <v>0.000529075636</v>
      </c>
      <c r="L2" s="2">
        <f>IF(COUNT('Turns'!F5,'Turns'!F23,'Turns'!F39,'Turns'!F55)=4,SUM('Turns'!F5,'Turns'!F23,'Turns'!F39,'Turns'!F55),"Unknown")</f>
        <v>0.0006014</v>
      </c>
      <c r="M2" s="2">
        <f>IF(COUNT('Turns'!D22,'Turns'!D38,'Turns'!D54)=3,SUM('Turns'!D22,'Turns'!D38,'Turns'!D54),"Unknown")</f>
        <v>0.0</v>
      </c>
      <c r="N2" s="2">
        <f>IF(COUNT('Turns'!E22,'Turns'!E38,'Turns'!E54)=3,SUM('Turns'!E22,'Turns'!E38,'Turns'!E54),"Unknown")</f>
        <v>0.0</v>
      </c>
      <c r="O2" s="2">
        <f>IF(COUNT('Turns'!F22,'Turns'!F38,'Turns'!F54)=3,SUM('Turns'!F22,'Turns'!F38,'Turns'!F54),"Unknown")</f>
        <v>0.0</v>
      </c>
      <c r="P2" s="2">
        <v>0</v>
      </c>
      <c r="Q2" s="2">
        <v>0</v>
      </c>
      <c r="R2" s="2">
        <v>0</v>
      </c>
      <c r="S2" s="2">
        <f>IF(COUNT('Turns'!D13,'Turns'!D29,'Turns'!D45,'Turns'!D61)=4,SUM('Turns'!D13,'Turns'!D29,'Turns'!D45,'Turns'!D61),"Unknown")</f>
        <v>128.0</v>
      </c>
      <c r="T2" s="2">
        <f>IF(COUNT('Turns'!E13,'Turns'!E29,'Turns'!E45,'Turns'!E61)=4,SUM('Turns'!E13,'Turns'!E29,'Turns'!E45,'Turns'!E61),"Unknown")</f>
        <v>0.000135128064</v>
      </c>
      <c r="U2" s="2">
        <f>IF(COUNT('Turns'!F13,'Turns'!F29,'Turns'!F45,'Turns'!F61)=4,SUM('Turns'!F13,'Turns'!F29,'Turns'!F45,'Turns'!F61),"Unknown")</f>
        <v>0.0001536</v>
      </c>
      <c r="V2" s="2">
        <f>IF(COUNT('Turns'!D12,'Turns'!D28,'Turns'!D44,'Turns'!D60)=4,SUM('Turns'!D12,'Turns'!D28,'Turns'!D44,'Turns'!D60),"Unknown")</f>
        <v>123.0</v>
      </c>
      <c r="W2" s="2">
        <f>IF(COUNT('Turns'!E12,'Turns'!E28,'Turns'!E44,'Turns'!E60)=4,SUM('Turns'!E12,'Turns'!E28,'Turns'!E44,'Turns'!E60),"Unknown")</f>
        <v>0.000129849624</v>
      </c>
      <c r="X2" s="2">
        <f>IF(COUNT('Turns'!F12,'Turns'!F28,'Turns'!F44,'Turns'!F60)=4,SUM('Turns'!F12,'Turns'!F28,'Turns'!F44,'Turns'!F60),"Unknown")</f>
        <v>0.0001476</v>
      </c>
      <c r="Y2" s="2">
        <f>IF(COUNT('Turns'!E17,'Turns'!E33,'Turns'!E49,'Turns'!E65)=4,SUM('Turns'!E17,'Turns'!E33,'Turns'!E49,'Turns'!E65),"Unknown")</f>
        <v>0.000794053324</v>
      </c>
      <c r="Z2" s="2">
        <f>IF(COUNT('Turns'!F17,'Turns'!F33,'Turns'!F49,'Turns'!F65)=4,SUM('Turns'!F17,'Turns'!F33,'Turns'!F49,'Turns'!F65),"Unknown")</f>
        <v>0.0009026</v>
      </c>
      <c r="AA2" s="5">
        <f>IF(ISNUMBER(Y2),ROUND(Y2*'Reference data'!$B$2,0),"Unknown")</f>
        <v>79.0</v>
      </c>
      <c r="AB2" s="5">
        <f>IF(ISNUMBER(Z2),ROUND(Z2*'Reference data'!$B$2,0),"Unknown")</f>
        <v>90.0</v>
      </c>
      <c r="AD2" s="1">
        <v>8731.172</v>
      </c>
      <c r="AE2" s="1" t="s">
        <v>135</v>
      </c>
    </row>
    <row r="3" spans="1:31" ht="54" customHeight="1">
      <c r="A3" s="6" t="s">
        <v>136</v>
      </c>
      <c r="B3" s="1">
        <v>1</v>
      </c>
      <c r="C3" s="1" t="s">
        <v>133</v>
      </c>
      <c r="D3" s="1" t="s">
        <v>47</v>
      </c>
      <c r="E3" s="1" t="s">
        <v>111</v>
      </c>
      <c r="G3" s="6" t="s">
        <v>137</v>
      </c>
      <c r="H3" t="s">
        <v>138</v>
      </c>
      <c r="I3" t="s">
        <v>49</v>
      </c>
      <c r="AD3" s="1">
        <v>0.967</v>
      </c>
      <c r="AE3" s="1" t="s">
        <v>139</v>
      </c>
    </row>
    <row r="4" spans="1:31" ht="54" customHeight="1">
      <c r="A4" s="6" t="s">
        <v>140</v>
      </c>
      <c r="B4" s="1">
        <v>1</v>
      </c>
      <c r="C4" s="1" t="s">
        <v>133</v>
      </c>
      <c r="D4" s="1" t="s">
        <v>47</v>
      </c>
      <c r="E4" s="1" t="s">
        <v>111</v>
      </c>
      <c r="G4" s="6" t="s">
        <v>141</v>
      </c>
      <c r="H4" t="s">
        <v>142</v>
      </c>
      <c r="I4" t="s">
        <v>49</v>
      </c>
      <c r="J4" s="2">
        <f>IF(COUNT('Turns'!D5)=1,SUM('Turns'!D5),"Unknown")</f>
        <v>626.0</v>
      </c>
      <c r="K4" s="2">
        <f>IF(COUNT('Turns'!E5)=1,SUM('Turns'!E5),"Unknown")</f>
        <v>0.000110143448</v>
      </c>
      <c r="L4" s="2">
        <f>IF(COUNT('Turns'!F5)=1,SUM('Turns'!F5),"Unknown")</f>
        <v>0.0001252</v>
      </c>
      <c r="M4" s="2">
        <v>0</v>
      </c>
      <c r="N4" s="2">
        <v>0</v>
      </c>
      <c r="O4" s="2">
        <v>0</v>
      </c>
      <c r="P4" s="2">
        <v>0</v>
      </c>
      <c r="Q4" s="2">
        <v>0</v>
      </c>
      <c r="R4" s="2">
        <v>0</v>
      </c>
      <c r="S4" s="2">
        <f>IF(COUNT('Turns'!D13)=1,SUM('Turns'!D13),"Unknown")</f>
        <v>32.0</v>
      </c>
      <c r="T4" s="2">
        <f>IF(COUNT('Turns'!E13)=1,SUM('Turns'!E13),"Unknown")</f>
        <v>3.3782016e-05</v>
      </c>
      <c r="U4" s="2">
        <f>IF(COUNT('Turns'!F13)=1,SUM('Turns'!F13),"Unknown")</f>
        <v>3.84e-05</v>
      </c>
      <c r="V4" s="2">
        <f>IF(COUNT('Turns'!D12)=1,SUM('Turns'!D12),"Unknown")</f>
        <v>31.0</v>
      </c>
      <c r="W4" s="2">
        <f>IF(COUNT('Turns'!E12)=1,SUM('Turns'!E12),"Unknown")</f>
        <v>3.2726328e-05</v>
      </c>
      <c r="X4" s="2">
        <f>IF(COUNT('Turns'!F12)=1,SUM('Turns'!F12),"Unknown")</f>
        <v>3.72e-05</v>
      </c>
      <c r="Y4" s="2">
        <f>IF(COUNT('Turns'!E17)=1,SUM('Turns'!E17),"Unknown")</f>
        <v>0.000176651792</v>
      </c>
      <c r="Z4" s="2">
        <f>IF(COUNT('Turns'!F17)=1,SUM('Turns'!F17),"Unknown")</f>
        <v>0.0002008</v>
      </c>
      <c r="AA4" s="5">
        <f>IF(ISNUMBER(Y4),ROUND(Y4*'Reference data'!$B$2,0),"Unknown")</f>
        <v>18.0</v>
      </c>
      <c r="AB4" s="5">
        <f>IF(ISNUMBER(Z4),ROUND(Z4*'Reference data'!$B$2,0),"Unknown")</f>
        <v>20.0</v>
      </c>
      <c r="AD4" s="1">
        <v>3330.326</v>
      </c>
      <c r="AE4" s="1" t="s">
        <v>135</v>
      </c>
    </row>
    <row r="5" spans="1:31" ht="54" customHeight="1">
      <c r="A5" s="6" t="s">
        <v>143</v>
      </c>
      <c r="B5" s="1">
        <v>2</v>
      </c>
      <c r="C5" s="1" t="s">
        <v>144</v>
      </c>
      <c r="D5" s="1" t="s">
        <v>95</v>
      </c>
      <c r="E5" s="1" t="s">
        <v>111</v>
      </c>
      <c r="F5" s="1">
        <v>626</v>
      </c>
      <c r="G5" s="6" t="s">
        <v>145</v>
      </c>
      <c r="H5" t="s">
        <v>96</v>
      </c>
      <c r="I5" t="s">
        <v>142</v>
      </c>
      <c r="J5" s="2">
        <f>IF(COUNT('Turns'!D5)=1,SUM('Turns'!D5),"Unknown")</f>
        <v>626.0</v>
      </c>
      <c r="K5" s="2">
        <f>IF(COUNT('Turns'!E5)=1,SUM('Turns'!E5),"Unknown")</f>
        <v>0.000110143448</v>
      </c>
      <c r="L5" s="2">
        <f>IF(COUNT('Turns'!F5)=1,SUM('Turns'!F5),"Unknown")</f>
        <v>0.0001252</v>
      </c>
      <c r="M5" s="2">
        <v>0</v>
      </c>
      <c r="N5" s="2">
        <v>0</v>
      </c>
      <c r="O5" s="2">
        <v>0</v>
      </c>
      <c r="P5" s="2">
        <v>0</v>
      </c>
      <c r="Q5" s="2">
        <v>0</v>
      </c>
      <c r="R5" s="2">
        <v>0</v>
      </c>
      <c r="S5" s="2">
        <f>IF(COUNT('Turns'!D13)=1,SUM('Turns'!D13),"Unknown")</f>
        <v>32.0</v>
      </c>
      <c r="T5" s="2">
        <f>IF(COUNT('Turns'!E13)=1,SUM('Turns'!E13),"Unknown")</f>
        <v>3.3782016e-05</v>
      </c>
      <c r="U5" s="2">
        <f>IF(COUNT('Turns'!F13)=1,SUM('Turns'!F13),"Unknown")</f>
        <v>3.84e-05</v>
      </c>
      <c r="V5" s="2">
        <f>IF(COUNT('Turns'!D12)=1,SUM('Turns'!D12),"Unknown")</f>
        <v>31.0</v>
      </c>
      <c r="W5" s="2">
        <f>IF(COUNT('Turns'!E12)=1,SUM('Turns'!E12),"Unknown")</f>
        <v>3.2726328e-05</v>
      </c>
      <c r="X5" s="2">
        <f>IF(COUNT('Turns'!F12)=1,SUM('Turns'!F12),"Unknown")</f>
        <v>3.72e-05</v>
      </c>
      <c r="Y5" s="2">
        <f>IF(COUNT('Turns'!E17)=1,SUM('Turns'!E17),"Unknown")</f>
        <v>0.000176651792</v>
      </c>
      <c r="Z5" s="2">
        <f>IF(COUNT('Turns'!F17)=1,SUM('Turns'!F17),"Unknown")</f>
        <v>0.0002008</v>
      </c>
      <c r="AA5" s="5">
        <f>IF(ISNUMBER(Y5),ROUND(Y5*'Reference data'!$B$2,0),"Unknown")</f>
        <v>18.0</v>
      </c>
      <c r="AB5" s="5">
        <f>IF(ISNUMBER(Z5),ROUND(Z5*'Reference data'!$B$2,0),"Unknown")</f>
        <v>20.0</v>
      </c>
      <c r="AC5" s="1" t="s">
        <v>93</v>
      </c>
      <c r="AD5" s="1">
        <v>3326.678</v>
      </c>
      <c r="AE5" s="1" t="s">
        <v>146</v>
      </c>
    </row>
    <row r="6" spans="1:31" ht="54" customHeight="1">
      <c r="A6" s="6" t="s">
        <v>147</v>
      </c>
      <c r="B6" s="1">
        <v>1</v>
      </c>
      <c r="C6" s="1" t="s">
        <v>133</v>
      </c>
      <c r="D6" s="1" t="s">
        <v>47</v>
      </c>
      <c r="E6" s="1" t="s">
        <v>111</v>
      </c>
      <c r="G6" s="6" t="s">
        <v>148</v>
      </c>
      <c r="H6" t="s">
        <v>149</v>
      </c>
      <c r="I6" t="s">
        <v>49</v>
      </c>
      <c r="AD6" s="1">
        <v>0.439</v>
      </c>
      <c r="AE6" s="1" t="s">
        <v>139</v>
      </c>
    </row>
    <row r="7" spans="1:31" ht="54" customHeight="1">
      <c r="A7" s="6" t="s">
        <v>150</v>
      </c>
      <c r="B7" s="1">
        <v>1</v>
      </c>
      <c r="C7" s="1" t="s">
        <v>133</v>
      </c>
      <c r="D7" s="1" t="s">
        <v>47</v>
      </c>
      <c r="E7" s="1" t="s">
        <v>111</v>
      </c>
      <c r="G7" s="6" t="s">
        <v>151</v>
      </c>
      <c r="H7" t="s">
        <v>152</v>
      </c>
      <c r="I7" t="s">
        <v>49</v>
      </c>
      <c r="AD7" s="1">
        <v>0.498</v>
      </c>
      <c r="AE7" s="1" t="s">
        <v>139</v>
      </c>
    </row>
    <row r="8" spans="1:31" ht="54" customHeight="1">
      <c r="A8" s="6" t="s">
        <v>153</v>
      </c>
      <c r="B8" s="1">
        <v>1</v>
      </c>
      <c r="C8" s="1" t="s">
        <v>133</v>
      </c>
      <c r="D8" s="1" t="s">
        <v>47</v>
      </c>
      <c r="E8" s="1" t="s">
        <v>111</v>
      </c>
      <c r="G8" s="6" t="s">
        <v>154</v>
      </c>
      <c r="H8" t="s">
        <v>155</v>
      </c>
      <c r="I8" t="s">
        <v>49</v>
      </c>
      <c r="AD8" s="1">
        <v>5.233</v>
      </c>
      <c r="AE8" s="1" t="s">
        <v>139</v>
      </c>
    </row>
    <row r="9" spans="1:31" ht="54" customHeight="1">
      <c r="A9" s="6" t="s">
        <v>156</v>
      </c>
      <c r="B9" s="1">
        <v>2</v>
      </c>
      <c r="C9" s="1" t="s">
        <v>157</v>
      </c>
      <c r="D9" s="1" t="s">
        <v>47</v>
      </c>
      <c r="E9" s="1" t="s">
        <v>113</v>
      </c>
      <c r="G9" s="6" t="s">
        <v>158</v>
      </c>
      <c r="H9" t="s">
        <v>114</v>
      </c>
      <c r="I9" t="s">
        <v>155</v>
      </c>
      <c r="AD9" s="1">
        <v>2.346</v>
      </c>
      <c r="AE9" s="1" t="s">
        <v>139</v>
      </c>
    </row>
    <row r="10" spans="1:31" ht="54" customHeight="1">
      <c r="A10" s="6" t="s">
        <v>136</v>
      </c>
      <c r="B10" s="1">
        <v>1</v>
      </c>
      <c r="C10" s="1" t="s">
        <v>133</v>
      </c>
      <c r="D10" s="1" t="s">
        <v>47</v>
      </c>
      <c r="E10" s="1" t="s">
        <v>111</v>
      </c>
      <c r="G10" s="6" t="s">
        <v>137</v>
      </c>
      <c r="H10" t="s">
        <v>159</v>
      </c>
      <c r="I10" t="s">
        <v>49</v>
      </c>
      <c r="AD10" s="1">
        <v>0.931</v>
      </c>
      <c r="AE10" s="1" t="s">
        <v>139</v>
      </c>
    </row>
    <row r="11" spans="1:31" ht="54" customHeight="1">
      <c r="A11" s="6" t="s">
        <v>140</v>
      </c>
      <c r="B11" s="1">
        <v>1</v>
      </c>
      <c r="C11" s="1" t="s">
        <v>133</v>
      </c>
      <c r="D11" s="1" t="s">
        <v>47</v>
      </c>
      <c r="E11" s="1" t="s">
        <v>111</v>
      </c>
      <c r="G11" s="6" t="s">
        <v>141</v>
      </c>
      <c r="H11" t="s">
        <v>160</v>
      </c>
      <c r="I11" t="s">
        <v>49</v>
      </c>
      <c r="J11" s="2">
        <f>IF(COUNT('Turns'!D23)=1,SUM('Turns'!D23),"Unknown")</f>
        <v>717.0</v>
      </c>
      <c r="K11" s="2">
        <f>IF(COUNT('Turns'!E23)=1,SUM('Turns'!E23),"Unknown")</f>
        <v>0.000126154716</v>
      </c>
      <c r="L11" s="2">
        <f>IF(COUNT('Turns'!F23)=1,SUM('Turns'!F23),"Unknown")</f>
        <v>0.0001434</v>
      </c>
      <c r="M11" s="2">
        <f>IF(COUNT('Turns'!D22)=1,SUM('Turns'!D22),"Unknown")</f>
        <v>0.0</v>
      </c>
      <c r="N11" s="2">
        <f>IF(COUNT('Turns'!E22)=1,SUM('Turns'!E22),"Unknown")</f>
        <v>0.0</v>
      </c>
      <c r="O11" s="2">
        <f>IF(COUNT('Turns'!F22)=1,SUM('Turns'!F22),"Unknown")</f>
        <v>0.0</v>
      </c>
      <c r="P11" s="2">
        <v>0</v>
      </c>
      <c r="Q11" s="2">
        <v>0</v>
      </c>
      <c r="R11" s="2">
        <v>0</v>
      </c>
      <c r="S11" s="2">
        <f>IF(COUNT('Turns'!D29)=1,SUM('Turns'!D29),"Unknown")</f>
        <v>32.0</v>
      </c>
      <c r="T11" s="2">
        <f>IF(COUNT('Turns'!E29)=1,SUM('Turns'!E29),"Unknown")</f>
        <v>3.3782016e-05</v>
      </c>
      <c r="U11" s="2">
        <f>IF(COUNT('Turns'!F29)=1,SUM('Turns'!F29),"Unknown")</f>
        <v>3.84e-05</v>
      </c>
      <c r="V11" s="2">
        <f>IF(COUNT('Turns'!D28)=1,SUM('Turns'!D28),"Unknown")</f>
        <v>11.0</v>
      </c>
      <c r="W11" s="2">
        <f>IF(COUNT('Turns'!E28)=1,SUM('Turns'!E28),"Unknown")</f>
        <v>1.1612568e-05</v>
      </c>
      <c r="X11" s="2">
        <f>IF(COUNT('Turns'!F28)=1,SUM('Turns'!F28),"Unknown")</f>
        <v>1.32e-05</v>
      </c>
      <c r="Y11" s="2">
        <f>IF(COUNT('Turns'!E33)=1,SUM('Turns'!E33),"Unknown")</f>
        <v>0.0001715493</v>
      </c>
      <c r="Z11" s="2">
        <f>IF(COUNT('Turns'!F33)=1,SUM('Turns'!F33),"Unknown")</f>
        <v>0.000195</v>
      </c>
      <c r="AA11" s="5">
        <f>IF(ISNUMBER(Y11),ROUND(Y11*'Reference data'!$B$2,0),"Unknown")</f>
        <v>17.0</v>
      </c>
      <c r="AB11" s="5">
        <f>IF(ISNUMBER(Z11),ROUND(Z11*'Reference data'!$B$2,0),"Unknown")</f>
        <v>20.0</v>
      </c>
      <c r="AD11" s="1">
        <v>1493.528</v>
      </c>
      <c r="AE11" s="1" t="s">
        <v>135</v>
      </c>
    </row>
    <row r="12" spans="1:31" ht="54" customHeight="1">
      <c r="A12" s="6" t="s">
        <v>143</v>
      </c>
      <c r="B12" s="1">
        <v>2</v>
      </c>
      <c r="C12" s="1" t="s">
        <v>144</v>
      </c>
      <c r="D12" s="1" t="s">
        <v>95</v>
      </c>
      <c r="E12" s="1" t="s">
        <v>111</v>
      </c>
      <c r="F12" s="1">
        <v>717</v>
      </c>
      <c r="G12" s="6" t="s">
        <v>145</v>
      </c>
      <c r="H12" t="s">
        <v>120</v>
      </c>
      <c r="I12" t="s">
        <v>160</v>
      </c>
      <c r="J12" s="2">
        <f>IF(COUNT('Turns'!D23)=1,SUM('Turns'!D23),"Unknown")</f>
        <v>717.0</v>
      </c>
      <c r="K12" s="2">
        <f>IF(COUNT('Turns'!E23)=1,SUM('Turns'!E23),"Unknown")</f>
        <v>0.000126154716</v>
      </c>
      <c r="L12" s="2">
        <f>IF(COUNT('Turns'!F23)=1,SUM('Turns'!F23),"Unknown")</f>
        <v>0.0001434</v>
      </c>
      <c r="M12" s="2">
        <f>IF(COUNT('Turns'!D22)=1,SUM('Turns'!D22),"Unknown")</f>
        <v>0.0</v>
      </c>
      <c r="N12" s="2">
        <f>IF(COUNT('Turns'!E22)=1,SUM('Turns'!E22),"Unknown")</f>
        <v>0.0</v>
      </c>
      <c r="O12" s="2">
        <f>IF(COUNT('Turns'!F22)=1,SUM('Turns'!F22),"Unknown")</f>
        <v>0.0</v>
      </c>
      <c r="P12" s="2">
        <v>0</v>
      </c>
      <c r="Q12" s="2">
        <v>0</v>
      </c>
      <c r="R12" s="2">
        <v>0</v>
      </c>
      <c r="S12" s="2">
        <f>IF(COUNT('Turns'!D29)=1,SUM('Turns'!D29),"Unknown")</f>
        <v>32.0</v>
      </c>
      <c r="T12" s="2">
        <f>IF(COUNT('Turns'!E29)=1,SUM('Turns'!E29),"Unknown")</f>
        <v>3.3782016e-05</v>
      </c>
      <c r="U12" s="2">
        <f>IF(COUNT('Turns'!F29)=1,SUM('Turns'!F29),"Unknown")</f>
        <v>3.84e-05</v>
      </c>
      <c r="V12" s="2">
        <f>IF(COUNT('Turns'!D28)=1,SUM('Turns'!D28),"Unknown")</f>
        <v>11.0</v>
      </c>
      <c r="W12" s="2">
        <f>IF(COUNT('Turns'!E28)=1,SUM('Turns'!E28),"Unknown")</f>
        <v>1.1612568e-05</v>
      </c>
      <c r="X12" s="2">
        <f>IF(COUNT('Turns'!F28)=1,SUM('Turns'!F28),"Unknown")</f>
        <v>1.32e-05</v>
      </c>
      <c r="Y12" s="2">
        <f>IF(COUNT('Turns'!E33)=1,SUM('Turns'!E33),"Unknown")</f>
        <v>0.0001715493</v>
      </c>
      <c r="Z12" s="2">
        <f>IF(COUNT('Turns'!F33)=1,SUM('Turns'!F33),"Unknown")</f>
        <v>0.000195</v>
      </c>
      <c r="AA12" s="5">
        <f>IF(ISNUMBER(Y12),ROUND(Y12*'Reference data'!$B$2,0),"Unknown")</f>
        <v>17.0</v>
      </c>
      <c r="AB12" s="5">
        <f>IF(ISNUMBER(Z12),ROUND(Z12*'Reference data'!$B$2,0),"Unknown")</f>
        <v>20.0</v>
      </c>
      <c r="AC12" s="1" t="s">
        <v>119</v>
      </c>
      <c r="AD12" s="1">
        <v>1490.139</v>
      </c>
      <c r="AE12" s="1" t="s">
        <v>146</v>
      </c>
    </row>
    <row r="13" spans="1:31" ht="54" customHeight="1">
      <c r="A13" s="6" t="s">
        <v>147</v>
      </c>
      <c r="B13" s="1">
        <v>1</v>
      </c>
      <c r="C13" s="1" t="s">
        <v>133</v>
      </c>
      <c r="D13" s="1" t="s">
        <v>47</v>
      </c>
      <c r="E13" s="1" t="s">
        <v>111</v>
      </c>
      <c r="G13" s="6" t="s">
        <v>148</v>
      </c>
      <c r="H13" t="s">
        <v>161</v>
      </c>
      <c r="I13" t="s">
        <v>49</v>
      </c>
      <c r="AD13" s="1">
        <v>0.501</v>
      </c>
      <c r="AE13" s="1" t="s">
        <v>139</v>
      </c>
    </row>
    <row r="14" spans="1:31" ht="54" customHeight="1">
      <c r="A14" s="6" t="s">
        <v>150</v>
      </c>
      <c r="B14" s="1">
        <v>1</v>
      </c>
      <c r="C14" s="1" t="s">
        <v>133</v>
      </c>
      <c r="D14" s="1" t="s">
        <v>47</v>
      </c>
      <c r="E14" s="1" t="s">
        <v>111</v>
      </c>
      <c r="G14" s="6" t="s">
        <v>151</v>
      </c>
      <c r="H14" t="s">
        <v>162</v>
      </c>
      <c r="I14" t="s">
        <v>49</v>
      </c>
      <c r="AD14" s="1">
        <v>0.602</v>
      </c>
      <c r="AE14" s="1" t="s">
        <v>139</v>
      </c>
    </row>
    <row r="15" spans="1:31" ht="54" customHeight="1">
      <c r="A15" s="6" t="s">
        <v>153</v>
      </c>
      <c r="B15" s="1">
        <v>1</v>
      </c>
      <c r="C15" s="1" t="s">
        <v>133</v>
      </c>
      <c r="D15" s="1" t="s">
        <v>47</v>
      </c>
      <c r="E15" s="1" t="s">
        <v>111</v>
      </c>
      <c r="G15" s="6" t="s">
        <v>154</v>
      </c>
      <c r="H15" t="s">
        <v>163</v>
      </c>
      <c r="I15" t="s">
        <v>49</v>
      </c>
      <c r="AD15" s="1">
        <v>3.818</v>
      </c>
      <c r="AE15" s="1" t="s">
        <v>139</v>
      </c>
    </row>
    <row r="16" spans="1:31" ht="54" customHeight="1">
      <c r="A16" s="6" t="s">
        <v>156</v>
      </c>
      <c r="B16" s="1">
        <v>2</v>
      </c>
      <c r="C16" s="1" t="s">
        <v>157</v>
      </c>
      <c r="D16" s="1" t="s">
        <v>47</v>
      </c>
      <c r="E16" s="1" t="s">
        <v>113</v>
      </c>
      <c r="G16" s="6" t="s">
        <v>158</v>
      </c>
      <c r="H16" t="s">
        <v>124</v>
      </c>
      <c r="I16" t="s">
        <v>163</v>
      </c>
      <c r="AD16" s="1">
        <v>1.3</v>
      </c>
      <c r="AE16" s="1" t="s">
        <v>139</v>
      </c>
    </row>
    <row r="17" spans="1:31" ht="54" customHeight="1">
      <c r="A17" s="6" t="s">
        <v>136</v>
      </c>
      <c r="B17" s="1">
        <v>1</v>
      </c>
      <c r="C17" s="1" t="s">
        <v>133</v>
      </c>
      <c r="D17" s="1" t="s">
        <v>47</v>
      </c>
      <c r="E17" s="1" t="s">
        <v>111</v>
      </c>
      <c r="G17" s="6" t="s">
        <v>137</v>
      </c>
      <c r="H17" t="s">
        <v>164</v>
      </c>
      <c r="I17" t="s">
        <v>49</v>
      </c>
      <c r="AD17" s="1">
        <v>0.841</v>
      </c>
      <c r="AE17" s="1" t="s">
        <v>139</v>
      </c>
    </row>
    <row r="18" spans="1:31" ht="54" customHeight="1">
      <c r="A18" s="6" t="s">
        <v>140</v>
      </c>
      <c r="B18" s="1">
        <v>1</v>
      </c>
      <c r="C18" s="1" t="s">
        <v>133</v>
      </c>
      <c r="D18" s="1" t="s">
        <v>47</v>
      </c>
      <c r="E18" s="1" t="s">
        <v>111</v>
      </c>
      <c r="G18" s="6" t="s">
        <v>141</v>
      </c>
      <c r="H18" t="s">
        <v>165</v>
      </c>
      <c r="I18" t="s">
        <v>49</v>
      </c>
      <c r="J18" s="2">
        <f>IF(COUNT('Turns'!D39)=1,SUM('Turns'!D39),"Unknown")</f>
        <v>788.0</v>
      </c>
      <c r="K18" s="2">
        <f>IF(COUNT('Turns'!E39)=1,SUM('Turns'!E39),"Unknown")</f>
        <v>0.000138647024</v>
      </c>
      <c r="L18" s="2">
        <f>IF(COUNT('Turns'!F39)=1,SUM('Turns'!F39),"Unknown")</f>
        <v>0.0001576</v>
      </c>
      <c r="M18" s="2">
        <f>IF(COUNT('Turns'!D38)=1,SUM('Turns'!D38),"Unknown")</f>
        <v>0.0</v>
      </c>
      <c r="N18" s="2">
        <f>IF(COUNT('Turns'!E38)=1,SUM('Turns'!E38),"Unknown")</f>
        <v>0.0</v>
      </c>
      <c r="O18" s="2">
        <f>IF(COUNT('Turns'!F38)=1,SUM('Turns'!F38),"Unknown")</f>
        <v>0.0</v>
      </c>
      <c r="P18" s="2">
        <v>0</v>
      </c>
      <c r="Q18" s="2">
        <v>0</v>
      </c>
      <c r="R18" s="2">
        <v>0</v>
      </c>
      <c r="S18" s="2">
        <f>IF(COUNT('Turns'!D45)=1,SUM('Turns'!D45),"Unknown")</f>
        <v>32.0</v>
      </c>
      <c r="T18" s="2">
        <f>IF(COUNT('Turns'!E45)=1,SUM('Turns'!E45),"Unknown")</f>
        <v>3.3782016e-05</v>
      </c>
      <c r="U18" s="2">
        <f>IF(COUNT('Turns'!F45)=1,SUM('Turns'!F45),"Unknown")</f>
        <v>3.84e-05</v>
      </c>
      <c r="V18" s="2">
        <f>IF(COUNT('Turns'!D44)=1,SUM('Turns'!D44),"Unknown")</f>
        <v>28.0</v>
      </c>
      <c r="W18" s="2">
        <f>IF(COUNT('Turns'!E44)=1,SUM('Turns'!E44),"Unknown")</f>
        <v>2.9559264e-05</v>
      </c>
      <c r="X18" s="2">
        <f>IF(COUNT('Turns'!F44)=1,SUM('Turns'!F44),"Unknown")</f>
        <v>3.36e-05</v>
      </c>
      <c r="Y18" s="2">
        <f>IF(COUNT('Turns'!E49)=1,SUM('Turns'!E49),"Unknown")</f>
        <v>0.000201988304</v>
      </c>
      <c r="Z18" s="2">
        <f>IF(COUNT('Turns'!F49)=1,SUM('Turns'!F49),"Unknown")</f>
        <v>0.0002296</v>
      </c>
      <c r="AA18" s="5">
        <f>IF(ISNUMBER(Y18),ROUND(Y18*'Reference data'!$B$2,0),"Unknown")</f>
        <v>20.0</v>
      </c>
      <c r="AB18" s="5">
        <f>IF(ISNUMBER(Z18),ROUND(Z18*'Reference data'!$B$2,0),"Unknown")</f>
        <v>23.0</v>
      </c>
      <c r="AD18" s="1">
        <v>1813.829</v>
      </c>
      <c r="AE18" s="1" t="s">
        <v>135</v>
      </c>
    </row>
    <row r="19" spans="1:31" ht="54" customHeight="1">
      <c r="A19" s="6" t="s">
        <v>143</v>
      </c>
      <c r="B19" s="1">
        <v>2</v>
      </c>
      <c r="C19" s="1" t="s">
        <v>144</v>
      </c>
      <c r="D19" s="1" t="s">
        <v>95</v>
      </c>
      <c r="E19" s="1" t="s">
        <v>111</v>
      </c>
      <c r="F19" s="1">
        <v>788</v>
      </c>
      <c r="G19" s="6" t="s">
        <v>145</v>
      </c>
      <c r="H19" t="s">
        <v>126</v>
      </c>
      <c r="I19" t="s">
        <v>165</v>
      </c>
      <c r="J19" s="2">
        <f>IF(COUNT('Turns'!D39)=1,SUM('Turns'!D39),"Unknown")</f>
        <v>788.0</v>
      </c>
      <c r="K19" s="2">
        <f>IF(COUNT('Turns'!E39)=1,SUM('Turns'!E39),"Unknown")</f>
        <v>0.000138647024</v>
      </c>
      <c r="L19" s="2">
        <f>IF(COUNT('Turns'!F39)=1,SUM('Turns'!F39),"Unknown")</f>
        <v>0.0001576</v>
      </c>
      <c r="M19" s="2">
        <f>IF(COUNT('Turns'!D38)=1,SUM('Turns'!D38),"Unknown")</f>
        <v>0.0</v>
      </c>
      <c r="N19" s="2">
        <f>IF(COUNT('Turns'!E38)=1,SUM('Turns'!E38),"Unknown")</f>
        <v>0.0</v>
      </c>
      <c r="O19" s="2">
        <f>IF(COUNT('Turns'!F38)=1,SUM('Turns'!F38),"Unknown")</f>
        <v>0.0</v>
      </c>
      <c r="P19" s="2">
        <v>0</v>
      </c>
      <c r="Q19" s="2">
        <v>0</v>
      </c>
      <c r="R19" s="2">
        <v>0</v>
      </c>
      <c r="S19" s="2">
        <f>IF(COUNT('Turns'!D45)=1,SUM('Turns'!D45),"Unknown")</f>
        <v>32.0</v>
      </c>
      <c r="T19" s="2">
        <f>IF(COUNT('Turns'!E45)=1,SUM('Turns'!E45),"Unknown")</f>
        <v>3.3782016e-05</v>
      </c>
      <c r="U19" s="2">
        <f>IF(COUNT('Turns'!F45)=1,SUM('Turns'!F45),"Unknown")</f>
        <v>3.84e-05</v>
      </c>
      <c r="V19" s="2">
        <f>IF(COUNT('Turns'!D44)=1,SUM('Turns'!D44),"Unknown")</f>
        <v>28.0</v>
      </c>
      <c r="W19" s="2">
        <f>IF(COUNT('Turns'!E44)=1,SUM('Turns'!E44),"Unknown")</f>
        <v>2.9559264e-05</v>
      </c>
      <c r="X19" s="2">
        <f>IF(COUNT('Turns'!F44)=1,SUM('Turns'!F44),"Unknown")</f>
        <v>3.36e-05</v>
      </c>
      <c r="Y19" s="2">
        <f>IF(COUNT('Turns'!E49)=1,SUM('Turns'!E49),"Unknown")</f>
        <v>0.000201988304</v>
      </c>
      <c r="Z19" s="2">
        <f>IF(COUNT('Turns'!F49)=1,SUM('Turns'!F49),"Unknown")</f>
        <v>0.0002296</v>
      </c>
      <c r="AA19" s="5">
        <f>IF(ISNUMBER(Y19),ROUND(Y19*'Reference data'!$B$2,0),"Unknown")</f>
        <v>20.0</v>
      </c>
      <c r="AB19" s="5">
        <f>IF(ISNUMBER(Z19),ROUND(Z19*'Reference data'!$B$2,0),"Unknown")</f>
        <v>23.0</v>
      </c>
      <c r="AC19" s="1" t="s">
        <v>125</v>
      </c>
      <c r="AD19" s="1">
        <v>1810.992</v>
      </c>
      <c r="AE19" s="1" t="s">
        <v>146</v>
      </c>
    </row>
    <row r="20" spans="1:31" ht="54" customHeight="1">
      <c r="A20" s="6" t="s">
        <v>147</v>
      </c>
      <c r="B20" s="1">
        <v>1</v>
      </c>
      <c r="C20" s="1" t="s">
        <v>133</v>
      </c>
      <c r="D20" s="1" t="s">
        <v>47</v>
      </c>
      <c r="E20" s="1" t="s">
        <v>111</v>
      </c>
      <c r="G20" s="6" t="s">
        <v>148</v>
      </c>
      <c r="H20" t="s">
        <v>166</v>
      </c>
      <c r="I20" t="s">
        <v>49</v>
      </c>
      <c r="AD20" s="1">
        <v>0.499</v>
      </c>
      <c r="AE20" s="1" t="s">
        <v>139</v>
      </c>
    </row>
    <row r="21" spans="1:31" ht="54" customHeight="1">
      <c r="A21" s="6" t="s">
        <v>150</v>
      </c>
      <c r="B21" s="1">
        <v>1</v>
      </c>
      <c r="C21" s="1" t="s">
        <v>133</v>
      </c>
      <c r="D21" s="1" t="s">
        <v>47</v>
      </c>
      <c r="E21" s="1" t="s">
        <v>111</v>
      </c>
      <c r="G21" s="6" t="s">
        <v>151</v>
      </c>
      <c r="H21" t="s">
        <v>167</v>
      </c>
      <c r="I21" t="s">
        <v>49</v>
      </c>
      <c r="AD21" s="1">
        <v>0.546</v>
      </c>
      <c r="AE21" s="1" t="s">
        <v>139</v>
      </c>
    </row>
    <row r="22" spans="1:31" ht="54" customHeight="1">
      <c r="A22" s="6" t="s">
        <v>153</v>
      </c>
      <c r="B22" s="1">
        <v>1</v>
      </c>
      <c r="C22" s="1" t="s">
        <v>133</v>
      </c>
      <c r="D22" s="1" t="s">
        <v>47</v>
      </c>
      <c r="E22" s="1" t="s">
        <v>111</v>
      </c>
      <c r="G22" s="6" t="s">
        <v>154</v>
      </c>
      <c r="H22" t="s">
        <v>168</v>
      </c>
      <c r="I22" t="s">
        <v>49</v>
      </c>
      <c r="AD22" s="1">
        <v>2.252</v>
      </c>
      <c r="AE22" s="1" t="s">
        <v>139</v>
      </c>
    </row>
    <row r="23" spans="1:31" ht="54" customHeight="1">
      <c r="A23" s="6" t="s">
        <v>156</v>
      </c>
      <c r="B23" s="1">
        <v>2</v>
      </c>
      <c r="C23" s="1" t="s">
        <v>157</v>
      </c>
      <c r="D23" s="1" t="s">
        <v>47</v>
      </c>
      <c r="E23" s="1" t="s">
        <v>113</v>
      </c>
      <c r="G23" s="6" t="s">
        <v>158</v>
      </c>
      <c r="H23" t="s">
        <v>128</v>
      </c>
      <c r="I23" t="s">
        <v>168</v>
      </c>
      <c r="AD23" s="1">
        <v>0.785</v>
      </c>
      <c r="AE23" s="1" t="s">
        <v>139</v>
      </c>
    </row>
    <row r="24" spans="1:31" ht="54" customHeight="1">
      <c r="A24" s="6" t="s">
        <v>136</v>
      </c>
      <c r="B24" s="1">
        <v>1</v>
      </c>
      <c r="C24" s="1" t="s">
        <v>133</v>
      </c>
      <c r="D24" s="1" t="s">
        <v>47</v>
      </c>
      <c r="E24" s="1" t="s">
        <v>111</v>
      </c>
      <c r="G24" s="6" t="s">
        <v>137</v>
      </c>
      <c r="H24" t="s">
        <v>169</v>
      </c>
      <c r="I24" t="s">
        <v>49</v>
      </c>
      <c r="AD24" s="1">
        <v>0.435</v>
      </c>
      <c r="AE24" s="1" t="s">
        <v>139</v>
      </c>
    </row>
    <row r="25" spans="1:31" ht="54" customHeight="1">
      <c r="A25" s="6" t="s">
        <v>140</v>
      </c>
      <c r="B25" s="1">
        <v>1</v>
      </c>
      <c r="C25" s="1" t="s">
        <v>133</v>
      </c>
      <c r="D25" s="1" t="s">
        <v>47</v>
      </c>
      <c r="E25" s="1" t="s">
        <v>111</v>
      </c>
      <c r="G25" s="6" t="s">
        <v>141</v>
      </c>
      <c r="H25" t="s">
        <v>170</v>
      </c>
      <c r="I25" t="s">
        <v>49</v>
      </c>
      <c r="J25" s="2">
        <f>IF(COUNT('Turns'!D55)=1,SUM('Turns'!D55),"Unknown")</f>
        <v>876.0</v>
      </c>
      <c r="K25" s="2">
        <f>IF(COUNT('Turns'!E55)=1,SUM('Turns'!E55),"Unknown")</f>
        <v>0.000154130448</v>
      </c>
      <c r="L25" s="2">
        <f>IF(COUNT('Turns'!F55)=1,SUM('Turns'!F55),"Unknown")</f>
        <v>0.0001752</v>
      </c>
      <c r="M25" s="2">
        <f>IF(COUNT('Turns'!D54)=1,SUM('Turns'!D54),"Unknown")</f>
        <v>0.0</v>
      </c>
      <c r="N25" s="2">
        <f>IF(COUNT('Turns'!E54)=1,SUM('Turns'!E54),"Unknown")</f>
        <v>0.0</v>
      </c>
      <c r="O25" s="2">
        <f>IF(COUNT('Turns'!F54)=1,SUM('Turns'!F54),"Unknown")</f>
        <v>0.0</v>
      </c>
      <c r="P25" s="2">
        <v>0</v>
      </c>
      <c r="Q25" s="2">
        <v>0</v>
      </c>
      <c r="R25" s="2">
        <v>0</v>
      </c>
      <c r="S25" s="2">
        <f>IF(COUNT('Turns'!D61)=1,SUM('Turns'!D61),"Unknown")</f>
        <v>32.0</v>
      </c>
      <c r="T25" s="2">
        <f>IF(COUNT('Turns'!E61)=1,SUM('Turns'!E61),"Unknown")</f>
        <v>3.3782016e-05</v>
      </c>
      <c r="U25" s="2">
        <f>IF(COUNT('Turns'!F61)=1,SUM('Turns'!F61),"Unknown")</f>
        <v>3.84e-05</v>
      </c>
      <c r="V25" s="2">
        <f>IF(COUNT('Turns'!D60)=1,SUM('Turns'!D60),"Unknown")</f>
        <v>53.0</v>
      </c>
      <c r="W25" s="2">
        <f>IF(COUNT('Turns'!E60)=1,SUM('Turns'!E60),"Unknown")</f>
        <v>5.5951464e-05</v>
      </c>
      <c r="X25" s="2">
        <f>IF(COUNT('Turns'!F60)=1,SUM('Turns'!F60),"Unknown")</f>
        <v>6.36e-05</v>
      </c>
      <c r="Y25" s="2">
        <f>IF(COUNT('Turns'!E65)=1,SUM('Turns'!E65),"Unknown")</f>
        <v>0.000243863928</v>
      </c>
      <c r="Z25" s="2">
        <f>IF(COUNT('Turns'!F65)=1,SUM('Turns'!F65),"Unknown")</f>
        <v>0.0002772</v>
      </c>
      <c r="AA25" s="5">
        <f>IF(ISNUMBER(Y25),ROUND(Y25*'Reference data'!$B$2,0),"Unknown")</f>
        <v>24.0</v>
      </c>
      <c r="AB25" s="5">
        <f>IF(ISNUMBER(Z25),ROUND(Z25*'Reference data'!$B$2,0),"Unknown")</f>
        <v>28.0</v>
      </c>
      <c r="AD25" s="1">
        <v>2046.011</v>
      </c>
      <c r="AE25" s="1" t="s">
        <v>135</v>
      </c>
    </row>
    <row r="26" spans="1:31" ht="54" customHeight="1">
      <c r="A26" s="6" t="s">
        <v>143</v>
      </c>
      <c r="B26" s="1">
        <v>2</v>
      </c>
      <c r="C26" s="1" t="s">
        <v>144</v>
      </c>
      <c r="D26" s="1" t="s">
        <v>95</v>
      </c>
      <c r="E26" s="1" t="s">
        <v>111</v>
      </c>
      <c r="F26" s="1">
        <v>876</v>
      </c>
      <c r="G26" s="6" t="s">
        <v>145</v>
      </c>
      <c r="H26" t="s">
        <v>130</v>
      </c>
      <c r="I26" t="s">
        <v>170</v>
      </c>
      <c r="J26" s="2">
        <f>IF(COUNT('Turns'!D55)=1,SUM('Turns'!D55),"Unknown")</f>
        <v>876.0</v>
      </c>
      <c r="K26" s="2">
        <f>IF(COUNT('Turns'!E55)=1,SUM('Turns'!E55),"Unknown")</f>
        <v>0.000154130448</v>
      </c>
      <c r="L26" s="2">
        <f>IF(COUNT('Turns'!F55)=1,SUM('Turns'!F55),"Unknown")</f>
        <v>0.0001752</v>
      </c>
      <c r="M26" s="2">
        <f>IF(COUNT('Turns'!D54)=1,SUM('Turns'!D54),"Unknown")</f>
        <v>0.0</v>
      </c>
      <c r="N26" s="2">
        <f>IF(COUNT('Turns'!E54)=1,SUM('Turns'!E54),"Unknown")</f>
        <v>0.0</v>
      </c>
      <c r="O26" s="2">
        <f>IF(COUNT('Turns'!F54)=1,SUM('Turns'!F54),"Unknown")</f>
        <v>0.0</v>
      </c>
      <c r="P26" s="2">
        <v>0</v>
      </c>
      <c r="Q26" s="2">
        <v>0</v>
      </c>
      <c r="R26" s="2">
        <v>0</v>
      </c>
      <c r="S26" s="2">
        <f>IF(COUNT('Turns'!D61)=1,SUM('Turns'!D61),"Unknown")</f>
        <v>32.0</v>
      </c>
      <c r="T26" s="2">
        <f>IF(COUNT('Turns'!E61)=1,SUM('Turns'!E61),"Unknown")</f>
        <v>3.3782016e-05</v>
      </c>
      <c r="U26" s="2">
        <f>IF(COUNT('Turns'!F61)=1,SUM('Turns'!F61),"Unknown")</f>
        <v>3.84e-05</v>
      </c>
      <c r="V26" s="2">
        <f>IF(COUNT('Turns'!D60)=1,SUM('Turns'!D60),"Unknown")</f>
        <v>53.0</v>
      </c>
      <c r="W26" s="2">
        <f>IF(COUNT('Turns'!E60)=1,SUM('Turns'!E60),"Unknown")</f>
        <v>5.5951464e-05</v>
      </c>
      <c r="X26" s="2">
        <f>IF(COUNT('Turns'!F60)=1,SUM('Turns'!F60),"Unknown")</f>
        <v>6.36e-05</v>
      </c>
      <c r="Y26" s="2">
        <f>IF(COUNT('Turns'!E65)=1,SUM('Turns'!E65),"Unknown")</f>
        <v>0.000243863928</v>
      </c>
      <c r="Z26" s="2">
        <f>IF(COUNT('Turns'!F65)=1,SUM('Turns'!F65),"Unknown")</f>
        <v>0.0002772</v>
      </c>
      <c r="AA26" s="5">
        <f>IF(ISNUMBER(Y26),ROUND(Y26*'Reference data'!$B$2,0),"Unknown")</f>
        <v>24.0</v>
      </c>
      <c r="AB26" s="5">
        <f>IF(ISNUMBER(Z26),ROUND(Z26*'Reference data'!$B$2,0),"Unknown")</f>
        <v>28.0</v>
      </c>
      <c r="AC26" s="1" t="s">
        <v>129</v>
      </c>
      <c r="AD26" s="1">
        <v>2043.332</v>
      </c>
      <c r="AE26" s="1" t="s">
        <v>146</v>
      </c>
    </row>
    <row r="27" spans="1:31" ht="54" customHeight="1">
      <c r="A27" s="6" t="s">
        <v>147</v>
      </c>
      <c r="B27" s="1">
        <v>1</v>
      </c>
      <c r="C27" s="1" t="s">
        <v>133</v>
      </c>
      <c r="D27" s="1" t="s">
        <v>47</v>
      </c>
      <c r="E27" s="1" t="s">
        <v>111</v>
      </c>
      <c r="G27" s="6" t="s">
        <v>148</v>
      </c>
      <c r="H27" t="s">
        <v>171</v>
      </c>
      <c r="I27" t="s">
        <v>49</v>
      </c>
      <c r="AD27" s="1">
        <v>0.71</v>
      </c>
      <c r="AE27" s="1" t="s">
        <v>139</v>
      </c>
    </row>
    <row r="28" spans="1:31" ht="54" customHeight="1">
      <c r="A28" s="6" t="s">
        <v>150</v>
      </c>
      <c r="B28" s="1">
        <v>1</v>
      </c>
      <c r="C28" s="1" t="s">
        <v>133</v>
      </c>
      <c r="D28" s="1" t="s">
        <v>47</v>
      </c>
      <c r="E28" s="1" t="s">
        <v>111</v>
      </c>
      <c r="G28" s="6" t="s">
        <v>172</v>
      </c>
      <c r="H28" t="s">
        <v>173</v>
      </c>
      <c r="I28" t="s">
        <v>49</v>
      </c>
      <c r="AD28" s="1">
        <v>1.241</v>
      </c>
      <c r="AE28" s="1" t="s">
        <v>139</v>
      </c>
    </row>
  </sheetData>
  <conditionalFormatting sqref="A2:AE28">
    <cfRule type="expression" dxfId="0" priority="1">
      <formula>$E2="error"</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173B70"/>
  </sheetPr>
  <dimension ref="A1:I22"/>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34.7109375" customWidth="1"/>
    <col min="2" max="2" width="52.7109375" customWidth="1"/>
    <col min="3" max="7" width="26.7109375" customWidth="1"/>
    <col min="8" max="8" width="65.7109375" customWidth="1"/>
    <col min="9" max="9" width="26.7109375" customWidth="1"/>
  </cols>
  <sheetData>
    <row r="1" spans="1:9" ht="44" customHeight="1">
      <c r="A1" s="3" t="s">
        <v>38</v>
      </c>
      <c r="B1" s="3" t="s">
        <v>39</v>
      </c>
      <c r="C1" s="3" t="s">
        <v>40</v>
      </c>
    </row>
    <row r="2" spans="1:9" ht="24" customHeight="1">
      <c r="A2" s="6" t="s">
        <v>41</v>
      </c>
      <c r="B2" s="7">
        <v>100000</v>
      </c>
      <c r="C2" s="6" t="s">
        <v>42</v>
      </c>
    </row>
    <row r="3" spans="1:9" ht="24" customHeight="1">
      <c r="A3" s="6" t="s">
        <v>43</v>
      </c>
      <c r="B3" s="2">
        <v>0.87974</v>
      </c>
      <c r="C3" s="6" t="s">
        <v>44</v>
      </c>
    </row>
    <row r="4" spans="1:9" ht="24" customHeight="1">
      <c r="A4" s="6" t="s">
        <v>45</v>
      </c>
      <c r="B4" s="6" t="s">
        <v>46</v>
      </c>
      <c r="C4" s="6" t="s">
        <v>47</v>
      </c>
    </row>
    <row r="5" spans="1:9" ht="24" customHeight="1">
      <c r="A5" s="6" t="s">
        <v>48</v>
      </c>
      <c r="B5" s="6" t="s">
        <v>49</v>
      </c>
      <c r="C5" s="6" t="s">
        <v>47</v>
      </c>
    </row>
    <row r="6" spans="1:9" ht="24" customHeight="1">
      <c r="A6" s="6" t="s">
        <v>50</v>
      </c>
      <c r="B6" s="6" t="s">
        <v>51</v>
      </c>
      <c r="C6" s="6" t="s">
        <v>47</v>
      </c>
    </row>
    <row r="7" spans="1:9" ht="24" customHeight="1">
      <c r="A7" s="6" t="s">
        <v>52</v>
      </c>
      <c r="B7" s="6" t="s">
        <v>53</v>
      </c>
      <c r="C7" s="6" t="s">
        <v>47</v>
      </c>
    </row>
    <row r="8" spans="1:9" ht="24" customHeight="1">
      <c r="A8" s="6" t="s">
        <v>54</v>
      </c>
      <c r="B8" s="6" t="s">
        <v>55</v>
      </c>
      <c r="C8" s="6" t="s">
        <v>56</v>
      </c>
    </row>
    <row r="9" spans="1:9" ht="24" customHeight="1">
      <c r="A9" s="6" t="s">
        <v>57</v>
      </c>
      <c r="B9" s="6" t="s">
        <v>58</v>
      </c>
      <c r="C9" s="6" t="s">
        <v>47</v>
      </c>
    </row>
    <row r="10" spans="1:9" ht="24" customHeight="1">
      <c r="A10" s="6" t="s">
        <v>59</v>
      </c>
      <c r="B10" s="6" t="s">
        <v>60</v>
      </c>
      <c r="C10" s="6" t="s">
        <v>47</v>
      </c>
    </row>
    <row r="11" spans="1:9" ht="24" customHeight="1">
      <c r="A11" s="6" t="s">
        <v>61</v>
      </c>
      <c r="B11" s="6" t="s">
        <v>62</v>
      </c>
      <c r="C11" s="6" t="s">
        <v>47</v>
      </c>
    </row>
    <row r="12" spans="1:9" ht="24" customHeight="1">
      <c r="A12" s="6" t="s">
        <v>63</v>
      </c>
      <c r="B12" s="6" t="s">
        <v>64</v>
      </c>
      <c r="C12" s="6" t="s">
        <v>47</v>
      </c>
    </row>
    <row r="13" spans="1:9" ht="24" customHeight="1">
      <c r="A13" s="6" t="s">
        <v>65</v>
      </c>
      <c r="B13" s="6" t="s">
        <v>66</v>
      </c>
      <c r="C13" s="6" t="s">
        <v>47</v>
      </c>
    </row>
    <row r="15" spans="1:9" ht="24" customHeight="1">
      <c r="A15" s="4" t="s">
        <v>67</v>
      </c>
      <c r="B15" s="4" t="s">
        <v>68</v>
      </c>
      <c r="C15" s="4" t="s">
        <v>69</v>
      </c>
      <c r="D15" s="4" t="s">
        <v>70</v>
      </c>
      <c r="E15" s="4" t="s">
        <v>71</v>
      </c>
      <c r="F15" s="4" t="s">
        <v>72</v>
      </c>
      <c r="G15" s="4" t="s">
        <v>73</v>
      </c>
      <c r="H15" s="4" t="s">
        <v>74</v>
      </c>
      <c r="I15" s="4" t="s">
        <v>75</v>
      </c>
    </row>
    <row r="16" spans="1:9" ht="72" customHeight="1">
      <c r="A16" s="6" t="s">
        <v>76</v>
      </c>
      <c r="B16" s="2">
        <v>5</v>
      </c>
      <c r="C16" s="2">
        <v>0.5</v>
      </c>
      <c r="D16" s="2" t="s">
        <v>77</v>
      </c>
      <c r="E16" s="2">
        <v>30</v>
      </c>
      <c r="F16" s="2">
        <v>30</v>
      </c>
      <c r="G16" s="6" t="s">
        <v>78</v>
      </c>
      <c r="H16" s="6" t="s">
        <v>79</v>
      </c>
      <c r="I16" s="6" t="s">
        <v>80</v>
      </c>
    </row>
    <row r="17" spans="1:9" ht="72" customHeight="1">
      <c r="A17" s="6" t="s">
        <v>81</v>
      </c>
      <c r="B17" s="2">
        <v>0.2</v>
      </c>
      <c r="C17" s="2">
        <v>0.02</v>
      </c>
      <c r="D17" s="2">
        <v>0.250</v>
      </c>
      <c r="E17" s="2">
        <v>1.2</v>
      </c>
      <c r="F17" s="2">
        <v>1.2</v>
      </c>
      <c r="G17" s="6" t="s">
        <v>78</v>
      </c>
      <c r="H17" s="6" t="s">
        <v>82</v>
      </c>
      <c r="I17" s="6" t="s">
        <v>80</v>
      </c>
    </row>
    <row r="18" spans="1:9" ht="72" customHeight="1">
      <c r="A18" s="6" t="s">
        <v>83</v>
      </c>
      <c r="B18" s="2">
        <v>4</v>
      </c>
      <c r="C18" s="2">
        <v>0.4</v>
      </c>
      <c r="D18" s="2">
        <v>5.00</v>
      </c>
      <c r="E18" s="2">
        <v>20</v>
      </c>
      <c r="F18" s="2">
        <v>20</v>
      </c>
      <c r="G18" s="6" t="s">
        <v>78</v>
      </c>
      <c r="H18" s="6" t="s">
        <v>84</v>
      </c>
      <c r="I18" s="6" t="s">
        <v>80</v>
      </c>
    </row>
    <row r="19" spans="1:9" ht="72" customHeight="1">
      <c r="A19" s="6" t="s">
        <v>85</v>
      </c>
      <c r="B19" s="2">
        <v>2</v>
      </c>
      <c r="C19" s="2">
        <v>0.20</v>
      </c>
      <c r="D19" s="2">
        <v>2.50</v>
      </c>
      <c r="E19" s="2">
        <v>10</v>
      </c>
      <c r="F19" s="2">
        <v>10</v>
      </c>
      <c r="G19" s="6" t="s">
        <v>78</v>
      </c>
      <c r="H19" s="6" t="s">
        <v>86</v>
      </c>
      <c r="I19" s="6" t="s">
        <v>80</v>
      </c>
    </row>
    <row r="20" spans="1:9" ht="72" customHeight="1">
      <c r="A20" s="6" t="s">
        <v>87</v>
      </c>
      <c r="B20" s="2">
        <v>5</v>
      </c>
      <c r="C20" s="2">
        <v>0.50</v>
      </c>
      <c r="D20" s="2">
        <v>6.25</v>
      </c>
      <c r="E20" s="2">
        <v>25</v>
      </c>
      <c r="F20" s="2">
        <v>25</v>
      </c>
      <c r="G20" s="6" t="s">
        <v>78</v>
      </c>
      <c r="H20" s="6" t="s">
        <v>86</v>
      </c>
      <c r="I20" s="6" t="s">
        <v>80</v>
      </c>
    </row>
    <row r="21" spans="1:9" ht="72" customHeight="1">
      <c r="A21" s="6" t="s">
        <v>88</v>
      </c>
      <c r="B21" s="2">
        <v>10</v>
      </c>
      <c r="C21" s="2">
        <v>0.25</v>
      </c>
      <c r="D21" s="2">
        <v>12.50</v>
      </c>
      <c r="E21" s="2">
        <v>50</v>
      </c>
      <c r="F21" s="2">
        <v>50</v>
      </c>
      <c r="G21" s="6" t="s">
        <v>78</v>
      </c>
      <c r="H21" s="6" t="s">
        <v>86</v>
      </c>
      <c r="I21" s="6" t="s">
        <v>80</v>
      </c>
    </row>
    <row r="22" spans="1:9" ht="72" customHeight="1">
      <c r="A22" s="6" t="s">
        <v>89</v>
      </c>
      <c r="B22" s="2">
        <v>0.2</v>
      </c>
      <c r="C22" s="2">
        <v>0.02</v>
      </c>
      <c r="D22" s="2">
        <v>0.250</v>
      </c>
      <c r="E22" s="2">
        <v>1.2</v>
      </c>
      <c r="F22" s="2">
        <v>1.2</v>
      </c>
      <c r="G22" s="6" t="s">
        <v>78</v>
      </c>
      <c r="H22" s="6" t="s">
        <v>90</v>
      </c>
      <c r="I22" s="6" t="s">
        <v>80</v>
      </c>
    </row>
  </sheetData>
  <dataValidations count="1">
    <dataValidation type="whole" operator="greaterThanOrEqual" allowBlank="1" showInputMessage="1" showErrorMessage="1" sqref="B2">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Turns</vt:lpstr>
      <vt:lpstr>Execution tree</vt:lpstr>
      <vt:lpstr>Reference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2026-09-24T22:21:47Z</dcterms:created>
  <dcterms:modified xsi:type="dcterms:W3CDTF">2026-09-24T22:21:47Z</dcterms:modified>
</cp:coreProperties>
</file>
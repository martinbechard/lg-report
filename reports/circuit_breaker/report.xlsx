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<sst xmlns="http://schemas.openxmlformats.org/spreadsheetml/2006/main" count="391" uniqueCount="164">
  <si>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</si>
  <si>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</si>
  <si>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</si>
  <si>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</si>
  <si>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</si>
  <si>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</si>
  <si>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</si>
  <si>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</si>
  <si>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</si>
  <si>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</si>
  <si>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</si>
  <si>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</si>
  <si>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</si>
  <si>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</si>
  <si>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</si>
  <si>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</si>
  <si>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</si>
  <si>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</si>
  <si>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</si>
  <si>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</si>
  <si>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</si>
  <si>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</si>
  <si>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</si>
  <si>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</si>
  <si>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</si>
  <si>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</si>
  <si>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</si>
  <si>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</si>
  <si>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</si>
  <si>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</si>
  <si>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</si>
  <si>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</si>
  <si>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</si>
  <si>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</si>
  <si>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</si>
  <si>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</si>
  <si>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</si>
  <si>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</si>
  <si>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</si>
  <si>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</si>
  <si>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</si>
  <si>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</si>
  <si>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</si>
  <si>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</si>
  <si>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</si>
  <si>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</si>
  <si>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</si>
  <si>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</si>
  <si>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</si>
  <si>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01a0d12c-f189-7002-b276-9d92d1229cb2</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</si>
  <si>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</si>
  <si>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</si>
  <si>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</si>
  <si>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</si>
  <si>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</si>
  <si>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</si>
  <si>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</si>
  <si>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</si>
  <si>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</si>
  <si>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</si>
  <si>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</si>
  <si>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</si>
  <si>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</si>
  <si>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</si>
  <si>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</si>
  <si>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</si>
  <si>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</si>
  <si>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</si>
  <si>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</si>
  <si>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</si>
  <si>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</si>
  <si>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</si>
  <si>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</si>
  <si>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</si>
  <si>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</si>
  <si>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</si>
  <si>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</si>
  <si>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</si>
  <si>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</si>
  <si>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</si>
  <si>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</si>
  <si>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</si>
  <si>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</si>
  <si>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</si>
  <si>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</si>
  <si>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</si>
  <si>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</si>
  <si>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</si>
  <si>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</si>
  <si>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</si>
  <si>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</si>
  <si>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</si>
  <si>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</si>
  <si>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</si>
  <si>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</si>
  <si>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</si>
  <si>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01a0d12c-f190-7281-beb3-f156ce1323f5</t>
  </si>
  <si>
    <t>Input at standard rate</t>
  </si>
  <si>
    <t xml:space="preserve">    Tool definitions</t>
  </si>
  <si>
    <t xml:space="preserve">    System prompt</t>
  </si>
  <si>
    <t>You are the worker in an intentional circuit-breaker demonstration. The defective plan requires /slugify.py, but the backend only allows /plan.md, /slug.py, and /test_slug.py. Reproduce the failure by calling write_file for /slugify.py with the assigned content. After every rejection, request exactly the same write again. Do not change the path or content, and do not claim success. The application, not you, will stop repeated attempts through its call limit.</t>
  </si>
  <si>
    <t xml:space="preserve">    User prompt</t>
  </si>
  <si>
    <t>Reproduce the defective plan: write /slugify.py containing '# Slug implementation pending'. Repeat the identical write after rejection so the circuit breaker can stop the loop.</t>
  </si>
  <si>
    <t>Cache write</t>
  </si>
  <si>
    <t>Context · added / total</t>
  </si>
  <si>
    <t>LLM response</t>
  </si>
  <si>
    <t>Reasoning</t>
  </si>
  <si>
    <t>Output</t>
  </si>
  <si>
    <t xml:space="preserve">    Output content</t>
  </si>
  <si>
    <t>[{"id": "rs_0ecd0a6ad669dbc6006ab48664f4c887d2b9e5e60f0e0d41f6", "summary": [], "type": "reasoning", "content": [], "index": 0, "encrypted_content": "gAAAAABqtIZlHEu5FQh1h-gjTMCPblLHj7rqgsQVdnZ_NTeVNeF4HrO5jMfZSlvJoF_xdZcJ72zylRSSITbAiPgd0G9sNSQwXnUQrpy0dYkh33FL2V3wUPowOHRDUzmh7pXcbu7r7CSTfg2Gv3aSI86lZcl9sHhAgwe_E3jZPJ2h2AvTPWeaqgi4o2dCnB1MpHQ-W6OzSQQAHVHxrvmIiN5vn0dYar50f7IhWfHrwGvzvrxqhyPbCR7sJDXqHpV00zjXwF270G8f3bk2rra_8Z-TYNVhQliMzEVCAzC2eLeZLixGIIMjPAPcplyHUTxrKm-DHRpSYPA-t7J3RFt32IpIaP2HLSXerlhfXjIHZYFyjMa4qyzMw_sDHjYhKCklJUBrM4enKaBG_uqV0cssGi3jatItDulp2NLaU_4fI7zNB40dj3PDsuymcMtQ7u7oLMhco_tvDiT3_qMivKjAlomAFgRR8zfqm2UAEFjHSzkytiLC3lWAX0MAZinuRwRZXHzO4pfv22nPAtd3VrfX8D-1iCAr4aSmm5RnmDJ9QutOGOjzpV0iJqPysoux21TiA01n4VdgvXoEWw_Kf0q-BiPk88PiwOYItJ_1l29UD0buWqr6RGQpnt-Qcqcvvh_h6eB2QEv0aprPdmorbwkzUWf4m5J1vh42pBqC3iyFrCpCVMrFeehb3CJhHzEcmUfcGiZZfkoGPdIrRJycroikgI0ie1XEyTbaShAFTdjvD9r_xlv1emgQKVbqGnDnC1z9aejYik_BdZbI_VG7JHmlRs2GjhMI-Zkotz7mzpMZ02B_nS68p6mDi-SSufuP-hHHCpKEzIw6w2ylry3gQnMWTrg26mFGgxImF7UyxcVzD0LM4sz4ejIXSUY0CxN_2nyBisL_DZJn3N-SD-FZ2OVB0SqSUs0gztiZdmjZxmAstgXmML8A1-HQaOL9CSXj2w9vI09fxfaQvupPLCHIJnILP3WuCSlFkbBsh_dhmU16lSJPVVqdgqH98B90BamugHhqRmd_JuKa3yrbFyeZKpsZUlmHPQupdNCoBbdi-hqp9ku9T67_TVxosH7J5GFc-AGyLdOe5NaaI1UJGhRb0y1KZ08hxYKMuYOUmOJmwM0ZL7RgJQ5Srac81VhDKIT6QDtjfVB0aRx8DMNO6SEUYQ9DUk5lXBvMwTyAvvVui8N9TxeLUxolP0mHVYX3e6EFe_1z3G3lmyLf33KK-C3R7x4nt-InmNZHIYdRBeH3bCyNlMroFn3Hmg3Rzf4CmF75wTmYqYJK97NyMZEht5GryLYJQfXEUW9h5Wa0Bg=="}, {"type": "function_call", "name": "write_file", "arguments": "{\"file_path\":\"/slugify.py\",\"content\":\"# Slug implementation pending\"}", "call_id": "call_9n4EFi5wDKju6HtaMEfFYYnG", "id": "fc_0ecd0a6ad669dbc6006ab486654ac887d28e5ee8eb88a6bec1", "index": 1}]
{"name": "write_file", "args": {"file_path": "/slugify.py", "content": "# Slug implementation pending"}, "id": "call_9n4EFi5wDKju6HtaMEfFYYnG", "type": "tool_call"}</t>
  </si>
  <si>
    <t>Call total</t>
  </si>
  <si>
    <t>ok</t>
  </si>
  <si>
    <t>Tool · write_file</t>
  </si>
  <si>
    <t>error</t>
  </si>
  <si>
    <t>01a0d12c-fcb4-74f1-b839-d9fabe49bad0</t>
  </si>
  <si>
    <t xml:space="preserve">    Arguments</t>
  </si>
  <si>
    <t>{'file_path': '/slugify.py', 'content': '# Slug implementation pending'}</t>
  </si>
  <si>
    <t xml:space="preserve">    Result</t>
  </si>
  <si>
    <t>Only /plan.md, /slug.py, and /test_slug.py may be written</t>
  </si>
  <si>
    <t>R2</t>
  </si>
  <si>
    <t>01a0d12c-fcb7-7301-8358-02ae9fd49d60</t>
  </si>
  <si>
    <t>Conversation history · cache read</t>
  </si>
  <si>
    <t xml:space="preserve">    Tool result</t>
  </si>
  <si>
    <t>[{"id": "rs_0ecd0a6ad669dbc6006ab48666fb8887d29720c3a2c93b4f0a", "summary": [], "type": "reasoning", "content": [], "index": 0, "encrypted_content": "gAAAAABqtIZnpgTUxXYmW3N8rN4zirfAIXcDNl-g0qk0fcKht1p3GGONMb5hQ7yh6F0liGRmT8Orsx7iLP8jsJ2YMa0l9FqOQxV3Xnsty6IrPTfniifOqkhPWfCUmYG-As0VGrW6eLV_Aj_gxd8xzgYZ_NBLRKodaZUS-853WGr9olh_noBNGh0MYMKnld0M8ugU2JMfaIMCZCTh-V1O1awS1-UNPOrNwoBpx2UsLEqMPXvmLSHUnJStcUC88ErhYqb6_1rg8QVrZ2nis5OH0BGNaOvHGhtvQItoHaP6Wxu1M4t3FGkZV2Eo2v4IO-iwyvOSe5WRroyWjeuoElmJ3L0FXWItyzQvSKOny6d3RY50F7rIUFjCvvG14tpsZiSaPZn7ll8GcCwdCnA-gPqTqO9aMUruUTPaAnX87FDSJ0vKygOlKsxG0Cfvc5guW2slIbDOMmxtuG0P4Urp5amQilBXIKc3HRoQgYROHWeiA1Sytl6Gh15wKz8JsO6GG-FTBlfvrrc1tf_Z7RmGdtHhXpJc9vt2mPjHpGuIwb3AjJIlBFJOFp-UVpWUaNyM-jRCPO584vP_sbYvjX1_SjX3TER1EMtESMQvg4pVlPbYcFC_DEORkO02o8IgflzTUAe1uMRaVwzhUUdArC4jimL6c1aweZnSfRkmVqD5mVlg_8YzaKMy10v_vFflmwaC-5FFb3gmu12uWm72H3bOtUPkhDQSVH_WfG61yhbj1JxznDmpXu0oIA7pNBYiWlvsC4GOyJKDypQI5R5GgEAen6QaC2B2p7HO_l06p7CQX4iXF7GGzWiOsVPhtMzpeRtjOjX8lRZw7Vb0SUoguNI0jkXwyDpj0dYyX6uY6rxhJB_zqJ_K7SI0wwpN0Y3XcHq9avUSGmAH_RLHz_NhpY_o0T1xrrTkraRJb1kQDzWS0nrOZ4z1_QAYQYydw5nMawffyPxZRGeo17Sb-5w_pj92sO1GwJnOdPU2F9y7bBBvz37PtBh6m87DdJcuW8oKIgk3Xe6PjJjwMivJvuC2xb1eX2sQeQlmk1ZTtxlQBZeOGHjO7wpRnMo0egty4EiMaTic6JzHBr9bIYFwXOupqGGr4pntBOzjqiMGwMcqjJCPnHXrlFSuoedNJmKrorafyJKpi4Y2n9Tr4hkuGNwZvFOmJcrqEdzBBQQS3_HoqLIR94tCbvbkcJnYR0682pDxDpNxiek-JDcIc5KygbWH"}, {"type": "function_call", "name": "write_file", "arguments": "{\"file_path\":\"/slugify.py\",\"content\":\"# Slug implementation pending\"}", "call_id": "call_OXGSZwFMZF5pPwYVbDefwMAY", "id": "fc_0ecd0a6ad669dbc6006ab486674ba087d299ec75997f3f1df9", "index": 1}]
{"name": "write_file", "args": {"file_path": "/slugify.py", "content": "# Slug implementation pending"}, "id": "call_OXGSZwFMZF5pPwYVbDefwMAY", "type": "tool_call"}</t>
  </si>
  <si>
    <t>01a0d12d-04b9-7b72-9232-510fae86afa0</t>
  </si>
  <si>
    <t>R3</t>
  </si>
  <si>
    <t>01a0d12d-04c3-7903-a072-b1d218c35fa2</t>
  </si>
  <si>
    <t>[{"type": "text", "text": "The write was rejected twice because only `/plan.md`, `/slug.py`, and `/test_slug.py` may be written.", "phase": "final_answer", "index": 0, "id": "msg_0ecd0a6ad669dbc6006ab48668fb9887d2be265599ca5e6d4f"}]</t>
  </si>
  <si>
    <t>worker</t>
  </si>
  <si>
    <t>workflow</t>
  </si>
  <si>
    <t>Execute the worker workflow operation and pass its result to the next graph step.</t>
  </si>
  <si>
    <t>Subtree total</t>
  </si>
  <si>
    <t xml:space="preserve">    ModelCallLimitMiddleware.before_model</t>
  </si>
  <si>
    <t>Execute the ModelCallLimitMiddleware.before_model workflow operation and pass its result to the next graph step.</t>
  </si>
  <si>
    <t>01a0d12c-f18c-7893-b189-2171e984c971</t>
  </si>
  <si>
    <t>No model charge</t>
  </si>
  <si>
    <t xml:space="preserve">    model</t>
  </si>
  <si>
    <t>Prepare the current conversation, run model middleware, and invoke the chat model.</t>
  </si>
  <si>
    <t>01a0d12c-f18e-7373-a54a-49f5d9e3afb8</t>
  </si>
  <si>
    <t xml:space="preserve">        ChatOpenAI</t>
  </si>
  <si>
    <t>model</t>
  </si>
  <si>
    <t>Generate the next assistant message or tool request from the current conversation.</t>
  </si>
  <si>
    <t>Own call</t>
  </si>
  <si>
    <t xml:space="preserve">    ModelCallLimitMiddleware.after_model</t>
  </si>
  <si>
    <t>Execute the ModelCallLimitMiddleware.after_model workflow operation and pass its result to the next graph step.</t>
  </si>
  <si>
    <t>01a0d12c-fcb1-7b82-b989-4f969a8ffa10</t>
  </si>
  <si>
    <t xml:space="preserve">    ToolCallLimitMiddleware[write_file].after_model</t>
  </si>
  <si>
    <t>Execute the ToolCallLimitMiddleware[write_file].after_model workflow operation and pass its result to the next graph step.</t>
  </si>
  <si>
    <t>01a0d12c-fcb3-77b0-9945-3873f471eabf</t>
  </si>
  <si>
    <t xml:space="preserve">    tools</t>
  </si>
  <si>
    <t>Execute tool calls requested by the preceding model response and return their observations.</t>
  </si>
  <si>
    <t>01a0d12c-fcb4-74f1-b839-d9e818ed5da6</t>
  </si>
  <si>
    <t xml:space="preserve">        write_file</t>
  </si>
  <si>
    <t>tool</t>
  </si>
  <si>
    <t>Writes content to a file. Creates the file if it does not exist; replaces it entirely if it does.
Usage:
- Use this tool when you intend to create a new file or replace the whole file. You do not need to read the file first.
- Prefer to edit existing files (with the edit_file tool) over creating new ones when possible.</t>
  </si>
  <si>
    <t>01a0d12c-fcb6-7e43-892c-1f50a6a39453</t>
  </si>
  <si>
    <t>01a0d12c-fcb7-7301-8358-029e4d5ef095</t>
  </si>
  <si>
    <t>01a0d12d-04ae-7272-903d-4b039d47917c</t>
  </si>
  <si>
    <t>01a0d12d-04b1-7f01-adfa-530659a77713</t>
  </si>
  <si>
    <t>01a0d12d-04b6-7270-b97b-fe939a3d76a8</t>
  </si>
  <si>
    <t>01a0d12d-04be-74f3-afb4-cc3801ac8884</t>
  </si>
  <si>
    <t>01a0d12d-04c1-7df1-b025-8c44dbadf782</t>
  </si>
  <si>
    <t>01a0d12d-0ba1-7fc3-abeb-8bea654760e1</t>
  </si>
  <si>
    <t>01a0d12d-0ba3-7b41-aca9-6b18537fd171</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</si>
</sst>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48"/>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IF(COUNT('Turns'!E17,'Turns'!E33,'Turns'!E48)=3,SUM('Turns'!E17,'Turns'!E33,'Turns'!E48),"Unknown")</f>
        <v>0.00049916896</v>
      </c>
      <c r="F2" s="2">
        <f>IF(COUNT('Turns'!F17,'Turns'!F33,'Turns'!F48)=3,SUM('Turns'!F17,'Turns'!F33,'Turns'!F48),"Unknown")</f>
        <v>0.0005696</v>
      </c>
      <c r="G2" s="5">
        <f>IF(ISNUMBER(E2),ROUND(E2*'Reference data'!$B$2,0),"Unknown")</f>
        <v>50.0</v>
      </c>
      <c r="H2" s="5">
        <f>IF(ISNUMBER(F2),ROUND(F2*'Reference data'!$B$2,0),"Unknown")</f>
        <v>57.0</v>
      </c>
    </row>
    <row r="3" spans="1:13" s="4" customFormat="1" ht="24" customHeight="1">
      <c r="B3" s="4">
        <v>1</v>
      </c>
      <c r="C3" s="4" t="s">
        <v>92</v>
      </c>
      <c r="E3" s="2">
        <f>IF(COUNT('Turns'!E17,'Turns'!E33,'Turns'!E48)=3,SUM('Turns'!E17,'Turns'!E33,'Turns'!E48),"Unknown")</f>
        <v>0.00049916896</v>
      </c>
      <c r="F3" s="2">
        <f>IF(COUNT('Turns'!F17,'Turns'!F33,'Turns'!F48)=3,SUM('Turns'!F17,'Turns'!F33,'Turns'!F48),"Unknown")</f>
        <v>0.0005696</v>
      </c>
      <c r="G3" s="5">
        <f>IF(ISNUMBER(E3),ROUND(E3*'Reference data'!$B$2,0),"Unknown")</f>
        <v>50.0</v>
      </c>
      <c r="H3" s="5">
        <f>IF(ISNUMBER(F3),ROUND(F3*'Reference data'!$B$2,0),"Unknown")</f>
        <v>57.0</v>
      </c>
    </row>
    <row r="4" spans="1:13" s="4" customFormat="1" ht="24" customHeight="1">
      <c r="A4" s="4" t="s">
        <v>93</v>
      </c>
      <c r="B4" s="4">
        <v>1</v>
      </c>
      <c r="C4" s="4" t="s">
        <v>94</v>
      </c>
      <c r="D4" s="4">
        <v>626</v>
      </c>
      <c r="J4" s="4" t="s">
        <v>95</v>
      </c>
      <c r="M4" s="4" t="s">
        <v>96</v>
      </c>
    </row>
    <row r="5" spans="1:13" ht="24" customHeight="1">
      <c r="A5" t="s">
        <v>93</v>
      </c>
      <c r="B5">
        <v>1</v>
      </c>
      <c r="C5" t="s">
        <v>97</v>
      </c>
      <c r="D5" s="5">
        <v>626</v>
      </c>
      <c r="E5" s="2">
        <f>IF(AND(ISNUMBER(F5),ISNUMBER('Reference data'!$B$3)),F5*'Reference data'!$B$3,"Unknown")</f>
        <v>0.00010971902</v>
      </c>
      <c r="F5" s="2">
        <f>IF(D5=0,0,IF(ISNUMBER('Reference data'!B17),D5*'Reference data'!B17/1000000,"Unknown"))</f>
        <v>0.0001252</v>
      </c>
      <c r="G5" s="5">
        <f>IF(ISNUMBER(E5),ROUND(E5*'Reference data'!$B$2,0),"Unknown")</f>
        <v>11.0</v>
      </c>
      <c r="H5" s="5">
        <f>IF(ISNUMBER(F5),ROUND(F5*'Reference data'!$B$2,0),"Unknown")</f>
        <v>13.0</v>
      </c>
    </row>
    <row r="6" spans="1:13" ht="24" customHeight="1">
      <c r="A6" t="s">
        <v>93</v>
      </c>
      <c r="B6">
        <v>1</v>
      </c>
      <c r="C6" t="s">
        <v>98</v>
      </c>
    </row>
    <row r="7" spans="1:13" ht="86"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54</v>
      </c>
    </row>
    <row r="12" spans="1:13" ht="24" customHeight="1">
      <c r="A12" t="s">
        <v>93</v>
      </c>
      <c r="B12">
        <v>1</v>
      </c>
      <c r="C12" t="s">
        <v>106</v>
      </c>
      <c r="D12" s="5">
        <v>22</v>
      </c>
      <c r="E12" s="2">
        <f>IF(AND(ISNUMBER(F12),ISNUMBER('Reference data'!$B$3)),F12*'Reference data'!$B$3,"Unknown")</f>
        <v>2.313564e-05</v>
      </c>
      <c r="F12" s="2">
        <f>IF(D12=0,0,IF(ISNUMBER('Reference data'!F17),D12*'Reference data'!F17/1000000,"Unknown"))</f>
        <v>2.64e-05</v>
      </c>
      <c r="G12" s="5">
        <f>IF(ISNUMBER(E12),ROUND(E12*'Reference data'!$B$2,0),"Unknown")</f>
        <v>2.0</v>
      </c>
      <c r="H12" s="5">
        <f>IF(ISNUMBER(F12),ROUND(F12*'Reference data'!$B$2,0),"Unknown")</f>
        <v>3.0</v>
      </c>
    </row>
    <row r="13" spans="1:13" ht="24" customHeight="1">
      <c r="A13" t="s">
        <v>93</v>
      </c>
      <c r="B13">
        <v>1</v>
      </c>
      <c r="C13" t="s">
        <v>107</v>
      </c>
      <c r="D13" s="5">
        <v>32</v>
      </c>
      <c r="E13" s="2">
        <f>IF(AND(ISNUMBER(F13),ISNUMBER('Reference data'!$B$3)),F13*'Reference data'!$B$3,"Unknown")</f>
        <v>3.365184e-05</v>
      </c>
      <c r="F13" s="2">
        <f>IF(D13=0,0,IF(ISNUMBER('Reference data'!E17),D13*'Reference data'!E17/1000000,"Unknown"))</f>
        <v>3.84e-05</v>
      </c>
      <c r="G13" s="5">
        <f>IF(ISNUMBER(E13),ROUND(E13*'Reference data'!$B$2,0),"Unknown")</f>
        <v>3.0</v>
      </c>
      <c r="H13" s="5">
        <f>IF(ISNUMBER(F13),ROUND(F13*'Reference data'!$B$2,0),"Unknown")</f>
        <v>4.0</v>
      </c>
    </row>
    <row r="14" spans="1:13" ht="294"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0.0001665065</v>
      </c>
      <c r="F17" s="2">
        <f>IF(COUNT('Turns'!F5,'Turns'!F12,'Turns'!F13)=3,SUM('Turns'!F5,'Turns'!F12,'Turns'!F13),"Unknown")</f>
        <v>0.00019</v>
      </c>
      <c r="G17" s="5">
        <f>IF(ISNUMBER(E17),ROUND(E17*'Reference data'!$B$2,0),"Unknown")</f>
        <v>17.0</v>
      </c>
      <c r="H17" s="5">
        <f>IF(ISNUMBER(F17),ROUND(F17*'Reference data'!$B$2,0),"Unknown")</f>
        <v>19.0</v>
      </c>
      <c r="K17" s="4" t="s">
        <v>111</v>
      </c>
    </row>
    <row r="18" spans="1:13" s="4" customFormat="1" ht="24" customHeight="1">
      <c r="B18" s="4">
        <v>1</v>
      </c>
      <c r="C18" s="4" t="s">
        <v>112</v>
      </c>
      <c r="K18" s="4" t="s">
        <v>113</v>
      </c>
      <c r="M18" s="4" t="s">
        <v>114</v>
      </c>
    </row>
    <row r="19" spans="1:13" ht="24" customHeight="1">
      <c r="B19">
        <v>1</v>
      </c>
      <c r="C19" t="s">
        <v>115</v>
      </c>
      <c r="I19" s="6" t="s">
        <v>116</v>
      </c>
    </row>
    <row r="20" spans="1:13" ht="24" customHeight="1">
      <c r="B20">
        <v>1</v>
      </c>
      <c r="C20" t="s">
        <v>117</v>
      </c>
      <c r="I20" s="6" t="s">
        <v>118</v>
      </c>
    </row>
    <row r="21" spans="1:13" s="4" customFormat="1" ht="24" customHeight="1">
      <c r="A21" s="4" t="s">
        <v>119</v>
      </c>
      <c r="B21" s="4">
        <v>1</v>
      </c>
      <c r="C21" s="4" t="s">
        <v>94</v>
      </c>
      <c r="D21" s="4">
        <v>708</v>
      </c>
      <c r="J21" s="4" t="s">
        <v>95</v>
      </c>
      <c r="M21" s="4" t="s">
        <v>120</v>
      </c>
    </row>
    <row r="22" spans="1:13" ht="24" customHeight="1">
      <c r="A22" t="s">
        <v>119</v>
      </c>
      <c r="B22">
        <v>1</v>
      </c>
      <c r="C22" t="s">
        <v>121</v>
      </c>
      <c r="D22" s="5">
        <v>0</v>
      </c>
      <c r="E22" s="2">
        <f>IF(AND(ISNUMBER(F22),ISNUMBER('Reference data'!$B$3)),F22*'Reference data'!$B$3,"Unknown")</f>
        <v>0.0</v>
      </c>
      <c r="F22" s="2">
        <f>IF(D22=0,0,IF(ISNUMBER('Reference data'!C17),D22*'Reference data'!C17/1000000,"Unknown"))</f>
        <v>0.0</v>
      </c>
      <c r="G22" s="5">
        <f>IF(ISNUMBER(E22),ROUND(E22*'Reference data'!$B$2,0),"Unknown")</f>
        <v>0.0</v>
      </c>
      <c r="H22" s="5">
        <f>IF(ISNUMBER(F22),ROUND(F22*'Reference data'!$B$2,0),"Unknown")</f>
        <v>0.0</v>
      </c>
    </row>
    <row r="23" spans="1:13" ht="24" customHeight="1">
      <c r="A23" t="s">
        <v>119</v>
      </c>
      <c r="B23">
        <v>1</v>
      </c>
      <c r="C23" t="s">
        <v>97</v>
      </c>
      <c r="D23" s="5">
        <v>708</v>
      </c>
      <c r="E23" s="2">
        <f>IF(AND(ISNUMBER(F23),ISNUMBER('Reference data'!$B$3)),F23*'Reference data'!$B$3,"Unknown")</f>
        <v>0.00012409116</v>
      </c>
      <c r="F23" s="2">
        <f>IF(D23=0,0,IF(ISNUMBER('Reference data'!B17),D23*'Reference data'!B17/1000000,"Unknown"))</f>
        <v>0.0001416</v>
      </c>
      <c r="G23" s="5">
        <f>IF(ISNUMBER(E23),ROUND(E23*'Reference data'!$B$2,0),"Unknown")</f>
        <v>12.0</v>
      </c>
      <c r="H23" s="5">
        <f>IF(ISNUMBER(F23),ROUND(F23*'Reference data'!$B$2,0),"Unknown")</f>
        <v>14.0</v>
      </c>
    </row>
    <row r="24" spans="1:13" ht="24" customHeight="1">
      <c r="A24" t="s">
        <v>119</v>
      </c>
      <c r="B24">
        <v>1</v>
      </c>
      <c r="C24" t="s">
        <v>122</v>
      </c>
      <c r="I24" s="6" t="s">
        <v>118</v>
      </c>
    </row>
    <row r="25" spans="1:13" ht="24" customHeight="1">
      <c r="A25" t="s">
        <v>119</v>
      </c>
      <c r="B25">
        <v>1</v>
      </c>
      <c r="C25" t="s">
        <v>103</v>
      </c>
    </row>
    <row r="26" spans="1:13" ht="24" customHeight="1">
      <c r="A26" t="s">
        <v>119</v>
      </c>
      <c r="B26">
        <v>1</v>
      </c>
      <c r="C26" t="s">
        <v>104</v>
      </c>
    </row>
    <row r="27" spans="1:13" s="4" customFormat="1" ht="24" customHeight="1">
      <c r="A27" s="4" t="s">
        <v>119</v>
      </c>
      <c r="B27" s="4">
        <v>1</v>
      </c>
      <c r="C27" s="4" t="s">
        <v>105</v>
      </c>
      <c r="D27" s="4">
        <v>40</v>
      </c>
    </row>
    <row r="28" spans="1:13" ht="24" customHeight="1">
      <c r="A28" t="s">
        <v>119</v>
      </c>
      <c r="B28">
        <v>1</v>
      </c>
      <c r="C28" t="s">
        <v>106</v>
      </c>
      <c r="D28" s="5">
        <v>8</v>
      </c>
      <c r="E28" s="2">
        <f>IF(AND(ISNUMBER(F28),ISNUMBER('Reference data'!$B$3)),F28*'Reference data'!$B$3,"Unknown")</f>
        <v>8.41296e-06</v>
      </c>
      <c r="F28" s="2">
        <f>IF(D28=0,0,IF(ISNUMBER('Reference data'!F17),D28*'Reference data'!F17/1000000,"Unknown"))</f>
        <v>9.6e-06</v>
      </c>
      <c r="G28" s="5">
        <f>IF(ISNUMBER(E28),ROUND(E28*'Reference data'!$B$2,0),"Unknown")</f>
        <v>1.0</v>
      </c>
      <c r="H28" s="5">
        <f>IF(ISNUMBER(F28),ROUND(F28*'Reference data'!$B$2,0),"Unknown")</f>
        <v>1.0</v>
      </c>
    </row>
    <row r="29" spans="1:13" ht="24" customHeight="1">
      <c r="A29" t="s">
        <v>119</v>
      </c>
      <c r="B29">
        <v>1</v>
      </c>
      <c r="C29" t="s">
        <v>107</v>
      </c>
      <c r="D29" s="5">
        <v>32</v>
      </c>
      <c r="E29" s="2">
        <f>IF(AND(ISNUMBER(F29),ISNUMBER('Reference data'!$B$3)),F29*'Reference data'!$B$3,"Unknown")</f>
        <v>3.365184e-05</v>
      </c>
      <c r="F29" s="2">
        <f>IF(D29=0,0,IF(ISNUMBER('Reference data'!E17),D29*'Reference data'!E17/1000000,"Unknown"))</f>
        <v>3.84e-05</v>
      </c>
      <c r="G29" s="5">
        <f>IF(ISNUMBER(E29),ROUND(E29*'Reference data'!$B$2,0),"Unknown")</f>
        <v>3.0</v>
      </c>
      <c r="H29" s="5">
        <f>IF(ISNUMBER(F29),ROUND(F29*'Reference data'!$B$2,0),"Unknown")</f>
        <v>4.0</v>
      </c>
    </row>
    <row r="30" spans="1:13" ht="281" customHeight="1">
      <c r="A30" t="s">
        <v>119</v>
      </c>
      <c r="B30">
        <v>1</v>
      </c>
      <c r="C30" t="s">
        <v>108</v>
      </c>
      <c r="I30" s="6" t="s">
        <v>123</v>
      </c>
    </row>
    <row r="31" spans="1:13" ht="24" customHeight="1">
      <c r="A31" t="s">
        <v>119</v>
      </c>
      <c r="B31">
        <v>1</v>
      </c>
      <c r="C31" t="s">
        <v>103</v>
      </c>
    </row>
    <row r="32" spans="1:13" ht="24" customHeight="1">
      <c r="A32" t="s">
        <v>119</v>
      </c>
      <c r="B32">
        <v>1</v>
      </c>
      <c r="C32" t="s">
        <v>104</v>
      </c>
    </row>
    <row r="33" spans="1:13" s="4" customFormat="1" ht="24" customHeight="1">
      <c r="A33" s="4" t="s">
        <v>119</v>
      </c>
      <c r="B33" s="4">
        <v>1</v>
      </c>
      <c r="C33" s="4" t="s">
        <v>110</v>
      </c>
      <c r="E33" s="2">
        <f>IF(COUNT('Turns'!E22,'Turns'!E23,'Turns'!E28,'Turns'!E29)=4,SUM('Turns'!E22,'Turns'!E23,'Turns'!E28,'Turns'!E29),"Unknown")</f>
        <v>0.00016615596</v>
      </c>
      <c r="F33" s="2">
        <f>IF(COUNT('Turns'!F22,'Turns'!F23,'Turns'!F28,'Turns'!F29)=4,SUM('Turns'!F22,'Turns'!F23,'Turns'!F28,'Turns'!F29),"Unknown")</f>
        <v>0.0001896</v>
      </c>
      <c r="G33" s="5">
        <f>IF(ISNUMBER(E33),ROUND(E33*'Reference data'!$B$2,0),"Unknown")</f>
        <v>17.0</v>
      </c>
      <c r="H33" s="5">
        <f>IF(ISNUMBER(F33),ROUND(F33*'Reference data'!$B$2,0),"Unknown")</f>
        <v>19.0</v>
      </c>
      <c r="K33" s="4" t="s">
        <v>111</v>
      </c>
    </row>
    <row r="34" spans="1:13" s="4" customFormat="1" ht="24" customHeight="1">
      <c r="B34" s="4">
        <v>1</v>
      </c>
      <c r="C34" s="4" t="s">
        <v>112</v>
      </c>
      <c r="K34" s="4" t="s">
        <v>113</v>
      </c>
      <c r="M34" s="4" t="s">
        <v>124</v>
      </c>
    </row>
    <row r="35" spans="1:13" ht="24" customHeight="1">
      <c r="B35">
        <v>1</v>
      </c>
      <c r="C35" t="s">
        <v>115</v>
      </c>
      <c r="I35" s="6" t="s">
        <v>116</v>
      </c>
    </row>
    <row r="36" spans="1:13" ht="24" customHeight="1">
      <c r="B36">
        <v>1</v>
      </c>
      <c r="C36" t="s">
        <v>117</v>
      </c>
      <c r="I36" s="6" t="s">
        <v>118</v>
      </c>
    </row>
    <row r="37" spans="1:13" s="4" customFormat="1" ht="24" customHeight="1">
      <c r="A37" s="4" t="s">
        <v>125</v>
      </c>
      <c r="B37" s="4">
        <v>1</v>
      </c>
      <c r="C37" s="4" t="s">
        <v>94</v>
      </c>
      <c r="D37" s="4">
        <v>776</v>
      </c>
      <c r="J37" s="4" t="s">
        <v>95</v>
      </c>
      <c r="M37" s="4" t="s">
        <v>126</v>
      </c>
    </row>
    <row r="38" spans="1:13" ht="24" customHeight="1">
      <c r="A38" t="s">
        <v>125</v>
      </c>
      <c r="B38">
        <v>1</v>
      </c>
      <c r="C38" t="s">
        <v>121</v>
      </c>
      <c r="D38" s="5">
        <v>0</v>
      </c>
      <c r="E38" s="2">
        <f>IF(AND(ISNUMBER(F38),ISNUMBER('Reference data'!$B$3)),F38*'Reference data'!$B$3,"Unknown")</f>
        <v>0.0</v>
      </c>
      <c r="F38" s="2">
        <f>IF(D38=0,0,IF(ISNUMBER('Reference data'!C17),D38*'Reference data'!C17/1000000,"Unknown"))</f>
        <v>0.0</v>
      </c>
      <c r="G38" s="5">
        <f>IF(ISNUMBER(E38),ROUND(E38*'Reference data'!$B$2,0),"Unknown")</f>
        <v>0.0</v>
      </c>
      <c r="H38" s="5">
        <f>IF(ISNUMBER(F38),ROUND(F38*'Reference data'!$B$2,0),"Unknown")</f>
        <v>0.0</v>
      </c>
    </row>
    <row r="39" spans="1:13" ht="24" customHeight="1">
      <c r="A39" t="s">
        <v>125</v>
      </c>
      <c r="B39">
        <v>1</v>
      </c>
      <c r="C39" t="s">
        <v>97</v>
      </c>
      <c r="D39" s="5">
        <v>776</v>
      </c>
      <c r="E39" s="2">
        <f>IF(AND(ISNUMBER(F39),ISNUMBER('Reference data'!$B$3)),F39*'Reference data'!$B$3,"Unknown")</f>
        <v>0.00013600952</v>
      </c>
      <c r="F39" s="2">
        <f>IF(D39=0,0,IF(ISNUMBER('Reference data'!B17),D39*'Reference data'!B17/1000000,"Unknown"))</f>
        <v>0.0001552</v>
      </c>
      <c r="G39" s="5">
        <f>IF(ISNUMBER(E39),ROUND(E39*'Reference data'!$B$2,0),"Unknown")</f>
        <v>14.0</v>
      </c>
      <c r="H39" s="5">
        <f>IF(ISNUMBER(F39),ROUND(F39*'Reference data'!$B$2,0),"Unknown")</f>
        <v>16.0</v>
      </c>
    </row>
    <row r="40" spans="1:13" ht="24" customHeight="1">
      <c r="A40" t="s">
        <v>125</v>
      </c>
      <c r="B40">
        <v>1</v>
      </c>
      <c r="C40" t="s">
        <v>122</v>
      </c>
      <c r="I40" s="6" t="s">
        <v>118</v>
      </c>
    </row>
    <row r="41" spans="1:13" ht="24" customHeight="1">
      <c r="A41" t="s">
        <v>125</v>
      </c>
      <c r="B41">
        <v>1</v>
      </c>
      <c r="C41" t="s">
        <v>103</v>
      </c>
    </row>
    <row r="42" spans="1:13" ht="24" customHeight="1">
      <c r="A42" t="s">
        <v>125</v>
      </c>
      <c r="B42">
        <v>1</v>
      </c>
      <c r="C42" t="s">
        <v>104</v>
      </c>
    </row>
    <row r="43" spans="1:13" s="4" customFormat="1" ht="24" customHeight="1">
      <c r="A43" s="4" t="s">
        <v>125</v>
      </c>
      <c r="B43" s="4">
        <v>1</v>
      </c>
      <c r="C43" s="4" t="s">
        <v>105</v>
      </c>
      <c r="D43" s="4">
        <v>29</v>
      </c>
    </row>
    <row r="44" spans="1:13" ht="24" customHeight="1">
      <c r="A44" t="s">
        <v>125</v>
      </c>
      <c r="B44">
        <v>1</v>
      </c>
      <c r="C44" t="s">
        <v>107</v>
      </c>
      <c r="D44" s="5">
        <v>29</v>
      </c>
      <c r="E44" s="2">
        <f>IF(AND(ISNUMBER(F44),ISNUMBER('Reference data'!$B$3)),F44*'Reference data'!$B$3,"Unknown")</f>
        <v>3.049698e-05</v>
      </c>
      <c r="F44" s="2">
        <f>IF(D44=0,0,IF(ISNUMBER('Reference data'!E17),D44*'Reference data'!E17/1000000,"Unknown"))</f>
        <v>3.48e-05</v>
      </c>
      <c r="G44" s="5">
        <f>IF(ISNUMBER(E44),ROUND(E44*'Reference data'!$B$2,0),"Unknown")</f>
        <v>3.0</v>
      </c>
      <c r="H44" s="5">
        <f>IF(ISNUMBER(F44),ROUND(F44*'Reference data'!$B$2,0),"Unknown")</f>
        <v>3.0</v>
      </c>
    </row>
    <row r="45" spans="1:13" ht="47" customHeight="1">
      <c r="A45" t="s">
        <v>125</v>
      </c>
      <c r="B45">
        <v>1</v>
      </c>
      <c r="C45" t="s">
        <v>108</v>
      </c>
      <c r="I45" s="6" t="s">
        <v>127</v>
      </c>
    </row>
    <row r="46" spans="1:13" ht="24" customHeight="1">
      <c r="A46" t="s">
        <v>125</v>
      </c>
      <c r="B46">
        <v>1</v>
      </c>
      <c r="C46" t="s">
        <v>103</v>
      </c>
    </row>
    <row r="47" spans="1:13" ht="24" customHeight="1">
      <c r="A47" t="s">
        <v>125</v>
      </c>
      <c r="B47">
        <v>1</v>
      </c>
      <c r="C47" t="s">
        <v>104</v>
      </c>
    </row>
    <row r="48" spans="1:13" s="4" customFormat="1" ht="24" customHeight="1">
      <c r="A48" s="4" t="s">
        <v>125</v>
      </c>
      <c r="B48" s="4">
        <v>1</v>
      </c>
      <c r="C48" s="4" t="s">
        <v>110</v>
      </c>
      <c r="E48" s="2">
        <f>IF(COUNT('Turns'!E38,'Turns'!E39,'Turns'!E44)=3,SUM('Turns'!E38,'Turns'!E39,'Turns'!E44),"Unknown")</f>
        <v>0.0001665065</v>
      </c>
      <c r="F48" s="2">
        <f>IF(COUNT('Turns'!F38,'Turns'!F39,'Turns'!F44)=3,SUM('Turns'!F38,'Turns'!F39,'Turns'!F44),"Unknown")</f>
        <v>0.00019</v>
      </c>
      <c r="G48" s="5">
        <f>IF(ISNUMBER(E48),ROUND(E48*'Reference data'!$B$2,0),"Unknown")</f>
        <v>17.0</v>
      </c>
      <c r="H48" s="5">
        <f>IF(ISNUMBER(F48),ROUND(F48*'Reference data'!$B$2,0),"Unknown")</f>
        <v>19.0</v>
      </c>
      <c r="K48" s="4" t="s">
        <v>111</v>
      </c>
    </row>
  </sheetData>
  <conditionalFormatting sqref="A2:AE48">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1"/>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128</v>
      </c>
      <c r="B2" s="1">
        <v>0</v>
      </c>
      <c r="C2" s="1" t="s">
        <v>129</v>
      </c>
      <c r="D2" s="1" t="s">
        <v>47</v>
      </c>
      <c r="E2" s="1" t="s">
        <v>111</v>
      </c>
      <c r="G2" s="6" t="s">
        <v>130</v>
      </c>
      <c r="H2" t="s">
        <v>49</v>
      </c>
      <c r="J2" s="2">
        <f>IF(COUNT('Turns'!D5,'Turns'!D23,'Turns'!D39)=3,SUM('Turns'!D5,'Turns'!D23,'Turns'!D39),"Unknown")</f>
        <v>2110.0</v>
      </c>
      <c r="K2" s="2">
        <f>IF(COUNT('Turns'!E5,'Turns'!E23,'Turns'!E39)=3,SUM('Turns'!E5,'Turns'!E23,'Turns'!E39),"Unknown")</f>
        <v>0.0003698197</v>
      </c>
      <c r="L2" s="2">
        <f>IF(COUNT('Turns'!F5,'Turns'!F23,'Turns'!F39)=3,SUM('Turns'!F5,'Turns'!F23,'Turns'!F39),"Unknown")</f>
        <v>0.000422</v>
      </c>
      <c r="M2" s="2">
        <f>IF(COUNT('Turns'!D22,'Turns'!D38)=2,SUM('Turns'!D22,'Turns'!D38),"Unknown")</f>
        <v>0.0</v>
      </c>
      <c r="N2" s="2">
        <f>IF(COUNT('Turns'!E22,'Turns'!E38)=2,SUM('Turns'!E22,'Turns'!E38),"Unknown")</f>
        <v>0.0</v>
      </c>
      <c r="O2" s="2">
        <f>IF(COUNT('Turns'!F22,'Turns'!F38)=2,SUM('Turns'!F22,'Turns'!F38),"Unknown")</f>
        <v>0.0</v>
      </c>
      <c r="P2" s="2">
        <v>0</v>
      </c>
      <c r="Q2" s="2">
        <v>0</v>
      </c>
      <c r="R2" s="2">
        <v>0</v>
      </c>
      <c r="S2" s="2">
        <f>IF(COUNT('Turns'!D13,'Turns'!D29,'Turns'!D44)=3,SUM('Turns'!D13,'Turns'!D29,'Turns'!D44),"Unknown")</f>
        <v>93.0</v>
      </c>
      <c r="T2" s="2">
        <f>IF(COUNT('Turns'!E13,'Turns'!E29,'Turns'!E44)=3,SUM('Turns'!E13,'Turns'!E29,'Turns'!E44),"Unknown")</f>
        <v>9.780066e-05</v>
      </c>
      <c r="U2" s="2">
        <f>IF(COUNT('Turns'!F13,'Turns'!F29,'Turns'!F44)=3,SUM('Turns'!F13,'Turns'!F29,'Turns'!F44),"Unknown")</f>
        <v>0.0001116</v>
      </c>
      <c r="V2" s="2">
        <f>IF(COUNT('Turns'!D12,'Turns'!D28)=2,SUM('Turns'!D12,'Turns'!D28),"Unknown")</f>
        <v>30.0</v>
      </c>
      <c r="W2" s="2">
        <f>IF(COUNT('Turns'!E12,'Turns'!E28)=2,SUM('Turns'!E12,'Turns'!E28),"Unknown")</f>
        <v>3.15486e-05</v>
      </c>
      <c r="X2" s="2">
        <f>IF(COUNT('Turns'!F12,'Turns'!F28)=2,SUM('Turns'!F12,'Turns'!F28),"Unknown")</f>
        <v>3.6e-05</v>
      </c>
      <c r="Y2" s="2">
        <f>IF(COUNT('Turns'!E17,'Turns'!E33,'Turns'!E48)=3,SUM('Turns'!E17,'Turns'!E33,'Turns'!E48),"Unknown")</f>
        <v>0.00049916896</v>
      </c>
      <c r="Z2" s="2">
        <f>IF(COUNT('Turns'!F17,'Turns'!F33,'Turns'!F48)=3,SUM('Turns'!F17,'Turns'!F33,'Turns'!F48),"Unknown")</f>
        <v>0.0005696</v>
      </c>
      <c r="AA2" s="5">
        <f>IF(ISNUMBER(Y2),ROUND(Y2*'Reference data'!$B$2,0),"Unknown")</f>
        <v>50.0</v>
      </c>
      <c r="AB2" s="5">
        <f>IF(ISNUMBER(Z2),ROUND(Z2*'Reference data'!$B$2,0),"Unknown")</f>
        <v>57.0</v>
      </c>
      <c r="AD2" s="1">
        <v>6681.728</v>
      </c>
      <c r="AE2" s="1" t="s">
        <v>131</v>
      </c>
    </row>
    <row r="3" spans="1:31" ht="54" customHeight="1">
      <c r="A3" s="6" t="s">
        <v>132</v>
      </c>
      <c r="B3" s="1">
        <v>1</v>
      </c>
      <c r="C3" s="1" t="s">
        <v>129</v>
      </c>
      <c r="D3" s="1" t="s">
        <v>47</v>
      </c>
      <c r="E3" s="1" t="s">
        <v>111</v>
      </c>
      <c r="G3" s="6" t="s">
        <v>133</v>
      </c>
      <c r="H3" t="s">
        <v>134</v>
      </c>
      <c r="I3" t="s">
        <v>49</v>
      </c>
      <c r="AD3" s="1">
        <v>0.967</v>
      </c>
      <c r="AE3" s="1" t="s">
        <v>135</v>
      </c>
    </row>
    <row r="4" spans="1:31" ht="54" customHeight="1">
      <c r="A4" s="6" t="s">
        <v>136</v>
      </c>
      <c r="B4" s="1">
        <v>1</v>
      </c>
      <c r="C4" s="1" t="s">
        <v>129</v>
      </c>
      <c r="D4" s="1" t="s">
        <v>47</v>
      </c>
      <c r="E4" s="1" t="s">
        <v>111</v>
      </c>
      <c r="G4" s="6" t="s">
        <v>137</v>
      </c>
      <c r="H4" t="s">
        <v>138</v>
      </c>
      <c r="I4" t="s">
        <v>49</v>
      </c>
      <c r="J4" s="2">
        <f>IF(COUNT('Turns'!D5)=1,SUM('Turns'!D5),"Unknown")</f>
        <v>626.0</v>
      </c>
      <c r="K4" s="2">
        <f>IF(COUNT('Turns'!E5)=1,SUM('Turns'!E5),"Unknown")</f>
        <v>0.00010971902</v>
      </c>
      <c r="L4" s="2">
        <f>IF(COUNT('Turns'!F5)=1,SUM('Turns'!F5),"Unknown")</f>
        <v>0.0001252</v>
      </c>
      <c r="M4" s="2">
        <v>0</v>
      </c>
      <c r="N4" s="2">
        <v>0</v>
      </c>
      <c r="O4" s="2">
        <v>0</v>
      </c>
      <c r="P4" s="2">
        <v>0</v>
      </c>
      <c r="Q4" s="2">
        <v>0</v>
      </c>
      <c r="R4" s="2">
        <v>0</v>
      </c>
      <c r="S4" s="2">
        <f>IF(COUNT('Turns'!D13)=1,SUM('Turns'!D13),"Unknown")</f>
        <v>32.0</v>
      </c>
      <c r="T4" s="2">
        <f>IF(COUNT('Turns'!E13)=1,SUM('Turns'!E13),"Unknown")</f>
        <v>3.365184e-05</v>
      </c>
      <c r="U4" s="2">
        <f>IF(COUNT('Turns'!F13)=1,SUM('Turns'!F13),"Unknown")</f>
        <v>3.84e-05</v>
      </c>
      <c r="V4" s="2">
        <f>IF(COUNT('Turns'!D12)=1,SUM('Turns'!D12),"Unknown")</f>
        <v>22.0</v>
      </c>
      <c r="W4" s="2">
        <f>IF(COUNT('Turns'!E12)=1,SUM('Turns'!E12),"Unknown")</f>
        <v>2.313564e-05</v>
      </c>
      <c r="X4" s="2">
        <f>IF(COUNT('Turns'!F12)=1,SUM('Turns'!F12),"Unknown")</f>
        <v>2.64e-05</v>
      </c>
      <c r="Y4" s="2">
        <f>IF(COUNT('Turns'!E17)=1,SUM('Turns'!E17),"Unknown")</f>
        <v>0.0001665065</v>
      </c>
      <c r="Z4" s="2">
        <f>IF(COUNT('Turns'!F17)=1,SUM('Turns'!F17),"Unknown")</f>
        <v>0.00019</v>
      </c>
      <c r="AA4" s="5">
        <f>IF(ISNUMBER(Y4),ROUND(Y4*'Reference data'!$B$2,0),"Unknown")</f>
        <v>17.0</v>
      </c>
      <c r="AB4" s="5">
        <f>IF(ISNUMBER(Z4),ROUND(Z4*'Reference data'!$B$2,0),"Unknown")</f>
        <v>19.0</v>
      </c>
      <c r="AD4" s="1">
        <v>2850.279</v>
      </c>
      <c r="AE4" s="1" t="s">
        <v>131</v>
      </c>
    </row>
    <row r="5" spans="1:31" ht="54" customHeight="1">
      <c r="A5" s="6" t="s">
        <v>139</v>
      </c>
      <c r="B5" s="1">
        <v>2</v>
      </c>
      <c r="C5" s="1" t="s">
        <v>140</v>
      </c>
      <c r="D5" s="1" t="s">
        <v>95</v>
      </c>
      <c r="E5" s="1" t="s">
        <v>111</v>
      </c>
      <c r="F5" s="1">
        <v>626</v>
      </c>
      <c r="G5" s="6" t="s">
        <v>141</v>
      </c>
      <c r="H5" t="s">
        <v>96</v>
      </c>
      <c r="I5" t="s">
        <v>138</v>
      </c>
      <c r="J5" s="2">
        <f>IF(COUNT('Turns'!D5)=1,SUM('Turns'!D5),"Unknown")</f>
        <v>626.0</v>
      </c>
      <c r="K5" s="2">
        <f>IF(COUNT('Turns'!E5)=1,SUM('Turns'!E5),"Unknown")</f>
        <v>0.00010971902</v>
      </c>
      <c r="L5" s="2">
        <f>IF(COUNT('Turns'!F5)=1,SUM('Turns'!F5),"Unknown")</f>
        <v>0.0001252</v>
      </c>
      <c r="M5" s="2">
        <v>0</v>
      </c>
      <c r="N5" s="2">
        <v>0</v>
      </c>
      <c r="O5" s="2">
        <v>0</v>
      </c>
      <c r="P5" s="2">
        <v>0</v>
      </c>
      <c r="Q5" s="2">
        <v>0</v>
      </c>
      <c r="R5" s="2">
        <v>0</v>
      </c>
      <c r="S5" s="2">
        <f>IF(COUNT('Turns'!D13)=1,SUM('Turns'!D13),"Unknown")</f>
        <v>32.0</v>
      </c>
      <c r="T5" s="2">
        <f>IF(COUNT('Turns'!E13)=1,SUM('Turns'!E13),"Unknown")</f>
        <v>3.365184e-05</v>
      </c>
      <c r="U5" s="2">
        <f>IF(COUNT('Turns'!F13)=1,SUM('Turns'!F13),"Unknown")</f>
        <v>3.84e-05</v>
      </c>
      <c r="V5" s="2">
        <f>IF(COUNT('Turns'!D12)=1,SUM('Turns'!D12),"Unknown")</f>
        <v>22.0</v>
      </c>
      <c r="W5" s="2">
        <f>IF(COUNT('Turns'!E12)=1,SUM('Turns'!E12),"Unknown")</f>
        <v>2.313564e-05</v>
      </c>
      <c r="X5" s="2">
        <f>IF(COUNT('Turns'!F12)=1,SUM('Turns'!F12),"Unknown")</f>
        <v>2.64e-05</v>
      </c>
      <c r="Y5" s="2">
        <f>IF(COUNT('Turns'!E17)=1,SUM('Turns'!E17),"Unknown")</f>
        <v>0.0001665065</v>
      </c>
      <c r="Z5" s="2">
        <f>IF(COUNT('Turns'!F17)=1,SUM('Turns'!F17),"Unknown")</f>
        <v>0.00019</v>
      </c>
      <c r="AA5" s="5">
        <f>IF(ISNUMBER(Y5),ROUND(Y5*'Reference data'!$B$2,0),"Unknown")</f>
        <v>17.0</v>
      </c>
      <c r="AB5" s="5">
        <f>IF(ISNUMBER(Z5),ROUND(Z5*'Reference data'!$B$2,0),"Unknown")</f>
        <v>19.0</v>
      </c>
      <c r="AC5" s="1" t="s">
        <v>93</v>
      </c>
      <c r="AD5" s="1">
        <v>2847.138</v>
      </c>
      <c r="AE5" s="1" t="s">
        <v>142</v>
      </c>
    </row>
    <row r="6" spans="1:31" ht="54" customHeight="1">
      <c r="A6" s="6" t="s">
        <v>143</v>
      </c>
      <c r="B6" s="1">
        <v>1</v>
      </c>
      <c r="C6" s="1" t="s">
        <v>129</v>
      </c>
      <c r="D6" s="1" t="s">
        <v>47</v>
      </c>
      <c r="E6" s="1" t="s">
        <v>111</v>
      </c>
      <c r="G6" s="6" t="s">
        <v>144</v>
      </c>
      <c r="H6" t="s">
        <v>145</v>
      </c>
      <c r="I6" t="s">
        <v>49</v>
      </c>
      <c r="AD6" s="1">
        <v>0.365</v>
      </c>
      <c r="AE6" s="1" t="s">
        <v>135</v>
      </c>
    </row>
    <row r="7" spans="1:31" ht="54" customHeight="1">
      <c r="A7" s="6" t="s">
        <v>146</v>
      </c>
      <c r="B7" s="1">
        <v>1</v>
      </c>
      <c r="C7" s="1" t="s">
        <v>129</v>
      </c>
      <c r="D7" s="1" t="s">
        <v>47</v>
      </c>
      <c r="E7" s="1" t="s">
        <v>111</v>
      </c>
      <c r="G7" s="6" t="s">
        <v>147</v>
      </c>
      <c r="H7" t="s">
        <v>148</v>
      </c>
      <c r="I7" t="s">
        <v>49</v>
      </c>
      <c r="AD7" s="1">
        <v>0.354</v>
      </c>
      <c r="AE7" s="1" t="s">
        <v>135</v>
      </c>
    </row>
    <row r="8" spans="1:31" ht="54" customHeight="1">
      <c r="A8" s="6" t="s">
        <v>149</v>
      </c>
      <c r="B8" s="1">
        <v>1</v>
      </c>
      <c r="C8" s="1" t="s">
        <v>129</v>
      </c>
      <c r="D8" s="1" t="s">
        <v>47</v>
      </c>
      <c r="E8" s="1" t="s">
        <v>111</v>
      </c>
      <c r="G8" s="6" t="s">
        <v>150</v>
      </c>
      <c r="H8" t="s">
        <v>151</v>
      </c>
      <c r="I8" t="s">
        <v>49</v>
      </c>
      <c r="AD8" s="1">
        <v>1.69</v>
      </c>
      <c r="AE8" s="1" t="s">
        <v>135</v>
      </c>
    </row>
    <row r="9" spans="1:31" ht="54" customHeight="1">
      <c r="A9" s="6" t="s">
        <v>152</v>
      </c>
      <c r="B9" s="1">
        <v>2</v>
      </c>
      <c r="C9" s="1" t="s">
        <v>153</v>
      </c>
      <c r="D9" s="1" t="s">
        <v>47</v>
      </c>
      <c r="E9" s="1" t="s">
        <v>113</v>
      </c>
      <c r="G9" s="6" t="s">
        <v>154</v>
      </c>
      <c r="H9" t="s">
        <v>114</v>
      </c>
      <c r="I9" t="s">
        <v>151</v>
      </c>
      <c r="AD9" s="1">
        <v>0.497</v>
      </c>
      <c r="AE9" s="1" t="s">
        <v>135</v>
      </c>
    </row>
    <row r="10" spans="1:31" ht="54" customHeight="1">
      <c r="A10" s="6" t="s">
        <v>132</v>
      </c>
      <c r="B10" s="1">
        <v>1</v>
      </c>
      <c r="C10" s="1" t="s">
        <v>129</v>
      </c>
      <c r="D10" s="1" t="s">
        <v>47</v>
      </c>
      <c r="E10" s="1" t="s">
        <v>111</v>
      </c>
      <c r="G10" s="6" t="s">
        <v>133</v>
      </c>
      <c r="H10" t="s">
        <v>155</v>
      </c>
      <c r="I10" t="s">
        <v>49</v>
      </c>
      <c r="AD10" s="1">
        <v>0.293</v>
      </c>
      <c r="AE10" s="1" t="s">
        <v>135</v>
      </c>
    </row>
    <row r="11" spans="1:31" ht="54" customHeight="1">
      <c r="A11" s="6" t="s">
        <v>136</v>
      </c>
      <c r="B11" s="1">
        <v>1</v>
      </c>
      <c r="C11" s="1" t="s">
        <v>129</v>
      </c>
      <c r="D11" s="1" t="s">
        <v>47</v>
      </c>
      <c r="E11" s="1" t="s">
        <v>111</v>
      </c>
      <c r="G11" s="6" t="s">
        <v>137</v>
      </c>
      <c r="H11" t="s">
        <v>156</v>
      </c>
      <c r="I11" t="s">
        <v>49</v>
      </c>
      <c r="J11" s="2">
        <f>IF(COUNT('Turns'!D23)=1,SUM('Turns'!D23),"Unknown")</f>
        <v>708.0</v>
      </c>
      <c r="K11" s="2">
        <f>IF(COUNT('Turns'!E23)=1,SUM('Turns'!E23),"Unknown")</f>
        <v>0.00012409116</v>
      </c>
      <c r="L11" s="2">
        <f>IF(COUNT('Turns'!F23)=1,SUM('Turns'!F23),"Unknown")</f>
        <v>0.0001416</v>
      </c>
      <c r="M11" s="2">
        <f>IF(COUNT('Turns'!D22)=1,SUM('Turns'!D22),"Unknown")</f>
        <v>0.0</v>
      </c>
      <c r="N11" s="2">
        <f>IF(COUNT('Turns'!E22)=1,SUM('Turns'!E22),"Unknown")</f>
        <v>0.0</v>
      </c>
      <c r="O11" s="2">
        <f>IF(COUNT('Turns'!F22)=1,SUM('Turns'!F22),"Unknown")</f>
        <v>0.0</v>
      </c>
      <c r="P11" s="2">
        <v>0</v>
      </c>
      <c r="Q11" s="2">
        <v>0</v>
      </c>
      <c r="R11" s="2">
        <v>0</v>
      </c>
      <c r="S11" s="2">
        <f>IF(COUNT('Turns'!D29)=1,SUM('Turns'!D29),"Unknown")</f>
        <v>32.0</v>
      </c>
      <c r="T11" s="2">
        <f>IF(COUNT('Turns'!E29)=1,SUM('Turns'!E29),"Unknown")</f>
        <v>3.365184e-05</v>
      </c>
      <c r="U11" s="2">
        <f>IF(COUNT('Turns'!F29)=1,SUM('Turns'!F29),"Unknown")</f>
        <v>3.84e-05</v>
      </c>
      <c r="V11" s="2">
        <f>IF(COUNT('Turns'!D28)=1,SUM('Turns'!D28),"Unknown")</f>
        <v>8.0</v>
      </c>
      <c r="W11" s="2">
        <f>IF(COUNT('Turns'!E28)=1,SUM('Turns'!E28),"Unknown")</f>
        <v>8.41296e-06</v>
      </c>
      <c r="X11" s="2">
        <f>IF(COUNT('Turns'!F28)=1,SUM('Turns'!F28),"Unknown")</f>
        <v>9.6e-06</v>
      </c>
      <c r="Y11" s="2">
        <f>IF(COUNT('Turns'!E33)=1,SUM('Turns'!E33),"Unknown")</f>
        <v>0.00016615596</v>
      </c>
      <c r="Z11" s="2">
        <f>IF(COUNT('Turns'!F33)=1,SUM('Turns'!F33),"Unknown")</f>
        <v>0.0001896</v>
      </c>
      <c r="AA11" s="5">
        <f>IF(ISNUMBER(Y11),ROUND(Y11*'Reference data'!$B$2,0),"Unknown")</f>
        <v>17.0</v>
      </c>
      <c r="AB11" s="5">
        <f>IF(ISNUMBER(Z11),ROUND(Z11*'Reference data'!$B$2,0),"Unknown")</f>
        <v>19.0</v>
      </c>
      <c r="AD11" s="1">
        <v>2037.95</v>
      </c>
      <c r="AE11" s="1" t="s">
        <v>131</v>
      </c>
    </row>
    <row r="12" spans="1:31" ht="54" customHeight="1">
      <c r="A12" s="6" t="s">
        <v>139</v>
      </c>
      <c r="B12" s="1">
        <v>2</v>
      </c>
      <c r="C12" s="1" t="s">
        <v>140</v>
      </c>
      <c r="D12" s="1" t="s">
        <v>95</v>
      </c>
      <c r="E12" s="1" t="s">
        <v>111</v>
      </c>
      <c r="F12" s="1">
        <v>708</v>
      </c>
      <c r="G12" s="6" t="s">
        <v>141</v>
      </c>
      <c r="H12" t="s">
        <v>120</v>
      </c>
      <c r="I12" t="s">
        <v>156</v>
      </c>
      <c r="J12" s="2">
        <f>IF(COUNT('Turns'!D23)=1,SUM('Turns'!D23),"Unknown")</f>
        <v>708.0</v>
      </c>
      <c r="K12" s="2">
        <f>IF(COUNT('Turns'!E23)=1,SUM('Turns'!E23),"Unknown")</f>
        <v>0.00012409116</v>
      </c>
      <c r="L12" s="2">
        <f>IF(COUNT('Turns'!F23)=1,SUM('Turns'!F23),"Unknown")</f>
        <v>0.0001416</v>
      </c>
      <c r="M12" s="2">
        <f>IF(COUNT('Turns'!D22)=1,SUM('Turns'!D22),"Unknown")</f>
        <v>0.0</v>
      </c>
      <c r="N12" s="2">
        <f>IF(COUNT('Turns'!E22)=1,SUM('Turns'!E22),"Unknown")</f>
        <v>0.0</v>
      </c>
      <c r="O12" s="2">
        <f>IF(COUNT('Turns'!F22)=1,SUM('Turns'!F22),"Unknown")</f>
        <v>0.0</v>
      </c>
      <c r="P12" s="2">
        <v>0</v>
      </c>
      <c r="Q12" s="2">
        <v>0</v>
      </c>
      <c r="R12" s="2">
        <v>0</v>
      </c>
      <c r="S12" s="2">
        <f>IF(COUNT('Turns'!D29)=1,SUM('Turns'!D29),"Unknown")</f>
        <v>32.0</v>
      </c>
      <c r="T12" s="2">
        <f>IF(COUNT('Turns'!E29)=1,SUM('Turns'!E29),"Unknown")</f>
        <v>3.365184e-05</v>
      </c>
      <c r="U12" s="2">
        <f>IF(COUNT('Turns'!F29)=1,SUM('Turns'!F29),"Unknown")</f>
        <v>3.84e-05</v>
      </c>
      <c r="V12" s="2">
        <f>IF(COUNT('Turns'!D28)=1,SUM('Turns'!D28),"Unknown")</f>
        <v>8.0</v>
      </c>
      <c r="W12" s="2">
        <f>IF(COUNT('Turns'!E28)=1,SUM('Turns'!E28),"Unknown")</f>
        <v>8.41296e-06</v>
      </c>
      <c r="X12" s="2">
        <f>IF(COUNT('Turns'!F28)=1,SUM('Turns'!F28),"Unknown")</f>
        <v>9.6e-06</v>
      </c>
      <c r="Y12" s="2">
        <f>IF(COUNT('Turns'!E33)=1,SUM('Turns'!E33),"Unknown")</f>
        <v>0.00016615596</v>
      </c>
      <c r="Z12" s="2">
        <f>IF(COUNT('Turns'!F33)=1,SUM('Turns'!F33),"Unknown")</f>
        <v>0.0001896</v>
      </c>
      <c r="AA12" s="5">
        <f>IF(ISNUMBER(Y12),ROUND(Y12*'Reference data'!$B$2,0),"Unknown")</f>
        <v>17.0</v>
      </c>
      <c r="AB12" s="5">
        <f>IF(ISNUMBER(Z12),ROUND(Z12*'Reference data'!$B$2,0),"Unknown")</f>
        <v>19.0</v>
      </c>
      <c r="AC12" s="1" t="s">
        <v>119</v>
      </c>
      <c r="AD12" s="1">
        <v>2034.207</v>
      </c>
      <c r="AE12" s="1" t="s">
        <v>142</v>
      </c>
    </row>
    <row r="13" spans="1:31" ht="54" customHeight="1">
      <c r="A13" s="6" t="s">
        <v>143</v>
      </c>
      <c r="B13" s="1">
        <v>1</v>
      </c>
      <c r="C13" s="1" t="s">
        <v>129</v>
      </c>
      <c r="D13" s="1" t="s">
        <v>47</v>
      </c>
      <c r="E13" s="1" t="s">
        <v>111</v>
      </c>
      <c r="G13" s="6" t="s">
        <v>144</v>
      </c>
      <c r="H13" t="s">
        <v>157</v>
      </c>
      <c r="I13" t="s">
        <v>49</v>
      </c>
      <c r="AD13" s="1">
        <v>0.745</v>
      </c>
      <c r="AE13" s="1" t="s">
        <v>135</v>
      </c>
    </row>
    <row r="14" spans="1:31" ht="54" customHeight="1">
      <c r="A14" s="6" t="s">
        <v>146</v>
      </c>
      <c r="B14" s="1">
        <v>1</v>
      </c>
      <c r="C14" s="1" t="s">
        <v>129</v>
      </c>
      <c r="D14" s="1" t="s">
        <v>47</v>
      </c>
      <c r="E14" s="1" t="s">
        <v>111</v>
      </c>
      <c r="G14" s="6" t="s">
        <v>147</v>
      </c>
      <c r="H14" t="s">
        <v>158</v>
      </c>
      <c r="I14" t="s">
        <v>49</v>
      </c>
      <c r="AD14" s="1">
        <v>2.457</v>
      </c>
      <c r="AE14" s="1" t="s">
        <v>135</v>
      </c>
    </row>
    <row r="15" spans="1:31" ht="54" customHeight="1">
      <c r="A15" s="6" t="s">
        <v>149</v>
      </c>
      <c r="B15" s="1">
        <v>1</v>
      </c>
      <c r="C15" s="1" t="s">
        <v>129</v>
      </c>
      <c r="D15" s="1" t="s">
        <v>47</v>
      </c>
      <c r="E15" s="1" t="s">
        <v>111</v>
      </c>
      <c r="G15" s="6" t="s">
        <v>150</v>
      </c>
      <c r="H15" t="s">
        <v>159</v>
      </c>
      <c r="I15" t="s">
        <v>49</v>
      </c>
      <c r="AD15" s="1">
        <v>5.816</v>
      </c>
      <c r="AE15" s="1" t="s">
        <v>135</v>
      </c>
    </row>
    <row r="16" spans="1:31" ht="54" customHeight="1">
      <c r="A16" s="6" t="s">
        <v>152</v>
      </c>
      <c r="B16" s="1">
        <v>2</v>
      </c>
      <c r="C16" s="1" t="s">
        <v>153</v>
      </c>
      <c r="D16" s="1" t="s">
        <v>47</v>
      </c>
      <c r="E16" s="1" t="s">
        <v>113</v>
      </c>
      <c r="G16" s="6" t="s">
        <v>154</v>
      </c>
      <c r="H16" t="s">
        <v>124</v>
      </c>
      <c r="I16" t="s">
        <v>159</v>
      </c>
      <c r="AD16" s="1">
        <v>1.628</v>
      </c>
      <c r="AE16" s="1" t="s">
        <v>135</v>
      </c>
    </row>
    <row r="17" spans="1:31" ht="54" customHeight="1">
      <c r="A17" s="6" t="s">
        <v>132</v>
      </c>
      <c r="B17" s="1">
        <v>1</v>
      </c>
      <c r="C17" s="1" t="s">
        <v>129</v>
      </c>
      <c r="D17" s="1" t="s">
        <v>47</v>
      </c>
      <c r="E17" s="1" t="s">
        <v>111</v>
      </c>
      <c r="G17" s="6" t="s">
        <v>133</v>
      </c>
      <c r="H17" t="s">
        <v>160</v>
      </c>
      <c r="I17" t="s">
        <v>49</v>
      </c>
      <c r="AD17" s="1">
        <v>0.673</v>
      </c>
      <c r="AE17" s="1" t="s">
        <v>135</v>
      </c>
    </row>
    <row r="18" spans="1:31" ht="54" customHeight="1">
      <c r="A18" s="6" t="s">
        <v>136</v>
      </c>
      <c r="B18" s="1">
        <v>1</v>
      </c>
      <c r="C18" s="1" t="s">
        <v>129</v>
      </c>
      <c r="D18" s="1" t="s">
        <v>47</v>
      </c>
      <c r="E18" s="1" t="s">
        <v>111</v>
      </c>
      <c r="G18" s="6" t="s">
        <v>137</v>
      </c>
      <c r="H18" t="s">
        <v>161</v>
      </c>
      <c r="I18" t="s">
        <v>49</v>
      </c>
      <c r="J18" s="2">
        <f>IF(COUNT('Turns'!D39)=1,SUM('Turns'!D39),"Unknown")</f>
        <v>776.0</v>
      </c>
      <c r="K18" s="2">
        <f>IF(COUNT('Turns'!E39)=1,SUM('Turns'!E39),"Unknown")</f>
        <v>0.00013600952</v>
      </c>
      <c r="L18" s="2">
        <f>IF(COUNT('Turns'!F39)=1,SUM('Turns'!F39),"Unknown")</f>
        <v>0.0001552</v>
      </c>
      <c r="M18" s="2">
        <f>IF(COUNT('Turns'!D38)=1,SUM('Turns'!D38),"Unknown")</f>
        <v>0.0</v>
      </c>
      <c r="N18" s="2">
        <f>IF(COUNT('Turns'!E38)=1,SUM('Turns'!E38),"Unknown")</f>
        <v>0.0</v>
      </c>
      <c r="O18" s="2">
        <f>IF(COUNT('Turns'!F38)=1,SUM('Turns'!F38),"Unknown")</f>
        <v>0.0</v>
      </c>
      <c r="P18" s="2">
        <v>0</v>
      </c>
      <c r="Q18" s="2">
        <v>0</v>
      </c>
      <c r="R18" s="2">
        <v>0</v>
      </c>
      <c r="S18" s="2">
        <f>IF(COUNT('Turns'!D44)=1,SUM('Turns'!D44),"Unknown")</f>
        <v>29.0</v>
      </c>
      <c r="T18" s="2">
        <f>IF(COUNT('Turns'!E44)=1,SUM('Turns'!E44),"Unknown")</f>
        <v>3.049698e-05</v>
      </c>
      <c r="U18" s="2">
        <f>IF(COUNT('Turns'!F44)=1,SUM('Turns'!F44),"Unknown")</f>
        <v>3.48e-05</v>
      </c>
      <c r="V18" s="2">
        <v>0</v>
      </c>
      <c r="W18" s="2">
        <v>0</v>
      </c>
      <c r="X18" s="2">
        <v>0</v>
      </c>
      <c r="Y18" s="2">
        <f>IF(COUNT('Turns'!E48)=1,SUM('Turns'!E48),"Unknown")</f>
        <v>0.0001665065</v>
      </c>
      <c r="Z18" s="2">
        <f>IF(COUNT('Turns'!F48)=1,SUM('Turns'!F48),"Unknown")</f>
        <v>0.00019</v>
      </c>
      <c r="AA18" s="5">
        <f>IF(ISNUMBER(Y18),ROUND(Y18*'Reference data'!$B$2,0),"Unknown")</f>
        <v>17.0</v>
      </c>
      <c r="AB18" s="5">
        <f>IF(ISNUMBER(Z18),ROUND(Z18*'Reference data'!$B$2,0),"Unknown")</f>
        <v>19.0</v>
      </c>
      <c r="AD18" s="1">
        <v>1758.539</v>
      </c>
      <c r="AE18" s="1" t="s">
        <v>131</v>
      </c>
    </row>
    <row r="19" spans="1:31" ht="54" customHeight="1">
      <c r="A19" s="6" t="s">
        <v>139</v>
      </c>
      <c r="B19" s="1">
        <v>2</v>
      </c>
      <c r="C19" s="1" t="s">
        <v>140</v>
      </c>
      <c r="D19" s="1" t="s">
        <v>95</v>
      </c>
      <c r="E19" s="1" t="s">
        <v>111</v>
      </c>
      <c r="F19" s="1">
        <v>776</v>
      </c>
      <c r="G19" s="6" t="s">
        <v>141</v>
      </c>
      <c r="H19" t="s">
        <v>126</v>
      </c>
      <c r="I19" t="s">
        <v>161</v>
      </c>
      <c r="J19" s="2">
        <f>IF(COUNT('Turns'!D39)=1,SUM('Turns'!D39),"Unknown")</f>
        <v>776.0</v>
      </c>
      <c r="K19" s="2">
        <f>IF(COUNT('Turns'!E39)=1,SUM('Turns'!E39),"Unknown")</f>
        <v>0.00013600952</v>
      </c>
      <c r="L19" s="2">
        <f>IF(COUNT('Turns'!F39)=1,SUM('Turns'!F39),"Unknown")</f>
        <v>0.0001552</v>
      </c>
      <c r="M19" s="2">
        <f>IF(COUNT('Turns'!D38)=1,SUM('Turns'!D38),"Unknown")</f>
        <v>0.0</v>
      </c>
      <c r="N19" s="2">
        <f>IF(COUNT('Turns'!E38)=1,SUM('Turns'!E38),"Unknown")</f>
        <v>0.0</v>
      </c>
      <c r="O19" s="2">
        <f>IF(COUNT('Turns'!F38)=1,SUM('Turns'!F38),"Unknown")</f>
        <v>0.0</v>
      </c>
      <c r="P19" s="2">
        <v>0</v>
      </c>
      <c r="Q19" s="2">
        <v>0</v>
      </c>
      <c r="R19" s="2">
        <v>0</v>
      </c>
      <c r="S19" s="2">
        <f>IF(COUNT('Turns'!D44)=1,SUM('Turns'!D44),"Unknown")</f>
        <v>29.0</v>
      </c>
      <c r="T19" s="2">
        <f>IF(COUNT('Turns'!E44)=1,SUM('Turns'!E44),"Unknown")</f>
        <v>3.049698e-05</v>
      </c>
      <c r="U19" s="2">
        <f>IF(COUNT('Turns'!F44)=1,SUM('Turns'!F44),"Unknown")</f>
        <v>3.48e-05</v>
      </c>
      <c r="V19" s="2">
        <v>0</v>
      </c>
      <c r="W19" s="2">
        <v>0</v>
      </c>
      <c r="X19" s="2">
        <v>0</v>
      </c>
      <c r="Y19" s="2">
        <f>IF(COUNT('Turns'!E48)=1,SUM('Turns'!E48),"Unknown")</f>
        <v>0.0001665065</v>
      </c>
      <c r="Z19" s="2">
        <f>IF(COUNT('Turns'!F48)=1,SUM('Turns'!F48),"Unknown")</f>
        <v>0.00019</v>
      </c>
      <c r="AA19" s="5">
        <f>IF(ISNUMBER(Y19),ROUND(Y19*'Reference data'!$B$2,0),"Unknown")</f>
        <v>17.0</v>
      </c>
      <c r="AB19" s="5">
        <f>IF(ISNUMBER(Z19),ROUND(Z19*'Reference data'!$B$2,0),"Unknown")</f>
        <v>19.0</v>
      </c>
      <c r="AC19" s="1" t="s">
        <v>125</v>
      </c>
      <c r="AD19" s="1">
        <v>1755.352</v>
      </c>
      <c r="AE19" s="1" t="s">
        <v>142</v>
      </c>
    </row>
    <row r="20" spans="1:31" ht="54" customHeight="1">
      <c r="A20" s="6" t="s">
        <v>143</v>
      </c>
      <c r="B20" s="1">
        <v>1</v>
      </c>
      <c r="C20" s="1" t="s">
        <v>129</v>
      </c>
      <c r="D20" s="1" t="s">
        <v>47</v>
      </c>
      <c r="E20" s="1" t="s">
        <v>111</v>
      </c>
      <c r="G20" s="6" t="s">
        <v>144</v>
      </c>
      <c r="H20" t="s">
        <v>162</v>
      </c>
      <c r="I20" t="s">
        <v>49</v>
      </c>
      <c r="AD20" s="1">
        <v>0.795</v>
      </c>
      <c r="AE20" s="1" t="s">
        <v>135</v>
      </c>
    </row>
    <row r="21" spans="1:31" ht="54" customHeight="1">
      <c r="A21" s="6" t="s">
        <v>146</v>
      </c>
      <c r="B21" s="1">
        <v>1</v>
      </c>
      <c r="C21" s="1" t="s">
        <v>129</v>
      </c>
      <c r="D21" s="1" t="s">
        <v>47</v>
      </c>
      <c r="E21" s="1" t="s">
        <v>111</v>
      </c>
      <c r="G21" s="6" t="s">
        <v>147</v>
      </c>
      <c r="H21" t="s">
        <v>163</v>
      </c>
      <c r="I21" t="s">
        <v>49</v>
      </c>
      <c r="AD21" s="1">
        <v>0.451</v>
      </c>
      <c r="AE21" s="1" t="s">
        <v>135</v>
      </c>
    </row>
  </sheetData>
  <conditionalFormatting sqref="A2:AE21">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2026-09-24T02:09:47Z</dcterms:created>
  <dcterms:modified xsi:type="dcterms:W3CDTF">2026-09-24T02:09:47Z</dcterms:modified>
</cp:coreProperties>
</file>
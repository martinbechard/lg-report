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<sst xmlns="http://schemas.openxmlformats.org/spreadsheetml/2006/main" count="256" uniqueCount="145">
  <si>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</si>
  <si>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</si>
  <si>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</si>
  <si>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</si>
  <si>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</si>
  <si>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</si>
  <si>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</si>
  <si>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</si>
  <si>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</si>
  <si>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</si>
  <si>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</si>
  <si>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</si>
  <si>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</si>
  <si>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</si>
  <si>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</si>
  <si>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</si>
  <si>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</si>
  <si>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</si>
  <si>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</si>
  <si>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</si>
  <si>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</si>
  <si>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</si>
  <si>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</si>
  <si>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</si>
  <si>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</si>
  <si>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</si>
  <si>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</si>
  <si>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</si>
  <si>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</si>
  <si>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</si>
  <si>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</si>
  <si>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</si>
  <si>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</si>
  <si>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</si>
  <si>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</si>
  <si>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</si>
  <si>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</si>
  <si>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</si>
  <si>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</si>
  <si>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</si>
  <si>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</si>
  <si>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</si>
  <si>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</si>
  <si>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</si>
  <si>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</si>
  <si>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</si>
  <si>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</si>
  <si>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</si>
  <si>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</si>
  <si>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01a0cc59-7664-76b0-b6ff-10345890c21e</t>
  </si>
  <si>
    <t>Recording</t>
  </si>
  <si>
    <t>Provider trace</t>
  </si>
  <si>
    <t>FX reference date</t>
  </si>
  <si>
    <t>2026-09-22</t>
  </si>
  <si>
    <t>FX fetched at</t>
  </si>
  <si>
    <t>2026-09-23T03:35:56.284466Z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</si>
  <si>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</si>
  <si>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</si>
  <si>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</si>
  <si>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</si>
  <si>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</si>
  <si>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</si>
  <si>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</si>
  <si>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</si>
  <si>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</si>
  <si>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</si>
  <si>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</si>
  <si>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</si>
  <si>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</si>
  <si>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</si>
  <si>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</si>
  <si>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</si>
  <si>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</si>
  <si>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</si>
  <si>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</si>
  <si>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</si>
  <si>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</si>
  <si>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</si>
  <si>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</si>
  <si>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</si>
  <si>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</si>
  <si>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</si>
  <si>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</si>
  <si>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</si>
  <si>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</si>
  <si>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</si>
  <si>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</si>
  <si>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</si>
  <si>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</si>
  <si>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</si>
  <si>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</si>
  <si>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</si>
  <si>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</si>
  <si>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</si>
  <si>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</si>
  <si>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</si>
  <si>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01a0cc59-766d-7760-a5b3-d40c966889aa</t>
  </si>
  <si>
    <t>Fresh input</t>
  </si>
  <si>
    <t xml:space="preserve">    Tool definitions</t>
  </si>
  <si>
    <t xml:space="preserve">    System prompt</t>
  </si>
  <si>
    <t xml:space="preserve">Run the shell script requested by the user using execute.
Commands run in the prepared working directory. Use relative paths in shell
commands; filesystem tools use virtual paths rooted in that same directory.
Report the actual command output and exit status. A nonzero exit or timeout is
not success. Do not invent script results or rerun a failed script unless asked.
</t>
  </si>
  <si>
    <t xml:space="preserve">    User prompt</t>
  </si>
  <si>
    <t>Run sh ./summarize.sh and report the order totals and exit status.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</si>
  <si>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</si>
  <si>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</si>
  <si>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</si>
  <si>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</si>
  <si>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</si>
  <si>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</si>
  <si>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"rs_042281872ec49cf6006ab34a1b3f0c87d2b4664d7e21a3d97f", "summary": [], "type": "reasoning", "content": [], "index": 0, "encrypted_content": "gAAAAABqs0obmfE5rLHoPc2Q8CA1pWSImS8yT-lr2CHuzzW2Kaq1AJCQPxiA5xzZHltiBqBPWTHvGDyNzzTS8Pd1NxL8RKdKLbgoUCtuXTfpBHELtcFShfc4k_CC-YrrSN9dOQXhijQqSJmy8mrxYHJjoosIyT3LVIZG9LtcvfSTBIH_CKcKpAWzUBBgPnSb1d3poEa8mzVYQajJpPO3JnX8QWW3cFqnui03M4FOMwgbKFX1bUXN4MVrTVdgVLbTQrtqqtDex-MoiIhJNOrneWiTVNkSwtZV44ZjrAp17h3ryRG-DrLo8pZW_vl5euImjdftixG0Fb_ttl4kCDrolUdgEO0KjgWFsXbhwRfBRJXzg1fKeMndI4df0_72M3LK2Yci0zLjN7eSHYUMkgTpEVlaFC1WSMc-RLogQ7UJTbjV720hAbZGmPKBMEueICRK1T3cixyi-_1LiqawwxmI-hKuie1-MwTxlTzgteZBoeFyo0_L2EvPBTmtx6EzQKfHHpH8g9boZOuUXVItUzdDcwAvXLeP2BNX1Nk00-5x2HS_o_mAW6L-1YeV7ulQmYTz8owBAWXMLoEOQ0QXzl13AGBnFIpPCuptWIsrivkJ8Aw-47OyfO7kT9pOKHWCHbMeEVH9xk33GH0iZWie5QQy_a1td2MwHnG_qAThAIXzbFkD7ybib0V9O4GN5olyoS6iClLz7MfH6A27qih3aW3GLsLInBKaVj0D0LX2Ky2t29PFk25zHiLoabHNOOELrUx8lLMuRw8lw5x-XG6o7qhI8iPIqKTWAv_JBnO5OQBZuXXAsosJyOsmXrgZ--AxPkH6rGJYQfP6Uk00EaVbo7K239x62XWIW-jAg9MqoPRL9cKBvbwZ-01G3zPvq6bnJfVLpNjlpAUbD4vH8wO6zuNEtB9RJYEgc9EHexqePbNlwbtmnd7CTeFqEJ8zZrHEOF44uIo3g4aHc2i7zYXDOPpbH9lQKhfkIOg3w_JNr1fFc9qowHr8-NESCKuSUE8m6XyVez0xiG_WzMVbkmoNcePb3Vw7ZvR0pEjWnQ8o5GPOArM3v3niNrhR4-tCijfmf3OU0A4LRqm2bSQRHFFDkmaBss95NBLJd4BcIJx0_E3t-k6Bw5dEYFrrxwH-Ode2fqPq8kj0U2nFo0bno4cyGbOB51dCqZTB5AAN9-ica5IrRtECGdGsX7n116eDcTQProirtsKdYmxGAkdd"}, {"type": "function_call", "name": "execute", "arguments": "{\"command\":\"sh ./summarize.sh\",\"timeout\":120}", "call_id": "call_AYk1RqU3vaNO6osRnAExUeK8", "id": "fc_042281872ec49cf6006ab34a1b6ba087d2a53aadf185bcf139", "index": 1}]
{"name": "execute", "args": {"command": "sh ./summarize.sh", "timeout": 120}, "id": "call_AYk1RqU3vaNO6osRnAExUeK8", "type": "tool_call"}</t>
  </si>
  <si>
    <t>Call total</t>
  </si>
  <si>
    <t>ok</t>
  </si>
  <si>
    <t>Tool · execute</t>
  </si>
  <si>
    <t>01a0cc59-7c4a-7461-9e7a-d40e79735ec8</t>
  </si>
  <si>
    <t xml:space="preserve">    Arguments</t>
  </si>
  <si>
    <t>{'command': 'sh ./summarize.sh', 'timeout': 120}</t>
  </si>
  <si>
    <t xml:space="preserve">    Result</t>
  </si>
  <si>
    <t>Orders: 3
Total units: 9
[Command succeeded with exit code 0]</t>
  </si>
  <si>
    <t>R2</t>
  </si>
  <si>
    <t>01a0cc59-7c7e-7ae0-9682-39c0c81cdbd7</t>
  </si>
  <si>
    <t>Conversation history · cache read</t>
  </si>
  <si>
    <t xml:space="preserve">    Tool result</t>
  </si>
  <si>
    <t>[{"type": "text", "text": "Orders: 3  \nTotal units: 9  \n\nExit status: 0", "phase": "final_answer", "index": 0, "id": "msg_042281872ec49cf6006ab34a1c59bc87d2a5c6fa45392c3195"}]</t>
  </si>
  <si>
    <t>shell_agent</t>
  </si>
  <si>
    <t>workflow</t>
  </si>
  <si>
    <t>Execute the shell_agent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</si>
  <si>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</si>
  <si>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</si>
  <si>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</si>
  <si>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01a0cc59-7667-7301-b029-dd4181ed2865</t>
  </si>
  <si>
    <t>No model charge</t>
  </si>
  <si>
    <t xml:space="preserve">    model</t>
  </si>
  <si>
    <t>Prepare the current conversation, run model middleware, and invoke the chat model.</t>
  </si>
  <si>
    <t>01a0cc59-7668-7361-accd-ddaa45c0c98c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</si>
  <si>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</si>
  <si>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</si>
  <si>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</si>
  <si>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</si>
  <si>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</si>
  <si>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</si>
  <si>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01a0cc59-7c48-79a3-802c-8fd967d70237</t>
  </si>
  <si>
    <t xml:space="preserve">        execute</t>
  </si>
  <si>
    <t>tool</t>
  </si>
  <si>
    <t>Executes a shell command in an isolated sandbox and returns combined stdout/stderr with the exit code (truncated if very large).
Usage:
- Quote paths containing spaces (e.g. cd "/path/with spaces").
- Chain commands with ';' or '&amp;&amp;' (use '&amp;&amp;' when a command depends on the previous); do not use newlines except inside quoted strings.
- Use absolute paths and avoid `cd` so the working directory stays stable; use the optional timeout to override the default.
- You MUST avoid using search commands like find and grep. Instead use the grep, glob tools to search. Use read_file rather than cat/head/tail.
    - execute(command="find . -name '*.py'")  # Use glob tool instead
    - execute(command="grep -r 'pattern' .")  # Use grep tool instead
Only available on backends implementing SandboxBackendProtocol; otherwise it returns an error.</t>
  </si>
  <si>
    <t>01a0cc59-7c7c-7ec3-8722-973bba848f13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</si>
</sst>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32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IF(COUNT('Turns'!E17,'Turns'!E32)=2,SUM('Turns'!E17,'Turns'!E32),"Unknown")</f>
        <v>0.0006187196988</v>
      </c>
      <c r="F2" s="2">
        <f>IF(COUNT('Turns'!F17,'Turns'!F32)=2,SUM('Turns'!F17,'Turns'!F32),"Unknown")</f>
        <v>0.00070924</v>
      </c>
      <c r="G2" s="5">
        <f>IF(ISNUMBER(E2),ROUND(E2*'Reference data'!$B$2,0),"Unknown")</f>
        <v>62.0</v>
      </c>
      <c r="H2" s="5">
        <f>IF(ISNUMBER(F2),ROUND(F2*'Reference data'!$B$2,0),"Unknown")</f>
        <v>71.0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0.0006187196988</v>
      </c>
      <c r="F3" s="2">
        <f>IF(COUNT('Turns'!F17,'Turns'!F32)=2,SUM('Turns'!F17,'Turns'!F32),"Unknown")</f>
        <v>0.00070924</v>
      </c>
      <c r="G3" s="5">
        <f>IF(ISNUMBER(E3),ROUND(E3*'Reference data'!$B$2,0),"Unknown")</f>
        <v>62.0</v>
      </c>
      <c r="H3" s="5">
        <f>IF(ISNUMBER(F3),ROUND(F3*'Reference data'!$B$2,0),"Unknown")</f>
        <v>71.0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2310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73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2307</v>
      </c>
      <c r="E9" s="2">
        <f>IF(AND(ISNUMBER(F9),ISNUMBER('Reference data'!$B$3)),F9*'Reference data'!$B$3,"Unknown")</f>
        <v>0.0005031393975</v>
      </c>
      <c r="F9" s="2">
        <f>IF(D9=0,0,IF(ISNUMBER('Reference data'!D17),D9*'Reference data'!D17/1000000,"Unknown"))</f>
        <v>0.00057675</v>
      </c>
      <c r="G9" s="5">
        <f>IF(ISNUMBER(E9),ROUND(E9*'Reference data'!$B$2,0),"Unknown")</f>
        <v>50.0</v>
      </c>
      <c r="H9" s="5">
        <f>IF(ISNUMBER(F9),ROUND(F9*'Reference data'!$B$2,0),"Unknown")</f>
        <v>58.0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37</v>
      </c>
    </row>
    <row r="12" spans="1:13" ht="24" customHeight="1">
      <c r="A12" t="s">
        <v>93</v>
      </c>
      <c r="B12">
        <v>1</v>
      </c>
      <c r="C12" t="s">
        <v>106</v>
      </c>
      <c r="D12" s="5">
        <v>9</v>
      </c>
      <c r="E12" s="2">
        <f>IF(AND(ISNUMBER(F12),ISNUMBER('Reference data'!$B$3)),F12*'Reference data'!$B$3,"Unknown")</f>
        <v>9.421596e-06</v>
      </c>
      <c r="F12" s="2">
        <f>IF(D12=0,0,IF(ISNUMBER('Reference data'!F17),D12*'Reference data'!F17/1000000,"Unknown"))</f>
        <v>1.08e-05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28</v>
      </c>
      <c r="E13" s="2">
        <f>IF(AND(ISNUMBER(F13),ISNUMBER('Reference data'!$B$3)),F13*'Reference data'!$B$3,"Unknown")</f>
        <v>2.9311632e-05</v>
      </c>
      <c r="F13" s="2">
        <f>IF(D13=0,0,IF(ISNUMBER('Reference data'!E17),D13*'Reference data'!E17/1000000,"Unknown"))</f>
        <v>3.36e-05</v>
      </c>
      <c r="G13" s="5">
        <f>IF(ISNUMBER(E13),ROUND(E13*'Reference data'!$B$2,0),"Unknown")</f>
        <v>3.0</v>
      </c>
      <c r="H13" s="5">
        <f>IF(ISNUMBER(F13),ROUND(F13*'Reference data'!$B$2,0),"Unknown")</f>
        <v>3.0</v>
      </c>
    </row>
    <row r="14" spans="1:13" ht="281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IF(COUNT('Turns'!E5,'Turns'!E9,'Turns'!E12,'Turns'!E13)=4,SUM('Turns'!E5,'Turns'!E9,'Turns'!E12,'Turns'!E13),"Unknown")</f>
        <v>0.0005423960475</v>
      </c>
      <c r="F17" s="2">
        <f>IF(COUNT('Turns'!F5,'Turns'!F9,'Turns'!F12,'Turns'!F13)=4,SUM('Turns'!F5,'Turns'!F9,'Turns'!F12,'Turns'!F13),"Unknown")</f>
        <v>0.00062175</v>
      </c>
      <c r="G17" s="5">
        <f>IF(ISNUMBER(E17),ROUND(E17*'Reference data'!$B$2,0),"Unknown")</f>
        <v>54.0</v>
      </c>
      <c r="H17" s="5">
        <f>IF(ISNUMBER(F17),ROUND(F17*'Reference data'!$B$2,0),"Unknown")</f>
        <v>62.0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60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2377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2307</v>
      </c>
      <c r="E22" s="2">
        <f>IF(AND(ISNUMBER(F22),ISNUMBER('Reference data'!$B$3)),F22*'Reference data'!$B$3,"Unknown")</f>
        <v>4.02511518e-05</v>
      </c>
      <c r="F22" s="2">
        <f>IF(D22=0,0,IF(ISNUMBER('Reference data'!C17),D22*'Reference data'!C17/1000000,"Unknown"))</f>
        <v>4.614e-05</v>
      </c>
      <c r="G22" s="5">
        <f>IF(ISNUMBER(E22),ROUND(E22*'Reference data'!$B$2,0),"Unknown")</f>
        <v>4.0</v>
      </c>
      <c r="H22" s="5">
        <f>IF(ISNUMBER(F22),ROUND(F22*'Reference data'!$B$2,0),"Unknown")</f>
        <v>5.0</v>
      </c>
    </row>
    <row r="23" spans="1:13" ht="24" customHeight="1">
      <c r="A23" t="s">
        <v>118</v>
      </c>
      <c r="B23">
        <v>1</v>
      </c>
      <c r="C23" t="s">
        <v>97</v>
      </c>
      <c r="D23" s="5">
        <v>3</v>
      </c>
      <c r="E23" s="2">
        <f>IF(AND(ISNUMBER(F23),ISNUMBER('Reference data'!$B$3)),F23*'Reference data'!$B$3,"Unknown")</f>
        <v>5.23422e-07</v>
      </c>
      <c r="F23" s="2">
        <f>IF(D23=0,0,IF(ISNUMBER('Reference data'!B17),D23*'Reference data'!B17/1000000,"Unknown"))</f>
        <v>6e-07</v>
      </c>
      <c r="G23" s="5">
        <f>IF(ISNUMBER(E23),ROUND(E23*'Reference data'!$B$2,0),"Unknown")</f>
        <v>0.0</v>
      </c>
      <c r="H23" s="5">
        <f>IF(ISNUMBER(F23),ROUND(F23*'Reference data'!$B$2,0),"Unknown")</f>
        <v>0.0</v>
      </c>
    </row>
    <row r="24" spans="1:13" ht="60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  <c r="D25" s="5">
        <v>67</v>
      </c>
      <c r="E25" s="2">
        <f>IF(AND(ISNUMBER(F25),ISNUMBER('Reference data'!$B$3)),F25*'Reference data'!$B$3,"Unknown")</f>
        <v>1.46121975e-05</v>
      </c>
      <c r="F25" s="2">
        <f>IF(D25=0,0,IF(ISNUMBER('Reference data'!D17),D25*'Reference data'!D17/1000000,"Unknown"))</f>
        <v>1.675e-05</v>
      </c>
      <c r="G25" s="5">
        <f>IF(ISNUMBER(E25),ROUND(E25*'Reference data'!$B$2,0),"Unknown")</f>
        <v>1.0</v>
      </c>
      <c r="H25" s="5">
        <f>IF(ISNUMBER(F25),ROUND(F25*'Reference data'!$B$2,0),"Unknown")</f>
        <v>2.0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20</v>
      </c>
    </row>
    <row r="28" spans="1:13" ht="24" customHeight="1">
      <c r="A28" t="s">
        <v>118</v>
      </c>
      <c r="B28">
        <v>1</v>
      </c>
      <c r="C28" t="s">
        <v>107</v>
      </c>
      <c r="D28" s="5">
        <v>20</v>
      </c>
      <c r="E28" s="2">
        <f>IF(AND(ISNUMBER(F28),ISNUMBER('Reference data'!$B$3)),F28*'Reference data'!$B$3,"Unknown")</f>
        <v>2.093688e-05</v>
      </c>
      <c r="F28" s="2">
        <f>IF(D28=0,0,IF(ISNUMBER('Reference data'!E17),D28*'Reference data'!E17/1000000,"Unknown"))</f>
        <v>2.4e-05</v>
      </c>
      <c r="G28" s="5">
        <f>IF(ISNUMBER(E28),ROUND(E28*'Reference data'!$B$2,0),"Unknown")</f>
        <v>2.0</v>
      </c>
      <c r="H28" s="5">
        <f>IF(ISNUMBER(F28),ROUND(F28*'Reference data'!$B$2,0),"Unknown")</f>
        <v>2.0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IF(COUNT('Turns'!E22,'Turns'!E23,'Turns'!E25,'Turns'!E28)=4,SUM('Turns'!E22,'Turns'!E23,'Turns'!E25,'Turns'!E28),"Unknown")</f>
        <v>7.63236513e-05</v>
      </c>
      <c r="F32" s="2">
        <f>IF(COUNT('Turns'!F22,'Turns'!F23,'Turns'!F25,'Turns'!F28)=4,SUM('Turns'!F22,'Turns'!F23,'Turns'!F25,'Turns'!F28),"Unknown")</f>
        <v>8.749e-05</v>
      </c>
      <c r="G32" s="5">
        <f>IF(ISNUMBER(E32),ROUND(E32*'Reference data'!$B$2,0),"Unknown")</f>
        <v>8.0</v>
      </c>
      <c r="H32" s="5">
        <f>IF(ISNUMBER(F32),ROUND(F32*'Reference data'!$B$2,0),"Unknown")</f>
        <v>9.0</v>
      </c>
      <c r="K32" s="4" t="s">
        <v>111</v>
      </c>
    </row>
  </sheetData>
  <conditionalFormatting sqref="A2:AE32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123</v>
      </c>
      <c r="B2" s="1">
        <v>0</v>
      </c>
      <c r="C2" s="1" t="s">
        <v>124</v>
      </c>
      <c r="D2" s="1" t="s">
        <v>47</v>
      </c>
      <c r="E2" s="1" t="s">
        <v>111</v>
      </c>
      <c r="G2" s="6" t="s">
        <v>125</v>
      </c>
      <c r="H2" t="s">
        <v>49</v>
      </c>
      <c r="J2" s="2">
        <f>IF(COUNT('Turns'!D5,'Turns'!D23)=2,SUM('Turns'!D5,'Turns'!D23),"Unknown")</f>
        <v>6.0</v>
      </c>
      <c r="K2" s="2">
        <f>IF(COUNT('Turns'!E5,'Turns'!E23)=2,SUM('Turns'!E5,'Turns'!E23),"Unknown")</f>
        <v>1.046844e-06</v>
      </c>
      <c r="L2" s="2">
        <f>IF(COUNT('Turns'!F5,'Turns'!F23)=2,SUM('Turns'!F5,'Turns'!F23),"Unknown")</f>
        <v>1.2e-06</v>
      </c>
      <c r="M2" s="2">
        <f>IF(COUNT('Turns'!D22)=1,SUM('Turns'!D22),"Unknown")</f>
        <v>2307.0</v>
      </c>
      <c r="N2" s="2">
        <f>IF(COUNT('Turns'!E22)=1,SUM('Turns'!E22),"Unknown")</f>
        <v>4.02511518e-05</v>
      </c>
      <c r="O2" s="2">
        <f>IF(COUNT('Turns'!F22)=1,SUM('Turns'!F22),"Unknown")</f>
        <v>4.614e-05</v>
      </c>
      <c r="P2" s="2">
        <f>IF(COUNT('Turns'!D9,'Turns'!D25)=2,SUM('Turns'!D9,'Turns'!D25),"Unknown")</f>
        <v>2374.0</v>
      </c>
      <c r="Q2" s="2">
        <f>IF(COUNT('Turns'!E9,'Turns'!E25)=2,SUM('Turns'!E9,'Turns'!E25),"Unknown")</f>
        <v>0.000517751595</v>
      </c>
      <c r="R2" s="2">
        <f>IF(COUNT('Turns'!F9,'Turns'!F25)=2,SUM('Turns'!F9,'Turns'!F25),"Unknown")</f>
        <v>0.0005935</v>
      </c>
      <c r="S2" s="2">
        <f>IF(COUNT('Turns'!D13,'Turns'!D28)=2,SUM('Turns'!D13,'Turns'!D28),"Unknown")</f>
        <v>48.0</v>
      </c>
      <c r="T2" s="2">
        <f>IF(COUNT('Turns'!E13,'Turns'!E28)=2,SUM('Turns'!E13,'Turns'!E28),"Unknown")</f>
        <v>5.0248512e-05</v>
      </c>
      <c r="U2" s="2">
        <f>IF(COUNT('Turns'!F13,'Turns'!F28)=2,SUM('Turns'!F13,'Turns'!F28),"Unknown")</f>
        <v>5.76e-05</v>
      </c>
      <c r="V2" s="2">
        <f>IF(COUNT('Turns'!D12)=1,SUM('Turns'!D12),"Unknown")</f>
        <v>9.0</v>
      </c>
      <c r="W2" s="2">
        <f>IF(COUNT('Turns'!E12)=1,SUM('Turns'!E12),"Unknown")</f>
        <v>9.421596e-06</v>
      </c>
      <c r="X2" s="2">
        <f>IF(COUNT('Turns'!F12)=1,SUM('Turns'!F12),"Unknown")</f>
        <v>1.08e-05</v>
      </c>
      <c r="Y2" s="2">
        <f>IF(COUNT('Turns'!E17,'Turns'!E32)=2,SUM('Turns'!E17,'Turns'!E32),"Unknown")</f>
        <v>0.0006187196988</v>
      </c>
      <c r="Z2" s="2">
        <f>IF(COUNT('Turns'!F17,'Turns'!F32)=2,SUM('Turns'!F17,'Turns'!F32),"Unknown")</f>
        <v>0.00070924</v>
      </c>
      <c r="AA2" s="5">
        <f>IF(ISNUMBER(Y2),ROUND(Y2*'Reference data'!$B$2,0),"Unknown")</f>
        <v>62.0</v>
      </c>
      <c r="AB2" s="5">
        <f>IF(ISNUMBER(Z2),ROUND(Z2*'Reference data'!$B$2,0),"Unknown")</f>
        <v>71.0</v>
      </c>
      <c r="AD2" s="1">
        <v>2463.695</v>
      </c>
      <c r="AE2" s="1" t="s">
        <v>126</v>
      </c>
    </row>
    <row r="3" spans="1:31" ht="54" customHeight="1">
      <c r="A3" s="6" t="s">
        <v>127</v>
      </c>
      <c r="B3" s="1">
        <v>1</v>
      </c>
      <c r="C3" s="1" t="s">
        <v>124</v>
      </c>
      <c r="D3" s="1" t="s">
        <v>47</v>
      </c>
      <c r="E3" s="1" t="s">
        <v>111</v>
      </c>
      <c r="G3" s="6" t="s">
        <v>128</v>
      </c>
      <c r="H3" t="s">
        <v>129</v>
      </c>
      <c r="I3" t="s">
        <v>49</v>
      </c>
      <c r="AD3" s="1">
        <v>0.408</v>
      </c>
      <c r="AE3" s="1" t="s">
        <v>130</v>
      </c>
    </row>
    <row r="4" spans="1:31" ht="54" customHeight="1">
      <c r="A4" s="6" t="s">
        <v>131</v>
      </c>
      <c r="B4" s="1">
        <v>1</v>
      </c>
      <c r="C4" s="1" t="s">
        <v>124</v>
      </c>
      <c r="D4" s="1" t="s">
        <v>47</v>
      </c>
      <c r="E4" s="1" t="s">
        <v>111</v>
      </c>
      <c r="G4" s="6" t="s">
        <v>132</v>
      </c>
      <c r="H4" t="s">
        <v>133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2307.0</v>
      </c>
      <c r="Q4" s="2">
        <f>IF(COUNT('Turns'!E9)=1,SUM('Turns'!E9),"Unknown")</f>
        <v>0.0005031393975</v>
      </c>
      <c r="R4" s="2">
        <f>IF(COUNT('Turns'!F9)=1,SUM('Turns'!F9),"Unknown")</f>
        <v>0.00057675</v>
      </c>
      <c r="S4" s="2">
        <f>IF(COUNT('Turns'!D13)=1,SUM('Turns'!D13),"Unknown")</f>
        <v>28.0</v>
      </c>
      <c r="T4" s="2">
        <f>IF(COUNT('Turns'!E13)=1,SUM('Turns'!E13),"Unknown")</f>
        <v>2.9311632e-05</v>
      </c>
      <c r="U4" s="2">
        <f>IF(COUNT('Turns'!F13)=1,SUM('Turns'!F13),"Unknown")</f>
        <v>3.36e-05</v>
      </c>
      <c r="V4" s="2">
        <f>IF(COUNT('Turns'!D12)=1,SUM('Turns'!D12),"Unknown")</f>
        <v>9.0</v>
      </c>
      <c r="W4" s="2">
        <f>IF(COUNT('Turns'!E12)=1,SUM('Turns'!E12),"Unknown")</f>
        <v>9.421596e-06</v>
      </c>
      <c r="X4" s="2">
        <f>IF(COUNT('Turns'!F12)=1,SUM('Turns'!F12),"Unknown")</f>
        <v>1.08e-05</v>
      </c>
      <c r="Y4" s="2">
        <f>IF(COUNT('Turns'!E17)=1,SUM('Turns'!E17),"Unknown")</f>
        <v>0.0005423960475</v>
      </c>
      <c r="Z4" s="2">
        <f>IF(COUNT('Turns'!F17)=1,SUM('Turns'!F17),"Unknown")</f>
        <v>0.00062175</v>
      </c>
      <c r="AA4" s="5">
        <f>IF(ISNUMBER(Y4),ROUND(Y4*'Reference data'!$B$2,0),"Unknown")</f>
        <v>54.0</v>
      </c>
      <c r="AB4" s="5">
        <f>IF(ISNUMBER(Z4),ROUND(Z4*'Reference data'!$B$2,0),"Unknown")</f>
        <v>62.0</v>
      </c>
      <c r="AD4" s="1">
        <v>1502.607</v>
      </c>
      <c r="AE4" s="1" t="s">
        <v>126</v>
      </c>
    </row>
    <row r="5" spans="1:31" ht="54" customHeight="1">
      <c r="A5" s="6" t="s">
        <v>134</v>
      </c>
      <c r="B5" s="1">
        <v>2</v>
      </c>
      <c r="C5" s="1" t="s">
        <v>135</v>
      </c>
      <c r="D5" s="1" t="s">
        <v>95</v>
      </c>
      <c r="E5" s="1" t="s">
        <v>111</v>
      </c>
      <c r="F5" s="1">
        <v>2310</v>
      </c>
      <c r="G5" s="6" t="s">
        <v>136</v>
      </c>
      <c r="H5" t="s">
        <v>96</v>
      </c>
      <c r="I5" t="s">
        <v>133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2307.0</v>
      </c>
      <c r="Q5" s="2">
        <f>IF(COUNT('Turns'!E9)=1,SUM('Turns'!E9),"Unknown")</f>
        <v>0.0005031393975</v>
      </c>
      <c r="R5" s="2">
        <f>IF(COUNT('Turns'!F9)=1,SUM('Turns'!F9),"Unknown")</f>
        <v>0.00057675</v>
      </c>
      <c r="S5" s="2">
        <f>IF(COUNT('Turns'!D13)=1,SUM('Turns'!D13),"Unknown")</f>
        <v>28.0</v>
      </c>
      <c r="T5" s="2">
        <f>IF(COUNT('Turns'!E13)=1,SUM('Turns'!E13),"Unknown")</f>
        <v>2.9311632e-05</v>
      </c>
      <c r="U5" s="2">
        <f>IF(COUNT('Turns'!F13)=1,SUM('Turns'!F13),"Unknown")</f>
        <v>3.36e-05</v>
      </c>
      <c r="V5" s="2">
        <f>IF(COUNT('Turns'!D12)=1,SUM('Turns'!D12),"Unknown")</f>
        <v>9.0</v>
      </c>
      <c r="W5" s="2">
        <f>IF(COUNT('Turns'!E12)=1,SUM('Turns'!E12),"Unknown")</f>
        <v>9.421596e-06</v>
      </c>
      <c r="X5" s="2">
        <f>IF(COUNT('Turns'!F12)=1,SUM('Turns'!F12),"Unknown")</f>
        <v>1.08e-05</v>
      </c>
      <c r="Y5" s="2">
        <f>IF(COUNT('Turns'!E17)=1,SUM('Turns'!E17),"Unknown")</f>
        <v>0.0005423960475</v>
      </c>
      <c r="Z5" s="2">
        <f>IF(COUNT('Turns'!F17)=1,SUM('Turns'!F17),"Unknown")</f>
        <v>0.00062175</v>
      </c>
      <c r="AA5" s="5">
        <f>IF(ISNUMBER(Y5),ROUND(Y5*'Reference data'!$B$2,0),"Unknown")</f>
        <v>54.0</v>
      </c>
      <c r="AB5" s="5">
        <f>IF(ISNUMBER(Z5),ROUND(Z5*'Reference data'!$B$2,0),"Unknown")</f>
        <v>62.0</v>
      </c>
      <c r="AC5" s="1" t="s">
        <v>93</v>
      </c>
      <c r="AD5" s="1">
        <v>1494.555</v>
      </c>
      <c r="AE5" s="1" t="s">
        <v>137</v>
      </c>
    </row>
    <row r="6" spans="1:31" ht="54" customHeight="1">
      <c r="A6" s="6" t="s">
        <v>138</v>
      </c>
      <c r="B6" s="1">
        <v>1</v>
      </c>
      <c r="C6" s="1" t="s">
        <v>124</v>
      </c>
      <c r="D6" s="1" t="s">
        <v>47</v>
      </c>
      <c r="E6" s="1" t="s">
        <v>111</v>
      </c>
      <c r="G6" s="6" t="s">
        <v>139</v>
      </c>
      <c r="H6" t="s">
        <v>140</v>
      </c>
      <c r="I6" t="s">
        <v>49</v>
      </c>
      <c r="AD6" s="1">
        <v>50.148</v>
      </c>
      <c r="AE6" s="1" t="s">
        <v>130</v>
      </c>
    </row>
    <row r="7" spans="1:31" ht="54" customHeight="1">
      <c r="A7" s="6" t="s">
        <v>141</v>
      </c>
      <c r="B7" s="1">
        <v>2</v>
      </c>
      <c r="C7" s="1" t="s">
        <v>142</v>
      </c>
      <c r="D7" s="1" t="s">
        <v>47</v>
      </c>
      <c r="E7" s="1" t="s">
        <v>111</v>
      </c>
      <c r="G7" s="6" t="s">
        <v>143</v>
      </c>
      <c r="H7" t="s">
        <v>113</v>
      </c>
      <c r="I7" t="s">
        <v>140</v>
      </c>
      <c r="AD7" s="1">
        <v>46.919</v>
      </c>
      <c r="AE7" s="1" t="s">
        <v>130</v>
      </c>
    </row>
    <row r="8" spans="1:31" ht="54" customHeight="1">
      <c r="A8" s="6" t="s">
        <v>131</v>
      </c>
      <c r="B8" s="1">
        <v>1</v>
      </c>
      <c r="C8" s="1" t="s">
        <v>124</v>
      </c>
      <c r="D8" s="1" t="s">
        <v>47</v>
      </c>
      <c r="E8" s="1" t="s">
        <v>111</v>
      </c>
      <c r="G8" s="6" t="s">
        <v>132</v>
      </c>
      <c r="H8" t="s">
        <v>144</v>
      </c>
      <c r="I8" t="s">
        <v>49</v>
      </c>
      <c r="J8" s="2">
        <f>IF(COUNT('Turns'!D23)=1,SUM('Turns'!D23),"Unknown")</f>
        <v>3.0</v>
      </c>
      <c r="K8" s="2">
        <f>IF(COUNT('Turns'!E23)=1,SUM('Turns'!E23),"Unknown")</f>
        <v>5.23422e-07</v>
      </c>
      <c r="L8" s="2">
        <f>IF(COUNT('Turns'!F23)=1,SUM('Turns'!F23),"Unknown")</f>
        <v>6e-07</v>
      </c>
      <c r="M8" s="2">
        <f>IF(COUNT('Turns'!D22)=1,SUM('Turns'!D22),"Unknown")</f>
        <v>2307.0</v>
      </c>
      <c r="N8" s="2">
        <f>IF(COUNT('Turns'!E22)=1,SUM('Turns'!E22),"Unknown")</f>
        <v>4.02511518e-05</v>
      </c>
      <c r="O8" s="2">
        <f>IF(COUNT('Turns'!F22)=1,SUM('Turns'!F22),"Unknown")</f>
        <v>4.614e-05</v>
      </c>
      <c r="P8" s="2">
        <f>IF(COUNT('Turns'!D25)=1,SUM('Turns'!D25),"Unknown")</f>
        <v>67.0</v>
      </c>
      <c r="Q8" s="2">
        <f>IF(COUNT('Turns'!E25)=1,SUM('Turns'!E25),"Unknown")</f>
        <v>1.46121975e-05</v>
      </c>
      <c r="R8" s="2">
        <f>IF(COUNT('Turns'!F25)=1,SUM('Turns'!F25),"Unknown")</f>
        <v>1.675e-05</v>
      </c>
      <c r="S8" s="2">
        <f>IF(COUNT('Turns'!D28)=1,SUM('Turns'!D28),"Unknown")</f>
        <v>20.0</v>
      </c>
      <c r="T8" s="2">
        <f>IF(COUNT('Turns'!E28)=1,SUM('Turns'!E28),"Unknown")</f>
        <v>2.093688e-05</v>
      </c>
      <c r="U8" s="2">
        <f>IF(COUNT('Turns'!F28)=1,SUM('Turns'!F28),"Unknown")</f>
        <v>2.4e-05</v>
      </c>
      <c r="V8" s="2">
        <v>0</v>
      </c>
      <c r="W8" s="2">
        <v>0</v>
      </c>
      <c r="X8" s="2">
        <v>0</v>
      </c>
      <c r="Y8" s="2">
        <f>IF(COUNT('Turns'!E32)=1,SUM('Turns'!E32),"Unknown")</f>
        <v>7.63236513e-05</v>
      </c>
      <c r="Z8" s="2">
        <f>IF(COUNT('Turns'!F32)=1,SUM('Turns'!F32),"Unknown")</f>
        <v>8.749e-05</v>
      </c>
      <c r="AA8" s="5">
        <f>IF(ISNUMBER(Y8),ROUND(Y8*'Reference data'!$B$2,0),"Unknown")</f>
        <v>8.0</v>
      </c>
      <c r="AB8" s="5">
        <f>IF(ISNUMBER(Z8),ROUND(Z8*'Reference data'!$B$2,0),"Unknown")</f>
        <v>9.0</v>
      </c>
      <c r="AD8" s="1">
        <v>903.275</v>
      </c>
      <c r="AE8" s="1" t="s">
        <v>126</v>
      </c>
    </row>
    <row r="9" spans="1:31" ht="54" customHeight="1">
      <c r="A9" s="6" t="s">
        <v>134</v>
      </c>
      <c r="B9" s="1">
        <v>2</v>
      </c>
      <c r="C9" s="1" t="s">
        <v>135</v>
      </c>
      <c r="D9" s="1" t="s">
        <v>95</v>
      </c>
      <c r="E9" s="1" t="s">
        <v>111</v>
      </c>
      <c r="F9" s="1">
        <v>2377</v>
      </c>
      <c r="G9" s="6" t="s">
        <v>136</v>
      </c>
      <c r="H9" t="s">
        <v>119</v>
      </c>
      <c r="I9" t="s">
        <v>144</v>
      </c>
      <c r="J9" s="2">
        <f>IF(COUNT('Turns'!D23)=1,SUM('Turns'!D23),"Unknown")</f>
        <v>3.0</v>
      </c>
      <c r="K9" s="2">
        <f>IF(COUNT('Turns'!E23)=1,SUM('Turns'!E23),"Unknown")</f>
        <v>5.23422e-07</v>
      </c>
      <c r="L9" s="2">
        <f>IF(COUNT('Turns'!F23)=1,SUM('Turns'!F23),"Unknown")</f>
        <v>6e-07</v>
      </c>
      <c r="M9" s="2">
        <f>IF(COUNT('Turns'!D22)=1,SUM('Turns'!D22),"Unknown")</f>
        <v>2307.0</v>
      </c>
      <c r="N9" s="2">
        <f>IF(COUNT('Turns'!E22)=1,SUM('Turns'!E22),"Unknown")</f>
        <v>4.02511518e-05</v>
      </c>
      <c r="O9" s="2">
        <f>IF(COUNT('Turns'!F22)=1,SUM('Turns'!F22),"Unknown")</f>
        <v>4.614e-05</v>
      </c>
      <c r="P9" s="2">
        <f>IF(COUNT('Turns'!D25)=1,SUM('Turns'!D25),"Unknown")</f>
        <v>67.0</v>
      </c>
      <c r="Q9" s="2">
        <f>IF(COUNT('Turns'!E25)=1,SUM('Turns'!E25),"Unknown")</f>
        <v>1.46121975e-05</v>
      </c>
      <c r="R9" s="2">
        <f>IF(COUNT('Turns'!F25)=1,SUM('Turns'!F25),"Unknown")</f>
        <v>1.675e-05</v>
      </c>
      <c r="S9" s="2">
        <f>IF(COUNT('Turns'!D28)=1,SUM('Turns'!D28),"Unknown")</f>
        <v>20.0</v>
      </c>
      <c r="T9" s="2">
        <f>IF(COUNT('Turns'!E28)=1,SUM('Turns'!E28),"Unknown")</f>
        <v>2.093688e-05</v>
      </c>
      <c r="U9" s="2">
        <f>IF(COUNT('Turns'!F28)=1,SUM('Turns'!F28),"Unknown")</f>
        <v>2.4e-05</v>
      </c>
      <c r="V9" s="2">
        <v>0</v>
      </c>
      <c r="W9" s="2">
        <v>0</v>
      </c>
      <c r="X9" s="2">
        <v>0</v>
      </c>
      <c r="Y9" s="2">
        <f>IF(COUNT('Turns'!E32)=1,SUM('Turns'!E32),"Unknown")</f>
        <v>7.63236513e-05</v>
      </c>
      <c r="Z9" s="2">
        <f>IF(COUNT('Turns'!F32)=1,SUM('Turns'!F32),"Unknown")</f>
        <v>8.749e-05</v>
      </c>
      <c r="AA9" s="5">
        <f>IF(ISNUMBER(Y9),ROUND(Y9*'Reference data'!$B$2,0),"Unknown")</f>
        <v>8.0</v>
      </c>
      <c r="AB9" s="5">
        <f>IF(ISNUMBER(Z9),ROUND(Z9*'Reference data'!$B$2,0),"Unknown")</f>
        <v>9.0</v>
      </c>
      <c r="AC9" s="1" t="s">
        <v>118</v>
      </c>
      <c r="AD9" s="1">
        <v>899.312</v>
      </c>
      <c r="AE9" s="1" t="s">
        <v>137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2026-09-23T03:40:13Z</dcterms:created>
  <dcterms:modified xsi:type="dcterms:W3CDTF">2026-09-23T03:40:13Z</dcterms:modified>
</cp:coreProperties>
</file>
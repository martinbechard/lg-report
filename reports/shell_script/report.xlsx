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<sst xmlns="http://schemas.openxmlformats.org/spreadsheetml/2006/main" count="256" uniqueCount="145">
  <si>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</si>
  <si>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</si>
  <si>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</si>
  <si>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</si>
  <si>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</si>
  <si>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</si>
  <si>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</si>
  <si>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</si>
  <si>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</si>
  <si>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</si>
  <si>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</si>
  <si>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</si>
  <si>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</si>
  <si>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</si>
  <si>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</si>
  <si>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</si>
  <si>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</si>
  <si>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</si>
  <si>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</si>
  <si>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Input at standard rate tokens</t>
  </si>
  <si>
    <t>Input at standard rate EUR</t>
  </si>
  <si>
    <t>Input at standard rate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</si>
  <si>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</si>
  <si>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</si>
  <si>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</si>
  <si>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</si>
  <si>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</si>
  <si>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</si>
  <si>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</si>
  <si>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</si>
  <si>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</si>
  <si>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</si>
  <si>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</si>
  <si>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</si>
  <si>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</si>
  <si>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</si>
  <si>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</si>
  <si>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</si>
  <si>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</si>
  <si>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</si>
  <si>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</si>
  <si>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</si>
  <si>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</si>
  <si>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</si>
  <si>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</si>
  <si>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</si>
  <si>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</si>
  <si>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</si>
  <si>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</si>
  <si>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01a0d587-42ef-7a82-aea6-fa40a1fdab08</t>
  </si>
  <si>
    <t>Recording</t>
  </si>
  <si>
    <t>Provider trace</t>
  </si>
  <si>
    <t>FX reference date</t>
  </si>
  <si>
    <t>2026-09-24</t>
  </si>
  <si>
    <t>FX fetched at</t>
  </si>
  <si>
    <t>2026-09-24T22:21:31.719587Z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</si>
  <si>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</si>
  <si>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</si>
  <si>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</si>
  <si>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</si>
  <si>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</si>
  <si>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</si>
  <si>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</si>
  <si>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</si>
  <si>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</si>
  <si>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</si>
  <si>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</si>
  <si>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</si>
  <si>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</si>
  <si>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</si>
  <si>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</si>
  <si>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</si>
  <si>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</si>
  <si>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</si>
  <si>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</si>
  <si>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</si>
  <si>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</si>
  <si>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</si>
  <si>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</si>
  <si>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</si>
  <si>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</si>
  <si>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</si>
  <si>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</si>
  <si>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</si>
  <si>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</si>
  <si>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</si>
  <si>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</si>
  <si>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</si>
  <si>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</si>
  <si>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</si>
  <si>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</si>
  <si>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</si>
  <si>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</si>
  <si>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</si>
  <si>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</si>
  <si>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</si>
  <si>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01a0d587-42f8-7413-8109-860b31181b3c</t>
  </si>
  <si>
    <t>Input at standard rate</t>
  </si>
  <si>
    <t xml:space="preserve">    Tool definitions</t>
  </si>
  <si>
    <t xml:space="preserve">    System prompt</t>
  </si>
  <si>
    <t xml:space="preserve">Run the shell script requested by the user using execute.
Commands run in the prepared working directory. Use relative paths in shell
commands; filesystem tools use virtual paths rooted in that same directory.
Report the actual command output and exit status. A nonzero exit or timeout is
not success. Do not invent script results or rerun a failed script unless asked.
</t>
  </si>
  <si>
    <t xml:space="preserve">    User prompt</t>
  </si>
  <si>
    <t>Run sh ./summarize.sh and report the order totals and exit status.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</si>
  <si>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</si>
  <si>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</si>
  <si>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</si>
  <si>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</si>
  <si>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</si>
  <si>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</si>
  <si>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"rs_0305eb8a54a04ee3006ab5a3a755cc87d28c9ebc14ca0f7992", "summary": [], "type": "reasoning", "content": [], "index": 0, "encrypted_content": "gAAAAABqtaOn2Vx__1CqeTA9UhRWq69sE5va7D4fs9q0zuF2RJNMYiEG23WSCKXy9y0NI3BRyfzeW62j3zjIOWc9ZF1XT9VkeE-xf-6vhR-sUv5n4VuwxQiuWvC96ea_LIljgPujnRNo2J-iV4Uu-pr6MlSAtGinpam70lNGhIePlwgKD_Y11hLy6pkLoQOkOApFENuaiMF09HRKMicQRurilDr0rPf1tnx6zgQYAn677RO1aXdscnv4qA46fhitGsizysVUNA5T7Jj0EWT0XqdMhnOwVY08ugHV9hE2pH1xa1r7XxnMS6_UbbY4Ul6h5sC-4iV-771J3mF25FbeVR7GusmPqCE4dKgJ0OYRQizyoegsJjKkNCAf3voNWY3Zow6SLJHn5D1-Kz1kzU9wvcrY8iSsHkm09XhpEKHwavVyhvkWjcjxPRHRZaIPRaMQKj5Jwz9Uvdhn_EngNHCnuLJHUVlYGPtd8N7ZCh5gBG7OqTw-giWnJ7gTx8p2GzyiJTmQCJG0pj5q6DYLeic8Lonjn-V-p2Cyqiqdu2GWy2YwNxyI0AtAccFzKfZ4LkIaQvjL32KTsC2emlfZlmNV-s1Y3Io_pk6joInlAwAw7XIIIC--MGOmtYkTcjImcj4qW33qY0klEBK8VtjuAHOi1uAixbz9-F2Dr6gvTIuZPzk13OCBUVoEA-VtKCXIEe-7BCL_AsBU1vJKIydCdl7C-lVWwARaubX1kZnJD8V9-C7XgeG-8TRueyKyOOXTKvAgOPwxszbOjLWORCExvXDLWgb6bRBZ0QHdqR8I4pmP3VP4PA15yT-Xu-i2GV6UHdGrULMbosaLjpwnJljzACCEK6NOlkhPqSIlp8rlkgNKEk1Ai4DaACPtr697mT1fiCbQgmejxpp4j1YqsnAKktYxnmbagg4YmCkFuPyCRsDb2JgW8QG2lJLUO6-fW5IaatmMoKBgFWZNXbnLDBMBD9DG2q5VU51NXUYk84fmvBRwggDIWIq-zeeuLo8jeN28Mi2gGwrbrt0CWz0yMddkUGic383qJT0UB5rpLTyz9EkORKv8HVF2uoXA5DiAN5Db1VWsKNeNEGYTTuj4JMRto_TTaIC5BYPSYSz1bjYeNw64g0SvGRRjfW5rmrEi0UOOikr8OFLRiQ4BTxPhj9pQXJnU9hr2kUgIASDGd-QL-ITv0hVZNDF0Kv25ElAz4kkRPyqb151rgIyxzOWG"}, {"type": "function_call", "name": "execute", "arguments": "{\"command\":\"sh ./summarize.sh\",\"timeout\":120}", "call_id": "call_UhZPcsWNlrqTM86fvtiZZuIF", "id": "fc_0305eb8a54a04ee3006ab5a3a77a9887d2898254c46a853836", "index": 1}]
{"name": "execute", "args": {"command": "sh ./summarize.sh", "timeout": 120}, "id": "call_UhZPcsWNlrqTM86fvtiZZuIF", "type": "tool_call"}</t>
  </si>
  <si>
    <t>Call total</t>
  </si>
  <si>
    <t>ok</t>
  </si>
  <si>
    <t>Tool · execute</t>
  </si>
  <si>
    <t>01a0d587-4733-7281-936a-e7b34c0438ff</t>
  </si>
  <si>
    <t xml:space="preserve">    Arguments</t>
  </si>
  <si>
    <t>{'command': 'sh ./summarize.sh', 'timeout': 120}</t>
  </si>
  <si>
    <t xml:space="preserve">    Result</t>
  </si>
  <si>
    <t>Orders: 3
Total units: 9
[Command succeeded with exit code 0]</t>
  </si>
  <si>
    <t>R2</t>
  </si>
  <si>
    <t>01a0d587-4750-7b32-ad48-53449c4e54b6</t>
  </si>
  <si>
    <t>Conversation history · cache read</t>
  </si>
  <si>
    <t xml:space="preserve">    Tool result</t>
  </si>
  <si>
    <t>[{"type": "text", "text": "Orders: 3  \nTotal units: 9  \n\nExit status: 0", "phase": "final_answer", "index": 0, "id": "msg_0305eb8a54a04ee3006ab5a3a8587487d29bf4cf5a0efbfa68"}]</t>
  </si>
  <si>
    <t>shell_agent</t>
  </si>
  <si>
    <t>workflow</t>
  </si>
  <si>
    <t>Execute the shell_agent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</si>
  <si>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</si>
  <si>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</si>
  <si>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</si>
  <si>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01a0d587-42f2-7a62-b6bb-a43ef2a73202</t>
  </si>
  <si>
    <t>No model charge</t>
  </si>
  <si>
    <t xml:space="preserve">    model</t>
  </si>
  <si>
    <t>Prepare the current conversation, run model middleware, and invoke the chat model.</t>
  </si>
  <si>
    <t>01a0d587-42f3-7e71-b2d4-6e6610c51eb3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</si>
  <si>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</si>
  <si>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</si>
  <si>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</si>
  <si>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</si>
  <si>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</si>
  <si>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</si>
  <si>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01a0d587-4732-7661-be25-1701b031358e</t>
  </si>
  <si>
    <t xml:space="preserve">        execute</t>
  </si>
  <si>
    <t>tool</t>
  </si>
  <si>
    <t>Executes a shell command in an isolated sandbox and returns combined stdout/stderr with the exit code (truncated if very large).
Usage:
- Quote paths containing spaces (e.g. cd "/path/with spaces").
- Chain commands with ';' or '&amp;&amp;' (use '&amp;&amp;' when a command depends on the previous); do not use newlines except inside quoted strings.
- Use absolute paths and avoid `cd` so the working directory stays stable; use the optional timeout to override the default.
- You MUST avoid using search commands like find and grep. Instead use the grep, glob tools to search. Use read_file rather than cat/head/tail.
    - execute(command="find . -name '*.py'")  # Use glob tool instead
    - execute(command="grep -r 'pattern' .")  # Use grep tool instead
Only available on backends implementing SandboxBackendProtocol; otherwise it returns an error.</t>
  </si>
  <si>
    <t>01a0d587-474e-7bb2-9895-90f97a30614a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</si>
</sst>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32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IF(COUNT('Turns'!E17,'Turns'!E32)=2,SUM('Turns'!E17,'Turns'!E32),"Unknown")</f>
        <v>0.0006239467976</v>
      </c>
      <c r="F2" s="2">
        <f>IF(COUNT('Turns'!F17,'Turns'!F32)=2,SUM('Turns'!F17,'Turns'!F32),"Unknown")</f>
        <v>0.00070924</v>
      </c>
      <c r="G2" s="5">
        <f>IF(ISNUMBER(E2),ROUND(E2*'Reference data'!$B$2,0),"Unknown")</f>
        <v>62.0</v>
      </c>
      <c r="H2" s="5">
        <f>IF(ISNUMBER(F2),ROUND(F2*'Reference data'!$B$2,0),"Unknown")</f>
        <v>71.0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0.0006239467976</v>
      </c>
      <c r="F3" s="2">
        <f>IF(COUNT('Turns'!F17,'Turns'!F32)=2,SUM('Turns'!F17,'Turns'!F32),"Unknown")</f>
        <v>0.00070924</v>
      </c>
      <c r="G3" s="5">
        <f>IF(ISNUMBER(E3),ROUND(E3*'Reference data'!$B$2,0),"Unknown")</f>
        <v>62.0</v>
      </c>
      <c r="H3" s="5">
        <f>IF(ISNUMBER(F3),ROUND(F3*'Reference data'!$B$2,0),"Unknown")</f>
        <v>71.0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2310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5.27844e-07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73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2307</v>
      </c>
      <c r="E9" s="2">
        <f>IF(AND(ISNUMBER(F9),ISNUMBER('Reference data'!$B$3)),F9*'Reference data'!$B$3,"Unknown")</f>
        <v>0.000507390045</v>
      </c>
      <c r="F9" s="2">
        <f>IF(D9=0,0,IF(ISNUMBER('Reference data'!D17),D9*'Reference data'!D17/1000000,"Unknown"))</f>
        <v>0.00057675</v>
      </c>
      <c r="G9" s="5">
        <f>IF(ISNUMBER(E9),ROUND(E9*'Reference data'!$B$2,0),"Unknown")</f>
        <v>51.0</v>
      </c>
      <c r="H9" s="5">
        <f>IF(ISNUMBER(F9),ROUND(F9*'Reference data'!$B$2,0),"Unknown")</f>
        <v>58.0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37</v>
      </c>
    </row>
    <row r="12" spans="1:13" ht="24" customHeight="1">
      <c r="A12" t="s">
        <v>93</v>
      </c>
      <c r="B12">
        <v>1</v>
      </c>
      <c r="C12" t="s">
        <v>106</v>
      </c>
      <c r="D12" s="5">
        <v>9</v>
      </c>
      <c r="E12" s="2">
        <f>IF(AND(ISNUMBER(F12),ISNUMBER('Reference data'!$B$3)),F12*'Reference data'!$B$3,"Unknown")</f>
        <v>9.501192e-06</v>
      </c>
      <c r="F12" s="2">
        <f>IF(D12=0,0,IF(ISNUMBER('Reference data'!F17),D12*'Reference data'!F17/1000000,"Unknown"))</f>
        <v>1.08e-05</v>
      </c>
      <c r="G12" s="5">
        <f>IF(ISNUMBER(E12),ROUND(E12*'Reference data'!$B$2,0),"Unknown")</f>
        <v>1.0</v>
      </c>
      <c r="H12" s="5">
        <f>IF(ISNUMBER(F12),ROUND(F12*'Reference data'!$B$2,0),"Unknown")</f>
        <v>1.0</v>
      </c>
    </row>
    <row r="13" spans="1:13" ht="24" customHeight="1">
      <c r="A13" t="s">
        <v>93</v>
      </c>
      <c r="B13">
        <v>1</v>
      </c>
      <c r="C13" t="s">
        <v>107</v>
      </c>
      <c r="D13" s="5">
        <v>28</v>
      </c>
      <c r="E13" s="2">
        <f>IF(AND(ISNUMBER(F13),ISNUMBER('Reference data'!$B$3)),F13*'Reference data'!$B$3,"Unknown")</f>
        <v>2.9559264e-05</v>
      </c>
      <c r="F13" s="2">
        <f>IF(D13=0,0,IF(ISNUMBER('Reference data'!E17),D13*'Reference data'!E17/1000000,"Unknown"))</f>
        <v>3.36e-05</v>
      </c>
      <c r="G13" s="5">
        <f>IF(ISNUMBER(E13),ROUND(E13*'Reference data'!$B$2,0),"Unknown")</f>
        <v>3.0</v>
      </c>
      <c r="H13" s="5">
        <f>IF(ISNUMBER(F13),ROUND(F13*'Reference data'!$B$2,0),"Unknown")</f>
        <v>3.0</v>
      </c>
    </row>
    <row r="14" spans="1:13" ht="281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IF(COUNT('Turns'!E5,'Turns'!E9,'Turns'!E12,'Turns'!E13)=4,SUM('Turns'!E5,'Turns'!E9,'Turns'!E12,'Turns'!E13),"Unknown")</f>
        <v>0.000546978345</v>
      </c>
      <c r="F17" s="2">
        <f>IF(COUNT('Turns'!F5,'Turns'!F9,'Turns'!F12,'Turns'!F13)=4,SUM('Turns'!F5,'Turns'!F9,'Turns'!F12,'Turns'!F13),"Unknown")</f>
        <v>0.00062175</v>
      </c>
      <c r="G17" s="5">
        <f>IF(ISNUMBER(E17),ROUND(E17*'Reference data'!$B$2,0),"Unknown")</f>
        <v>55.0</v>
      </c>
      <c r="H17" s="5">
        <f>IF(ISNUMBER(F17),ROUND(F17*'Reference data'!$B$2,0),"Unknown")</f>
        <v>62.0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60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2377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120</v>
      </c>
      <c r="D22" s="5">
        <v>2307</v>
      </c>
      <c r="E22" s="2">
        <f>IF(AND(ISNUMBER(F22),ISNUMBER('Reference data'!$B$3)),F22*'Reference data'!$B$3,"Unknown")</f>
        <v>4.05912036e-05</v>
      </c>
      <c r="F22" s="2">
        <f>IF(D22=0,0,IF(ISNUMBER('Reference data'!C17),D22*'Reference data'!C17/1000000,"Unknown"))</f>
        <v>4.614e-05</v>
      </c>
      <c r="G22" s="5">
        <f>IF(ISNUMBER(E22),ROUND(E22*'Reference data'!$B$2,0),"Unknown")</f>
        <v>4.0</v>
      </c>
      <c r="H22" s="5">
        <f>IF(ISNUMBER(F22),ROUND(F22*'Reference data'!$B$2,0),"Unknown")</f>
        <v>5.0</v>
      </c>
    </row>
    <row r="23" spans="1:13" ht="24" customHeight="1">
      <c r="A23" t="s">
        <v>118</v>
      </c>
      <c r="B23">
        <v>1</v>
      </c>
      <c r="C23" t="s">
        <v>97</v>
      </c>
      <c r="D23" s="5">
        <v>3</v>
      </c>
      <c r="E23" s="2">
        <f>IF(AND(ISNUMBER(F23),ISNUMBER('Reference data'!$B$3)),F23*'Reference data'!$B$3,"Unknown")</f>
        <v>5.27844e-07</v>
      </c>
      <c r="F23" s="2">
        <f>IF(D23=0,0,IF(ISNUMBER('Reference data'!B17),D23*'Reference data'!B17/1000000,"Unknown"))</f>
        <v>6e-07</v>
      </c>
      <c r="G23" s="5">
        <f>IF(ISNUMBER(E23),ROUND(E23*'Reference data'!$B$2,0),"Unknown")</f>
        <v>0.0</v>
      </c>
      <c r="H23" s="5">
        <f>IF(ISNUMBER(F23),ROUND(F23*'Reference data'!$B$2,0),"Unknown")</f>
        <v>0.0</v>
      </c>
    </row>
    <row r="24" spans="1:13" ht="60" customHeight="1">
      <c r="A24" t="s">
        <v>118</v>
      </c>
      <c r="B24">
        <v>1</v>
      </c>
      <c r="C24" t="s">
        <v>121</v>
      </c>
      <c r="I24" s="6" t="s">
        <v>117</v>
      </c>
    </row>
    <row r="25" spans="1:13" ht="24" customHeight="1">
      <c r="A25" t="s">
        <v>118</v>
      </c>
      <c r="B25">
        <v>1</v>
      </c>
      <c r="C25" t="s">
        <v>103</v>
      </c>
      <c r="D25" s="5">
        <v>67</v>
      </c>
      <c r="E25" s="2">
        <f>IF(AND(ISNUMBER(F25),ISNUMBER('Reference data'!$B$3)),F25*'Reference data'!$B$3,"Unknown")</f>
        <v>1.4735645e-05</v>
      </c>
      <c r="F25" s="2">
        <f>IF(D25=0,0,IF(ISNUMBER('Reference data'!D17),D25*'Reference data'!D17/1000000,"Unknown"))</f>
        <v>1.675e-05</v>
      </c>
      <c r="G25" s="5">
        <f>IF(ISNUMBER(E25),ROUND(E25*'Reference data'!$B$2,0),"Unknown")</f>
        <v>1.0</v>
      </c>
      <c r="H25" s="5">
        <f>IF(ISNUMBER(F25),ROUND(F25*'Reference data'!$B$2,0),"Unknown")</f>
        <v>2.0</v>
      </c>
    </row>
    <row r="26" spans="1:13" ht="24" customHeight="1">
      <c r="A26" t="s">
        <v>118</v>
      </c>
      <c r="B26">
        <v>1</v>
      </c>
      <c r="C26" t="s">
        <v>104</v>
      </c>
    </row>
    <row r="27" spans="1:13" s="4" customFormat="1" ht="24" customHeight="1">
      <c r="A27" s="4" t="s">
        <v>118</v>
      </c>
      <c r="B27" s="4">
        <v>1</v>
      </c>
      <c r="C27" s="4" t="s">
        <v>105</v>
      </c>
      <c r="D27" s="4">
        <v>20</v>
      </c>
    </row>
    <row r="28" spans="1:13" ht="24" customHeight="1">
      <c r="A28" t="s">
        <v>118</v>
      </c>
      <c r="B28">
        <v>1</v>
      </c>
      <c r="C28" t="s">
        <v>107</v>
      </c>
      <c r="D28" s="5">
        <v>20</v>
      </c>
      <c r="E28" s="2">
        <f>IF(AND(ISNUMBER(F28),ISNUMBER('Reference data'!$B$3)),F28*'Reference data'!$B$3,"Unknown")</f>
        <v>2.111376e-05</v>
      </c>
      <c r="F28" s="2">
        <f>IF(D28=0,0,IF(ISNUMBER('Reference data'!E17),D28*'Reference data'!E17/1000000,"Unknown"))</f>
        <v>2.4e-05</v>
      </c>
      <c r="G28" s="5">
        <f>IF(ISNUMBER(E28),ROUND(E28*'Reference data'!$B$2,0),"Unknown")</f>
        <v>2.0</v>
      </c>
      <c r="H28" s="5">
        <f>IF(ISNUMBER(F28),ROUND(F28*'Reference data'!$B$2,0),"Unknown")</f>
        <v>2.0</v>
      </c>
    </row>
    <row r="29" spans="1:13" ht="47" customHeight="1">
      <c r="A29" t="s">
        <v>118</v>
      </c>
      <c r="B29">
        <v>1</v>
      </c>
      <c r="C29" t="s">
        <v>108</v>
      </c>
      <c r="I29" s="6" t="s">
        <v>122</v>
      </c>
    </row>
    <row r="30" spans="1:13" ht="24" customHeight="1">
      <c r="A30" t="s">
        <v>118</v>
      </c>
      <c r="B30">
        <v>1</v>
      </c>
      <c r="C30" t="s">
        <v>103</v>
      </c>
    </row>
    <row r="31" spans="1:13" ht="24" customHeight="1">
      <c r="A31" t="s">
        <v>118</v>
      </c>
      <c r="B31">
        <v>1</v>
      </c>
      <c r="C31" t="s">
        <v>104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IF(COUNT('Turns'!E22,'Turns'!E23,'Turns'!E25,'Turns'!E28)=4,SUM('Turns'!E22,'Turns'!E23,'Turns'!E25,'Turns'!E28),"Unknown")</f>
        <v>7.69684526e-05</v>
      </c>
      <c r="F32" s="2">
        <f>IF(COUNT('Turns'!F22,'Turns'!F23,'Turns'!F25,'Turns'!F28)=4,SUM('Turns'!F22,'Turns'!F23,'Turns'!F25,'Turns'!F28),"Unknown")</f>
        <v>8.749e-05</v>
      </c>
      <c r="G32" s="5">
        <f>IF(ISNUMBER(E32),ROUND(E32*'Reference data'!$B$2,0),"Unknown")</f>
        <v>8.0</v>
      </c>
      <c r="H32" s="5">
        <f>IF(ISNUMBER(F32),ROUND(F32*'Reference data'!$B$2,0),"Unknown")</f>
        <v>9.0</v>
      </c>
      <c r="K32" s="4" t="s">
        <v>111</v>
      </c>
    </row>
  </sheetData>
  <conditionalFormatting sqref="A2:AE32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123</v>
      </c>
      <c r="B2" s="1">
        <v>0</v>
      </c>
      <c r="C2" s="1" t="s">
        <v>124</v>
      </c>
      <c r="D2" s="1" t="s">
        <v>47</v>
      </c>
      <c r="E2" s="1" t="s">
        <v>111</v>
      </c>
      <c r="G2" s="6" t="s">
        <v>125</v>
      </c>
      <c r="H2" t="s">
        <v>49</v>
      </c>
      <c r="J2" s="2">
        <f>IF(COUNT('Turns'!D5,'Turns'!D23)=2,SUM('Turns'!D5,'Turns'!D23),"Unknown")</f>
        <v>6.0</v>
      </c>
      <c r="K2" s="2">
        <f>IF(COUNT('Turns'!E5,'Turns'!E23)=2,SUM('Turns'!E5,'Turns'!E23),"Unknown")</f>
        <v>1.055688e-06</v>
      </c>
      <c r="L2" s="2">
        <f>IF(COUNT('Turns'!F5,'Turns'!F23)=2,SUM('Turns'!F5,'Turns'!F23),"Unknown")</f>
        <v>1.2e-06</v>
      </c>
      <c r="M2" s="2">
        <f>IF(COUNT('Turns'!D22)=1,SUM('Turns'!D22),"Unknown")</f>
        <v>2307.0</v>
      </c>
      <c r="N2" s="2">
        <f>IF(COUNT('Turns'!E22)=1,SUM('Turns'!E22),"Unknown")</f>
        <v>4.05912036e-05</v>
      </c>
      <c r="O2" s="2">
        <f>IF(COUNT('Turns'!F22)=1,SUM('Turns'!F22),"Unknown")</f>
        <v>4.614e-05</v>
      </c>
      <c r="P2" s="2">
        <f>IF(COUNT('Turns'!D9,'Turns'!D25)=2,SUM('Turns'!D9,'Turns'!D25),"Unknown")</f>
        <v>2374.0</v>
      </c>
      <c r="Q2" s="2">
        <f>IF(COUNT('Turns'!E9,'Turns'!E25)=2,SUM('Turns'!E9,'Turns'!E25),"Unknown")</f>
        <v>0.00052212569</v>
      </c>
      <c r="R2" s="2">
        <f>IF(COUNT('Turns'!F9,'Turns'!F25)=2,SUM('Turns'!F9,'Turns'!F25),"Unknown")</f>
        <v>0.0005935</v>
      </c>
      <c r="S2" s="2">
        <f>IF(COUNT('Turns'!D13,'Turns'!D28)=2,SUM('Turns'!D13,'Turns'!D28),"Unknown")</f>
        <v>48.0</v>
      </c>
      <c r="T2" s="2">
        <f>IF(COUNT('Turns'!E13,'Turns'!E28)=2,SUM('Turns'!E13,'Turns'!E28),"Unknown")</f>
        <v>5.0673024e-05</v>
      </c>
      <c r="U2" s="2">
        <f>IF(COUNT('Turns'!F13,'Turns'!F28)=2,SUM('Turns'!F13,'Turns'!F28),"Unknown")</f>
        <v>5.76e-05</v>
      </c>
      <c r="V2" s="2">
        <f>IF(COUNT('Turns'!D12)=1,SUM('Turns'!D12),"Unknown")</f>
        <v>9.0</v>
      </c>
      <c r="W2" s="2">
        <f>IF(COUNT('Turns'!E12)=1,SUM('Turns'!E12),"Unknown")</f>
        <v>9.501192e-06</v>
      </c>
      <c r="X2" s="2">
        <f>IF(COUNT('Turns'!F12)=1,SUM('Turns'!F12),"Unknown")</f>
        <v>1.08e-05</v>
      </c>
      <c r="Y2" s="2">
        <f>IF(COUNT('Turns'!E17,'Turns'!E32)=2,SUM('Turns'!E17,'Turns'!E32),"Unknown")</f>
        <v>0.0006239467976</v>
      </c>
      <c r="Z2" s="2">
        <f>IF(COUNT('Turns'!F17,'Turns'!F32)=2,SUM('Turns'!F17,'Turns'!F32),"Unknown")</f>
        <v>0.00070924</v>
      </c>
      <c r="AA2" s="5">
        <f>IF(ISNUMBER(Y2),ROUND(Y2*'Reference data'!$B$2,0),"Unknown")</f>
        <v>62.0</v>
      </c>
      <c r="AB2" s="5">
        <f>IF(ISNUMBER(Z2),ROUND(Z2*'Reference data'!$B$2,0),"Unknown")</f>
        <v>71.0</v>
      </c>
      <c r="AD2" s="1">
        <v>2045.869</v>
      </c>
      <c r="AE2" s="1" t="s">
        <v>126</v>
      </c>
    </row>
    <row r="3" spans="1:31" ht="54" customHeight="1">
      <c r="A3" s="6" t="s">
        <v>127</v>
      </c>
      <c r="B3" s="1">
        <v>1</v>
      </c>
      <c r="C3" s="1" t="s">
        <v>124</v>
      </c>
      <c r="D3" s="1" t="s">
        <v>47</v>
      </c>
      <c r="E3" s="1" t="s">
        <v>111</v>
      </c>
      <c r="G3" s="6" t="s">
        <v>128</v>
      </c>
      <c r="H3" t="s">
        <v>129</v>
      </c>
      <c r="I3" t="s">
        <v>49</v>
      </c>
      <c r="AD3" s="1">
        <v>0.394</v>
      </c>
      <c r="AE3" s="1" t="s">
        <v>130</v>
      </c>
    </row>
    <row r="4" spans="1:31" ht="54" customHeight="1">
      <c r="A4" s="6" t="s">
        <v>131</v>
      </c>
      <c r="B4" s="1">
        <v>1</v>
      </c>
      <c r="C4" s="1" t="s">
        <v>124</v>
      </c>
      <c r="D4" s="1" t="s">
        <v>47</v>
      </c>
      <c r="E4" s="1" t="s">
        <v>111</v>
      </c>
      <c r="G4" s="6" t="s">
        <v>132</v>
      </c>
      <c r="H4" t="s">
        <v>133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5.27844e-07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2307.0</v>
      </c>
      <c r="Q4" s="2">
        <f>IF(COUNT('Turns'!E9)=1,SUM('Turns'!E9),"Unknown")</f>
        <v>0.000507390045</v>
      </c>
      <c r="R4" s="2">
        <f>IF(COUNT('Turns'!F9)=1,SUM('Turns'!F9),"Unknown")</f>
        <v>0.00057675</v>
      </c>
      <c r="S4" s="2">
        <f>IF(COUNT('Turns'!D13)=1,SUM('Turns'!D13),"Unknown")</f>
        <v>28.0</v>
      </c>
      <c r="T4" s="2">
        <f>IF(COUNT('Turns'!E13)=1,SUM('Turns'!E13),"Unknown")</f>
        <v>2.9559264e-05</v>
      </c>
      <c r="U4" s="2">
        <f>IF(COUNT('Turns'!F13)=1,SUM('Turns'!F13),"Unknown")</f>
        <v>3.36e-05</v>
      </c>
      <c r="V4" s="2">
        <f>IF(COUNT('Turns'!D12)=1,SUM('Turns'!D12),"Unknown")</f>
        <v>9.0</v>
      </c>
      <c r="W4" s="2">
        <f>IF(COUNT('Turns'!E12)=1,SUM('Turns'!E12),"Unknown")</f>
        <v>9.501192e-06</v>
      </c>
      <c r="X4" s="2">
        <f>IF(COUNT('Turns'!F12)=1,SUM('Turns'!F12),"Unknown")</f>
        <v>1.08e-05</v>
      </c>
      <c r="Y4" s="2">
        <f>IF(COUNT('Turns'!E17)=1,SUM('Turns'!E17),"Unknown")</f>
        <v>0.000546978345</v>
      </c>
      <c r="Z4" s="2">
        <f>IF(COUNT('Turns'!F17)=1,SUM('Turns'!F17),"Unknown")</f>
        <v>0.00062175</v>
      </c>
      <c r="AA4" s="5">
        <f>IF(ISNUMBER(Y4),ROUND(Y4*'Reference data'!$B$2,0),"Unknown")</f>
        <v>55.0</v>
      </c>
      <c r="AB4" s="5">
        <f>IF(ISNUMBER(Z4),ROUND(Z4*'Reference data'!$B$2,0),"Unknown")</f>
        <v>62.0</v>
      </c>
      <c r="AD4" s="1">
        <v>1085.967</v>
      </c>
      <c r="AE4" s="1" t="s">
        <v>126</v>
      </c>
    </row>
    <row r="5" spans="1:31" ht="54" customHeight="1">
      <c r="A5" s="6" t="s">
        <v>134</v>
      </c>
      <c r="B5" s="1">
        <v>2</v>
      </c>
      <c r="C5" s="1" t="s">
        <v>135</v>
      </c>
      <c r="D5" s="1" t="s">
        <v>95</v>
      </c>
      <c r="E5" s="1" t="s">
        <v>111</v>
      </c>
      <c r="F5" s="1">
        <v>2310</v>
      </c>
      <c r="G5" s="6" t="s">
        <v>136</v>
      </c>
      <c r="H5" t="s">
        <v>96</v>
      </c>
      <c r="I5" t="s">
        <v>133</v>
      </c>
      <c r="J5" s="2">
        <f>IF(COUNT('Turns'!D5)=1,SUM('Turns'!D5),"Unknown")</f>
        <v>3.0</v>
      </c>
      <c r="K5" s="2">
        <f>IF(COUNT('Turns'!E5)=1,SUM('Turns'!E5),"Unknown")</f>
        <v>5.27844e-07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2307.0</v>
      </c>
      <c r="Q5" s="2">
        <f>IF(COUNT('Turns'!E9)=1,SUM('Turns'!E9),"Unknown")</f>
        <v>0.000507390045</v>
      </c>
      <c r="R5" s="2">
        <f>IF(COUNT('Turns'!F9)=1,SUM('Turns'!F9),"Unknown")</f>
        <v>0.00057675</v>
      </c>
      <c r="S5" s="2">
        <f>IF(COUNT('Turns'!D13)=1,SUM('Turns'!D13),"Unknown")</f>
        <v>28.0</v>
      </c>
      <c r="T5" s="2">
        <f>IF(COUNT('Turns'!E13)=1,SUM('Turns'!E13),"Unknown")</f>
        <v>2.9559264e-05</v>
      </c>
      <c r="U5" s="2">
        <f>IF(COUNT('Turns'!F13)=1,SUM('Turns'!F13),"Unknown")</f>
        <v>3.36e-05</v>
      </c>
      <c r="V5" s="2">
        <f>IF(COUNT('Turns'!D12)=1,SUM('Turns'!D12),"Unknown")</f>
        <v>9.0</v>
      </c>
      <c r="W5" s="2">
        <f>IF(COUNT('Turns'!E12)=1,SUM('Turns'!E12),"Unknown")</f>
        <v>9.501192e-06</v>
      </c>
      <c r="X5" s="2">
        <f>IF(COUNT('Turns'!F12)=1,SUM('Turns'!F12),"Unknown")</f>
        <v>1.08e-05</v>
      </c>
      <c r="Y5" s="2">
        <f>IF(COUNT('Turns'!E17)=1,SUM('Turns'!E17),"Unknown")</f>
        <v>0.000546978345</v>
      </c>
      <c r="Z5" s="2">
        <f>IF(COUNT('Turns'!F17)=1,SUM('Turns'!F17),"Unknown")</f>
        <v>0.00062175</v>
      </c>
      <c r="AA5" s="5">
        <f>IF(ISNUMBER(Y5),ROUND(Y5*'Reference data'!$B$2,0),"Unknown")</f>
        <v>55.0</v>
      </c>
      <c r="AB5" s="5">
        <f>IF(ISNUMBER(Z5),ROUND(Z5*'Reference data'!$B$2,0),"Unknown")</f>
        <v>62.0</v>
      </c>
      <c r="AC5" s="1" t="s">
        <v>93</v>
      </c>
      <c r="AD5" s="1">
        <v>1079.331</v>
      </c>
      <c r="AE5" s="1" t="s">
        <v>137</v>
      </c>
    </row>
    <row r="6" spans="1:31" ht="54" customHeight="1">
      <c r="A6" s="6" t="s">
        <v>138</v>
      </c>
      <c r="B6" s="1">
        <v>1</v>
      </c>
      <c r="C6" s="1" t="s">
        <v>124</v>
      </c>
      <c r="D6" s="1" t="s">
        <v>47</v>
      </c>
      <c r="E6" s="1" t="s">
        <v>111</v>
      </c>
      <c r="G6" s="6" t="s">
        <v>139</v>
      </c>
      <c r="H6" t="s">
        <v>140</v>
      </c>
      <c r="I6" t="s">
        <v>49</v>
      </c>
      <c r="AD6" s="1">
        <v>27.424</v>
      </c>
      <c r="AE6" s="1" t="s">
        <v>130</v>
      </c>
    </row>
    <row r="7" spans="1:31" ht="54" customHeight="1">
      <c r="A7" s="6" t="s">
        <v>141</v>
      </c>
      <c r="B7" s="1">
        <v>2</v>
      </c>
      <c r="C7" s="1" t="s">
        <v>142</v>
      </c>
      <c r="D7" s="1" t="s">
        <v>47</v>
      </c>
      <c r="E7" s="1" t="s">
        <v>111</v>
      </c>
      <c r="G7" s="6" t="s">
        <v>143</v>
      </c>
      <c r="H7" t="s">
        <v>113</v>
      </c>
      <c r="I7" t="s">
        <v>140</v>
      </c>
      <c r="AD7" s="1">
        <v>25.297</v>
      </c>
      <c r="AE7" s="1" t="s">
        <v>130</v>
      </c>
    </row>
    <row r="8" spans="1:31" ht="54" customHeight="1">
      <c r="A8" s="6" t="s">
        <v>131</v>
      </c>
      <c r="B8" s="1">
        <v>1</v>
      </c>
      <c r="C8" s="1" t="s">
        <v>124</v>
      </c>
      <c r="D8" s="1" t="s">
        <v>47</v>
      </c>
      <c r="E8" s="1" t="s">
        <v>111</v>
      </c>
      <c r="G8" s="6" t="s">
        <v>132</v>
      </c>
      <c r="H8" t="s">
        <v>144</v>
      </c>
      <c r="I8" t="s">
        <v>49</v>
      </c>
      <c r="J8" s="2">
        <f>IF(COUNT('Turns'!D23)=1,SUM('Turns'!D23),"Unknown")</f>
        <v>3.0</v>
      </c>
      <c r="K8" s="2">
        <f>IF(COUNT('Turns'!E23)=1,SUM('Turns'!E23),"Unknown")</f>
        <v>5.27844e-07</v>
      </c>
      <c r="L8" s="2">
        <f>IF(COUNT('Turns'!F23)=1,SUM('Turns'!F23),"Unknown")</f>
        <v>6e-07</v>
      </c>
      <c r="M8" s="2">
        <f>IF(COUNT('Turns'!D22)=1,SUM('Turns'!D22),"Unknown")</f>
        <v>2307.0</v>
      </c>
      <c r="N8" s="2">
        <f>IF(COUNT('Turns'!E22)=1,SUM('Turns'!E22),"Unknown")</f>
        <v>4.05912036e-05</v>
      </c>
      <c r="O8" s="2">
        <f>IF(COUNT('Turns'!F22)=1,SUM('Turns'!F22),"Unknown")</f>
        <v>4.614e-05</v>
      </c>
      <c r="P8" s="2">
        <f>IF(COUNT('Turns'!D25)=1,SUM('Turns'!D25),"Unknown")</f>
        <v>67.0</v>
      </c>
      <c r="Q8" s="2">
        <f>IF(COUNT('Turns'!E25)=1,SUM('Turns'!E25),"Unknown")</f>
        <v>1.4735645e-05</v>
      </c>
      <c r="R8" s="2">
        <f>IF(COUNT('Turns'!F25)=1,SUM('Turns'!F25),"Unknown")</f>
        <v>1.675e-05</v>
      </c>
      <c r="S8" s="2">
        <f>IF(COUNT('Turns'!D28)=1,SUM('Turns'!D28),"Unknown")</f>
        <v>20.0</v>
      </c>
      <c r="T8" s="2">
        <f>IF(COUNT('Turns'!E28)=1,SUM('Turns'!E28),"Unknown")</f>
        <v>2.111376e-05</v>
      </c>
      <c r="U8" s="2">
        <f>IF(COUNT('Turns'!F28)=1,SUM('Turns'!F28),"Unknown")</f>
        <v>2.4e-05</v>
      </c>
      <c r="V8" s="2">
        <v>0</v>
      </c>
      <c r="W8" s="2">
        <v>0</v>
      </c>
      <c r="X8" s="2">
        <v>0</v>
      </c>
      <c r="Y8" s="2">
        <f>IF(COUNT('Turns'!E32)=1,SUM('Turns'!E32),"Unknown")</f>
        <v>7.69684526e-05</v>
      </c>
      <c r="Z8" s="2">
        <f>IF(COUNT('Turns'!F32)=1,SUM('Turns'!F32),"Unknown")</f>
        <v>8.749e-05</v>
      </c>
      <c r="AA8" s="5">
        <f>IF(ISNUMBER(Y8),ROUND(Y8*'Reference data'!$B$2,0),"Unknown")</f>
        <v>8.0</v>
      </c>
      <c r="AB8" s="5">
        <f>IF(ISNUMBER(Z8),ROUND(Z8*'Reference data'!$B$2,0),"Unknown")</f>
        <v>9.0</v>
      </c>
      <c r="AD8" s="1">
        <v>926.0700000000001</v>
      </c>
      <c r="AE8" s="1" t="s">
        <v>126</v>
      </c>
    </row>
    <row r="9" spans="1:31" ht="54" customHeight="1">
      <c r="A9" s="6" t="s">
        <v>134</v>
      </c>
      <c r="B9" s="1">
        <v>2</v>
      </c>
      <c r="C9" s="1" t="s">
        <v>135</v>
      </c>
      <c r="D9" s="1" t="s">
        <v>95</v>
      </c>
      <c r="E9" s="1" t="s">
        <v>111</v>
      </c>
      <c r="F9" s="1">
        <v>2377</v>
      </c>
      <c r="G9" s="6" t="s">
        <v>136</v>
      </c>
      <c r="H9" t="s">
        <v>119</v>
      </c>
      <c r="I9" t="s">
        <v>144</v>
      </c>
      <c r="J9" s="2">
        <f>IF(COUNT('Turns'!D23)=1,SUM('Turns'!D23),"Unknown")</f>
        <v>3.0</v>
      </c>
      <c r="K9" s="2">
        <f>IF(COUNT('Turns'!E23)=1,SUM('Turns'!E23),"Unknown")</f>
        <v>5.27844e-07</v>
      </c>
      <c r="L9" s="2">
        <f>IF(COUNT('Turns'!F23)=1,SUM('Turns'!F23),"Unknown")</f>
        <v>6e-07</v>
      </c>
      <c r="M9" s="2">
        <f>IF(COUNT('Turns'!D22)=1,SUM('Turns'!D22),"Unknown")</f>
        <v>2307.0</v>
      </c>
      <c r="N9" s="2">
        <f>IF(COUNT('Turns'!E22)=1,SUM('Turns'!E22),"Unknown")</f>
        <v>4.05912036e-05</v>
      </c>
      <c r="O9" s="2">
        <f>IF(COUNT('Turns'!F22)=1,SUM('Turns'!F22),"Unknown")</f>
        <v>4.614e-05</v>
      </c>
      <c r="P9" s="2">
        <f>IF(COUNT('Turns'!D25)=1,SUM('Turns'!D25),"Unknown")</f>
        <v>67.0</v>
      </c>
      <c r="Q9" s="2">
        <f>IF(COUNT('Turns'!E25)=1,SUM('Turns'!E25),"Unknown")</f>
        <v>1.4735645e-05</v>
      </c>
      <c r="R9" s="2">
        <f>IF(COUNT('Turns'!F25)=1,SUM('Turns'!F25),"Unknown")</f>
        <v>1.675e-05</v>
      </c>
      <c r="S9" s="2">
        <f>IF(COUNT('Turns'!D28)=1,SUM('Turns'!D28),"Unknown")</f>
        <v>20.0</v>
      </c>
      <c r="T9" s="2">
        <f>IF(COUNT('Turns'!E28)=1,SUM('Turns'!E28),"Unknown")</f>
        <v>2.111376e-05</v>
      </c>
      <c r="U9" s="2">
        <f>IF(COUNT('Turns'!F28)=1,SUM('Turns'!F28),"Unknown")</f>
        <v>2.4e-05</v>
      </c>
      <c r="V9" s="2">
        <v>0</v>
      </c>
      <c r="W9" s="2">
        <v>0</v>
      </c>
      <c r="X9" s="2">
        <v>0</v>
      </c>
      <c r="Y9" s="2">
        <f>IF(COUNT('Turns'!E32)=1,SUM('Turns'!E32),"Unknown")</f>
        <v>7.69684526e-05</v>
      </c>
      <c r="Z9" s="2">
        <f>IF(COUNT('Turns'!F32)=1,SUM('Turns'!F32),"Unknown")</f>
        <v>8.749e-05</v>
      </c>
      <c r="AA9" s="5">
        <f>IF(ISNUMBER(Y9),ROUND(Y9*'Reference data'!$B$2,0),"Unknown")</f>
        <v>8.0</v>
      </c>
      <c r="AB9" s="5">
        <f>IF(ISNUMBER(Z9),ROUND(Z9*'Reference data'!$B$2,0),"Unknown")</f>
        <v>9.0</v>
      </c>
      <c r="AC9" s="1" t="s">
        <v>118</v>
      </c>
      <c r="AD9" s="1">
        <v>922.1950000000001</v>
      </c>
      <c r="AE9" s="1" t="s">
        <v>137</v>
      </c>
    </row>
  </sheetData>
  <conditionalFormatting sqref="A2:AE9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0.87974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2026-09-24T22:26:50Z</dcterms:created>
  <dcterms:modified xsi:type="dcterms:W3CDTF">2026-09-24T22:26:50Z</dcterms:modified>
</cp:coreProperties>
</file>
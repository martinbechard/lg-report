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urns" sheetId="1" r:id="rId1"/>
    <sheet name="Execution tree" sheetId="2" r:id="rId2"/>
    <sheet name="Reference data" sheetId="3" r:id="rId3"/>
  </sheets>
  <calcPr calcId="124519" fullCalcOnLoad="1"/>
</workbook>
</file>

<file path=xl/sharedStrings.xml><?xml version="1.0" encoding="utf-8"?>
<sst xmlns="http://schemas.openxmlformats.org/spreadsheetml/2006/main" count="256" uniqueCount="145">
  <si>
    <t>Request</t>
  </si>
  <si>
    <t>Turn</t>
  </si>
  <si>
    <t>Sequence</t>
  </si>
  <si>
    <t>Tokens</t>
  </si>
  <si>
    <t>EUR / execution</t>
  </si>
  <si>
    <t>USD / execution</t>
  </si>
  <si>
    <t>Projected EUR</t>
  </si>
  <si>
    <t>Projected USD</t>
  </si>
  <si>
    <t>Content</t>
  </si>
  <si>
    <t>Model · effort</t>
  </si>
  <si>
    <t>Status</t>
  </si>
  <si>
    <t>Context total tokens</t>
  </si>
  <si>
    <t>Span ID</t>
  </si>
  <si>
    <t>Operation</t>
  </si>
  <si>
    <t>Depth</t>
  </si>
  <si>
    <t>Type</t>
  </si>
  <si>
    <t>Input context tokens</t>
  </si>
  <si>
    <t>Description</t>
  </si>
  <si>
    <t>Parent ID</t>
  </si>
  <si>
    <t>Fresh input tokens</t>
  </si>
  <si>
    <t>Fresh input EUR</t>
  </si>
  <si>
    <t>Fresh input USD</t>
  </si>
  <si>
    <t>Cache read tokens</t>
  </si>
  <si>
    <t>Cache read EUR</t>
  </si>
  <si>
    <t>Cache read USD</t>
  </si>
  <si>
    <t>Cache write tokens</t>
  </si>
  <si>
    <t>Cache write EUR</t>
  </si>
  <si>
    <t>Cache write USD</t>
  </si>
  <si>
    <t>Output (non-reasoning) tokens</t>
  </si>
  <si>
    <t>Output (non-reasoning) EUR</t>
  </si>
  <si>
    <t>Output (non-reasoning) USD</t>
  </si>
  <si>
    <t>Reasoning tokens</t>
  </si>
  <si>
    <t>Reasoning EUR</t>
  </si>
  <si>
    <t>Reasoning USD</t>
  </si>
  <si>
    <t>Total EUR</t>
  </si>
  <si>
    <t>Total USD</t>
  </si>
  <si>
    <t>Elapsed ms</t>
  </si>
  <si>
    <t>Accounting</t>
  </si>
  <si>
    <t>Parameter</t>
  </si>
  <si>
    <t>Value</t>
  </si>
  <si>
    <t>Unit</t>
  </si>
  <si>
    <t>Number of executions</t>
  </si>
  <si>
    <t>executions</t>
  </si>
  <si>
    <t>USD → EUR</t>
  </si>
  <si>
    <t>EUR per USD</t>
  </si>
  <si>
    <t>Cache duration</t>
  </si>
  <si>
    <t>5m</t>
  </si>
  <si>
    <t/>
  </si>
  <si>
    <t>Run ID</t>
  </si>
  <si>
    <t>01a0cce2-c5fd-78d0-921d-07549798c762</t>
  </si>
  <si>
    <t>Recording</t>
  </si>
  <si>
    <t>Provider trace</t>
  </si>
  <si>
    <t>FX reference date</t>
  </si>
  <si>
    <t>2026-09-22</t>
  </si>
  <si>
    <t>FX fetched at</t>
  </si>
  <si>
    <t>2026-09-23T06:06:28.037095Z</t>
  </si>
  <si>
    <t>UTC</t>
  </si>
  <si>
    <t>FX source</t>
  </si>
  <si>
    <t>https://api.frankfurter.dev/v2/rate/usd/eur?providers=ecb</t>
  </si>
  <si>
    <t>Rounding</t>
  </si>
  <si>
    <t>Only projected costs: ROUND(cost × executions, 0)</t>
  </si>
  <si>
    <t>Tree totals</t>
  </si>
  <si>
    <t>Parent rows include descendants; do not sum all tree rows.</t>
  </si>
  <si>
    <t>Cache writes</t>
  </si>
  <si>
    <t>Simulated context movement is not a provider-billed write.</t>
  </si>
  <si>
    <t>Pricing scope</t>
  </si>
  <si>
    <t>Standard online token rates. Verify rates and model access before use. Cache writes with unspecified lifetime use the 5-minute rate unless an explicit cache_write rate is configured. No batch, regional, long-context, tool, or negotiated pricing adjustments are applied.</t>
  </si>
  <si>
    <t>Model</t>
  </si>
  <si>
    <t>Input USD / 1M tokens</t>
  </si>
  <si>
    <t>Cache read USD / 1M tokens</t>
  </si>
  <si>
    <t>Cache write USD / 1M tokens</t>
  </si>
  <si>
    <t>Output USD / 1M tokens</t>
  </si>
  <si>
    <t>Reasoning USD / 1M tokens</t>
  </si>
  <si>
    <t>Verified date</t>
  </si>
  <si>
    <t>Source</t>
  </si>
  <si>
    <t>Notes</t>
  </si>
  <si>
    <t>openai:gpt-5.5</t>
  </si>
  <si>
    <t>Unknown</t>
  </si>
  <si>
    <t>2026-09-18</t>
  </si>
  <si>
    <t>https://developers.openai.com/api/docs/models/gpt-5.5.md</t>
  </si>
  <si>
    <t>Cache write assumes 5m when unspecified</t>
  </si>
  <si>
    <t>openai:gpt-5.6-luna</t>
  </si>
  <si>
    <t>https://developers.openai.com/api/docs/models/gpt-5.6-luna.md</t>
  </si>
  <si>
    <t>openai:gpt-5.6-sol</t>
  </si>
  <si>
    <t>https://developers.openai.com/api/docs/models/gpt-5.6-sol.md</t>
  </si>
  <si>
    <t>anthropic:claude-sonnet-5</t>
  </si>
  <si>
    <t>https://platform.claude.com/docs/en/about-claude/pricing</t>
  </si>
  <si>
    <t>anthropic:claude-opus-4-8</t>
  </si>
  <si>
    <t>anthropic:claude-fable-5-1</t>
  </si>
  <si>
    <t>demo:scripted-chat</t>
  </si>
  <si>
    <t>Illustrative demo rates based on openai:gpt-5.6-luna; no provider billing</t>
  </si>
  <si>
    <t>Run total</t>
  </si>
  <si>
    <t>Turn 1</t>
  </si>
  <si>
    <t>R1</t>
  </si>
  <si>
    <t>LLM request</t>
  </si>
  <si>
    <t>gpt-5.6-luna</t>
  </si>
  <si>
    <t>01a0cce2-c607-7773-85f0-ba9b232ed984</t>
  </si>
  <si>
    <t>Fresh input</t>
  </si>
  <si>
    <t xml:space="preserve">    Tool definitions</t>
  </si>
  <si>
    <t xml:space="preserve">    System prompt</t>
  </si>
  <si>
    <t xml:space="preserve">Run the shell script requested by the user using execute.
Commands run in the prepared working directory. Use relative paths in shell
commands; filesystem tools use virtual paths rooted in that same directory.
Report the actual command output and exit status. A nonzero exit or timeout is
not success. Do not invent script results or rerun a failed script unless asked.
</t>
  </si>
  <si>
    <t xml:space="preserve">    User prompt</t>
  </si>
  <si>
    <t>Run sh ./summarize.sh and report the order totals and exit status.</t>
  </si>
  <si>
    <t>Cache write</t>
  </si>
  <si>
    <t>Context · added / total</t>
  </si>
  <si>
    <t>LLM response</t>
  </si>
  <si>
    <t>Reasoning</t>
  </si>
  <si>
    <t>Output</t>
  </si>
  <si>
    <t xml:space="preserve">    Output content</t>
  </si>
  <si>
    <t>[{"id": "rs_0967585e220fda42006ab36d430e3c87d2b7c939b8f5a054dd", "summary": [], "type": "reasoning", "content": [], "index": 0, "encrypted_content": "gAAAAABqs21DI4VJMv699J-YjN9sGPspsQp6Ve4s3Xd3eVoIUShuESZPf9MU7W-bdMhcn-9dKyNzvh2d24tDr0rxfueVqcqGwQGYBFQOwvPmaYQtpZIuxujrIbNTXbNRTz96DiWFgNiV9OBlZUpRYUBbtK2VsqNms2qTT8XT10kgVpoCT7XOd7mXCwvHJaVzTwc5KlMyAPAdOnhsxu7j15nZgZpXDEF8zoOL-YGPZ6jAnyrlxexRGCuIUc7LZmntoBiFCwrq7XussfMZpp-kdBSDUWCGZif1q8A15tvPRpC6LOxdXdLjX1VHGTjR_BBStDMhI4tOvhQMZ6nt6Hw61rbJwo8ZDaQO_T4oVUiwjofM9qaWNiKsLKxMHspRcTgWcFIajmuFLTK8AqDXmT6tLNjOUgUBAyzQOKkX39fkRE0G5wMGpKTbM9bq_pH_PJLdjZIYdtai5mawnuu2ytyNFtd2F7uYqW66WFsJ2VvYjaNuW8mSe7LriUjiHsTMIBXIhjkLaqJVEGKYE8AfUT7clf8xsKVXMS1qfLcFeDiCWpIB08WjgDybtgoMXtJTLLIAKfk4Seqs_vl_LZ3PkP8kiHLI3RF6cs6TZMU0DO9cxf9bZVE3Y4kAEfMpuWULdNh66lPMeQJr94g-_Nwl2zVqZWyzVcxBQzPyidt_IFvjgGZDQcEQ_3bQ80ppwJHOIRR8gLVqRwjcX2SCNeKWh1gW_VD1ZicbTC3FC-hJ9NbceLh8eOHyjRtuRaOr6z54HHnJ3iTMguoX3qM4DJYHPh_1ydi6Agwd3e5OTZ_EKLt1stpCioZ8hnZUvC9NVccTW3HI57HZthMUaDAbxUo2W0Nl5bY_UEkzIx9zj5sOM1bLhrBcxx4kibBhLamepDyM5yN9bJCXPIfFuOtY7Jv9bVYpw5XexfP1D2gm7EDsYVHGfu6poEYnTe6n4uNkaPazFL3QMpHKyyppcthCD2l-AVtkPkjfMV4uVKmC-ypPfkLsyOLFRx035LFLQtoFcMr6M51zbAmecpEjaYnzE8bm_jyx0DkUU-mnpSZpvzcRN5nmIZFAeTlt7zMc6XZEte-VgqB-QBQfFS1iK-qiEIwdZjqD_80vY_e0DrgEA7-yRO3MNqRD4psYeDA_9Oi-KVA79OKLpPEpGIzhIHovTExVJ-1gN912qkHpPXfdQRCDb2VELcleXzykM35mm6gV38sC-SjscpJ2QF866TyT"}, {"type": "function_call", "name": "execute", "arguments": "{\"command\":\"sh ./summarize.sh\",\"timeout\":120}", "call_id": "call_Q66W87QSm7grtEa7O5oUdksk", "id": "fc_0967585e220fda42006ab36d434a2087d2b56f51d294a32f8e", "index": 1}]
{"name": "execute", "args": {"command": "sh ./summarize.sh", "timeout": 120}, "id": "call_Q66W87QSm7grtEa7O5oUdksk", "type": "tool_call"}</t>
  </si>
  <si>
    <t>Call total</t>
  </si>
  <si>
    <t>ok</t>
  </si>
  <si>
    <t>Tool · execute</t>
  </si>
  <si>
    <t>01a0cce2-d033-78c2-b1a4-dc06cd1ac6bc</t>
  </si>
  <si>
    <t xml:space="preserve">    Arguments</t>
  </si>
  <si>
    <t>{'command': 'sh ./summarize.sh', 'timeout': 120}</t>
  </si>
  <si>
    <t xml:space="preserve">    Result</t>
  </si>
  <si>
    <t>Orders: 3
Total units: 9
[Command succeeded with exit code 0]</t>
  </si>
  <si>
    <t>R2</t>
  </si>
  <si>
    <t>01a0cce2-d060-7183-be50-f3539cfcd9b5</t>
  </si>
  <si>
    <t>Conversation history · cache read</t>
  </si>
  <si>
    <t xml:space="preserve">    Tool result</t>
  </si>
  <si>
    <t>[{"type": "text", "text": "Order totals:\n- Orders: 3\n- Total units: 9\n\nExit status: 0", "phase": "final_answer", "index": 0, "id": "msg_0967585e220fda42006ab36d445d4487d2b0db9897a9c06878"}]</t>
  </si>
  <si>
    <t>shell_agent</t>
  </si>
  <si>
    <t>workflow</t>
  </si>
  <si>
    <t>Execute the shell_agent workflow operation and pass its result to the next graph step.</t>
  </si>
  <si>
    <t>Subtree total</t>
  </si>
  <si>
    <t xml:space="preserve">    PatchToolCallsMiddleware.before_agent</t>
  </si>
  <si>
    <t>Check message history and repair missing tool responses before the agent starts.</t>
  </si>
  <si>
    <t>01a0cce2-c600-70b3-bba3-a4088cc2c75c</t>
  </si>
  <si>
    <t>No model charge</t>
  </si>
  <si>
    <t xml:space="preserve">    model</t>
  </si>
  <si>
    <t>Prepare the current conversation, run model middleware, and invoke the chat model.</t>
  </si>
  <si>
    <t>01a0cce2-c601-77d3-9bac-2a73cea15bc7</t>
  </si>
  <si>
    <t xml:space="preserve">        ChatOpenAI</t>
  </si>
  <si>
    <t>model</t>
  </si>
  <si>
    <t>Generate the next assistant message or tool request from the current conversation.</t>
  </si>
  <si>
    <t>Own call</t>
  </si>
  <si>
    <t xml:space="preserve">    tools</t>
  </si>
  <si>
    <t>Execute tool calls requested by the preceding model response and return their observations.</t>
  </si>
  <si>
    <t>01a0cce2-d032-76c2-8f9f-25c9264a81ae</t>
  </si>
  <si>
    <t xml:space="preserve">        execute</t>
  </si>
  <si>
    <t>tool</t>
  </si>
  <si>
    <t>Executes a shell command in an isolated sandbox and returns combined stdout/stderr with the exit code (truncated if very large).
Usage:
- Quote paths containing spaces (e.g. cd "/path/with spaces").
- Chain commands with ';' or '&amp;&amp;' (use '&amp;&amp;' when a command depends on the previous); do not use newlines except inside quoted strings.
- Use absolute paths and avoid `cd` so the working directory stays stable; use the optional timeout to override the default.
- You MUST avoid using search commands like find and grep. Instead use the grep, glob tools to search. Use read_file rather than cat/head/tail.
    - execute(command="find . -name '*.py'")  # Use glob tool instead
    - execute(command="grep -r 'pattern' .")  # Use grep tool instead
Only available on backends implementing SandboxBackendProtocol; otherwise it returns an error.</t>
  </si>
  <si>
    <t>01a0cce2-d05e-7ea2-9e8f-10fa6f7a360c</t>
  </si>
</sst>
</file>

<file path=xl/styles.xml><?xml version="1.0" encoding="utf-8"?>
<styleSheet xmlns="http://schemas.openxmlformats.org/spreadsheetml/2006/main">
  <numFmts count="2">
    <numFmt numFmtId="164" formatCode="0.###############;-0.###############;0"/>
    <numFmt numFmtId="165" formatCode="#,##0"/>
  </numFmts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b/>
      <sz val="10"/>
      <color rgb="FF173B7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73B70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1B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top"/>
    </xf>
    <xf numFmtId="164" fontId="1" fillId="0" borderId="0" xfId="0" applyNumberFormat="1" applyFont="1" applyAlignment="1">
      <alignment vertical="top"/>
    </xf>
    <xf numFmtId="0" fontId="2" fillId="2" borderId="0" xfId="0" applyFont="1" applyFill="1" applyAlignment="1">
      <alignment vertical="top" wrapText="1"/>
    </xf>
    <xf numFmtId="0" fontId="3" fillId="3" borderId="0" xfId="0" applyFont="1" applyFill="1" applyAlignment="1">
      <alignment vertical="top"/>
    </xf>
    <xf numFmtId="165" fontId="1" fillId="0" borderId="0" xfId="0" applyNumberFormat="1" applyFont="1" applyAlignment="1">
      <alignment vertical="top"/>
    </xf>
    <xf numFmtId="0" fontId="1" fillId="0" borderId="0" xfId="0" applyFont="1" applyAlignment="1">
      <alignment vertical="top" wrapText="1"/>
    </xf>
    <xf numFmtId="165" fontId="0" fillId="4" borderId="0" xfId="0" applyNumberFormat="1" applyFill="1"/>
  </cellXfs>
  <cellStyles count="1">
    <cellStyle name="Normal" xfId="0" builtinId="0"/>
  </cellStyles>
  <dxfs count="1">
    <dxf>
      <font>
        <color rgb="FF8B1010"/>
      </font>
      <fill>
        <patternFill>
          <bgColor rgb="FFFFD3D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73B70"/>
  </sheetPr>
  <dimension ref="A1:M32"/>
  <sheetViews>
    <sheetView showGridLines="0"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2" width="10.7109375" customWidth="1"/>
    <col min="3" max="3" width="38.7109375" customWidth="1"/>
    <col min="4" max="4" width="18.7109375" style="1" customWidth="1"/>
    <col min="5" max="6" width="22.7109375" style="2" customWidth="1"/>
    <col min="7" max="8" width="18.7109375" style="1" customWidth="1"/>
    <col min="9" max="9" width="100.7109375" customWidth="1"/>
    <col min="10" max="10" width="26.7109375" customWidth="1"/>
    <col min="11" max="12" width="18.7109375" style="1" customWidth="1"/>
    <col min="13" max="13" width="38.7109375" customWidth="1"/>
  </cols>
  <sheetData>
    <row r="1" spans="1:13" ht="44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spans="1:13" s="4" customFormat="1" ht="24" customHeight="1">
      <c r="C2" s="4" t="s">
        <v>91</v>
      </c>
      <c r="E2" s="2">
        <f>IF(COUNT('Turns'!E17,'Turns'!E32)=2,SUM('Turns'!E17,'Turns'!E32),"Unknown")</f>
        <v>0.0006239539188</v>
      </c>
      <c r="F2" s="2">
        <f>IF(COUNT('Turns'!F17,'Turns'!F32)=2,SUM('Turns'!F17,'Turns'!F32),"Unknown")</f>
        <v>0.00071524</v>
      </c>
      <c r="G2" s="5">
        <f>IF(ISNUMBER(E2),ROUND(E2*'Reference data'!$B$2,0),"Unknown")</f>
        <v>62.0</v>
      </c>
      <c r="H2" s="5">
        <f>IF(ISNUMBER(F2),ROUND(F2*'Reference data'!$B$2,0),"Unknown")</f>
        <v>72.0</v>
      </c>
    </row>
    <row r="3" spans="1:13" s="4" customFormat="1" ht="24" customHeight="1">
      <c r="B3" s="4">
        <v>1</v>
      </c>
      <c r="C3" s="4" t="s">
        <v>92</v>
      </c>
      <c r="E3" s="2">
        <f>IF(COUNT('Turns'!E17,'Turns'!E32)=2,SUM('Turns'!E17,'Turns'!E32),"Unknown")</f>
        <v>0.0006239539188</v>
      </c>
      <c r="F3" s="2">
        <f>IF(COUNT('Turns'!F17,'Turns'!F32)=2,SUM('Turns'!F17,'Turns'!F32),"Unknown")</f>
        <v>0.00071524</v>
      </c>
      <c r="G3" s="5">
        <f>IF(ISNUMBER(E3),ROUND(E3*'Reference data'!$B$2,0),"Unknown")</f>
        <v>62.0</v>
      </c>
      <c r="H3" s="5">
        <f>IF(ISNUMBER(F3),ROUND(F3*'Reference data'!$B$2,0),"Unknown")</f>
        <v>72.0</v>
      </c>
    </row>
    <row r="4" spans="1:13" s="4" customFormat="1" ht="24" customHeight="1">
      <c r="A4" s="4" t="s">
        <v>93</v>
      </c>
      <c r="B4" s="4">
        <v>1</v>
      </c>
      <c r="C4" s="4" t="s">
        <v>94</v>
      </c>
      <c r="D4" s="4">
        <v>2310</v>
      </c>
      <c r="J4" s="4" t="s">
        <v>95</v>
      </c>
      <c r="M4" s="4" t="s">
        <v>96</v>
      </c>
    </row>
    <row r="5" spans="1:13" ht="24" customHeight="1">
      <c r="A5" t="s">
        <v>93</v>
      </c>
      <c r="B5">
        <v>1</v>
      </c>
      <c r="C5" t="s">
        <v>97</v>
      </c>
      <c r="D5" s="5">
        <v>3</v>
      </c>
      <c r="E5" s="2">
        <f>IF(AND(ISNUMBER(F5),ISNUMBER('Reference data'!$B$3)),F5*'Reference data'!$B$3,"Unknown")</f>
        <v>5.23422e-07</v>
      </c>
      <c r="F5" s="2">
        <f>IF(D5=0,0,IF(ISNUMBER('Reference data'!B17),D5*'Reference data'!B17/1000000,"Unknown"))</f>
        <v>6e-07</v>
      </c>
      <c r="G5" s="5">
        <f>IF(ISNUMBER(E5),ROUND(E5*'Reference data'!$B$2,0),"Unknown")</f>
        <v>0.0</v>
      </c>
      <c r="H5" s="5">
        <f>IF(ISNUMBER(F5),ROUND(F5*'Reference data'!$B$2,0),"Unknown")</f>
        <v>0.0</v>
      </c>
    </row>
    <row r="6" spans="1:13" ht="24" customHeight="1">
      <c r="A6" t="s">
        <v>93</v>
      </c>
      <c r="B6">
        <v>1</v>
      </c>
      <c r="C6" t="s">
        <v>98</v>
      </c>
    </row>
    <row r="7" spans="1:13" ht="73" customHeight="1">
      <c r="A7" t="s">
        <v>93</v>
      </c>
      <c r="B7">
        <v>1</v>
      </c>
      <c r="C7" t="s">
        <v>99</v>
      </c>
      <c r="I7" s="6" t="s">
        <v>100</v>
      </c>
    </row>
    <row r="8" spans="1:13" ht="24" customHeight="1">
      <c r="A8" t="s">
        <v>93</v>
      </c>
      <c r="B8">
        <v>1</v>
      </c>
      <c r="C8" t="s">
        <v>101</v>
      </c>
      <c r="I8" s="6" t="s">
        <v>102</v>
      </c>
    </row>
    <row r="9" spans="1:13" ht="24" customHeight="1">
      <c r="A9" t="s">
        <v>93</v>
      </c>
      <c r="B9">
        <v>1</v>
      </c>
      <c r="C9" t="s">
        <v>103</v>
      </c>
      <c r="D9" s="5">
        <v>2307</v>
      </c>
      <c r="E9" s="2">
        <f>IF(AND(ISNUMBER(F9),ISNUMBER('Reference data'!$B$3)),F9*'Reference data'!$B$3,"Unknown")</f>
        <v>0.0005031393975</v>
      </c>
      <c r="F9" s="2">
        <f>IF(D9=0,0,IF(ISNUMBER('Reference data'!D17),D9*'Reference data'!D17/1000000,"Unknown"))</f>
        <v>0.00057675</v>
      </c>
      <c r="G9" s="5">
        <f>IF(ISNUMBER(E9),ROUND(E9*'Reference data'!$B$2,0),"Unknown")</f>
        <v>50.0</v>
      </c>
      <c r="H9" s="5">
        <f>IF(ISNUMBER(F9),ROUND(F9*'Reference data'!$B$2,0),"Unknown")</f>
        <v>58.0</v>
      </c>
    </row>
    <row r="10" spans="1:13" ht="24" customHeight="1">
      <c r="A10" t="s">
        <v>93</v>
      </c>
      <c r="B10">
        <v>1</v>
      </c>
      <c r="C10" t="s">
        <v>104</v>
      </c>
    </row>
    <row r="11" spans="1:13" s="4" customFormat="1" ht="24" customHeight="1">
      <c r="A11" s="4" t="s">
        <v>93</v>
      </c>
      <c r="B11" s="4">
        <v>1</v>
      </c>
      <c r="C11" s="4" t="s">
        <v>105</v>
      </c>
      <c r="D11" s="4">
        <v>37</v>
      </c>
    </row>
    <row r="12" spans="1:13" ht="24" customHeight="1">
      <c r="A12" t="s">
        <v>93</v>
      </c>
      <c r="B12">
        <v>1</v>
      </c>
      <c r="C12" t="s">
        <v>106</v>
      </c>
      <c r="D12" s="5">
        <v>9</v>
      </c>
      <c r="E12" s="2">
        <f>IF(AND(ISNUMBER(F12),ISNUMBER('Reference data'!$B$3)),F12*'Reference data'!$B$3,"Unknown")</f>
        <v>9.421596e-06</v>
      </c>
      <c r="F12" s="2">
        <f>IF(D12=0,0,IF(ISNUMBER('Reference data'!F17),D12*'Reference data'!F17/1000000,"Unknown"))</f>
        <v>1.08e-05</v>
      </c>
      <c r="G12" s="5">
        <f>IF(ISNUMBER(E12),ROUND(E12*'Reference data'!$B$2,0),"Unknown")</f>
        <v>1.0</v>
      </c>
      <c r="H12" s="5">
        <f>IF(ISNUMBER(F12),ROUND(F12*'Reference data'!$B$2,0),"Unknown")</f>
        <v>1.0</v>
      </c>
    </row>
    <row r="13" spans="1:13" ht="24" customHeight="1">
      <c r="A13" t="s">
        <v>93</v>
      </c>
      <c r="B13">
        <v>1</v>
      </c>
      <c r="C13" t="s">
        <v>107</v>
      </c>
      <c r="D13" s="5">
        <v>28</v>
      </c>
      <c r="E13" s="2">
        <f>IF(AND(ISNUMBER(F13),ISNUMBER('Reference data'!$B$3)),F13*'Reference data'!$B$3,"Unknown")</f>
        <v>2.9311632e-05</v>
      </c>
      <c r="F13" s="2">
        <f>IF(D13=0,0,IF(ISNUMBER('Reference data'!E17),D13*'Reference data'!E17/1000000,"Unknown"))</f>
        <v>3.36e-05</v>
      </c>
      <c r="G13" s="5">
        <f>IF(ISNUMBER(E13),ROUND(E13*'Reference data'!$B$2,0),"Unknown")</f>
        <v>3.0</v>
      </c>
      <c r="H13" s="5">
        <f>IF(ISNUMBER(F13),ROUND(F13*'Reference data'!$B$2,0),"Unknown")</f>
        <v>3.0</v>
      </c>
    </row>
    <row r="14" spans="1:13" ht="281" customHeight="1">
      <c r="A14" t="s">
        <v>93</v>
      </c>
      <c r="B14">
        <v>1</v>
      </c>
      <c r="C14" t="s">
        <v>108</v>
      </c>
      <c r="I14" s="6" t="s">
        <v>109</v>
      </c>
    </row>
    <row r="15" spans="1:13" ht="24" customHeight="1">
      <c r="A15" t="s">
        <v>93</v>
      </c>
      <c r="B15">
        <v>1</v>
      </c>
      <c r="C15" t="s">
        <v>103</v>
      </c>
    </row>
    <row r="16" spans="1:13" ht="24" customHeight="1">
      <c r="A16" t="s">
        <v>93</v>
      </c>
      <c r="B16">
        <v>1</v>
      </c>
      <c r="C16" t="s">
        <v>104</v>
      </c>
    </row>
    <row r="17" spans="1:13" s="4" customFormat="1" ht="24" customHeight="1">
      <c r="A17" s="4" t="s">
        <v>93</v>
      </c>
      <c r="B17" s="4">
        <v>1</v>
      </c>
      <c r="C17" s="4" t="s">
        <v>110</v>
      </c>
      <c r="E17" s="2">
        <f>IF(COUNT('Turns'!E5,'Turns'!E9,'Turns'!E12,'Turns'!E13)=4,SUM('Turns'!E5,'Turns'!E9,'Turns'!E12,'Turns'!E13),"Unknown")</f>
        <v>0.0005423960475</v>
      </c>
      <c r="F17" s="2">
        <f>IF(COUNT('Turns'!F5,'Turns'!F9,'Turns'!F12,'Turns'!F13)=4,SUM('Turns'!F5,'Turns'!F9,'Turns'!F12,'Turns'!F13),"Unknown")</f>
        <v>0.00062175</v>
      </c>
      <c r="G17" s="5">
        <f>IF(ISNUMBER(E17),ROUND(E17*'Reference data'!$B$2,0),"Unknown")</f>
        <v>54.0</v>
      </c>
      <c r="H17" s="5">
        <f>IF(ISNUMBER(F17),ROUND(F17*'Reference data'!$B$2,0),"Unknown")</f>
        <v>62.0</v>
      </c>
      <c r="K17" s="4" t="s">
        <v>111</v>
      </c>
    </row>
    <row r="18" spans="1:13" s="4" customFormat="1" ht="24" customHeight="1">
      <c r="B18" s="4">
        <v>1</v>
      </c>
      <c r="C18" s="4" t="s">
        <v>112</v>
      </c>
      <c r="K18" s="4" t="s">
        <v>111</v>
      </c>
      <c r="M18" s="4" t="s">
        <v>113</v>
      </c>
    </row>
    <row r="19" spans="1:13" ht="24" customHeight="1">
      <c r="B19">
        <v>1</v>
      </c>
      <c r="C19" t="s">
        <v>114</v>
      </c>
      <c r="I19" s="6" t="s">
        <v>115</v>
      </c>
    </row>
    <row r="20" spans="1:13" ht="60" customHeight="1">
      <c r="B20">
        <v>1</v>
      </c>
      <c r="C20" t="s">
        <v>116</v>
      </c>
      <c r="I20" s="6" t="s">
        <v>117</v>
      </c>
    </row>
    <row r="21" spans="1:13" s="4" customFormat="1" ht="24" customHeight="1">
      <c r="A21" s="4" t="s">
        <v>118</v>
      </c>
      <c r="B21" s="4">
        <v>1</v>
      </c>
      <c r="C21" s="4" t="s">
        <v>94</v>
      </c>
      <c r="D21" s="4">
        <v>2377</v>
      </c>
      <c r="J21" s="4" t="s">
        <v>95</v>
      </c>
      <c r="M21" s="4" t="s">
        <v>119</v>
      </c>
    </row>
    <row r="22" spans="1:13" ht="24" customHeight="1">
      <c r="A22" t="s">
        <v>118</v>
      </c>
      <c r="B22">
        <v>1</v>
      </c>
      <c r="C22" t="s">
        <v>120</v>
      </c>
      <c r="D22" s="5">
        <v>2307</v>
      </c>
      <c r="E22" s="2">
        <f>IF(AND(ISNUMBER(F22),ISNUMBER('Reference data'!$B$3)),F22*'Reference data'!$B$3,"Unknown")</f>
        <v>4.02511518e-05</v>
      </c>
      <c r="F22" s="2">
        <f>IF(D22=0,0,IF(ISNUMBER('Reference data'!C17),D22*'Reference data'!C17/1000000,"Unknown"))</f>
        <v>4.614e-05</v>
      </c>
      <c r="G22" s="5">
        <f>IF(ISNUMBER(E22),ROUND(E22*'Reference data'!$B$2,0),"Unknown")</f>
        <v>4.0</v>
      </c>
      <c r="H22" s="5">
        <f>IF(ISNUMBER(F22),ROUND(F22*'Reference data'!$B$2,0),"Unknown")</f>
        <v>5.0</v>
      </c>
    </row>
    <row r="23" spans="1:13" ht="24" customHeight="1">
      <c r="A23" t="s">
        <v>118</v>
      </c>
      <c r="B23">
        <v>1</v>
      </c>
      <c r="C23" t="s">
        <v>97</v>
      </c>
      <c r="D23" s="5">
        <v>3</v>
      </c>
      <c r="E23" s="2">
        <f>IF(AND(ISNUMBER(F23),ISNUMBER('Reference data'!$B$3)),F23*'Reference data'!$B$3,"Unknown")</f>
        <v>5.23422e-07</v>
      </c>
      <c r="F23" s="2">
        <f>IF(D23=0,0,IF(ISNUMBER('Reference data'!B17),D23*'Reference data'!B17/1000000,"Unknown"))</f>
        <v>6e-07</v>
      </c>
      <c r="G23" s="5">
        <f>IF(ISNUMBER(E23),ROUND(E23*'Reference data'!$B$2,0),"Unknown")</f>
        <v>0.0</v>
      </c>
      <c r="H23" s="5">
        <f>IF(ISNUMBER(F23),ROUND(F23*'Reference data'!$B$2,0),"Unknown")</f>
        <v>0.0</v>
      </c>
    </row>
    <row r="24" spans="1:13" ht="60" customHeight="1">
      <c r="A24" t="s">
        <v>118</v>
      </c>
      <c r="B24">
        <v>1</v>
      </c>
      <c r="C24" t="s">
        <v>121</v>
      </c>
      <c r="I24" s="6" t="s">
        <v>117</v>
      </c>
    </row>
    <row r="25" spans="1:13" ht="24" customHeight="1">
      <c r="A25" t="s">
        <v>118</v>
      </c>
      <c r="B25">
        <v>1</v>
      </c>
      <c r="C25" t="s">
        <v>103</v>
      </c>
      <c r="D25" s="5">
        <v>67</v>
      </c>
      <c r="E25" s="2">
        <f>IF(AND(ISNUMBER(F25),ISNUMBER('Reference data'!$B$3)),F25*'Reference data'!$B$3,"Unknown")</f>
        <v>1.46121975e-05</v>
      </c>
      <c r="F25" s="2">
        <f>IF(D25=0,0,IF(ISNUMBER('Reference data'!D17),D25*'Reference data'!D17/1000000,"Unknown"))</f>
        <v>1.675e-05</v>
      </c>
      <c r="G25" s="5">
        <f>IF(ISNUMBER(E25),ROUND(E25*'Reference data'!$B$2,0),"Unknown")</f>
        <v>1.0</v>
      </c>
      <c r="H25" s="5">
        <f>IF(ISNUMBER(F25),ROUND(F25*'Reference data'!$B$2,0),"Unknown")</f>
        <v>2.0</v>
      </c>
    </row>
    <row r="26" spans="1:13" ht="24" customHeight="1">
      <c r="A26" t="s">
        <v>118</v>
      </c>
      <c r="B26">
        <v>1</v>
      </c>
      <c r="C26" t="s">
        <v>104</v>
      </c>
    </row>
    <row r="27" spans="1:13" s="4" customFormat="1" ht="24" customHeight="1">
      <c r="A27" s="4" t="s">
        <v>118</v>
      </c>
      <c r="B27" s="4">
        <v>1</v>
      </c>
      <c r="C27" s="4" t="s">
        <v>105</v>
      </c>
      <c r="D27" s="4">
        <v>25</v>
      </c>
    </row>
    <row r="28" spans="1:13" ht="24" customHeight="1">
      <c r="A28" t="s">
        <v>118</v>
      </c>
      <c r="B28">
        <v>1</v>
      </c>
      <c r="C28" t="s">
        <v>107</v>
      </c>
      <c r="D28" s="5">
        <v>25</v>
      </c>
      <c r="E28" s="2">
        <f>IF(AND(ISNUMBER(F28),ISNUMBER('Reference data'!$B$3)),F28*'Reference data'!$B$3,"Unknown")</f>
        <v>2.61711e-05</v>
      </c>
      <c r="F28" s="2">
        <f>IF(D28=0,0,IF(ISNUMBER('Reference data'!E17),D28*'Reference data'!E17/1000000,"Unknown"))</f>
        <v>3e-05</v>
      </c>
      <c r="G28" s="5">
        <f>IF(ISNUMBER(E28),ROUND(E28*'Reference data'!$B$2,0),"Unknown")</f>
        <v>3.0</v>
      </c>
      <c r="H28" s="5">
        <f>IF(ISNUMBER(F28),ROUND(F28*'Reference data'!$B$2,0),"Unknown")</f>
        <v>3.0</v>
      </c>
    </row>
    <row r="29" spans="1:13" ht="47" customHeight="1">
      <c r="A29" t="s">
        <v>118</v>
      </c>
      <c r="B29">
        <v>1</v>
      </c>
      <c r="C29" t="s">
        <v>108</v>
      </c>
      <c r="I29" s="6" t="s">
        <v>122</v>
      </c>
    </row>
    <row r="30" spans="1:13" ht="24" customHeight="1">
      <c r="A30" t="s">
        <v>118</v>
      </c>
      <c r="B30">
        <v>1</v>
      </c>
      <c r="C30" t="s">
        <v>103</v>
      </c>
    </row>
    <row r="31" spans="1:13" ht="24" customHeight="1">
      <c r="A31" t="s">
        <v>118</v>
      </c>
      <c r="B31">
        <v>1</v>
      </c>
      <c r="C31" t="s">
        <v>104</v>
      </c>
    </row>
    <row r="32" spans="1:13" s="4" customFormat="1" ht="24" customHeight="1">
      <c r="A32" s="4" t="s">
        <v>118</v>
      </c>
      <c r="B32" s="4">
        <v>1</v>
      </c>
      <c r="C32" s="4" t="s">
        <v>110</v>
      </c>
      <c r="E32" s="2">
        <f>IF(COUNT('Turns'!E22,'Turns'!E23,'Turns'!E25,'Turns'!E28)=4,SUM('Turns'!E22,'Turns'!E23,'Turns'!E25,'Turns'!E28),"Unknown")</f>
        <v>8.15578713e-05</v>
      </c>
      <c r="F32" s="2">
        <f>IF(COUNT('Turns'!F22,'Turns'!F23,'Turns'!F25,'Turns'!F28)=4,SUM('Turns'!F22,'Turns'!F23,'Turns'!F25,'Turns'!F28),"Unknown")</f>
        <v>9.349e-05</v>
      </c>
      <c r="G32" s="5">
        <f>IF(ISNUMBER(E32),ROUND(E32*'Reference data'!$B$2,0),"Unknown")</f>
        <v>8.0</v>
      </c>
      <c r="H32" s="5">
        <f>IF(ISNUMBER(F32),ROUND(F32*'Reference data'!$B$2,0),"Unknown")</f>
        <v>9.0</v>
      </c>
      <c r="K32" s="4" t="s">
        <v>111</v>
      </c>
    </row>
  </sheetData>
  <conditionalFormatting sqref="A2:AE32">
    <cfRule type="expression" dxfId="0" priority="1">
      <formula>$K2="error"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73B70"/>
  </sheetPr>
  <dimension ref="A1:AE9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1" width="48.7109375" customWidth="1"/>
    <col min="2" max="6" width="18.7109375" style="1" customWidth="1"/>
    <col min="7" max="7" width="62.7109375" customWidth="1"/>
    <col min="8" max="9" width="38.7109375" customWidth="1"/>
    <col min="10" max="31" width="18.7109375" style="1" customWidth="1"/>
  </cols>
  <sheetData>
    <row r="1" spans="1:31" ht="44" customHeight="1">
      <c r="A1" s="3" t="s">
        <v>13</v>
      </c>
      <c r="B1" s="3" t="s">
        <v>14</v>
      </c>
      <c r="C1" s="3" t="s">
        <v>15</v>
      </c>
      <c r="D1" s="3" t="s">
        <v>9</v>
      </c>
      <c r="E1" s="3" t="s">
        <v>10</v>
      </c>
      <c r="F1" s="3" t="s">
        <v>16</v>
      </c>
      <c r="G1" s="3" t="s">
        <v>17</v>
      </c>
      <c r="H1" s="3" t="s">
        <v>12</v>
      </c>
      <c r="I1" s="3" t="s">
        <v>18</v>
      </c>
      <c r="J1" s="3" t="s">
        <v>19</v>
      </c>
      <c r="K1" s="3" t="s">
        <v>20</v>
      </c>
      <c r="L1" s="3" t="s">
        <v>21</v>
      </c>
      <c r="M1" s="3" t="s">
        <v>22</v>
      </c>
      <c r="N1" s="3" t="s">
        <v>23</v>
      </c>
      <c r="O1" s="3" t="s">
        <v>24</v>
      </c>
      <c r="P1" s="3" t="s">
        <v>25</v>
      </c>
      <c r="Q1" s="3" t="s">
        <v>26</v>
      </c>
      <c r="R1" s="3" t="s">
        <v>27</v>
      </c>
      <c r="S1" s="3" t="s">
        <v>28</v>
      </c>
      <c r="T1" s="3" t="s">
        <v>29</v>
      </c>
      <c r="U1" s="3" t="s">
        <v>30</v>
      </c>
      <c r="V1" s="3" t="s">
        <v>31</v>
      </c>
      <c r="W1" s="3" t="s">
        <v>32</v>
      </c>
      <c r="X1" s="3" t="s">
        <v>33</v>
      </c>
      <c r="Y1" s="3" t="s">
        <v>34</v>
      </c>
      <c r="Z1" s="3" t="s">
        <v>35</v>
      </c>
      <c r="AA1" s="3" t="s">
        <v>6</v>
      </c>
      <c r="AB1" s="3" t="s">
        <v>7</v>
      </c>
      <c r="AC1" s="3" t="s">
        <v>0</v>
      </c>
      <c r="AD1" s="3" t="s">
        <v>36</v>
      </c>
      <c r="AE1" s="3" t="s">
        <v>37</v>
      </c>
    </row>
    <row r="2" spans="1:31" ht="54" customHeight="1">
      <c r="A2" s="6" t="s">
        <v>123</v>
      </c>
      <c r="B2" s="1">
        <v>0</v>
      </c>
      <c r="C2" s="1" t="s">
        <v>124</v>
      </c>
      <c r="D2" s="1" t="s">
        <v>47</v>
      </c>
      <c r="E2" s="1" t="s">
        <v>111</v>
      </c>
      <c r="G2" s="6" t="s">
        <v>125</v>
      </c>
      <c r="H2" t="s">
        <v>49</v>
      </c>
      <c r="J2" s="2">
        <f>IF(COUNT('Turns'!D5,'Turns'!D23)=2,SUM('Turns'!D5,'Turns'!D23),"Unknown")</f>
        <v>6.0</v>
      </c>
      <c r="K2" s="2">
        <f>IF(COUNT('Turns'!E5,'Turns'!E23)=2,SUM('Turns'!E5,'Turns'!E23),"Unknown")</f>
        <v>1.046844e-06</v>
      </c>
      <c r="L2" s="2">
        <f>IF(COUNT('Turns'!F5,'Turns'!F23)=2,SUM('Turns'!F5,'Turns'!F23),"Unknown")</f>
        <v>1.2e-06</v>
      </c>
      <c r="M2" s="2">
        <f>IF(COUNT('Turns'!D22)=1,SUM('Turns'!D22),"Unknown")</f>
        <v>2307.0</v>
      </c>
      <c r="N2" s="2">
        <f>IF(COUNT('Turns'!E22)=1,SUM('Turns'!E22),"Unknown")</f>
        <v>4.02511518e-05</v>
      </c>
      <c r="O2" s="2">
        <f>IF(COUNT('Turns'!F22)=1,SUM('Turns'!F22),"Unknown")</f>
        <v>4.614e-05</v>
      </c>
      <c r="P2" s="2">
        <f>IF(COUNT('Turns'!D9,'Turns'!D25)=2,SUM('Turns'!D9,'Turns'!D25),"Unknown")</f>
        <v>2374.0</v>
      </c>
      <c r="Q2" s="2">
        <f>IF(COUNT('Turns'!E9,'Turns'!E25)=2,SUM('Turns'!E9,'Turns'!E25),"Unknown")</f>
        <v>0.000517751595</v>
      </c>
      <c r="R2" s="2">
        <f>IF(COUNT('Turns'!F9,'Turns'!F25)=2,SUM('Turns'!F9,'Turns'!F25),"Unknown")</f>
        <v>0.0005935</v>
      </c>
      <c r="S2" s="2">
        <f>IF(COUNT('Turns'!D13,'Turns'!D28)=2,SUM('Turns'!D13,'Turns'!D28),"Unknown")</f>
        <v>53.0</v>
      </c>
      <c r="T2" s="2">
        <f>IF(COUNT('Turns'!E13,'Turns'!E28)=2,SUM('Turns'!E13,'Turns'!E28),"Unknown")</f>
        <v>5.5482732e-05</v>
      </c>
      <c r="U2" s="2">
        <f>IF(COUNT('Turns'!F13,'Turns'!F28)=2,SUM('Turns'!F13,'Turns'!F28),"Unknown")</f>
        <v>6.36e-05</v>
      </c>
      <c r="V2" s="2">
        <f>IF(COUNT('Turns'!D12)=1,SUM('Turns'!D12),"Unknown")</f>
        <v>9.0</v>
      </c>
      <c r="W2" s="2">
        <f>IF(COUNT('Turns'!E12)=1,SUM('Turns'!E12),"Unknown")</f>
        <v>9.421596e-06</v>
      </c>
      <c r="X2" s="2">
        <f>IF(COUNT('Turns'!F12)=1,SUM('Turns'!F12),"Unknown")</f>
        <v>1.08e-05</v>
      </c>
      <c r="Y2" s="2">
        <f>IF(COUNT('Turns'!E17,'Turns'!E32)=2,SUM('Turns'!E17,'Turns'!E32),"Unknown")</f>
        <v>0.0006239539188</v>
      </c>
      <c r="Z2" s="2">
        <f>IF(COUNT('Turns'!F17,'Turns'!F32)=2,SUM('Turns'!F17,'Turns'!F32),"Unknown")</f>
        <v>0.00071524</v>
      </c>
      <c r="AA2" s="5">
        <f>IF(ISNUMBER(Y2),ROUND(Y2*'Reference data'!$B$2,0),"Unknown")</f>
        <v>62.0</v>
      </c>
      <c r="AB2" s="5">
        <f>IF(ISNUMBER(Z2),ROUND(Z2*'Reference data'!$B$2,0),"Unknown")</f>
        <v>72.0</v>
      </c>
      <c r="AD2" s="1">
        <v>4456.8</v>
      </c>
      <c r="AE2" s="1" t="s">
        <v>126</v>
      </c>
    </row>
    <row r="3" spans="1:31" ht="54" customHeight="1">
      <c r="A3" s="6" t="s">
        <v>127</v>
      </c>
      <c r="B3" s="1">
        <v>1</v>
      </c>
      <c r="C3" s="1" t="s">
        <v>124</v>
      </c>
      <c r="D3" s="1" t="s">
        <v>47</v>
      </c>
      <c r="E3" s="1" t="s">
        <v>111</v>
      </c>
      <c r="G3" s="6" t="s">
        <v>128</v>
      </c>
      <c r="H3" t="s">
        <v>129</v>
      </c>
      <c r="I3" t="s">
        <v>49</v>
      </c>
      <c r="AD3" s="1">
        <v>0.426</v>
      </c>
      <c r="AE3" s="1" t="s">
        <v>130</v>
      </c>
    </row>
    <row r="4" spans="1:31" ht="54" customHeight="1">
      <c r="A4" s="6" t="s">
        <v>131</v>
      </c>
      <c r="B4" s="1">
        <v>1</v>
      </c>
      <c r="C4" s="1" t="s">
        <v>124</v>
      </c>
      <c r="D4" s="1" t="s">
        <v>47</v>
      </c>
      <c r="E4" s="1" t="s">
        <v>111</v>
      </c>
      <c r="G4" s="6" t="s">
        <v>132</v>
      </c>
      <c r="H4" t="s">
        <v>133</v>
      </c>
      <c r="I4" t="s">
        <v>49</v>
      </c>
      <c r="J4" s="2">
        <f>IF(COUNT('Turns'!D5)=1,SUM('Turns'!D5),"Unknown")</f>
        <v>3.0</v>
      </c>
      <c r="K4" s="2">
        <f>IF(COUNT('Turns'!E5)=1,SUM('Turns'!E5),"Unknown")</f>
        <v>5.23422e-07</v>
      </c>
      <c r="L4" s="2">
        <f>IF(COUNT('Turns'!F5)=1,SUM('Turns'!F5),"Unknown")</f>
        <v>6e-07</v>
      </c>
      <c r="M4" s="2">
        <v>0</v>
      </c>
      <c r="N4" s="2">
        <v>0</v>
      </c>
      <c r="O4" s="2">
        <v>0</v>
      </c>
      <c r="P4" s="2">
        <f>IF(COUNT('Turns'!D9)=1,SUM('Turns'!D9),"Unknown")</f>
        <v>2307.0</v>
      </c>
      <c r="Q4" s="2">
        <f>IF(COUNT('Turns'!E9)=1,SUM('Turns'!E9),"Unknown")</f>
        <v>0.0005031393975</v>
      </c>
      <c r="R4" s="2">
        <f>IF(COUNT('Turns'!F9)=1,SUM('Turns'!F9),"Unknown")</f>
        <v>0.00057675</v>
      </c>
      <c r="S4" s="2">
        <f>IF(COUNT('Turns'!D13)=1,SUM('Turns'!D13),"Unknown")</f>
        <v>28.0</v>
      </c>
      <c r="T4" s="2">
        <f>IF(COUNT('Turns'!E13)=1,SUM('Turns'!E13),"Unknown")</f>
        <v>2.9311632e-05</v>
      </c>
      <c r="U4" s="2">
        <f>IF(COUNT('Turns'!F13)=1,SUM('Turns'!F13),"Unknown")</f>
        <v>3.36e-05</v>
      </c>
      <c r="V4" s="2">
        <f>IF(COUNT('Turns'!D12)=1,SUM('Turns'!D12),"Unknown")</f>
        <v>9.0</v>
      </c>
      <c r="W4" s="2">
        <f>IF(COUNT('Turns'!E12)=1,SUM('Turns'!E12),"Unknown")</f>
        <v>9.421596e-06</v>
      </c>
      <c r="X4" s="2">
        <f>IF(COUNT('Turns'!F12)=1,SUM('Turns'!F12),"Unknown")</f>
        <v>1.08e-05</v>
      </c>
      <c r="Y4" s="2">
        <f>IF(COUNT('Turns'!E17)=1,SUM('Turns'!E17),"Unknown")</f>
        <v>0.0005423960475</v>
      </c>
      <c r="Z4" s="2">
        <f>IF(COUNT('Turns'!F17)=1,SUM('Turns'!F17),"Unknown")</f>
        <v>0.00062175</v>
      </c>
      <c r="AA4" s="5">
        <f>IF(ISNUMBER(Y4),ROUND(Y4*'Reference data'!$B$2,0),"Unknown")</f>
        <v>54.0</v>
      </c>
      <c r="AB4" s="5">
        <f>IF(ISNUMBER(Z4),ROUND(Z4*'Reference data'!$B$2,0),"Unknown")</f>
        <v>62.0</v>
      </c>
      <c r="AD4" s="1">
        <v>2607.991</v>
      </c>
      <c r="AE4" s="1" t="s">
        <v>126</v>
      </c>
    </row>
    <row r="5" spans="1:31" ht="54" customHeight="1">
      <c r="A5" s="6" t="s">
        <v>134</v>
      </c>
      <c r="B5" s="1">
        <v>2</v>
      </c>
      <c r="C5" s="1" t="s">
        <v>135</v>
      </c>
      <c r="D5" s="1" t="s">
        <v>95</v>
      </c>
      <c r="E5" s="1" t="s">
        <v>111</v>
      </c>
      <c r="F5" s="1">
        <v>2310</v>
      </c>
      <c r="G5" s="6" t="s">
        <v>136</v>
      </c>
      <c r="H5" t="s">
        <v>96</v>
      </c>
      <c r="I5" t="s">
        <v>133</v>
      </c>
      <c r="J5" s="2">
        <f>IF(COUNT('Turns'!D5)=1,SUM('Turns'!D5),"Unknown")</f>
        <v>3.0</v>
      </c>
      <c r="K5" s="2">
        <f>IF(COUNT('Turns'!E5)=1,SUM('Turns'!E5),"Unknown")</f>
        <v>5.23422e-07</v>
      </c>
      <c r="L5" s="2">
        <f>IF(COUNT('Turns'!F5)=1,SUM('Turns'!F5),"Unknown")</f>
        <v>6e-07</v>
      </c>
      <c r="M5" s="2">
        <v>0</v>
      </c>
      <c r="N5" s="2">
        <v>0</v>
      </c>
      <c r="O5" s="2">
        <v>0</v>
      </c>
      <c r="P5" s="2">
        <f>IF(COUNT('Turns'!D9)=1,SUM('Turns'!D9),"Unknown")</f>
        <v>2307.0</v>
      </c>
      <c r="Q5" s="2">
        <f>IF(COUNT('Turns'!E9)=1,SUM('Turns'!E9),"Unknown")</f>
        <v>0.0005031393975</v>
      </c>
      <c r="R5" s="2">
        <f>IF(COUNT('Turns'!F9)=1,SUM('Turns'!F9),"Unknown")</f>
        <v>0.00057675</v>
      </c>
      <c r="S5" s="2">
        <f>IF(COUNT('Turns'!D13)=1,SUM('Turns'!D13),"Unknown")</f>
        <v>28.0</v>
      </c>
      <c r="T5" s="2">
        <f>IF(COUNT('Turns'!E13)=1,SUM('Turns'!E13),"Unknown")</f>
        <v>2.9311632e-05</v>
      </c>
      <c r="U5" s="2">
        <f>IF(COUNT('Turns'!F13)=1,SUM('Turns'!F13),"Unknown")</f>
        <v>3.36e-05</v>
      </c>
      <c r="V5" s="2">
        <f>IF(COUNT('Turns'!D12)=1,SUM('Turns'!D12),"Unknown")</f>
        <v>9.0</v>
      </c>
      <c r="W5" s="2">
        <f>IF(COUNT('Turns'!E12)=1,SUM('Turns'!E12),"Unknown")</f>
        <v>9.421596e-06</v>
      </c>
      <c r="X5" s="2">
        <f>IF(COUNT('Turns'!F12)=1,SUM('Turns'!F12),"Unknown")</f>
        <v>1.08e-05</v>
      </c>
      <c r="Y5" s="2">
        <f>IF(COUNT('Turns'!E17)=1,SUM('Turns'!E17),"Unknown")</f>
        <v>0.0005423960475</v>
      </c>
      <c r="Z5" s="2">
        <f>IF(COUNT('Turns'!F17)=1,SUM('Turns'!F17),"Unknown")</f>
        <v>0.00062175</v>
      </c>
      <c r="AA5" s="5">
        <f>IF(ISNUMBER(Y5),ROUND(Y5*'Reference data'!$B$2,0),"Unknown")</f>
        <v>54.0</v>
      </c>
      <c r="AB5" s="5">
        <f>IF(ISNUMBER(Z5),ROUND(Z5*'Reference data'!$B$2,0),"Unknown")</f>
        <v>62.0</v>
      </c>
      <c r="AC5" s="1" t="s">
        <v>93</v>
      </c>
      <c r="AD5" s="1">
        <v>2601.198</v>
      </c>
      <c r="AE5" s="1" t="s">
        <v>137</v>
      </c>
    </row>
    <row r="6" spans="1:31" ht="54" customHeight="1">
      <c r="A6" s="6" t="s">
        <v>138</v>
      </c>
      <c r="B6" s="1">
        <v>1</v>
      </c>
      <c r="C6" s="1" t="s">
        <v>124</v>
      </c>
      <c r="D6" s="1" t="s">
        <v>47</v>
      </c>
      <c r="E6" s="1" t="s">
        <v>111</v>
      </c>
      <c r="G6" s="6" t="s">
        <v>139</v>
      </c>
      <c r="H6" t="s">
        <v>140</v>
      </c>
      <c r="I6" t="s">
        <v>49</v>
      </c>
      <c r="AD6" s="1">
        <v>42.343</v>
      </c>
      <c r="AE6" s="1" t="s">
        <v>130</v>
      </c>
    </row>
    <row r="7" spans="1:31" ht="54" customHeight="1">
      <c r="A7" s="6" t="s">
        <v>141</v>
      </c>
      <c r="B7" s="1">
        <v>2</v>
      </c>
      <c r="C7" s="1" t="s">
        <v>142</v>
      </c>
      <c r="D7" s="1" t="s">
        <v>47</v>
      </c>
      <c r="E7" s="1" t="s">
        <v>111</v>
      </c>
      <c r="G7" s="6" t="s">
        <v>143</v>
      </c>
      <c r="H7" t="s">
        <v>113</v>
      </c>
      <c r="I7" t="s">
        <v>140</v>
      </c>
      <c r="AD7" s="1">
        <v>40.041</v>
      </c>
      <c r="AE7" s="1" t="s">
        <v>130</v>
      </c>
    </row>
    <row r="8" spans="1:31" ht="54" customHeight="1">
      <c r="A8" s="6" t="s">
        <v>131</v>
      </c>
      <c r="B8" s="1">
        <v>1</v>
      </c>
      <c r="C8" s="1" t="s">
        <v>124</v>
      </c>
      <c r="D8" s="1" t="s">
        <v>47</v>
      </c>
      <c r="E8" s="1" t="s">
        <v>111</v>
      </c>
      <c r="G8" s="6" t="s">
        <v>132</v>
      </c>
      <c r="H8" t="s">
        <v>144</v>
      </c>
      <c r="I8" t="s">
        <v>49</v>
      </c>
      <c r="J8" s="2">
        <f>IF(COUNT('Turns'!D23)=1,SUM('Turns'!D23),"Unknown")</f>
        <v>3.0</v>
      </c>
      <c r="K8" s="2">
        <f>IF(COUNT('Turns'!E23)=1,SUM('Turns'!E23),"Unknown")</f>
        <v>5.23422e-07</v>
      </c>
      <c r="L8" s="2">
        <f>IF(COUNT('Turns'!F23)=1,SUM('Turns'!F23),"Unknown")</f>
        <v>6e-07</v>
      </c>
      <c r="M8" s="2">
        <f>IF(COUNT('Turns'!D22)=1,SUM('Turns'!D22),"Unknown")</f>
        <v>2307.0</v>
      </c>
      <c r="N8" s="2">
        <f>IF(COUNT('Turns'!E22)=1,SUM('Turns'!E22),"Unknown")</f>
        <v>4.02511518e-05</v>
      </c>
      <c r="O8" s="2">
        <f>IF(COUNT('Turns'!F22)=1,SUM('Turns'!F22),"Unknown")</f>
        <v>4.614e-05</v>
      </c>
      <c r="P8" s="2">
        <f>IF(COUNT('Turns'!D25)=1,SUM('Turns'!D25),"Unknown")</f>
        <v>67.0</v>
      </c>
      <c r="Q8" s="2">
        <f>IF(COUNT('Turns'!E25)=1,SUM('Turns'!E25),"Unknown")</f>
        <v>1.46121975e-05</v>
      </c>
      <c r="R8" s="2">
        <f>IF(COUNT('Turns'!F25)=1,SUM('Turns'!F25),"Unknown")</f>
        <v>1.675e-05</v>
      </c>
      <c r="S8" s="2">
        <f>IF(COUNT('Turns'!D28)=1,SUM('Turns'!D28),"Unknown")</f>
        <v>25.0</v>
      </c>
      <c r="T8" s="2">
        <f>IF(COUNT('Turns'!E28)=1,SUM('Turns'!E28),"Unknown")</f>
        <v>2.61711e-05</v>
      </c>
      <c r="U8" s="2">
        <f>IF(COUNT('Turns'!F28)=1,SUM('Turns'!F28),"Unknown")</f>
        <v>3e-05</v>
      </c>
      <c r="V8" s="2">
        <v>0</v>
      </c>
      <c r="W8" s="2">
        <v>0</v>
      </c>
      <c r="X8" s="2">
        <v>0</v>
      </c>
      <c r="Y8" s="2">
        <f>IF(COUNT('Turns'!E32)=1,SUM('Turns'!E32),"Unknown")</f>
        <v>8.15578713e-05</v>
      </c>
      <c r="Z8" s="2">
        <f>IF(COUNT('Turns'!F32)=1,SUM('Turns'!F32),"Unknown")</f>
        <v>9.349e-05</v>
      </c>
      <c r="AA8" s="5">
        <f>IF(ISNUMBER(Y8),ROUND(Y8*'Reference data'!$B$2,0),"Unknown")</f>
        <v>8.0</v>
      </c>
      <c r="AB8" s="5">
        <f>IF(ISNUMBER(Z8),ROUND(Z8*'Reference data'!$B$2,0),"Unknown")</f>
        <v>9.0</v>
      </c>
      <c r="AD8" s="1">
        <v>1801.011</v>
      </c>
      <c r="AE8" s="1" t="s">
        <v>126</v>
      </c>
    </row>
    <row r="9" spans="1:31" ht="54" customHeight="1">
      <c r="A9" s="6" t="s">
        <v>134</v>
      </c>
      <c r="B9" s="1">
        <v>2</v>
      </c>
      <c r="C9" s="1" t="s">
        <v>135</v>
      </c>
      <c r="D9" s="1" t="s">
        <v>95</v>
      </c>
      <c r="E9" s="1" t="s">
        <v>111</v>
      </c>
      <c r="F9" s="1">
        <v>2377</v>
      </c>
      <c r="G9" s="6" t="s">
        <v>136</v>
      </c>
      <c r="H9" t="s">
        <v>119</v>
      </c>
      <c r="I9" t="s">
        <v>144</v>
      </c>
      <c r="J9" s="2">
        <f>IF(COUNT('Turns'!D23)=1,SUM('Turns'!D23),"Unknown")</f>
        <v>3.0</v>
      </c>
      <c r="K9" s="2">
        <f>IF(COUNT('Turns'!E23)=1,SUM('Turns'!E23),"Unknown")</f>
        <v>5.23422e-07</v>
      </c>
      <c r="L9" s="2">
        <f>IF(COUNT('Turns'!F23)=1,SUM('Turns'!F23),"Unknown")</f>
        <v>6e-07</v>
      </c>
      <c r="M9" s="2">
        <f>IF(COUNT('Turns'!D22)=1,SUM('Turns'!D22),"Unknown")</f>
        <v>2307.0</v>
      </c>
      <c r="N9" s="2">
        <f>IF(COUNT('Turns'!E22)=1,SUM('Turns'!E22),"Unknown")</f>
        <v>4.02511518e-05</v>
      </c>
      <c r="O9" s="2">
        <f>IF(COUNT('Turns'!F22)=1,SUM('Turns'!F22),"Unknown")</f>
        <v>4.614e-05</v>
      </c>
      <c r="P9" s="2">
        <f>IF(COUNT('Turns'!D25)=1,SUM('Turns'!D25),"Unknown")</f>
        <v>67.0</v>
      </c>
      <c r="Q9" s="2">
        <f>IF(COUNT('Turns'!E25)=1,SUM('Turns'!E25),"Unknown")</f>
        <v>1.46121975e-05</v>
      </c>
      <c r="R9" s="2">
        <f>IF(COUNT('Turns'!F25)=1,SUM('Turns'!F25),"Unknown")</f>
        <v>1.675e-05</v>
      </c>
      <c r="S9" s="2">
        <f>IF(COUNT('Turns'!D28)=1,SUM('Turns'!D28),"Unknown")</f>
        <v>25.0</v>
      </c>
      <c r="T9" s="2">
        <f>IF(COUNT('Turns'!E28)=1,SUM('Turns'!E28),"Unknown")</f>
        <v>2.61711e-05</v>
      </c>
      <c r="U9" s="2">
        <f>IF(COUNT('Turns'!F28)=1,SUM('Turns'!F28),"Unknown")</f>
        <v>3e-05</v>
      </c>
      <c r="V9" s="2">
        <v>0</v>
      </c>
      <c r="W9" s="2">
        <v>0</v>
      </c>
      <c r="X9" s="2">
        <v>0</v>
      </c>
      <c r="Y9" s="2">
        <f>IF(COUNT('Turns'!E32)=1,SUM('Turns'!E32),"Unknown")</f>
        <v>8.15578713e-05</v>
      </c>
      <c r="Z9" s="2">
        <f>IF(COUNT('Turns'!F32)=1,SUM('Turns'!F32),"Unknown")</f>
        <v>9.349e-05</v>
      </c>
      <c r="AA9" s="5">
        <f>IF(ISNUMBER(Y9),ROUND(Y9*'Reference data'!$B$2,0),"Unknown")</f>
        <v>8.0</v>
      </c>
      <c r="AB9" s="5">
        <f>IF(ISNUMBER(Z9),ROUND(Z9*'Reference data'!$B$2,0),"Unknown")</f>
        <v>9.0</v>
      </c>
      <c r="AC9" s="1" t="s">
        <v>118</v>
      </c>
      <c r="AD9" s="1">
        <v>1797.868</v>
      </c>
      <c r="AE9" s="1" t="s">
        <v>137</v>
      </c>
    </row>
  </sheetData>
  <conditionalFormatting sqref="A2:AE9">
    <cfRule type="expression" dxfId="0" priority="1">
      <formula>$E2="error"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73B70"/>
  </sheetPr>
  <dimension ref="A1:I22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1" width="34.7109375" customWidth="1"/>
    <col min="2" max="2" width="52.7109375" customWidth="1"/>
    <col min="3" max="7" width="26.7109375" customWidth="1"/>
    <col min="8" max="8" width="65.7109375" customWidth="1"/>
    <col min="9" max="9" width="26.7109375" customWidth="1"/>
  </cols>
  <sheetData>
    <row r="1" spans="1:9" ht="44" customHeight="1">
      <c r="A1" s="3" t="s">
        <v>38</v>
      </c>
      <c r="B1" s="3" t="s">
        <v>39</v>
      </c>
      <c r="C1" s="3" t="s">
        <v>40</v>
      </c>
    </row>
    <row r="2" spans="1:9" ht="24" customHeight="1">
      <c r="A2" s="6" t="s">
        <v>41</v>
      </c>
      <c r="B2" s="7">
        <v>100000</v>
      </c>
      <c r="C2" s="6" t="s">
        <v>42</v>
      </c>
    </row>
    <row r="3" spans="1:9" ht="24" customHeight="1">
      <c r="A3" s="6" t="s">
        <v>43</v>
      </c>
      <c r="B3" s="2">
        <v>0.87237</v>
      </c>
      <c r="C3" s="6" t="s">
        <v>44</v>
      </c>
    </row>
    <row r="4" spans="1:9" ht="24" customHeight="1">
      <c r="A4" s="6" t="s">
        <v>45</v>
      </c>
      <c r="B4" s="6" t="s">
        <v>46</v>
      </c>
      <c r="C4" s="6" t="s">
        <v>47</v>
      </c>
    </row>
    <row r="5" spans="1:9" ht="24" customHeight="1">
      <c r="A5" s="6" t="s">
        <v>48</v>
      </c>
      <c r="B5" s="6" t="s">
        <v>49</v>
      </c>
      <c r="C5" s="6" t="s">
        <v>47</v>
      </c>
    </row>
    <row r="6" spans="1:9" ht="24" customHeight="1">
      <c r="A6" s="6" t="s">
        <v>50</v>
      </c>
      <c r="B6" s="6" t="s">
        <v>51</v>
      </c>
      <c r="C6" s="6" t="s">
        <v>47</v>
      </c>
    </row>
    <row r="7" spans="1:9" ht="24" customHeight="1">
      <c r="A7" s="6" t="s">
        <v>52</v>
      </c>
      <c r="B7" s="6" t="s">
        <v>53</v>
      </c>
      <c r="C7" s="6" t="s">
        <v>47</v>
      </c>
    </row>
    <row r="8" spans="1:9" ht="24" customHeight="1">
      <c r="A8" s="6" t="s">
        <v>54</v>
      </c>
      <c r="B8" s="6" t="s">
        <v>55</v>
      </c>
      <c r="C8" s="6" t="s">
        <v>56</v>
      </c>
    </row>
    <row r="9" spans="1:9" ht="24" customHeight="1">
      <c r="A9" s="6" t="s">
        <v>57</v>
      </c>
      <c r="B9" s="6" t="s">
        <v>58</v>
      </c>
      <c r="C9" s="6" t="s">
        <v>47</v>
      </c>
    </row>
    <row r="10" spans="1:9" ht="24" customHeight="1">
      <c r="A10" s="6" t="s">
        <v>59</v>
      </c>
      <c r="B10" s="6" t="s">
        <v>60</v>
      </c>
      <c r="C10" s="6" t="s">
        <v>47</v>
      </c>
    </row>
    <row r="11" spans="1:9" ht="24" customHeight="1">
      <c r="A11" s="6" t="s">
        <v>61</v>
      </c>
      <c r="B11" s="6" t="s">
        <v>62</v>
      </c>
      <c r="C11" s="6" t="s">
        <v>47</v>
      </c>
    </row>
    <row r="12" spans="1:9" ht="24" customHeight="1">
      <c r="A12" s="6" t="s">
        <v>63</v>
      </c>
      <c r="B12" s="6" t="s">
        <v>64</v>
      </c>
      <c r="C12" s="6" t="s">
        <v>47</v>
      </c>
    </row>
    <row r="13" spans="1:9" ht="24" customHeight="1">
      <c r="A13" s="6" t="s">
        <v>65</v>
      </c>
      <c r="B13" s="6" t="s">
        <v>66</v>
      </c>
      <c r="C13" s="6" t="s">
        <v>47</v>
      </c>
    </row>
    <row r="15" spans="1:9" ht="24" customHeight="1">
      <c r="A15" s="4" t="s">
        <v>67</v>
      </c>
      <c r="B15" s="4" t="s">
        <v>68</v>
      </c>
      <c r="C15" s="4" t="s">
        <v>69</v>
      </c>
      <c r="D15" s="4" t="s">
        <v>70</v>
      </c>
      <c r="E15" s="4" t="s">
        <v>71</v>
      </c>
      <c r="F15" s="4" t="s">
        <v>72</v>
      </c>
      <c r="G15" s="4" t="s">
        <v>73</v>
      </c>
      <c r="H15" s="4" t="s">
        <v>74</v>
      </c>
      <c r="I15" s="4" t="s">
        <v>75</v>
      </c>
    </row>
    <row r="16" spans="1:9" ht="72" customHeight="1">
      <c r="A16" s="6" t="s">
        <v>76</v>
      </c>
      <c r="B16" s="2">
        <v>5</v>
      </c>
      <c r="C16" s="2">
        <v>0.5</v>
      </c>
      <c r="D16" s="2" t="s">
        <v>77</v>
      </c>
      <c r="E16" s="2">
        <v>30</v>
      </c>
      <c r="F16" s="2">
        <v>30</v>
      </c>
      <c r="G16" s="6" t="s">
        <v>78</v>
      </c>
      <c r="H16" s="6" t="s">
        <v>79</v>
      </c>
      <c r="I16" s="6" t="s">
        <v>80</v>
      </c>
    </row>
    <row r="17" spans="1:9" ht="72" customHeight="1">
      <c r="A17" s="6" t="s">
        <v>81</v>
      </c>
      <c r="B17" s="2">
        <v>0.2</v>
      </c>
      <c r="C17" s="2">
        <v>0.02</v>
      </c>
      <c r="D17" s="2">
        <v>0.250</v>
      </c>
      <c r="E17" s="2">
        <v>1.2</v>
      </c>
      <c r="F17" s="2">
        <v>1.2</v>
      </c>
      <c r="G17" s="6" t="s">
        <v>78</v>
      </c>
      <c r="H17" s="6" t="s">
        <v>82</v>
      </c>
      <c r="I17" s="6" t="s">
        <v>80</v>
      </c>
    </row>
    <row r="18" spans="1:9" ht="72" customHeight="1">
      <c r="A18" s="6" t="s">
        <v>83</v>
      </c>
      <c r="B18" s="2">
        <v>4</v>
      </c>
      <c r="C18" s="2">
        <v>0.4</v>
      </c>
      <c r="D18" s="2">
        <v>5.00</v>
      </c>
      <c r="E18" s="2">
        <v>20</v>
      </c>
      <c r="F18" s="2">
        <v>20</v>
      </c>
      <c r="G18" s="6" t="s">
        <v>78</v>
      </c>
      <c r="H18" s="6" t="s">
        <v>84</v>
      </c>
      <c r="I18" s="6" t="s">
        <v>80</v>
      </c>
    </row>
    <row r="19" spans="1:9" ht="72" customHeight="1">
      <c r="A19" s="6" t="s">
        <v>85</v>
      </c>
      <c r="B19" s="2">
        <v>2</v>
      </c>
      <c r="C19" s="2">
        <v>0.20</v>
      </c>
      <c r="D19" s="2">
        <v>2.50</v>
      </c>
      <c r="E19" s="2">
        <v>10</v>
      </c>
      <c r="F19" s="2">
        <v>10</v>
      </c>
      <c r="G19" s="6" t="s">
        <v>78</v>
      </c>
      <c r="H19" s="6" t="s">
        <v>86</v>
      </c>
      <c r="I19" s="6" t="s">
        <v>80</v>
      </c>
    </row>
    <row r="20" spans="1:9" ht="72" customHeight="1">
      <c r="A20" s="6" t="s">
        <v>87</v>
      </c>
      <c r="B20" s="2">
        <v>5</v>
      </c>
      <c r="C20" s="2">
        <v>0.50</v>
      </c>
      <c r="D20" s="2">
        <v>6.25</v>
      </c>
      <c r="E20" s="2">
        <v>25</v>
      </c>
      <c r="F20" s="2">
        <v>25</v>
      </c>
      <c r="G20" s="6" t="s">
        <v>78</v>
      </c>
      <c r="H20" s="6" t="s">
        <v>86</v>
      </c>
      <c r="I20" s="6" t="s">
        <v>80</v>
      </c>
    </row>
    <row r="21" spans="1:9" ht="72" customHeight="1">
      <c r="A21" s="6" t="s">
        <v>88</v>
      </c>
      <c r="B21" s="2">
        <v>10</v>
      </c>
      <c r="C21" s="2">
        <v>0.25</v>
      </c>
      <c r="D21" s="2">
        <v>12.50</v>
      </c>
      <c r="E21" s="2">
        <v>50</v>
      </c>
      <c r="F21" s="2">
        <v>50</v>
      </c>
      <c r="G21" s="6" t="s">
        <v>78</v>
      </c>
      <c r="H21" s="6" t="s">
        <v>86</v>
      </c>
      <c r="I21" s="6" t="s">
        <v>80</v>
      </c>
    </row>
    <row r="22" spans="1:9" ht="72" customHeight="1">
      <c r="A22" s="6" t="s">
        <v>89</v>
      </c>
      <c r="B22" s="2">
        <v>0.2</v>
      </c>
      <c r="C22" s="2">
        <v>0.02</v>
      </c>
      <c r="D22" s="2">
        <v>0.250</v>
      </c>
      <c r="E22" s="2">
        <v>1.2</v>
      </c>
      <c r="F22" s="2">
        <v>1.2</v>
      </c>
      <c r="G22" s="6" t="s">
        <v>78</v>
      </c>
      <c r="H22" s="6" t="s">
        <v>90</v>
      </c>
      <c r="I22" s="6" t="s">
        <v>80</v>
      </c>
    </row>
  </sheetData>
  <dataValidations count="1">
    <dataValidation type="whole" operator="greaterThanOrEqual" allowBlank="1" showInputMessage="1" showErrorMessage="1" sqref="B2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Turns</vt:lpstr>
      <vt:lpstr>Execution tree</vt:lpstr>
      <vt:lpstr>Reference 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2026-09-23T06:10:14Z</dcterms:created>
  <dcterms:modified xsi:type="dcterms:W3CDTF">2026-09-23T06:10:14Z</dcterms:modified>
</cp:coreProperties>
</file>
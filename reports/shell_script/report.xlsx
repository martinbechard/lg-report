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<sst xmlns="http://schemas.openxmlformats.org/spreadsheetml/2006/main" count="258" uniqueCount="145">
  <si>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</si>
  <si>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</si>
  <si>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</si>
  <si>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</si>
  <si>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</si>
  <si>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</si>
  <si>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</si>
  <si>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</si>
  <si>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</si>
  <si>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</si>
  <si>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</si>
  <si>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</si>
  <si>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</si>
  <si>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</si>
  <si>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</si>
  <si>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</si>
  <si>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</si>
  <si>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</si>
  <si>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</si>
  <si>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Input at standard rate tokens</t>
  </si>
  <si>
    <t>Input at standard rate EUR</t>
  </si>
  <si>
    <t>Input at standard rate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</si>
  <si>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</si>
  <si>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</si>
  <si>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</si>
  <si>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</si>
  <si>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</si>
  <si>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</si>
  <si>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</si>
  <si>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</si>
  <si>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</si>
  <si>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</si>
  <si>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</si>
  <si>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</si>
  <si>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</si>
  <si>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</si>
  <si>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</si>
  <si>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</si>
  <si>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</si>
  <si>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</si>
  <si>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</si>
  <si>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</si>
  <si>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</si>
  <si>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</si>
  <si>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</si>
  <si>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</si>
  <si>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</si>
  <si>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</si>
  <si>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</si>
  <si>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01a0d142-4fb9-74b1-9161-3e9286297f58</t>
  </si>
  <si>
    <t>Recording</t>
  </si>
  <si>
    <t>Provider trace</t>
  </si>
  <si>
    <t>FX reference date</t>
  </si>
  <si>
    <t>2026-09-23</t>
  </si>
  <si>
    <t>FX fetched at</t>
  </si>
  <si>
    <t>2026-09-24T02:09:35.117183Z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</si>
  <si>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</si>
  <si>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</si>
  <si>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</si>
  <si>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</si>
  <si>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</si>
  <si>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</si>
  <si>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</si>
  <si>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</si>
  <si>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</si>
  <si>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</si>
  <si>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</si>
  <si>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</si>
  <si>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</si>
  <si>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</si>
  <si>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</si>
  <si>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</si>
  <si>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</si>
  <si>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</si>
  <si>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</si>
  <si>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</si>
  <si>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</si>
  <si>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</si>
  <si>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</si>
  <si>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</si>
  <si>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</si>
  <si>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</si>
  <si>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</si>
  <si>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</si>
  <si>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</si>
  <si>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</si>
  <si>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</si>
  <si>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</si>
  <si>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</si>
  <si>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</si>
  <si>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</si>
  <si>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</si>
  <si>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</si>
  <si>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</si>
  <si>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</si>
  <si>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</si>
  <si>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01a0d142-4fc4-7743-8b54-9fbce1d8ddab</t>
  </si>
  <si>
    <t>Conversation history · cache read</t>
  </si>
  <si>
    <t>Input at standard rate</t>
  </si>
  <si>
    <t xml:space="preserve">    Tool definitions</t>
  </si>
  <si>
    <t xml:space="preserve">    System prompt</t>
  </si>
  <si>
    <t xml:space="preserve">Run the shell script requested by the user using execute.
Commands run in the prepared working directory. Use relative paths in shell
commands; filesystem tools use virtual paths rooted in that same directory.
Report the actual command output and exit status. A nonzero exit or timeout is
not success. Do not invent script results or rerun a failed script unless asked.
</t>
  </si>
  <si>
    <t xml:space="preserve">    User prompt</t>
  </si>
  <si>
    <t>Run sh ./summarize.sh and report the order totals and exit status.</t>
  </si>
  <si>
    <t>Cache write</t>
  </si>
  <si>
    <t>Context · added / total</t>
  </si>
  <si>
    <t>LLM response</t>
  </si>
  <si>
    <t>Reasoning</t>
  </si>
  <si>
    <t>Output</t>
  </si>
  <si>
    <t xml:space="preserve">    Output content</t>
  </si>
  <si>
    <t>[{"id": "rs_056f2f78f65d105c006ab48bdc549c87d2ba63244a0418f912", "summary": [], "type": "reasoning", "content": [], "index": 0, "encrypted_content": "gAAAAABqtIvca-dztntiyaCCQTmPZ7cet6acr5BMOlGTEjxa1kMiyCRnLbg_hLHVSizBsjibwMS05hjhM9yIRJsdJWwYjgUgxAs_pG5zSX6XyKUJuUD5Hl3NecqcHtnLCvISyzM0oc28MZNP0C9YMFG9WAsIDdJBIeNBWojWm_yueEKhFQKFFfjRneUea_IRcnF-GbYm4Z5YX1xKX_wicLYUZ_54iItcAzog3JWM1U8zSOfabQS-AeJOE2CxRiwQy9PccIzIv5tdd74YNSwtvOJY9QwqZVaVL7esJM0x7k5HTjM9o2WtCviAfZtp0U-8i_p4xhztFE4gwE_x6oOKvkiHOZI-WwT66d_An53eXb-lHYl5pdewp3vRn1lEPeE9gtwzhHh6Mf0ckbczy1EaaTk4QWmtr7dk1xHr8aVDh7o_2xjLOunauEW9RyopaLiKR1R_hXYHJUUSAMnMW5to55nd7ESQX11fOBgO31JvoxVXLJy1lW829OdzQ4MPPQjOpzJHezSvgNnBNfcWtMn2v-Iu0d1QWfbreq9gTvYSIabbtQIcFxUaae-sDWBnRUvVKsIFknV85srM9CBP1tEQBIfCQCe0wjP0IJ0lrAI8272gkGt0hjzByHpq6Q9Lld0CLTIKYgeWHl4d9SdgSHSRVPblTfzGSsMfcQaJq41vNMyhY5NOFZVW-BdpHnuhvpEsu3ZsEOfmg8Yg2NZl7iL9qmzAyONwozFhvRWArKfpscEAmmznxhhJmeMFVkcBThyVMALAtSl-nJGWW8mgx5I2d2Wla3WdYJMOlKoDC9iQucjiLouvrAEnezPXBiIhqJSkcxbs7Kgg8bfb170cwqbT7YnOS76nRR2RwH2kkeCJYhrgK_9YLncVIAKFLUNg1RGCeGd4KggzrsOSON9qbmbNzRRfOdmEqcTMo2KKigtjvOpGMmA1IadP4n1b-ogstLuS76OPuQH6HBNOVpMj-BRIz3VkmZocFxqMsbWp05cC_Ym6d0hFHm7ofgeGRegPlsROmag3N42YE8i_t414WkcWcQpAoPqFw3O73Yt1Eq_1HbZodCBwJEDueoGpk3U_md6gIWGxFyd7PHnHgrWn8wVIMAaVMJcvLplmY6emxH7Tx-S30kJUTFJtEmLObLgTc86DJ6TXQPKu-WKWq_80rmpexw46AHRnIUJhhHIpm4TLH2pXb94I1F_fyUzAduVyupGX82wJ-sxHEtIt"}, {"type": "function_call", "name": "execute", "arguments": "{\"command\":\"sh ./summarize.sh\",\"timeout\":120}", "call_id": "call_PlpK37RsthN7RecjgOhp11pw", "id": "fc_056f2f78f65d105c006ab48bdc717087d29ed744442d3d816a", "index": 1}]
{"name": "execute", "args": {"command": "sh ./summarize.sh", "timeout": 120}, "id": "call_PlpK37RsthN7RecjgOhp11pw", "type": "tool_call"}</t>
  </si>
  <si>
    <t>Call total</t>
  </si>
  <si>
    <t>ok</t>
  </si>
  <si>
    <t>Tool · execute</t>
  </si>
  <si>
    <t>01a0d142-5671-7cd2-b611-d236227197e9</t>
  </si>
  <si>
    <t xml:space="preserve">    Arguments</t>
  </si>
  <si>
    <t>{'command': 'sh ./summarize.sh', 'timeout': 120}</t>
  </si>
  <si>
    <t xml:space="preserve">    Result</t>
  </si>
  <si>
    <t>Orders: 3
Total units: 9
[Command succeeded with exit code 0]</t>
  </si>
  <si>
    <t>R2</t>
  </si>
  <si>
    <t>01a0d142-56a2-7893-85da-b7289e7433ba</t>
  </si>
  <si>
    <t xml:space="preserve">    Tool result</t>
  </si>
  <si>
    <t>[{"type": "text", "text": "Orders: 3  \nTotal units: 9  \n\nExit status: 0", "phase": "final_answer", "index": 0, "id": "msg_056f2f78f65d105c006ab48bddd1ec87d2924ce6407aa49bd2"}]</t>
  </si>
  <si>
    <t>shell_agent</t>
  </si>
  <si>
    <t>workflow</t>
  </si>
  <si>
    <t>Execute the shell_agent workflow operation and pass its result to the next graph step.</t>
  </si>
  <si>
    <t>Subtree total</t>
  </si>
  <si>
    <t xml:space="preserve">    PatchToolCallsMiddleware.before_agent</t>
  </si>
  <si>
    <t>Check message history and repair missing tool responses before the agent starts.</t>
  </si>
  <si>
    <t>01a0d142-4fbd-7501-913f-6095a96d4f11</t>
  </si>
  <si>
    <t>No model charge</t>
  </si>
  <si>
    <t xml:space="preserve">    model</t>
  </si>
  <si>
    <t>Prepare the current conversation, run model middleware, and invoke the chat model.</t>
  </si>
  <si>
    <t>01a0d142-4fbe-7f61-9336-1195e0309092</t>
  </si>
  <si>
    <t xml:space="preserve">        ChatOpenAI</t>
  </si>
  <si>
    <t>model</t>
  </si>
  <si>
    <t>Generate the next assistant message or tool request from the current conversation.</t>
  </si>
  <si>
    <t>Own call</t>
  </si>
  <si>
    <t xml:space="preserve">    tools</t>
  </si>
  <si>
    <t>Execute tool calls requested by the preceding model response and return their observations.</t>
  </si>
  <si>
    <t>01a0d142-5670-7ae0-8d3e-e5377d43b493</t>
  </si>
  <si>
    <t xml:space="preserve">        execute</t>
  </si>
  <si>
    <t>tool</t>
  </si>
  <si>
    <t>Executes a shell command in an isolated sandbox and returns combined stdout/stderr with the exit code (truncated if very large).
Usage:
- Quote paths containing spaces (e.g. cd "/path/with spaces").
- Chain commands with ';' or '&amp;&amp;' (use '&amp;&amp;' when a command depends on the previous); do not use newlines except inside quoted strings.
- Use absolute paths and avoid `cd` so the working directory stays stable; use the optional timeout to override the default.
- You MUST avoid using search commands like find and grep. Instead use the grep, glob tools to search. Use read_file rather than cat/head/tail.
    - execute(command="find . -name '*.py'")  # Use glob tool instead
    - execute(command="grep -r 'pattern' .")  # Use grep tool instead
Only available on backends implementing SandboxBackendProtocol; otherwise it returns an error.</t>
  </si>
  <si>
    <t>01a0d142-569f-7521-8050-9fa794f475af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</si>
</sst>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33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IF(COUNT('Turns'!E18,'Turns'!E33)=2,SUM('Turns'!E18,'Turns'!E33),"Unknown")</f>
        <v>0.000143037847</v>
      </c>
      <c r="F2" s="2">
        <f>IF(COUNT('Turns'!F18,'Turns'!F33)=2,SUM('Turns'!F18,'Turns'!F33),"Unknown")</f>
        <v>0.00016322</v>
      </c>
      <c r="G2" s="5">
        <f>IF(ISNUMBER(E2),ROUND(E2*'Reference data'!$B$2,0),"Unknown")</f>
        <v>14.0</v>
      </c>
      <c r="H2" s="5">
        <f>IF(ISNUMBER(F2),ROUND(F2*'Reference data'!$B$2,0),"Unknown")</f>
        <v>16.0</v>
      </c>
    </row>
    <row r="3" spans="1:13" s="4" customFormat="1" ht="24" customHeight="1">
      <c r="B3" s="4">
        <v>1</v>
      </c>
      <c r="C3" s="4" t="s">
        <v>92</v>
      </c>
      <c r="E3" s="2">
        <f>IF(COUNT('Turns'!E18,'Turns'!E33)=2,SUM('Turns'!E18,'Turns'!E33),"Unknown")</f>
        <v>0.000143037847</v>
      </c>
      <c r="F3" s="2">
        <f>IF(COUNT('Turns'!F18,'Turns'!F33)=2,SUM('Turns'!F18,'Turns'!F33),"Unknown")</f>
        <v>0.00016322</v>
      </c>
      <c r="G3" s="5">
        <f>IF(ISNUMBER(E3),ROUND(E3*'Reference data'!$B$2,0),"Unknown")</f>
        <v>14.0</v>
      </c>
      <c r="H3" s="5">
        <f>IF(ISNUMBER(F3),ROUND(F3*'Reference data'!$B$2,0),"Unknown")</f>
        <v>16.0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2310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2307</v>
      </c>
      <c r="E5" s="2">
        <f>IF(AND(ISNUMBER(F5),ISNUMBER('Reference data'!$B$3)),F5*'Reference data'!$B$3,"Unknown")</f>
        <v>4.0434789e-05</v>
      </c>
      <c r="F5" s="2">
        <f>IF(D5=0,0,IF(ISNUMBER('Reference data'!C17),D5*'Reference data'!C17/1000000,"Unknown"))</f>
        <v>4.614e-05</v>
      </c>
      <c r="G5" s="5">
        <f>IF(ISNUMBER(E5),ROUND(E5*'Reference data'!$B$2,0),"Unknown")</f>
        <v>4.0</v>
      </c>
      <c r="H5" s="5">
        <f>IF(ISNUMBER(F5),ROUND(F5*'Reference data'!$B$2,0),"Unknown")</f>
        <v>5.0</v>
      </c>
    </row>
    <row r="6" spans="1:13" ht="24" customHeight="1">
      <c r="A6" t="s">
        <v>93</v>
      </c>
      <c r="B6">
        <v>1</v>
      </c>
      <c r="C6" t="s">
        <v>98</v>
      </c>
      <c r="D6" s="5">
        <v>3</v>
      </c>
      <c r="E6" s="2">
        <f>IF(AND(ISNUMBER(F6),ISNUMBER('Reference data'!$B$3)),F6*'Reference data'!$B$3,"Unknown")</f>
        <v>5.2581e-07</v>
      </c>
      <c r="F6" s="2">
        <f>IF(D6=0,0,IF(ISNUMBER('Reference data'!B17),D6*'Reference data'!B17/1000000,"Unknown"))</f>
        <v>6e-07</v>
      </c>
      <c r="G6" s="5">
        <f>IF(ISNUMBER(E6),ROUND(E6*'Reference data'!$B$2,0),"Unknown")</f>
        <v>0.0</v>
      </c>
      <c r="H6" s="5">
        <f>IF(ISNUMBER(F6),ROUND(F6*'Reference data'!$B$2,0),"Unknown")</f>
        <v>0.0</v>
      </c>
    </row>
    <row r="7" spans="1:13" ht="24" customHeight="1">
      <c r="A7" t="s">
        <v>93</v>
      </c>
      <c r="B7">
        <v>1</v>
      </c>
      <c r="C7" t="s">
        <v>99</v>
      </c>
    </row>
    <row r="8" spans="1:13" ht="73" customHeight="1">
      <c r="A8" t="s">
        <v>93</v>
      </c>
      <c r="B8">
        <v>1</v>
      </c>
      <c r="C8" t="s">
        <v>100</v>
      </c>
      <c r="I8" s="6" t="s">
        <v>101</v>
      </c>
    </row>
    <row r="9" spans="1:13" ht="24" customHeight="1">
      <c r="A9" t="s">
        <v>93</v>
      </c>
      <c r="B9">
        <v>1</v>
      </c>
      <c r="C9" t="s">
        <v>102</v>
      </c>
      <c r="I9" s="6" t="s">
        <v>103</v>
      </c>
    </row>
    <row r="10" spans="1:13" ht="24" customHeight="1">
      <c r="A10" t="s">
        <v>93</v>
      </c>
      <c r="B10">
        <v>1</v>
      </c>
      <c r="C10" t="s">
        <v>104</v>
      </c>
    </row>
    <row r="11" spans="1:13" ht="24" customHeight="1">
      <c r="A11" t="s">
        <v>93</v>
      </c>
      <c r="B11">
        <v>1</v>
      </c>
      <c r="C11" t="s">
        <v>105</v>
      </c>
    </row>
    <row r="12" spans="1:13" s="4" customFormat="1" ht="24" customHeight="1">
      <c r="A12" s="4" t="s">
        <v>93</v>
      </c>
      <c r="B12" s="4">
        <v>1</v>
      </c>
      <c r="C12" s="4" t="s">
        <v>106</v>
      </c>
      <c r="D12" s="4">
        <v>37</v>
      </c>
    </row>
    <row r="13" spans="1:13" ht="24" customHeight="1">
      <c r="A13" t="s">
        <v>93</v>
      </c>
      <c r="B13">
        <v>1</v>
      </c>
      <c r="C13" t="s">
        <v>107</v>
      </c>
      <c r="D13" s="5">
        <v>9</v>
      </c>
      <c r="E13" s="2">
        <f>IF(AND(ISNUMBER(F13),ISNUMBER('Reference data'!$B$3)),F13*'Reference data'!$B$3,"Unknown")</f>
        <v>9.46458e-06</v>
      </c>
      <c r="F13" s="2">
        <f>IF(D13=0,0,IF(ISNUMBER('Reference data'!F17),D13*'Reference data'!F17/1000000,"Unknown"))</f>
        <v>1.08e-05</v>
      </c>
      <c r="G13" s="5">
        <f>IF(ISNUMBER(E13),ROUND(E13*'Reference data'!$B$2,0),"Unknown")</f>
        <v>1.0</v>
      </c>
      <c r="H13" s="5">
        <f>IF(ISNUMBER(F13),ROUND(F13*'Reference data'!$B$2,0),"Unknown")</f>
        <v>1.0</v>
      </c>
    </row>
    <row r="14" spans="1:13" ht="24" customHeight="1">
      <c r="A14" t="s">
        <v>93</v>
      </c>
      <c r="B14">
        <v>1</v>
      </c>
      <c r="C14" t="s">
        <v>108</v>
      </c>
      <c r="D14" s="5">
        <v>28</v>
      </c>
      <c r="E14" s="2">
        <f>IF(AND(ISNUMBER(F14),ISNUMBER('Reference data'!$B$3)),F14*'Reference data'!$B$3,"Unknown")</f>
        <v>2.944536e-05</v>
      </c>
      <c r="F14" s="2">
        <f>IF(D14=0,0,IF(ISNUMBER('Reference data'!E17),D14*'Reference data'!E17/1000000,"Unknown"))</f>
        <v>3.36e-05</v>
      </c>
      <c r="G14" s="5">
        <f>IF(ISNUMBER(E14),ROUND(E14*'Reference data'!$B$2,0),"Unknown")</f>
        <v>3.0</v>
      </c>
      <c r="H14" s="5">
        <f>IF(ISNUMBER(F14),ROUND(F14*'Reference data'!$B$2,0),"Unknown")</f>
        <v>3.0</v>
      </c>
    </row>
    <row r="15" spans="1:13" ht="281" customHeight="1">
      <c r="A15" t="s">
        <v>93</v>
      </c>
      <c r="B15">
        <v>1</v>
      </c>
      <c r="C15" t="s">
        <v>109</v>
      </c>
      <c r="I15" s="6" t="s">
        <v>110</v>
      </c>
    </row>
    <row r="16" spans="1:13" ht="24" customHeight="1">
      <c r="A16" t="s">
        <v>93</v>
      </c>
      <c r="B16">
        <v>1</v>
      </c>
      <c r="C16" t="s">
        <v>104</v>
      </c>
    </row>
    <row r="17" spans="1:13" ht="24" customHeight="1">
      <c r="A17" t="s">
        <v>93</v>
      </c>
      <c r="B17">
        <v>1</v>
      </c>
      <c r="C17" t="s">
        <v>105</v>
      </c>
    </row>
    <row r="18" spans="1:13" s="4" customFormat="1" ht="24" customHeight="1">
      <c r="A18" s="4" t="s">
        <v>93</v>
      </c>
      <c r="B18" s="4">
        <v>1</v>
      </c>
      <c r="C18" s="4" t="s">
        <v>111</v>
      </c>
      <c r="E18" s="2">
        <f>IF(COUNT('Turns'!E5,'Turns'!E6,'Turns'!E13,'Turns'!E14)=4,SUM('Turns'!E5,'Turns'!E6,'Turns'!E13,'Turns'!E14),"Unknown")</f>
        <v>7.9870539e-05</v>
      </c>
      <c r="F18" s="2">
        <f>IF(COUNT('Turns'!F5,'Turns'!F6,'Turns'!F13,'Turns'!F14)=4,SUM('Turns'!F5,'Turns'!F6,'Turns'!F13,'Turns'!F14),"Unknown")</f>
        <v>9.114e-05</v>
      </c>
      <c r="G18" s="5">
        <f>IF(ISNUMBER(E18),ROUND(E18*'Reference data'!$B$2,0),"Unknown")</f>
        <v>8.0</v>
      </c>
      <c r="H18" s="5">
        <f>IF(ISNUMBER(F18),ROUND(F18*'Reference data'!$B$2,0),"Unknown")</f>
        <v>9.0</v>
      </c>
      <c r="K18" s="4" t="s">
        <v>112</v>
      </c>
    </row>
    <row r="19" spans="1:13" s="4" customFormat="1" ht="24" customHeight="1">
      <c r="B19" s="4">
        <v>1</v>
      </c>
      <c r="C19" s="4" t="s">
        <v>113</v>
      </c>
      <c r="K19" s="4" t="s">
        <v>112</v>
      </c>
      <c r="M19" s="4" t="s">
        <v>114</v>
      </c>
    </row>
    <row r="20" spans="1:13" ht="24" customHeight="1">
      <c r="B20">
        <v>1</v>
      </c>
      <c r="C20" t="s">
        <v>115</v>
      </c>
      <c r="I20" s="6" t="s">
        <v>116</v>
      </c>
    </row>
    <row r="21" spans="1:13" ht="60" customHeight="1">
      <c r="B21">
        <v>1</v>
      </c>
      <c r="C21" t="s">
        <v>117</v>
      </c>
      <c r="I21" s="6" t="s">
        <v>118</v>
      </c>
    </row>
    <row r="22" spans="1:13" s="4" customFormat="1" ht="24" customHeight="1">
      <c r="A22" s="4" t="s">
        <v>119</v>
      </c>
      <c r="B22" s="4">
        <v>1</v>
      </c>
      <c r="C22" s="4" t="s">
        <v>94</v>
      </c>
      <c r="D22" s="4">
        <v>2377</v>
      </c>
      <c r="J22" s="4" t="s">
        <v>95</v>
      </c>
      <c r="M22" s="4" t="s">
        <v>120</v>
      </c>
    </row>
    <row r="23" spans="1:13" ht="24" customHeight="1">
      <c r="A23" t="s">
        <v>119</v>
      </c>
      <c r="B23">
        <v>1</v>
      </c>
      <c r="C23" t="s">
        <v>97</v>
      </c>
      <c r="D23" s="5">
        <v>2374</v>
      </c>
      <c r="E23" s="2">
        <f>IF(AND(ISNUMBER(F23),ISNUMBER('Reference data'!$B$3)),F23*'Reference data'!$B$3,"Unknown")</f>
        <v>4.1609098e-05</v>
      </c>
      <c r="F23" s="2">
        <f>IF(D23=0,0,IF(ISNUMBER('Reference data'!C17),D23*'Reference data'!C17/1000000,"Unknown"))</f>
        <v>4.748e-05</v>
      </c>
      <c r="G23" s="5">
        <f>IF(ISNUMBER(E23),ROUND(E23*'Reference data'!$B$2,0),"Unknown")</f>
        <v>4.0</v>
      </c>
      <c r="H23" s="5">
        <f>IF(ISNUMBER(F23),ROUND(F23*'Reference data'!$B$2,0),"Unknown")</f>
        <v>5.0</v>
      </c>
    </row>
    <row r="24" spans="1:13" ht="24" customHeight="1">
      <c r="A24" t="s">
        <v>119</v>
      </c>
      <c r="B24">
        <v>1</v>
      </c>
      <c r="C24" t="s">
        <v>98</v>
      </c>
      <c r="D24" s="5">
        <v>3</v>
      </c>
      <c r="E24" s="2">
        <f>IF(AND(ISNUMBER(F24),ISNUMBER('Reference data'!$B$3)),F24*'Reference data'!$B$3,"Unknown")</f>
        <v>5.2581e-07</v>
      </c>
      <c r="F24" s="2">
        <f>IF(D24=0,0,IF(ISNUMBER('Reference data'!B17),D24*'Reference data'!B17/1000000,"Unknown"))</f>
        <v>6e-07</v>
      </c>
      <c r="G24" s="5">
        <f>IF(ISNUMBER(E24),ROUND(E24*'Reference data'!$B$2,0),"Unknown")</f>
        <v>0.0</v>
      </c>
      <c r="H24" s="5">
        <f>IF(ISNUMBER(F24),ROUND(F24*'Reference data'!$B$2,0),"Unknown")</f>
        <v>0.0</v>
      </c>
    </row>
    <row r="25" spans="1:13" ht="60" customHeight="1">
      <c r="A25" t="s">
        <v>119</v>
      </c>
      <c r="B25">
        <v>1</v>
      </c>
      <c r="C25" t="s">
        <v>121</v>
      </c>
      <c r="I25" s="6" t="s">
        <v>118</v>
      </c>
    </row>
    <row r="26" spans="1:13" ht="24" customHeight="1">
      <c r="A26" t="s">
        <v>119</v>
      </c>
      <c r="B26">
        <v>1</v>
      </c>
      <c r="C26" t="s">
        <v>104</v>
      </c>
    </row>
    <row r="27" spans="1:13" ht="24" customHeight="1">
      <c r="A27" t="s">
        <v>119</v>
      </c>
      <c r="B27">
        <v>1</v>
      </c>
      <c r="C27" t="s">
        <v>105</v>
      </c>
    </row>
    <row r="28" spans="1:13" s="4" customFormat="1" ht="24" customHeight="1">
      <c r="A28" s="4" t="s">
        <v>119</v>
      </c>
      <c r="B28" s="4">
        <v>1</v>
      </c>
      <c r="C28" s="4" t="s">
        <v>106</v>
      </c>
      <c r="D28" s="4">
        <v>20</v>
      </c>
    </row>
    <row r="29" spans="1:13" ht="24" customHeight="1">
      <c r="A29" t="s">
        <v>119</v>
      </c>
      <c r="B29">
        <v>1</v>
      </c>
      <c r="C29" t="s">
        <v>108</v>
      </c>
      <c r="D29" s="5">
        <v>20</v>
      </c>
      <c r="E29" s="2">
        <f>IF(AND(ISNUMBER(F29),ISNUMBER('Reference data'!$B$3)),F29*'Reference data'!$B$3,"Unknown")</f>
        <v>2.10324e-05</v>
      </c>
      <c r="F29" s="2">
        <f>IF(D29=0,0,IF(ISNUMBER('Reference data'!E17),D29*'Reference data'!E17/1000000,"Unknown"))</f>
        <v>2.4e-05</v>
      </c>
      <c r="G29" s="5">
        <f>IF(ISNUMBER(E29),ROUND(E29*'Reference data'!$B$2,0),"Unknown")</f>
        <v>2.0</v>
      </c>
      <c r="H29" s="5">
        <f>IF(ISNUMBER(F29),ROUND(F29*'Reference data'!$B$2,0),"Unknown")</f>
        <v>2.0</v>
      </c>
    </row>
    <row r="30" spans="1:13" ht="47" customHeight="1">
      <c r="A30" t="s">
        <v>119</v>
      </c>
      <c r="B30">
        <v>1</v>
      </c>
      <c r="C30" t="s">
        <v>109</v>
      </c>
      <c r="I30" s="6" t="s">
        <v>122</v>
      </c>
    </row>
    <row r="31" spans="1:13" ht="24" customHeight="1">
      <c r="A31" t="s">
        <v>119</v>
      </c>
      <c r="B31">
        <v>1</v>
      </c>
      <c r="C31" t="s">
        <v>104</v>
      </c>
    </row>
    <row r="32" spans="1:13" ht="24" customHeight="1">
      <c r="A32" t="s">
        <v>119</v>
      </c>
      <c r="B32">
        <v>1</v>
      </c>
      <c r="C32" t="s">
        <v>105</v>
      </c>
    </row>
    <row r="33" spans="1:11" s="4" customFormat="1" ht="24" customHeight="1">
      <c r="A33" s="4" t="s">
        <v>119</v>
      </c>
      <c r="B33" s="4">
        <v>1</v>
      </c>
      <c r="C33" s="4" t="s">
        <v>111</v>
      </c>
      <c r="E33" s="2">
        <f>IF(COUNT('Turns'!E23,'Turns'!E24,'Turns'!E29)=3,SUM('Turns'!E23,'Turns'!E24,'Turns'!E29),"Unknown")</f>
        <v>6.3167308e-05</v>
      </c>
      <c r="F33" s="2">
        <f>IF(COUNT('Turns'!F23,'Turns'!F24,'Turns'!F29)=3,SUM('Turns'!F23,'Turns'!F24,'Turns'!F29),"Unknown")</f>
        <v>7.208e-05</v>
      </c>
      <c r="G33" s="5">
        <f>IF(ISNUMBER(E33),ROUND(E33*'Reference data'!$B$2,0),"Unknown")</f>
        <v>6.0</v>
      </c>
      <c r="H33" s="5">
        <f>IF(ISNUMBER(F33),ROUND(F33*'Reference data'!$B$2,0),"Unknown")</f>
        <v>7.0</v>
      </c>
      <c r="K33" s="4" t="s">
        <v>112</v>
      </c>
    </row>
  </sheetData>
  <conditionalFormatting sqref="A2:AE33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123</v>
      </c>
      <c r="B2" s="1">
        <v>0</v>
      </c>
      <c r="C2" s="1" t="s">
        <v>124</v>
      </c>
      <c r="D2" s="1" t="s">
        <v>47</v>
      </c>
      <c r="E2" s="1" t="s">
        <v>112</v>
      </c>
      <c r="G2" s="6" t="s">
        <v>125</v>
      </c>
      <c r="H2" t="s">
        <v>49</v>
      </c>
      <c r="J2" s="2">
        <f>IF(COUNT('Turns'!D6,'Turns'!D24)=2,SUM('Turns'!D6,'Turns'!D24),"Unknown")</f>
        <v>6.0</v>
      </c>
      <c r="K2" s="2">
        <f>IF(COUNT('Turns'!E6,'Turns'!E24)=2,SUM('Turns'!E6,'Turns'!E24),"Unknown")</f>
        <v>1.05162e-06</v>
      </c>
      <c r="L2" s="2">
        <f>IF(COUNT('Turns'!F6,'Turns'!F24)=2,SUM('Turns'!F6,'Turns'!F24),"Unknown")</f>
        <v>1.2e-06</v>
      </c>
      <c r="M2" s="2">
        <f>IF(COUNT('Turns'!D5,'Turns'!D23)=2,SUM('Turns'!D5,'Turns'!D23),"Unknown")</f>
        <v>4681.0</v>
      </c>
      <c r="N2" s="2">
        <f>IF(COUNT('Turns'!E5,'Turns'!E23)=2,SUM('Turns'!E5,'Turns'!E23),"Unknown")</f>
        <v>8.2043887e-05</v>
      </c>
      <c r="O2" s="2">
        <f>IF(COUNT('Turns'!F5,'Turns'!F23)=2,SUM('Turns'!F5,'Turns'!F23),"Unknown")</f>
        <v>9.362e-05</v>
      </c>
      <c r="P2" s="2">
        <v>0</v>
      </c>
      <c r="Q2" s="2">
        <v>0</v>
      </c>
      <c r="R2" s="2">
        <v>0</v>
      </c>
      <c r="S2" s="2">
        <f>IF(COUNT('Turns'!D14,'Turns'!D29)=2,SUM('Turns'!D14,'Turns'!D29),"Unknown")</f>
        <v>48.0</v>
      </c>
      <c r="T2" s="2">
        <f>IF(COUNT('Turns'!E14,'Turns'!E29)=2,SUM('Turns'!E14,'Turns'!E29),"Unknown")</f>
        <v>5.047776e-05</v>
      </c>
      <c r="U2" s="2">
        <f>IF(COUNT('Turns'!F14,'Turns'!F29)=2,SUM('Turns'!F14,'Turns'!F29),"Unknown")</f>
        <v>5.76e-05</v>
      </c>
      <c r="V2" s="2">
        <f>IF(COUNT('Turns'!D13)=1,SUM('Turns'!D13),"Unknown")</f>
        <v>9.0</v>
      </c>
      <c r="W2" s="2">
        <f>IF(COUNT('Turns'!E13)=1,SUM('Turns'!E13),"Unknown")</f>
        <v>9.46458e-06</v>
      </c>
      <c r="X2" s="2">
        <f>IF(COUNT('Turns'!F13)=1,SUM('Turns'!F13),"Unknown")</f>
        <v>1.08e-05</v>
      </c>
      <c r="Y2" s="2">
        <f>IF(COUNT('Turns'!E18,'Turns'!E33)=2,SUM('Turns'!E18,'Turns'!E33),"Unknown")</f>
        <v>0.000143037847</v>
      </c>
      <c r="Z2" s="2">
        <f>IF(COUNT('Turns'!F18,'Turns'!F33)=2,SUM('Turns'!F18,'Turns'!F33),"Unknown")</f>
        <v>0.00016322</v>
      </c>
      <c r="AA2" s="5">
        <f>IF(ISNUMBER(Y2),ROUND(Y2*'Reference data'!$B$2,0),"Unknown")</f>
        <v>14.0</v>
      </c>
      <c r="AB2" s="5">
        <f>IF(ISNUMBER(Z2),ROUND(Z2*'Reference data'!$B$2,0),"Unknown")</f>
        <v>16.0</v>
      </c>
      <c r="AD2" s="1">
        <v>3184.496</v>
      </c>
      <c r="AE2" s="1" t="s">
        <v>126</v>
      </c>
    </row>
    <row r="3" spans="1:31" ht="54" customHeight="1">
      <c r="A3" s="6" t="s">
        <v>127</v>
      </c>
      <c r="B3" s="1">
        <v>1</v>
      </c>
      <c r="C3" s="1" t="s">
        <v>124</v>
      </c>
      <c r="D3" s="1" t="s">
        <v>47</v>
      </c>
      <c r="E3" s="1" t="s">
        <v>112</v>
      </c>
      <c r="G3" s="6" t="s">
        <v>128</v>
      </c>
      <c r="H3" t="s">
        <v>129</v>
      </c>
      <c r="I3" t="s">
        <v>49</v>
      </c>
      <c r="AD3" s="1">
        <v>0.427</v>
      </c>
      <c r="AE3" s="1" t="s">
        <v>130</v>
      </c>
    </row>
    <row r="4" spans="1:31" ht="54" customHeight="1">
      <c r="A4" s="6" t="s">
        <v>131</v>
      </c>
      <c r="B4" s="1">
        <v>1</v>
      </c>
      <c r="C4" s="1" t="s">
        <v>124</v>
      </c>
      <c r="D4" s="1" t="s">
        <v>47</v>
      </c>
      <c r="E4" s="1" t="s">
        <v>112</v>
      </c>
      <c r="G4" s="6" t="s">
        <v>132</v>
      </c>
      <c r="H4" t="s">
        <v>133</v>
      </c>
      <c r="I4" t="s">
        <v>49</v>
      </c>
      <c r="J4" s="2">
        <f>IF(COUNT('Turns'!D6)=1,SUM('Turns'!D6),"Unknown")</f>
        <v>3.0</v>
      </c>
      <c r="K4" s="2">
        <f>IF(COUNT('Turns'!E6)=1,SUM('Turns'!E6),"Unknown")</f>
        <v>5.2581e-07</v>
      </c>
      <c r="L4" s="2">
        <f>IF(COUNT('Turns'!F6)=1,SUM('Turns'!F6),"Unknown")</f>
        <v>6e-07</v>
      </c>
      <c r="M4" s="2">
        <f>IF(COUNT('Turns'!D5)=1,SUM('Turns'!D5),"Unknown")</f>
        <v>2307.0</v>
      </c>
      <c r="N4" s="2">
        <f>IF(COUNT('Turns'!E5)=1,SUM('Turns'!E5),"Unknown")</f>
        <v>4.0434789e-05</v>
      </c>
      <c r="O4" s="2">
        <f>IF(COUNT('Turns'!F5)=1,SUM('Turns'!F5),"Unknown")</f>
        <v>4.614e-05</v>
      </c>
      <c r="P4" s="2">
        <v>0</v>
      </c>
      <c r="Q4" s="2">
        <v>0</v>
      </c>
      <c r="R4" s="2">
        <v>0</v>
      </c>
      <c r="S4" s="2">
        <f>IF(COUNT('Turns'!D14)=1,SUM('Turns'!D14),"Unknown")</f>
        <v>28.0</v>
      </c>
      <c r="T4" s="2">
        <f>IF(COUNT('Turns'!E14)=1,SUM('Turns'!E14),"Unknown")</f>
        <v>2.944536e-05</v>
      </c>
      <c r="U4" s="2">
        <f>IF(COUNT('Turns'!F14)=1,SUM('Turns'!F14),"Unknown")</f>
        <v>3.36e-05</v>
      </c>
      <c r="V4" s="2">
        <f>IF(COUNT('Turns'!D13)=1,SUM('Turns'!D13),"Unknown")</f>
        <v>9.0</v>
      </c>
      <c r="W4" s="2">
        <f>IF(COUNT('Turns'!E13)=1,SUM('Turns'!E13),"Unknown")</f>
        <v>9.46458e-06</v>
      </c>
      <c r="X4" s="2">
        <f>IF(COUNT('Turns'!F13)=1,SUM('Turns'!F13),"Unknown")</f>
        <v>1.08e-05</v>
      </c>
      <c r="Y4" s="2">
        <f>IF(COUNT('Turns'!E18)=1,SUM('Turns'!E18),"Unknown")</f>
        <v>7.9870539e-05</v>
      </c>
      <c r="Z4" s="2">
        <f>IF(COUNT('Turns'!F18)=1,SUM('Turns'!F18),"Unknown")</f>
        <v>9.114e-05</v>
      </c>
      <c r="AA4" s="5">
        <f>IF(ISNUMBER(Y4),ROUND(Y4*'Reference data'!$B$2,0),"Unknown")</f>
        <v>8.0</v>
      </c>
      <c r="AB4" s="5">
        <f>IF(ISNUMBER(Z4),ROUND(Z4*'Reference data'!$B$2,0),"Unknown")</f>
        <v>9.0</v>
      </c>
      <c r="AD4" s="1">
        <v>1712.943</v>
      </c>
      <c r="AE4" s="1" t="s">
        <v>126</v>
      </c>
    </row>
    <row r="5" spans="1:31" ht="54" customHeight="1">
      <c r="A5" s="6" t="s">
        <v>134</v>
      </c>
      <c r="B5" s="1">
        <v>2</v>
      </c>
      <c r="C5" s="1" t="s">
        <v>135</v>
      </c>
      <c r="D5" s="1" t="s">
        <v>95</v>
      </c>
      <c r="E5" s="1" t="s">
        <v>112</v>
      </c>
      <c r="F5" s="1">
        <v>2310</v>
      </c>
      <c r="G5" s="6" t="s">
        <v>136</v>
      </c>
      <c r="H5" t="s">
        <v>96</v>
      </c>
      <c r="I5" t="s">
        <v>133</v>
      </c>
      <c r="J5" s="2">
        <f>IF(COUNT('Turns'!D6)=1,SUM('Turns'!D6),"Unknown")</f>
        <v>3.0</v>
      </c>
      <c r="K5" s="2">
        <f>IF(COUNT('Turns'!E6)=1,SUM('Turns'!E6),"Unknown")</f>
        <v>5.2581e-07</v>
      </c>
      <c r="L5" s="2">
        <f>IF(COUNT('Turns'!F6)=1,SUM('Turns'!F6),"Unknown")</f>
        <v>6e-07</v>
      </c>
      <c r="M5" s="2">
        <f>IF(COUNT('Turns'!D5)=1,SUM('Turns'!D5),"Unknown")</f>
        <v>2307.0</v>
      </c>
      <c r="N5" s="2">
        <f>IF(COUNT('Turns'!E5)=1,SUM('Turns'!E5),"Unknown")</f>
        <v>4.0434789e-05</v>
      </c>
      <c r="O5" s="2">
        <f>IF(COUNT('Turns'!F5)=1,SUM('Turns'!F5),"Unknown")</f>
        <v>4.614e-05</v>
      </c>
      <c r="P5" s="2">
        <v>0</v>
      </c>
      <c r="Q5" s="2">
        <v>0</v>
      </c>
      <c r="R5" s="2">
        <v>0</v>
      </c>
      <c r="S5" s="2">
        <f>IF(COUNT('Turns'!D14)=1,SUM('Turns'!D14),"Unknown")</f>
        <v>28.0</v>
      </c>
      <c r="T5" s="2">
        <f>IF(COUNT('Turns'!E14)=1,SUM('Turns'!E14),"Unknown")</f>
        <v>2.944536e-05</v>
      </c>
      <c r="U5" s="2">
        <f>IF(COUNT('Turns'!F14)=1,SUM('Turns'!F14),"Unknown")</f>
        <v>3.36e-05</v>
      </c>
      <c r="V5" s="2">
        <f>IF(COUNT('Turns'!D13)=1,SUM('Turns'!D13),"Unknown")</f>
        <v>9.0</v>
      </c>
      <c r="W5" s="2">
        <f>IF(COUNT('Turns'!E13)=1,SUM('Turns'!E13),"Unknown")</f>
        <v>9.46458e-06</v>
      </c>
      <c r="X5" s="2">
        <f>IF(COUNT('Turns'!F13)=1,SUM('Turns'!F13),"Unknown")</f>
        <v>1.08e-05</v>
      </c>
      <c r="Y5" s="2">
        <f>IF(COUNT('Turns'!E18)=1,SUM('Turns'!E18),"Unknown")</f>
        <v>7.9870539e-05</v>
      </c>
      <c r="Z5" s="2">
        <f>IF(COUNT('Turns'!F18)=1,SUM('Turns'!F18),"Unknown")</f>
        <v>9.114e-05</v>
      </c>
      <c r="AA5" s="5">
        <f>IF(ISNUMBER(Y5),ROUND(Y5*'Reference data'!$B$2,0),"Unknown")</f>
        <v>8.0</v>
      </c>
      <c r="AB5" s="5">
        <f>IF(ISNUMBER(Z5),ROUND(Z5*'Reference data'!$B$2,0),"Unknown")</f>
        <v>9.0</v>
      </c>
      <c r="AC5" s="1" t="s">
        <v>93</v>
      </c>
      <c r="AD5" s="1">
        <v>1705.743</v>
      </c>
      <c r="AE5" s="1" t="s">
        <v>137</v>
      </c>
    </row>
    <row r="6" spans="1:31" ht="54" customHeight="1">
      <c r="A6" s="6" t="s">
        <v>138</v>
      </c>
      <c r="B6" s="1">
        <v>1</v>
      </c>
      <c r="C6" s="1" t="s">
        <v>124</v>
      </c>
      <c r="D6" s="1" t="s">
        <v>47</v>
      </c>
      <c r="E6" s="1" t="s">
        <v>112</v>
      </c>
      <c r="G6" s="6" t="s">
        <v>139</v>
      </c>
      <c r="H6" t="s">
        <v>140</v>
      </c>
      <c r="I6" t="s">
        <v>49</v>
      </c>
      <c r="AD6" s="1">
        <v>46.121</v>
      </c>
      <c r="AE6" s="1" t="s">
        <v>130</v>
      </c>
    </row>
    <row r="7" spans="1:31" ht="54" customHeight="1">
      <c r="A7" s="6" t="s">
        <v>141</v>
      </c>
      <c r="B7" s="1">
        <v>2</v>
      </c>
      <c r="C7" s="1" t="s">
        <v>142</v>
      </c>
      <c r="D7" s="1" t="s">
        <v>47</v>
      </c>
      <c r="E7" s="1" t="s">
        <v>112</v>
      </c>
      <c r="G7" s="6" t="s">
        <v>143</v>
      </c>
      <c r="H7" t="s">
        <v>114</v>
      </c>
      <c r="I7" t="s">
        <v>140</v>
      </c>
      <c r="AD7" s="1">
        <v>43.834</v>
      </c>
      <c r="AE7" s="1" t="s">
        <v>130</v>
      </c>
    </row>
    <row r="8" spans="1:31" ht="54" customHeight="1">
      <c r="A8" s="6" t="s">
        <v>131</v>
      </c>
      <c r="B8" s="1">
        <v>1</v>
      </c>
      <c r="C8" s="1" t="s">
        <v>124</v>
      </c>
      <c r="D8" s="1" t="s">
        <v>47</v>
      </c>
      <c r="E8" s="1" t="s">
        <v>112</v>
      </c>
      <c r="G8" s="6" t="s">
        <v>132</v>
      </c>
      <c r="H8" t="s">
        <v>144</v>
      </c>
      <c r="I8" t="s">
        <v>49</v>
      </c>
      <c r="J8" s="2">
        <f>IF(COUNT('Turns'!D24)=1,SUM('Turns'!D24),"Unknown")</f>
        <v>3.0</v>
      </c>
      <c r="K8" s="2">
        <f>IF(COUNT('Turns'!E24)=1,SUM('Turns'!E24),"Unknown")</f>
        <v>5.2581e-07</v>
      </c>
      <c r="L8" s="2">
        <f>IF(COUNT('Turns'!F24)=1,SUM('Turns'!F24),"Unknown")</f>
        <v>6e-07</v>
      </c>
      <c r="M8" s="2">
        <f>IF(COUNT('Turns'!D23)=1,SUM('Turns'!D23),"Unknown")</f>
        <v>2374.0</v>
      </c>
      <c r="N8" s="2">
        <f>IF(COUNT('Turns'!E23)=1,SUM('Turns'!E23),"Unknown")</f>
        <v>4.1609098e-05</v>
      </c>
      <c r="O8" s="2">
        <f>IF(COUNT('Turns'!F23)=1,SUM('Turns'!F23),"Unknown")</f>
        <v>4.748e-05</v>
      </c>
      <c r="P8" s="2">
        <v>0</v>
      </c>
      <c r="Q8" s="2">
        <v>0</v>
      </c>
      <c r="R8" s="2">
        <v>0</v>
      </c>
      <c r="S8" s="2">
        <f>IF(COUNT('Turns'!D29)=1,SUM('Turns'!D29),"Unknown")</f>
        <v>20.0</v>
      </c>
      <c r="T8" s="2">
        <f>IF(COUNT('Turns'!E29)=1,SUM('Turns'!E29),"Unknown")</f>
        <v>2.10324e-05</v>
      </c>
      <c r="U8" s="2">
        <f>IF(COUNT('Turns'!F29)=1,SUM('Turns'!F29),"Unknown")</f>
        <v>2.4e-05</v>
      </c>
      <c r="V8" s="2">
        <v>0</v>
      </c>
      <c r="W8" s="2">
        <v>0</v>
      </c>
      <c r="X8" s="2">
        <v>0</v>
      </c>
      <c r="Y8" s="2">
        <f>IF(COUNT('Turns'!E33)=1,SUM('Turns'!E33),"Unknown")</f>
        <v>6.3167308e-05</v>
      </c>
      <c r="Z8" s="2">
        <f>IF(COUNT('Turns'!F33)=1,SUM('Turns'!F33),"Unknown")</f>
        <v>7.208e-05</v>
      </c>
      <c r="AA8" s="5">
        <f>IF(ISNUMBER(Y8),ROUND(Y8*'Reference data'!$B$2,0),"Unknown")</f>
        <v>6.0</v>
      </c>
      <c r="AB8" s="5">
        <f>IF(ISNUMBER(Z8),ROUND(Z8*'Reference data'!$B$2,0),"Unknown")</f>
        <v>7.0</v>
      </c>
      <c r="AD8" s="1">
        <v>1419.193</v>
      </c>
      <c r="AE8" s="1" t="s">
        <v>126</v>
      </c>
    </row>
    <row r="9" spans="1:31" ht="54" customHeight="1">
      <c r="A9" s="6" t="s">
        <v>134</v>
      </c>
      <c r="B9" s="1">
        <v>2</v>
      </c>
      <c r="C9" s="1" t="s">
        <v>135</v>
      </c>
      <c r="D9" s="1" t="s">
        <v>95</v>
      </c>
      <c r="E9" s="1" t="s">
        <v>112</v>
      </c>
      <c r="F9" s="1">
        <v>2377</v>
      </c>
      <c r="G9" s="6" t="s">
        <v>136</v>
      </c>
      <c r="H9" t="s">
        <v>120</v>
      </c>
      <c r="I9" t="s">
        <v>144</v>
      </c>
      <c r="J9" s="2">
        <f>IF(COUNT('Turns'!D24)=1,SUM('Turns'!D24),"Unknown")</f>
        <v>3.0</v>
      </c>
      <c r="K9" s="2">
        <f>IF(COUNT('Turns'!E24)=1,SUM('Turns'!E24),"Unknown")</f>
        <v>5.2581e-07</v>
      </c>
      <c r="L9" s="2">
        <f>IF(COUNT('Turns'!F24)=1,SUM('Turns'!F24),"Unknown")</f>
        <v>6e-07</v>
      </c>
      <c r="M9" s="2">
        <f>IF(COUNT('Turns'!D23)=1,SUM('Turns'!D23),"Unknown")</f>
        <v>2374.0</v>
      </c>
      <c r="N9" s="2">
        <f>IF(COUNT('Turns'!E23)=1,SUM('Turns'!E23),"Unknown")</f>
        <v>4.1609098e-05</v>
      </c>
      <c r="O9" s="2">
        <f>IF(COUNT('Turns'!F23)=1,SUM('Turns'!F23),"Unknown")</f>
        <v>4.748e-05</v>
      </c>
      <c r="P9" s="2">
        <v>0</v>
      </c>
      <c r="Q9" s="2">
        <v>0</v>
      </c>
      <c r="R9" s="2">
        <v>0</v>
      </c>
      <c r="S9" s="2">
        <f>IF(COUNT('Turns'!D29)=1,SUM('Turns'!D29),"Unknown")</f>
        <v>20.0</v>
      </c>
      <c r="T9" s="2">
        <f>IF(COUNT('Turns'!E29)=1,SUM('Turns'!E29),"Unknown")</f>
        <v>2.10324e-05</v>
      </c>
      <c r="U9" s="2">
        <f>IF(COUNT('Turns'!F29)=1,SUM('Turns'!F29),"Unknown")</f>
        <v>2.4e-05</v>
      </c>
      <c r="V9" s="2">
        <v>0</v>
      </c>
      <c r="W9" s="2">
        <v>0</v>
      </c>
      <c r="X9" s="2">
        <v>0</v>
      </c>
      <c r="Y9" s="2">
        <f>IF(COUNT('Turns'!E33)=1,SUM('Turns'!E33),"Unknown")</f>
        <v>6.3167308e-05</v>
      </c>
      <c r="Z9" s="2">
        <f>IF(COUNT('Turns'!F33)=1,SUM('Turns'!F33),"Unknown")</f>
        <v>7.208e-05</v>
      </c>
      <c r="AA9" s="5">
        <f>IF(ISNUMBER(Y9),ROUND(Y9*'Reference data'!$B$2,0),"Unknown")</f>
        <v>6.0</v>
      </c>
      <c r="AB9" s="5">
        <f>IF(ISNUMBER(Z9),ROUND(Z9*'Reference data'!$B$2,0),"Unknown")</f>
        <v>7.0</v>
      </c>
      <c r="AC9" s="1" t="s">
        <v>119</v>
      </c>
      <c r="AD9" s="1">
        <v>1414.176</v>
      </c>
      <c r="AE9" s="1" t="s">
        <v>137</v>
      </c>
    </row>
  </sheetData>
  <conditionalFormatting sqref="A2:AE9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0.87635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2026-09-24T02:33:03Z</dcterms:created>
  <dcterms:modified xsi:type="dcterms:W3CDTF">2026-09-24T02:33:03Z</dcterms:modified>
</cp:coreProperties>
</file>
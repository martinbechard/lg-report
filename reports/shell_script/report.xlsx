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urns" sheetId="1" r:id="rId1"/>
    <sheet name="Execution tree" sheetId="2" r:id="rId2"/>
    <sheet name="Reference data" sheetId="3" r:id="rId3"/>
  </sheets>
  <calcPr calcId="124519" fullCalcOnLoad="1"/>
</workbook>
</file>

<file path=xl/sharedStrings.xml><?xml version="1.0" encoding="utf-8"?>
<sst xmlns="http://schemas.openxmlformats.org/spreadsheetml/2006/main" count="350" uniqueCount="172">
  <si>
    <t>Request</t>
  </si>
  <si>
    <t>Turn</t>
  </si>
  <si>
    <t>Sequence</t>
  </si>
  <si>
    <t>Tokens</t>
  </si>
  <si>
    <t>EUR / execution</t>
  </si>
  <si>
    <t>USD / execution</t>
  </si>
  <si>
    <t>Projected EUR</t>
  </si>
  <si>
    <t>Projected USD</t>
  </si>
  <si>
    <t>Content</t>
  </si>
  <si>
    <t>Model · effort</t>
  </si>
  <si>
    <t>Status</t>
  </si>
  <si>
    <t>Context total tokens</t>
  </si>
  <si>
    <t>Span ID</t>
  </si>
  <si>
    <t>Operation</t>
  </si>
  <si>
    <t>Depth</t>
  </si>
  <si>
    <t>Type</t>
  </si>
  <si>
    <t>Input context tokens</t>
  </si>
  <si>
    <t>Description</t>
  </si>
  <si>
    <t>Parent ID</t>
  </si>
  <si>
    <t>Input at standard rate tokens</t>
  </si>
  <si>
    <t>Input at standard rate EUR</t>
  </si>
  <si>
    <t>Input at standard rate USD</t>
  </si>
  <si>
    <t>Cache read tokens</t>
  </si>
  <si>
    <t>Cache read EUR</t>
  </si>
  <si>
    <t>Cache read USD</t>
  </si>
  <si>
    <t>Cache write tokens</t>
  </si>
  <si>
    <t>Cache write EUR</t>
  </si>
  <si>
    <t>Cache write USD</t>
  </si>
  <si>
    <t>Output (non-reasoning) tokens</t>
  </si>
  <si>
    <t>Output (non-reasoning) EUR</t>
  </si>
  <si>
    <t>Output (non-reasoning) USD</t>
  </si>
  <si>
    <t>Reasoning tokens</t>
  </si>
  <si>
    <t>Reasoning EUR</t>
  </si>
  <si>
    <t>Reasoning USD</t>
  </si>
  <si>
    <t>Total EUR</t>
  </si>
  <si>
    <t>Total USD</t>
  </si>
  <si>
    <t>Elapsed ms</t>
  </si>
  <si>
    <t>Accounting</t>
  </si>
  <si>
    <t>Parameter</t>
  </si>
  <si>
    <t>Value</t>
  </si>
  <si>
    <t>Unit</t>
  </si>
  <si>
    <t>Number of executions</t>
  </si>
  <si>
    <t>executions</t>
  </si>
  <si>
    <t>USD → EUR</t>
  </si>
  <si>
    <t>EUR per USD</t>
  </si>
  <si>
    <t>Cache duration</t>
  </si>
  <si>
    <t>5m</t>
  </si>
  <si>
    <t/>
  </si>
  <si>
    <t>Run ID</t>
  </si>
  <si>
    <t>01a1143f-93d5-79a1-85dd-05eee1ff9487</t>
  </si>
  <si>
    <t>Recording</t>
  </si>
  <si>
    <t>Offline simulation</t>
  </si>
  <si>
    <t>FX reference date</t>
  </si>
  <si>
    <t>2026-09-24</t>
  </si>
  <si>
    <t>FX fetched at</t>
  </si>
  <si>
    <t>2026-09-24T22:21:31.719587Z</t>
  </si>
  <si>
    <t>UTC</t>
  </si>
  <si>
    <t>FX source</t>
  </si>
  <si>
    <t>https://api.frankfurter.dev/v2/rate/usd/eur?providers=ecb</t>
  </si>
  <si>
    <t>Rounding</t>
  </si>
  <si>
    <t>Only projected costs: ROUND(cost × executions, 0)</t>
  </si>
  <si>
    <t>Tree totals</t>
  </si>
  <si>
    <t>Parent rows include descendants; do not sum all tree rows.</t>
  </si>
  <si>
    <t>Cache writes</t>
  </si>
  <si>
    <t>Simulated context movement is not a provider-billed write.</t>
  </si>
  <si>
    <t>Pricing scope</t>
  </si>
  <si>
    <t>Published online token rates verified 2026-10-05. Copilot uses GitHub rates, including saved long-context tiers, before plan allowances; these are usage estimates, not subscription invoices. Cache writes with unspecified lifetime use the 5-minute rate unless an explicit cache_write rate is configured. Direct OpenAI and Anthropic entries use standard rates; no batch, regional, tool, negotiated, or unrecorded context-tier adjustments are applied. Model availability and context capacity require separate verification.</t>
  </si>
  <si>
    <t>Model</t>
  </si>
  <si>
    <t>Input USD / 1M tokens</t>
  </si>
  <si>
    <t>Cache read USD / 1M tokens</t>
  </si>
  <si>
    <t>Cache write USD / 1M tokens</t>
  </si>
  <si>
    <t>Output USD / 1M tokens</t>
  </si>
  <si>
    <t>Reasoning USD / 1M tokens</t>
  </si>
  <si>
    <t>Verified date</t>
  </si>
  <si>
    <t>Source</t>
  </si>
  <si>
    <t>Notes</t>
  </si>
  <si>
    <t>openai:gpt-5.5</t>
  </si>
  <si>
    <t>Unknown</t>
  </si>
  <si>
    <t>2026-10-05</t>
  </si>
  <si>
    <t>https://developers.openai.com/api/docs/models/gpt-5.5.md</t>
  </si>
  <si>
    <t>Cache write assumes 5m when unspecified</t>
  </si>
  <si>
    <t>openai:gpt-5.6-luna</t>
  </si>
  <si>
    <t>https://developers.openai.com/api/docs/models/gpt-5.6-luna.md</t>
  </si>
  <si>
    <t>openai:gpt-5.6-sol</t>
  </si>
  <si>
    <t>https://developers.openai.com/api/docs/models/gpt-5.6-sol.md</t>
  </si>
  <si>
    <t>anthropic:claude-sonnet-5</t>
  </si>
  <si>
    <t>https://platform.claude.com/docs/en/about-claude/pricing</t>
  </si>
  <si>
    <t>anthropic:claude-opus-4-8</t>
  </si>
  <si>
    <t>anthropic:claude-fable-5-1</t>
  </si>
  <si>
    <t>demo:scripted-chat</t>
  </si>
  <si>
    <t>Illustrative demo rates based on openai:gpt-5.6-luna; no provider billing</t>
  </si>
  <si>
    <t>anthropic:claude-haiku-4-5</t>
  </si>
  <si>
    <t>anthropic:claude-haiku-4-5-20251001</t>
  </si>
  <si>
    <t>anthropic:claude-opus-5-5</t>
  </si>
  <si>
    <t>anthropic:claude-sonnet-4-6</t>
  </si>
  <si>
    <t>anthropic:claude-sonnet-5-5</t>
  </si>
  <si>
    <t>copilot:claude-haiku-4.5</t>
  </si>
  <si>
    <t>https://docs.github.com/en/copilot/reference/copilot-billing/models-and-pricing</t>
  </si>
  <si>
    <t>copilot:claude-opus-5.5</t>
  </si>
  <si>
    <t>copilot:claude-sonnet-4.6</t>
  </si>
  <si>
    <t>copilot:claude-sonnet-5.5</t>
  </si>
  <si>
    <t>copilot:gemini-3.8-flash</t>
  </si>
  <si>
    <t>copilot:gpt-5.3-codex</t>
  </si>
  <si>
    <t>copilot:gpt-5.4</t>
  </si>
  <si>
    <t>copilot:gpt-6-astra</t>
  </si>
  <si>
    <t>copilot:gpt-6-luna</t>
  </si>
  <si>
    <t>copilot:gpt-6-sol</t>
  </si>
  <si>
    <t>copilot:gpt-6.1-sol</t>
  </si>
  <si>
    <t>openai:gpt-6-astra</t>
  </si>
  <si>
    <t>https://developers.openai.com/api/docs/models/gpt-6-astra.md</t>
  </si>
  <si>
    <t>openai:gpt-6-luna</t>
  </si>
  <si>
    <t>https://developers.openai.com/api/docs/models/gpt-6-luna.md</t>
  </si>
  <si>
    <t>openai:gpt-6-sol</t>
  </si>
  <si>
    <t>https://developers.openai.com/api/docs/models/gpt-6-sol.md</t>
  </si>
  <si>
    <t>openai:gpt-6.1-sol</t>
  </si>
  <si>
    <t>https://developers.openai.com/api/docs/models/gpt-6.1-sol.md</t>
  </si>
  <si>
    <t>copilot:gpt-5.4 [long context]</t>
  </si>
  <si>
    <t>Above 272,000 input tokens</t>
  </si>
  <si>
    <t>copilot:gpt-6-astra [long context]</t>
  </si>
  <si>
    <t>copilot:gpt-6-luna [long context]</t>
  </si>
  <si>
    <t>copilot:gpt-6-sol [long context]</t>
  </si>
  <si>
    <t>copilot:gpt-6.1-sol [long context]</t>
  </si>
  <si>
    <t>Run total</t>
  </si>
  <si>
    <t>Turn 1</t>
  </si>
  <si>
    <t>R1</t>
  </si>
  <si>
    <t>LLM request</t>
  </si>
  <si>
    <t>scripted-chat</t>
  </si>
  <si>
    <t>01a1143f-93da-7e33-b991-06e60a74ba5a</t>
  </si>
  <si>
    <t>Input at standard rate</t>
  </si>
  <si>
    <t xml:space="preserve">    Tool definitions</t>
  </si>
  <si>
    <t xml:space="preserve">    System prompt</t>
  </si>
  <si>
    <t xml:space="preserve">Run the shell script requested by the user using execute.
Commands run in the prepared working directory. Use relative paths in shell
commands; filesystem tools use virtual paths rooted in that same directory.
Report the actual command output and exit status. A nonzero exit or timeout is
not success. Do not invent script results or rerun a failed script unless asked.
</t>
  </si>
  <si>
    <t xml:space="preserve">    User prompt</t>
  </si>
  <si>
    <t>Run sh ./summarize.sh and report the order totals and exit status.</t>
  </si>
  <si>
    <t>Cache write</t>
  </si>
  <si>
    <t>Context · added / total</t>
  </si>
  <si>
    <t>LLM response</t>
  </si>
  <si>
    <t>Output</t>
  </si>
  <si>
    <t xml:space="preserve">    Output content</t>
  </si>
  <si>
    <t>{"name": "execute", "args": {"command": "sh ./summarize.sh"}, "id": "shell-call-2", "type": "tool_call"}</t>
  </si>
  <si>
    <t>Call total</t>
  </si>
  <si>
    <t>ok</t>
  </si>
  <si>
    <t>Tool · execute</t>
  </si>
  <si>
    <t>01a1143f-945b-7492-bd69-502bf356d2ed</t>
  </si>
  <si>
    <t xml:space="preserve">    Arguments</t>
  </si>
  <si>
    <t>{'command': 'sh ./summarize.sh'}</t>
  </si>
  <si>
    <t xml:space="preserve">    Result</t>
  </si>
  <si>
    <t>Orders: 3
Total units: 9
[Command succeeded with exit code 0]</t>
  </si>
  <si>
    <t>R2</t>
  </si>
  <si>
    <t>01a1143f-947a-7761-809b-b8500c708224</t>
  </si>
  <si>
    <t>Conversation history · cache read</t>
  </si>
  <si>
    <t xml:space="preserve">    Tool result</t>
  </si>
  <si>
    <t>Shell tool returned:
Orders: 3
Total units: 9
[Command succeeded with exit code 0]</t>
  </si>
  <si>
    <t>shell_agent</t>
  </si>
  <si>
    <t>workflow</t>
  </si>
  <si>
    <t>Execute the shell_agent workflow operation and pass its result to the next graph step.</t>
  </si>
  <si>
    <t>Subtree total</t>
  </si>
  <si>
    <t xml:space="preserve">    model</t>
  </si>
  <si>
    <t>Prepare the current conversation, run model middleware, and invoke the chat model.</t>
  </si>
  <si>
    <t>01a1143f-93d8-7e51-92df-a4ba793b45d3</t>
  </si>
  <si>
    <t xml:space="preserve">        ShellFixture</t>
  </si>
  <si>
    <t>model</t>
  </si>
  <si>
    <t>Run a local script through DeepAgent’s native execute tool.</t>
  </si>
  <si>
    <t>Own call</t>
  </si>
  <si>
    <t xml:space="preserve">    tools</t>
  </si>
  <si>
    <t>Execute tool calls requested by the preceding model response and return their observations.</t>
  </si>
  <si>
    <t>01a1143f-945b-7492-bd69-5015b7bea39e</t>
  </si>
  <si>
    <t>No model charge</t>
  </si>
  <si>
    <t xml:space="preserve">        execute</t>
  </si>
  <si>
    <t>tool</t>
  </si>
  <si>
    <t>Executes a shell command in an isolated sandbox and returns combined stdout/stderr with the exit code (truncated if very large).
Usage:
- Quote paths containing spaces (e.g. cd "/path/with spaces").
- Chain commands with ';' or '&amp;&amp;' (use '&amp;&amp;' when a command depends on the previous); do not use newlines except inside quoted strings.
- Use absolute paths and avoid `cd` so the working directory stays stable; use the optional timeout to override the default.
- Use read_file rather than cat/head/tail.
Only available on backends implementing SandboxBackendProtocol; otherwise it returns an error.</t>
  </si>
  <si>
    <t>01a1143f-9479-7923-9b51-8ebcab66ae69</t>
  </si>
</sst>
</file>

<file path=xl/styles.xml><?xml version="1.0" encoding="utf-8"?>
<styleSheet xmlns="http://schemas.openxmlformats.org/spreadsheetml/2006/main">
  <numFmts count="2">
    <numFmt numFmtId="164" formatCode="0.###############;-0.###############;0"/>
    <numFmt numFmtId="165" formatCode="#,##0"/>
  </numFmts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173B7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3B7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FF1B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2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0" xfId="0" applyFont="1" applyAlignment="1">
      <alignment vertical="top" wrapText="1"/>
    </xf>
    <xf numFmtId="165" fontId="0" fillId="4" borderId="0" xfId="0" applyNumberFormat="1" applyFill="1"/>
  </cellXfs>
  <cellStyles count="1">
    <cellStyle name="Normal" xfId="0" builtinId="0"/>
  </cellStyles>
  <dxfs count="1">
    <dxf>
      <font>
        <color rgb="FF8B1010"/>
      </font>
      <fill>
        <patternFill>
          <bgColor rgb="FFFFD3D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73B70"/>
  </sheetPr>
  <dimension ref="A1:M31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4" customHeight="1"/>
  <cols>
    <col min="1" max="2" width="10.7109375" customWidth="1"/>
    <col min="3" max="3" width="38.7109375" customWidth="1"/>
    <col min="4" max="4" width="18.7109375" style="1" customWidth="1"/>
    <col min="5" max="6" width="22.7109375" style="2" customWidth="1"/>
    <col min="7" max="8" width="18.7109375" style="1" customWidth="1"/>
    <col min="9" max="9" width="100.7109375" customWidth="1"/>
    <col min="10" max="10" width="26.7109375" customWidth="1"/>
    <col min="11" max="12" width="18.7109375" style="1" customWidth="1"/>
    <col min="13" max="13" width="38.7109375" customWidth="1"/>
  </cols>
  <sheetData>
    <row r="1" spans="1:13" ht="4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s="4" customFormat="1" ht="24" customHeight="1">
      <c r="C2" s="4" t="s">
        <v>122</v>
      </c>
      <c r="E2" s="2">
        <f>IF(COUNT('Turns'!E16,'Turns'!E31)=2,SUM('Turns'!E16,'Turns'!E31),"Unknown")</f>
        <v>0.0002759040588</v>
      </c>
      <c r="F2" s="2">
        <f>IF(COUNT('Turns'!F16,'Turns'!F31)=2,SUM('Turns'!F16,'Turns'!F31),"Unknown")</f>
        <v>0.00031362</v>
      </c>
      <c r="G2" s="5">
        <f>IF(ISNUMBER(E2),ROUND(E2*'Reference data'!$B$2,0),"Unknown")</f>
        <v>28.0</v>
      </c>
      <c r="H2" s="5">
        <f>IF(ISNUMBER(F2),ROUND(F2*'Reference data'!$B$2,0),"Unknown")</f>
        <v>31.0</v>
      </c>
    </row>
    <row r="3" spans="1:13" s="4" customFormat="1" ht="24" customHeight="1">
      <c r="B3" s="4">
        <v>1</v>
      </c>
      <c r="C3" s="4" t="s">
        <v>123</v>
      </c>
      <c r="E3" s="2">
        <f>IF(COUNT('Turns'!E16,'Turns'!E31)=2,SUM('Turns'!E16,'Turns'!E31),"Unknown")</f>
        <v>0.0002759040588</v>
      </c>
      <c r="F3" s="2">
        <f>IF(COUNT('Turns'!F16,'Turns'!F31)=2,SUM('Turns'!F16,'Turns'!F31),"Unknown")</f>
        <v>0.00031362</v>
      </c>
      <c r="G3" s="5">
        <f>IF(ISNUMBER(E3),ROUND(E3*'Reference data'!$B$2,0),"Unknown")</f>
        <v>28.0</v>
      </c>
      <c r="H3" s="5">
        <f>IF(ISNUMBER(F3),ROUND(F3*'Reference data'!$B$2,0),"Unknown")</f>
        <v>31.0</v>
      </c>
    </row>
    <row r="4" spans="1:13" s="4" customFormat="1" ht="24" customHeight="1">
      <c r="A4" s="4" t="s">
        <v>124</v>
      </c>
      <c r="B4" s="4">
        <v>1</v>
      </c>
      <c r="C4" s="4" t="s">
        <v>125</v>
      </c>
      <c r="D4" s="4">
        <v>793</v>
      </c>
      <c r="J4" s="4" t="s">
        <v>126</v>
      </c>
      <c r="M4" s="4" t="s">
        <v>127</v>
      </c>
    </row>
    <row r="5" spans="1:13" ht="24" customHeight="1">
      <c r="A5" t="s">
        <v>124</v>
      </c>
      <c r="B5">
        <v>1</v>
      </c>
      <c r="C5" t="s">
        <v>128</v>
      </c>
      <c r="D5" s="5">
        <v>793</v>
      </c>
      <c r="E5" s="2">
        <f>IF(AND(ISNUMBER(F5),ISNUMBER('Reference data'!$B$3)),F5*'Reference data'!$B$3,"Unknown")</f>
        <v>0.000139526764</v>
      </c>
      <c r="F5" s="2">
        <f>IF(D5=0,0,IF(ISNUMBER('Reference data'!B22),D5*'Reference data'!B22/1000000,"Unknown"))</f>
        <v>0.0001586</v>
      </c>
      <c r="G5" s="5">
        <f>IF(ISNUMBER(E5),ROUND(E5*'Reference data'!$B$2,0),"Unknown")</f>
        <v>14.0</v>
      </c>
      <c r="H5" s="5">
        <f>IF(ISNUMBER(F5),ROUND(F5*'Reference data'!$B$2,0),"Unknown")</f>
        <v>16.0</v>
      </c>
    </row>
    <row r="6" spans="1:13" ht="24" customHeight="1">
      <c r="A6" t="s">
        <v>124</v>
      </c>
      <c r="B6">
        <v>1</v>
      </c>
      <c r="C6" t="s">
        <v>129</v>
      </c>
      <c r="D6" s="1">
        <v>655</v>
      </c>
    </row>
    <row r="7" spans="1:13" ht="73" customHeight="1">
      <c r="A7" t="s">
        <v>124</v>
      </c>
      <c r="B7">
        <v>1</v>
      </c>
      <c r="C7" t="s">
        <v>130</v>
      </c>
      <c r="D7" s="1">
        <v>99</v>
      </c>
      <c r="I7" s="6" t="s">
        <v>131</v>
      </c>
    </row>
    <row r="8" spans="1:13" ht="24" customHeight="1">
      <c r="A8" t="s">
        <v>124</v>
      </c>
      <c r="B8">
        <v>1</v>
      </c>
      <c r="C8" t="s">
        <v>132</v>
      </c>
      <c r="D8" s="1">
        <v>39</v>
      </c>
      <c r="I8" s="6" t="s">
        <v>133</v>
      </c>
    </row>
    <row r="9" spans="1:13" ht="24" customHeight="1">
      <c r="A9" t="s">
        <v>124</v>
      </c>
      <c r="B9">
        <v>1</v>
      </c>
      <c r="C9" t="s">
        <v>134</v>
      </c>
      <c r="D9" s="1">
        <v>793</v>
      </c>
    </row>
    <row r="10" spans="1:13" ht="24" customHeight="1">
      <c r="A10" t="s">
        <v>124</v>
      </c>
      <c r="B10">
        <v>1</v>
      </c>
      <c r="C10" t="s">
        <v>135</v>
      </c>
      <c r="D10" s="1">
        <v>793</v>
      </c>
      <c r="L10" s="1">
        <v>793</v>
      </c>
    </row>
    <row r="11" spans="1:13" s="4" customFormat="1" ht="24" customHeight="1">
      <c r="A11" s="4" t="s">
        <v>124</v>
      </c>
      <c r="B11" s="4">
        <v>1</v>
      </c>
      <c r="C11" s="4" t="s">
        <v>136</v>
      </c>
      <c r="D11" s="4">
        <v>58</v>
      </c>
    </row>
    <row r="12" spans="1:13" ht="24" customHeight="1">
      <c r="A12" t="s">
        <v>124</v>
      </c>
      <c r="B12">
        <v>1</v>
      </c>
      <c r="C12" t="s">
        <v>137</v>
      </c>
      <c r="D12" s="5">
        <v>58</v>
      </c>
      <c r="E12" s="2">
        <f>IF(AND(ISNUMBER(F12),ISNUMBER('Reference data'!$B$3)),F12*'Reference data'!$B$3,"Unknown")</f>
        <v>6.1229904e-05</v>
      </c>
      <c r="F12" s="2">
        <f>IF(D12=0,0,IF(ISNUMBER('Reference data'!E22),D12*'Reference data'!E22/1000000,"Unknown"))</f>
        <v>6.96e-05</v>
      </c>
      <c r="G12" s="5">
        <f>IF(ISNUMBER(E12),ROUND(E12*'Reference data'!$B$2,0),"Unknown")</f>
        <v>6.0</v>
      </c>
      <c r="H12" s="5">
        <f>IF(ISNUMBER(F12),ROUND(F12*'Reference data'!$B$2,0),"Unknown")</f>
        <v>7.0</v>
      </c>
    </row>
    <row r="13" spans="1:13" ht="34" customHeight="1">
      <c r="A13" t="s">
        <v>124</v>
      </c>
      <c r="B13">
        <v>1</v>
      </c>
      <c r="C13" t="s">
        <v>138</v>
      </c>
      <c r="I13" s="6" t="s">
        <v>139</v>
      </c>
    </row>
    <row r="14" spans="1:13" ht="24" customHeight="1">
      <c r="A14" t="s">
        <v>124</v>
      </c>
      <c r="B14">
        <v>1</v>
      </c>
      <c r="C14" t="s">
        <v>134</v>
      </c>
      <c r="D14" s="1">
        <v>58</v>
      </c>
    </row>
    <row r="15" spans="1:13" ht="24" customHeight="1">
      <c r="A15" t="s">
        <v>124</v>
      </c>
      <c r="B15">
        <v>1</v>
      </c>
      <c r="C15" t="s">
        <v>135</v>
      </c>
      <c r="D15" s="1">
        <v>58</v>
      </c>
      <c r="L15" s="1">
        <v>851</v>
      </c>
    </row>
    <row r="16" spans="1:13" s="4" customFormat="1" ht="24" customHeight="1">
      <c r="A16" s="4" t="s">
        <v>124</v>
      </c>
      <c r="B16" s="4">
        <v>1</v>
      </c>
      <c r="C16" s="4" t="s">
        <v>140</v>
      </c>
      <c r="E16" s="2">
        <f>IF(COUNT('Turns'!E5,'Turns'!E12)=2,SUM('Turns'!E5,'Turns'!E12),"Unknown")</f>
        <v>0.000200756668</v>
      </c>
      <c r="F16" s="2">
        <f>IF(COUNT('Turns'!F5,'Turns'!F12)=2,SUM('Turns'!F5,'Turns'!F12),"Unknown")</f>
        <v>0.0002282</v>
      </c>
      <c r="G16" s="5">
        <f>IF(ISNUMBER(E16),ROUND(E16*'Reference data'!$B$2,0),"Unknown")</f>
        <v>20.0</v>
      </c>
      <c r="H16" s="5">
        <f>IF(ISNUMBER(F16),ROUND(F16*'Reference data'!$B$2,0),"Unknown")</f>
        <v>23.0</v>
      </c>
      <c r="K16" s="4" t="s">
        <v>141</v>
      </c>
    </row>
    <row r="17" spans="1:13" s="4" customFormat="1" ht="24" customHeight="1">
      <c r="B17" s="4">
        <v>1</v>
      </c>
      <c r="C17" s="4" t="s">
        <v>142</v>
      </c>
      <c r="K17" s="4" t="s">
        <v>141</v>
      </c>
      <c r="M17" s="4" t="s">
        <v>143</v>
      </c>
    </row>
    <row r="18" spans="1:13" ht="24" customHeight="1">
      <c r="B18">
        <v>1</v>
      </c>
      <c r="C18" t="s">
        <v>144</v>
      </c>
      <c r="I18" s="6" t="s">
        <v>145</v>
      </c>
    </row>
    <row r="19" spans="1:13" ht="60" customHeight="1">
      <c r="B19">
        <v>1</v>
      </c>
      <c r="C19" t="s">
        <v>146</v>
      </c>
      <c r="I19" s="6" t="s">
        <v>147</v>
      </c>
    </row>
    <row r="20" spans="1:13" s="4" customFormat="1" ht="24" customHeight="1">
      <c r="A20" s="4" t="s">
        <v>148</v>
      </c>
      <c r="B20" s="4">
        <v>1</v>
      </c>
      <c r="C20" s="4" t="s">
        <v>125</v>
      </c>
      <c r="D20" s="4">
        <v>899</v>
      </c>
      <c r="J20" s="4" t="s">
        <v>126</v>
      </c>
      <c r="M20" s="4" t="s">
        <v>149</v>
      </c>
    </row>
    <row r="21" spans="1:13" ht="24" customHeight="1">
      <c r="A21" t="s">
        <v>148</v>
      </c>
      <c r="B21">
        <v>1</v>
      </c>
      <c r="C21" t="s">
        <v>150</v>
      </c>
      <c r="D21" s="5">
        <v>851</v>
      </c>
      <c r="E21" s="2">
        <f>IF(AND(ISNUMBER(F21),ISNUMBER('Reference data'!$B$3)),F21*'Reference data'!$B$3,"Unknown")</f>
        <v>1.49731748e-05</v>
      </c>
      <c r="F21" s="2">
        <f>IF(D21=0,0,IF(ISNUMBER('Reference data'!C22),D21*'Reference data'!C22/1000000,"Unknown"))</f>
        <v>1.702e-05</v>
      </c>
      <c r="G21" s="5">
        <f>IF(ISNUMBER(E21),ROUND(E21*'Reference data'!$B$2,0),"Unknown")</f>
        <v>1.0</v>
      </c>
      <c r="H21" s="5">
        <f>IF(ISNUMBER(F21),ROUND(F21*'Reference data'!$B$2,0),"Unknown")</f>
        <v>2.0</v>
      </c>
    </row>
    <row r="22" spans="1:13" ht="24" customHeight="1">
      <c r="A22" t="s">
        <v>148</v>
      </c>
      <c r="B22">
        <v>1</v>
      </c>
      <c r="C22" t="s">
        <v>128</v>
      </c>
      <c r="D22" s="5">
        <v>48</v>
      </c>
      <c r="E22" s="2">
        <f>IF(AND(ISNUMBER(F22),ISNUMBER('Reference data'!$B$3)),F22*'Reference data'!$B$3,"Unknown")</f>
        <v>8.445504e-06</v>
      </c>
      <c r="F22" s="2">
        <f>IF(D22=0,0,IF(ISNUMBER('Reference data'!B22),D22*'Reference data'!B22/1000000,"Unknown"))</f>
        <v>9.6e-06</v>
      </c>
      <c r="G22" s="5">
        <f>IF(ISNUMBER(E22),ROUND(E22*'Reference data'!$B$2,0),"Unknown")</f>
        <v>1.0</v>
      </c>
      <c r="H22" s="5">
        <f>IF(ISNUMBER(F22),ROUND(F22*'Reference data'!$B$2,0),"Unknown")</f>
        <v>1.0</v>
      </c>
    </row>
    <row r="23" spans="1:13" ht="60" customHeight="1">
      <c r="A23" t="s">
        <v>148</v>
      </c>
      <c r="B23">
        <v>1</v>
      </c>
      <c r="C23" t="s">
        <v>151</v>
      </c>
      <c r="D23" s="1">
        <v>48</v>
      </c>
      <c r="I23" s="6" t="s">
        <v>147</v>
      </c>
    </row>
    <row r="24" spans="1:13" ht="24" customHeight="1">
      <c r="A24" t="s">
        <v>148</v>
      </c>
      <c r="B24">
        <v>1</v>
      </c>
      <c r="C24" t="s">
        <v>134</v>
      </c>
      <c r="D24" s="1">
        <v>48</v>
      </c>
    </row>
    <row r="25" spans="1:13" ht="24" customHeight="1">
      <c r="A25" t="s">
        <v>148</v>
      </c>
      <c r="B25">
        <v>1</v>
      </c>
      <c r="C25" t="s">
        <v>135</v>
      </c>
      <c r="D25" s="1">
        <v>48</v>
      </c>
      <c r="L25" s="1">
        <v>899</v>
      </c>
    </row>
    <row r="26" spans="1:13" s="4" customFormat="1" ht="24" customHeight="1">
      <c r="A26" s="4" t="s">
        <v>148</v>
      </c>
      <c r="B26" s="4">
        <v>1</v>
      </c>
      <c r="C26" s="4" t="s">
        <v>136</v>
      </c>
      <c r="D26" s="4">
        <v>49</v>
      </c>
    </row>
    <row r="27" spans="1:13" ht="24" customHeight="1">
      <c r="A27" t="s">
        <v>148</v>
      </c>
      <c r="B27">
        <v>1</v>
      </c>
      <c r="C27" t="s">
        <v>137</v>
      </c>
      <c r="D27" s="5">
        <v>49</v>
      </c>
      <c r="E27" s="2">
        <f>IF(AND(ISNUMBER(F27),ISNUMBER('Reference data'!$B$3)),F27*'Reference data'!$B$3,"Unknown")</f>
        <v>5.1728712e-05</v>
      </c>
      <c r="F27" s="2">
        <f>IF(D27=0,0,IF(ISNUMBER('Reference data'!E22),D27*'Reference data'!E22/1000000,"Unknown"))</f>
        <v>5.88e-05</v>
      </c>
      <c r="G27" s="5">
        <f>IF(ISNUMBER(E27),ROUND(E27*'Reference data'!$B$2,0),"Unknown")</f>
        <v>5.0</v>
      </c>
      <c r="H27" s="5">
        <f>IF(ISNUMBER(F27),ROUND(F27*'Reference data'!$B$2,0),"Unknown")</f>
        <v>6.0</v>
      </c>
    </row>
    <row r="28" spans="1:13" ht="73" customHeight="1">
      <c r="A28" t="s">
        <v>148</v>
      </c>
      <c r="B28">
        <v>1</v>
      </c>
      <c r="C28" t="s">
        <v>138</v>
      </c>
      <c r="I28" s="6" t="s">
        <v>152</v>
      </c>
    </row>
    <row r="29" spans="1:13" ht="24" customHeight="1">
      <c r="A29" t="s">
        <v>148</v>
      </c>
      <c r="B29">
        <v>1</v>
      </c>
      <c r="C29" t="s">
        <v>134</v>
      </c>
      <c r="D29" s="1">
        <v>49</v>
      </c>
    </row>
    <row r="30" spans="1:13" ht="24" customHeight="1">
      <c r="A30" t="s">
        <v>148</v>
      </c>
      <c r="B30">
        <v>1</v>
      </c>
      <c r="C30" t="s">
        <v>135</v>
      </c>
      <c r="D30" s="1">
        <v>49</v>
      </c>
      <c r="L30" s="1">
        <v>948</v>
      </c>
    </row>
    <row r="31" spans="1:13" s="4" customFormat="1" ht="24" customHeight="1">
      <c r="A31" s="4" t="s">
        <v>148</v>
      </c>
      <c r="B31" s="4">
        <v>1</v>
      </c>
      <c r="C31" s="4" t="s">
        <v>140</v>
      </c>
      <c r="E31" s="2">
        <f>IF(COUNT('Turns'!E21,'Turns'!E22,'Turns'!E27)=3,SUM('Turns'!E21,'Turns'!E22,'Turns'!E27),"Unknown")</f>
        <v>7.51473908e-05</v>
      </c>
      <c r="F31" s="2">
        <f>IF(COUNT('Turns'!F21,'Turns'!F22,'Turns'!F27)=3,SUM('Turns'!F21,'Turns'!F22,'Turns'!F27),"Unknown")</f>
        <v>8.542e-05</v>
      </c>
      <c r="G31" s="5">
        <f>IF(ISNUMBER(E31),ROUND(E31*'Reference data'!$B$2,0),"Unknown")</f>
        <v>8.0</v>
      </c>
      <c r="H31" s="5">
        <f>IF(ISNUMBER(F31),ROUND(F31*'Reference data'!$B$2,0),"Unknown")</f>
        <v>9.0</v>
      </c>
      <c r="K31" s="4" t="s">
        <v>141</v>
      </c>
    </row>
  </sheetData>
  <conditionalFormatting sqref="A2:AE31">
    <cfRule type="expression" dxfId="0" priority="1">
      <formula>$K2="error"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73B70"/>
  </sheetPr>
  <dimension ref="A1:AE8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4" customHeight="1"/>
  <cols>
    <col min="1" max="1" width="48.7109375" customWidth="1"/>
    <col min="2" max="6" width="18.7109375" style="1" customWidth="1"/>
    <col min="7" max="7" width="62.7109375" customWidth="1"/>
    <col min="8" max="9" width="38.7109375" customWidth="1"/>
    <col min="10" max="31" width="18.7109375" style="1" customWidth="1"/>
  </cols>
  <sheetData>
    <row r="1" spans="1:31" ht="44" customHeight="1">
      <c r="A1" s="3" t="s">
        <v>13</v>
      </c>
      <c r="B1" s="3" t="s">
        <v>14</v>
      </c>
      <c r="C1" s="3" t="s">
        <v>15</v>
      </c>
      <c r="D1" s="3" t="s">
        <v>9</v>
      </c>
      <c r="E1" s="3" t="s">
        <v>10</v>
      </c>
      <c r="F1" s="3" t="s">
        <v>16</v>
      </c>
      <c r="G1" s="3" t="s">
        <v>17</v>
      </c>
      <c r="H1" s="3" t="s">
        <v>12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6</v>
      </c>
      <c r="AB1" s="3" t="s">
        <v>7</v>
      </c>
      <c r="AC1" s="3" t="s">
        <v>0</v>
      </c>
      <c r="AD1" s="3" t="s">
        <v>36</v>
      </c>
      <c r="AE1" s="3" t="s">
        <v>37</v>
      </c>
    </row>
    <row r="2" spans="1:31" ht="54" customHeight="1">
      <c r="A2" s="6" t="s">
        <v>153</v>
      </c>
      <c r="B2" s="1">
        <v>0</v>
      </c>
      <c r="C2" s="1" t="s">
        <v>154</v>
      </c>
      <c r="D2" s="1" t="s">
        <v>47</v>
      </c>
      <c r="E2" s="1" t="s">
        <v>141</v>
      </c>
      <c r="G2" s="6" t="s">
        <v>155</v>
      </c>
      <c r="H2" t="s">
        <v>49</v>
      </c>
      <c r="J2" s="2">
        <f>IF(COUNT('Turns'!D5,'Turns'!D22)=2,SUM('Turns'!D5,'Turns'!D22),"Unknown")</f>
        <v>841.0</v>
      </c>
      <c r="K2" s="2">
        <f>IF(COUNT('Turns'!E5,'Turns'!E22)=2,SUM('Turns'!E5,'Turns'!E22),"Unknown")</f>
        <v>0.000147972268</v>
      </c>
      <c r="L2" s="2">
        <f>IF(COUNT('Turns'!F5,'Turns'!F22)=2,SUM('Turns'!F5,'Turns'!F22),"Unknown")</f>
        <v>0.0001682</v>
      </c>
      <c r="M2" s="2">
        <f>IF(COUNT('Turns'!D21)=1,SUM('Turns'!D21),"Unknown")</f>
        <v>851.0</v>
      </c>
      <c r="N2" s="2">
        <f>IF(COUNT('Turns'!E21)=1,SUM('Turns'!E21),"Unknown")</f>
        <v>1.49731748e-05</v>
      </c>
      <c r="O2" s="2">
        <f>IF(COUNT('Turns'!F21)=1,SUM('Turns'!F21),"Unknown")</f>
        <v>1.702e-05</v>
      </c>
      <c r="P2" s="2">
        <v>0</v>
      </c>
      <c r="Q2" s="2">
        <v>0</v>
      </c>
      <c r="R2" s="2">
        <v>0</v>
      </c>
      <c r="S2" s="2">
        <f>IF(COUNT('Turns'!D12,'Turns'!D27)=2,SUM('Turns'!D12,'Turns'!D27),"Unknown")</f>
        <v>107.0</v>
      </c>
      <c r="T2" s="2">
        <f>IF(COUNT('Turns'!E12,'Turns'!E27)=2,SUM('Turns'!E12,'Turns'!E27),"Unknown")</f>
        <v>0.000112958616</v>
      </c>
      <c r="U2" s="2">
        <f>IF(COUNT('Turns'!F12,'Turns'!F27)=2,SUM('Turns'!F12,'Turns'!F27),"Unknown")</f>
        <v>0.0001284</v>
      </c>
      <c r="V2" s="2">
        <v>0</v>
      </c>
      <c r="W2" s="2">
        <v>0</v>
      </c>
      <c r="X2" s="2">
        <v>0</v>
      </c>
      <c r="Y2" s="2">
        <f>IF(COUNT('Turns'!E16,'Turns'!E31)=2,SUM('Turns'!E16,'Turns'!E31),"Unknown")</f>
        <v>0.0002759040588</v>
      </c>
      <c r="Z2" s="2">
        <f>IF(COUNT('Turns'!F16,'Turns'!F31)=2,SUM('Turns'!F16,'Turns'!F31),"Unknown")</f>
        <v>0.00031362</v>
      </c>
      <c r="AA2" s="5">
        <f>IF(ISNUMBER(Y2),ROUND(Y2*'Reference data'!$B$2,0),"Unknown")</f>
        <v>28.0</v>
      </c>
      <c r="AB2" s="5">
        <f>IF(ISNUMBER(Z2),ROUND(Z2*'Reference data'!$B$2,0),"Unknown")</f>
        <v>31.0</v>
      </c>
      <c r="AD2" s="1">
        <v>165.617</v>
      </c>
      <c r="AE2" s="1" t="s">
        <v>156</v>
      </c>
    </row>
    <row r="3" spans="1:31" ht="54" customHeight="1">
      <c r="A3" s="6" t="s">
        <v>157</v>
      </c>
      <c r="B3" s="1">
        <v>1</v>
      </c>
      <c r="C3" s="1" t="s">
        <v>154</v>
      </c>
      <c r="D3" s="1" t="s">
        <v>47</v>
      </c>
      <c r="E3" s="1" t="s">
        <v>141</v>
      </c>
      <c r="G3" s="6" t="s">
        <v>158</v>
      </c>
      <c r="H3" t="s">
        <v>159</v>
      </c>
      <c r="I3" t="s">
        <v>49</v>
      </c>
      <c r="J3" s="2">
        <f>IF(COUNT('Turns'!D5)=1,SUM('Turns'!D5),"Unknown")</f>
        <v>793.0</v>
      </c>
      <c r="K3" s="2">
        <f>IF(COUNT('Turns'!E5)=1,SUM('Turns'!E5),"Unknown")</f>
        <v>0.000139526764</v>
      </c>
      <c r="L3" s="2">
        <f>IF(COUNT('Turns'!F5)=1,SUM('Turns'!F5),"Unknown")</f>
        <v>0.0001586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f>IF(COUNT('Turns'!D12)=1,SUM('Turns'!D12),"Unknown")</f>
        <v>58.0</v>
      </c>
      <c r="T3" s="2">
        <f>IF(COUNT('Turns'!E12)=1,SUM('Turns'!E12),"Unknown")</f>
        <v>6.1229904e-05</v>
      </c>
      <c r="U3" s="2">
        <f>IF(COUNT('Turns'!F12)=1,SUM('Turns'!F12),"Unknown")</f>
        <v>6.96e-05</v>
      </c>
      <c r="V3" s="2">
        <v>0</v>
      </c>
      <c r="W3" s="2">
        <v>0</v>
      </c>
      <c r="X3" s="2">
        <v>0</v>
      </c>
      <c r="Y3" s="2">
        <f>IF(COUNT('Turns'!E16)=1,SUM('Turns'!E16),"Unknown")</f>
        <v>0.000200756668</v>
      </c>
      <c r="Z3" s="2">
        <f>IF(COUNT('Turns'!F16)=1,SUM('Turns'!F16),"Unknown")</f>
        <v>0.0002282</v>
      </c>
      <c r="AA3" s="5">
        <f>IF(ISNUMBER(Y3),ROUND(Y3*'Reference data'!$B$2,0),"Unknown")</f>
        <v>20.0</v>
      </c>
      <c r="AB3" s="5">
        <f>IF(ISNUMBER(Z3),ROUND(Z3*'Reference data'!$B$2,0),"Unknown")</f>
        <v>23.0</v>
      </c>
      <c r="AD3" s="1">
        <v>129.658</v>
      </c>
      <c r="AE3" s="1" t="s">
        <v>156</v>
      </c>
    </row>
    <row r="4" spans="1:31" ht="54" customHeight="1">
      <c r="A4" s="6" t="s">
        <v>160</v>
      </c>
      <c r="B4" s="1">
        <v>2</v>
      </c>
      <c r="C4" s="1" t="s">
        <v>161</v>
      </c>
      <c r="D4" s="1" t="s">
        <v>126</v>
      </c>
      <c r="E4" s="1" t="s">
        <v>141</v>
      </c>
      <c r="F4" s="1">
        <v>793</v>
      </c>
      <c r="G4" s="6" t="s">
        <v>162</v>
      </c>
      <c r="H4" t="s">
        <v>127</v>
      </c>
      <c r="I4" t="s">
        <v>159</v>
      </c>
      <c r="J4" s="2">
        <f>IF(COUNT('Turns'!D5)=1,SUM('Turns'!D5),"Unknown")</f>
        <v>793.0</v>
      </c>
      <c r="K4" s="2">
        <f>IF(COUNT('Turns'!E5)=1,SUM('Turns'!E5),"Unknown")</f>
        <v>0.000139526764</v>
      </c>
      <c r="L4" s="2">
        <f>IF(COUNT('Turns'!F5)=1,SUM('Turns'!F5),"Unknown")</f>
        <v>0.0001586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f>IF(COUNT('Turns'!D12)=1,SUM('Turns'!D12),"Unknown")</f>
        <v>58.0</v>
      </c>
      <c r="T4" s="2">
        <f>IF(COUNT('Turns'!E12)=1,SUM('Turns'!E12),"Unknown")</f>
        <v>6.1229904e-05</v>
      </c>
      <c r="U4" s="2">
        <f>IF(COUNT('Turns'!F12)=1,SUM('Turns'!F12),"Unknown")</f>
        <v>6.96e-05</v>
      </c>
      <c r="V4" s="2">
        <v>0</v>
      </c>
      <c r="W4" s="2">
        <v>0</v>
      </c>
      <c r="X4" s="2">
        <v>0</v>
      </c>
      <c r="Y4" s="2">
        <f>IF(COUNT('Turns'!E16)=1,SUM('Turns'!E16),"Unknown")</f>
        <v>0.000200756668</v>
      </c>
      <c r="Z4" s="2">
        <f>IF(COUNT('Turns'!F16)=1,SUM('Turns'!F16),"Unknown")</f>
        <v>0.0002282</v>
      </c>
      <c r="AA4" s="5">
        <f>IF(ISNUMBER(Y4),ROUND(Y4*'Reference data'!$B$2,0),"Unknown")</f>
        <v>20.0</v>
      </c>
      <c r="AB4" s="5">
        <f>IF(ISNUMBER(Z4),ROUND(Z4*'Reference data'!$B$2,0),"Unknown")</f>
        <v>23.0</v>
      </c>
      <c r="AC4" s="1" t="s">
        <v>124</v>
      </c>
      <c r="AD4" s="1">
        <v>126.794</v>
      </c>
      <c r="AE4" s="1" t="s">
        <v>163</v>
      </c>
    </row>
    <row r="5" spans="1:31" ht="54" customHeight="1">
      <c r="A5" s="6" t="s">
        <v>164</v>
      </c>
      <c r="B5" s="1">
        <v>1</v>
      </c>
      <c r="C5" s="1" t="s">
        <v>154</v>
      </c>
      <c r="D5" s="1" t="s">
        <v>47</v>
      </c>
      <c r="E5" s="1" t="s">
        <v>141</v>
      </c>
      <c r="G5" s="6" t="s">
        <v>165</v>
      </c>
      <c r="H5" t="s">
        <v>166</v>
      </c>
      <c r="I5" t="s">
        <v>49</v>
      </c>
      <c r="AD5" s="1">
        <v>29.222</v>
      </c>
      <c r="AE5" s="1" t="s">
        <v>167</v>
      </c>
    </row>
    <row r="6" spans="1:31" ht="54" customHeight="1">
      <c r="A6" s="6" t="s">
        <v>168</v>
      </c>
      <c r="B6" s="1">
        <v>2</v>
      </c>
      <c r="C6" s="1" t="s">
        <v>169</v>
      </c>
      <c r="D6" s="1" t="s">
        <v>47</v>
      </c>
      <c r="E6" s="1" t="s">
        <v>141</v>
      </c>
      <c r="G6" s="6" t="s">
        <v>170</v>
      </c>
      <c r="H6" t="s">
        <v>143</v>
      </c>
      <c r="I6" t="s">
        <v>166</v>
      </c>
      <c r="AD6" s="1">
        <v>27.393</v>
      </c>
      <c r="AE6" s="1" t="s">
        <v>167</v>
      </c>
    </row>
    <row r="7" spans="1:31" ht="54" customHeight="1">
      <c r="A7" s="6" t="s">
        <v>157</v>
      </c>
      <c r="B7" s="1">
        <v>1</v>
      </c>
      <c r="C7" s="1" t="s">
        <v>154</v>
      </c>
      <c r="D7" s="1" t="s">
        <v>47</v>
      </c>
      <c r="E7" s="1" t="s">
        <v>141</v>
      </c>
      <c r="G7" s="6" t="s">
        <v>158</v>
      </c>
      <c r="H7" t="s">
        <v>171</v>
      </c>
      <c r="I7" t="s">
        <v>49</v>
      </c>
      <c r="J7" s="2">
        <f>IF(COUNT('Turns'!D22)=1,SUM('Turns'!D22),"Unknown")</f>
        <v>48.0</v>
      </c>
      <c r="K7" s="2">
        <f>IF(COUNT('Turns'!E22)=1,SUM('Turns'!E22),"Unknown")</f>
        <v>8.445504e-06</v>
      </c>
      <c r="L7" s="2">
        <f>IF(COUNT('Turns'!F22)=1,SUM('Turns'!F22),"Unknown")</f>
        <v>9.6e-06</v>
      </c>
      <c r="M7" s="2">
        <f>IF(COUNT('Turns'!D21)=1,SUM('Turns'!D21),"Unknown")</f>
        <v>851.0</v>
      </c>
      <c r="N7" s="2">
        <f>IF(COUNT('Turns'!E21)=1,SUM('Turns'!E21),"Unknown")</f>
        <v>1.49731748e-05</v>
      </c>
      <c r="O7" s="2">
        <f>IF(COUNT('Turns'!F21)=1,SUM('Turns'!F21),"Unknown")</f>
        <v>1.702e-05</v>
      </c>
      <c r="P7" s="2">
        <v>0</v>
      </c>
      <c r="Q7" s="2">
        <v>0</v>
      </c>
      <c r="R7" s="2">
        <v>0</v>
      </c>
      <c r="S7" s="2">
        <f>IF(COUNT('Turns'!D27)=1,SUM('Turns'!D27),"Unknown")</f>
        <v>49.0</v>
      </c>
      <c r="T7" s="2">
        <f>IF(COUNT('Turns'!E27)=1,SUM('Turns'!E27),"Unknown")</f>
        <v>5.1728712e-05</v>
      </c>
      <c r="U7" s="2">
        <f>IF(COUNT('Turns'!F27)=1,SUM('Turns'!F27),"Unknown")</f>
        <v>5.88e-05</v>
      </c>
      <c r="V7" s="2">
        <v>0</v>
      </c>
      <c r="W7" s="2">
        <v>0</v>
      </c>
      <c r="X7" s="2">
        <v>0</v>
      </c>
      <c r="Y7" s="2">
        <f>IF(COUNT('Turns'!E31)=1,SUM('Turns'!E31),"Unknown")</f>
        <v>7.51473908e-05</v>
      </c>
      <c r="Z7" s="2">
        <f>IF(COUNT('Turns'!F31)=1,SUM('Turns'!F31),"Unknown")</f>
        <v>8.542e-05</v>
      </c>
      <c r="AA7" s="5">
        <f>IF(ISNUMBER(Y7),ROUND(Y7*'Reference data'!$B$2,0),"Unknown")</f>
        <v>8.0</v>
      </c>
      <c r="AB7" s="5">
        <f>IF(ISNUMBER(Z7),ROUND(Z7*'Reference data'!$B$2,0),"Unknown")</f>
        <v>9.0</v>
      </c>
      <c r="AD7" s="1">
        <v>3.17</v>
      </c>
      <c r="AE7" s="1" t="s">
        <v>156</v>
      </c>
    </row>
    <row r="8" spans="1:31" ht="54" customHeight="1">
      <c r="A8" s="6" t="s">
        <v>160</v>
      </c>
      <c r="B8" s="1">
        <v>2</v>
      </c>
      <c r="C8" s="1" t="s">
        <v>161</v>
      </c>
      <c r="D8" s="1" t="s">
        <v>126</v>
      </c>
      <c r="E8" s="1" t="s">
        <v>141</v>
      </c>
      <c r="F8" s="1">
        <v>899</v>
      </c>
      <c r="G8" s="6" t="s">
        <v>162</v>
      </c>
      <c r="H8" t="s">
        <v>149</v>
      </c>
      <c r="I8" t="s">
        <v>171</v>
      </c>
      <c r="J8" s="2">
        <f>IF(COUNT('Turns'!D22)=1,SUM('Turns'!D22),"Unknown")</f>
        <v>48.0</v>
      </c>
      <c r="K8" s="2">
        <f>IF(COUNT('Turns'!E22)=1,SUM('Turns'!E22),"Unknown")</f>
        <v>8.445504e-06</v>
      </c>
      <c r="L8" s="2">
        <f>IF(COUNT('Turns'!F22)=1,SUM('Turns'!F22),"Unknown")</f>
        <v>9.6e-06</v>
      </c>
      <c r="M8" s="2">
        <f>IF(COUNT('Turns'!D21)=1,SUM('Turns'!D21),"Unknown")</f>
        <v>851.0</v>
      </c>
      <c r="N8" s="2">
        <f>IF(COUNT('Turns'!E21)=1,SUM('Turns'!E21),"Unknown")</f>
        <v>1.49731748e-05</v>
      </c>
      <c r="O8" s="2">
        <f>IF(COUNT('Turns'!F21)=1,SUM('Turns'!F21),"Unknown")</f>
        <v>1.702e-05</v>
      </c>
      <c r="P8" s="2">
        <v>0</v>
      </c>
      <c r="Q8" s="2">
        <v>0</v>
      </c>
      <c r="R8" s="2">
        <v>0</v>
      </c>
      <c r="S8" s="2">
        <f>IF(COUNT('Turns'!D27)=1,SUM('Turns'!D27),"Unknown")</f>
        <v>49.0</v>
      </c>
      <c r="T8" s="2">
        <f>IF(COUNT('Turns'!E27)=1,SUM('Turns'!E27),"Unknown")</f>
        <v>5.1728712e-05</v>
      </c>
      <c r="U8" s="2">
        <f>IF(COUNT('Turns'!F27)=1,SUM('Turns'!F27),"Unknown")</f>
        <v>5.88e-05</v>
      </c>
      <c r="V8" s="2">
        <v>0</v>
      </c>
      <c r="W8" s="2">
        <v>0</v>
      </c>
      <c r="X8" s="2">
        <v>0</v>
      </c>
      <c r="Y8" s="2">
        <f>IF(COUNT('Turns'!E31)=1,SUM('Turns'!E31),"Unknown")</f>
        <v>7.51473908e-05</v>
      </c>
      <c r="Z8" s="2">
        <f>IF(COUNT('Turns'!F31)=1,SUM('Turns'!F31),"Unknown")</f>
        <v>8.542e-05</v>
      </c>
      <c r="AA8" s="5">
        <f>IF(ISNUMBER(Y8),ROUND(Y8*'Reference data'!$B$2,0),"Unknown")</f>
        <v>8.0</v>
      </c>
      <c r="AB8" s="5">
        <f>IF(ISNUMBER(Z8),ROUND(Z8*'Reference data'!$B$2,0),"Unknown")</f>
        <v>9.0</v>
      </c>
      <c r="AC8" s="1" t="s">
        <v>148</v>
      </c>
      <c r="AD8" s="1">
        <v>1.835</v>
      </c>
      <c r="AE8" s="1" t="s">
        <v>163</v>
      </c>
    </row>
  </sheetData>
  <conditionalFormatting sqref="A2:AE8">
    <cfRule type="expression" dxfId="0" priority="1">
      <formula>$E2="error"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73B70"/>
  </sheetPr>
  <dimension ref="A1:I4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4" customHeight="1"/>
  <cols>
    <col min="1" max="1" width="34.7109375" customWidth="1"/>
    <col min="2" max="2" width="52.7109375" customWidth="1"/>
    <col min="3" max="7" width="26.7109375" customWidth="1"/>
    <col min="8" max="8" width="65.7109375" customWidth="1"/>
    <col min="9" max="9" width="26.7109375" customWidth="1"/>
  </cols>
  <sheetData>
    <row r="1" spans="1:9" ht="44" customHeight="1">
      <c r="A1" s="3" t="s">
        <v>38</v>
      </c>
      <c r="B1" s="3" t="s">
        <v>39</v>
      </c>
      <c r="C1" s="3" t="s">
        <v>40</v>
      </c>
    </row>
    <row r="2" spans="1:9" ht="24" customHeight="1">
      <c r="A2" s="6" t="s">
        <v>41</v>
      </c>
      <c r="B2" s="7">
        <v>100000</v>
      </c>
      <c r="C2" s="6" t="s">
        <v>42</v>
      </c>
    </row>
    <row r="3" spans="1:9" ht="24" customHeight="1">
      <c r="A3" s="6" t="s">
        <v>43</v>
      </c>
      <c r="B3" s="2">
        <v>0.87974</v>
      </c>
      <c r="C3" s="6" t="s">
        <v>44</v>
      </c>
    </row>
    <row r="4" spans="1:9" ht="24" customHeight="1">
      <c r="A4" s="6" t="s">
        <v>45</v>
      </c>
      <c r="B4" s="6" t="s">
        <v>46</v>
      </c>
      <c r="C4" s="6" t="s">
        <v>47</v>
      </c>
    </row>
    <row r="5" spans="1:9" ht="24" customHeight="1">
      <c r="A5" s="6" t="s">
        <v>48</v>
      </c>
      <c r="B5" s="6" t="s">
        <v>49</v>
      </c>
      <c r="C5" s="6" t="s">
        <v>47</v>
      </c>
    </row>
    <row r="6" spans="1:9" ht="24" customHeight="1">
      <c r="A6" s="6" t="s">
        <v>50</v>
      </c>
      <c r="B6" s="6" t="s">
        <v>51</v>
      </c>
      <c r="C6" s="6" t="s">
        <v>47</v>
      </c>
    </row>
    <row r="7" spans="1:9" ht="24" customHeight="1">
      <c r="A7" s="6" t="s">
        <v>52</v>
      </c>
      <c r="B7" s="6" t="s">
        <v>53</v>
      </c>
      <c r="C7" s="6" t="s">
        <v>47</v>
      </c>
    </row>
    <row r="8" spans="1:9" ht="24" customHeight="1">
      <c r="A8" s="6" t="s">
        <v>54</v>
      </c>
      <c r="B8" s="6" t="s">
        <v>55</v>
      </c>
      <c r="C8" s="6" t="s">
        <v>56</v>
      </c>
    </row>
    <row r="9" spans="1:9" ht="24" customHeight="1">
      <c r="A9" s="6" t="s">
        <v>57</v>
      </c>
      <c r="B9" s="6" t="s">
        <v>58</v>
      </c>
      <c r="C9" s="6" t="s">
        <v>47</v>
      </c>
    </row>
    <row r="10" spans="1:9" ht="24" customHeight="1">
      <c r="A10" s="6" t="s">
        <v>59</v>
      </c>
      <c r="B10" s="6" t="s">
        <v>60</v>
      </c>
      <c r="C10" s="6" t="s">
        <v>47</v>
      </c>
    </row>
    <row r="11" spans="1:9" ht="24" customHeight="1">
      <c r="A11" s="6" t="s">
        <v>61</v>
      </c>
      <c r="B11" s="6" t="s">
        <v>62</v>
      </c>
      <c r="C11" s="6" t="s">
        <v>47</v>
      </c>
    </row>
    <row r="12" spans="1:9" ht="24" customHeight="1">
      <c r="A12" s="6" t="s">
        <v>63</v>
      </c>
      <c r="B12" s="6" t="s">
        <v>64</v>
      </c>
      <c r="C12" s="6" t="s">
        <v>47</v>
      </c>
    </row>
    <row r="13" spans="1:9" ht="24" customHeight="1">
      <c r="A13" s="6" t="s">
        <v>65</v>
      </c>
      <c r="B13" s="6" t="s">
        <v>66</v>
      </c>
      <c r="C13" s="6" t="s">
        <v>47</v>
      </c>
    </row>
    <row r="15" spans="1:9" ht="24" customHeight="1">
      <c r="A15" s="4" t="s">
        <v>67</v>
      </c>
      <c r="B15" s="4" t="s">
        <v>68</v>
      </c>
      <c r="C15" s="4" t="s">
        <v>69</v>
      </c>
      <c r="D15" s="4" t="s">
        <v>70</v>
      </c>
      <c r="E15" s="4" t="s">
        <v>71</v>
      </c>
      <c r="F15" s="4" t="s">
        <v>72</v>
      </c>
      <c r="G15" s="4" t="s">
        <v>73</v>
      </c>
      <c r="H15" s="4" t="s">
        <v>74</v>
      </c>
      <c r="I15" s="4" t="s">
        <v>75</v>
      </c>
    </row>
    <row r="16" spans="1:9" ht="72" customHeight="1">
      <c r="A16" s="6" t="s">
        <v>76</v>
      </c>
      <c r="B16" s="2">
        <v>5</v>
      </c>
      <c r="C16" s="2">
        <v>0.5</v>
      </c>
      <c r="D16" s="2" t="s">
        <v>77</v>
      </c>
      <c r="E16" s="2">
        <v>30</v>
      </c>
      <c r="F16" s="2">
        <v>30</v>
      </c>
      <c r="G16" s="6" t="s">
        <v>78</v>
      </c>
      <c r="H16" s="6" t="s">
        <v>79</v>
      </c>
      <c r="I16" s="6" t="s">
        <v>80</v>
      </c>
    </row>
    <row r="17" spans="1:9" ht="72" customHeight="1">
      <c r="A17" s="6" t="s">
        <v>81</v>
      </c>
      <c r="B17" s="2">
        <v>0.2</v>
      </c>
      <c r="C17" s="2">
        <v>0.02</v>
      </c>
      <c r="D17" s="2">
        <v>0.250</v>
      </c>
      <c r="E17" s="2">
        <v>1.2</v>
      </c>
      <c r="F17" s="2">
        <v>1.2</v>
      </c>
      <c r="G17" s="6" t="s">
        <v>78</v>
      </c>
      <c r="H17" s="6" t="s">
        <v>82</v>
      </c>
      <c r="I17" s="6" t="s">
        <v>80</v>
      </c>
    </row>
    <row r="18" spans="1:9" ht="72" customHeight="1">
      <c r="A18" s="6" t="s">
        <v>83</v>
      </c>
      <c r="B18" s="2">
        <v>4</v>
      </c>
      <c r="C18" s="2">
        <v>0.4</v>
      </c>
      <c r="D18" s="2">
        <v>5.00</v>
      </c>
      <c r="E18" s="2">
        <v>20</v>
      </c>
      <c r="F18" s="2">
        <v>20</v>
      </c>
      <c r="G18" s="6" t="s">
        <v>78</v>
      </c>
      <c r="H18" s="6" t="s">
        <v>84</v>
      </c>
      <c r="I18" s="6" t="s">
        <v>80</v>
      </c>
    </row>
    <row r="19" spans="1:9" ht="72" customHeight="1">
      <c r="A19" s="6" t="s">
        <v>85</v>
      </c>
      <c r="B19" s="2">
        <v>2</v>
      </c>
      <c r="C19" s="2">
        <v>0.20</v>
      </c>
      <c r="D19" s="2">
        <v>2.50</v>
      </c>
      <c r="E19" s="2">
        <v>10</v>
      </c>
      <c r="F19" s="2">
        <v>10</v>
      </c>
      <c r="G19" s="6" t="s">
        <v>78</v>
      </c>
      <c r="H19" s="6" t="s">
        <v>86</v>
      </c>
      <c r="I19" s="6" t="s">
        <v>80</v>
      </c>
    </row>
    <row r="20" spans="1:9" ht="72" customHeight="1">
      <c r="A20" s="6" t="s">
        <v>87</v>
      </c>
      <c r="B20" s="2">
        <v>5</v>
      </c>
      <c r="C20" s="2">
        <v>0.50</v>
      </c>
      <c r="D20" s="2">
        <v>6.25</v>
      </c>
      <c r="E20" s="2">
        <v>25</v>
      </c>
      <c r="F20" s="2">
        <v>25</v>
      </c>
      <c r="G20" s="6" t="s">
        <v>78</v>
      </c>
      <c r="H20" s="6" t="s">
        <v>86</v>
      </c>
      <c r="I20" s="6" t="s">
        <v>80</v>
      </c>
    </row>
    <row r="21" spans="1:9" ht="72" customHeight="1">
      <c r="A21" s="6" t="s">
        <v>88</v>
      </c>
      <c r="B21" s="2">
        <v>10</v>
      </c>
      <c r="C21" s="2">
        <v>0.25</v>
      </c>
      <c r="D21" s="2">
        <v>12.50</v>
      </c>
      <c r="E21" s="2">
        <v>50</v>
      </c>
      <c r="F21" s="2">
        <v>50</v>
      </c>
      <c r="G21" s="6" t="s">
        <v>78</v>
      </c>
      <c r="H21" s="6" t="s">
        <v>86</v>
      </c>
      <c r="I21" s="6" t="s">
        <v>80</v>
      </c>
    </row>
    <row r="22" spans="1:9" ht="72" customHeight="1">
      <c r="A22" s="6" t="s">
        <v>89</v>
      </c>
      <c r="B22" s="2">
        <v>0.2</v>
      </c>
      <c r="C22" s="2">
        <v>0.02</v>
      </c>
      <c r="D22" s="2">
        <v>0.250</v>
      </c>
      <c r="E22" s="2">
        <v>1.2</v>
      </c>
      <c r="F22" s="2">
        <v>1.2</v>
      </c>
      <c r="G22" s="6" t="s">
        <v>78</v>
      </c>
      <c r="H22" s="6" t="s">
        <v>90</v>
      </c>
      <c r="I22" s="6" t="s">
        <v>80</v>
      </c>
    </row>
    <row r="23" spans="1:9" ht="72" customHeight="1">
      <c r="A23" s="6" t="s">
        <v>91</v>
      </c>
      <c r="B23" s="2">
        <v>1</v>
      </c>
      <c r="C23" s="2">
        <v>0.10</v>
      </c>
      <c r="D23" s="2">
        <v>1.25</v>
      </c>
      <c r="E23" s="2">
        <v>5</v>
      </c>
      <c r="F23" s="2">
        <v>5</v>
      </c>
      <c r="G23" s="6" t="s">
        <v>78</v>
      </c>
      <c r="H23" s="6" t="s">
        <v>86</v>
      </c>
      <c r="I23" s="6" t="s">
        <v>80</v>
      </c>
    </row>
    <row r="24" spans="1:9" ht="72" customHeight="1">
      <c r="A24" s="6" t="s">
        <v>92</v>
      </c>
      <c r="B24" s="2">
        <v>1</v>
      </c>
      <c r="C24" s="2">
        <v>0.10</v>
      </c>
      <c r="D24" s="2">
        <v>1.25</v>
      </c>
      <c r="E24" s="2">
        <v>5</v>
      </c>
      <c r="F24" s="2">
        <v>5</v>
      </c>
      <c r="G24" s="6" t="s">
        <v>78</v>
      </c>
      <c r="H24" s="6" t="s">
        <v>86</v>
      </c>
      <c r="I24" s="6" t="s">
        <v>80</v>
      </c>
    </row>
    <row r="25" spans="1:9" ht="72" customHeight="1">
      <c r="A25" s="6" t="s">
        <v>93</v>
      </c>
      <c r="B25" s="2">
        <v>4</v>
      </c>
      <c r="C25" s="2">
        <v>0.20</v>
      </c>
      <c r="D25" s="2">
        <v>5</v>
      </c>
      <c r="E25" s="2">
        <v>20</v>
      </c>
      <c r="F25" s="2">
        <v>20</v>
      </c>
      <c r="G25" s="6" t="s">
        <v>78</v>
      </c>
      <c r="H25" s="6" t="s">
        <v>86</v>
      </c>
      <c r="I25" s="6" t="s">
        <v>80</v>
      </c>
    </row>
    <row r="26" spans="1:9" ht="72" customHeight="1">
      <c r="A26" s="6" t="s">
        <v>94</v>
      </c>
      <c r="B26" s="2">
        <v>3</v>
      </c>
      <c r="C26" s="2">
        <v>0.30</v>
      </c>
      <c r="D26" s="2">
        <v>3.75</v>
      </c>
      <c r="E26" s="2">
        <v>15</v>
      </c>
      <c r="F26" s="2">
        <v>15</v>
      </c>
      <c r="G26" s="6" t="s">
        <v>78</v>
      </c>
      <c r="H26" s="6" t="s">
        <v>86</v>
      </c>
      <c r="I26" s="6" t="s">
        <v>80</v>
      </c>
    </row>
    <row r="27" spans="1:9" ht="72" customHeight="1">
      <c r="A27" s="6" t="s">
        <v>95</v>
      </c>
      <c r="B27" s="2">
        <v>2</v>
      </c>
      <c r="C27" s="2">
        <v>0.20</v>
      </c>
      <c r="D27" s="2">
        <v>2.50</v>
      </c>
      <c r="E27" s="2">
        <v>10</v>
      </c>
      <c r="F27" s="2">
        <v>10</v>
      </c>
      <c r="G27" s="6" t="s">
        <v>78</v>
      </c>
      <c r="H27" s="6" t="s">
        <v>86</v>
      </c>
      <c r="I27" s="6" t="s">
        <v>80</v>
      </c>
    </row>
    <row r="28" spans="1:9" ht="72" customHeight="1">
      <c r="A28" s="6" t="s">
        <v>96</v>
      </c>
      <c r="B28" s="2">
        <v>1.00</v>
      </c>
      <c r="C28" s="2">
        <v>0.10</v>
      </c>
      <c r="D28" s="2">
        <v>1.25</v>
      </c>
      <c r="E28" s="2">
        <v>5.00</v>
      </c>
      <c r="F28" s="2">
        <v>5.00</v>
      </c>
      <c r="G28" s="6" t="s">
        <v>78</v>
      </c>
      <c r="H28" s="6" t="s">
        <v>97</v>
      </c>
      <c r="I28" s="6" t="s">
        <v>80</v>
      </c>
    </row>
    <row r="29" spans="1:9" ht="72" customHeight="1">
      <c r="A29" s="6" t="s">
        <v>98</v>
      </c>
      <c r="B29" s="2">
        <v>4.00</v>
      </c>
      <c r="C29" s="2">
        <v>0.20</v>
      </c>
      <c r="D29" s="2">
        <v>5.00</v>
      </c>
      <c r="E29" s="2">
        <v>20.00</v>
      </c>
      <c r="F29" s="2">
        <v>20.00</v>
      </c>
      <c r="G29" s="6" t="s">
        <v>78</v>
      </c>
      <c r="H29" s="6" t="s">
        <v>97</v>
      </c>
      <c r="I29" s="6" t="s">
        <v>80</v>
      </c>
    </row>
    <row r="30" spans="1:9" ht="72" customHeight="1">
      <c r="A30" s="6" t="s">
        <v>99</v>
      </c>
      <c r="B30" s="2">
        <v>3.00</v>
      </c>
      <c r="C30" s="2">
        <v>0.30</v>
      </c>
      <c r="D30" s="2">
        <v>3.75</v>
      </c>
      <c r="E30" s="2">
        <v>15.00</v>
      </c>
      <c r="F30" s="2">
        <v>15.00</v>
      </c>
      <c r="G30" s="6" t="s">
        <v>78</v>
      </c>
      <c r="H30" s="6" t="s">
        <v>97</v>
      </c>
      <c r="I30" s="6" t="s">
        <v>80</v>
      </c>
    </row>
    <row r="31" spans="1:9" ht="72" customHeight="1">
      <c r="A31" s="6" t="s">
        <v>100</v>
      </c>
      <c r="B31" s="2">
        <v>2.00</v>
      </c>
      <c r="C31" s="2">
        <v>0.20</v>
      </c>
      <c r="D31" s="2">
        <v>2.50</v>
      </c>
      <c r="E31" s="2">
        <v>10.00</v>
      </c>
      <c r="F31" s="2">
        <v>10.00</v>
      </c>
      <c r="G31" s="6" t="s">
        <v>78</v>
      </c>
      <c r="H31" s="6" t="s">
        <v>97</v>
      </c>
      <c r="I31" s="6" t="s">
        <v>80</v>
      </c>
    </row>
    <row r="32" spans="1:9" ht="72" customHeight="1">
      <c r="A32" s="6" t="s">
        <v>101</v>
      </c>
      <c r="B32" s="2">
        <v>0.75</v>
      </c>
      <c r="C32" s="2">
        <v>0.075</v>
      </c>
      <c r="D32" s="2" t="s">
        <v>77</v>
      </c>
      <c r="E32" s="2">
        <v>3.75</v>
      </c>
      <c r="F32" s="2">
        <v>3.75</v>
      </c>
      <c r="G32" s="6" t="s">
        <v>78</v>
      </c>
      <c r="H32" s="6" t="s">
        <v>97</v>
      </c>
      <c r="I32" s="6" t="s">
        <v>80</v>
      </c>
    </row>
    <row r="33" spans="1:9" ht="72" customHeight="1">
      <c r="A33" s="6" t="s">
        <v>102</v>
      </c>
      <c r="B33" s="2">
        <v>1.75</v>
      </c>
      <c r="C33" s="2">
        <v>0.175</v>
      </c>
      <c r="D33" s="2" t="s">
        <v>77</v>
      </c>
      <c r="E33" s="2">
        <v>14.00</v>
      </c>
      <c r="F33" s="2">
        <v>14.00</v>
      </c>
      <c r="G33" s="6" t="s">
        <v>78</v>
      </c>
      <c r="H33" s="6" t="s">
        <v>97</v>
      </c>
      <c r="I33" s="6" t="s">
        <v>80</v>
      </c>
    </row>
    <row r="34" spans="1:9" ht="72" customHeight="1">
      <c r="A34" s="6" t="s">
        <v>103</v>
      </c>
      <c r="B34" s="2">
        <v>2.50</v>
      </c>
      <c r="C34" s="2">
        <v>0.25</v>
      </c>
      <c r="D34" s="2" t="s">
        <v>77</v>
      </c>
      <c r="E34" s="2">
        <v>15.00</v>
      </c>
      <c r="F34" s="2">
        <v>15.00</v>
      </c>
      <c r="G34" s="6" t="s">
        <v>78</v>
      </c>
      <c r="H34" s="6" t="s">
        <v>97</v>
      </c>
      <c r="I34" s="6" t="s">
        <v>80</v>
      </c>
    </row>
    <row r="35" spans="1:9" ht="72" customHeight="1">
      <c r="A35" s="6" t="s">
        <v>104</v>
      </c>
      <c r="B35" s="2">
        <v>10.00</v>
      </c>
      <c r="C35" s="2">
        <v>1.00</v>
      </c>
      <c r="D35" s="2">
        <v>12.50</v>
      </c>
      <c r="E35" s="2">
        <v>50.00</v>
      </c>
      <c r="F35" s="2">
        <v>50.00</v>
      </c>
      <c r="G35" s="6" t="s">
        <v>78</v>
      </c>
      <c r="H35" s="6" t="s">
        <v>97</v>
      </c>
      <c r="I35" s="6" t="s">
        <v>80</v>
      </c>
    </row>
    <row r="36" spans="1:9" ht="72" customHeight="1">
      <c r="A36" s="6" t="s">
        <v>105</v>
      </c>
      <c r="B36" s="2">
        <v>0.10</v>
      </c>
      <c r="C36" s="2">
        <v>0.01</v>
      </c>
      <c r="D36" s="2">
        <v>0.125</v>
      </c>
      <c r="E36" s="2">
        <v>0.50</v>
      </c>
      <c r="F36" s="2">
        <v>0.50</v>
      </c>
      <c r="G36" s="6" t="s">
        <v>78</v>
      </c>
      <c r="H36" s="6" t="s">
        <v>97</v>
      </c>
      <c r="I36" s="6" t="s">
        <v>80</v>
      </c>
    </row>
    <row r="37" spans="1:9" ht="72" customHeight="1">
      <c r="A37" s="6" t="s">
        <v>106</v>
      </c>
      <c r="B37" s="2">
        <v>2.00</v>
      </c>
      <c r="C37" s="2">
        <v>0.20</v>
      </c>
      <c r="D37" s="2">
        <v>2.50</v>
      </c>
      <c r="E37" s="2">
        <v>10.00</v>
      </c>
      <c r="F37" s="2">
        <v>10.00</v>
      </c>
      <c r="G37" s="6" t="s">
        <v>78</v>
      </c>
      <c r="H37" s="6" t="s">
        <v>97</v>
      </c>
      <c r="I37" s="6" t="s">
        <v>80</v>
      </c>
    </row>
    <row r="38" spans="1:9" ht="72" customHeight="1">
      <c r="A38" s="6" t="s">
        <v>107</v>
      </c>
      <c r="B38" s="2">
        <v>2.00</v>
      </c>
      <c r="C38" s="2">
        <v>0.10</v>
      </c>
      <c r="D38" s="2">
        <v>2.50</v>
      </c>
      <c r="E38" s="2">
        <v>10.00</v>
      </c>
      <c r="F38" s="2">
        <v>10.00</v>
      </c>
      <c r="G38" s="6" t="s">
        <v>78</v>
      </c>
      <c r="H38" s="6" t="s">
        <v>97</v>
      </c>
      <c r="I38" s="6" t="s">
        <v>80</v>
      </c>
    </row>
    <row r="39" spans="1:9" ht="72" customHeight="1">
      <c r="A39" s="6" t="s">
        <v>108</v>
      </c>
      <c r="B39" s="2">
        <v>10</v>
      </c>
      <c r="C39" s="2">
        <v>1</v>
      </c>
      <c r="D39" s="2">
        <v>12.50</v>
      </c>
      <c r="E39" s="2">
        <v>50</v>
      </c>
      <c r="F39" s="2">
        <v>50</v>
      </c>
      <c r="G39" s="6" t="s">
        <v>78</v>
      </c>
      <c r="H39" s="6" t="s">
        <v>109</v>
      </c>
      <c r="I39" s="6" t="s">
        <v>80</v>
      </c>
    </row>
    <row r="40" spans="1:9" ht="72" customHeight="1">
      <c r="A40" s="6" t="s">
        <v>110</v>
      </c>
      <c r="B40" s="2">
        <v>0.1</v>
      </c>
      <c r="C40" s="2">
        <v>0.01</v>
      </c>
      <c r="D40" s="2">
        <v>0.125</v>
      </c>
      <c r="E40" s="2">
        <v>0.5</v>
      </c>
      <c r="F40" s="2">
        <v>0.5</v>
      </c>
      <c r="G40" s="6" t="s">
        <v>78</v>
      </c>
      <c r="H40" s="6" t="s">
        <v>111</v>
      </c>
      <c r="I40" s="6" t="s">
        <v>80</v>
      </c>
    </row>
    <row r="41" spans="1:9" ht="72" customHeight="1">
      <c r="A41" s="6" t="s">
        <v>112</v>
      </c>
      <c r="B41" s="2">
        <v>2</v>
      </c>
      <c r="C41" s="2">
        <v>0.2</v>
      </c>
      <c r="D41" s="2">
        <v>2.50</v>
      </c>
      <c r="E41" s="2">
        <v>10</v>
      </c>
      <c r="F41" s="2">
        <v>10</v>
      </c>
      <c r="G41" s="6" t="s">
        <v>78</v>
      </c>
      <c r="H41" s="6" t="s">
        <v>113</v>
      </c>
      <c r="I41" s="6" t="s">
        <v>80</v>
      </c>
    </row>
    <row r="42" spans="1:9" ht="72" customHeight="1">
      <c r="A42" s="6" t="s">
        <v>114</v>
      </c>
      <c r="B42" s="2">
        <v>2</v>
      </c>
      <c r="C42" s="2">
        <v>0.1</v>
      </c>
      <c r="D42" s="2">
        <v>2.50</v>
      </c>
      <c r="E42" s="2">
        <v>10</v>
      </c>
      <c r="F42" s="2">
        <v>10</v>
      </c>
      <c r="G42" s="6" t="s">
        <v>78</v>
      </c>
      <c r="H42" s="6" t="s">
        <v>115</v>
      </c>
      <c r="I42" s="6" t="s">
        <v>80</v>
      </c>
    </row>
    <row r="43" spans="1:9" ht="72" customHeight="1">
      <c r="A43" s="6" t="s">
        <v>116</v>
      </c>
      <c r="B43" s="2">
        <v>5.00</v>
      </c>
      <c r="C43" s="2">
        <v>0.50</v>
      </c>
      <c r="D43" s="2" t="s">
        <v>77</v>
      </c>
      <c r="E43" s="2">
        <v>22.50</v>
      </c>
      <c r="F43" s="2">
        <v>22.50</v>
      </c>
      <c r="G43" s="6" t="s">
        <v>78</v>
      </c>
      <c r="H43" s="6" t="s">
        <v>97</v>
      </c>
      <c r="I43" s="6" t="s">
        <v>117</v>
      </c>
    </row>
    <row r="44" spans="1:9" ht="72" customHeight="1">
      <c r="A44" s="6" t="s">
        <v>118</v>
      </c>
      <c r="B44" s="2">
        <v>20.00</v>
      </c>
      <c r="C44" s="2">
        <v>2.00</v>
      </c>
      <c r="D44" s="2">
        <v>25.00</v>
      </c>
      <c r="E44" s="2">
        <v>75.00</v>
      </c>
      <c r="F44" s="2">
        <v>75.00</v>
      </c>
      <c r="G44" s="6" t="s">
        <v>78</v>
      </c>
      <c r="H44" s="6" t="s">
        <v>97</v>
      </c>
      <c r="I44" s="6" t="s">
        <v>117</v>
      </c>
    </row>
    <row r="45" spans="1:9" ht="72" customHeight="1">
      <c r="A45" s="6" t="s">
        <v>119</v>
      </c>
      <c r="B45" s="2">
        <v>0.20</v>
      </c>
      <c r="C45" s="2">
        <v>0.02</v>
      </c>
      <c r="D45" s="2">
        <v>0.25</v>
      </c>
      <c r="E45" s="2">
        <v>0.75</v>
      </c>
      <c r="F45" s="2">
        <v>0.75</v>
      </c>
      <c r="G45" s="6" t="s">
        <v>78</v>
      </c>
      <c r="H45" s="6" t="s">
        <v>97</v>
      </c>
      <c r="I45" s="6" t="s">
        <v>117</v>
      </c>
    </row>
    <row r="46" spans="1:9" ht="72" customHeight="1">
      <c r="A46" s="6" t="s">
        <v>120</v>
      </c>
      <c r="B46" s="2">
        <v>4.00</v>
      </c>
      <c r="C46" s="2">
        <v>0.40</v>
      </c>
      <c r="D46" s="2">
        <v>5.00</v>
      </c>
      <c r="E46" s="2">
        <v>15.00</v>
      </c>
      <c r="F46" s="2">
        <v>15.00</v>
      </c>
      <c r="G46" s="6" t="s">
        <v>78</v>
      </c>
      <c r="H46" s="6" t="s">
        <v>97</v>
      </c>
      <c r="I46" s="6" t="s">
        <v>117</v>
      </c>
    </row>
    <row r="47" spans="1:9" ht="72" customHeight="1">
      <c r="A47" s="6" t="s">
        <v>121</v>
      </c>
      <c r="B47" s="2">
        <v>4.00</v>
      </c>
      <c r="C47" s="2">
        <v>0.20</v>
      </c>
      <c r="D47" s="2">
        <v>5.00</v>
      </c>
      <c r="E47" s="2">
        <v>15.00</v>
      </c>
      <c r="F47" s="2">
        <v>15.00</v>
      </c>
      <c r="G47" s="6" t="s">
        <v>78</v>
      </c>
      <c r="H47" s="6" t="s">
        <v>97</v>
      </c>
      <c r="I47" s="6" t="s">
        <v>117</v>
      </c>
    </row>
  </sheetData>
  <dataValidations count="1">
    <dataValidation type="whole" operator="greaterThanOrEqual" allowBlank="1" showInputMessage="1" showErrorMessage="1" sqref="B2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Turns</vt:lpstr>
      <vt:lpstr>Execution tree</vt:lpstr>
      <vt:lpstr>Reference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2026-10-07T02:44:34Z</dcterms:created>
  <dcterms:modified xsi:type="dcterms:W3CDTF">2026-10-07T02:44:34Z</dcterms:modified>
</cp:coreProperties>
</file>
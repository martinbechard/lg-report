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<sst xmlns="http://schemas.openxmlformats.org/spreadsheetml/2006/main" count="391" uniqueCount="170">
  <si>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</si>
  <si>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</si>
  <si>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</si>
  <si>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</si>
  <si>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</si>
  <si>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</si>
  <si>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</si>
  <si>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</si>
  <si>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</si>
  <si>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</si>
  <si>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</si>
  <si>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</si>
  <si>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</si>
  <si>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</si>
  <si>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</si>
  <si>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</si>
  <si>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</si>
  <si>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</si>
  <si>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</si>
  <si>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</si>
  <si>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</si>
  <si>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</si>
  <si>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</si>
  <si>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</si>
  <si>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</si>
  <si>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</si>
  <si>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</si>
  <si>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</si>
  <si>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</si>
  <si>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</si>
  <si>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</si>
  <si>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</si>
  <si>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</si>
  <si>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</si>
  <si>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</si>
  <si>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</si>
  <si>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</si>
  <si>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</si>
  <si>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</si>
  <si>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</si>
  <si>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</si>
  <si>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</si>
  <si>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</si>
  <si>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</si>
  <si>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</si>
  <si>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</si>
  <si>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</si>
  <si>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</si>
  <si>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</si>
  <si>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01a0d142-b71b-72b0-beb4-02a590022f96</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</si>
  <si>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</si>
  <si>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</si>
  <si>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</si>
  <si>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</si>
  <si>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</si>
  <si>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</si>
  <si>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</si>
  <si>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</si>
  <si>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</si>
  <si>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</si>
  <si>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</si>
  <si>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</si>
  <si>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</si>
  <si>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</si>
  <si>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</si>
  <si>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</si>
  <si>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</si>
  <si>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</si>
  <si>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</si>
  <si>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</si>
  <si>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</si>
  <si>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</si>
  <si>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</si>
  <si>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</si>
  <si>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</si>
  <si>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</si>
  <si>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</si>
  <si>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</si>
  <si>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</si>
  <si>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</si>
  <si>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</si>
  <si>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</si>
  <si>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</si>
  <si>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</si>
  <si>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</si>
  <si>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</si>
  <si>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</si>
  <si>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</si>
  <si>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</si>
  <si>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</si>
  <si>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</si>
  <si>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</si>
  <si>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</si>
  <si>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</si>
  <si>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</si>
  <si>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</si>
  <si>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01a0d142-b724-75f2-acca-1970e25f6cbe</t>
  </si>
  <si>
    <t>Conversation history · cache read</t>
  </si>
  <si>
    <t>Input at standard rate</t>
  </si>
  <si>
    <t xml:space="preserve">    Tool definitions</t>
  </si>
  <si>
    <t xml:space="preserve">    System prompt</t>
  </si>
  <si>
    <t>Delegate echoing the supplied text to isolated-subagent using task. Provide a self-contained assignment. After its summary returns, answer the user concisely. The specialist uses an echo tool, which supplies no independent factual evidence.</t>
  </si>
  <si>
    <t xml:space="preserve">    User prompt</t>
  </si>
  <si>
    <t>Have the specialist echo ReAct and explain how its tool result returns to the parent.</t>
  </si>
  <si>
    <t>Cache write</t>
  </si>
  <si>
    <t>Context · added / total</t>
  </si>
  <si>
    <t>LLM response</t>
  </si>
  <si>
    <t>Reasoning</t>
  </si>
  <si>
    <t>Output</t>
  </si>
  <si>
    <t xml:space="preserve">    Output content</t>
  </si>
  <si>
    <t>[{"id": "rs_0b0f4e337a0b72c1006ab48bf66d3087d2a421e4e726bcd8a1", "summary": [], "type": "reasoning", "content": [], "index": 0, "encrypted_content": "gAAAAABqtIv25sVZByrJ-Z1P3JBd7ZG5d1EHcxU3cLqgJw2OVwVz_sUvMzXuQ54Dlf-Nc-CybCYivsJQqwSSYNWu3ZtF44YybnYXCP1yhXm-svXO7QBMsCEEr3biaYnqFPKgUs0INILl4s0GnN2lJUPcbAuJs8UTsk11mOFO3pDQZomzHkSCS4QA_JHH0pVVo291NidvDtwlGFO-lzVVRuhKWx1coEbG40eXiEYDmwO2sfDFuLloTLp_22eRk_YoWfPXc2Rq9GqREs79lLzUTpD3W2sWFTIP4HESBXY9BXj3q1b1RrXibmWe4VeuIGpfKKPcsL4vG2TsMUpUiTbi8o_K8t6kvvj2F8fDlUb63hg65NrNOuD7UTw7JIIKbzCM7uUS5e5Mv18ggZr7dgsvJZEtyyHjzohecCOdxOdUVECQKAnXIh1wlkJpsEkQ5XIm1xRKA_vY40U5NKSD2TCJx2RgS18-REeW35C5rsAtY4EJosEq59A0NbC8eaBZmuiJ-HSYZQWBzzBt-a7fNfOS6ZcLzfl9vY5O6qHg-knEQG1DFjfhRLfqx2s1ToNci2MeLmA-uSkcDNBrot0EYsZe_vRnGouaA63AT-3mHe8txI-mHlcfoki-hjr6O3s16BCkkNSVp7xZNhFouAUabriJS5wbhLgT-jMOU9pMYp7TbO3vTwz7KDSLjKRwU8PKFuAaDg-KFNNFAF6AS3793pV571CUG1zpV4DqWKQW7mjgENRNx08XKSqeJVCx_KYvvSSbw_Y6Bu89PLOdCLzLbCFSwQy14OfYmO9jtHwVjgU1GPAsVIUf24VtfCylS4TsX4ek7_bXyUAyLrFuqdwQD16o2QPBj5fJnMXv1ia47V2UqxPyV_LC_d5yjub2-n4NWTTlZ5zc5n9nD1fphDLDax3-PL_culI0z-8J90sCiccxK2N-PHlldf_c3YB3dkD-K-3DWrpmigW_jPxGxvLDn-CcAaJsshixbyYyB3FuTm8Avq_mG4qQFbkc9gy8RehGlVR5RiaWwCqESQZNoS51gBnpxL2ku194_eRtngi2v2ACyD3vs8F5SLyAgPIbKbcWTXoc90MnZ2j2Wt7YchL3yPbvtGMWyjjbqnNRkcMQTf78EWmOn1L2BHWUA7Td1b2zqHqCODJyRQORWx7M-K63sxD4rNJCUjk_lf1XvNOL11sBskrcpWsT55UijHjuwsXhPzjESsLLPYPEogMjKBBb_tHGGW885kJ17rcp4kqfW4G31XGx6Ra2UcvU8lChMdrQbGv09XhTvmkDOkCjeFOgnEqeYwp6Ti-h2jPXnl2AbPIFd4TfiIU3uFBHHrpl6rmYRrLid_RpEG5senAewTYoahEN11gOQnfW4Q-V4Q=="}, {"type": "function_call", "name": "task", "arguments": "{\"description\":\"Use your echo tool to echo exactly the supplied text: \u201cReAct\u201d. Then report back that the echoed result is returned to the parent agent as your task result/summary, where the parent can use it in its response. Do not add factual claims beyond this process description.\" ,\"subagent_type\":\"isolated-subagent\"}", "call_id": "call_2F51dvYjDannP4m8M1mgKlqk", "id": "fc_0b0f4e337a0b72c1006ab48bf6b2c087d290baa7c279eb01e3", "index": 1}]
{"name": "task", "args": {"description": "Use your echo tool to echo exactly the supplied text: \u201cReAct\u201d. Then report back that the echoed result is returned to the parent agent as your task result/summary, where the parent can use it in its response. Do not add factual claims beyond this process description.", "subagent_type": "isolated-subagent"}, "id": "call_2F51dvYjDannP4m8M1mgKlqk", "type": "tool_call"}</t>
  </si>
  <si>
    <t>Call total</t>
  </si>
  <si>
    <t>ok</t>
  </si>
  <si>
    <t>Tool · task</t>
  </si>
  <si>
    <t>01a0d142-bf27-7823-ad57-670a30c3a8f1</t>
  </si>
  <si>
    <t xml:space="preserve">    Arguments</t>
  </si>
  <si>
    <t>{'description': 'Use your echo tool to echo exactly the supplied text: “ReAct”. Then report back that the echoed result is returned to the parent agent as your task result/summary, where the parent can use it in its response. Do not add factual claims beyond this process description.', 'subagent_type': 'isolated-subagent'}</t>
  </si>
  <si>
    <t xml:space="preserve">    Result</t>
  </si>
  <si>
    <t>Command(update={'files': {}, 'messages': [ToolMessage(content='The echoed result is returned to the parent agent as the task result/summary: “ReAct”.', tool_call_id='call_2F51dvYjDannP4m8M1mgKlqk')]})</t>
  </si>
  <si>
    <t>R2</t>
  </si>
  <si>
    <t>01a0d142-bf30-7c72-93e6-527e44423b76</t>
  </si>
  <si>
    <t>You are a workflow teaching specialist. Call echo_tool with the assigned text, then summarize the returned echo for the parent. The echo repeats supplied input and provides no independent factual evidence. Do not delegate further.</t>
  </si>
  <si>
    <t>[{"type": "function_call", "name": "echo_tool", "arguments": "{\"text\":\"ReAct\"}", "call_id": "call_ZtmMfMRzgGQF48ppM5b3oeJj", "id": "fc_0c8eb20f1d11b30a006ab48bf8786087d29be9c77d997d91a8", "index": 0}]
{"name": "echo_tool", "args": {"text": "ReAct"}, "id": "call_ZtmMfMRzgGQF48ppM5b3oeJj", "type": "tool_call"}</t>
  </si>
  <si>
    <t>Tool · echo_tool</t>
  </si>
  <si>
    <t>01a0d142-c402-7003-97f2-f06a70c12f41</t>
  </si>
  <si>
    <t>{'text': 'ReAct'}</t>
  </si>
  <si>
    <t>Your input was: ReAct</t>
  </si>
  <si>
    <t>R3</t>
  </si>
  <si>
    <t>01a0d142-c40c-7212-be6f-e0524469d562</t>
  </si>
  <si>
    <t xml:space="preserve">    Tool result</t>
  </si>
  <si>
    <t>[{"type": "text", "text": "The echoed result is returned to the parent agent as the task result/summary: \u201cReAct\u201d.", "phase": "final_answer", "index": 0, "id": "msg_0c8eb20f1d11b30a006ab48bf98f9087d286f37b9d43a2992a"}]</t>
  </si>
  <si>
    <t>R4</t>
  </si>
  <si>
    <t>01a0d142-c812-7833-9af0-84a4704eb738</t>
  </si>
  <si>
    <t>The echoed result is returned to the parent agent as the task result/summary: “ReAct”.</t>
  </si>
  <si>
    <t>[{"type": "text", "text": "The specialist echoed: **\u201cReAct\u201d**.\n\nIts tool result is returned to the parent through the specialist\u2019s task summary, which the parent can then incorporate into its response.", "phase": "final_answer", "index": 0, "id": "msg_0b0f4e337a0b72c1006ab48bfa80d087d2b1859aa25c26069c"}]</t>
  </si>
  <si>
    <t>delegating_parent</t>
  </si>
  <si>
    <t>workflow</t>
  </si>
  <si>
    <t>Execute the delegating_parent workflow operation and pass its result to the next graph step.</t>
  </si>
  <si>
    <t>Subtree total</t>
  </si>
  <si>
    <t xml:space="preserve">    PatchToolCallsMiddleware.before_agent</t>
  </si>
  <si>
    <t>Check message history and repair missing tool responses before the agent starts.</t>
  </si>
  <si>
    <t>01a0d142-b71e-7ab0-b926-2b8b25bf1742</t>
  </si>
  <si>
    <t>No model charge</t>
  </si>
  <si>
    <t xml:space="preserve">    model</t>
  </si>
  <si>
    <t>Prepare the current conversation, run model middleware, and invoke the chat model.</t>
  </si>
  <si>
    <t>01a0d142-b71f-70e2-9e32-05658451738d</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</si>
  <si>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</si>
  <si>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</si>
  <si>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</si>
  <si>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</si>
  <si>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</si>
  <si>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</si>
  <si>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01a0d142-bf26-7741-b420-f46b9e717e95</t>
  </si>
  <si>
    <t xml:space="preserve">        task</t>
  </si>
  <si>
    <t>tool</t>
  </si>
  <si>
    <t>Launch an ephemeral subagent to handle a complex, multi-step task.
Available agent types and the tools they have access to:
- general-purpose: General-purpose agent for researching complex questions, searching for files and content, and executing multi-step tasks. When you are searching for a keyword or file and are not confident that you will find the right match in the first few tries use this agent to perform the search for you. This agent has access to all tools as the main agent.
- isolated-subagent: Echoes assigned text with a local tool and summarizes its result.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t>
  </si>
  <si>
    <t xml:space="preserve">            isolated-subagent</t>
  </si>
  <si>
    <t>Execute the isolated-subagent workflow operation and pass its result to the next graph step.</t>
  </si>
  <si>
    <t>01a0d142-bf28-7271-86b3-1e331d71c795</t>
  </si>
  <si>
    <t xml:space="preserve">                PatchToolCallsMiddleware.before_agent</t>
  </si>
  <si>
    <t>01a0d142-bf29-7461-be33-f6953eb29004</t>
  </si>
  <si>
    <t xml:space="preserve">                model</t>
  </si>
  <si>
    <t>01a0d142-bf2b-7952-b975-77f2aa546f40</t>
  </si>
  <si>
    <t xml:space="preserve">                    ChatOpenAI</t>
  </si>
  <si>
    <t xml:space="preserve">                tools</t>
  </si>
  <si>
    <t>01a0d142-c401-78f3-8dda-1148024ee64f</t>
  </si>
  <si>
    <t xml:space="preserve">                    echo_tool</t>
  </si>
  <si>
    <t>Return the provided text prefixed with "Your input was: ".</t>
  </si>
  <si>
    <t>01a0d142-c406-72a1-8af6-1a63f774d36b</t>
  </si>
  <si>
    <t>01a0d142-c80c-7be0-bd88-a2523a23fd5b</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</si>
</sst>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1"/>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IF(COUNT('Turns'!E18,'Turns'!E34,'Turns'!E49,'Turns'!E61)=4,SUM('Turns'!E18,'Turns'!E34,'Turns'!E49,'Turns'!E61),"Unknown")</f>
        <v>0.0003896690275</v>
      </c>
      <c r="F2" s="2">
        <f>IF(COUNT('Turns'!F18,'Turns'!F34,'Turns'!F49,'Turns'!F61)=4,SUM('Turns'!F18,'Turns'!F34,'Turns'!F49,'Turns'!F61),"Unknown")</f>
        <v>0.00044465</v>
      </c>
      <c r="G2" s="5">
        <f>IF(ISNUMBER(E2),ROUND(E2*'Reference data'!$B$2,0),"Unknown")</f>
        <v>39.0</v>
      </c>
      <c r="H2" s="5">
        <f>IF(ISNUMBER(F2),ROUND(F2*'Reference data'!$B$2,0),"Unknown")</f>
        <v>44.0</v>
      </c>
    </row>
    <row r="3" spans="1:13" s="4" customFormat="1" ht="24" customHeight="1">
      <c r="B3" s="4">
        <v>1</v>
      </c>
      <c r="C3" s="4" t="s">
        <v>92</v>
      </c>
      <c r="E3" s="2">
        <f>IF(COUNT('Turns'!E18,'Turns'!E34,'Turns'!E49,'Turns'!E61)=4,SUM('Turns'!E18,'Turns'!E34,'Turns'!E49,'Turns'!E61),"Unknown")</f>
        <v>0.0003896690275</v>
      </c>
      <c r="F3" s="2">
        <f>IF(COUNT('Turns'!F18,'Turns'!F34,'Turns'!F49,'Turns'!F61)=4,SUM('Turns'!F18,'Turns'!F34,'Turns'!F49,'Turns'!F61),"Unknown")</f>
        <v>0.00044465</v>
      </c>
      <c r="G3" s="5">
        <f>IF(ISNUMBER(E3),ROUND(E3*'Reference data'!$B$2,0),"Unknown")</f>
        <v>39.0</v>
      </c>
      <c r="H3" s="5">
        <f>IF(ISNUMBER(F3),ROUND(F3*'Reference data'!$B$2,0),"Unknown")</f>
        <v>44.0</v>
      </c>
    </row>
    <row r="4" spans="1:13" s="4" customFormat="1" ht="24" customHeight="1">
      <c r="A4" s="4" t="s">
        <v>93</v>
      </c>
      <c r="B4" s="4">
        <v>1</v>
      </c>
      <c r="C4" s="4" t="s">
        <v>94</v>
      </c>
      <c r="D4" s="4">
        <v>2049</v>
      </c>
      <c r="J4" s="4" t="s">
        <v>95</v>
      </c>
      <c r="M4" s="4" t="s">
        <v>96</v>
      </c>
    </row>
    <row r="5" spans="1:13" ht="24" customHeight="1">
      <c r="A5" t="s">
        <v>93</v>
      </c>
      <c r="B5">
        <v>1</v>
      </c>
      <c r="C5" t="s">
        <v>97</v>
      </c>
      <c r="D5" s="5">
        <v>2046</v>
      </c>
      <c r="E5" s="2">
        <f>IF(AND(ISNUMBER(F5),ISNUMBER('Reference data'!$B$3)),F5*'Reference data'!$B$3,"Unknown")</f>
        <v>3.5860242e-05</v>
      </c>
      <c r="F5" s="2">
        <f>IF(D5=0,0,IF(ISNUMBER('Reference data'!C17),D5*'Reference data'!C17/1000000,"Unknown"))</f>
        <v>4.092e-05</v>
      </c>
      <c r="G5" s="5">
        <f>IF(ISNUMBER(E5),ROUND(E5*'Reference data'!$B$2,0),"Unknown")</f>
        <v>4.0</v>
      </c>
      <c r="H5" s="5">
        <f>IF(ISNUMBER(F5),ROUND(F5*'Reference data'!$B$2,0),"Unknown")</f>
        <v>4.0</v>
      </c>
    </row>
    <row r="6" spans="1:13" ht="24" customHeight="1">
      <c r="A6" t="s">
        <v>93</v>
      </c>
      <c r="B6">
        <v>1</v>
      </c>
      <c r="C6" t="s">
        <v>98</v>
      </c>
      <c r="D6" s="5">
        <v>3</v>
      </c>
      <c r="E6" s="2">
        <f>IF(AND(ISNUMBER(F6),ISNUMBER('Reference data'!$B$3)),F6*'Reference data'!$B$3,"Unknown")</f>
        <v>5.2581e-07</v>
      </c>
      <c r="F6" s="2">
        <f>IF(D6=0,0,IF(ISNUMBER('Reference data'!B17),D6*'Reference data'!B17/1000000,"Unknown"))</f>
        <v>6e-07</v>
      </c>
      <c r="G6" s="5">
        <f>IF(ISNUMBER(E6),ROUND(E6*'Reference data'!$B$2,0),"Unknown")</f>
        <v>0.0</v>
      </c>
      <c r="H6" s="5">
        <f>IF(ISNUMBER(F6),ROUND(F6*'Reference data'!$B$2,0),"Unknown")</f>
        <v>0.0</v>
      </c>
    </row>
    <row r="7" spans="1:13" ht="24" customHeight="1">
      <c r="A7" t="s">
        <v>93</v>
      </c>
      <c r="B7">
        <v>1</v>
      </c>
      <c r="C7" t="s">
        <v>99</v>
      </c>
    </row>
    <row r="8" spans="1:13" ht="47" customHeight="1">
      <c r="A8" t="s">
        <v>93</v>
      </c>
      <c r="B8">
        <v>1</v>
      </c>
      <c r="C8" t="s">
        <v>100</v>
      </c>
      <c r="I8" s="6" t="s">
        <v>101</v>
      </c>
    </row>
    <row r="9" spans="1:13" ht="24" customHeight="1">
      <c r="A9" t="s">
        <v>93</v>
      </c>
      <c r="B9">
        <v>1</v>
      </c>
      <c r="C9" t="s">
        <v>102</v>
      </c>
      <c r="I9" s="6" t="s">
        <v>103</v>
      </c>
    </row>
    <row r="10" spans="1:13" ht="24" customHeight="1">
      <c r="A10" t="s">
        <v>93</v>
      </c>
      <c r="B10">
        <v>1</v>
      </c>
      <c r="C10" t="s">
        <v>104</v>
      </c>
    </row>
    <row r="11" spans="1:13" ht="24" customHeight="1">
      <c r="A11" t="s">
        <v>93</v>
      </c>
      <c r="B11">
        <v>1</v>
      </c>
      <c r="C11" t="s">
        <v>105</v>
      </c>
    </row>
    <row r="12" spans="1:13" s="4" customFormat="1" ht="24" customHeight="1">
      <c r="A12" s="4" t="s">
        <v>93</v>
      </c>
      <c r="B12" s="4">
        <v>1</v>
      </c>
      <c r="C12" s="4" t="s">
        <v>106</v>
      </c>
      <c r="D12" s="4">
        <v>111</v>
      </c>
    </row>
    <row r="13" spans="1:13" ht="24" customHeight="1">
      <c r="A13" t="s">
        <v>93</v>
      </c>
      <c r="B13">
        <v>1</v>
      </c>
      <c r="C13" t="s">
        <v>107</v>
      </c>
      <c r="D13" s="5">
        <v>29</v>
      </c>
      <c r="E13" s="2">
        <f>IF(AND(ISNUMBER(F13),ISNUMBER('Reference data'!$B$3)),F13*'Reference data'!$B$3,"Unknown")</f>
        <v>3.049698e-05</v>
      </c>
      <c r="F13" s="2">
        <f>IF(D13=0,0,IF(ISNUMBER('Reference data'!F17),D13*'Reference data'!F17/1000000,"Unknown"))</f>
        <v>3.48e-05</v>
      </c>
      <c r="G13" s="5">
        <f>IF(ISNUMBER(E13),ROUND(E13*'Reference data'!$B$2,0),"Unknown")</f>
        <v>3.0</v>
      </c>
      <c r="H13" s="5">
        <f>IF(ISNUMBER(F13),ROUND(F13*'Reference data'!$B$2,0),"Unknown")</f>
        <v>3.0</v>
      </c>
    </row>
    <row r="14" spans="1:13" ht="24" customHeight="1">
      <c r="A14" t="s">
        <v>93</v>
      </c>
      <c r="B14">
        <v>1</v>
      </c>
      <c r="C14" t="s">
        <v>108</v>
      </c>
      <c r="D14" s="5">
        <v>82</v>
      </c>
      <c r="E14" s="2">
        <f>IF(AND(ISNUMBER(F14),ISNUMBER('Reference data'!$B$3)),F14*'Reference data'!$B$3,"Unknown")</f>
        <v>8.623284e-05</v>
      </c>
      <c r="F14" s="2">
        <f>IF(D14=0,0,IF(ISNUMBER('Reference data'!E17),D14*'Reference data'!E17/1000000,"Unknown"))</f>
        <v>9.84e-05</v>
      </c>
      <c r="G14" s="5">
        <f>IF(ISNUMBER(E14),ROUND(E14*'Reference data'!$B$2,0),"Unknown")</f>
        <v>9.0</v>
      </c>
      <c r="H14" s="5">
        <f>IF(ISNUMBER(F14),ROUND(F14*'Reference data'!$B$2,0),"Unknown")</f>
        <v>10.0</v>
      </c>
    </row>
    <row r="15" spans="1:13" ht="385" customHeight="1">
      <c r="A15" t="s">
        <v>93</v>
      </c>
      <c r="B15">
        <v>1</v>
      </c>
      <c r="C15" t="s">
        <v>109</v>
      </c>
      <c r="I15" s="6" t="s">
        <v>110</v>
      </c>
    </row>
    <row r="16" spans="1:13" ht="24" customHeight="1">
      <c r="A16" t="s">
        <v>93</v>
      </c>
      <c r="B16">
        <v>1</v>
      </c>
      <c r="C16" t="s">
        <v>104</v>
      </c>
    </row>
    <row r="17" spans="1:13" ht="24" customHeight="1">
      <c r="A17" t="s">
        <v>93</v>
      </c>
      <c r="B17">
        <v>1</v>
      </c>
      <c r="C17" t="s">
        <v>105</v>
      </c>
    </row>
    <row r="18" spans="1:13" s="4" customFormat="1" ht="24" customHeight="1">
      <c r="A18" s="4" t="s">
        <v>93</v>
      </c>
      <c r="B18" s="4">
        <v>1</v>
      </c>
      <c r="C18" s="4" t="s">
        <v>111</v>
      </c>
      <c r="E18" s="2">
        <f>IF(COUNT('Turns'!E5,'Turns'!E6,'Turns'!E13,'Turns'!E14)=4,SUM('Turns'!E5,'Turns'!E6,'Turns'!E13,'Turns'!E14),"Unknown")</f>
        <v>0.000153115872</v>
      </c>
      <c r="F18" s="2">
        <f>IF(COUNT('Turns'!F5,'Turns'!F6,'Turns'!F13,'Turns'!F14)=4,SUM('Turns'!F5,'Turns'!F6,'Turns'!F13,'Turns'!F14),"Unknown")</f>
        <v>0.00017472</v>
      </c>
      <c r="G18" s="5">
        <f>IF(ISNUMBER(E18),ROUND(E18*'Reference data'!$B$2,0),"Unknown")</f>
        <v>15.0</v>
      </c>
      <c r="H18" s="5">
        <f>IF(ISNUMBER(F18),ROUND(F18*'Reference data'!$B$2,0),"Unknown")</f>
        <v>17.0</v>
      </c>
      <c r="K18" s="4" t="s">
        <v>112</v>
      </c>
    </row>
    <row r="19" spans="1:13" s="4" customFormat="1" ht="24" customHeight="1">
      <c r="B19" s="4">
        <v>1</v>
      </c>
      <c r="C19" s="4" t="s">
        <v>113</v>
      </c>
      <c r="K19" s="4" t="s">
        <v>112</v>
      </c>
      <c r="M19" s="4" t="s">
        <v>114</v>
      </c>
    </row>
    <row r="20" spans="1:13" ht="60" customHeight="1">
      <c r="B20">
        <v>1</v>
      </c>
      <c r="C20" t="s">
        <v>115</v>
      </c>
      <c r="I20" s="6" t="s">
        <v>116</v>
      </c>
    </row>
    <row r="21" spans="1:13" ht="47" customHeight="1">
      <c r="B21">
        <v>1</v>
      </c>
      <c r="C21" t="s">
        <v>117</v>
      </c>
      <c r="I21" s="6" t="s">
        <v>118</v>
      </c>
    </row>
    <row r="22" spans="1:13" s="4" customFormat="1" ht="24" customHeight="1">
      <c r="A22" s="4" t="s">
        <v>119</v>
      </c>
      <c r="B22" s="4">
        <v>1</v>
      </c>
      <c r="C22" s="4" t="s">
        <v>94</v>
      </c>
      <c r="D22" s="4">
        <v>1754</v>
      </c>
      <c r="J22" s="4" t="s">
        <v>95</v>
      </c>
      <c r="M22" s="4" t="s">
        <v>120</v>
      </c>
    </row>
    <row r="23" spans="1:13" ht="24" customHeight="1">
      <c r="A23" t="s">
        <v>119</v>
      </c>
      <c r="B23">
        <v>1</v>
      </c>
      <c r="C23" t="s">
        <v>97</v>
      </c>
      <c r="D23" s="5">
        <v>1692</v>
      </c>
      <c r="E23" s="2">
        <f>IF(AND(ISNUMBER(F23),ISNUMBER('Reference data'!$B$3)),F23*'Reference data'!$B$3,"Unknown")</f>
        <v>2.9655684e-05</v>
      </c>
      <c r="F23" s="2">
        <f>IF(D23=0,0,IF(ISNUMBER('Reference data'!C17),D23*'Reference data'!C17/1000000,"Unknown"))</f>
        <v>3.384e-05</v>
      </c>
      <c r="G23" s="5">
        <f>IF(ISNUMBER(E23),ROUND(E23*'Reference data'!$B$2,0),"Unknown")</f>
        <v>3.0</v>
      </c>
      <c r="H23" s="5">
        <f>IF(ISNUMBER(F23),ROUND(F23*'Reference data'!$B$2,0),"Unknown")</f>
        <v>3.0</v>
      </c>
    </row>
    <row r="24" spans="1:13" ht="24" customHeight="1">
      <c r="A24" t="s">
        <v>119</v>
      </c>
      <c r="B24">
        <v>1</v>
      </c>
      <c r="C24" t="s">
        <v>98</v>
      </c>
      <c r="D24" s="5">
        <v>3</v>
      </c>
      <c r="E24" s="2">
        <f>IF(AND(ISNUMBER(F24),ISNUMBER('Reference data'!$B$3)),F24*'Reference data'!$B$3,"Unknown")</f>
        <v>5.2581e-07</v>
      </c>
      <c r="F24" s="2">
        <f>IF(D24=0,0,IF(ISNUMBER('Reference data'!B17),D24*'Reference data'!B17/1000000,"Unknown"))</f>
        <v>6e-07</v>
      </c>
      <c r="G24" s="5">
        <f>IF(ISNUMBER(E24),ROUND(E24*'Reference data'!$B$2,0),"Unknown")</f>
        <v>0.0</v>
      </c>
      <c r="H24" s="5">
        <f>IF(ISNUMBER(F24),ROUND(F24*'Reference data'!$B$2,0),"Unknown")</f>
        <v>0.0</v>
      </c>
    </row>
    <row r="25" spans="1:13" ht="24" customHeight="1">
      <c r="A25" t="s">
        <v>119</v>
      </c>
      <c r="B25">
        <v>1</v>
      </c>
      <c r="C25" t="s">
        <v>99</v>
      </c>
    </row>
    <row r="26" spans="1:13" ht="47" customHeight="1">
      <c r="A26" t="s">
        <v>119</v>
      </c>
      <c r="B26">
        <v>1</v>
      </c>
      <c r="C26" t="s">
        <v>100</v>
      </c>
      <c r="I26" s="6" t="s">
        <v>121</v>
      </c>
    </row>
    <row r="27" spans="1:13" ht="24" customHeight="1">
      <c r="A27" t="s">
        <v>119</v>
      </c>
      <c r="B27">
        <v>1</v>
      </c>
      <c r="C27" t="s">
        <v>104</v>
      </c>
      <c r="D27" s="5">
        <v>59</v>
      </c>
      <c r="E27" s="2">
        <f>IF(AND(ISNUMBER(F27),ISNUMBER('Reference data'!$B$3)),F27*'Reference data'!$B$3,"Unknown")</f>
        <v>1.29261625e-05</v>
      </c>
      <c r="F27" s="2">
        <f>IF(D27=0,0,IF(ISNUMBER('Reference data'!D17),D27*'Reference data'!D17/1000000,"Unknown"))</f>
        <v>1.475e-05</v>
      </c>
      <c r="G27" s="5">
        <f>IF(ISNUMBER(E27),ROUND(E27*'Reference data'!$B$2,0),"Unknown")</f>
        <v>1.0</v>
      </c>
      <c r="H27" s="5">
        <f>IF(ISNUMBER(F27),ROUND(F27*'Reference data'!$B$2,0),"Unknown")</f>
        <v>1.0</v>
      </c>
    </row>
    <row r="28" spans="1:13" ht="24" customHeight="1">
      <c r="A28" t="s">
        <v>119</v>
      </c>
      <c r="B28">
        <v>1</v>
      </c>
      <c r="C28" t="s">
        <v>105</v>
      </c>
    </row>
    <row r="29" spans="1:13" s="4" customFormat="1" ht="24" customHeight="1">
      <c r="A29" s="4" t="s">
        <v>119</v>
      </c>
      <c r="B29" s="4">
        <v>1</v>
      </c>
      <c r="C29" s="4" t="s">
        <v>106</v>
      </c>
      <c r="D29" s="4">
        <v>19</v>
      </c>
    </row>
    <row r="30" spans="1:13" ht="24" customHeight="1">
      <c r="A30" t="s">
        <v>119</v>
      </c>
      <c r="B30">
        <v>1</v>
      </c>
      <c r="C30" t="s">
        <v>108</v>
      </c>
      <c r="D30" s="5">
        <v>19</v>
      </c>
      <c r="E30" s="2">
        <f>IF(AND(ISNUMBER(F30),ISNUMBER('Reference data'!$B$3)),F30*'Reference data'!$B$3,"Unknown")</f>
        <v>1.998078e-05</v>
      </c>
      <c r="F30" s="2">
        <f>IF(D30=0,0,IF(ISNUMBER('Reference data'!E17),D30*'Reference data'!E17/1000000,"Unknown"))</f>
        <v>2.28e-05</v>
      </c>
      <c r="G30" s="5">
        <f>IF(ISNUMBER(E30),ROUND(E30*'Reference data'!$B$2,0),"Unknown")</f>
        <v>2.0</v>
      </c>
      <c r="H30" s="5">
        <f>IF(ISNUMBER(F30),ROUND(F30*'Reference data'!$B$2,0),"Unknown")</f>
        <v>2.0</v>
      </c>
    </row>
    <row r="31" spans="1:13" ht="73" customHeight="1">
      <c r="A31" t="s">
        <v>119</v>
      </c>
      <c r="B31">
        <v>1</v>
      </c>
      <c r="C31" t="s">
        <v>109</v>
      </c>
      <c r="I31" s="6" t="s">
        <v>122</v>
      </c>
    </row>
    <row r="32" spans="1:13" ht="24" customHeight="1">
      <c r="A32" t="s">
        <v>119</v>
      </c>
      <c r="B32">
        <v>1</v>
      </c>
      <c r="C32" t="s">
        <v>104</v>
      </c>
    </row>
    <row r="33" spans="1:13" ht="24" customHeight="1">
      <c r="A33" t="s">
        <v>119</v>
      </c>
      <c r="B33">
        <v>1</v>
      </c>
      <c r="C33" t="s">
        <v>105</v>
      </c>
    </row>
    <row r="34" spans="1:13" s="4" customFormat="1" ht="24" customHeight="1">
      <c r="A34" s="4" t="s">
        <v>119</v>
      </c>
      <c r="B34" s="4">
        <v>1</v>
      </c>
      <c r="C34" s="4" t="s">
        <v>111</v>
      </c>
      <c r="E34" s="2">
        <f>IF(COUNT('Turns'!E23,'Turns'!E24,'Turns'!E27,'Turns'!E30)=4,SUM('Turns'!E23,'Turns'!E24,'Turns'!E27,'Turns'!E30),"Unknown")</f>
        <v>6.30884365e-05</v>
      </c>
      <c r="F34" s="2">
        <f>IF(COUNT('Turns'!F23,'Turns'!F24,'Turns'!F27,'Turns'!F30)=4,SUM('Turns'!F23,'Turns'!F24,'Turns'!F27,'Turns'!F30),"Unknown")</f>
        <v>7.199e-05</v>
      </c>
      <c r="G34" s="5">
        <f>IF(ISNUMBER(E34),ROUND(E34*'Reference data'!$B$2,0),"Unknown")</f>
        <v>6.0</v>
      </c>
      <c r="H34" s="5">
        <f>IF(ISNUMBER(F34),ROUND(F34*'Reference data'!$B$2,0),"Unknown")</f>
        <v>7.0</v>
      </c>
      <c r="K34" s="4" t="s">
        <v>112</v>
      </c>
    </row>
    <row r="35" spans="1:13" s="4" customFormat="1" ht="24" customHeight="1">
      <c r="B35" s="4">
        <v>1</v>
      </c>
      <c r="C35" s="4" t="s">
        <v>123</v>
      </c>
      <c r="K35" s="4" t="s">
        <v>112</v>
      </c>
      <c r="M35" s="4" t="s">
        <v>124</v>
      </c>
    </row>
    <row r="36" spans="1:13" ht="24" customHeight="1">
      <c r="B36">
        <v>1</v>
      </c>
      <c r="C36" t="s">
        <v>115</v>
      </c>
      <c r="I36" s="6" t="s">
        <v>125</v>
      </c>
    </row>
    <row r="37" spans="1:13" ht="24" customHeight="1">
      <c r="B37">
        <v>1</v>
      </c>
      <c r="C37" t="s">
        <v>117</v>
      </c>
      <c r="I37" s="6" t="s">
        <v>126</v>
      </c>
    </row>
    <row r="38" spans="1:13" s="4" customFormat="1" ht="24" customHeight="1">
      <c r="A38" s="4" t="s">
        <v>127</v>
      </c>
      <c r="B38" s="4">
        <v>1</v>
      </c>
      <c r="C38" s="4" t="s">
        <v>94</v>
      </c>
      <c r="D38" s="4">
        <v>1790</v>
      </c>
      <c r="J38" s="4" t="s">
        <v>95</v>
      </c>
      <c r="M38" s="4" t="s">
        <v>128</v>
      </c>
    </row>
    <row r="39" spans="1:13" ht="24" customHeight="1">
      <c r="A39" t="s">
        <v>127</v>
      </c>
      <c r="B39">
        <v>1</v>
      </c>
      <c r="C39" t="s">
        <v>97</v>
      </c>
      <c r="D39" s="5">
        <v>1751</v>
      </c>
      <c r="E39" s="2">
        <f>IF(AND(ISNUMBER(F39),ISNUMBER('Reference data'!$B$3)),F39*'Reference data'!$B$3,"Unknown")</f>
        <v>3.0689777e-05</v>
      </c>
      <c r="F39" s="2">
        <f>IF(D39=0,0,IF(ISNUMBER('Reference data'!C17),D39*'Reference data'!C17/1000000,"Unknown"))</f>
        <v>3.502e-05</v>
      </c>
      <c r="G39" s="5">
        <f>IF(ISNUMBER(E39),ROUND(E39*'Reference data'!$B$2,0),"Unknown")</f>
        <v>3.0</v>
      </c>
      <c r="H39" s="5">
        <f>IF(ISNUMBER(F39),ROUND(F39*'Reference data'!$B$2,0),"Unknown")</f>
        <v>4.0</v>
      </c>
    </row>
    <row r="40" spans="1:13" ht="24" customHeight="1">
      <c r="A40" t="s">
        <v>127</v>
      </c>
      <c r="B40">
        <v>1</v>
      </c>
      <c r="C40" t="s">
        <v>98</v>
      </c>
      <c r="D40" s="5">
        <v>3</v>
      </c>
      <c r="E40" s="2">
        <f>IF(AND(ISNUMBER(F40),ISNUMBER('Reference data'!$B$3)),F40*'Reference data'!$B$3,"Unknown")</f>
        <v>5.2581e-07</v>
      </c>
      <c r="F40" s="2">
        <f>IF(D40=0,0,IF(ISNUMBER('Reference data'!B17),D40*'Reference data'!B17/1000000,"Unknown"))</f>
        <v>6e-07</v>
      </c>
      <c r="G40" s="5">
        <f>IF(ISNUMBER(E40),ROUND(E40*'Reference data'!$B$2,0),"Unknown")</f>
        <v>0.0</v>
      </c>
      <c r="H40" s="5">
        <f>IF(ISNUMBER(F40),ROUND(F40*'Reference data'!$B$2,0),"Unknown")</f>
        <v>0.0</v>
      </c>
    </row>
    <row r="41" spans="1:13" ht="24" customHeight="1">
      <c r="A41" t="s">
        <v>127</v>
      </c>
      <c r="B41">
        <v>1</v>
      </c>
      <c r="C41" t="s">
        <v>129</v>
      </c>
      <c r="I41" s="6" t="s">
        <v>126</v>
      </c>
    </row>
    <row r="42" spans="1:13" ht="24" customHeight="1">
      <c r="A42" t="s">
        <v>127</v>
      </c>
      <c r="B42">
        <v>1</v>
      </c>
      <c r="C42" t="s">
        <v>104</v>
      </c>
      <c r="D42" s="5">
        <v>36</v>
      </c>
      <c r="E42" s="2">
        <f>IF(AND(ISNUMBER(F42),ISNUMBER('Reference data'!$B$3)),F42*'Reference data'!$B$3,"Unknown")</f>
        <v>7.88715e-06</v>
      </c>
      <c r="F42" s="2">
        <f>IF(D42=0,0,IF(ISNUMBER('Reference data'!D17),D42*'Reference data'!D17/1000000,"Unknown"))</f>
        <v>9e-06</v>
      </c>
      <c r="G42" s="5">
        <f>IF(ISNUMBER(E42),ROUND(E42*'Reference data'!$B$2,0),"Unknown")</f>
        <v>1.0</v>
      </c>
      <c r="H42" s="5">
        <f>IF(ISNUMBER(F42),ROUND(F42*'Reference data'!$B$2,0),"Unknown")</f>
        <v>1.0</v>
      </c>
    </row>
    <row r="43" spans="1:13" ht="24" customHeight="1">
      <c r="A43" t="s">
        <v>127</v>
      </c>
      <c r="B43">
        <v>1</v>
      </c>
      <c r="C43" t="s">
        <v>105</v>
      </c>
    </row>
    <row r="44" spans="1:13" s="4" customFormat="1" ht="24" customHeight="1">
      <c r="A44" s="4" t="s">
        <v>127</v>
      </c>
      <c r="B44" s="4">
        <v>1</v>
      </c>
      <c r="C44" s="4" t="s">
        <v>106</v>
      </c>
      <c r="D44" s="4">
        <v>24</v>
      </c>
    </row>
    <row r="45" spans="1:13" ht="24" customHeight="1">
      <c r="A45" t="s">
        <v>127</v>
      </c>
      <c r="B45">
        <v>1</v>
      </c>
      <c r="C45" t="s">
        <v>108</v>
      </c>
      <c r="D45" s="5">
        <v>24</v>
      </c>
      <c r="E45" s="2">
        <f>IF(AND(ISNUMBER(F45),ISNUMBER('Reference data'!$B$3)),F45*'Reference data'!$B$3,"Unknown")</f>
        <v>2.523888e-05</v>
      </c>
      <c r="F45" s="2">
        <f>IF(D45=0,0,IF(ISNUMBER('Reference data'!E17),D45*'Reference data'!E17/1000000,"Unknown"))</f>
        <v>2.88e-05</v>
      </c>
      <c r="G45" s="5">
        <f>IF(ISNUMBER(E45),ROUND(E45*'Reference data'!$B$2,0),"Unknown")</f>
        <v>3.0</v>
      </c>
      <c r="H45" s="5">
        <f>IF(ISNUMBER(F45),ROUND(F45*'Reference data'!$B$2,0),"Unknown")</f>
        <v>3.0</v>
      </c>
    </row>
    <row r="46" spans="1:13" ht="47" customHeight="1">
      <c r="A46" t="s">
        <v>127</v>
      </c>
      <c r="B46">
        <v>1</v>
      </c>
      <c r="C46" t="s">
        <v>109</v>
      </c>
      <c r="I46" s="6" t="s">
        <v>130</v>
      </c>
    </row>
    <row r="47" spans="1:13" ht="24" customHeight="1">
      <c r="A47" t="s">
        <v>127</v>
      </c>
      <c r="B47">
        <v>1</v>
      </c>
      <c r="C47" t="s">
        <v>104</v>
      </c>
    </row>
    <row r="48" spans="1:13" ht="24" customHeight="1">
      <c r="A48" t="s">
        <v>127</v>
      </c>
      <c r="B48">
        <v>1</v>
      </c>
      <c r="C48" t="s">
        <v>105</v>
      </c>
    </row>
    <row r="49" spans="1:13" s="4" customFormat="1" ht="24" customHeight="1">
      <c r="A49" s="4" t="s">
        <v>127</v>
      </c>
      <c r="B49" s="4">
        <v>1</v>
      </c>
      <c r="C49" s="4" t="s">
        <v>111</v>
      </c>
      <c r="E49" s="2">
        <f>IF(COUNT('Turns'!E39,'Turns'!E40,'Turns'!E42,'Turns'!E45)=4,SUM('Turns'!E39,'Turns'!E40,'Turns'!E42,'Turns'!E45),"Unknown")</f>
        <v>6.4341617e-05</v>
      </c>
      <c r="F49" s="2">
        <f>IF(COUNT('Turns'!F39,'Turns'!F40,'Turns'!F42,'Turns'!F45)=4,SUM('Turns'!F39,'Turns'!F40,'Turns'!F42,'Turns'!F45),"Unknown")</f>
        <v>7.342e-05</v>
      </c>
      <c r="G49" s="5">
        <f>IF(ISNUMBER(E49),ROUND(E49*'Reference data'!$B$2,0),"Unknown")</f>
        <v>6.0</v>
      </c>
      <c r="H49" s="5">
        <f>IF(ISNUMBER(F49),ROUND(F49*'Reference data'!$B$2,0),"Unknown")</f>
        <v>7.0</v>
      </c>
      <c r="K49" s="4" t="s">
        <v>112</v>
      </c>
    </row>
    <row r="50" spans="1:13" s="4" customFormat="1" ht="24" customHeight="1">
      <c r="A50" s="4" t="s">
        <v>131</v>
      </c>
      <c r="B50" s="4">
        <v>1</v>
      </c>
      <c r="C50" s="4" t="s">
        <v>94</v>
      </c>
      <c r="D50" s="4">
        <v>2189</v>
      </c>
      <c r="J50" s="4" t="s">
        <v>95</v>
      </c>
      <c r="M50" s="4" t="s">
        <v>132</v>
      </c>
    </row>
    <row r="51" spans="1:13" ht="24" customHeight="1">
      <c r="A51" t="s">
        <v>131</v>
      </c>
      <c r="B51">
        <v>1</v>
      </c>
      <c r="C51" t="s">
        <v>97</v>
      </c>
      <c r="D51" s="5">
        <v>2046</v>
      </c>
      <c r="E51" s="2">
        <f>IF(AND(ISNUMBER(F51),ISNUMBER('Reference data'!$B$3)),F51*'Reference data'!$B$3,"Unknown")</f>
        <v>3.5860242e-05</v>
      </c>
      <c r="F51" s="2">
        <f>IF(D51=0,0,IF(ISNUMBER('Reference data'!C17),D51*'Reference data'!C17/1000000,"Unknown"))</f>
        <v>4.092e-05</v>
      </c>
      <c r="G51" s="5">
        <f>IF(ISNUMBER(E51),ROUND(E51*'Reference data'!$B$2,0),"Unknown")</f>
        <v>4.0</v>
      </c>
      <c r="H51" s="5">
        <f>IF(ISNUMBER(F51),ROUND(F51*'Reference data'!$B$2,0),"Unknown")</f>
        <v>4.0</v>
      </c>
    </row>
    <row r="52" spans="1:13" ht="24" customHeight="1">
      <c r="A52" t="s">
        <v>131</v>
      </c>
      <c r="B52">
        <v>1</v>
      </c>
      <c r="C52" t="s">
        <v>98</v>
      </c>
      <c r="D52" s="5">
        <v>3</v>
      </c>
      <c r="E52" s="2">
        <f>IF(AND(ISNUMBER(F52),ISNUMBER('Reference data'!$B$3)),F52*'Reference data'!$B$3,"Unknown")</f>
        <v>5.2581e-07</v>
      </c>
      <c r="F52" s="2">
        <f>IF(D52=0,0,IF(ISNUMBER('Reference data'!B17),D52*'Reference data'!B17/1000000,"Unknown"))</f>
        <v>6e-07</v>
      </c>
      <c r="G52" s="5">
        <f>IF(ISNUMBER(E52),ROUND(E52*'Reference data'!$B$2,0),"Unknown")</f>
        <v>0.0</v>
      </c>
      <c r="H52" s="5">
        <f>IF(ISNUMBER(F52),ROUND(F52*'Reference data'!$B$2,0),"Unknown")</f>
        <v>0.0</v>
      </c>
    </row>
    <row r="53" spans="1:13" ht="24" customHeight="1">
      <c r="A53" t="s">
        <v>131</v>
      </c>
      <c r="B53">
        <v>1</v>
      </c>
      <c r="C53" t="s">
        <v>129</v>
      </c>
      <c r="I53" s="6" t="s">
        <v>133</v>
      </c>
    </row>
    <row r="54" spans="1:13" ht="24" customHeight="1">
      <c r="A54" t="s">
        <v>131</v>
      </c>
      <c r="B54">
        <v>1</v>
      </c>
      <c r="C54" t="s">
        <v>104</v>
      </c>
      <c r="D54" s="5">
        <v>140</v>
      </c>
      <c r="E54" s="2">
        <f>IF(AND(ISNUMBER(F54),ISNUMBER('Reference data'!$B$3)),F54*'Reference data'!$B$3,"Unknown")</f>
        <v>3.067225e-05</v>
      </c>
      <c r="F54" s="2">
        <f>IF(D54=0,0,IF(ISNUMBER('Reference data'!D17),D54*'Reference data'!D17/1000000,"Unknown"))</f>
        <v>3.5e-05</v>
      </c>
      <c r="G54" s="5">
        <f>IF(ISNUMBER(E54),ROUND(E54*'Reference data'!$B$2,0),"Unknown")</f>
        <v>3.0</v>
      </c>
      <c r="H54" s="5">
        <f>IF(ISNUMBER(F54),ROUND(F54*'Reference data'!$B$2,0),"Unknown")</f>
        <v>4.0</v>
      </c>
    </row>
    <row r="55" spans="1:13" ht="24" customHeight="1">
      <c r="A55" t="s">
        <v>131</v>
      </c>
      <c r="B55">
        <v>1</v>
      </c>
      <c r="C55" t="s">
        <v>105</v>
      </c>
    </row>
    <row r="56" spans="1:13" s="4" customFormat="1" ht="24" customHeight="1">
      <c r="A56" s="4" t="s">
        <v>131</v>
      </c>
      <c r="B56" s="4">
        <v>1</v>
      </c>
      <c r="C56" s="4" t="s">
        <v>106</v>
      </c>
      <c r="D56" s="4">
        <v>40</v>
      </c>
    </row>
    <row r="57" spans="1:13" ht="24" customHeight="1">
      <c r="A57" t="s">
        <v>131</v>
      </c>
      <c r="B57">
        <v>1</v>
      </c>
      <c r="C57" t="s">
        <v>108</v>
      </c>
      <c r="D57" s="5">
        <v>40</v>
      </c>
      <c r="E57" s="2">
        <f>IF(AND(ISNUMBER(F57),ISNUMBER('Reference data'!$B$3)),F57*'Reference data'!$B$3,"Unknown")</f>
        <v>4.20648e-05</v>
      </c>
      <c r="F57" s="2">
        <f>IF(D57=0,0,IF(ISNUMBER('Reference data'!E17),D57*'Reference data'!E17/1000000,"Unknown"))</f>
        <v>4.8e-05</v>
      </c>
      <c r="G57" s="5">
        <f>IF(ISNUMBER(E57),ROUND(E57*'Reference data'!$B$2,0),"Unknown")</f>
        <v>4.0</v>
      </c>
      <c r="H57" s="5">
        <f>IF(ISNUMBER(F57),ROUND(F57*'Reference data'!$B$2,0),"Unknown")</f>
        <v>5.0</v>
      </c>
    </row>
    <row r="58" spans="1:13" ht="60" customHeight="1">
      <c r="A58" t="s">
        <v>131</v>
      </c>
      <c r="B58">
        <v>1</v>
      </c>
      <c r="C58" t="s">
        <v>109</v>
      </c>
      <c r="I58" s="6" t="s">
        <v>134</v>
      </c>
    </row>
    <row r="59" spans="1:13" ht="24" customHeight="1">
      <c r="A59" t="s">
        <v>131</v>
      </c>
      <c r="B59">
        <v>1</v>
      </c>
      <c r="C59" t="s">
        <v>104</v>
      </c>
    </row>
    <row r="60" spans="1:13" ht="24" customHeight="1">
      <c r="A60" t="s">
        <v>131</v>
      </c>
      <c r="B60">
        <v>1</v>
      </c>
      <c r="C60" t="s">
        <v>105</v>
      </c>
    </row>
    <row r="61" spans="1:13" s="4" customFormat="1" ht="24" customHeight="1">
      <c r="A61" s="4" t="s">
        <v>131</v>
      </c>
      <c r="B61" s="4">
        <v>1</v>
      </c>
      <c r="C61" s="4" t="s">
        <v>111</v>
      </c>
      <c r="E61" s="2">
        <f>IF(COUNT('Turns'!E51,'Turns'!E52,'Turns'!E54,'Turns'!E57)=4,SUM('Turns'!E51,'Turns'!E52,'Turns'!E54,'Turns'!E57),"Unknown")</f>
        <v>0.000109123102</v>
      </c>
      <c r="F61" s="2">
        <f>IF(COUNT('Turns'!F51,'Turns'!F52,'Turns'!F54,'Turns'!F57)=4,SUM('Turns'!F51,'Turns'!F52,'Turns'!F54,'Turns'!F57),"Unknown")</f>
        <v>0.00012452</v>
      </c>
      <c r="G61" s="5">
        <f>IF(ISNUMBER(E61),ROUND(E61*'Reference data'!$B$2,0),"Unknown")</f>
        <v>11.0</v>
      </c>
      <c r="H61" s="5">
        <f>IF(ISNUMBER(F61),ROUND(F61*'Reference data'!$B$2,0),"Unknown")</f>
        <v>12.0</v>
      </c>
      <c r="K61" s="4" t="s">
        <v>112</v>
      </c>
    </row>
  </sheetData>
  <conditionalFormatting sqref="A2:AE61">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1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135</v>
      </c>
      <c r="B2" s="1">
        <v>0</v>
      </c>
      <c r="C2" s="1" t="s">
        <v>136</v>
      </c>
      <c r="D2" s="1" t="s">
        <v>47</v>
      </c>
      <c r="E2" s="1" t="s">
        <v>112</v>
      </c>
      <c r="G2" s="6" t="s">
        <v>137</v>
      </c>
      <c r="H2" t="s">
        <v>49</v>
      </c>
      <c r="J2" s="2">
        <f>IF(COUNT('Turns'!D6,'Turns'!D24,'Turns'!D40,'Turns'!D52)=4,SUM('Turns'!D6,'Turns'!D24,'Turns'!D40,'Turns'!D52),"Unknown")</f>
        <v>12.0</v>
      </c>
      <c r="K2" s="2">
        <f>IF(COUNT('Turns'!E6,'Turns'!E24,'Turns'!E40,'Turns'!E52)=4,SUM('Turns'!E6,'Turns'!E24,'Turns'!E40,'Turns'!E52),"Unknown")</f>
        <v>2.10324e-06</v>
      </c>
      <c r="L2" s="2">
        <f>IF(COUNT('Turns'!F6,'Turns'!F24,'Turns'!F40,'Turns'!F52)=4,SUM('Turns'!F6,'Turns'!F24,'Turns'!F40,'Turns'!F52),"Unknown")</f>
        <v>2.4e-06</v>
      </c>
      <c r="M2" s="2">
        <f>IF(COUNT('Turns'!D5,'Turns'!D23,'Turns'!D39,'Turns'!D51)=4,SUM('Turns'!D5,'Turns'!D23,'Turns'!D39,'Turns'!D51),"Unknown")</f>
        <v>7535.0</v>
      </c>
      <c r="N2" s="2">
        <f>IF(COUNT('Turns'!E5,'Turns'!E23,'Turns'!E39,'Turns'!E51)=4,SUM('Turns'!E5,'Turns'!E23,'Turns'!E39,'Turns'!E51),"Unknown")</f>
        <v>0.000132065945</v>
      </c>
      <c r="O2" s="2">
        <f>IF(COUNT('Turns'!F5,'Turns'!F23,'Turns'!F39,'Turns'!F51)=4,SUM('Turns'!F5,'Turns'!F23,'Turns'!F39,'Turns'!F51),"Unknown")</f>
        <v>0.0001507</v>
      </c>
      <c r="P2" s="2">
        <f>IF(COUNT('Turns'!D27,'Turns'!D42,'Turns'!D54)=3,SUM('Turns'!D27,'Turns'!D42,'Turns'!D54),"Unknown")</f>
        <v>235.0</v>
      </c>
      <c r="Q2" s="2">
        <f>IF(COUNT('Turns'!E27,'Turns'!E42,'Turns'!E54)=3,SUM('Turns'!E27,'Turns'!E42,'Turns'!E54),"Unknown")</f>
        <v>5.14855625e-05</v>
      </c>
      <c r="R2" s="2">
        <f>IF(COUNT('Turns'!F27,'Turns'!F42,'Turns'!F54)=3,SUM('Turns'!F27,'Turns'!F42,'Turns'!F54),"Unknown")</f>
        <v>5.875e-05</v>
      </c>
      <c r="S2" s="2">
        <f>IF(COUNT('Turns'!D14,'Turns'!D30,'Turns'!D45,'Turns'!D57)=4,SUM('Turns'!D14,'Turns'!D30,'Turns'!D45,'Turns'!D57),"Unknown")</f>
        <v>165.0</v>
      </c>
      <c r="T2" s="2">
        <f>IF(COUNT('Turns'!E14,'Turns'!E30,'Turns'!E45,'Turns'!E57)=4,SUM('Turns'!E14,'Turns'!E30,'Turns'!E45,'Turns'!E57),"Unknown")</f>
        <v>0.0001735173</v>
      </c>
      <c r="U2" s="2">
        <f>IF(COUNT('Turns'!F14,'Turns'!F30,'Turns'!F45,'Turns'!F57)=4,SUM('Turns'!F14,'Turns'!F30,'Turns'!F45,'Turns'!F57),"Unknown")</f>
        <v>0.000198</v>
      </c>
      <c r="V2" s="2">
        <f>IF(COUNT('Turns'!D13)=1,SUM('Turns'!D13),"Unknown")</f>
        <v>29.0</v>
      </c>
      <c r="W2" s="2">
        <f>IF(COUNT('Turns'!E13)=1,SUM('Turns'!E13),"Unknown")</f>
        <v>3.049698e-05</v>
      </c>
      <c r="X2" s="2">
        <f>IF(COUNT('Turns'!F13)=1,SUM('Turns'!F13),"Unknown")</f>
        <v>3.48e-05</v>
      </c>
      <c r="Y2" s="2">
        <f>IF(COUNT('Turns'!E18,'Turns'!E34,'Turns'!E49,'Turns'!E61)=4,SUM('Turns'!E18,'Turns'!E34,'Turns'!E49,'Turns'!E61),"Unknown")</f>
        <v>0.0003896690275</v>
      </c>
      <c r="Z2" s="2">
        <f>IF(COUNT('Turns'!F18,'Turns'!F34,'Turns'!F49,'Turns'!F61)=4,SUM('Turns'!F18,'Turns'!F34,'Turns'!F49,'Turns'!F61),"Unknown")</f>
        <v>0.00044465</v>
      </c>
      <c r="AA2" s="5">
        <f>IF(ISNUMBER(Y2),ROUND(Y2*'Reference data'!$B$2,0),"Unknown")</f>
        <v>39.0</v>
      </c>
      <c r="AB2" s="5">
        <f>IF(ISNUMBER(Z2),ROUND(Z2*'Reference data'!$B$2,0),"Unknown")</f>
        <v>44.0</v>
      </c>
      <c r="AD2" s="1">
        <v>5359.855</v>
      </c>
      <c r="AE2" s="1" t="s">
        <v>138</v>
      </c>
    </row>
    <row r="3" spans="1:31" ht="54" customHeight="1">
      <c r="A3" s="6" t="s">
        <v>139</v>
      </c>
      <c r="B3" s="1">
        <v>1</v>
      </c>
      <c r="C3" s="1" t="s">
        <v>136</v>
      </c>
      <c r="D3" s="1" t="s">
        <v>47</v>
      </c>
      <c r="E3" s="1" t="s">
        <v>112</v>
      </c>
      <c r="G3" s="6" t="s">
        <v>140</v>
      </c>
      <c r="H3" t="s">
        <v>141</v>
      </c>
      <c r="I3" t="s">
        <v>49</v>
      </c>
      <c r="AD3" s="1">
        <v>0.343</v>
      </c>
      <c r="AE3" s="1" t="s">
        <v>142</v>
      </c>
    </row>
    <row r="4" spans="1:31" ht="54" customHeight="1">
      <c r="A4" s="6" t="s">
        <v>143</v>
      </c>
      <c r="B4" s="1">
        <v>1</v>
      </c>
      <c r="C4" s="1" t="s">
        <v>136</v>
      </c>
      <c r="D4" s="1" t="s">
        <v>47</v>
      </c>
      <c r="E4" s="1" t="s">
        <v>112</v>
      </c>
      <c r="G4" s="6" t="s">
        <v>144</v>
      </c>
      <c r="H4" t="s">
        <v>145</v>
      </c>
      <c r="I4" t="s">
        <v>49</v>
      </c>
      <c r="J4" s="2">
        <f>IF(COUNT('Turns'!D6)=1,SUM('Turns'!D6),"Unknown")</f>
        <v>3.0</v>
      </c>
      <c r="K4" s="2">
        <f>IF(COUNT('Turns'!E6)=1,SUM('Turns'!E6),"Unknown")</f>
        <v>5.2581e-07</v>
      </c>
      <c r="L4" s="2">
        <f>IF(COUNT('Turns'!F6)=1,SUM('Turns'!F6),"Unknown")</f>
        <v>6e-07</v>
      </c>
      <c r="M4" s="2">
        <f>IF(COUNT('Turns'!D5)=1,SUM('Turns'!D5),"Unknown")</f>
        <v>2046.0</v>
      </c>
      <c r="N4" s="2">
        <f>IF(COUNT('Turns'!E5)=1,SUM('Turns'!E5),"Unknown")</f>
        <v>3.5860242e-05</v>
      </c>
      <c r="O4" s="2">
        <f>IF(COUNT('Turns'!F5)=1,SUM('Turns'!F5),"Unknown")</f>
        <v>4.092e-05</v>
      </c>
      <c r="P4" s="2">
        <v>0</v>
      </c>
      <c r="Q4" s="2">
        <v>0</v>
      </c>
      <c r="R4" s="2">
        <v>0</v>
      </c>
      <c r="S4" s="2">
        <f>IF(COUNT('Turns'!D14)=1,SUM('Turns'!D14),"Unknown")</f>
        <v>82.0</v>
      </c>
      <c r="T4" s="2">
        <f>IF(COUNT('Turns'!E14)=1,SUM('Turns'!E14),"Unknown")</f>
        <v>8.623284e-05</v>
      </c>
      <c r="U4" s="2">
        <f>IF(COUNT('Turns'!F14)=1,SUM('Turns'!F14),"Unknown")</f>
        <v>9.84e-05</v>
      </c>
      <c r="V4" s="2">
        <f>IF(COUNT('Turns'!D13)=1,SUM('Turns'!D13),"Unknown")</f>
        <v>29.0</v>
      </c>
      <c r="W4" s="2">
        <f>IF(COUNT('Turns'!E13)=1,SUM('Turns'!E13),"Unknown")</f>
        <v>3.049698e-05</v>
      </c>
      <c r="X4" s="2">
        <f>IF(COUNT('Turns'!F13)=1,SUM('Turns'!F13),"Unknown")</f>
        <v>3.48e-05</v>
      </c>
      <c r="Y4" s="2">
        <f>IF(COUNT('Turns'!E18)=1,SUM('Turns'!E18),"Unknown")</f>
        <v>0.000153115872</v>
      </c>
      <c r="Z4" s="2">
        <f>IF(COUNT('Turns'!F18)=1,SUM('Turns'!F18),"Unknown")</f>
        <v>0.00017472</v>
      </c>
      <c r="AA4" s="5">
        <f>IF(ISNUMBER(Y4),ROUND(Y4*'Reference data'!$B$2,0),"Unknown")</f>
        <v>15.0</v>
      </c>
      <c r="AB4" s="5">
        <f>IF(ISNUMBER(Z4),ROUND(Z4*'Reference data'!$B$2,0),"Unknown")</f>
        <v>17.0</v>
      </c>
      <c r="AD4" s="1">
        <v>2053.755</v>
      </c>
      <c r="AE4" s="1" t="s">
        <v>138</v>
      </c>
    </row>
    <row r="5" spans="1:31" ht="54" customHeight="1">
      <c r="A5" s="6" t="s">
        <v>146</v>
      </c>
      <c r="B5" s="1">
        <v>2</v>
      </c>
      <c r="C5" s="1" t="s">
        <v>147</v>
      </c>
      <c r="D5" s="1" t="s">
        <v>95</v>
      </c>
      <c r="E5" s="1" t="s">
        <v>112</v>
      </c>
      <c r="F5" s="1">
        <v>2049</v>
      </c>
      <c r="G5" s="6" t="s">
        <v>148</v>
      </c>
      <c r="H5" t="s">
        <v>96</v>
      </c>
      <c r="I5" t="s">
        <v>145</v>
      </c>
      <c r="J5" s="2">
        <f>IF(COUNT('Turns'!D6)=1,SUM('Turns'!D6),"Unknown")</f>
        <v>3.0</v>
      </c>
      <c r="K5" s="2">
        <f>IF(COUNT('Turns'!E6)=1,SUM('Turns'!E6),"Unknown")</f>
        <v>5.2581e-07</v>
      </c>
      <c r="L5" s="2">
        <f>IF(COUNT('Turns'!F6)=1,SUM('Turns'!F6),"Unknown")</f>
        <v>6e-07</v>
      </c>
      <c r="M5" s="2">
        <f>IF(COUNT('Turns'!D5)=1,SUM('Turns'!D5),"Unknown")</f>
        <v>2046.0</v>
      </c>
      <c r="N5" s="2">
        <f>IF(COUNT('Turns'!E5)=1,SUM('Turns'!E5),"Unknown")</f>
        <v>3.5860242e-05</v>
      </c>
      <c r="O5" s="2">
        <f>IF(COUNT('Turns'!F5)=1,SUM('Turns'!F5),"Unknown")</f>
        <v>4.092e-05</v>
      </c>
      <c r="P5" s="2">
        <v>0</v>
      </c>
      <c r="Q5" s="2">
        <v>0</v>
      </c>
      <c r="R5" s="2">
        <v>0</v>
      </c>
      <c r="S5" s="2">
        <f>IF(COUNT('Turns'!D14)=1,SUM('Turns'!D14),"Unknown")</f>
        <v>82.0</v>
      </c>
      <c r="T5" s="2">
        <f>IF(COUNT('Turns'!E14)=1,SUM('Turns'!E14),"Unknown")</f>
        <v>8.623284e-05</v>
      </c>
      <c r="U5" s="2">
        <f>IF(COUNT('Turns'!F14)=1,SUM('Turns'!F14),"Unknown")</f>
        <v>9.84e-05</v>
      </c>
      <c r="V5" s="2">
        <f>IF(COUNT('Turns'!D13)=1,SUM('Turns'!D13),"Unknown")</f>
        <v>29.0</v>
      </c>
      <c r="W5" s="2">
        <f>IF(COUNT('Turns'!E13)=1,SUM('Turns'!E13),"Unknown")</f>
        <v>3.049698e-05</v>
      </c>
      <c r="X5" s="2">
        <f>IF(COUNT('Turns'!F13)=1,SUM('Turns'!F13),"Unknown")</f>
        <v>3.48e-05</v>
      </c>
      <c r="Y5" s="2">
        <f>IF(COUNT('Turns'!E18)=1,SUM('Turns'!E18),"Unknown")</f>
        <v>0.000153115872</v>
      </c>
      <c r="Z5" s="2">
        <f>IF(COUNT('Turns'!F18)=1,SUM('Turns'!F18),"Unknown")</f>
        <v>0.00017472</v>
      </c>
      <c r="AA5" s="5">
        <f>IF(ISNUMBER(Y5),ROUND(Y5*'Reference data'!$B$2,0),"Unknown")</f>
        <v>15.0</v>
      </c>
      <c r="AB5" s="5">
        <f>IF(ISNUMBER(Z5),ROUND(Z5*'Reference data'!$B$2,0),"Unknown")</f>
        <v>17.0</v>
      </c>
      <c r="AC5" s="1" t="s">
        <v>93</v>
      </c>
      <c r="AD5" s="1">
        <v>2046.721</v>
      </c>
      <c r="AE5" s="1" t="s">
        <v>149</v>
      </c>
    </row>
    <row r="6" spans="1:31" ht="54" customHeight="1">
      <c r="A6" s="6" t="s">
        <v>150</v>
      </c>
      <c r="B6" s="1">
        <v>1</v>
      </c>
      <c r="C6" s="1" t="s">
        <v>136</v>
      </c>
      <c r="D6" s="1" t="s">
        <v>47</v>
      </c>
      <c r="E6" s="1" t="s">
        <v>112</v>
      </c>
      <c r="G6" s="6" t="s">
        <v>151</v>
      </c>
      <c r="H6" t="s">
        <v>152</v>
      </c>
      <c r="I6" t="s">
        <v>49</v>
      </c>
      <c r="J6" s="2">
        <f>IF(COUNT('Turns'!D24,'Turns'!D40)=2,SUM('Turns'!D24,'Turns'!D40),"Unknown")</f>
        <v>6.0</v>
      </c>
      <c r="K6" s="2">
        <f>IF(COUNT('Turns'!E24,'Turns'!E40)=2,SUM('Turns'!E24,'Turns'!E40),"Unknown")</f>
        <v>1.05162e-06</v>
      </c>
      <c r="L6" s="2">
        <f>IF(COUNT('Turns'!F24,'Turns'!F40)=2,SUM('Turns'!F24,'Turns'!F40),"Unknown")</f>
        <v>1.2e-06</v>
      </c>
      <c r="M6" s="2">
        <f>IF(COUNT('Turns'!D23,'Turns'!D39)=2,SUM('Turns'!D23,'Turns'!D39),"Unknown")</f>
        <v>3443.0</v>
      </c>
      <c r="N6" s="2">
        <f>IF(COUNT('Turns'!E23,'Turns'!E39)=2,SUM('Turns'!E23,'Turns'!E39),"Unknown")</f>
        <v>6.0345461e-05</v>
      </c>
      <c r="O6" s="2">
        <f>IF(COUNT('Turns'!F23,'Turns'!F39)=2,SUM('Turns'!F23,'Turns'!F39),"Unknown")</f>
        <v>6.886e-05</v>
      </c>
      <c r="P6" s="2">
        <f>IF(COUNT('Turns'!D27,'Turns'!D42)=2,SUM('Turns'!D27,'Turns'!D42),"Unknown")</f>
        <v>95.0</v>
      </c>
      <c r="Q6" s="2">
        <f>IF(COUNT('Turns'!E27,'Turns'!E42)=2,SUM('Turns'!E27,'Turns'!E42),"Unknown")</f>
        <v>2.08133125e-05</v>
      </c>
      <c r="R6" s="2">
        <f>IF(COUNT('Turns'!F27,'Turns'!F42)=2,SUM('Turns'!F27,'Turns'!F42),"Unknown")</f>
        <v>2.375e-05</v>
      </c>
      <c r="S6" s="2">
        <f>IF(COUNT('Turns'!D30,'Turns'!D45)=2,SUM('Turns'!D30,'Turns'!D45),"Unknown")</f>
        <v>43.0</v>
      </c>
      <c r="T6" s="2">
        <f>IF(COUNT('Turns'!E30,'Turns'!E45)=2,SUM('Turns'!E30,'Turns'!E45),"Unknown")</f>
        <v>4.521966e-05</v>
      </c>
      <c r="U6" s="2">
        <f>IF(COUNT('Turns'!F30,'Turns'!F45)=2,SUM('Turns'!F30,'Turns'!F45),"Unknown")</f>
        <v>5.16e-05</v>
      </c>
      <c r="V6" s="2">
        <v>0</v>
      </c>
      <c r="W6" s="2">
        <v>0</v>
      </c>
      <c r="X6" s="2">
        <v>0</v>
      </c>
      <c r="Y6" s="2">
        <f>IF(COUNT('Turns'!E34,'Turns'!E49)=2,SUM('Turns'!E34,'Turns'!E49),"Unknown")</f>
        <v>0.0001274300535</v>
      </c>
      <c r="Z6" s="2">
        <f>IF(COUNT('Turns'!F34,'Turns'!F49)=2,SUM('Turns'!F34,'Turns'!F49),"Unknown")</f>
        <v>0.00014541</v>
      </c>
      <c r="AA6" s="5">
        <f>IF(ISNUMBER(Y6),ROUND(Y6*'Reference data'!$B$2,0),"Unknown")</f>
        <v>13.0</v>
      </c>
      <c r="AB6" s="5">
        <f>IF(ISNUMBER(Z6),ROUND(Z6*'Reference data'!$B$2,0),"Unknown")</f>
        <v>15.0</v>
      </c>
      <c r="AD6" s="1">
        <v>2276.116</v>
      </c>
      <c r="AE6" s="1" t="s">
        <v>138</v>
      </c>
    </row>
    <row r="7" spans="1:31" ht="54" customHeight="1">
      <c r="A7" s="6" t="s">
        <v>153</v>
      </c>
      <c r="B7" s="1">
        <v>2</v>
      </c>
      <c r="C7" s="1" t="s">
        <v>154</v>
      </c>
      <c r="D7" s="1" t="s">
        <v>47</v>
      </c>
      <c r="E7" s="1" t="s">
        <v>112</v>
      </c>
      <c r="G7" s="6" t="s">
        <v>155</v>
      </c>
      <c r="H7" t="s">
        <v>114</v>
      </c>
      <c r="I7" t="s">
        <v>152</v>
      </c>
      <c r="J7" s="2">
        <f>IF(COUNT('Turns'!D24,'Turns'!D40)=2,SUM('Turns'!D24,'Turns'!D40),"Unknown")</f>
        <v>6.0</v>
      </c>
      <c r="K7" s="2">
        <f>IF(COUNT('Turns'!E24,'Turns'!E40)=2,SUM('Turns'!E24,'Turns'!E40),"Unknown")</f>
        <v>1.05162e-06</v>
      </c>
      <c r="L7" s="2">
        <f>IF(COUNT('Turns'!F24,'Turns'!F40)=2,SUM('Turns'!F24,'Turns'!F40),"Unknown")</f>
        <v>1.2e-06</v>
      </c>
      <c r="M7" s="2">
        <f>IF(COUNT('Turns'!D23,'Turns'!D39)=2,SUM('Turns'!D23,'Turns'!D39),"Unknown")</f>
        <v>3443.0</v>
      </c>
      <c r="N7" s="2">
        <f>IF(COUNT('Turns'!E23,'Turns'!E39)=2,SUM('Turns'!E23,'Turns'!E39),"Unknown")</f>
        <v>6.0345461e-05</v>
      </c>
      <c r="O7" s="2">
        <f>IF(COUNT('Turns'!F23,'Turns'!F39)=2,SUM('Turns'!F23,'Turns'!F39),"Unknown")</f>
        <v>6.886e-05</v>
      </c>
      <c r="P7" s="2">
        <f>IF(COUNT('Turns'!D27,'Turns'!D42)=2,SUM('Turns'!D27,'Turns'!D42),"Unknown")</f>
        <v>95.0</v>
      </c>
      <c r="Q7" s="2">
        <f>IF(COUNT('Turns'!E27,'Turns'!E42)=2,SUM('Turns'!E27,'Turns'!E42),"Unknown")</f>
        <v>2.08133125e-05</v>
      </c>
      <c r="R7" s="2">
        <f>IF(COUNT('Turns'!F27,'Turns'!F42)=2,SUM('Turns'!F27,'Turns'!F42),"Unknown")</f>
        <v>2.375e-05</v>
      </c>
      <c r="S7" s="2">
        <f>IF(COUNT('Turns'!D30,'Turns'!D45)=2,SUM('Turns'!D30,'Turns'!D45),"Unknown")</f>
        <v>43.0</v>
      </c>
      <c r="T7" s="2">
        <f>IF(COUNT('Turns'!E30,'Turns'!E45)=2,SUM('Turns'!E30,'Turns'!E45),"Unknown")</f>
        <v>4.521966e-05</v>
      </c>
      <c r="U7" s="2">
        <f>IF(COUNT('Turns'!F30,'Turns'!F45)=2,SUM('Turns'!F30,'Turns'!F45),"Unknown")</f>
        <v>5.16e-05</v>
      </c>
      <c r="V7" s="2">
        <v>0</v>
      </c>
      <c r="W7" s="2">
        <v>0</v>
      </c>
      <c r="X7" s="2">
        <v>0</v>
      </c>
      <c r="Y7" s="2">
        <f>IF(COUNT('Turns'!E34,'Turns'!E49)=2,SUM('Turns'!E34,'Turns'!E49),"Unknown")</f>
        <v>0.0001274300535</v>
      </c>
      <c r="Z7" s="2">
        <f>IF(COUNT('Turns'!F34,'Turns'!F49)=2,SUM('Turns'!F34,'Turns'!F49),"Unknown")</f>
        <v>0.00014541</v>
      </c>
      <c r="AA7" s="5">
        <f>IF(ISNUMBER(Y7),ROUND(Y7*'Reference data'!$B$2,0),"Unknown")</f>
        <v>13.0</v>
      </c>
      <c r="AB7" s="5">
        <f>IF(ISNUMBER(Z7),ROUND(Z7*'Reference data'!$B$2,0),"Unknown")</f>
        <v>15.0</v>
      </c>
      <c r="AD7" s="1">
        <v>2273.475</v>
      </c>
      <c r="AE7" s="1" t="s">
        <v>138</v>
      </c>
    </row>
    <row r="8" spans="1:31" ht="54" customHeight="1">
      <c r="A8" s="6" t="s">
        <v>156</v>
      </c>
      <c r="B8" s="1">
        <v>3</v>
      </c>
      <c r="C8" s="1" t="s">
        <v>136</v>
      </c>
      <c r="D8" s="1" t="s">
        <v>47</v>
      </c>
      <c r="E8" s="1" t="s">
        <v>112</v>
      </c>
      <c r="G8" s="6" t="s">
        <v>157</v>
      </c>
      <c r="H8" t="s">
        <v>158</v>
      </c>
      <c r="I8" t="s">
        <v>114</v>
      </c>
      <c r="J8" s="2">
        <f>IF(COUNT('Turns'!D24,'Turns'!D40)=2,SUM('Turns'!D24,'Turns'!D40),"Unknown")</f>
        <v>6.0</v>
      </c>
      <c r="K8" s="2">
        <f>IF(COUNT('Turns'!E24,'Turns'!E40)=2,SUM('Turns'!E24,'Turns'!E40),"Unknown")</f>
        <v>1.05162e-06</v>
      </c>
      <c r="L8" s="2">
        <f>IF(COUNT('Turns'!F24,'Turns'!F40)=2,SUM('Turns'!F24,'Turns'!F40),"Unknown")</f>
        <v>1.2e-06</v>
      </c>
      <c r="M8" s="2">
        <f>IF(COUNT('Turns'!D23,'Turns'!D39)=2,SUM('Turns'!D23,'Turns'!D39),"Unknown")</f>
        <v>3443.0</v>
      </c>
      <c r="N8" s="2">
        <f>IF(COUNT('Turns'!E23,'Turns'!E39)=2,SUM('Turns'!E23,'Turns'!E39),"Unknown")</f>
        <v>6.0345461e-05</v>
      </c>
      <c r="O8" s="2">
        <f>IF(COUNT('Turns'!F23,'Turns'!F39)=2,SUM('Turns'!F23,'Turns'!F39),"Unknown")</f>
        <v>6.886e-05</v>
      </c>
      <c r="P8" s="2">
        <f>IF(COUNT('Turns'!D27,'Turns'!D42)=2,SUM('Turns'!D27,'Turns'!D42),"Unknown")</f>
        <v>95.0</v>
      </c>
      <c r="Q8" s="2">
        <f>IF(COUNT('Turns'!E27,'Turns'!E42)=2,SUM('Turns'!E27,'Turns'!E42),"Unknown")</f>
        <v>2.08133125e-05</v>
      </c>
      <c r="R8" s="2">
        <f>IF(COUNT('Turns'!F27,'Turns'!F42)=2,SUM('Turns'!F27,'Turns'!F42),"Unknown")</f>
        <v>2.375e-05</v>
      </c>
      <c r="S8" s="2">
        <f>IF(COUNT('Turns'!D30,'Turns'!D45)=2,SUM('Turns'!D30,'Turns'!D45),"Unknown")</f>
        <v>43.0</v>
      </c>
      <c r="T8" s="2">
        <f>IF(COUNT('Turns'!E30,'Turns'!E45)=2,SUM('Turns'!E30,'Turns'!E45),"Unknown")</f>
        <v>4.521966e-05</v>
      </c>
      <c r="U8" s="2">
        <f>IF(COUNT('Turns'!F30,'Turns'!F45)=2,SUM('Turns'!F30,'Turns'!F45),"Unknown")</f>
        <v>5.16e-05</v>
      </c>
      <c r="V8" s="2">
        <v>0</v>
      </c>
      <c r="W8" s="2">
        <v>0</v>
      </c>
      <c r="X8" s="2">
        <v>0</v>
      </c>
      <c r="Y8" s="2">
        <f>IF(COUNT('Turns'!E34,'Turns'!E49)=2,SUM('Turns'!E34,'Turns'!E49),"Unknown")</f>
        <v>0.0001274300535</v>
      </c>
      <c r="Z8" s="2">
        <f>IF(COUNT('Turns'!F34,'Turns'!F49)=2,SUM('Turns'!F34,'Turns'!F49),"Unknown")</f>
        <v>0.00014541</v>
      </c>
      <c r="AA8" s="5">
        <f>IF(ISNUMBER(Y8),ROUND(Y8*'Reference data'!$B$2,0),"Unknown")</f>
        <v>13.0</v>
      </c>
      <c r="AB8" s="5">
        <f>IF(ISNUMBER(Z8),ROUND(Z8*'Reference data'!$B$2,0),"Unknown")</f>
        <v>15.0</v>
      </c>
      <c r="AD8" s="1">
        <v>2271.449</v>
      </c>
      <c r="AE8" s="1" t="s">
        <v>138</v>
      </c>
    </row>
    <row r="9" spans="1:31" ht="54" customHeight="1">
      <c r="A9" s="6" t="s">
        <v>159</v>
      </c>
      <c r="B9" s="1">
        <v>4</v>
      </c>
      <c r="C9" s="1" t="s">
        <v>136</v>
      </c>
      <c r="D9" s="1" t="s">
        <v>47</v>
      </c>
      <c r="E9" s="1" t="s">
        <v>112</v>
      </c>
      <c r="G9" s="6" t="s">
        <v>140</v>
      </c>
      <c r="H9" t="s">
        <v>160</v>
      </c>
      <c r="I9" t="s">
        <v>158</v>
      </c>
      <c r="AD9" s="1">
        <v>1.322</v>
      </c>
      <c r="AE9" s="1" t="s">
        <v>142</v>
      </c>
    </row>
    <row r="10" spans="1:31" ht="54" customHeight="1">
      <c r="A10" s="6" t="s">
        <v>161</v>
      </c>
      <c r="B10" s="1">
        <v>4</v>
      </c>
      <c r="C10" s="1" t="s">
        <v>136</v>
      </c>
      <c r="D10" s="1" t="s">
        <v>47</v>
      </c>
      <c r="E10" s="1" t="s">
        <v>112</v>
      </c>
      <c r="G10" s="6" t="s">
        <v>144</v>
      </c>
      <c r="H10" t="s">
        <v>162</v>
      </c>
      <c r="I10" t="s">
        <v>158</v>
      </c>
      <c r="J10" s="2">
        <f>IF(COUNT('Turns'!D24)=1,SUM('Turns'!D24),"Unknown")</f>
        <v>3.0</v>
      </c>
      <c r="K10" s="2">
        <f>IF(COUNT('Turns'!E24)=1,SUM('Turns'!E24),"Unknown")</f>
        <v>5.2581e-07</v>
      </c>
      <c r="L10" s="2">
        <f>IF(COUNT('Turns'!F24)=1,SUM('Turns'!F24),"Unknown")</f>
        <v>6e-07</v>
      </c>
      <c r="M10" s="2">
        <f>IF(COUNT('Turns'!D23)=1,SUM('Turns'!D23),"Unknown")</f>
        <v>1692.0</v>
      </c>
      <c r="N10" s="2">
        <f>IF(COUNT('Turns'!E23)=1,SUM('Turns'!E23),"Unknown")</f>
        <v>2.9655684e-05</v>
      </c>
      <c r="O10" s="2">
        <f>IF(COUNT('Turns'!F23)=1,SUM('Turns'!F23),"Unknown")</f>
        <v>3.384e-05</v>
      </c>
      <c r="P10" s="2">
        <f>IF(COUNT('Turns'!D27)=1,SUM('Turns'!D27),"Unknown")</f>
        <v>59.0</v>
      </c>
      <c r="Q10" s="2">
        <f>IF(COUNT('Turns'!E27)=1,SUM('Turns'!E27),"Unknown")</f>
        <v>1.29261625e-05</v>
      </c>
      <c r="R10" s="2">
        <f>IF(COUNT('Turns'!F27)=1,SUM('Turns'!F27),"Unknown")</f>
        <v>1.475e-05</v>
      </c>
      <c r="S10" s="2">
        <f>IF(COUNT('Turns'!D30)=1,SUM('Turns'!D30),"Unknown")</f>
        <v>19.0</v>
      </c>
      <c r="T10" s="2">
        <f>IF(COUNT('Turns'!E30)=1,SUM('Turns'!E30),"Unknown")</f>
        <v>1.998078e-05</v>
      </c>
      <c r="U10" s="2">
        <f>IF(COUNT('Turns'!F30)=1,SUM('Turns'!F30),"Unknown")</f>
        <v>2.28e-05</v>
      </c>
      <c r="V10" s="2">
        <v>0</v>
      </c>
      <c r="W10" s="2">
        <v>0</v>
      </c>
      <c r="X10" s="2">
        <v>0</v>
      </c>
      <c r="Y10" s="2">
        <f>IF(COUNT('Turns'!E34)=1,SUM('Turns'!E34),"Unknown")</f>
        <v>6.30884365e-05</v>
      </c>
      <c r="Z10" s="2">
        <f>IF(COUNT('Turns'!F34)=1,SUM('Turns'!F34),"Unknown")</f>
        <v>7.199e-05</v>
      </c>
      <c r="AA10" s="5">
        <f>IF(ISNUMBER(Y10),ROUND(Y10*'Reference data'!$B$2,0),"Unknown")</f>
        <v>6.0</v>
      </c>
      <c r="AB10" s="5">
        <f>IF(ISNUMBER(Z10),ROUND(Z10*'Reference data'!$B$2,0),"Unknown")</f>
        <v>7.0</v>
      </c>
      <c r="AD10" s="1">
        <v>1236.572</v>
      </c>
      <c r="AE10" s="1" t="s">
        <v>138</v>
      </c>
    </row>
    <row r="11" spans="1:31" ht="54" customHeight="1">
      <c r="A11" s="6" t="s">
        <v>163</v>
      </c>
      <c r="B11" s="1">
        <v>5</v>
      </c>
      <c r="C11" s="1" t="s">
        <v>147</v>
      </c>
      <c r="D11" s="1" t="s">
        <v>95</v>
      </c>
      <c r="E11" s="1" t="s">
        <v>112</v>
      </c>
      <c r="F11" s="1">
        <v>1754</v>
      </c>
      <c r="G11" s="6" t="s">
        <v>148</v>
      </c>
      <c r="H11" t="s">
        <v>120</v>
      </c>
      <c r="I11" t="s">
        <v>162</v>
      </c>
      <c r="J11" s="2">
        <f>IF(COUNT('Turns'!D24)=1,SUM('Turns'!D24),"Unknown")</f>
        <v>3.0</v>
      </c>
      <c r="K11" s="2">
        <f>IF(COUNT('Turns'!E24)=1,SUM('Turns'!E24),"Unknown")</f>
        <v>5.2581e-07</v>
      </c>
      <c r="L11" s="2">
        <f>IF(COUNT('Turns'!F24)=1,SUM('Turns'!F24),"Unknown")</f>
        <v>6e-07</v>
      </c>
      <c r="M11" s="2">
        <f>IF(COUNT('Turns'!D23)=1,SUM('Turns'!D23),"Unknown")</f>
        <v>1692.0</v>
      </c>
      <c r="N11" s="2">
        <f>IF(COUNT('Turns'!E23)=1,SUM('Turns'!E23),"Unknown")</f>
        <v>2.9655684e-05</v>
      </c>
      <c r="O11" s="2">
        <f>IF(COUNT('Turns'!F23)=1,SUM('Turns'!F23),"Unknown")</f>
        <v>3.384e-05</v>
      </c>
      <c r="P11" s="2">
        <f>IF(COUNT('Turns'!D27)=1,SUM('Turns'!D27),"Unknown")</f>
        <v>59.0</v>
      </c>
      <c r="Q11" s="2">
        <f>IF(COUNT('Turns'!E27)=1,SUM('Turns'!E27),"Unknown")</f>
        <v>1.29261625e-05</v>
      </c>
      <c r="R11" s="2">
        <f>IF(COUNT('Turns'!F27)=1,SUM('Turns'!F27),"Unknown")</f>
        <v>1.475e-05</v>
      </c>
      <c r="S11" s="2">
        <f>IF(COUNT('Turns'!D30)=1,SUM('Turns'!D30),"Unknown")</f>
        <v>19.0</v>
      </c>
      <c r="T11" s="2">
        <f>IF(COUNT('Turns'!E30)=1,SUM('Turns'!E30),"Unknown")</f>
        <v>1.998078e-05</v>
      </c>
      <c r="U11" s="2">
        <f>IF(COUNT('Turns'!F30)=1,SUM('Turns'!F30),"Unknown")</f>
        <v>2.28e-05</v>
      </c>
      <c r="V11" s="2">
        <v>0</v>
      </c>
      <c r="W11" s="2">
        <v>0</v>
      </c>
      <c r="X11" s="2">
        <v>0</v>
      </c>
      <c r="Y11" s="2">
        <f>IF(COUNT('Turns'!E34)=1,SUM('Turns'!E34),"Unknown")</f>
        <v>6.30884365e-05</v>
      </c>
      <c r="Z11" s="2">
        <f>IF(COUNT('Turns'!F34)=1,SUM('Turns'!F34),"Unknown")</f>
        <v>7.199e-05</v>
      </c>
      <c r="AA11" s="5">
        <f>IF(ISNUMBER(Y11),ROUND(Y11*'Reference data'!$B$2,0),"Unknown")</f>
        <v>6.0</v>
      </c>
      <c r="AB11" s="5">
        <f>IF(ISNUMBER(Z11),ROUND(Z11*'Reference data'!$B$2,0),"Unknown")</f>
        <v>7.0</v>
      </c>
      <c r="AC11" s="1" t="s">
        <v>119</v>
      </c>
      <c r="AD11" s="1">
        <v>1228.523</v>
      </c>
      <c r="AE11" s="1" t="s">
        <v>149</v>
      </c>
    </row>
    <row r="12" spans="1:31" ht="54" customHeight="1">
      <c r="A12" s="6" t="s">
        <v>164</v>
      </c>
      <c r="B12" s="1">
        <v>4</v>
      </c>
      <c r="C12" s="1" t="s">
        <v>136</v>
      </c>
      <c r="D12" s="1" t="s">
        <v>47</v>
      </c>
      <c r="E12" s="1" t="s">
        <v>112</v>
      </c>
      <c r="G12" s="6" t="s">
        <v>151</v>
      </c>
      <c r="H12" t="s">
        <v>165</v>
      </c>
      <c r="I12" t="s">
        <v>158</v>
      </c>
      <c r="AD12" s="1">
        <v>4.112</v>
      </c>
      <c r="AE12" s="1" t="s">
        <v>142</v>
      </c>
    </row>
    <row r="13" spans="1:31" ht="54" customHeight="1">
      <c r="A13" s="6" t="s">
        <v>166</v>
      </c>
      <c r="B13" s="1">
        <v>5</v>
      </c>
      <c r="C13" s="1" t="s">
        <v>154</v>
      </c>
      <c r="D13" s="1" t="s">
        <v>47</v>
      </c>
      <c r="E13" s="1" t="s">
        <v>112</v>
      </c>
      <c r="G13" s="6" t="s">
        <v>167</v>
      </c>
      <c r="H13" t="s">
        <v>124</v>
      </c>
      <c r="I13" t="s">
        <v>165</v>
      </c>
      <c r="AD13" s="1">
        <v>1.036</v>
      </c>
      <c r="AE13" s="1" t="s">
        <v>142</v>
      </c>
    </row>
    <row r="14" spans="1:31" ht="54" customHeight="1">
      <c r="A14" s="6" t="s">
        <v>161</v>
      </c>
      <c r="B14" s="1">
        <v>4</v>
      </c>
      <c r="C14" s="1" t="s">
        <v>136</v>
      </c>
      <c r="D14" s="1" t="s">
        <v>47</v>
      </c>
      <c r="E14" s="1" t="s">
        <v>112</v>
      </c>
      <c r="G14" s="6" t="s">
        <v>144</v>
      </c>
      <c r="H14" t="s">
        <v>168</v>
      </c>
      <c r="I14" t="s">
        <v>158</v>
      </c>
      <c r="J14" s="2">
        <f>IF(COUNT('Turns'!D40)=1,SUM('Turns'!D40),"Unknown")</f>
        <v>3.0</v>
      </c>
      <c r="K14" s="2">
        <f>IF(COUNT('Turns'!E40)=1,SUM('Turns'!E40),"Unknown")</f>
        <v>5.2581e-07</v>
      </c>
      <c r="L14" s="2">
        <f>IF(COUNT('Turns'!F40)=1,SUM('Turns'!F40),"Unknown")</f>
        <v>6e-07</v>
      </c>
      <c r="M14" s="2">
        <f>IF(COUNT('Turns'!D39)=1,SUM('Turns'!D39),"Unknown")</f>
        <v>1751.0</v>
      </c>
      <c r="N14" s="2">
        <f>IF(COUNT('Turns'!E39)=1,SUM('Turns'!E39),"Unknown")</f>
        <v>3.0689777e-05</v>
      </c>
      <c r="O14" s="2">
        <f>IF(COUNT('Turns'!F39)=1,SUM('Turns'!F39),"Unknown")</f>
        <v>3.502e-05</v>
      </c>
      <c r="P14" s="2">
        <f>IF(COUNT('Turns'!D42)=1,SUM('Turns'!D42),"Unknown")</f>
        <v>36.0</v>
      </c>
      <c r="Q14" s="2">
        <f>IF(COUNT('Turns'!E42)=1,SUM('Turns'!E42),"Unknown")</f>
        <v>7.88715e-06</v>
      </c>
      <c r="R14" s="2">
        <f>IF(COUNT('Turns'!F42)=1,SUM('Turns'!F42),"Unknown")</f>
        <v>9e-06</v>
      </c>
      <c r="S14" s="2">
        <f>IF(COUNT('Turns'!D45)=1,SUM('Turns'!D45),"Unknown")</f>
        <v>24.0</v>
      </c>
      <c r="T14" s="2">
        <f>IF(COUNT('Turns'!E45)=1,SUM('Turns'!E45),"Unknown")</f>
        <v>2.523888e-05</v>
      </c>
      <c r="U14" s="2">
        <f>IF(COUNT('Turns'!F45)=1,SUM('Turns'!F45),"Unknown")</f>
        <v>2.88e-05</v>
      </c>
      <c r="V14" s="2">
        <v>0</v>
      </c>
      <c r="W14" s="2">
        <v>0</v>
      </c>
      <c r="X14" s="2">
        <v>0</v>
      </c>
      <c r="Y14" s="2">
        <f>IF(COUNT('Turns'!E49)=1,SUM('Turns'!E49),"Unknown")</f>
        <v>6.4341617e-05</v>
      </c>
      <c r="Z14" s="2">
        <f>IF(COUNT('Turns'!F49)=1,SUM('Turns'!F49),"Unknown")</f>
        <v>7.342e-05</v>
      </c>
      <c r="AA14" s="5">
        <f>IF(ISNUMBER(Y14),ROUND(Y14*'Reference data'!$B$2,0),"Unknown")</f>
        <v>6.0</v>
      </c>
      <c r="AB14" s="5">
        <f>IF(ISNUMBER(Z14),ROUND(Z14*'Reference data'!$B$2,0),"Unknown")</f>
        <v>7.0</v>
      </c>
      <c r="AD14" s="1">
        <v>1023.072</v>
      </c>
      <c r="AE14" s="1" t="s">
        <v>138</v>
      </c>
    </row>
    <row r="15" spans="1:31" ht="54" customHeight="1">
      <c r="A15" s="6" t="s">
        <v>163</v>
      </c>
      <c r="B15" s="1">
        <v>5</v>
      </c>
      <c r="C15" s="1" t="s">
        <v>147</v>
      </c>
      <c r="D15" s="1" t="s">
        <v>95</v>
      </c>
      <c r="E15" s="1" t="s">
        <v>112</v>
      </c>
      <c r="F15" s="1">
        <v>1790</v>
      </c>
      <c r="G15" s="6" t="s">
        <v>148</v>
      </c>
      <c r="H15" t="s">
        <v>128</v>
      </c>
      <c r="I15" t="s">
        <v>168</v>
      </c>
      <c r="J15" s="2">
        <f>IF(COUNT('Turns'!D40)=1,SUM('Turns'!D40),"Unknown")</f>
        <v>3.0</v>
      </c>
      <c r="K15" s="2">
        <f>IF(COUNT('Turns'!E40)=1,SUM('Turns'!E40),"Unknown")</f>
        <v>5.2581e-07</v>
      </c>
      <c r="L15" s="2">
        <f>IF(COUNT('Turns'!F40)=1,SUM('Turns'!F40),"Unknown")</f>
        <v>6e-07</v>
      </c>
      <c r="M15" s="2">
        <f>IF(COUNT('Turns'!D39)=1,SUM('Turns'!D39),"Unknown")</f>
        <v>1751.0</v>
      </c>
      <c r="N15" s="2">
        <f>IF(COUNT('Turns'!E39)=1,SUM('Turns'!E39),"Unknown")</f>
        <v>3.0689777e-05</v>
      </c>
      <c r="O15" s="2">
        <f>IF(COUNT('Turns'!F39)=1,SUM('Turns'!F39),"Unknown")</f>
        <v>3.502e-05</v>
      </c>
      <c r="P15" s="2">
        <f>IF(COUNT('Turns'!D42)=1,SUM('Turns'!D42),"Unknown")</f>
        <v>36.0</v>
      </c>
      <c r="Q15" s="2">
        <f>IF(COUNT('Turns'!E42)=1,SUM('Turns'!E42),"Unknown")</f>
        <v>7.88715e-06</v>
      </c>
      <c r="R15" s="2">
        <f>IF(COUNT('Turns'!F42)=1,SUM('Turns'!F42),"Unknown")</f>
        <v>9e-06</v>
      </c>
      <c r="S15" s="2">
        <f>IF(COUNT('Turns'!D45)=1,SUM('Turns'!D45),"Unknown")</f>
        <v>24.0</v>
      </c>
      <c r="T15" s="2">
        <f>IF(COUNT('Turns'!E45)=1,SUM('Turns'!E45),"Unknown")</f>
        <v>2.523888e-05</v>
      </c>
      <c r="U15" s="2">
        <f>IF(COUNT('Turns'!F45)=1,SUM('Turns'!F45),"Unknown")</f>
        <v>2.88e-05</v>
      </c>
      <c r="V15" s="2">
        <v>0</v>
      </c>
      <c r="W15" s="2">
        <v>0</v>
      </c>
      <c r="X15" s="2">
        <v>0</v>
      </c>
      <c r="Y15" s="2">
        <f>IF(COUNT('Turns'!E49)=1,SUM('Turns'!E49),"Unknown")</f>
        <v>6.4341617e-05</v>
      </c>
      <c r="Z15" s="2">
        <f>IF(COUNT('Turns'!F49)=1,SUM('Turns'!F49),"Unknown")</f>
        <v>7.342e-05</v>
      </c>
      <c r="AA15" s="5">
        <f>IF(ISNUMBER(Y15),ROUND(Y15*'Reference data'!$B$2,0),"Unknown")</f>
        <v>6.0</v>
      </c>
      <c r="AB15" s="5">
        <f>IF(ISNUMBER(Z15),ROUND(Z15*'Reference data'!$B$2,0),"Unknown")</f>
        <v>7.0</v>
      </c>
      <c r="AC15" s="1" t="s">
        <v>127</v>
      </c>
      <c r="AD15" s="1">
        <v>1015.023</v>
      </c>
      <c r="AE15" s="1" t="s">
        <v>149</v>
      </c>
    </row>
    <row r="16" spans="1:31" ht="54" customHeight="1">
      <c r="A16" s="6" t="s">
        <v>143</v>
      </c>
      <c r="B16" s="1">
        <v>1</v>
      </c>
      <c r="C16" s="1" t="s">
        <v>136</v>
      </c>
      <c r="D16" s="1" t="s">
        <v>47</v>
      </c>
      <c r="E16" s="1" t="s">
        <v>112</v>
      </c>
      <c r="G16" s="6" t="s">
        <v>144</v>
      </c>
      <c r="H16" t="s">
        <v>169</v>
      </c>
      <c r="I16" t="s">
        <v>49</v>
      </c>
      <c r="J16" s="2">
        <f>IF(COUNT('Turns'!D52)=1,SUM('Turns'!D52),"Unknown")</f>
        <v>3.0</v>
      </c>
      <c r="K16" s="2">
        <f>IF(COUNT('Turns'!E52)=1,SUM('Turns'!E52),"Unknown")</f>
        <v>5.2581e-07</v>
      </c>
      <c r="L16" s="2">
        <f>IF(COUNT('Turns'!F52)=1,SUM('Turns'!F52),"Unknown")</f>
        <v>6e-07</v>
      </c>
      <c r="M16" s="2">
        <f>IF(COUNT('Turns'!D51)=1,SUM('Turns'!D51),"Unknown")</f>
        <v>2046.0</v>
      </c>
      <c r="N16" s="2">
        <f>IF(COUNT('Turns'!E51)=1,SUM('Turns'!E51),"Unknown")</f>
        <v>3.5860242e-05</v>
      </c>
      <c r="O16" s="2">
        <f>IF(COUNT('Turns'!F51)=1,SUM('Turns'!F51),"Unknown")</f>
        <v>4.092e-05</v>
      </c>
      <c r="P16" s="2">
        <f>IF(COUNT('Turns'!D54)=1,SUM('Turns'!D54),"Unknown")</f>
        <v>140.0</v>
      </c>
      <c r="Q16" s="2">
        <f>IF(COUNT('Turns'!E54)=1,SUM('Turns'!E54),"Unknown")</f>
        <v>3.067225e-05</v>
      </c>
      <c r="R16" s="2">
        <f>IF(COUNT('Turns'!F54)=1,SUM('Turns'!F54),"Unknown")</f>
        <v>3.5e-05</v>
      </c>
      <c r="S16" s="2">
        <f>IF(COUNT('Turns'!D57)=1,SUM('Turns'!D57),"Unknown")</f>
        <v>40.0</v>
      </c>
      <c r="T16" s="2">
        <f>IF(COUNT('Turns'!E57)=1,SUM('Turns'!E57),"Unknown")</f>
        <v>4.20648e-05</v>
      </c>
      <c r="U16" s="2">
        <f>IF(COUNT('Turns'!F57)=1,SUM('Turns'!F57),"Unknown")</f>
        <v>4.8e-05</v>
      </c>
      <c r="V16" s="2">
        <v>0</v>
      </c>
      <c r="W16" s="2">
        <v>0</v>
      </c>
      <c r="X16" s="2">
        <v>0</v>
      </c>
      <c r="Y16" s="2">
        <f>IF(COUNT('Turns'!E61)=1,SUM('Turns'!E61),"Unknown")</f>
        <v>0.000109123102</v>
      </c>
      <c r="Z16" s="2">
        <f>IF(COUNT('Turns'!F61)=1,SUM('Turns'!F61),"Unknown")</f>
        <v>0.00012452</v>
      </c>
      <c r="AA16" s="5">
        <f>IF(ISNUMBER(Y16),ROUND(Y16*'Reference data'!$B$2,0),"Unknown")</f>
        <v>11.0</v>
      </c>
      <c r="AB16" s="5">
        <f>IF(ISNUMBER(Z16),ROUND(Z16*'Reference data'!$B$2,0),"Unknown")</f>
        <v>12.0</v>
      </c>
      <c r="AD16" s="1">
        <v>1023.474</v>
      </c>
      <c r="AE16" s="1" t="s">
        <v>138</v>
      </c>
    </row>
    <row r="17" spans="1:31" ht="54" customHeight="1">
      <c r="A17" s="6" t="s">
        <v>146</v>
      </c>
      <c r="B17" s="1">
        <v>2</v>
      </c>
      <c r="C17" s="1" t="s">
        <v>147</v>
      </c>
      <c r="D17" s="1" t="s">
        <v>95</v>
      </c>
      <c r="E17" s="1" t="s">
        <v>112</v>
      </c>
      <c r="F17" s="1">
        <v>2189</v>
      </c>
      <c r="G17" s="6" t="s">
        <v>148</v>
      </c>
      <c r="H17" t="s">
        <v>132</v>
      </c>
      <c r="I17" t="s">
        <v>169</v>
      </c>
      <c r="J17" s="2">
        <f>IF(COUNT('Turns'!D52)=1,SUM('Turns'!D52),"Unknown")</f>
        <v>3.0</v>
      </c>
      <c r="K17" s="2">
        <f>IF(COUNT('Turns'!E52)=1,SUM('Turns'!E52),"Unknown")</f>
        <v>5.2581e-07</v>
      </c>
      <c r="L17" s="2">
        <f>IF(COUNT('Turns'!F52)=1,SUM('Turns'!F52),"Unknown")</f>
        <v>6e-07</v>
      </c>
      <c r="M17" s="2">
        <f>IF(COUNT('Turns'!D51)=1,SUM('Turns'!D51),"Unknown")</f>
        <v>2046.0</v>
      </c>
      <c r="N17" s="2">
        <f>IF(COUNT('Turns'!E51)=1,SUM('Turns'!E51),"Unknown")</f>
        <v>3.5860242e-05</v>
      </c>
      <c r="O17" s="2">
        <f>IF(COUNT('Turns'!F51)=1,SUM('Turns'!F51),"Unknown")</f>
        <v>4.092e-05</v>
      </c>
      <c r="P17" s="2">
        <f>IF(COUNT('Turns'!D54)=1,SUM('Turns'!D54),"Unknown")</f>
        <v>140.0</v>
      </c>
      <c r="Q17" s="2">
        <f>IF(COUNT('Turns'!E54)=1,SUM('Turns'!E54),"Unknown")</f>
        <v>3.067225e-05</v>
      </c>
      <c r="R17" s="2">
        <f>IF(COUNT('Turns'!F54)=1,SUM('Turns'!F54),"Unknown")</f>
        <v>3.5e-05</v>
      </c>
      <c r="S17" s="2">
        <f>IF(COUNT('Turns'!D57)=1,SUM('Turns'!D57),"Unknown")</f>
        <v>40.0</v>
      </c>
      <c r="T17" s="2">
        <f>IF(COUNT('Turns'!E57)=1,SUM('Turns'!E57),"Unknown")</f>
        <v>4.20648e-05</v>
      </c>
      <c r="U17" s="2">
        <f>IF(COUNT('Turns'!F57)=1,SUM('Turns'!F57),"Unknown")</f>
        <v>4.8e-05</v>
      </c>
      <c r="V17" s="2">
        <v>0</v>
      </c>
      <c r="W17" s="2">
        <v>0</v>
      </c>
      <c r="X17" s="2">
        <v>0</v>
      </c>
      <c r="Y17" s="2">
        <f>IF(COUNT('Turns'!E61)=1,SUM('Turns'!E61),"Unknown")</f>
        <v>0.000109123102</v>
      </c>
      <c r="Z17" s="2">
        <f>IF(COUNT('Turns'!F61)=1,SUM('Turns'!F61),"Unknown")</f>
        <v>0.00012452</v>
      </c>
      <c r="AA17" s="5">
        <f>IF(ISNUMBER(Y17),ROUND(Y17*'Reference data'!$B$2,0),"Unknown")</f>
        <v>11.0</v>
      </c>
      <c r="AB17" s="5">
        <f>IF(ISNUMBER(Z17),ROUND(Z17*'Reference data'!$B$2,0),"Unknown")</f>
        <v>12.0</v>
      </c>
      <c r="AC17" s="1" t="s">
        <v>131</v>
      </c>
      <c r="AD17" s="1">
        <v>1016.334</v>
      </c>
      <c r="AE17" s="1" t="s">
        <v>149</v>
      </c>
    </row>
  </sheetData>
  <conditionalFormatting sqref="A2:AE17">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2026-09-24T02:33:32Z</dcterms:created>
  <dcterms:modified xsi:type="dcterms:W3CDTF">2026-09-24T02:33:32Z</dcterms:modified>
</cp:coreProperties>
</file>
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83e3f99c16344dd" /></Relationships>
</file>

<file path=xl/workbook.xml><?xml version="1.0" encoding="utf-8"?>
<x:workbook xmlns:x="http://schemas.openxmlformats.org/spreadsheetml/2006/main">
  <x:sheets>
    <x:sheet xmlns:r="http://schemas.openxmlformats.org/officeDocument/2006/relationships" name="Turns" sheetId="1" r:id="R1e20809765a54930"/>
    <x:sheet xmlns:r="http://schemas.openxmlformats.org/officeDocument/2006/relationships" name="Execution tree" sheetId="2" r:id="R13ca7c5b3020450c"/>
    <x:sheet xmlns:r="http://schemas.openxmlformats.org/officeDocument/2006/relationships" name="Reference data" sheetId="3" r:id="R8e3cf06849ac4aca"/>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
    <x:numFmt numFmtId="201" formatCode="0.###############;-0.###############;0"/>
    <x:numFmt numFmtId="202" formatCode="yyyy-mm-dd"/>
    <x:numFmt numFmtId="203" formatCode="yyyy-mm-dd hh:mm:ss"/>
    <x:numFmt numFmtId="204" formatCode="0.00"/>
  </x:numFmts>
  <x:fonts count="5">
    <x:font>
      <x:sz val="11"/>
      <x:name val="Carlito"/>
    </x:font>
    <x:font>
      <x:sz val="10"/>
      <x:color rgb="FF193E42"/>
      <x:name val="Arial"/>
    </x:font>
    <x:font>
      <x:b/>
      <x:sz val="10"/>
      <x:color rgb="FFFFFFFF"/>
      <x:name val="Arial"/>
    </x:font>
    <x:font>
      <x:b/>
      <x:sz val="10"/>
      <x:color rgb="FF173B70"/>
      <x:name val="Arial"/>
    </x:font>
    <x:font>
      <x:b/>
      <x:sz val="10"/>
      <x:color rgb="FF193E42"/>
      <x:name val="Arial"/>
    </x:font>
  </x:fonts>
  <x:fills count="9">
    <x:fill>
      <x:patternFill patternType="none"/>
    </x:fill>
    <x:fill>
      <x:patternFill patternType="gray125"/>
    </x:fill>
    <x:fill>
      <x:patternFill patternType="solid">
        <x:fgColor rgb="FF173B70"/>
      </x:patternFill>
    </x:fill>
    <x:fill>
      <x:patternFill patternType="solid">
        <x:fgColor rgb="FFFFF1B8"/>
      </x:patternFill>
    </x:fill>
    <x:fill>
      <x:patternFill patternType="solid">
        <x:fgColor rgb="FFDBE5F1"/>
      </x:patternFill>
    </x:fill>
    <x:fill>
      <x:patternFill patternType="solid">
        <x:fgColor rgb="FFF0F5FC"/>
      </x:patternFill>
    </x:fill>
    <x:fill>
      <x:patternFill patternType="solid">
        <x:fgColor rgb="FFF4F4F4"/>
      </x:patternFill>
    </x:fill>
    <x:fill>
      <x:patternFill patternType="solid">
        <x:fgColor rgb="FFE8EEF7"/>
      </x:patternFill>
    </x:fill>
    <x:fill>
      <x:patternFill patternType="solid">
        <x:fgColor rgb="FFFFFFFF"/>
      </x:patternFill>
    </x:fill>
  </x:fills>
  <x:borders count="1">
    <x:border/>
  </x:borders>
  <x:cellStyleXfs count="1">
    <x:xf numFmtId="0" fontId="0" fillId="0" borderId="0"/>
  </x:cellStyleXfs>
  <x:cellXfs count="44">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x:xf>
    <x:xf numFmtId="0" fontId="2" fillId="2" borderId="0" xfId="0" applyNumberFormat="1" applyFont="1" applyFill="1" applyBorder="1" applyAlignment="1">
      <x:alignment vertical="top"/>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x:xf>
    <x:xf numFmtId="0" fontId="3" fillId="3" borderId="0" xfId="0" applyNumberFormat="1" applyFont="1" applyFill="1" applyBorder="1" applyAlignment="1">
      <x:alignment vertical="top"/>
    </x:xf>
    <x:xf numFmtId="200" fontId="3" fillId="3" borderId="0" xfId="0" applyNumberFormat="1" applyFont="1" applyFill="1" applyBorder="1" applyAlignment="1">
      <x:alignment vertical="top"/>
    </x:xf>
    <x:xf numFmtId="201"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3"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4" borderId="0" xfId="0" applyNumberFormat="1" applyFont="1" applyFill="1" applyBorder="1" applyAlignment="1">
      <x:alignment vertical="top"/>
    </x:xf>
    <x:xf numFmtId="0" fontId="3" fillId="4" borderId="0" xfId="0" applyNumberFormat="1" applyFont="1" applyFill="1" applyBorder="1" applyAlignment="1">
      <x:alignment vertical="top"/>
    </x:xf>
    <x:xf numFmtId="0" fontId="1" fillId="5" borderId="0" xfId="0" applyNumberFormat="1" applyFont="1" applyFill="1" applyBorder="1" applyAlignment="1">
      <x:alignment vertical="top"/>
    </x:xf>
    <x:xf numFmtId="0" fontId="3" fillId="5" borderId="0" xfId="0" applyNumberFormat="1" applyFont="1" applyFill="1" applyBorder="1" applyAlignment="1">
      <x:alignment vertical="top"/>
    </x:xf>
    <x:xf numFmtId="0" fontId="4" fillId="0" borderId="0" xfId="0" applyNumberFormat="1" applyFont="1" applyFill="1" applyBorder="1" applyAlignment="1">
      <x:alignment vertical="top"/>
    </x:xf>
    <x:xf numFmtId="0" fontId="1" fillId="6" borderId="0" xfId="0" applyNumberFormat="1" applyFont="1" applyFill="1" applyBorder="1" applyAlignment="1">
      <x:alignment vertical="top"/>
    </x:xf>
    <x:xf numFmtId="0" fontId="4" fillId="6" borderId="0" xfId="0" applyNumberFormat="1" applyFont="1" applyFill="1" applyBorder="1" applyAlignment="1">
      <x:alignment vertical="top"/>
    </x:xf>
    <x:xf numFmtId="0" fontId="3" fillId="4" borderId="0" xfId="0" applyNumberFormat="1" applyFont="1" applyFill="1" applyBorder="1" applyAlignment="1">
      <x:alignment vertical="top" wrapText="1"/>
    </x:xf>
    <x:xf numFmtId="0" fontId="3" fillId="5" borderId="0" xfId="0" applyNumberFormat="1" applyFont="1" applyFill="1" applyBorder="1" applyAlignment="1">
      <x:alignment vertical="top" wrapText="1"/>
    </x:xf>
    <x:xf numFmtId="0" fontId="4" fillId="6" borderId="0" xfId="0" applyNumberFormat="1" applyFont="1" applyFill="1" applyBorder="1" applyAlignment="1">
      <x:alignment vertical="top" wrapText="1"/>
    </x:xf>
    <x:xf numFmtId="201" fontId="3" fillId="4" borderId="0" xfId="0" applyNumberFormat="1" applyFont="1" applyFill="1" applyBorder="1" applyAlignment="1">
      <x:alignment vertical="top"/>
    </x:xf>
    <x:xf numFmtId="201" fontId="3" fillId="5" borderId="0" xfId="0" applyNumberFormat="1" applyFont="1" applyFill="1" applyBorder="1" applyAlignment="1">
      <x:alignment vertical="top"/>
    </x:xf>
    <x:xf numFmtId="201" fontId="4" fillId="6" borderId="0" xfId="0" applyNumberFormat="1" applyFont="1" applyFill="1" applyBorder="1" applyAlignment="1">
      <x:alignment vertical="top"/>
    </x:xf>
    <x:xf numFmtId="200" fontId="3" fillId="4" borderId="0" xfId="0" applyNumberFormat="1" applyFont="1" applyFill="1" applyBorder="1" applyAlignment="1">
      <x:alignment vertical="top"/>
    </x:xf>
    <x:xf numFmtId="200" fontId="3" fillId="5" borderId="0" xfId="0" applyNumberFormat="1" applyFont="1" applyFill="1" applyBorder="1" applyAlignment="1">
      <x:alignment vertical="top"/>
    </x:xf>
    <x:xf numFmtId="200" fontId="1" fillId="0" borderId="0" xfId="0" applyNumberFormat="1" applyFont="1" applyFill="1" applyBorder="1" applyAlignment="1">
      <x:alignment vertical="top"/>
    </x:xf>
    <x:xf numFmtId="200" fontId="4" fillId="6"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8" borderId="0" xfId="0" applyNumberFormat="1" applyFont="1" applyFill="1" applyBorder="1" applyAlignment="1">
      <x:alignment vertical="top"/>
    </x:xf>
    <x:xf numFmtId="200" fontId="1" fillId="7" borderId="0" xfId="0" applyNumberFormat="1" applyFont="1" applyFill="1" applyBorder="1" applyAlignment="1">
      <x:alignment vertical="top"/>
    </x:xf>
    <x:xf numFmtId="200" fontId="1" fillId="8" borderId="0" xfId="0" applyNumberFormat="1" applyFont="1" applyFill="1" applyBorder="1" applyAlignment="1">
      <x:alignment vertical="top"/>
    </x:xf>
    <x:xf numFmtId="200" fontId="1" fillId="5" borderId="0" xfId="0" applyNumberFormat="1" applyFont="1" applyFill="1" applyBorder="1" applyAlignment="1">
      <x:alignment vertical="top"/>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204" fontId="1" fillId="0" borderId="0" xfId="0" applyNumberFormat="1" applyFont="1" applyFill="1" applyBorder="1" applyAlignment="1">
      <x:alignment vertical="top"/>
    </x:xf>
  </x:cellXfs>
  <x:cellStyles count="1">
    <x:cellStyle name="Normal" xfId="0"/>
  </x:cellStyles>
  <x:dxfs count="4">
    <x:dxf>
      <x:font>
        <x:color rgb="FF8B1010"/>
      </x:font>
      <x:fill>
        <x:patternFill patternType="solid">
          <x:bgColor rgb="FFFFD3D3"/>
        </x:patternFill>
      </x:fill>
    </x:dxf>
    <x:dxf>
      <x:font>
        <x:color rgb="FF8B1010"/>
      </x:font>
      <x:fill>
        <x:patternFill patternType="solid">
          <x:bgColor rgb="FFFFD3D3"/>
        </x:patternFill>
      </x:fill>
    </x:dxf>
    <x:dxf>
      <x:font>
        <x:color rgb="FF8B1010"/>
      </x:font>
      <x:fill>
        <x:patternFill patternType="solid">
          <x:bgColor rgb="FFFFD3D3"/>
        </x:patternFill>
      </x:fill>
    </x:dxf>
    <x:dxf>
      <x:font>
        <x:color rgb="FF8B1010"/>
      </x:font>
      <x:fill>
        <x:patternFill patternType="solid">
          <x:bgColor rgb="FFFFD3D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429221ffb2d4f60" /><Relationship Type="http://schemas.openxmlformats.org/officeDocument/2006/relationships/theme" Target="/xl/theme/theme1.xml" Id="Rd0c1ba19931245ff" /><Relationship Type="http://schemas.openxmlformats.org/officeDocument/2006/relationships/sharedStrings" Target="/xl/sharedStrings.xml" Id="Rec45810435124233" /><Relationship Type="http://schemas.openxmlformats.org/officeDocument/2006/relationships/worksheet" Target="/xl/worksheets/sheet1.xml" Id="R1e20809765a54930" /><Relationship Type="http://schemas.openxmlformats.org/officeDocument/2006/relationships/worksheet" Target="/xl/worksheets/sheet2.xml" Id="R13ca7c5b3020450c" /><Relationship Type="http://schemas.openxmlformats.org/officeDocument/2006/relationships/worksheet" Target="/xl/worksheets/sheet3.xml" Id="R8e3cf06849ac4ac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173B70"/>
  </x:sheetPr>
  <x:sheetViews>
    <x:sheetView showGridLines="0" workbookViewId="0">
      <x:pane xSplit="1" ySplit="1" topLeftCell="B2" activePane="bottomRight" state="frozen"/>
    </x:sheetView>
  </x:sheetViews>
  <x:sheetFormatPr defaultRowHeight="15"/>
  <x:cols>
    <x:col min="1" max="1" width="10" hidden="0" customWidth="1"/>
    <x:col min="2" max="2" width="10" hidden="0" customWidth="1"/>
    <x:col min="3" max="3" width="38" hidden="0" customWidth="1"/>
    <x:col min="4" max="4" width="14" hidden="0" customWidth="1"/>
    <x:col min="5" max="5" width="22" hidden="0" customWidth="1"/>
    <x:col min="6" max="6" width="22" hidden="0" customWidth="1"/>
    <x:col min="7" max="7" width="18" hidden="0" customWidth="1"/>
    <x:col min="8" max="8" width="18" hidden="0" customWidth="1"/>
    <x:col min="9" max="9" width="100" hidden="0" customWidth="1"/>
    <x:col min="10" max="10" width="26" hidden="0" customWidth="1"/>
    <x:col min="11" max="11" width="18" hidden="0" customWidth="1"/>
    <x:col min="12" max="12" width="18" hidden="0" customWidth="1"/>
    <x:col min="13" max="13" width="38" hidden="0" customWidth="1"/>
  </x:cols>
  <x:sheetData>
    <x:row r="1" ht="44" customHeight="1">
      <x:c r="A1" s="7" t="str">
        <x:v>Request</x:v>
      </x:c>
      <x:c r="B1" s="7" t="str">
        <x:v>Turn</x:v>
      </x:c>
      <x:c r="C1" s="7" t="str">
        <x:v>Sequence</x:v>
      </x:c>
      <x:c r="D1" s="7" t="str">
        <x:v>Tokens</x:v>
      </x:c>
      <x:c r="E1" s="7" t="str">
        <x:v>EUR / execution</x:v>
      </x:c>
      <x:c r="F1" s="7" t="str">
        <x:v>USD / execution</x:v>
      </x:c>
      <x:c r="G1" s="7" t="str">
        <x:v>Projected EUR</x:v>
      </x:c>
      <x:c r="H1" s="7" t="str">
        <x:v>Projected USD</x:v>
      </x:c>
      <x:c r="I1" s="7" t="str">
        <x:v>Content</x:v>
      </x:c>
      <x:c r="J1" s="7" t="str">
        <x:v>Model · effort</x:v>
      </x:c>
      <x:c r="K1" s="7" t="str">
        <x:v>Status</x:v>
      </x:c>
      <x:c r="L1" s="7" t="str">
        <x:v>Context total tokens</x:v>
      </x:c>
      <x:c r="M1" s="7" t="str">
        <x:v>Span ID</x:v>
      </x:c>
    </x:row>
    <x:row r="2" ht="24" customHeight="1">
      <x:c r="A2" s="19"/>
      <x:c r="B2" s="19"/>
      <x:c r="C2" s="19" t="str">
        <x:v>Run total</x:v>
      </x:c>
      <x:c r="D2" s="31"/>
      <x:c r="E2" s="28" t="n">
        <x:f>IF(COUNT(E17,E33,E49,E61)=4,SUM(E17,E33,E49,E61),"Unknown")</x:f>
        <x:v>0.001731133688</x:v>
      </x:c>
      <x:c r="F2" s="28" t="n">
        <x:f>IF(COUNT(F17,F33,F49,F61)=4,SUM(F17,F33,F49,F61),"Unknown")</x:f>
        <x:v>0.00198388</x:v>
      </x:c>
      <x:c r="G2" s="31" t="n">
        <x:f>IF(ISNUMBER(E2),ROUND(E2*'Reference data'!$B$2,0),"Unknown")</x:f>
        <x:v>173</x:v>
      </x:c>
      <x:c r="H2" s="31" t="n">
        <x:f>IF(ISNUMBER(F2),ROUND(F2*'Reference data'!$B$2,0),"Unknown")</x:f>
        <x:v>198</x:v>
      </x:c>
      <x:c r="I2" s="25"/>
      <x:c r="J2" s="19"/>
      <x:c r="K2" s="19"/>
      <x:c r="L2" s="31"/>
      <x:c r="M2" s="19"/>
    </x:row>
    <x:row r="3" ht="24" customHeight="1">
      <x:c r="A3" s="19"/>
      <x:c r="B3" s="19" t="n">
        <x:v>1</x:v>
      </x:c>
      <x:c r="C3" s="19" t="str">
        <x:v>Turn 1</x:v>
      </x:c>
      <x:c r="D3" s="31"/>
      <x:c r="E3" s="28" t="n">
        <x:f>IF(COUNT(E17,E33,E49,E61)=4,SUM(E17,E33,E49,E61),"Unknown")</x:f>
        <x:v>0.001731133688</x:v>
      </x:c>
      <x:c r="F3" s="28" t="n">
        <x:f>IF(COUNT(F17,F33,F49,F61)=4,SUM(F17,F33,F49,F61),"Unknown")</x:f>
        <x:v>0.00198388</x:v>
      </x:c>
      <x:c r="G3" s="31" t="n">
        <x:f>IF(ISNUMBER(E3),ROUND(E3*'Reference data'!$B$2,0),"Unknown")</x:f>
        <x:v>173</x:v>
      </x:c>
      <x:c r="H3" s="31" t="n">
        <x:f>IF(ISNUMBER(F3),ROUND(F3*'Reference data'!$B$2,0),"Unknown")</x:f>
        <x:v>198</x:v>
      </x:c>
      <x:c r="I3" s="25"/>
      <x:c r="J3" s="19"/>
      <x:c r="K3" s="19"/>
      <x:c r="L3" s="31"/>
      <x:c r="M3" s="19"/>
    </x:row>
    <x:row r="4" ht="24" customHeight="1">
      <x:c r="A4" s="21" t="str">
        <x:v>R1</x:v>
      </x:c>
      <x:c r="B4" s="21" t="n">
        <x:v>1</x:v>
      </x:c>
      <x:c r="C4" s="21" t="str">
        <x:v>LLM request</x:v>
      </x:c>
      <x:c r="D4" s="32" t="n">
        <x:v>2038</x:v>
      </x:c>
      <x:c r="E4" s="29"/>
      <x:c r="F4" s="29"/>
      <x:c r="G4" s="32"/>
      <x:c r="H4" s="32"/>
      <x:c r="I4" s="26"/>
      <x:c r="J4" s="21" t="str">
        <x:v>gpt-5.6-luna</x:v>
      </x:c>
      <x:c r="K4" s="21"/>
      <x:c r="L4" s="32"/>
      <x:c r="M4" s="21" t="str">
        <x:v>01a0c40f-3ac0-7752-a80e-3d102431f8be</x:v>
      </x:c>
    </x:row>
    <x:row r="5" ht="24" customHeight="1">
      <x:c r="A5" s="2" t="str">
        <x:v>R1</x:v>
      </x:c>
      <x:c r="B5" s="2" t="n">
        <x:v>1</x:v>
      </x:c>
      <x:c r="C5" s="22" t="str">
        <x:v>Fresh input</x:v>
      </x:c>
      <x:c r="D5" s="33" t="n">
        <x:v>3</x:v>
      </x:c>
      <x:c r="E5" s="11" t="n">
        <x:f>IF(AND(ISNUMBER(F5),ISNUMBER('Reference data'!$B$3)),F5*'Reference data'!$B$3,"Unknown")</x:f>
        <x:v>5.235600000000001e-7</x:v>
      </x:c>
      <x:c r="F5" s="11" t="n">
        <x:f>IF(D5=0,0,IF(ISNUMBER('Reference data'!B17),D5*'Reference data'!B17/1000000,"Unknown"))</x:f>
        <x:v>6.000000000000001e-7</x:v>
      </x:c>
      <x:c r="G5" s="33" t="n">
        <x:f>IF(ISNUMBER(E5),ROUND(E5*'Reference data'!$B$2,0),"Unknown")</x:f>
        <x:v>0</x:v>
      </x:c>
      <x:c r="H5" s="33" t="n">
        <x:f>IF(ISNUMBER(F5),ROUND(F5*'Reference data'!$B$2,0),"Unknown")</x:f>
        <x:v>0</x:v>
      </x:c>
      <x:c r="I5" s="14"/>
      <x:c r="J5" s="2"/>
      <x:c r="K5" s="2"/>
      <x:c r="L5" s="33"/>
      <x:c r="M5" s="2"/>
    </x:row>
    <x:row r="6" ht="24" customHeight="1">
      <x:c r="A6" s="2" t="str">
        <x:v>R1</x:v>
      </x:c>
      <x:c r="B6" s="2" t="n">
        <x:v>1</x:v>
      </x:c>
      <x:c r="C6" s="2" t="str">
        <x:v>    Tool definitions</x:v>
      </x:c>
      <x:c r="D6" s="33"/>
      <x:c r="E6" s="11"/>
      <x:c r="F6" s="11"/>
      <x:c r="G6" s="33"/>
      <x:c r="H6" s="33"/>
      <x:c r="I6" s="14"/>
      <x:c r="J6" s="2"/>
      <x:c r="K6" s="2"/>
      <x:c r="L6" s="33"/>
      <x:c r="M6" s="2"/>
    </x:row>
    <x:row r="7" ht="47" customHeight="1">
      <x:c r="A7" s="2" t="str">
        <x:v>R1</x:v>
      </x:c>
      <x:c r="B7" s="2" t="n">
        <x:v>1</x:v>
      </x:c>
      <x:c r="C7" s="2" t="str">
        <x:v>    System prompt</x:v>
      </x:c>
      <x:c r="D7" s="33"/>
      <x:c r="E7" s="11"/>
      <x:c r="F7" s="11"/>
      <x:c r="G7" s="33"/>
      <x:c r="H7" s="33"/>
      <x:c r="I7" s="14" t="str">
        <x:v>Delegate the workflow lookup to workflow-specialist using task. Provide a self-contained assignment. After its summary returns, answer the user concisely. Do not perform the lookup yourself.</x:v>
      </x:c>
      <x:c r="J7" s="2"/>
      <x:c r="K7" s="2"/>
      <x:c r="L7" s="33"/>
      <x:c r="M7" s="2"/>
    </x:row>
    <x:row r="8" ht="24" customHeight="1">
      <x:c r="A8" s="2" t="str">
        <x:v>R1</x:v>
      </x:c>
      <x:c r="B8" s="2" t="n">
        <x:v>1</x:v>
      </x:c>
      <x:c r="C8" s="2" t="str">
        <x:v>    User prompt</x:v>
      </x:c>
      <x:c r="D8" s="33"/>
      <x:c r="E8" s="11"/>
      <x:c r="F8" s="11"/>
      <x:c r="G8" s="33"/>
      <x:c r="H8" s="33"/>
      <x:c r="I8" s="14" t="str">
        <x:v>Explain ReAct and how a specialist's tool observations help a parent agent answer.</x:v>
      </x:c>
      <x:c r="J8" s="2"/>
      <x:c r="K8" s="2"/>
      <x:c r="L8" s="33"/>
      <x:c r="M8" s="2"/>
    </x:row>
    <x:row r="9" ht="24" customHeight="1">
      <x:c r="A9" s="2" t="str">
        <x:v>R1</x:v>
      </x:c>
      <x:c r="B9" s="2" t="n">
        <x:v>1</x:v>
      </x:c>
      <x:c r="C9" s="22" t="str">
        <x:v>Cache write</x:v>
      </x:c>
      <x:c r="D9" s="33" t="n">
        <x:v>2035</x:v>
      </x:c>
      <x:c r="E9" s="11" t="n">
        <x:f>IF(AND(ISNUMBER(F9),ISNUMBER('Reference data'!$B$3)),F9*'Reference data'!$B$3,"Unknown")</x:f>
        <x:v>0.00044393525</x:v>
      </x:c>
      <x:c r="F9" s="11" t="n">
        <x:f>IF(D9=0,0,IF(ISNUMBER('Reference data'!D17),D9*'Reference data'!D17/1000000,"Unknown"))</x:f>
        <x:v>0.00050875</x:v>
      </x:c>
      <x:c r="G9" s="33" t="n">
        <x:f>IF(ISNUMBER(E9),ROUND(E9*'Reference data'!$B$2,0),"Unknown")</x:f>
        <x:v>44</x:v>
      </x:c>
      <x:c r="H9" s="33" t="n">
        <x:f>IF(ISNUMBER(F9),ROUND(F9*'Reference data'!$B$2,0),"Unknown")</x:f>
        <x:v>51</x:v>
      </x:c>
      <x:c r="I9" s="14"/>
      <x:c r="J9" s="2"/>
      <x:c r="K9" s="2"/>
      <x:c r="L9" s="33"/>
      <x:c r="M9" s="2"/>
    </x:row>
    <x:row r="10" ht="24" customHeight="1">
      <x:c r="A10" s="2" t="str">
        <x:v>R1</x:v>
      </x:c>
      <x:c r="B10" s="2" t="n">
        <x:v>1</x:v>
      </x:c>
      <x:c r="C10" s="2" t="str">
        <x:v>Context · added / total</x:v>
      </x:c>
      <x:c r="D10" s="33"/>
      <x:c r="E10" s="11"/>
      <x:c r="F10" s="11"/>
      <x:c r="G10" s="33"/>
      <x:c r="H10" s="33"/>
      <x:c r="I10" s="14"/>
      <x:c r="J10" s="2"/>
      <x:c r="K10" s="2"/>
      <x:c r="L10" s="33"/>
      <x:c r="M10" s="2"/>
    </x:row>
    <x:row r="11" ht="24" customHeight="1">
      <x:c r="A11" s="21" t="str">
        <x:v>R1</x:v>
      </x:c>
      <x:c r="B11" s="21" t="n">
        <x:v>1</x:v>
      </x:c>
      <x:c r="C11" s="21" t="str">
        <x:v>LLM response</x:v>
      </x:c>
      <x:c r="D11" s="32" t="n">
        <x:v>152</x:v>
      </x:c>
      <x:c r="E11" s="29"/>
      <x:c r="F11" s="29"/>
      <x:c r="G11" s="32"/>
      <x:c r="H11" s="32"/>
      <x:c r="I11" s="26"/>
      <x:c r="J11" s="21"/>
      <x:c r="K11" s="21"/>
      <x:c r="L11" s="32"/>
      <x:c r="M11" s="21"/>
    </x:row>
    <x:row r="12" ht="24" customHeight="1">
      <x:c r="A12" s="2" t="str">
        <x:v>R1</x:v>
      </x:c>
      <x:c r="B12" s="2" t="n">
        <x:v>1</x:v>
      </x:c>
      <x:c r="C12" s="22" t="str">
        <x:v>Reasoning</x:v>
      </x:c>
      <x:c r="D12" s="33" t="n">
        <x:v>26</x:v>
      </x:c>
      <x:c r="E12" s="11" t="n">
        <x:f>IF(AND(ISNUMBER(F12),ISNUMBER('Reference data'!$B$3)),F12*'Reference data'!$B$3,"Unknown")</x:f>
        <x:v>0.00002722512</x:v>
      </x:c>
      <x:c r="F12" s="11" t="n">
        <x:f>IF(D12=0,0,IF(ISNUMBER('Reference data'!F17),D12*'Reference data'!F17/1000000,"Unknown"))</x:f>
        <x:v>0.0000312</x:v>
      </x:c>
      <x:c r="G12" s="33" t="n">
        <x:f>IF(ISNUMBER(E12),ROUND(E12*'Reference data'!$B$2,0),"Unknown")</x:f>
        <x:v>3</x:v>
      </x:c>
      <x:c r="H12" s="33" t="n">
        <x:f>IF(ISNUMBER(F12),ROUND(F12*'Reference data'!$B$2,0),"Unknown")</x:f>
        <x:v>3</x:v>
      </x:c>
      <x:c r="I12" s="14"/>
      <x:c r="J12" s="2"/>
      <x:c r="K12" s="2"/>
      <x:c r="L12" s="33"/>
      <x:c r="M12" s="2"/>
    </x:row>
    <x:row r="13" ht="24" customHeight="1">
      <x:c r="A13" s="2" t="str">
        <x:v>R1</x:v>
      </x:c>
      <x:c r="B13" s="2" t="n">
        <x:v>1</x:v>
      </x:c>
      <x:c r="C13" s="22" t="str">
        <x:v>Output</x:v>
      </x:c>
      <x:c r="D13" s="33" t="n">
        <x:v>126</x:v>
      </x:c>
      <x:c r="E13" s="11" t="n">
        <x:f>IF(AND(ISNUMBER(F13),ISNUMBER('Reference data'!$B$3)),F13*'Reference data'!$B$3,"Unknown")</x:f>
        <x:v>0.00013193712</x:v>
      </x:c>
      <x:c r="F13" s="11" t="n">
        <x:f>IF(D13=0,0,IF(ISNUMBER('Reference data'!E17),D13*'Reference data'!E17/1000000,"Unknown"))</x:f>
        <x:v>0.0001512</x:v>
      </x:c>
      <x:c r="G13" s="33" t="n">
        <x:f>IF(ISNUMBER(E13),ROUND(E13*'Reference data'!$B$2,0),"Unknown")</x:f>
        <x:v>13</x:v>
      </x:c>
      <x:c r="H13" s="33" t="n">
        <x:f>IF(ISNUMBER(F13),ROUND(F13*'Reference data'!$B$2,0),"Unknown")</x:f>
        <x:v>15</x:v>
      </x:c>
      <x:c r="I13" s="14"/>
      <x:c r="J13" s="2"/>
      <x:c r="K13" s="2"/>
      <x:c r="L13" s="33"/>
      <x:c r="M13" s="2"/>
    </x:row>
    <x:row r="14" ht="450" customHeight="1">
      <x:c r="A14" s="2" t="str">
        <x:v>R1</x:v>
      </x:c>
      <x:c r="B14" s="2" t="n">
        <x:v>1</x:v>
      </x:c>
      <x:c r="C14" s="2" t="str">
        <x:v>    Output content</x:v>
      </x:c>
      <x:c r="D14" s="33"/>
      <x:c r="E14" s="11"/>
      <x:c r="F14" s="11"/>
      <x:c r="G14" s="33"/>
      <x:c r="H14" s="33"/>
      <x:c r="I14" s="14" t="str">
        <x:v>[{"id":"rs_0ac728c1a857ba5a006ab12ad08b1087d29f57c7ed2f23a8a6","summary":[],"type":"reasoning","content":[],"index":0,"encrypted_content":"gAAAAABqsSrQjRo-ZkCsrjM5MigmRrcOMp8TVFw4Fq6EdoxuOxVdH0FTfgUXIVuWkB1j9eIdNuH0YlbPRq4wcBiGsTjSWxqCUuss4nWGxfv65CAThcWdlBiXou0tmq5ge6mKsDAIppU2W2c44p9_aPB2te5SXH0HDWEhLOVf9vN0KCHOWOLUxL6vflJRql1ZeeMSg6qyGVa7MXPps_YsZXpZXwABLv8Bs-ccH4bgEArbhGl4IirjTdnxUnU-F7YMjmHuECyepB2PT8Zf0QhvCn1JWbbXhe5N6WA1sgbmmuiS4J7i4UPOSffJm8mpyG13zddQVzvMnMz36USvHJoAyIPc_7DC0NJvYsEX2SUlyRPBc4TKdjDw897dFuytC1MBFM6sjvTT5pP_47WEmw__Xk26p_6C7RV-bIaOV6-i_YmQ2n6GcFPwlwtmhpp7HI3JUvtB977f7x0NDR1In5Aaf-sLbAGnMXy5SGJ2JnkJgFvBy9qLmJBXnlmzkW0Tb6F1bw01Fp3HujvGJh1BB5ZtBY2aHeIsfFddyFmQKXZX-4I-x_5qu6dHME1Dyl2Ovyr0ttr-XzCWHQECXC7kVXPdjwer9VW2YmsxU7DnN0BoacIDO8GgD0bruCoEAjjGU9iq1J80cDq-cQsyFC-NOC_TLPcBV8URWoV-x9ICF1URvLhHEyTbRsCc68LhQJhoDL56SkPRWAmXL-NsrB-En7mKcJwyzbo6JT4Jh48PN0GpmUikfrrsUHsDvmQhKrieGyekxvPKB4rcJ-EERlg5dz0izcILVRygwJg48Z38f8EMdUT39K5PvV1j2i6-Raa-J415fZSt9TtA_DS_HmJK_Ag3_xi36-w9aT0j6wwXDm0RmdkgPkdlYraPK4cHObsEtkrrl0eqa_m7Rw04x5DIhirgZQkL9WJHS9gPhOo3wSSQGDp6_0sX0G5_-Gz77teHVZG9x5X5Qg8x_CtdizijFmCfab3VPj2ZAr4fxwEXFFDI8OrroSvY0K-brjmGKnvw2xHfp9wSkEEo8mq4luL-msatTZd2Ac7vgN_RqLIFQZULFgAq4_-9Ur_HdMhaJqoT46Xv0Gdqnr5uBBd9sYBNtnPnlmHW3JttLt_BeGDl6eSuAMZJWOo24vPBRNJ5hjd2pcIVO3sTPrhQMg8gbjXQCIj_N7jW05HNSjA9Jk54DRynHzecUvbSUswMGnqzKUd31aStod1Yr0AuxKvilwgzDTn6a04n14miJBzZo8njH74m_IKou3J4br9DOS7efGqFWOtTCQGdczeSgaD_IB_gO3DjxZYzKHm_dnp9xwyk3W8oL4oJXrywaKazRbWhB8tSYGYU3ZzP3KmEX6rz"},{"type":"function_call","name":"task","arguments":"{\"description\":\"Provide an evidence-based, concise explanation of (1) the ReAct agent pattern—how reasoning and acting/tool use are interleaved—and (2) how a specialist subagent's tool observations or findings help a parent agent formulate a better answer. Clarify the distinction between internal reasoning and externally reported observations, and mention coordination/limitations such as uncertainty, verification, and synthesis. Return a compact summary suitable for relaying directly to the user; do not modify files and do not perform unrelated work.\" ,\"subagent_type\":\"workflow-specialist\"}","call_id":"call_PCGkWQDBC1Yp5QsHlp0MtXZV","id":"fc_0ac728c1a857ba5a006ab12ad0e51487d281ef4ae54bb78838","index":1}]
{"name":"task","args":{"description":"Provide an evidence-based, concise explanation of (1) the ReAct agent pattern—how reasoning and acting/tool use are interleaved—and (2) how a specialist subagent's tool observations or findings help a parent agent formulate a better answer. Clarify the distinction between internal reasoning and externally reported observations, and mention coordination/limitations such as uncertainty, verification, and synthesis. Return a compact summary suitable for relaying directly to the user; do not modify files and do not perform unrelated work.","subagent_type":"workflow-specialist"},"id":"call_PCGkWQDBC1Yp5QsHlp0MtXZV","type":"tool_call"}</x:v>
      </x:c>
      <x:c r="J14" s="2"/>
      <x:c r="K14" s="2"/>
      <x:c r="L14" s="33"/>
      <x:c r="M14" s="2"/>
    </x:row>
    <x:row r="15" ht="24" customHeight="1">
      <x:c r="A15" s="2" t="str">
        <x:v>R1</x:v>
      </x:c>
      <x:c r="B15" s="2" t="n">
        <x:v>1</x:v>
      </x:c>
      <x:c r="C15" s="2" t="str">
        <x:v>Cache write</x:v>
      </x:c>
      <x:c r="D15" s="33"/>
      <x:c r="E15" s="11"/>
      <x:c r="F15" s="11"/>
      <x:c r="G15" s="33"/>
      <x:c r="H15" s="33"/>
      <x:c r="I15" s="14"/>
      <x:c r="J15" s="2"/>
      <x:c r="K15" s="2"/>
      <x:c r="L15" s="33"/>
      <x:c r="M15" s="2"/>
    </x:row>
    <x:row r="16" ht="24" customHeight="1">
      <x:c r="A16" s="2" t="str">
        <x:v>R1</x:v>
      </x:c>
      <x:c r="B16" s="2" t="n">
        <x:v>1</x:v>
      </x:c>
      <x:c r="C16" s="2" t="str">
        <x:v>Context · added / total</x:v>
      </x:c>
      <x:c r="D16" s="33"/>
      <x:c r="E16" s="11"/>
      <x:c r="F16" s="11"/>
      <x:c r="G16" s="33"/>
      <x:c r="H16" s="33"/>
      <x:c r="I16" s="14"/>
      <x:c r="J16" s="2"/>
      <x:c r="K16" s="2"/>
      <x:c r="L16" s="33"/>
      <x:c r="M16" s="2"/>
    </x:row>
    <x:row r="17" ht="24" customHeight="1">
      <x:c r="A17" s="21" t="str">
        <x:v>R1</x:v>
      </x:c>
      <x:c r="B17" s="21" t="n">
        <x:v>1</x:v>
      </x:c>
      <x:c r="C17" s="21" t="str">
        <x:v>Call total</x:v>
      </x:c>
      <x:c r="D17" s="32"/>
      <x:c r="E17" s="29" t="n">
        <x:f>IF(COUNT(E5,E9,E12,E13)=4,SUM(E5,E9,E12,E13),"Unknown")</x:f>
        <x:v>0.00060362105</x:v>
      </x:c>
      <x:c r="F17" s="29" t="n">
        <x:f>IF(COUNT(F5,F9,F12,F13)=4,SUM(F5,F9,F12,F13),"Unknown")</x:f>
        <x:v>0.00069175</x:v>
      </x:c>
      <x:c r="G17" s="32" t="n">
        <x:f>IF(ISNUMBER(E17),ROUND(E17*'Reference data'!$B$2,0),"Unknown")</x:f>
        <x:v>60</x:v>
      </x:c>
      <x:c r="H17" s="32" t="n">
        <x:f>IF(ISNUMBER(F17),ROUND(F17*'Reference data'!$B$2,0),"Unknown")</x:f>
        <x:v>69</x:v>
      </x:c>
      <x:c r="I17" s="26"/>
      <x:c r="J17" s="21"/>
      <x:c r="K17" s="21" t="str">
        <x:v>ok</x:v>
      </x:c>
      <x:c r="L17" s="32"/>
      <x:c r="M17" s="21"/>
    </x:row>
    <x:row r="18" ht="24" customHeight="1">
      <x:c r="A18" s="24"/>
      <x:c r="B18" s="24" t="n">
        <x:v>1</x:v>
      </x:c>
      <x:c r="C18" s="24" t="str">
        <x:v>Tool · task</x:v>
      </x:c>
      <x:c r="D18" s="34"/>
      <x:c r="E18" s="30"/>
      <x:c r="F18" s="30"/>
      <x:c r="G18" s="34"/>
      <x:c r="H18" s="34"/>
      <x:c r="I18" s="27"/>
      <x:c r="J18" s="24"/>
      <x:c r="K18" s="24" t="str">
        <x:v>ok</x:v>
      </x:c>
      <x:c r="L18" s="34"/>
      <x:c r="M18" s="24" t="str">
        <x:v>01a0c40f-4681-71f2-b1c1-eb55b92af685</x:v>
      </x:c>
    </x:row>
    <x:row r="19" ht="99" customHeight="1">
      <x:c r="A19" s="2"/>
      <x:c r="B19" s="2" t="n">
        <x:v>1</x:v>
      </x:c>
      <x:c r="C19" s="2" t="str">
        <x:v>    Arguments</x:v>
      </x:c>
      <x:c r="D19" s="33"/>
      <x:c r="E19" s="11"/>
      <x:c r="F19" s="11"/>
      <x:c r="G19" s="33"/>
      <x:c r="H19" s="33"/>
      <x:c r="I19" s="14" t="str">
        <x:v>{'description': "Provide an evidence-based, concise explanation of (1) the ReAct agent pattern—how reasoning and acting/tool use are interleaved—and (2) how a specialist subagent's tool observations or findings help a parent agent formulate a better answer. Clarify the distinction between internal reasoning and externally reported observations, and mention coordination/limitations such as uncertainty, verification, and synthesis. Return a compact summary suitable for relaying directly to the user; do not modify files and do not perform unrelated work.", 'subagent_type': 'workflow-specialist'}</x:v>
      </x:c>
      <x:c r="J19" s="2"/>
      <x:c r="K19" s="2"/>
      <x:c r="L19" s="33"/>
      <x:c r="M19" s="2"/>
    </x:row>
    <x:row r="20" ht="229" customHeight="1">
      <x:c r="A20" s="2"/>
      <x:c r="B20" s="2" t="n">
        <x:v>1</x:v>
      </x:c>
      <x:c r="C20" s="2" t="str">
        <x:v>    Result</x:v>
      </x:c>
      <x:c r="D20" s="33"/>
      <x:c r="E20" s="11"/>
      <x:c r="F20" s="11"/>
      <x:c r="G20" s="33"/>
      <x:c r="H20" s="33"/>
      <x:c r="I20" s="14" t="str">
        <x:v>Command(update={'files': {}, 'messages': [ToolMessage(content='- **ReAct** (“reasoning and acting”) interleaves an agent’s decision-making with tool use: it determines what information or action is needed, invokes a tool, observes the result, and uses that observation to choose the next step or produce an answer. This loop can repeat until the task is sufficiently resolved.\n\n- A **specialist subagent** can gather domain-specific evidence through tools—such as searches, calculations, or file inspection—and report its findings to a parent agent. The parent can then use those observations to improve accuracy, identify gaps, compare evidence, and synthesize a clearer final response.\n\n- **Internal reasoning** is the model’s private process for interpreting evidence and selecting actions; it should not be confused with, or exposed as, a verbatim reasoning trace. **Externally reported observations** are concise, relevant results—what a tool returned, what was verified, and what remains uncertain—that can safely be communicated and used for coordination.\n\n- Effective coordination requires the parent to assess uncertainty, request verification when evidence is incomplete or conflicting, and synthesize specialist findings rather than copying them uncritically. Tool observations can be limited by tool errors, incomplete sources, or a specialist’s scope, so they support—but do not replace—validation and judgment.', tool_call_id='call_PCGkWQDBC1Yp5QsHlp0MtXZV')]})</x:v>
      </x:c>
      <x:c r="J20" s="2"/>
      <x:c r="K20" s="2"/>
      <x:c r="L20" s="33"/>
      <x:c r="M20" s="2"/>
    </x:row>
    <x:row r="21" ht="24" customHeight="1">
      <x:c r="A21" s="21" t="str">
        <x:v>R2</x:v>
      </x:c>
      <x:c r="B21" s="21" t="n">
        <x:v>1</x:v>
      </x:c>
      <x:c r="C21" s="21" t="str">
        <x:v>LLM request</x:v>
      </x:c>
      <x:c r="D21" s="32" t="n">
        <x:v>1807</x:v>
      </x:c>
      <x:c r="E21" s="29"/>
      <x:c r="F21" s="29"/>
      <x:c r="G21" s="32"/>
      <x:c r="H21" s="32"/>
      <x:c r="I21" s="26"/>
      <x:c r="J21" s="21" t="str">
        <x:v>gpt-5.6-luna</x:v>
      </x:c>
      <x:c r="K21" s="21"/>
      <x:c r="L21" s="32"/>
      <x:c r="M21" s="21" t="str">
        <x:v>01a0c40f-4689-78f0-92b1-74224d0183aa</x:v>
      </x:c>
    </x:row>
    <x:row r="22" ht="24" customHeight="1">
      <x:c r="A22" s="2" t="str">
        <x:v>R2</x:v>
      </x:c>
      <x:c r="B22" s="2" t="n">
        <x:v>1</x:v>
      </x:c>
      <x:c r="C22" s="22" t="str">
        <x:v>Fresh input</x:v>
      </x:c>
      <x:c r="D22" s="33" t="n">
        <x:v>3</x:v>
      </x:c>
      <x:c r="E22" s="11" t="n">
        <x:f>IF(AND(ISNUMBER(F22),ISNUMBER('Reference data'!$B$3)),F22*'Reference data'!$B$3,"Unknown")</x:f>
        <x:v>5.235600000000001e-7</x:v>
      </x:c>
      <x:c r="F22" s="11" t="n">
        <x:f>IF(D22=0,0,IF(ISNUMBER('Reference data'!B17),D22*'Reference data'!B17/1000000,"Unknown"))</x:f>
        <x:v>6.000000000000001e-7</x:v>
      </x:c>
      <x:c r="G22" s="33" t="n">
        <x:f>IF(ISNUMBER(E22),ROUND(E22*'Reference data'!$B$2,0),"Unknown")</x:f>
        <x:v>0</x:v>
      </x:c>
      <x:c r="H22" s="33" t="n">
        <x:f>IF(ISNUMBER(F22),ROUND(F22*'Reference data'!$B$2,0),"Unknown")</x:f>
        <x:v>0</x:v>
      </x:c>
      <x:c r="I22" s="14"/>
      <x:c r="J22" s="2"/>
      <x:c r="K22" s="2"/>
      <x:c r="L22" s="33"/>
      <x:c r="M22" s="2"/>
    </x:row>
    <x:row r="23" ht="24" customHeight="1">
      <x:c r="A23" s="2" t="str">
        <x:v>R2</x:v>
      </x:c>
      <x:c r="B23" s="2" t="n">
        <x:v>1</x:v>
      </x:c>
      <x:c r="C23" s="2" t="str">
        <x:v>    Tool definitions</x:v>
      </x:c>
      <x:c r="D23" s="33"/>
      <x:c r="E23" s="11"/>
      <x:c r="F23" s="11"/>
      <x:c r="G23" s="33"/>
      <x:c r="H23" s="33"/>
      <x:c r="I23" s="14"/>
      <x:c r="J23" s="2"/>
      <x:c r="K23" s="2"/>
      <x:c r="L23" s="33"/>
      <x:c r="M23" s="2"/>
    </x:row>
    <x:row r="24" ht="47" customHeight="1">
      <x:c r="A24" s="2" t="str">
        <x:v>R2</x:v>
      </x:c>
      <x:c r="B24" s="2" t="n">
        <x:v>1</x:v>
      </x:c>
      <x:c r="C24" s="2" t="str">
        <x:v>    System prompt</x:v>
      </x:c>
      <x:c r="D24" s="33"/>
      <x:c r="E24" s="11"/>
      <x:c r="F24" s="11"/>
      <x:c r="G24" s="33"/>
      <x:c r="H24" s="33"/>
      <x:c r="I24" s="14" t="str">
        <x:v>You are a workflow reference specialist. Call workflow_reference for evidence about the assigned topic, then return a concise factual summary to the parent. Do not delegate further.</x:v>
      </x:c>
      <x:c r="J24" s="2"/>
      <x:c r="K24" s="2"/>
      <x:c r="L24" s="33"/>
      <x:c r="M24" s="2"/>
    </x:row>
    <x:row r="25" ht="24" customHeight="1">
      <x:c r="A25" s="2" t="str">
        <x:v>R2</x:v>
      </x:c>
      <x:c r="B25" s="2" t="n">
        <x:v>1</x:v>
      </x:c>
      <x:c r="C25" s="22" t="str">
        <x:v>Cache write</x:v>
      </x:c>
      <x:c r="D25" s="33" t="n">
        <x:v>1804</x:v>
      </x:c>
      <x:c r="E25" s="11" t="n">
        <x:f>IF(AND(ISNUMBER(F25),ISNUMBER('Reference data'!$B$3)),F25*'Reference data'!$B$3,"Unknown")</x:f>
        <x:v>0.0003935426</x:v>
      </x:c>
      <x:c r="F25" s="11" t="n">
        <x:f>IF(D25=0,0,IF(ISNUMBER('Reference data'!D17),D25*'Reference data'!D17/1000000,"Unknown"))</x:f>
        <x:v>0.000451</x:v>
      </x:c>
      <x:c r="G25" s="33" t="n">
        <x:f>IF(ISNUMBER(E25),ROUND(E25*'Reference data'!$B$2,0),"Unknown")</x:f>
        <x:v>39</x:v>
      </x:c>
      <x:c r="H25" s="33" t="n">
        <x:f>IF(ISNUMBER(F25),ROUND(F25*'Reference data'!$B$2,0),"Unknown")</x:f>
        <x:v>45</x:v>
      </x:c>
      <x:c r="I25" s="14"/>
      <x:c r="J25" s="2"/>
      <x:c r="K25" s="2"/>
      <x:c r="L25" s="33"/>
      <x:c r="M25" s="2"/>
    </x:row>
    <x:row r="26" ht="24" customHeight="1">
      <x:c r="A26" s="2" t="str">
        <x:v>R2</x:v>
      </x:c>
      <x:c r="B26" s="2" t="n">
        <x:v>1</x:v>
      </x:c>
      <x:c r="C26" s="2" t="str">
        <x:v>Context · added / total</x:v>
      </x:c>
      <x:c r="D26" s="33"/>
      <x:c r="E26" s="11"/>
      <x:c r="F26" s="11"/>
      <x:c r="G26" s="33"/>
      <x:c r="H26" s="33"/>
      <x:c r="I26" s="14"/>
      <x:c r="J26" s="2"/>
      <x:c r="K26" s="2"/>
      <x:c r="L26" s="33"/>
      <x:c r="M26" s="2"/>
    </x:row>
    <x:row r="27" ht="24" customHeight="1">
      <x:c r="A27" s="21" t="str">
        <x:v>R2</x:v>
      </x:c>
      <x:c r="B27" s="21" t="n">
        <x:v>1</x:v>
      </x:c>
      <x:c r="C27" s="21" t="str">
        <x:v>LLM response</x:v>
      </x:c>
      <x:c r="D27" s="32" t="n">
        <x:v>60</x:v>
      </x:c>
      <x:c r="E27" s="29"/>
      <x:c r="F27" s="29"/>
      <x:c r="G27" s="32"/>
      <x:c r="H27" s="32"/>
      <x:c r="I27" s="26"/>
      <x:c r="J27" s="21"/>
      <x:c r="K27" s="21"/>
      <x:c r="L27" s="32"/>
      <x:c r="M27" s="21"/>
    </x:row>
    <x:row r="28" ht="24" customHeight="1">
      <x:c r="A28" s="2" t="str">
        <x:v>R2</x:v>
      </x:c>
      <x:c r="B28" s="2" t="n">
        <x:v>1</x:v>
      </x:c>
      <x:c r="C28" s="22" t="str">
        <x:v>Reasoning</x:v>
      </x:c>
      <x:c r="D28" s="33" t="n">
        <x:v>11</x:v>
      </x:c>
      <x:c r="E28" s="11" t="n">
        <x:f>IF(AND(ISNUMBER(F28),ISNUMBER('Reference data'!$B$3)),F28*'Reference data'!$B$3,"Unknown")</x:f>
        <x:v>0.00001151832</x:v>
      </x:c>
      <x:c r="F28" s="11" t="n">
        <x:f>IF(D28=0,0,IF(ISNUMBER('Reference data'!F17),D28*'Reference data'!F17/1000000,"Unknown"))</x:f>
        <x:v>0.000013199999999999999</x:v>
      </x:c>
      <x:c r="G28" s="33" t="n">
        <x:f>IF(ISNUMBER(E28),ROUND(E28*'Reference data'!$B$2,0),"Unknown")</x:f>
        <x:v>1</x:v>
      </x:c>
      <x:c r="H28" s="33" t="n">
        <x:f>IF(ISNUMBER(F28),ROUND(F28*'Reference data'!$B$2,0),"Unknown")</x:f>
        <x:v>1</x:v>
      </x:c>
      <x:c r="I28" s="14"/>
      <x:c r="J28" s="2"/>
      <x:c r="K28" s="2"/>
      <x:c r="L28" s="33"/>
      <x:c r="M28" s="2"/>
    </x:row>
    <x:row r="29" ht="24" customHeight="1">
      <x:c r="A29" s="2" t="str">
        <x:v>R2</x:v>
      </x:c>
      <x:c r="B29" s="2" t="n">
        <x:v>1</x:v>
      </x:c>
      <x:c r="C29" s="22" t="str">
        <x:v>Output</x:v>
      </x:c>
      <x:c r="D29" s="33" t="n">
        <x:v>49</x:v>
      </x:c>
      <x:c r="E29" s="11" t="n">
        <x:f>IF(AND(ISNUMBER(F29),ISNUMBER('Reference data'!$B$3)),F29*'Reference data'!$B$3,"Unknown")</x:f>
        <x:v>0.000051308880000000005</x:v>
      </x:c>
      <x:c r="F29" s="11" t="n">
        <x:f>IF(D29=0,0,IF(ISNUMBER('Reference data'!E17),D29*'Reference data'!E17/1000000,"Unknown"))</x:f>
        <x:v>0.0000588</x:v>
      </x:c>
      <x:c r="G29" s="33" t="n">
        <x:f>IF(ISNUMBER(E29),ROUND(E29*'Reference data'!$B$2,0),"Unknown")</x:f>
        <x:v>5</x:v>
      </x:c>
      <x:c r="H29" s="33" t="n">
        <x:f>IF(ISNUMBER(F29),ROUND(F29*'Reference data'!$B$2,0),"Unknown")</x:f>
        <x:v>6</x:v>
      </x:c>
      <x:c r="I29" s="14"/>
      <x:c r="J29" s="2"/>
      <x:c r="K29" s="2"/>
      <x:c r="L29" s="33"/>
      <x:c r="M29" s="2"/>
    </x:row>
    <x:row r="30" ht="333" customHeight="1">
      <x:c r="A30" s="2" t="str">
        <x:v>R2</x:v>
      </x:c>
      <x:c r="B30" s="2" t="n">
        <x:v>1</x:v>
      </x:c>
      <x:c r="C30" s="2" t="str">
        <x:v>    Output content</x:v>
      </x:c>
      <x:c r="D30" s="33"/>
      <x:c r="E30" s="11"/>
      <x:c r="F30" s="11"/>
      <x:c r="G30" s="33"/>
      <x:c r="H30" s="33"/>
      <x:c r="I30" s="14" t="str">
        <x:v>[{"id":"rs_0d4d6e4b7b912851006ab12ad3350c87d29730791fd60e1b57","summary":[],"type":"reasoning","content":[],"index":0,"encrypted_content":"gAAAAABqsSrTUs4k3Xg-PObpV9QCGw-Tl8CoHPinFhJrJZ2dV95cWh0tnLbb3cupByfg4EXnV2yT1t3kbbwp-HxIpNQC6LHKH3Hf9T_Zs365VQxZ_JwYQ5ifu6X20fniBUuEJK_zcuYRmMDlmX7zSPuhTtYHJGLv3W3pJ09DQlb_Cn-6m5eM4VuWtrsyUxXa1etVzLFtcFhkaI3chHufTLNLgFnh8yVUcosTGUjuZ4JZMBfsk6uDFA3-vBgbzcBr7ps-lhfgn6h_9lHDKSl7t4LmKTVgtTXOJUAaPWu_VV1K35dvFm53HtZ06abWZR9q08g4ENIDWOJaoVMvXeTgMX9y9xOyH_mxDhrylhAZW4MKoZls1HHspIs54ukG-hmQo8Pfa0zA0XkZ6Rwq5J0uYJEGnAtgVavX4YLrxS57eY8tbiKoZJhk0R1xwNP_Az5vnyjXMGWDQzMB8tY7q57Mm9twVTrbCC7Nfca6w6Uz6PEPSl_IW8qd96q_n52cfMOdQvnVo1WSysqSy7tmy7PjmAZIabSTHWRssNdVySbtRosNSTc1BATz2c7GNDgBU-1I-s3AZC-hdIoEunpgosccrvliEubw0ZaRagYlJatsu4eHXV4QQUycbDELxTNFSC1W4qKsRRyNwUYgVpZyw582e6DrqHMoE8sWF4gcyXWe-VqTdQthsmpnbgE-4-nqIXQQ6lcAL6l6lsF7TNdJcAehFyZHixe_ZLeZzWWNP4Svlj8LlcBwCr_dFwMi0topsuz818HnGYnfagXSi_8B1jywhN8bv6Ls4xkYxMUfGxMZmBcNY5Tia1gWhhV0vcw-094x_fMz1rSkenc2I61oPODrKhIz-_q6fkU5mqBVA7A5LwqjEuM9y1qrzfFLOifaabF_l7xpS__aKMigW1Q1QulekwWGd7adjXUD8sEonDd3H_ERFwSg9Rs8ixwQvYJ6Pht8M9q4_WxyYb-i-k4kLzKcMoxyll9xRdWLKRIY4omMBrbUnjHg75VkewguTC6CqzFORbcB0oTTD0AG9OkaENAiAhnZ6VB034CFySY-oaMRvn4RCAxWThoJqPQ1cqfjgf2uqzw9HWKDcpXEtc9MW_Y1X2AtIiirsO7hv1u000Z9wWyN7alHxe8_wTXJLhP6wbRd11sFg3M3LSuecFhGGqKxWf3nSrNB8w3aw5rTHrvHFvotQ4f8XYOWI5TMWlLanNPIpk7f2-O1Z8vmyqILqCbmE7OwIDUU9ATaIA=="},{"type":"function_call","name":"workflow_reference","arguments":"{\"topic\":\"ReAct agent pattern and how specialist subagent tool observations support parent-agent answers, including reasoning versus reported observations, coordination, uncertainty, verification, and synthesis\"}","call_id":"call_kyW0NXjyjcKoLxSrpCuVNU5l","id":"fc_0d4d6e4b7b912851006ab12ad36f4887d29dc980908dcf4794","index":1}]
{"name":"workflow_reference","args":{"topic":"ReAct agent pattern and how specialist subagent tool observations support parent-agent answers, including reasoning versus reported observations, coordination, uncertainty, verification, and synthesis"},"id":"call_kyW0NXjyjcKoLxSrpCuVNU5l","type":"tool_call"}</x:v>
      </x:c>
      <x:c r="J30" s="2"/>
      <x:c r="K30" s="2"/>
      <x:c r="L30" s="33"/>
      <x:c r="M30" s="2"/>
    </x:row>
    <x:row r="31" ht="24" customHeight="1">
      <x:c r="A31" s="2" t="str">
        <x:v>R2</x:v>
      </x:c>
      <x:c r="B31" s="2" t="n">
        <x:v>1</x:v>
      </x:c>
      <x:c r="C31" s="2" t="str">
        <x:v>Cache write</x:v>
      </x:c>
      <x:c r="D31" s="33"/>
      <x:c r="E31" s="11"/>
      <x:c r="F31" s="11"/>
      <x:c r="G31" s="33"/>
      <x:c r="H31" s="33"/>
      <x:c r="I31" s="14"/>
      <x:c r="J31" s="2"/>
      <x:c r="K31" s="2"/>
      <x:c r="L31" s="33"/>
      <x:c r="M31" s="2"/>
    </x:row>
    <x:row r="32" ht="24" customHeight="1">
      <x:c r="A32" s="2" t="str">
        <x:v>R2</x:v>
      </x:c>
      <x:c r="B32" s="2" t="n">
        <x:v>1</x:v>
      </x:c>
      <x:c r="C32" s="2" t="str">
        <x:v>Context · added / total</x:v>
      </x:c>
      <x:c r="D32" s="33"/>
      <x:c r="E32" s="11"/>
      <x:c r="F32" s="11"/>
      <x:c r="G32" s="33"/>
      <x:c r="H32" s="33"/>
      <x:c r="I32" s="14"/>
      <x:c r="J32" s="2"/>
      <x:c r="K32" s="2"/>
      <x:c r="L32" s="33"/>
      <x:c r="M32" s="2"/>
    </x:row>
    <x:row r="33" ht="24" customHeight="1">
      <x:c r="A33" s="21" t="str">
        <x:v>R2</x:v>
      </x:c>
      <x:c r="B33" s="21" t="n">
        <x:v>1</x:v>
      </x:c>
      <x:c r="C33" s="21" t="str">
        <x:v>Call total</x:v>
      </x:c>
      <x:c r="D33" s="32"/>
      <x:c r="E33" s="29" t="n">
        <x:f>IF(COUNT(E22,E25,E28,E29)=4,SUM(E22,E25,E28,E29),"Unknown")</x:f>
        <x:v>0.00045689336</x:v>
      </x:c>
      <x:c r="F33" s="29" t="n">
        <x:f>IF(COUNT(F22,F25,F28,F29)=4,SUM(F22,F25,F28,F29),"Unknown")</x:f>
        <x:v>0.0005236</x:v>
      </x:c>
      <x:c r="G33" s="32" t="n">
        <x:f>IF(ISNUMBER(E33),ROUND(E33*'Reference data'!$B$2,0),"Unknown")</x:f>
        <x:v>46</x:v>
      </x:c>
      <x:c r="H33" s="32" t="n">
        <x:f>IF(ISNUMBER(F33),ROUND(F33*'Reference data'!$B$2,0),"Unknown")</x:f>
        <x:v>52</x:v>
      </x:c>
      <x:c r="I33" s="26"/>
      <x:c r="J33" s="21"/>
      <x:c r="K33" s="21" t="str">
        <x:v>ok</x:v>
      </x:c>
      <x:c r="L33" s="32"/>
      <x:c r="M33" s="21"/>
    </x:row>
    <x:row r="34" ht="24" customHeight="1">
      <x:c r="A34" s="24"/>
      <x:c r="B34" s="24" t="n">
        <x:v>1</x:v>
      </x:c>
      <x:c r="C34" s="24" t="str">
        <x:v>Tool · workflow_reference</x:v>
      </x:c>
      <x:c r="D34" s="34"/>
      <x:c r="E34" s="30"/>
      <x:c r="F34" s="30"/>
      <x:c r="G34" s="34"/>
      <x:c r="H34" s="34"/>
      <x:c r="I34" s="27"/>
      <x:c r="J34" s="24"/>
      <x:c r="K34" s="24" t="str">
        <x:v>ok</x:v>
      </x:c>
      <x:c r="L34" s="34"/>
      <x:c r="M34" s="24" t="str">
        <x:v>01a0c40f-4cbc-75a0-8da6-10330b610295</x:v>
      </x:c>
    </x:row>
    <x:row r="35" ht="47" customHeight="1">
      <x:c r="A35" s="2"/>
      <x:c r="B35" s="2" t="n">
        <x:v>1</x:v>
      </x:c>
      <x:c r="C35" s="2" t="str">
        <x:v>    Arguments</x:v>
      </x:c>
      <x:c r="D35" s="33"/>
      <x:c r="E35" s="11"/>
      <x:c r="F35" s="11"/>
      <x:c r="G35" s="33"/>
      <x:c r="H35" s="33"/>
      <x:c r="I35" s="14" t="str">
        <x:v>{'topic': 'ReAct agent pattern and how specialist subagent tool observations support parent-agent answers, including reasoning versus reported observations, coordination, uncertainty, verification, and synthesis'}</x:v>
      </x:c>
      <x:c r="J35" s="2"/>
      <x:c r="K35" s="2"/>
      <x:c r="L35" s="33"/>
      <x:c r="M35" s="2"/>
    </x:row>
    <x:row r="36" ht="60" customHeight="1">
      <x:c r="A36" s="2"/>
      <x:c r="B36" s="2" t="n">
        <x:v>1</x:v>
      </x:c>
      <x:c r="C36" s="2" t="str">
        <x:v>    Result</x:v>
      </x:c>
      <x:c r="D36" s="33"/>
      <x:c r="E36" s="11"/>
      <x:c r="F36" s="11"/>
      <x:c r="G36" s="33"/>
      <x:c r="H36" s="33"/>
      <x:c r="I36" s="14" t="str">
        <x:v>ReAct agent pattern and how specialist subagent tool observations support parent-agent answers, including reasoning versus reported observations, coordination, uncertainty, verification, and synthesis: an agent selects a tool, observes its result, and uses it to answer.</x:v>
      </x:c>
      <x:c r="J36" s="2"/>
      <x:c r="K36" s="2"/>
      <x:c r="L36" s="33"/>
      <x:c r="M36" s="2"/>
    </x:row>
    <x:row r="37" ht="24" customHeight="1">
      <x:c r="A37" s="21" t="str">
        <x:v>R3</x:v>
      </x:c>
      <x:c r="B37" s="21" t="n">
        <x:v>1</x:v>
      </x:c>
      <x:c r="C37" s="21" t="str">
        <x:v>LLM request</x:v>
      </x:c>
      <x:c r="D37" s="32" t="n">
        <x:v>1925</x:v>
      </x:c>
      <x:c r="E37" s="29"/>
      <x:c r="F37" s="29"/>
      <x:c r="G37" s="32"/>
      <x:c r="H37" s="32"/>
      <x:c r="I37" s="26"/>
      <x:c r="J37" s="21" t="str">
        <x:v>gpt-5.6-luna</x:v>
      </x:c>
      <x:c r="K37" s="21"/>
      <x:c r="L37" s="32"/>
      <x:c r="M37" s="21" t="str">
        <x:v>01a0c40f-4cc2-76c3-bd60-85fca45972a1</x:v>
      </x:c>
    </x:row>
    <x:row r="38" ht="24" customHeight="1">
      <x:c r="A38" s="2" t="str">
        <x:v>R3</x:v>
      </x:c>
      <x:c r="B38" s="2" t="n">
        <x:v>1</x:v>
      </x:c>
      <x:c r="C38" s="22" t="str">
        <x:v>Conversation history · cache read</x:v>
      </x:c>
      <x:c r="D38" s="33" t="n">
        <x:v>1804</x:v>
      </x:c>
      <x:c r="E38" s="11" t="n">
        <x:f>IF(AND(ISNUMBER(F38),ISNUMBER('Reference data'!$B$3)),F38*'Reference data'!$B$3,"Unknown")</x:f>
        <x:v>0.000031483408</x:v>
      </x:c>
      <x:c r="F38" s="11" t="n">
        <x:f>IF(D38=0,0,IF(ISNUMBER('Reference data'!C17),D38*'Reference data'!C17/1000000,"Unknown"))</x:f>
        <x:v>0.00003608</x:v>
      </x:c>
      <x:c r="G38" s="33" t="n">
        <x:f>IF(ISNUMBER(E38),ROUND(E38*'Reference data'!$B$2,0),"Unknown")</x:f>
        <x:v>3</x:v>
      </x:c>
      <x:c r="H38" s="33" t="n">
        <x:f>IF(ISNUMBER(F38),ROUND(F38*'Reference data'!$B$2,0),"Unknown")</x:f>
        <x:v>4</x:v>
      </x:c>
      <x:c r="I38" s="14"/>
      <x:c r="J38" s="2"/>
      <x:c r="K38" s="2"/>
      <x:c r="L38" s="33"/>
      <x:c r="M38" s="2"/>
    </x:row>
    <x:row r="39" ht="24" customHeight="1">
      <x:c r="A39" s="2" t="str">
        <x:v>R3</x:v>
      </x:c>
      <x:c r="B39" s="2" t="n">
        <x:v>1</x:v>
      </x:c>
      <x:c r="C39" s="22" t="str">
        <x:v>Fresh input</x:v>
      </x:c>
      <x:c r="D39" s="33" t="n">
        <x:v>3</x:v>
      </x:c>
      <x:c r="E39" s="11" t="n">
        <x:f>IF(AND(ISNUMBER(F39),ISNUMBER('Reference data'!$B$3)),F39*'Reference data'!$B$3,"Unknown")</x:f>
        <x:v>5.235600000000001e-7</x:v>
      </x:c>
      <x:c r="F39" s="11" t="n">
        <x:f>IF(D39=0,0,IF(ISNUMBER('Reference data'!B17),D39*'Reference data'!B17/1000000,"Unknown"))</x:f>
        <x:v>6.000000000000001e-7</x:v>
      </x:c>
      <x:c r="G39" s="33" t="n">
        <x:f>IF(ISNUMBER(E39),ROUND(E39*'Reference data'!$B$2,0),"Unknown")</x:f>
        <x:v>0</x:v>
      </x:c>
      <x:c r="H39" s="33" t="n">
        <x:f>IF(ISNUMBER(F39),ROUND(F39*'Reference data'!$B$2,0),"Unknown")</x:f>
        <x:v>0</x:v>
      </x:c>
      <x:c r="I39" s="14"/>
      <x:c r="J39" s="2"/>
      <x:c r="K39" s="2"/>
      <x:c r="L39" s="33"/>
      <x:c r="M39" s="2"/>
    </x:row>
    <x:row r="40" ht="60" customHeight="1">
      <x:c r="A40" s="2" t="str">
        <x:v>R3</x:v>
      </x:c>
      <x:c r="B40" s="2" t="n">
        <x:v>1</x:v>
      </x:c>
      <x:c r="C40" s="2" t="str">
        <x:v>    Tool result</x:v>
      </x:c>
      <x:c r="D40" s="33"/>
      <x:c r="E40" s="11"/>
      <x:c r="F40" s="11"/>
      <x:c r="G40" s="33"/>
      <x:c r="H40" s="33"/>
      <x:c r="I40" s="14" t="str">
        <x:v>ReAct agent pattern and how specialist subagent tool observations support parent-agent answers, including reasoning versus reported observations, coordination, uncertainty, verification, and synthesis: an agent selects a tool, observes its result, and uses it to answer.</x:v>
      </x:c>
      <x:c r="J40" s="2"/>
      <x:c r="K40" s="2"/>
      <x:c r="L40" s="33"/>
      <x:c r="M40" s="2"/>
    </x:row>
    <x:row r="41" ht="24" customHeight="1">
      <x:c r="A41" s="2" t="str">
        <x:v>R3</x:v>
      </x:c>
      <x:c r="B41" s="2" t="n">
        <x:v>1</x:v>
      </x:c>
      <x:c r="C41" s="22" t="str">
        <x:v>Cache write</x:v>
      </x:c>
      <x:c r="D41" s="33" t="n">
        <x:v>118</x:v>
      </x:c>
      <x:c r="E41" s="11" t="n">
        <x:f>IF(AND(ISNUMBER(F41),ISNUMBER('Reference data'!$B$3)),F41*'Reference data'!$B$3,"Unknown")</x:f>
        <x:v>0.0000257417</x:v>
      </x:c>
      <x:c r="F41" s="11" t="n">
        <x:f>IF(D41=0,0,IF(ISNUMBER('Reference data'!D17),D41*'Reference data'!D17/1000000,"Unknown"))</x:f>
        <x:v>0.0000295</x:v>
      </x:c>
      <x:c r="G41" s="33" t="n">
        <x:f>IF(ISNUMBER(E41),ROUND(E41*'Reference data'!$B$2,0),"Unknown")</x:f>
        <x:v>3</x:v>
      </x:c>
      <x:c r="H41" s="33" t="n">
        <x:f>IF(ISNUMBER(F41),ROUND(F41*'Reference data'!$B$2,0),"Unknown")</x:f>
        <x:v>3</x:v>
      </x:c>
      <x:c r="I41" s="14"/>
      <x:c r="J41" s="2"/>
      <x:c r="K41" s="2"/>
      <x:c r="L41" s="33"/>
      <x:c r="M41" s="2"/>
    </x:row>
    <x:row r="42" ht="24" customHeight="1">
      <x:c r="A42" s="2" t="str">
        <x:v>R3</x:v>
      </x:c>
      <x:c r="B42" s="2" t="n">
        <x:v>1</x:v>
      </x:c>
      <x:c r="C42" s="2" t="str">
        <x:v>Context · added / total</x:v>
      </x:c>
      <x:c r="D42" s="33"/>
      <x:c r="E42" s="11"/>
      <x:c r="F42" s="11"/>
      <x:c r="G42" s="33"/>
      <x:c r="H42" s="33"/>
      <x:c r="I42" s="14"/>
      <x:c r="J42" s="2"/>
      <x:c r="K42" s="2"/>
      <x:c r="L42" s="33"/>
      <x:c r="M42" s="2"/>
    </x:row>
    <x:row r="43" ht="24" customHeight="1">
      <x:c r="A43" s="21" t="str">
        <x:v>R3</x:v>
      </x:c>
      <x:c r="B43" s="21" t="n">
        <x:v>1</x:v>
      </x:c>
      <x:c r="C43" s="21" t="str">
        <x:v>LLM response</x:v>
      </x:c>
      <x:c r="D43" s="32" t="n">
        <x:v>286</x:v>
      </x:c>
      <x:c r="E43" s="29"/>
      <x:c r="F43" s="29"/>
      <x:c r="G43" s="32"/>
      <x:c r="H43" s="32"/>
      <x:c r="I43" s="26"/>
      <x:c r="J43" s="21"/>
      <x:c r="K43" s="21"/>
      <x:c r="L43" s="32"/>
      <x:c r="M43" s="21"/>
    </x:row>
    <x:row r="44" ht="24" customHeight="1">
      <x:c r="A44" s="2" t="str">
        <x:v>R3</x:v>
      </x:c>
      <x:c r="B44" s="2" t="n">
        <x:v>1</x:v>
      </x:c>
      <x:c r="C44" s="22" t="str">
        <x:v>Reasoning</x:v>
      </x:c>
      <x:c r="D44" s="33" t="n">
        <x:v>24</x:v>
      </x:c>
      <x:c r="E44" s="11" t="n">
        <x:f>IF(AND(ISNUMBER(F44),ISNUMBER('Reference data'!$B$3)),F44*'Reference data'!$B$3,"Unknown")</x:f>
        <x:v>0.00002513088</x:v>
      </x:c>
      <x:c r="F44" s="11" t="n">
        <x:f>IF(D44=0,0,IF(ISNUMBER('Reference data'!F17),D44*'Reference data'!F17/1000000,"Unknown"))</x:f>
        <x:v>0.0000288</x:v>
      </x:c>
      <x:c r="G44" s="33" t="n">
        <x:f>IF(ISNUMBER(E44),ROUND(E44*'Reference data'!$B$2,0),"Unknown")</x:f>
        <x:v>3</x:v>
      </x:c>
      <x:c r="H44" s="33" t="n">
        <x:f>IF(ISNUMBER(F44),ROUND(F44*'Reference data'!$B$2,0),"Unknown")</x:f>
        <x:v>3</x:v>
      </x:c>
      <x:c r="I44" s="14"/>
      <x:c r="J44" s="2"/>
      <x:c r="K44" s="2"/>
      <x:c r="L44" s="33"/>
      <x:c r="M44" s="2"/>
    </x:row>
    <x:row r="45" ht="24" customHeight="1">
      <x:c r="A45" s="2" t="str">
        <x:v>R3</x:v>
      </x:c>
      <x:c r="B45" s="2" t="n">
        <x:v>1</x:v>
      </x:c>
      <x:c r="C45" s="22" t="str">
        <x:v>Output</x:v>
      </x:c>
      <x:c r="D45" s="33" t="n">
        <x:v>262</x:v>
      </x:c>
      <x:c r="E45" s="11" t="n">
        <x:f>IF(AND(ISNUMBER(F45),ISNUMBER('Reference data'!$B$3)),F45*'Reference data'!$B$3,"Unknown")</x:f>
        <x:v>0.00027434544000000003</x:v>
      </x:c>
      <x:c r="F45" s="11" t="n">
        <x:f>IF(D45=0,0,IF(ISNUMBER('Reference data'!E17),D45*'Reference data'!E17/1000000,"Unknown"))</x:f>
        <x:v>0.0003144</x:v>
      </x:c>
      <x:c r="G45" s="33" t="n">
        <x:f>IF(ISNUMBER(E45),ROUND(E45*'Reference data'!$B$2,0),"Unknown")</x:f>
        <x:v>27</x:v>
      </x:c>
      <x:c r="H45" s="33" t="n">
        <x:f>IF(ISNUMBER(F45),ROUND(F45*'Reference data'!$B$2,0),"Unknown")</x:f>
        <x:v>31</x:v>
      </x:c>
      <x:c r="I45" s="14"/>
      <x:c r="J45" s="2"/>
      <x:c r="K45" s="2"/>
      <x:c r="L45" s="33"/>
      <x:c r="M45" s="2"/>
    </x:row>
    <x:row r="46" ht="450" customHeight="1">
      <x:c r="A46" s="2" t="str">
        <x:v>R3</x:v>
      </x:c>
      <x:c r="B46" s="2" t="n">
        <x:v>1</x:v>
      </x:c>
      <x:c r="C46" s="2" t="str">
        <x:v>    Output content</x:v>
      </x:c>
      <x:c r="D46" s="33"/>
      <x:c r="E46" s="11"/>
      <x:c r="F46" s="11"/>
      <x:c r="G46" s="33"/>
      <x:c r="H46" s="33"/>
      <x:c r="I46" s="14" t="str">
        <x:v>[{"id":"rs_0d4d6e4b7b912851006ab12ad4ef9c87d29e5ebcd436e525cb","summary":[],"type":"reasoning","content":[],"index":0,"encrypted_content":"gAAAAABqsSrVuHkIg3Rju12rxFHjGjI5u7N-h3nYLhlFfUy0wWw5_xJJqlG7xby_IOiDCysdPhWfTSG_T7C-LlBbsbu_6p1mYwJViqb5KuZXXrGcZWep8UhJ8bTQiuexpLy0scL9q5g_bRarXQqlSTvO61pfQzjHZxprEYfh6vpilZ7C1odqkbKdihRePxVWo2wwSMdayc0idUxLXBZ9qYmAJJWSptX1FZSPOUdC7cYBLfIzDMbnmF6XbG4qEvRysaRpgb5Ct1Fkacr9SVLG-5p6VBA_2_d2zNZWo-UffecPcGJehpsPAqnNV9_kKiGTsIhpMsCgbIbyuG8P1hZyOwpXZVq32UPxGV8bAG7GTIHOUovD1_-kGaegrQ1EGFZK5Ofh08RuRJX4Hnaw7-90yuUebRtJIINzgYOEzhH8ITwLruv5z2dBB4fkLc-8bCYZWnvR53EkIYd52KPriV_56OeqXY6IaVM_Eyl5IO-fViAvo9QPt-3gxGL3cx1ZYS5tIXphwRQp9Xu0XqSRbmCJJ2mMzPWSvn7QIPAvwzmsa9-8WrQNML8yd9xGwPFnqXnzXyGc5QSs4IOPYLdflHuffcGbWknaRoKWZHICKSz3uWDUqYUxNDVh-pQegoQVl4M9N2rwOb5Cy9XOnM_UcBMtd1JkAyOR2hbF3TGc1sSU6rZb6dqytBTV5Zqk0vLm5ZQPVNu6DXrtwVBKSLoRDna8COUK3Xsoa4MxDE5Y_2kcsUsKUtQAFd2eqUtyX9fMN4LA6Izj1ukZHcp14uj9I0Fwe1OdrpX_JSqEWPZwOHi81gHS-7SA6eC0V3AWMYclFu5SRuN6TpivR9tmSgDJOsE1zjmchGJExiTvswGLuI86PdgFBJcqjCuli8B5rfhe3SLippge6E6plOa0vv_Ndf1GevraH0wG_w2sKhFmIZoWlrJWogv4lIBkTiuLdKmTFrqR0GT4WQSXwNbNjUO124-PKIXMloZBEJlomr21EIKJMjqf6bjvLcS1GKtGpwuo8O9MZweSNoYi6i0IZH9OjP5l9tBo5AMkJTXveTcS1uOr5EE5NE9bR5yY5Mf8wpTrvALL_80_KYziEL3dmPctI_wTHWlusdR75jcNJk12aB2YcQan16x_kiiplP65hSvrFs6ltqxaar9groj7xZmRVe4n6cpFKHIzHM3XmPqXSZsOhBguC-NKKOXHvIbECsKNVGazHqZR6Z0Xap7OdnNFq2L_VbmvDjJpDI6CR3pKalJr9K-_XYBE87QCxm8trQ4Uu90RzrXOGrBWHeyO6qg8Jmo5LtqQP8iwPmWoquij4vXKeQIxtoLfzRkpXaZP-Kh9ycbaCM0sE-KSnO0n"},{"type":"text","text":"- **ReAct** (“reasoning and acting”) interleaves an agent’s decision-making with tool use: it determines what information or action is needed, invokes a tool, observes the result, and uses that observation to choose the next step or produce an answer. This loop can repeat until the task is sufficiently resolved.\n\n- A **specialist subagent** can gather domain-specific evidence through tools—such as searches, calculations, or file inspection—and report its findings to a parent agent. The parent can then use those observations to improve accuracy, identify gaps, compare evidence, and synthesize a clearer final response.\n\n- **Internal reasoning** is the model’s private process for interpreting evidence and selecting actions; it should not be confused with, or exposed as, a verbatim reasoning trace. **Externally reported observations** are concise, relevant results—what a tool returned, what was verified, and what remains uncertain—that can safely be communicated and used for coordination.\n\n- Effective coordination requires the parent to assess uncertainty, request verification when evidence is incomplete or conflicting, and synthesize specialist findings rather than copying them uncritically. Tool observations can be limited by tool errors, incomplete sources, or a specialist’s scope, so they support—but do not replace—validation and judgment.","phase":"final_answer","index":1,"id":"msg_0d4d6e4b7b912851006ab12ad549f887d2bf7d97208fac8099"}]</x:v>
      </x:c>
      <x:c r="J46" s="2"/>
      <x:c r="K46" s="2"/>
      <x:c r="L46" s="33"/>
      <x:c r="M46" s="2"/>
    </x:row>
    <x:row r="47" ht="24" customHeight="1">
      <x:c r="A47" s="2" t="str">
        <x:v>R3</x:v>
      </x:c>
      <x:c r="B47" s="2" t="n">
        <x:v>1</x:v>
      </x:c>
      <x:c r="C47" s="2" t="str">
        <x:v>Cache write</x:v>
      </x:c>
      <x:c r="D47" s="33"/>
      <x:c r="E47" s="11"/>
      <x:c r="F47" s="11"/>
      <x:c r="G47" s="33"/>
      <x:c r="H47" s="33"/>
      <x:c r="I47" s="14"/>
      <x:c r="J47" s="2"/>
      <x:c r="K47" s="2"/>
      <x:c r="L47" s="33"/>
      <x:c r="M47" s="2"/>
    </x:row>
    <x:row r="48" ht="24" customHeight="1">
      <x:c r="A48" s="2" t="str">
        <x:v>R3</x:v>
      </x:c>
      <x:c r="B48" s="2" t="n">
        <x:v>1</x:v>
      </x:c>
      <x:c r="C48" s="2" t="str">
        <x:v>Context · added / total</x:v>
      </x:c>
      <x:c r="D48" s="33"/>
      <x:c r="E48" s="11"/>
      <x:c r="F48" s="11"/>
      <x:c r="G48" s="33"/>
      <x:c r="H48" s="33"/>
      <x:c r="I48" s="14"/>
      <x:c r="J48" s="2"/>
      <x:c r="K48" s="2"/>
      <x:c r="L48" s="33"/>
      <x:c r="M48" s="2"/>
    </x:row>
    <x:row r="49" ht="24" customHeight="1">
      <x:c r="A49" s="21" t="str">
        <x:v>R3</x:v>
      </x:c>
      <x:c r="B49" s="21" t="n">
        <x:v>1</x:v>
      </x:c>
      <x:c r="C49" s="21" t="str">
        <x:v>Call total</x:v>
      </x:c>
      <x:c r="D49" s="32"/>
      <x:c r="E49" s="29" t="n">
        <x:f>IF(COUNT(E38,E39,E41,E44,E45)=5,SUM(E38,E39,E41,E44,E45),"Unknown")</x:f>
        <x:v>0.000357224988</x:v>
      </x:c>
      <x:c r="F49" s="29" t="n">
        <x:f>IF(COUNT(F38,F39,F41,F44,F45)=5,SUM(F38,F39,F41,F44,F45),"Unknown")</x:f>
        <x:v>0.00040938</x:v>
      </x:c>
      <x:c r="G49" s="32" t="n">
        <x:f>IF(ISNUMBER(E49),ROUND(E49*'Reference data'!$B$2,0),"Unknown")</x:f>
        <x:v>36</x:v>
      </x:c>
      <x:c r="H49" s="32" t="n">
        <x:f>IF(ISNUMBER(F49),ROUND(F49*'Reference data'!$B$2,0),"Unknown")</x:f>
        <x:v>41</x:v>
      </x:c>
      <x:c r="I49" s="26"/>
      <x:c r="J49" s="21"/>
      <x:c r="K49" s="21" t="str">
        <x:v>ok</x:v>
      </x:c>
      <x:c r="L49" s="32"/>
      <x:c r="M49" s="21"/>
    </x:row>
    <x:row r="50" ht="24" customHeight="1">
      <x:c r="A50" s="21" t="str">
        <x:v>R4</x:v>
      </x:c>
      <x:c r="B50" s="21" t="n">
        <x:v>1</x:v>
      </x:c>
      <x:c r="C50" s="21" t="str">
        <x:v>LLM request</x:v>
      </x:c>
      <x:c r="D50" s="32" t="n">
        <x:v>2455</x:v>
      </x:c>
      <x:c r="E50" s="29"/>
      <x:c r="F50" s="29"/>
      <x:c r="G50" s="32"/>
      <x:c r="H50" s="32"/>
      <x:c r="I50" s="26"/>
      <x:c r="J50" s="21" t="str">
        <x:v>gpt-5.6-luna</x:v>
      </x:c>
      <x:c r="K50" s="21"/>
      <x:c r="L50" s="32"/>
      <x:c r="M50" s="21" t="str">
        <x:v>01a0c40f-5edb-70d0-8c5f-2e7d5cdf4978</x:v>
      </x:c>
    </x:row>
    <x:row r="51" ht="24" customHeight="1">
      <x:c r="A51" s="2" t="str">
        <x:v>R4</x:v>
      </x:c>
      <x:c r="B51" s="2" t="n">
        <x:v>1</x:v>
      </x:c>
      <x:c r="C51" s="22" t="str">
        <x:v>Conversation history · cache read</x:v>
      </x:c>
      <x:c r="D51" s="33" t="n">
        <x:v>2035</x:v>
      </x:c>
      <x:c r="E51" s="11" t="n">
        <x:f>IF(AND(ISNUMBER(F51),ISNUMBER('Reference data'!$B$3)),F51*'Reference data'!$B$3,"Unknown")</x:f>
        <x:v>0.00003551482</x:v>
      </x:c>
      <x:c r="F51" s="11" t="n">
        <x:f>IF(D51=0,0,IF(ISNUMBER('Reference data'!C17),D51*'Reference data'!C17/1000000,"Unknown"))</x:f>
        <x:v>0.0000407</x:v>
      </x:c>
      <x:c r="G51" s="33" t="n">
        <x:f>IF(ISNUMBER(E51),ROUND(E51*'Reference data'!$B$2,0),"Unknown")</x:f>
        <x:v>4</x:v>
      </x:c>
      <x:c r="H51" s="33" t="n">
        <x:f>IF(ISNUMBER(F51),ROUND(F51*'Reference data'!$B$2,0),"Unknown")</x:f>
        <x:v>4</x:v>
      </x:c>
      <x:c r="I51" s="14"/>
      <x:c r="J51" s="2"/>
      <x:c r="K51" s="2"/>
      <x:c r="L51" s="33"/>
      <x:c r="M51" s="2"/>
    </x:row>
    <x:row r="52" ht="24" customHeight="1">
      <x:c r="A52" s="2" t="str">
        <x:v>R4</x:v>
      </x:c>
      <x:c r="B52" s="2" t="n">
        <x:v>1</x:v>
      </x:c>
      <x:c r="C52" s="22" t="str">
        <x:v>Fresh input</x:v>
      </x:c>
      <x:c r="D52" s="33" t="n">
        <x:v>3</x:v>
      </x:c>
      <x:c r="E52" s="11" t="n">
        <x:f>IF(AND(ISNUMBER(F52),ISNUMBER('Reference data'!$B$3)),F52*'Reference data'!$B$3,"Unknown")</x:f>
        <x:v>5.235600000000001e-7</x:v>
      </x:c>
      <x:c r="F52" s="11" t="n">
        <x:f>IF(D52=0,0,IF(ISNUMBER('Reference data'!B17),D52*'Reference data'!B17/1000000,"Unknown"))</x:f>
        <x:v>6.000000000000001e-7</x:v>
      </x:c>
      <x:c r="G52" s="33" t="n">
        <x:f>IF(ISNUMBER(E52),ROUND(E52*'Reference data'!$B$2,0),"Unknown")</x:f>
        <x:v>0</x:v>
      </x:c>
      <x:c r="H52" s="33" t="n">
        <x:f>IF(ISNUMBER(F52),ROUND(F52*'Reference data'!$B$2,0),"Unknown")</x:f>
        <x:v>0</x:v>
      </x:c>
      <x:c r="I52" s="14"/>
      <x:c r="J52" s="2"/>
      <x:c r="K52" s="2"/>
      <x:c r="L52" s="33"/>
      <x:c r="M52" s="2"/>
    </x:row>
    <x:row r="53" ht="281" customHeight="1">
      <x:c r="A53" s="2" t="str">
        <x:v>R4</x:v>
      </x:c>
      <x:c r="B53" s="2" t="n">
        <x:v>1</x:v>
      </x:c>
      <x:c r="C53" s="2" t="str">
        <x:v>    Tool result</x:v>
      </x:c>
      <x:c r="D53" s="33"/>
      <x:c r="E53" s="11"/>
      <x:c r="F53" s="11"/>
      <x:c r="G53" s="33"/>
      <x:c r="H53" s="33"/>
      <x:c r="I53" s="14" t="str">
        <x:v>- **ReAct** (“reasoning and acting”) interleaves an agent’s decision-making with tool use: it determines what information or action is needed, invokes a tool, observes the result, and uses that observation to choose the next step or produce an answer. This loop can repeat until the task is sufficiently resolved.
- A **specialist subagent** can gather domain-specific evidence through tools—such as searches, calculations, or file inspection—and report its findings to a parent agent. The parent can then use those observations to improve accuracy, identify gaps, compare evidence, and synthesize a clearer final response.
- **Internal reasoning** is the model’s private process for interpreting evidence and selecting actions; it should not be confused with, or exposed as, a verbatim reasoning trace. **Externally reported observations** are concise, relevant results—what a tool returned, what was verified, and what remains uncertain—that can safely be communicated and used for coordination.
- Effective coordination requires the parent to assess uncertainty, request verification when evidence is incomplete or conflicting, and synthesize specialist findings rather than copying them uncritically. Tool observations can be limited by tool errors, incomplete sources, or a specialist’s scope, so they support—but do not replace—validation and judgment.</x:v>
      </x:c>
      <x:c r="J53" s="2"/>
      <x:c r="K53" s="2"/>
      <x:c r="L53" s="33"/>
      <x:c r="M53" s="2"/>
    </x:row>
    <x:row r="54" ht="24" customHeight="1">
      <x:c r="A54" s="2" t="str">
        <x:v>R4</x:v>
      </x:c>
      <x:c r="B54" s="2" t="n">
        <x:v>1</x:v>
      </x:c>
      <x:c r="C54" s="22" t="str">
        <x:v>Cache write</x:v>
      </x:c>
      <x:c r="D54" s="33" t="n">
        <x:v>417</x:v>
      </x:c>
      <x:c r="E54" s="11" t="n">
        <x:f>IF(AND(ISNUMBER(F54),ISNUMBER('Reference data'!$B$3)),F54*'Reference data'!$B$3,"Unknown")</x:f>
        <x:v>0.00009096855</x:v>
      </x:c>
      <x:c r="F54" s="11" t="n">
        <x:f>IF(D54=0,0,IF(ISNUMBER('Reference data'!D17),D54*'Reference data'!D17/1000000,"Unknown"))</x:f>
        <x:v>0.00010425</x:v>
      </x:c>
      <x:c r="G54" s="33" t="n">
        <x:f>IF(ISNUMBER(E54),ROUND(E54*'Reference data'!$B$2,0),"Unknown")</x:f>
        <x:v>9</x:v>
      </x:c>
      <x:c r="H54" s="33" t="n">
        <x:f>IF(ISNUMBER(F54),ROUND(F54*'Reference data'!$B$2,0),"Unknown")</x:f>
        <x:v>10</x:v>
      </x:c>
      <x:c r="I54" s="14"/>
      <x:c r="J54" s="2"/>
      <x:c r="K54" s="2"/>
      <x:c r="L54" s="33"/>
      <x:c r="M54" s="2"/>
    </x:row>
    <x:row r="55" ht="24" customHeight="1">
      <x:c r="A55" s="2" t="str">
        <x:v>R4</x:v>
      </x:c>
      <x:c r="B55" s="2" t="n">
        <x:v>1</x:v>
      </x:c>
      <x:c r="C55" s="2" t="str">
        <x:v>Context · added / total</x:v>
      </x:c>
      <x:c r="D55" s="33"/>
      <x:c r="E55" s="11"/>
      <x:c r="F55" s="11"/>
      <x:c r="G55" s="33"/>
      <x:c r="H55" s="33"/>
      <x:c r="I55" s="14"/>
      <x:c r="J55" s="2"/>
      <x:c r="K55" s="2"/>
      <x:c r="L55" s="33"/>
      <x:c r="M55" s="2"/>
    </x:row>
    <x:row r="56" ht="24" customHeight="1">
      <x:c r="A56" s="21" t="str">
        <x:v>R4</x:v>
      </x:c>
      <x:c r="B56" s="21" t="n">
        <x:v>1</x:v>
      </x:c>
      <x:c r="C56" s="21" t="str">
        <x:v>LLM response</x:v>
      </x:c>
      <x:c r="D56" s="32" t="n">
        <x:v>178</x:v>
      </x:c>
      <x:c r="E56" s="29"/>
      <x:c r="F56" s="29"/>
      <x:c r="G56" s="32"/>
      <x:c r="H56" s="32"/>
      <x:c r="I56" s="26"/>
      <x:c r="J56" s="21"/>
      <x:c r="K56" s="21"/>
      <x:c r="L56" s="32"/>
      <x:c r="M56" s="21"/>
    </x:row>
    <x:row r="57" ht="24" customHeight="1">
      <x:c r="A57" s="2" t="str">
        <x:v>R4</x:v>
      </x:c>
      <x:c r="B57" s="2" t="n">
        <x:v>1</x:v>
      </x:c>
      <x:c r="C57" s="22" t="str">
        <x:v>Output</x:v>
      </x:c>
      <x:c r="D57" s="33" t="n">
        <x:v>178</x:v>
      </x:c>
      <x:c r="E57" s="11" t="n">
        <x:f>IF(AND(ISNUMBER(F57),ISNUMBER('Reference data'!$B$3)),F57*'Reference data'!$B$3,"Unknown")</x:f>
        <x:v>0.00018638736</x:v>
      </x:c>
      <x:c r="F57" s="11" t="n">
        <x:f>IF(D57=0,0,IF(ISNUMBER('Reference data'!E17),D57*'Reference data'!E17/1000000,"Unknown"))</x:f>
        <x:v>0.0002136</x:v>
      </x:c>
      <x:c r="G57" s="33" t="n">
        <x:f>IF(ISNUMBER(E57),ROUND(E57*'Reference data'!$B$2,0),"Unknown")</x:f>
        <x:v>19</x:v>
      </x:c>
      <x:c r="H57" s="33" t="n">
        <x:f>IF(ISNUMBER(F57),ROUND(F57*'Reference data'!$B$2,0),"Unknown")</x:f>
        <x:v>21</x:v>
      </x:c>
      <x:c r="I57" s="14"/>
      <x:c r="J57" s="2"/>
      <x:c r="K57" s="2"/>
      <x:c r="L57" s="33"/>
      <x:c r="M57" s="2"/>
    </x:row>
    <x:row r="58" ht="164" customHeight="1">
      <x:c r="A58" s="2" t="str">
        <x:v>R4</x:v>
      </x:c>
      <x:c r="B58" s="2" t="n">
        <x:v>1</x:v>
      </x:c>
      <x:c r="C58" s="2" t="str">
        <x:v>    Output content</x:v>
      </x:c>
      <x:c r="D58" s="33"/>
      <x:c r="E58" s="11"/>
      <x:c r="F58" s="11"/>
      <x:c r="G58" s="33"/>
      <x:c r="H58" s="33"/>
      <x:c r="I58" s="14" t="str">
        <x:v>[{"type":"text","text":"**ReAct**—short for *Reasoning and Acting*—is an agent pattern that alternates between:\n\n1. Deciding what information or action is needed.\n2. Calling a tool.\n3. Observing the tool’s result.\n4. Using that observation to choose the next step or give an answer.\n\nA specialist subagent helps a parent agent by using tools to gather focused evidence—such as searching sources, inspecting files, or performing calculations. The parent can then use the specialist’s observations to:\n\n- Improve factual accuracy\n- Identify missing information\n- Resolve or investigate uncertainty\n- Synthesize a clearer response\n\nThe parent should treat those observations as evidence, not unquestionable truth. Tool errors, incomplete sources, or the specialist’s limited scope may require verification. Also, useful reports should contain concise findings and uncertainties—not private, verbatim reasoning traces.","phase":"final_answer","index":0,"id":"msg_0ac728c1a857ba5a006ab12ad9b19087d29cb4e8c2e5867a82"}]</x:v>
      </x:c>
      <x:c r="J58" s="2"/>
      <x:c r="K58" s="2"/>
      <x:c r="L58" s="33"/>
      <x:c r="M58" s="2"/>
    </x:row>
    <x:row r="59" ht="24" customHeight="1">
      <x:c r="A59" s="2" t="str">
        <x:v>R4</x:v>
      </x:c>
      <x:c r="B59" s="2" t="n">
        <x:v>1</x:v>
      </x:c>
      <x:c r="C59" s="2" t="str">
        <x:v>Cache write</x:v>
      </x:c>
      <x:c r="D59" s="33"/>
      <x:c r="E59" s="11"/>
      <x:c r="F59" s="11"/>
      <x:c r="G59" s="33"/>
      <x:c r="H59" s="33"/>
      <x:c r="I59" s="14"/>
      <x:c r="J59" s="2"/>
      <x:c r="K59" s="2"/>
      <x:c r="L59" s="33"/>
      <x:c r="M59" s="2"/>
    </x:row>
    <x:row r="60" ht="24" customHeight="1">
      <x:c r="A60" s="2" t="str">
        <x:v>R4</x:v>
      </x:c>
      <x:c r="B60" s="2" t="n">
        <x:v>1</x:v>
      </x:c>
      <x:c r="C60" s="2" t="str">
        <x:v>Context · added / total</x:v>
      </x:c>
      <x:c r="D60" s="33"/>
      <x:c r="E60" s="11"/>
      <x:c r="F60" s="11"/>
      <x:c r="G60" s="33"/>
      <x:c r="H60" s="33"/>
      <x:c r="I60" s="14"/>
      <x:c r="J60" s="2"/>
      <x:c r="K60" s="2"/>
      <x:c r="L60" s="33"/>
      <x:c r="M60" s="2"/>
    </x:row>
    <x:row r="61" ht="24" customHeight="1">
      <x:c r="A61" s="21" t="str">
        <x:v>R4</x:v>
      </x:c>
      <x:c r="B61" s="21" t="n">
        <x:v>1</x:v>
      </x:c>
      <x:c r="C61" s="21" t="str">
        <x:v>Call total</x:v>
      </x:c>
      <x:c r="D61" s="32"/>
      <x:c r="E61" s="29" t="n">
        <x:f>IF(COUNT(E51,E52,E54,E57)=4,SUM(E51,E52,E54,E57),"Unknown")</x:f>
        <x:v>0.00031339428999999997</x:v>
      </x:c>
      <x:c r="F61" s="29" t="n">
        <x:f>IF(COUNT(F51,F52,F54,F57)=4,SUM(F51,F52,F54,F57),"Unknown")</x:f>
        <x:v>0.00035915</x:v>
      </x:c>
      <x:c r="G61" s="32" t="n">
        <x:f>IF(ISNUMBER(E61),ROUND(E61*'Reference data'!$B$2,0),"Unknown")</x:f>
        <x:v>31</x:v>
      </x:c>
      <x:c r="H61" s="32" t="n">
        <x:f>IF(ISNUMBER(F61),ROUND(F61*'Reference data'!$B$2,0),"Unknown")</x:f>
        <x:v>36</x:v>
      </x:c>
      <x:c r="I61" s="26"/>
      <x:c r="J61" s="21"/>
      <x:c r="K61" s="21" t="str">
        <x:v>ok</x:v>
      </x:c>
      <x:c r="L61" s="32"/>
      <x:c r="M61" s="21"/>
    </x:row>
  </x:sheetData>
  <x:conditionalFormatting sqref="A2:M61">
    <x:cfRule type="expression" dxfId="2" priority="1">
      <x:formula>$K2="error"</x:formula>
    </x:cfRule>
  </x:conditionalFormatting>
  <x:pageMargins left="0.7" right="0.7" top="0.75" bottom="0.75" header="0.3" footer="0.3"/>
</x:worksheet>
</file>

<file path=xl/worksheets/sheet2.xml><?xml version="1.0" encoding="utf-8"?>
<x:worksheet xmlns:x="http://schemas.openxmlformats.org/spreadsheetml/2006/main">
  <x:sheetPr>
    <x:tabColor rgb="FF173B70"/>
  </x:sheetPr>
  <x:sheetViews>
    <x:sheetView showGridLines="0" workbookViewId="0">
      <x:pane xSplit="1" ySplit="1" topLeftCell="B2" activePane="bottomRight" state="frozen"/>
    </x:sheetView>
  </x:sheetViews>
  <x:sheetFormatPr defaultRowHeight="15"/>
  <x:cols>
    <x:col min="1" max="1" width="48" hidden="0" customWidth="1"/>
    <x:col min="2" max="2" width="12" hidden="0" customWidth="1"/>
    <x:col min="3" max="3" width="12" hidden="0" customWidth="1"/>
    <x:col min="4" max="4" width="26" hidden="0" customWidth="1"/>
    <x:col min="5" max="5" width="18" hidden="0" customWidth="1"/>
    <x:col min="6" max="6" width="18" hidden="0" customWidth="1"/>
    <x:col min="7" max="7" width="62" hidden="0" customWidth="1"/>
    <x:col min="8" max="8" width="38" hidden="0" customWidth="1"/>
    <x:col min="9" max="9" width="3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18" hidden="0" customWidth="1"/>
    <x:col min="29" max="29" width="18" hidden="0" customWidth="1"/>
    <x:col min="30" max="30" width="18" hidden="0" customWidth="1"/>
    <x:col min="31" max="31" width="18" hidden="0" customWidth="1"/>
  </x:cols>
  <x:sheetData>
    <x:row r="1" ht="44" customHeight="1">
      <x:c r="A1" s="7" t="str">
        <x:v>Operation</x:v>
      </x:c>
      <x:c r="B1" s="7" t="str">
        <x:v>Depth</x:v>
      </x:c>
      <x:c r="C1" s="7" t="str">
        <x:v>Type</x:v>
      </x:c>
      <x:c r="D1" s="7" t="str">
        <x:v>Model · effort</x:v>
      </x:c>
      <x:c r="E1" s="7" t="str">
        <x:v>Status</x:v>
      </x:c>
      <x:c r="F1" s="7" t="str">
        <x:v>Input context tokens</x:v>
      </x:c>
      <x:c r="G1" s="7" t="str">
        <x:v>Description</x:v>
      </x:c>
      <x:c r="H1" s="7" t="str">
        <x:v>Span ID</x:v>
      </x:c>
      <x:c r="I1" s="7" t="str">
        <x:v>Parent ID</x:v>
      </x:c>
      <x:c r="J1" s="7" t="str">
        <x:v>Fresh input tokens</x:v>
      </x:c>
      <x:c r="K1" s="7" t="str">
        <x:v>Fresh input EUR</x:v>
      </x:c>
      <x:c r="L1" s="7" t="str">
        <x:v>Fresh input USD</x:v>
      </x:c>
      <x:c r="M1" s="7" t="str">
        <x:v>Cache read tokens</x:v>
      </x:c>
      <x:c r="N1" s="7" t="str">
        <x:v>Cache read EUR</x:v>
      </x:c>
      <x:c r="O1" s="7" t="str">
        <x:v>Cache read USD</x:v>
      </x:c>
      <x:c r="P1" s="7" t="str">
        <x:v>Cache write tokens</x:v>
      </x:c>
      <x:c r="Q1" s="7" t="str">
        <x:v>Cache write EUR</x:v>
      </x:c>
      <x:c r="R1" s="7" t="str">
        <x:v>Cache write USD</x:v>
      </x:c>
      <x:c r="S1" s="7" t="str">
        <x:v>Output (non-reasoning) tokens</x:v>
      </x:c>
      <x:c r="T1" s="7" t="str">
        <x:v>Output (non-reasoning) EUR</x:v>
      </x:c>
      <x:c r="U1" s="7" t="str">
        <x:v>Output (non-reasoning) USD</x:v>
      </x:c>
      <x:c r="V1" s="7" t="str">
        <x:v>Reasoning tokens</x:v>
      </x:c>
      <x:c r="W1" s="7" t="str">
        <x:v>Reasoning EUR</x:v>
      </x:c>
      <x:c r="X1" s="7" t="str">
        <x:v>Reasoning USD</x:v>
      </x:c>
      <x:c r="Y1" s="7" t="str">
        <x:v>Total EUR</x:v>
      </x:c>
      <x:c r="Z1" s="7" t="str">
        <x:v>Total USD</x:v>
      </x:c>
      <x:c r="AA1" s="7" t="str">
        <x:v>Projected EUR</x:v>
      </x:c>
      <x:c r="AB1" s="7" t="str">
        <x:v>Projected USD</x:v>
      </x:c>
      <x:c r="AC1" s="7" t="str">
        <x:v>Request</x:v>
      </x:c>
      <x:c r="AD1" s="7" t="str">
        <x:v>Elapsed ms</x:v>
      </x:c>
      <x:c r="AE1" s="7" t="str">
        <x:v>Accounting</x:v>
      </x:c>
    </x:row>
    <x:row r="2" ht="54" customHeight="1">
      <x:c r="A2" s="40" t="str">
        <x:v>delegating_parent</x:v>
      </x:c>
      <x:c r="B2" s="35" t="n">
        <x:v>0</x:v>
      </x:c>
      <x:c r="C2" s="35" t="str">
        <x:v>workflow</x:v>
      </x:c>
      <x:c r="D2" s="35" t="str"/>
      <x:c r="E2" s="35" t="str">
        <x:v>ok</x:v>
      </x:c>
      <x:c r="F2" s="37"/>
      <x:c r="G2" s="40" t="str">
        <x:v>Execute the delegating_parent workflow operation and pass its result to the next graph step.</x:v>
      </x:c>
      <x:c r="H2" s="35" t="str">
        <x:v>01a0c40f-3ab7-7640-9c4f-56f003fa53ee</x:v>
      </x:c>
      <x:c r="I2" s="35"/>
      <x:c r="J2" s="33" t="n">
        <x:f>IF(COUNT('Turns'!D5,'Turns'!D22,'Turns'!D39,'Turns'!D52)=4,SUM('Turns'!D5,'Turns'!D22,'Turns'!D39,'Turns'!D52),"Unknown")</x:f>
        <x:v>12</x:v>
      </x:c>
      <x:c r="K2" s="11" t="n">
        <x:f>IF(COUNT('Turns'!E5,'Turns'!E22,'Turns'!E39,'Turns'!E52)=4,SUM('Turns'!E5,'Turns'!E22,'Turns'!E39,'Turns'!E52),"Unknown")</x:f>
        <x:v>0.0000020942400000000005</x:v>
      </x:c>
      <x:c r="L2" s="11" t="n">
        <x:f>IF(COUNT('Turns'!F5,'Turns'!F22,'Turns'!F39,'Turns'!F52)=4,SUM('Turns'!F5,'Turns'!F22,'Turns'!F39,'Turns'!F52),"Unknown")</x:f>
        <x:v>0.0000024000000000000003</x:v>
      </x:c>
      <x:c r="M2" s="33" t="n">
        <x:f>IF(COUNT('Turns'!D38,'Turns'!D51)=2,SUM('Turns'!D38,'Turns'!D51),"Unknown")</x:f>
        <x:v>3839</x:v>
      </x:c>
      <x:c r="N2" s="11" t="n">
        <x:f>IF(COUNT('Turns'!E38,'Turns'!E51)=2,SUM('Turns'!E38,'Turns'!E51),"Unknown")</x:f>
        <x:v>0.00006699822800000001</x:v>
      </x:c>
      <x:c r="O2" s="11" t="n">
        <x:f>IF(COUNT('Turns'!F38,'Turns'!F51)=2,SUM('Turns'!F38,'Turns'!F51),"Unknown")</x:f>
        <x:v>0.00007678000000000001</x:v>
      </x:c>
      <x:c r="P2" s="33" t="n">
        <x:f>IF(COUNT('Turns'!D9,'Turns'!D25,'Turns'!D41,'Turns'!D54)=4,SUM('Turns'!D9,'Turns'!D25,'Turns'!D41,'Turns'!D54),"Unknown")</x:f>
        <x:v>4374</x:v>
      </x:c>
      <x:c r="Q2" s="11" t="n">
        <x:f>IF(COUNT('Turns'!E9,'Turns'!E25,'Turns'!E41,'Turns'!E54)=4,SUM('Turns'!E9,'Turns'!E25,'Turns'!E41,'Turns'!E54),"Unknown")</x:f>
        <x:v>0.0009541880999999999</x:v>
      </x:c>
      <x:c r="R2" s="11" t="n">
        <x:f>IF(COUNT('Turns'!F9,'Turns'!F25,'Turns'!F41,'Turns'!F54)=4,SUM('Turns'!F9,'Turns'!F25,'Turns'!F41,'Turns'!F54),"Unknown")</x:f>
        <x:v>0.0010934999999999999</x:v>
      </x:c>
      <x:c r="S2" s="33" t="n">
        <x:f>IF(COUNT('Turns'!D13,'Turns'!D29,'Turns'!D45,'Turns'!D57)=4,SUM('Turns'!D13,'Turns'!D29,'Turns'!D45,'Turns'!D57),"Unknown")</x:f>
        <x:v>615</x:v>
      </x:c>
      <x:c r="T2" s="11" t="n">
        <x:f>IF(COUNT('Turns'!E13,'Turns'!E29,'Turns'!E45,'Turns'!E57)=4,SUM('Turns'!E13,'Turns'!E29,'Turns'!E45,'Turns'!E57),"Unknown")</x:f>
        <x:v>0.0006439788</x:v>
      </x:c>
      <x:c r="U2" s="11" t="n">
        <x:f>IF(COUNT('Turns'!F13,'Turns'!F29,'Turns'!F45,'Turns'!F57)=4,SUM('Turns'!F13,'Turns'!F29,'Turns'!F45,'Turns'!F57),"Unknown")</x:f>
        <x:v>0.0007379999999999999</x:v>
      </x:c>
      <x:c r="V2" s="33" t="n">
        <x:f>IF(COUNT('Turns'!D12,'Turns'!D28,'Turns'!D44)=3,SUM('Turns'!D12,'Turns'!D28,'Turns'!D44),"Unknown")</x:f>
        <x:v>61</x:v>
      </x:c>
      <x:c r="W2" s="11" t="n">
        <x:f>IF(COUNT('Turns'!E12,'Turns'!E28,'Turns'!E44)=3,SUM('Turns'!E12,'Turns'!E28,'Turns'!E44),"Unknown")</x:f>
        <x:v>0.00006387432</x:v>
      </x:c>
      <x:c r="X2" s="11" t="n">
        <x:f>IF(COUNT('Turns'!F12,'Turns'!F28,'Turns'!F44)=3,SUM('Turns'!F12,'Turns'!F28,'Turns'!F44),"Unknown")</x:f>
        <x:v>0.00007319999999999999</x:v>
      </x:c>
      <x:c r="Y2" s="11" t="n">
        <x:f>IF(COUNT('Turns'!E17,'Turns'!E33,'Turns'!E49,'Turns'!E61)=4,SUM('Turns'!E17,'Turns'!E33,'Turns'!E49,'Turns'!E61),"Unknown")</x:f>
        <x:v>0.001731133688</x:v>
      </x:c>
      <x:c r="Z2" s="11" t="n">
        <x:f>IF(COUNT('Turns'!F17,'Turns'!F33,'Turns'!F49,'Turns'!F61)=4,SUM('Turns'!F17,'Turns'!F33,'Turns'!F49,'Turns'!F61),"Unknown")</x:f>
        <x:v>0.00198388</x:v>
      </x:c>
      <x:c r="AA2" s="33" t="n">
        <x:f>IF(ISNUMBER(Y2),ROUND(Y2*'Reference data'!$B$2,0),"Unknown")</x:f>
        <x:v>173</x:v>
      </x:c>
      <x:c r="AB2" s="33" t="n">
        <x:f>IF(ISNUMBER(Z2),ROUND(Z2*'Reference data'!$B$2,0),"Unknown")</x:f>
        <x:v>198</x:v>
      </x:c>
      <x:c r="AC2" s="2"/>
      <x:c r="AD2" s="43" t="n">
        <x:v>12388.13696</x:v>
      </x:c>
      <x:c r="AE2" s="2" t="str">
        <x:v>Subtree total</x:v>
      </x:c>
    </x:row>
    <x:row r="3" ht="54" customHeight="1">
      <x:c r="A3" s="41" t="str">
        <x:v>    PatchToolCallsMiddleware.before_agent</x:v>
      </x:c>
      <x:c r="B3" s="36" t="n">
        <x:v>1</x:v>
      </x:c>
      <x:c r="C3" s="36" t="str">
        <x:v>workflow</x:v>
      </x:c>
      <x:c r="D3" s="36" t="str"/>
      <x:c r="E3" s="36" t="str">
        <x:v>ok</x:v>
      </x:c>
      <x:c r="F3" s="38"/>
      <x:c r="G3" s="41" t="str">
        <x:v>Check message history and repair missing tool responses before the agent starts.</x:v>
      </x:c>
      <x:c r="H3" s="36" t="str">
        <x:v>01a0c40f-3aba-79b3-8adc-9b53e91f9fb7</x:v>
      </x:c>
      <x:c r="I3" s="36" t="str">
        <x:v>01a0c40f-3ab7-7640-9c4f-56f003fa53ee</x:v>
      </x:c>
      <x:c r="J3" s="33"/>
      <x:c r="K3" s="11"/>
      <x:c r="L3" s="11"/>
      <x:c r="M3" s="33"/>
      <x:c r="N3" s="11"/>
      <x:c r="O3" s="11"/>
      <x:c r="P3" s="33"/>
      <x:c r="Q3" s="11"/>
      <x:c r="R3" s="11"/>
      <x:c r="S3" s="33"/>
      <x:c r="T3" s="11"/>
      <x:c r="U3" s="11"/>
      <x:c r="V3" s="33"/>
      <x:c r="W3" s="11"/>
      <x:c r="X3" s="11"/>
      <x:c r="Y3" s="11"/>
      <x:c r="Z3" s="11"/>
      <x:c r="AA3" s="33"/>
      <x:c r="AB3" s="33"/>
      <x:c r="AC3" s="2"/>
      <x:c r="AD3" s="43" t="n">
        <x:v>0.340992</x:v>
      </x:c>
      <x:c r="AE3" s="2" t="str">
        <x:v>No model charge</x:v>
      </x:c>
    </x:row>
    <x:row r="4" ht="54" customHeight="1">
      <x:c r="A4" s="41" t="str">
        <x:v>    model</x:v>
      </x:c>
      <x:c r="B4" s="36" t="n">
        <x:v>1</x:v>
      </x:c>
      <x:c r="C4" s="36" t="str">
        <x:v>workflow</x:v>
      </x:c>
      <x:c r="D4" s="36" t="str"/>
      <x:c r="E4" s="36" t="str">
        <x:v>ok</x:v>
      </x:c>
      <x:c r="F4" s="38"/>
      <x:c r="G4" s="41" t="str">
        <x:v>Prepare the current conversation, run model middleware, and invoke the chat model.</x:v>
      </x:c>
      <x:c r="H4" s="36" t="str">
        <x:v>01a0c40f-3abb-7422-a052-84434db3e0fc</x:v>
      </x:c>
      <x:c r="I4" s="36" t="str">
        <x:v>01a0c40f-3ab7-7640-9c4f-56f003fa53ee</x:v>
      </x:c>
      <x:c r="J4" s="33" t="n">
        <x:f>IF(COUNT('Turns'!D5)=1,SUM('Turns'!D5),"Unknown")</x:f>
        <x:v>3</x:v>
      </x:c>
      <x:c r="K4" s="11" t="n">
        <x:f>IF(COUNT('Turns'!E5)=1,SUM('Turns'!E5),"Unknown")</x:f>
        <x:v>5.235600000000001e-7</x:v>
      </x:c>
      <x:c r="L4" s="11" t="n">
        <x:f>IF(COUNT('Turns'!F5)=1,SUM('Turns'!F5),"Unknown")</x:f>
        <x:v>6.000000000000001e-7</x:v>
      </x:c>
      <x:c r="M4" s="33" t="n">
        <x:v>0</x:v>
      </x:c>
      <x:c r="N4" s="11" t="n">
        <x:v>0</x:v>
      </x:c>
      <x:c r="O4" s="11" t="n">
        <x:v>0</x:v>
      </x:c>
      <x:c r="P4" s="33" t="n">
        <x:f>IF(COUNT('Turns'!D9)=1,SUM('Turns'!D9),"Unknown")</x:f>
        <x:v>2035</x:v>
      </x:c>
      <x:c r="Q4" s="11" t="n">
        <x:f>IF(COUNT('Turns'!E9)=1,SUM('Turns'!E9),"Unknown")</x:f>
        <x:v>0.00044393525</x:v>
      </x:c>
      <x:c r="R4" s="11" t="n">
        <x:f>IF(COUNT('Turns'!F9)=1,SUM('Turns'!F9),"Unknown")</x:f>
        <x:v>0.00050875</x:v>
      </x:c>
      <x:c r="S4" s="33" t="n">
        <x:f>IF(COUNT('Turns'!D13)=1,SUM('Turns'!D13),"Unknown")</x:f>
        <x:v>126</x:v>
      </x:c>
      <x:c r="T4" s="11" t="n">
        <x:f>IF(COUNT('Turns'!E13)=1,SUM('Turns'!E13),"Unknown")</x:f>
        <x:v>0.00013193712</x:v>
      </x:c>
      <x:c r="U4" s="11" t="n">
        <x:f>IF(COUNT('Turns'!F13)=1,SUM('Turns'!F13),"Unknown")</x:f>
        <x:v>0.0001512</x:v>
      </x:c>
      <x:c r="V4" s="33" t="n">
        <x:f>IF(COUNT('Turns'!D12)=1,SUM('Turns'!D12),"Unknown")</x:f>
        <x:v>26</x:v>
      </x:c>
      <x:c r="W4" s="11" t="n">
        <x:f>IF(COUNT('Turns'!E12)=1,SUM('Turns'!E12),"Unknown")</x:f>
        <x:v>0.00002722512</x:v>
      </x:c>
      <x:c r="X4" s="11" t="n">
        <x:f>IF(COUNT('Turns'!F12)=1,SUM('Turns'!F12),"Unknown")</x:f>
        <x:v>0.0000312</x:v>
      </x:c>
      <x:c r="Y4" s="11" t="n">
        <x:f>IF(COUNT('Turns'!E17)=1,SUM('Turns'!E17),"Unknown")</x:f>
        <x:v>0.00060362105</x:v>
      </x:c>
      <x:c r="Z4" s="11" t="n">
        <x:f>IF(COUNT('Turns'!F17)=1,SUM('Turns'!F17),"Unknown")</x:f>
        <x:v>0.00069175</x:v>
      </x:c>
      <x:c r="AA4" s="33" t="n">
        <x:f>IF(ISNUMBER(Y4),ROUND(Y4*'Reference data'!$B$2,0),"Unknown")</x:f>
        <x:v>60</x:v>
      </x:c>
      <x:c r="AB4" s="33" t="n">
        <x:f>IF(ISNUMBER(Z4),ROUND(Z4*'Reference data'!$B$2,0),"Unknown")</x:f>
        <x:v>69</x:v>
      </x:c>
      <x:c r="AC4" s="2"/>
      <x:c r="AD4" s="43" t="n">
        <x:v>3012.208896</x:v>
      </x:c>
      <x:c r="AE4" s="2" t="str">
        <x:v>Subtree total</x:v>
      </x:c>
    </x:row>
    <x:row r="5" ht="54" customHeight="1">
      <x:c r="A5" s="42" t="str">
        <x:v>        ChatOpenAI</x:v>
      </x:c>
      <x:c r="B5" s="20" t="n">
        <x:v>2</x:v>
      </x:c>
      <x:c r="C5" s="20" t="str">
        <x:v>model</x:v>
      </x:c>
      <x:c r="D5" s="20" t="str">
        <x:v>gpt-5.6-luna</x:v>
      </x:c>
      <x:c r="E5" s="20" t="str">
        <x:v>ok</x:v>
      </x:c>
      <x:c r="F5" s="39" t="n">
        <x:v>2038</x:v>
      </x:c>
      <x:c r="G5" s="42" t="str">
        <x:v>Generate the next assistant message or tool request from the current conversation.</x:v>
      </x:c>
      <x:c r="H5" s="20" t="str">
        <x:v>01a0c40f-3ac0-7752-a80e-3d102431f8be</x:v>
      </x:c>
      <x:c r="I5" s="20" t="str">
        <x:v>01a0c40f-3abb-7422-a052-84434db3e0fc</x:v>
      </x:c>
      <x:c r="J5" s="33" t="n">
        <x:f>IF(COUNT('Turns'!D5)=1,SUM('Turns'!D5),"Unknown")</x:f>
        <x:v>3</x:v>
      </x:c>
      <x:c r="K5" s="11" t="n">
        <x:f>IF(COUNT('Turns'!E5)=1,SUM('Turns'!E5),"Unknown")</x:f>
        <x:v>5.235600000000001e-7</x:v>
      </x:c>
      <x:c r="L5" s="11" t="n">
        <x:f>IF(COUNT('Turns'!F5)=1,SUM('Turns'!F5),"Unknown")</x:f>
        <x:v>6.000000000000001e-7</x:v>
      </x:c>
      <x:c r="M5" s="33" t="n">
        <x:v>0</x:v>
      </x:c>
      <x:c r="N5" s="11" t="n">
        <x:v>0</x:v>
      </x:c>
      <x:c r="O5" s="11" t="n">
        <x:v>0</x:v>
      </x:c>
      <x:c r="P5" s="33" t="n">
        <x:f>IF(COUNT('Turns'!D9)=1,SUM('Turns'!D9),"Unknown")</x:f>
        <x:v>2035</x:v>
      </x:c>
      <x:c r="Q5" s="11" t="n">
        <x:f>IF(COUNT('Turns'!E9)=1,SUM('Turns'!E9),"Unknown")</x:f>
        <x:v>0.00044393525</x:v>
      </x:c>
      <x:c r="R5" s="11" t="n">
        <x:f>IF(COUNT('Turns'!F9)=1,SUM('Turns'!F9),"Unknown")</x:f>
        <x:v>0.00050875</x:v>
      </x:c>
      <x:c r="S5" s="33" t="n">
        <x:f>IF(COUNT('Turns'!D13)=1,SUM('Turns'!D13),"Unknown")</x:f>
        <x:v>126</x:v>
      </x:c>
      <x:c r="T5" s="11" t="n">
        <x:f>IF(COUNT('Turns'!E13)=1,SUM('Turns'!E13),"Unknown")</x:f>
        <x:v>0.00013193712</x:v>
      </x:c>
      <x:c r="U5" s="11" t="n">
        <x:f>IF(COUNT('Turns'!F13)=1,SUM('Turns'!F13),"Unknown")</x:f>
        <x:v>0.0001512</x:v>
      </x:c>
      <x:c r="V5" s="33" t="n">
        <x:f>IF(COUNT('Turns'!D12)=1,SUM('Turns'!D12),"Unknown")</x:f>
        <x:v>26</x:v>
      </x:c>
      <x:c r="W5" s="11" t="n">
        <x:f>IF(COUNT('Turns'!E12)=1,SUM('Turns'!E12),"Unknown")</x:f>
        <x:v>0.00002722512</x:v>
      </x:c>
      <x:c r="X5" s="11" t="n">
        <x:f>IF(COUNT('Turns'!F12)=1,SUM('Turns'!F12),"Unknown")</x:f>
        <x:v>0.0000312</x:v>
      </x:c>
      <x:c r="Y5" s="11" t="n">
        <x:f>IF(COUNT('Turns'!E17)=1,SUM('Turns'!E17),"Unknown")</x:f>
        <x:v>0.00060362105</x:v>
      </x:c>
      <x:c r="Z5" s="11" t="n">
        <x:f>IF(COUNT('Turns'!F17)=1,SUM('Turns'!F17),"Unknown")</x:f>
        <x:v>0.00069175</x:v>
      </x:c>
      <x:c r="AA5" s="33" t="n">
        <x:f>IF(ISNUMBER(Y5),ROUND(Y5*'Reference data'!$B$2,0),"Unknown")</x:f>
        <x:v>60</x:v>
      </x:c>
      <x:c r="AB5" s="33" t="n">
        <x:f>IF(ISNUMBER(Z5),ROUND(Z5*'Reference data'!$B$2,0),"Unknown")</x:f>
        <x:v>69</x:v>
      </x:c>
      <x:c r="AC5" s="2" t="str">
        <x:v>R1</x:v>
      </x:c>
      <x:c r="AD5" s="43" t="n">
        <x:v>3006.002176</x:v>
      </x:c>
      <x:c r="AE5" s="2" t="str">
        <x:v>Own call</x:v>
      </x:c>
    </x:row>
    <x:row r="6" ht="54" customHeight="1">
      <x:c r="A6" s="41" t="str">
        <x:v>    tools</x:v>
      </x:c>
      <x:c r="B6" s="36" t="n">
        <x:v>1</x:v>
      </x:c>
      <x:c r="C6" s="36" t="str">
        <x:v>workflow</x:v>
      </x:c>
      <x:c r="D6" s="36" t="str"/>
      <x:c r="E6" s="36" t="str">
        <x:v>ok</x:v>
      </x:c>
      <x:c r="F6" s="38"/>
      <x:c r="G6" s="41" t="str">
        <x:v>Execute tool calls requested by the preceding model response and return their observations.</x:v>
      </x:c>
      <x:c r="H6" s="36" t="str">
        <x:v>01a0c40f-4680-7592-8402-a5439a99176f</x:v>
      </x:c>
      <x:c r="I6" s="36" t="str">
        <x:v>01a0c40f-3ab7-7640-9c4f-56f003fa53ee</x:v>
      </x:c>
      <x:c r="J6" s="33" t="n">
        <x:f>IF(COUNT('Turns'!D22,'Turns'!D39)=2,SUM('Turns'!D22,'Turns'!D39),"Unknown")</x:f>
        <x:v>6</x:v>
      </x:c>
      <x:c r="K6" s="11" t="n">
        <x:f>IF(COUNT('Turns'!E22,'Turns'!E39)=2,SUM('Turns'!E22,'Turns'!E39),"Unknown")</x:f>
        <x:v>0.0000010471200000000002</x:v>
      </x:c>
      <x:c r="L6" s="11" t="n">
        <x:f>IF(COUNT('Turns'!F22,'Turns'!F39)=2,SUM('Turns'!F22,'Turns'!F39),"Unknown")</x:f>
        <x:v>0.0000012000000000000002</x:v>
      </x:c>
      <x:c r="M6" s="33" t="n">
        <x:f>IF(COUNT('Turns'!D38)=1,SUM('Turns'!D38),"Unknown")</x:f>
        <x:v>1804</x:v>
      </x:c>
      <x:c r="N6" s="11" t="n">
        <x:f>IF(COUNT('Turns'!E38)=1,SUM('Turns'!E38),"Unknown")</x:f>
        <x:v>0.000031483408</x:v>
      </x:c>
      <x:c r="O6" s="11" t="n">
        <x:f>IF(COUNT('Turns'!F38)=1,SUM('Turns'!F38),"Unknown")</x:f>
        <x:v>0.00003608</x:v>
      </x:c>
      <x:c r="P6" s="33" t="n">
        <x:f>IF(COUNT('Turns'!D25,'Turns'!D41)=2,SUM('Turns'!D25,'Turns'!D41),"Unknown")</x:f>
        <x:v>1922</x:v>
      </x:c>
      <x:c r="Q6" s="11" t="n">
        <x:f>IF(COUNT('Turns'!E25,'Turns'!E41)=2,SUM('Turns'!E25,'Turns'!E41),"Unknown")</x:f>
        <x:v>0.0004192843</x:v>
      </x:c>
      <x:c r="R6" s="11" t="n">
        <x:f>IF(COUNT('Turns'!F25,'Turns'!F41)=2,SUM('Turns'!F25,'Turns'!F41),"Unknown")</x:f>
        <x:v>0.0004805</x:v>
      </x:c>
      <x:c r="S6" s="33" t="n">
        <x:f>IF(COUNT('Turns'!D29,'Turns'!D45)=2,SUM('Turns'!D29,'Turns'!D45),"Unknown")</x:f>
        <x:v>311</x:v>
      </x:c>
      <x:c r="T6" s="11" t="n">
        <x:f>IF(COUNT('Turns'!E29,'Turns'!E45)=2,SUM('Turns'!E29,'Turns'!E45),"Unknown")</x:f>
        <x:v>0.00032565432000000006</x:v>
      </x:c>
      <x:c r="U6" s="11" t="n">
        <x:f>IF(COUNT('Turns'!F29,'Turns'!F45)=2,SUM('Turns'!F29,'Turns'!F45),"Unknown")</x:f>
        <x:v>0.0003732</x:v>
      </x:c>
      <x:c r="V6" s="33" t="n">
        <x:f>IF(COUNT('Turns'!D28,'Turns'!D44)=2,SUM('Turns'!D28,'Turns'!D44),"Unknown")</x:f>
        <x:v>35</x:v>
      </x:c>
      <x:c r="W6" s="11" t="n">
        <x:f>IF(COUNT('Turns'!E28,'Turns'!E44)=2,SUM('Turns'!E28,'Turns'!E44),"Unknown")</x:f>
        <x:v>0.000036649199999999995</x:v>
      </x:c>
      <x:c r="X6" s="11" t="n">
        <x:f>IF(COUNT('Turns'!F28,'Turns'!F44)=2,SUM('Turns'!F28,'Turns'!F44),"Unknown")</x:f>
        <x:v>0.000042</x:v>
      </x:c>
      <x:c r="Y6" s="11" t="n">
        <x:f>IF(COUNT('Turns'!E33,'Turns'!E49)=2,SUM('Turns'!E33,'Turns'!E49),"Unknown")</x:f>
        <x:v>0.0008141183480000001</x:v>
      </x:c>
      <x:c r="Z6" s="11" t="n">
        <x:f>IF(COUNT('Turns'!F33,'Turns'!F49)=2,SUM('Turns'!F33,'Turns'!F49),"Unknown")</x:f>
        <x:v>0.00093298</x:v>
      </x:c>
      <x:c r="AA6" s="33" t="n">
        <x:f>IF(ISNUMBER(Y6),ROUND(Y6*'Reference data'!$B$2,0),"Unknown")</x:f>
        <x:v>81</x:v>
      </x:c>
      <x:c r="AB6" s="33" t="n">
        <x:f>IF(ISNUMBER(Z6),ROUND(Z6*'Reference data'!$B$2,0),"Unknown")</x:f>
        <x:v>93</x:v>
      </x:c>
      <x:c r="AC6" s="2"/>
      <x:c r="AD6" s="43" t="n">
        <x:v>6227.771136</x:v>
      </x:c>
      <x:c r="AE6" s="2" t="str">
        <x:v>Subtree total</x:v>
      </x:c>
    </x:row>
    <x:row r="7" ht="54" customHeight="1">
      <x:c r="A7" s="41" t="str">
        <x:v>        task</x:v>
      </x:c>
      <x:c r="B7" s="36" t="n">
        <x:v>2</x:v>
      </x:c>
      <x:c r="C7" s="36" t="str">
        <x:v>tool</x:v>
      </x:c>
      <x:c r="D7" s="36" t="str"/>
      <x:c r="E7" s="36" t="str">
        <x:v>ok</x:v>
      </x:c>
      <x:c r="F7" s="38"/>
      <x:c r="G7" s="41" t="str">
        <x:v>Launch an ephemeral subagent to handle a complex, multi-step task.
Available agent types and the tools they have access to:
- general-purpose: General-purpose agent for researching complex questions, searching for files and content, and executing multi-step tasks. When you are searching for a keyword or file and are not confident that you will find the right match in the first few tries use this agent to perform the search for you. This agent has access to all tools as the main agent.
- workflow-specialist: Looks up agent workflow concepts and returns an evidence-based summary.
Specify subagent_type to select the agent. Usage notes:
- Launch multiple agents concurrently when their tasks are independent, using a single message with multiple tool calls.
- Each invocation is stateless by default: the agent sees only the prompt you give it and returns a single final report. Put full detail in the prompt and state exactly what it should return — unless an agent type below says it inherits your conversation instead.
- The agent's report is not shown to the user; relay a summary yourself.
- Tell the agent whether to create content, analyze, or only research, since it can't necessarily see the user's intent unless it inherits your conversation, as noted per agent type below.
- If an agent's description says to use it proactively, do so without waiting to be asked.
- When only general-purpose is available, use it for any complex, context-heavy task; it has the same capabilities as the main agent.</x:v>
      </x:c>
      <x:c r="H7" s="36" t="str">
        <x:v>01a0c40f-4681-71f2-b1c1-eb55b92af685</x:v>
      </x:c>
      <x:c r="I7" s="36" t="str">
        <x:v>01a0c40f-4680-7592-8402-a5439a99176f</x:v>
      </x:c>
      <x:c r="J7" s="33" t="n">
        <x:f>IF(COUNT('Turns'!D22,'Turns'!D39)=2,SUM('Turns'!D22,'Turns'!D39),"Unknown")</x:f>
        <x:v>6</x:v>
      </x:c>
      <x:c r="K7" s="11" t="n">
        <x:f>IF(COUNT('Turns'!E22,'Turns'!E39)=2,SUM('Turns'!E22,'Turns'!E39),"Unknown")</x:f>
        <x:v>0.0000010471200000000002</x:v>
      </x:c>
      <x:c r="L7" s="11" t="n">
        <x:f>IF(COUNT('Turns'!F22,'Turns'!F39)=2,SUM('Turns'!F22,'Turns'!F39),"Unknown")</x:f>
        <x:v>0.0000012000000000000002</x:v>
      </x:c>
      <x:c r="M7" s="33" t="n">
        <x:f>IF(COUNT('Turns'!D38)=1,SUM('Turns'!D38),"Unknown")</x:f>
        <x:v>1804</x:v>
      </x:c>
      <x:c r="N7" s="11" t="n">
        <x:f>IF(COUNT('Turns'!E38)=1,SUM('Turns'!E38),"Unknown")</x:f>
        <x:v>0.000031483408</x:v>
      </x:c>
      <x:c r="O7" s="11" t="n">
        <x:f>IF(COUNT('Turns'!F38)=1,SUM('Turns'!F38),"Unknown")</x:f>
        <x:v>0.00003608</x:v>
      </x:c>
      <x:c r="P7" s="33" t="n">
        <x:f>IF(COUNT('Turns'!D25,'Turns'!D41)=2,SUM('Turns'!D25,'Turns'!D41),"Unknown")</x:f>
        <x:v>1922</x:v>
      </x:c>
      <x:c r="Q7" s="11" t="n">
        <x:f>IF(COUNT('Turns'!E25,'Turns'!E41)=2,SUM('Turns'!E25,'Turns'!E41),"Unknown")</x:f>
        <x:v>0.0004192843</x:v>
      </x:c>
      <x:c r="R7" s="11" t="n">
        <x:f>IF(COUNT('Turns'!F25,'Turns'!F41)=2,SUM('Turns'!F25,'Turns'!F41),"Unknown")</x:f>
        <x:v>0.0004805</x:v>
      </x:c>
      <x:c r="S7" s="33" t="n">
        <x:f>IF(COUNT('Turns'!D29,'Turns'!D45)=2,SUM('Turns'!D29,'Turns'!D45),"Unknown")</x:f>
        <x:v>311</x:v>
      </x:c>
      <x:c r="T7" s="11" t="n">
        <x:f>IF(COUNT('Turns'!E29,'Turns'!E45)=2,SUM('Turns'!E29,'Turns'!E45),"Unknown")</x:f>
        <x:v>0.00032565432000000006</x:v>
      </x:c>
      <x:c r="U7" s="11" t="n">
        <x:f>IF(COUNT('Turns'!F29,'Turns'!F45)=2,SUM('Turns'!F29,'Turns'!F45),"Unknown")</x:f>
        <x:v>0.0003732</x:v>
      </x:c>
      <x:c r="V7" s="33" t="n">
        <x:f>IF(COUNT('Turns'!D28,'Turns'!D44)=2,SUM('Turns'!D28,'Turns'!D44),"Unknown")</x:f>
        <x:v>35</x:v>
      </x:c>
      <x:c r="W7" s="11" t="n">
        <x:f>IF(COUNT('Turns'!E28,'Turns'!E44)=2,SUM('Turns'!E28,'Turns'!E44),"Unknown")</x:f>
        <x:v>0.000036649199999999995</x:v>
      </x:c>
      <x:c r="X7" s="11" t="n">
        <x:f>IF(COUNT('Turns'!F28,'Turns'!F44)=2,SUM('Turns'!F28,'Turns'!F44),"Unknown")</x:f>
        <x:v>0.000042</x:v>
      </x:c>
      <x:c r="Y7" s="11" t="n">
        <x:f>IF(COUNT('Turns'!E33,'Turns'!E49)=2,SUM('Turns'!E33,'Turns'!E49),"Unknown")</x:f>
        <x:v>0.0008141183480000001</x:v>
      </x:c>
      <x:c r="Z7" s="11" t="n">
        <x:f>IF(COUNT('Turns'!F33,'Turns'!F49)=2,SUM('Turns'!F33,'Turns'!F49),"Unknown")</x:f>
        <x:v>0.00093298</x:v>
      </x:c>
      <x:c r="AA7" s="33" t="n">
        <x:f>IF(ISNUMBER(Y7),ROUND(Y7*'Reference data'!$B$2,0),"Unknown")</x:f>
        <x:v>81</x:v>
      </x:c>
      <x:c r="AB7" s="33" t="n">
        <x:f>IF(ISNUMBER(Z7),ROUND(Z7*'Reference data'!$B$2,0),"Unknown")</x:f>
        <x:v>93</x:v>
      </x:c>
      <x:c r="AC7" s="2"/>
      <x:c r="AD7" s="43" t="n">
        <x:v>6226.08896</x:v>
      </x:c>
      <x:c r="AE7" s="2" t="str">
        <x:v>Subtree total</x:v>
      </x:c>
    </x:row>
    <x:row r="8" ht="54" customHeight="1">
      <x:c r="A8" s="41" t="str">
        <x:v>            workflow-specialist</x:v>
      </x:c>
      <x:c r="B8" s="36" t="n">
        <x:v>3</x:v>
      </x:c>
      <x:c r="C8" s="36" t="str">
        <x:v>workflow</x:v>
      </x:c>
      <x:c r="D8" s="36" t="str"/>
      <x:c r="E8" s="36" t="str">
        <x:v>ok</x:v>
      </x:c>
      <x:c r="F8" s="38"/>
      <x:c r="G8" s="41" t="str">
        <x:v>Execute the workflow-specialist workflow operation and pass its result to the next graph step.</x:v>
      </x:c>
      <x:c r="H8" s="36" t="str">
        <x:v>01a0c40f-4682-7e63-875b-9b6806dcb790</x:v>
      </x:c>
      <x:c r="I8" s="36" t="str">
        <x:v>01a0c40f-4681-71f2-b1c1-eb55b92af685</x:v>
      </x:c>
      <x:c r="J8" s="33" t="n">
        <x:f>IF(COUNT('Turns'!D22,'Turns'!D39)=2,SUM('Turns'!D22,'Turns'!D39),"Unknown")</x:f>
        <x:v>6</x:v>
      </x:c>
      <x:c r="K8" s="11" t="n">
        <x:f>IF(COUNT('Turns'!E22,'Turns'!E39)=2,SUM('Turns'!E22,'Turns'!E39),"Unknown")</x:f>
        <x:v>0.0000010471200000000002</x:v>
      </x:c>
      <x:c r="L8" s="11" t="n">
        <x:f>IF(COUNT('Turns'!F22,'Turns'!F39)=2,SUM('Turns'!F22,'Turns'!F39),"Unknown")</x:f>
        <x:v>0.0000012000000000000002</x:v>
      </x:c>
      <x:c r="M8" s="33" t="n">
        <x:f>IF(COUNT('Turns'!D38)=1,SUM('Turns'!D38),"Unknown")</x:f>
        <x:v>1804</x:v>
      </x:c>
      <x:c r="N8" s="11" t="n">
        <x:f>IF(COUNT('Turns'!E38)=1,SUM('Turns'!E38),"Unknown")</x:f>
        <x:v>0.000031483408</x:v>
      </x:c>
      <x:c r="O8" s="11" t="n">
        <x:f>IF(COUNT('Turns'!F38)=1,SUM('Turns'!F38),"Unknown")</x:f>
        <x:v>0.00003608</x:v>
      </x:c>
      <x:c r="P8" s="33" t="n">
        <x:f>IF(COUNT('Turns'!D25,'Turns'!D41)=2,SUM('Turns'!D25,'Turns'!D41),"Unknown")</x:f>
        <x:v>1922</x:v>
      </x:c>
      <x:c r="Q8" s="11" t="n">
        <x:f>IF(COUNT('Turns'!E25,'Turns'!E41)=2,SUM('Turns'!E25,'Turns'!E41),"Unknown")</x:f>
        <x:v>0.0004192843</x:v>
      </x:c>
      <x:c r="R8" s="11" t="n">
        <x:f>IF(COUNT('Turns'!F25,'Turns'!F41)=2,SUM('Turns'!F25,'Turns'!F41),"Unknown")</x:f>
        <x:v>0.0004805</x:v>
      </x:c>
      <x:c r="S8" s="33" t="n">
        <x:f>IF(COUNT('Turns'!D29,'Turns'!D45)=2,SUM('Turns'!D29,'Turns'!D45),"Unknown")</x:f>
        <x:v>311</x:v>
      </x:c>
      <x:c r="T8" s="11" t="n">
        <x:f>IF(COUNT('Turns'!E29,'Turns'!E45)=2,SUM('Turns'!E29,'Turns'!E45),"Unknown")</x:f>
        <x:v>0.00032565432000000006</x:v>
      </x:c>
      <x:c r="U8" s="11" t="n">
        <x:f>IF(COUNT('Turns'!F29,'Turns'!F45)=2,SUM('Turns'!F29,'Turns'!F45),"Unknown")</x:f>
        <x:v>0.0003732</x:v>
      </x:c>
      <x:c r="V8" s="33" t="n">
        <x:f>IF(COUNT('Turns'!D28,'Turns'!D44)=2,SUM('Turns'!D28,'Turns'!D44),"Unknown")</x:f>
        <x:v>35</x:v>
      </x:c>
      <x:c r="W8" s="11" t="n">
        <x:f>IF(COUNT('Turns'!E28,'Turns'!E44)=2,SUM('Turns'!E28,'Turns'!E44),"Unknown")</x:f>
        <x:v>0.000036649199999999995</x:v>
      </x:c>
      <x:c r="X8" s="11" t="n">
        <x:f>IF(COUNT('Turns'!F28,'Turns'!F44)=2,SUM('Turns'!F28,'Turns'!F44),"Unknown")</x:f>
        <x:v>0.000042</x:v>
      </x:c>
      <x:c r="Y8" s="11" t="n">
        <x:f>IF(COUNT('Turns'!E33,'Turns'!E49)=2,SUM('Turns'!E33,'Turns'!E49),"Unknown")</x:f>
        <x:v>0.0008141183480000001</x:v>
      </x:c>
      <x:c r="Z8" s="11" t="n">
        <x:f>IF(COUNT('Turns'!F33,'Turns'!F49)=2,SUM('Turns'!F33,'Turns'!F49),"Unknown")</x:f>
        <x:v>0.00093298</x:v>
      </x:c>
      <x:c r="AA8" s="33" t="n">
        <x:f>IF(ISNUMBER(Y8),ROUND(Y8*'Reference data'!$B$2,0),"Unknown")</x:f>
        <x:v>81</x:v>
      </x:c>
      <x:c r="AB8" s="33" t="n">
        <x:f>IF(ISNUMBER(Z8),ROUND(Z8*'Reference data'!$B$2,0),"Unknown")</x:f>
        <x:v>93</x:v>
      </x:c>
      <x:c r="AC8" s="2"/>
      <x:c r="AD8" s="43" t="n">
        <x:v>6224.891136</x:v>
      </x:c>
      <x:c r="AE8" s="2" t="str">
        <x:v>Subtree total</x:v>
      </x:c>
    </x:row>
    <x:row r="9" ht="54" customHeight="1">
      <x:c r="A9" s="41" t="str">
        <x:v>                PatchToolCallsMiddleware.before_agent</x:v>
      </x:c>
      <x:c r="B9" s="36" t="n">
        <x:v>4</x:v>
      </x:c>
      <x:c r="C9" s="36" t="str">
        <x:v>workflow</x:v>
      </x:c>
      <x:c r="D9" s="36" t="str"/>
      <x:c r="E9" s="36" t="str">
        <x:v>ok</x:v>
      </x:c>
      <x:c r="F9" s="38"/>
      <x:c r="G9" s="41" t="str">
        <x:v>Check message history and repair missing tool responses before the agent starts.</x:v>
      </x:c>
      <x:c r="H9" s="36" t="str">
        <x:v>01a0c40f-4682-7e63-875b-9b7fb3ec3409</x:v>
      </x:c>
      <x:c r="I9" s="36" t="str">
        <x:v>01a0c40f-4682-7e63-875b-9b6806dcb790</x:v>
      </x:c>
      <x:c r="J9" s="33"/>
      <x:c r="K9" s="11"/>
      <x:c r="L9" s="11"/>
      <x:c r="M9" s="33"/>
      <x:c r="N9" s="11"/>
      <x:c r="O9" s="11"/>
      <x:c r="P9" s="33"/>
      <x:c r="Q9" s="11"/>
      <x:c r="R9" s="11"/>
      <x:c r="S9" s="33"/>
      <x:c r="T9" s="11"/>
      <x:c r="U9" s="11"/>
      <x:c r="V9" s="33"/>
      <x:c r="W9" s="11"/>
      <x:c r="X9" s="11"/>
      <x:c r="Y9" s="11"/>
      <x:c r="Z9" s="11"/>
      <x:c r="AA9" s="33"/>
      <x:c r="AB9" s="33"/>
      <x:c r="AC9" s="2"/>
      <x:c r="AD9" s="43" t="n">
        <x:v>1.159168</x:v>
      </x:c>
      <x:c r="AE9" s="2" t="str">
        <x:v>No model charge</x:v>
      </x:c>
    </x:row>
    <x:row r="10" ht="54" customHeight="1">
      <x:c r="A10" s="41" t="str">
        <x:v>                model</x:v>
      </x:c>
      <x:c r="B10" s="36" t="n">
        <x:v>4</x:v>
      </x:c>
      <x:c r="C10" s="36" t="str">
        <x:v>workflow</x:v>
      </x:c>
      <x:c r="D10" s="36" t="str"/>
      <x:c r="E10" s="36" t="str">
        <x:v>ok</x:v>
      </x:c>
      <x:c r="F10" s="38"/>
      <x:c r="G10" s="41" t="str">
        <x:v>Prepare the current conversation, run model middleware, and invoke the chat model.</x:v>
      </x:c>
      <x:c r="H10" s="36" t="str">
        <x:v>01a0c40f-4684-7230-89da-b55af34486f9</x:v>
      </x:c>
      <x:c r="I10" s="36" t="str">
        <x:v>01a0c40f-4682-7e63-875b-9b6806dcb790</x:v>
      </x:c>
      <x:c r="J10" s="33" t="n">
        <x:f>IF(COUNT('Turns'!D22)=1,SUM('Turns'!D22),"Unknown")</x:f>
        <x:v>3</x:v>
      </x:c>
      <x:c r="K10" s="11" t="n">
        <x:f>IF(COUNT('Turns'!E22)=1,SUM('Turns'!E22),"Unknown")</x:f>
        <x:v>5.235600000000001e-7</x:v>
      </x:c>
      <x:c r="L10" s="11" t="n">
        <x:f>IF(COUNT('Turns'!F22)=1,SUM('Turns'!F22),"Unknown")</x:f>
        <x:v>6.000000000000001e-7</x:v>
      </x:c>
      <x:c r="M10" s="33" t="n">
        <x:v>0</x:v>
      </x:c>
      <x:c r="N10" s="11" t="n">
        <x:v>0</x:v>
      </x:c>
      <x:c r="O10" s="11" t="n">
        <x:v>0</x:v>
      </x:c>
      <x:c r="P10" s="33" t="n">
        <x:f>IF(COUNT('Turns'!D25)=1,SUM('Turns'!D25),"Unknown")</x:f>
        <x:v>1804</x:v>
      </x:c>
      <x:c r="Q10" s="11" t="n">
        <x:f>IF(COUNT('Turns'!E25)=1,SUM('Turns'!E25),"Unknown")</x:f>
        <x:v>0.0003935426</x:v>
      </x:c>
      <x:c r="R10" s="11" t="n">
        <x:f>IF(COUNT('Turns'!F25)=1,SUM('Turns'!F25),"Unknown")</x:f>
        <x:v>0.000451</x:v>
      </x:c>
      <x:c r="S10" s="33" t="n">
        <x:f>IF(COUNT('Turns'!D29)=1,SUM('Turns'!D29),"Unknown")</x:f>
        <x:v>49</x:v>
      </x:c>
      <x:c r="T10" s="11" t="n">
        <x:f>IF(COUNT('Turns'!E29)=1,SUM('Turns'!E29),"Unknown")</x:f>
        <x:v>0.000051308880000000005</x:v>
      </x:c>
      <x:c r="U10" s="11" t="n">
        <x:f>IF(COUNT('Turns'!F29)=1,SUM('Turns'!F29),"Unknown")</x:f>
        <x:v>0.0000588</x:v>
      </x:c>
      <x:c r="V10" s="33" t="n">
        <x:f>IF(COUNT('Turns'!D28)=1,SUM('Turns'!D28),"Unknown")</x:f>
        <x:v>11</x:v>
      </x:c>
      <x:c r="W10" s="11" t="n">
        <x:f>IF(COUNT('Turns'!E28)=1,SUM('Turns'!E28),"Unknown")</x:f>
        <x:v>0.00001151832</x:v>
      </x:c>
      <x:c r="X10" s="11" t="n">
        <x:f>IF(COUNT('Turns'!F28)=1,SUM('Turns'!F28),"Unknown")</x:f>
        <x:v>0.000013199999999999999</x:v>
      </x:c>
      <x:c r="Y10" s="11" t="n">
        <x:f>IF(COUNT('Turns'!E33)=1,SUM('Turns'!E33),"Unknown")</x:f>
        <x:v>0.00045689336</x:v>
      </x:c>
      <x:c r="Z10" s="11" t="n">
        <x:f>IF(COUNT('Turns'!F33)=1,SUM('Turns'!F33),"Unknown")</x:f>
        <x:v>0.0005236</x:v>
      </x:c>
      <x:c r="AA10" s="33" t="n">
        <x:f>IF(ISNUMBER(Y10),ROUND(Y10*'Reference data'!$B$2,0),"Unknown")</x:f>
        <x:v>46</x:v>
      </x:c>
      <x:c r="AB10" s="33" t="n">
        <x:f>IF(ISNUMBER(Z10),ROUND(Z10*'Reference data'!$B$2,0),"Unknown")</x:f>
        <x:v>52</x:v>
      </x:c>
      <x:c r="AC10" s="2"/>
      <x:c r="AD10" s="43" t="n">
        <x:v>1589.28896</x:v>
      </x:c>
      <x:c r="AE10" s="2" t="str">
        <x:v>Subtree total</x:v>
      </x:c>
    </x:row>
    <x:row r="11" ht="54" customHeight="1">
      <x:c r="A11" s="42" t="str">
        <x:v>                    ChatOpenAI</x:v>
      </x:c>
      <x:c r="B11" s="20" t="n">
        <x:v>5</x:v>
      </x:c>
      <x:c r="C11" s="20" t="str">
        <x:v>model</x:v>
      </x:c>
      <x:c r="D11" s="20" t="str">
        <x:v>gpt-5.6-luna</x:v>
      </x:c>
      <x:c r="E11" s="20" t="str">
        <x:v>ok</x:v>
      </x:c>
      <x:c r="F11" s="39" t="n">
        <x:v>1807</x:v>
      </x:c>
      <x:c r="G11" s="42" t="str">
        <x:v>Generate the next assistant message or tool request from the current conversation.</x:v>
      </x:c>
      <x:c r="H11" s="20" t="str">
        <x:v>01a0c40f-4689-78f0-92b1-74224d0183aa</x:v>
      </x:c>
      <x:c r="I11" s="20" t="str">
        <x:v>01a0c40f-4684-7230-89da-b55af34486f9</x:v>
      </x:c>
      <x:c r="J11" s="33" t="n">
        <x:f>IF(COUNT('Turns'!D22)=1,SUM('Turns'!D22),"Unknown")</x:f>
        <x:v>3</x:v>
      </x:c>
      <x:c r="K11" s="11" t="n">
        <x:f>IF(COUNT('Turns'!E22)=1,SUM('Turns'!E22),"Unknown")</x:f>
        <x:v>5.235600000000001e-7</x:v>
      </x:c>
      <x:c r="L11" s="11" t="n">
        <x:f>IF(COUNT('Turns'!F22)=1,SUM('Turns'!F22),"Unknown")</x:f>
        <x:v>6.000000000000001e-7</x:v>
      </x:c>
      <x:c r="M11" s="33" t="n">
        <x:v>0</x:v>
      </x:c>
      <x:c r="N11" s="11" t="n">
        <x:v>0</x:v>
      </x:c>
      <x:c r="O11" s="11" t="n">
        <x:v>0</x:v>
      </x:c>
      <x:c r="P11" s="33" t="n">
        <x:f>IF(COUNT('Turns'!D25)=1,SUM('Turns'!D25),"Unknown")</x:f>
        <x:v>1804</x:v>
      </x:c>
      <x:c r="Q11" s="11" t="n">
        <x:f>IF(COUNT('Turns'!E25)=1,SUM('Turns'!E25),"Unknown")</x:f>
        <x:v>0.0003935426</x:v>
      </x:c>
      <x:c r="R11" s="11" t="n">
        <x:f>IF(COUNT('Turns'!F25)=1,SUM('Turns'!F25),"Unknown")</x:f>
        <x:v>0.000451</x:v>
      </x:c>
      <x:c r="S11" s="33" t="n">
        <x:f>IF(COUNT('Turns'!D29)=1,SUM('Turns'!D29),"Unknown")</x:f>
        <x:v>49</x:v>
      </x:c>
      <x:c r="T11" s="11" t="n">
        <x:f>IF(COUNT('Turns'!E29)=1,SUM('Turns'!E29),"Unknown")</x:f>
        <x:v>0.000051308880000000005</x:v>
      </x:c>
      <x:c r="U11" s="11" t="n">
        <x:f>IF(COUNT('Turns'!F29)=1,SUM('Turns'!F29),"Unknown")</x:f>
        <x:v>0.0000588</x:v>
      </x:c>
      <x:c r="V11" s="33" t="n">
        <x:f>IF(COUNT('Turns'!D28)=1,SUM('Turns'!D28),"Unknown")</x:f>
        <x:v>11</x:v>
      </x:c>
      <x:c r="W11" s="11" t="n">
        <x:f>IF(COUNT('Turns'!E28)=1,SUM('Turns'!E28),"Unknown")</x:f>
        <x:v>0.00001151832</x:v>
      </x:c>
      <x:c r="X11" s="11" t="n">
        <x:f>IF(COUNT('Turns'!F28)=1,SUM('Turns'!F28),"Unknown")</x:f>
        <x:v>0.000013199999999999999</x:v>
      </x:c>
      <x:c r="Y11" s="11" t="n">
        <x:f>IF(COUNT('Turns'!E33)=1,SUM('Turns'!E33),"Unknown")</x:f>
        <x:v>0.00045689336</x:v>
      </x:c>
      <x:c r="Z11" s="11" t="n">
        <x:f>IF(COUNT('Turns'!F33)=1,SUM('Turns'!F33),"Unknown")</x:f>
        <x:v>0.0005236</x:v>
      </x:c>
      <x:c r="AA11" s="33" t="n">
        <x:f>IF(ISNUMBER(Y11),ROUND(Y11*'Reference data'!$B$2,0),"Unknown")</x:f>
        <x:v>46</x:v>
      </x:c>
      <x:c r="AB11" s="33" t="n">
        <x:f>IF(ISNUMBER(Z11),ROUND(Z11*'Reference data'!$B$2,0),"Unknown")</x:f>
        <x:v>52</x:v>
      </x:c>
      <x:c r="AC11" s="2" t="str">
        <x:v>R2</x:v>
      </x:c>
      <x:c r="AD11" s="43" t="n">
        <x:v>1581.874944</x:v>
      </x:c>
      <x:c r="AE11" s="2" t="str">
        <x:v>Own call</x:v>
      </x:c>
    </x:row>
    <x:row r="12" ht="54" customHeight="1">
      <x:c r="A12" s="41" t="str">
        <x:v>                tools</x:v>
      </x:c>
      <x:c r="B12" s="36" t="n">
        <x:v>4</x:v>
      </x:c>
      <x:c r="C12" s="36" t="str">
        <x:v>workflow</x:v>
      </x:c>
      <x:c r="D12" s="36" t="str"/>
      <x:c r="E12" s="36" t="str">
        <x:v>ok</x:v>
      </x:c>
      <x:c r="F12" s="38"/>
      <x:c r="G12" s="41" t="str">
        <x:v>Execute tool calls requested by the preceding model response and return their observations.</x:v>
      </x:c>
      <x:c r="H12" s="36" t="str">
        <x:v>01a0c40f-4cbb-7050-af35-d936878130ed</x:v>
      </x:c>
      <x:c r="I12" s="36" t="str">
        <x:v>01a0c40f-4682-7e63-875b-9b6806dcb790</x:v>
      </x:c>
      <x:c r="J12" s="33"/>
      <x:c r="K12" s="11"/>
      <x:c r="L12" s="11"/>
      <x:c r="M12" s="33"/>
      <x:c r="N12" s="11"/>
      <x:c r="O12" s="11"/>
      <x:c r="P12" s="33"/>
      <x:c r="Q12" s="11"/>
      <x:c r="R12" s="11"/>
      <x:c r="S12" s="33"/>
      <x:c r="T12" s="11"/>
      <x:c r="U12" s="11"/>
      <x:c r="V12" s="33"/>
      <x:c r="W12" s="11"/>
      <x:c r="X12" s="11"/>
      <x:c r="Y12" s="11"/>
      <x:c r="Z12" s="11"/>
      <x:c r="AA12" s="33"/>
      <x:c r="AB12" s="33"/>
      <x:c r="AC12" s="2"/>
      <x:c r="AD12" s="43" t="n">
        <x:v>2.956032</x:v>
      </x:c>
      <x:c r="AE12" s="2" t="str">
        <x:v>No model charge</x:v>
      </x:c>
    </x:row>
    <x:row r="13" ht="54" customHeight="1">
      <x:c r="A13" s="41" t="str">
        <x:v>                    workflow_reference</x:v>
      </x:c>
      <x:c r="B13" s="36" t="n">
        <x:v>5</x:v>
      </x:c>
      <x:c r="C13" s="36" t="str">
        <x:v>tool</x:v>
      </x:c>
      <x:c r="D13" s="36" t="str"/>
      <x:c r="E13" s="36" t="str">
        <x:v>ok</x:v>
      </x:c>
      <x:c r="F13" s="38"/>
      <x:c r="G13" s="41" t="str">
        <x:v>Return a fixed explanation from a small local agent-workflow reference.</x:v>
      </x:c>
      <x:c r="H13" s="36" t="str">
        <x:v>01a0c40f-4cbc-75a0-8da6-10330b610295</x:v>
      </x:c>
      <x:c r="I13" s="36" t="str">
        <x:v>01a0c40f-4cbb-7050-af35-d936878130ed</x:v>
      </x:c>
      <x:c r="J13" s="33"/>
      <x:c r="K13" s="11"/>
      <x:c r="L13" s="11"/>
      <x:c r="M13" s="33"/>
      <x:c r="N13" s="11"/>
      <x:c r="O13" s="11"/>
      <x:c r="P13" s="33"/>
      <x:c r="Q13" s="11"/>
      <x:c r="R13" s="11"/>
      <x:c r="S13" s="33"/>
      <x:c r="T13" s="11"/>
      <x:c r="U13" s="11"/>
      <x:c r="V13" s="33"/>
      <x:c r="W13" s="11"/>
      <x:c r="X13" s="11"/>
      <x:c r="Y13" s="11"/>
      <x:c r="Z13" s="11"/>
      <x:c r="AA13" s="33"/>
      <x:c r="AB13" s="33"/>
      <x:c r="AC13" s="2"/>
      <x:c r="AD13" s="43" t="n">
        <x:v>0.765952</x:v>
      </x:c>
      <x:c r="AE13" s="2" t="str">
        <x:v>No model charge</x:v>
      </x:c>
    </x:row>
    <x:row r="14" ht="54" customHeight="1">
      <x:c r="A14" s="41" t="str">
        <x:v>                model</x:v>
      </x:c>
      <x:c r="B14" s="36" t="n">
        <x:v>4</x:v>
      </x:c>
      <x:c r="C14" s="36" t="str">
        <x:v>workflow</x:v>
      </x:c>
      <x:c r="D14" s="36" t="str"/>
      <x:c r="E14" s="36" t="str">
        <x:v>ok</x:v>
      </x:c>
      <x:c r="F14" s="38"/>
      <x:c r="G14" s="41" t="str">
        <x:v>Prepare the current conversation, run model middleware, and invoke the chat model.</x:v>
      </x:c>
      <x:c r="H14" s="36" t="str">
        <x:v>01a0c40f-4cbf-75e1-8e52-c08733ba3a61</x:v>
      </x:c>
      <x:c r="I14" s="36" t="str">
        <x:v>01a0c40f-4682-7e63-875b-9b6806dcb790</x:v>
      </x:c>
      <x:c r="J14" s="33" t="n">
        <x:f>IF(COUNT('Turns'!D39)=1,SUM('Turns'!D39),"Unknown")</x:f>
        <x:v>3</x:v>
      </x:c>
      <x:c r="K14" s="11" t="n">
        <x:f>IF(COUNT('Turns'!E39)=1,SUM('Turns'!E39),"Unknown")</x:f>
        <x:v>5.235600000000001e-7</x:v>
      </x:c>
      <x:c r="L14" s="11" t="n">
        <x:f>IF(COUNT('Turns'!F39)=1,SUM('Turns'!F39),"Unknown")</x:f>
        <x:v>6.000000000000001e-7</x:v>
      </x:c>
      <x:c r="M14" s="33" t="n">
        <x:f>IF(COUNT('Turns'!D38)=1,SUM('Turns'!D38),"Unknown")</x:f>
        <x:v>1804</x:v>
      </x:c>
      <x:c r="N14" s="11" t="n">
        <x:f>IF(COUNT('Turns'!E38)=1,SUM('Turns'!E38),"Unknown")</x:f>
        <x:v>0.000031483408</x:v>
      </x:c>
      <x:c r="O14" s="11" t="n">
        <x:f>IF(COUNT('Turns'!F38)=1,SUM('Turns'!F38),"Unknown")</x:f>
        <x:v>0.00003608</x:v>
      </x:c>
      <x:c r="P14" s="33" t="n">
        <x:f>IF(COUNT('Turns'!D41)=1,SUM('Turns'!D41),"Unknown")</x:f>
        <x:v>118</x:v>
      </x:c>
      <x:c r="Q14" s="11" t="n">
        <x:f>IF(COUNT('Turns'!E41)=1,SUM('Turns'!E41),"Unknown")</x:f>
        <x:v>0.0000257417</x:v>
      </x:c>
      <x:c r="R14" s="11" t="n">
        <x:f>IF(COUNT('Turns'!F41)=1,SUM('Turns'!F41),"Unknown")</x:f>
        <x:v>0.0000295</x:v>
      </x:c>
      <x:c r="S14" s="33" t="n">
        <x:f>IF(COUNT('Turns'!D45)=1,SUM('Turns'!D45),"Unknown")</x:f>
        <x:v>262</x:v>
      </x:c>
      <x:c r="T14" s="11" t="n">
        <x:f>IF(COUNT('Turns'!E45)=1,SUM('Turns'!E45),"Unknown")</x:f>
        <x:v>0.00027434544000000003</x:v>
      </x:c>
      <x:c r="U14" s="11" t="n">
        <x:f>IF(COUNT('Turns'!F45)=1,SUM('Turns'!F45),"Unknown")</x:f>
        <x:v>0.0003144</x:v>
      </x:c>
      <x:c r="V14" s="33" t="n">
        <x:f>IF(COUNT('Turns'!D44)=1,SUM('Turns'!D44),"Unknown")</x:f>
        <x:v>24</x:v>
      </x:c>
      <x:c r="W14" s="11" t="n">
        <x:f>IF(COUNT('Turns'!E44)=1,SUM('Turns'!E44),"Unknown")</x:f>
        <x:v>0.00002513088</x:v>
      </x:c>
      <x:c r="X14" s="11" t="n">
        <x:f>IF(COUNT('Turns'!F44)=1,SUM('Turns'!F44),"Unknown")</x:f>
        <x:v>0.0000288</x:v>
      </x:c>
      <x:c r="Y14" s="11" t="n">
        <x:f>IF(COUNT('Turns'!E49)=1,SUM('Turns'!E49),"Unknown")</x:f>
        <x:v>0.000357224988</x:v>
      </x:c>
      <x:c r="Z14" s="11" t="n">
        <x:f>IF(COUNT('Turns'!F49)=1,SUM('Turns'!F49),"Unknown")</x:f>
        <x:v>0.00040938</x:v>
      </x:c>
      <x:c r="AA14" s="33" t="n">
        <x:f>IF(ISNUMBER(Y14),ROUND(Y14*'Reference data'!$B$2,0),"Unknown")</x:f>
        <x:v>36</x:v>
      </x:c>
      <x:c r="AB14" s="33" t="n">
        <x:f>IF(ISNUMBER(Z14),ROUND(Z14*'Reference data'!$B$2,0),"Unknown")</x:f>
        <x:v>41</x:v>
      </x:c>
      <x:c r="AC14" s="2"/>
      <x:c r="AD14" s="43" t="n">
        <x:v>4626.080768</x:v>
      </x:c>
      <x:c r="AE14" s="2" t="str">
        <x:v>Subtree total</x:v>
      </x:c>
    </x:row>
    <x:row r="15" ht="54" customHeight="1">
      <x:c r="A15" s="42" t="str">
        <x:v>                    ChatOpenAI</x:v>
      </x:c>
      <x:c r="B15" s="20" t="n">
        <x:v>5</x:v>
      </x:c>
      <x:c r="C15" s="20" t="str">
        <x:v>model</x:v>
      </x:c>
      <x:c r="D15" s="20" t="str">
        <x:v>gpt-5.6-luna</x:v>
      </x:c>
      <x:c r="E15" s="20" t="str">
        <x:v>ok</x:v>
      </x:c>
      <x:c r="F15" s="39" t="n">
        <x:v>1925</x:v>
      </x:c>
      <x:c r="G15" s="42" t="str">
        <x:v>Generate the next assistant message or tool request from the current conversation.</x:v>
      </x:c>
      <x:c r="H15" s="20" t="str">
        <x:v>01a0c40f-4cc2-76c3-bd60-85fca45972a1</x:v>
      </x:c>
      <x:c r="I15" s="20" t="str">
        <x:v>01a0c40f-4cbf-75e1-8e52-c08733ba3a61</x:v>
      </x:c>
      <x:c r="J15" s="33" t="n">
        <x:f>IF(COUNT('Turns'!D39)=1,SUM('Turns'!D39),"Unknown")</x:f>
        <x:v>3</x:v>
      </x:c>
      <x:c r="K15" s="11" t="n">
        <x:f>IF(COUNT('Turns'!E39)=1,SUM('Turns'!E39),"Unknown")</x:f>
        <x:v>5.235600000000001e-7</x:v>
      </x:c>
      <x:c r="L15" s="11" t="n">
        <x:f>IF(COUNT('Turns'!F39)=1,SUM('Turns'!F39),"Unknown")</x:f>
        <x:v>6.000000000000001e-7</x:v>
      </x:c>
      <x:c r="M15" s="33" t="n">
        <x:f>IF(COUNT('Turns'!D38)=1,SUM('Turns'!D38),"Unknown")</x:f>
        <x:v>1804</x:v>
      </x:c>
      <x:c r="N15" s="11" t="n">
        <x:f>IF(COUNT('Turns'!E38)=1,SUM('Turns'!E38),"Unknown")</x:f>
        <x:v>0.000031483408</x:v>
      </x:c>
      <x:c r="O15" s="11" t="n">
        <x:f>IF(COUNT('Turns'!F38)=1,SUM('Turns'!F38),"Unknown")</x:f>
        <x:v>0.00003608</x:v>
      </x:c>
      <x:c r="P15" s="33" t="n">
        <x:f>IF(COUNT('Turns'!D41)=1,SUM('Turns'!D41),"Unknown")</x:f>
        <x:v>118</x:v>
      </x:c>
      <x:c r="Q15" s="11" t="n">
        <x:f>IF(COUNT('Turns'!E41)=1,SUM('Turns'!E41),"Unknown")</x:f>
        <x:v>0.0000257417</x:v>
      </x:c>
      <x:c r="R15" s="11" t="n">
        <x:f>IF(COUNT('Turns'!F41)=1,SUM('Turns'!F41),"Unknown")</x:f>
        <x:v>0.0000295</x:v>
      </x:c>
      <x:c r="S15" s="33" t="n">
        <x:f>IF(COUNT('Turns'!D45)=1,SUM('Turns'!D45),"Unknown")</x:f>
        <x:v>262</x:v>
      </x:c>
      <x:c r="T15" s="11" t="n">
        <x:f>IF(COUNT('Turns'!E45)=1,SUM('Turns'!E45),"Unknown")</x:f>
        <x:v>0.00027434544000000003</x:v>
      </x:c>
      <x:c r="U15" s="11" t="n">
        <x:f>IF(COUNT('Turns'!F45)=1,SUM('Turns'!F45),"Unknown")</x:f>
        <x:v>0.0003144</x:v>
      </x:c>
      <x:c r="V15" s="33" t="n">
        <x:f>IF(COUNT('Turns'!D44)=1,SUM('Turns'!D44),"Unknown")</x:f>
        <x:v>24</x:v>
      </x:c>
      <x:c r="W15" s="11" t="n">
        <x:f>IF(COUNT('Turns'!E44)=1,SUM('Turns'!E44),"Unknown")</x:f>
        <x:v>0.00002513088</x:v>
      </x:c>
      <x:c r="X15" s="11" t="n">
        <x:f>IF(COUNT('Turns'!F44)=1,SUM('Turns'!F44),"Unknown")</x:f>
        <x:v>0.0000288</x:v>
      </x:c>
      <x:c r="Y15" s="11" t="n">
        <x:f>IF(COUNT('Turns'!E49)=1,SUM('Turns'!E49),"Unknown")</x:f>
        <x:v>0.000357224988</x:v>
      </x:c>
      <x:c r="Z15" s="11" t="n">
        <x:f>IF(COUNT('Turns'!F49)=1,SUM('Turns'!F49),"Unknown")</x:f>
        <x:v>0.00040938</x:v>
      </x:c>
      <x:c r="AA15" s="33" t="n">
        <x:f>IF(ISNUMBER(Y15),ROUND(Y15*'Reference data'!$B$2,0),"Unknown")</x:f>
        <x:v>36</x:v>
      </x:c>
      <x:c r="AB15" s="33" t="n">
        <x:f>IF(ISNUMBER(Z15),ROUND(Z15*'Reference data'!$B$2,0),"Unknown")</x:f>
        <x:v>41</x:v>
      </x:c>
      <x:c r="AC15" s="2" t="str">
        <x:v>R3</x:v>
      </x:c>
      <x:c r="AD15" s="43" t="n">
        <x:v>4617.71008</x:v>
      </x:c>
      <x:c r="AE15" s="2" t="str">
        <x:v>Own call</x:v>
      </x:c>
    </x:row>
    <x:row r="16" ht="54" customHeight="1">
      <x:c r="A16" s="41" t="str">
        <x:v>    model</x:v>
      </x:c>
      <x:c r="B16" s="36" t="n">
        <x:v>1</x:v>
      </x:c>
      <x:c r="C16" s="36" t="str">
        <x:v>workflow</x:v>
      </x:c>
      <x:c r="D16" s="36" t="str"/>
      <x:c r="E16" s="36" t="str">
        <x:v>ok</x:v>
      </x:c>
      <x:c r="F16" s="38"/>
      <x:c r="G16" s="41" t="str">
        <x:v>Prepare the current conversation, run model middleware, and invoke the chat model.</x:v>
      </x:c>
      <x:c r="H16" s="36" t="str">
        <x:v>01a0c40f-5ed5-7120-a374-3980d1220179</x:v>
      </x:c>
      <x:c r="I16" s="36" t="str">
        <x:v>01a0c40f-3ab7-7640-9c4f-56f003fa53ee</x:v>
      </x:c>
      <x:c r="J16" s="33" t="n">
        <x:f>IF(COUNT('Turns'!D52)=1,SUM('Turns'!D52),"Unknown")</x:f>
        <x:v>3</x:v>
      </x:c>
      <x:c r="K16" s="11" t="n">
        <x:f>IF(COUNT('Turns'!E52)=1,SUM('Turns'!E52),"Unknown")</x:f>
        <x:v>5.235600000000001e-7</x:v>
      </x:c>
      <x:c r="L16" s="11" t="n">
        <x:f>IF(COUNT('Turns'!F52)=1,SUM('Turns'!F52),"Unknown")</x:f>
        <x:v>6.000000000000001e-7</x:v>
      </x:c>
      <x:c r="M16" s="33" t="n">
        <x:f>IF(COUNT('Turns'!D51)=1,SUM('Turns'!D51),"Unknown")</x:f>
        <x:v>2035</x:v>
      </x:c>
      <x:c r="N16" s="11" t="n">
        <x:f>IF(COUNT('Turns'!E51)=1,SUM('Turns'!E51),"Unknown")</x:f>
        <x:v>0.00003551482</x:v>
      </x:c>
      <x:c r="O16" s="11" t="n">
        <x:f>IF(COUNT('Turns'!F51)=1,SUM('Turns'!F51),"Unknown")</x:f>
        <x:v>0.0000407</x:v>
      </x:c>
      <x:c r="P16" s="33" t="n">
        <x:f>IF(COUNT('Turns'!D54)=1,SUM('Turns'!D54),"Unknown")</x:f>
        <x:v>417</x:v>
      </x:c>
      <x:c r="Q16" s="11" t="n">
        <x:f>IF(COUNT('Turns'!E54)=1,SUM('Turns'!E54),"Unknown")</x:f>
        <x:v>0.00009096855</x:v>
      </x:c>
      <x:c r="R16" s="11" t="n">
        <x:f>IF(COUNT('Turns'!F54)=1,SUM('Turns'!F54),"Unknown")</x:f>
        <x:v>0.00010425</x:v>
      </x:c>
      <x:c r="S16" s="33" t="n">
        <x:f>IF(COUNT('Turns'!D57)=1,SUM('Turns'!D57),"Unknown")</x:f>
        <x:v>178</x:v>
      </x:c>
      <x:c r="T16" s="11" t="n">
        <x:f>IF(COUNT('Turns'!E57)=1,SUM('Turns'!E57),"Unknown")</x:f>
        <x:v>0.00018638736</x:v>
      </x:c>
      <x:c r="U16" s="11" t="n">
        <x:f>IF(COUNT('Turns'!F57)=1,SUM('Turns'!F57),"Unknown")</x:f>
        <x:v>0.0002136</x:v>
      </x:c>
      <x:c r="V16" s="33" t="n">
        <x:v>0</x:v>
      </x:c>
      <x:c r="W16" s="11" t="n">
        <x:v>0</x:v>
      </x:c>
      <x:c r="X16" s="11" t="n">
        <x:v>0</x:v>
      </x:c>
      <x:c r="Y16" s="11" t="n">
        <x:f>IF(COUNT('Turns'!E61)=1,SUM('Turns'!E61),"Unknown")</x:f>
        <x:v>0.00031339428999999997</x:v>
      </x:c>
      <x:c r="Z16" s="11" t="n">
        <x:f>IF(COUNT('Turns'!F61)=1,SUM('Turns'!F61),"Unknown")</x:f>
        <x:v>0.00035915</x:v>
      </x:c>
      <x:c r="AA16" s="33" t="n">
        <x:f>IF(ISNUMBER(Y16),ROUND(Y16*'Reference data'!$B$2,0),"Unknown")</x:f>
        <x:v>31</x:v>
      </x:c>
      <x:c r="AB16" s="33" t="n">
        <x:f>IF(ISNUMBER(Z16),ROUND(Z16*'Reference data'!$B$2,0),"Unknown")</x:f>
        <x:v>36</x:v>
      </x:c>
      <x:c r="AC16" s="2"/>
      <x:c r="AD16" s="43" t="n">
        <x:v>3142.288128</x:v>
      </x:c>
      <x:c r="AE16" s="2" t="str">
        <x:v>Subtree total</x:v>
      </x:c>
    </x:row>
    <x:row r="17" ht="54" customHeight="1">
      <x:c r="A17" s="42" t="str">
        <x:v>        ChatOpenAI</x:v>
      </x:c>
      <x:c r="B17" s="20" t="n">
        <x:v>2</x:v>
      </x:c>
      <x:c r="C17" s="20" t="str">
        <x:v>model</x:v>
      </x:c>
      <x:c r="D17" s="20" t="str">
        <x:v>gpt-5.6-luna</x:v>
      </x:c>
      <x:c r="E17" s="20" t="str">
        <x:v>ok</x:v>
      </x:c>
      <x:c r="F17" s="39" t="n">
        <x:v>2455</x:v>
      </x:c>
      <x:c r="G17" s="42" t="str">
        <x:v>Generate the next assistant message or tool request from the current conversation.</x:v>
      </x:c>
      <x:c r="H17" s="20" t="str">
        <x:v>01a0c40f-5edb-70d0-8c5f-2e7d5cdf4978</x:v>
      </x:c>
      <x:c r="I17" s="20" t="str">
        <x:v>01a0c40f-5ed5-7120-a374-3980d1220179</x:v>
      </x:c>
      <x:c r="J17" s="33" t="n">
        <x:f>IF(COUNT('Turns'!D52)=1,SUM('Turns'!D52),"Unknown")</x:f>
        <x:v>3</x:v>
      </x:c>
      <x:c r="K17" s="11" t="n">
        <x:f>IF(COUNT('Turns'!E52)=1,SUM('Turns'!E52),"Unknown")</x:f>
        <x:v>5.235600000000001e-7</x:v>
      </x:c>
      <x:c r="L17" s="11" t="n">
        <x:f>IF(COUNT('Turns'!F52)=1,SUM('Turns'!F52),"Unknown")</x:f>
        <x:v>6.000000000000001e-7</x:v>
      </x:c>
      <x:c r="M17" s="33" t="n">
        <x:f>IF(COUNT('Turns'!D51)=1,SUM('Turns'!D51),"Unknown")</x:f>
        <x:v>2035</x:v>
      </x:c>
      <x:c r="N17" s="11" t="n">
        <x:f>IF(COUNT('Turns'!E51)=1,SUM('Turns'!E51),"Unknown")</x:f>
        <x:v>0.00003551482</x:v>
      </x:c>
      <x:c r="O17" s="11" t="n">
        <x:f>IF(COUNT('Turns'!F51)=1,SUM('Turns'!F51),"Unknown")</x:f>
        <x:v>0.0000407</x:v>
      </x:c>
      <x:c r="P17" s="33" t="n">
        <x:f>IF(COUNT('Turns'!D54)=1,SUM('Turns'!D54),"Unknown")</x:f>
        <x:v>417</x:v>
      </x:c>
      <x:c r="Q17" s="11" t="n">
        <x:f>IF(COUNT('Turns'!E54)=1,SUM('Turns'!E54),"Unknown")</x:f>
        <x:v>0.00009096855</x:v>
      </x:c>
      <x:c r="R17" s="11" t="n">
        <x:f>IF(COUNT('Turns'!F54)=1,SUM('Turns'!F54),"Unknown")</x:f>
        <x:v>0.00010425</x:v>
      </x:c>
      <x:c r="S17" s="33" t="n">
        <x:f>IF(COUNT('Turns'!D57)=1,SUM('Turns'!D57),"Unknown")</x:f>
        <x:v>178</x:v>
      </x:c>
      <x:c r="T17" s="11" t="n">
        <x:f>IF(COUNT('Turns'!E57)=1,SUM('Turns'!E57),"Unknown")</x:f>
        <x:v>0.00018638736</x:v>
      </x:c>
      <x:c r="U17" s="11" t="n">
        <x:f>IF(COUNT('Turns'!F57)=1,SUM('Turns'!F57),"Unknown")</x:f>
        <x:v>0.0002136</x:v>
      </x:c>
      <x:c r="V17" s="33" t="n">
        <x:v>0</x:v>
      </x:c>
      <x:c r="W17" s="11" t="n">
        <x:v>0</x:v>
      </x:c>
      <x:c r="X17" s="11" t="n">
        <x:v>0</x:v>
      </x:c>
      <x:c r="Y17" s="11" t="n">
        <x:f>IF(COUNT('Turns'!E61)=1,SUM('Turns'!E61),"Unknown")</x:f>
        <x:v>0.00031339428999999997</x:v>
      </x:c>
      <x:c r="Z17" s="11" t="n">
        <x:f>IF(COUNT('Turns'!F61)=1,SUM('Turns'!F61),"Unknown")</x:f>
        <x:v>0.00035915</x:v>
      </x:c>
      <x:c r="AA17" s="33" t="n">
        <x:f>IF(ISNUMBER(Y17),ROUND(Y17*'Reference data'!$B$2,0),"Unknown")</x:f>
        <x:v>31</x:v>
      </x:c>
      <x:c r="AB17" s="33" t="n">
        <x:f>IF(ISNUMBER(Z17),ROUND(Z17*'Reference data'!$B$2,0),"Unknown")</x:f>
        <x:v>36</x:v>
      </x:c>
      <x:c r="AC17" s="2" t="str">
        <x:v>R4</x:v>
      </x:c>
      <x:c r="AD17" s="43" t="n">
        <x:v>3133.794048</x:v>
      </x:c>
      <x:c r="AE17" s="2" t="str">
        <x:v>Own call</x:v>
      </x:c>
    </x:row>
  </x:sheetData>
  <x:conditionalFormatting sqref="A2:AE17">
    <x:cfRule type="expression" dxfId="3" priority="1">
      <x:formula>$E2="error"</x:formula>
    </x:cfRule>
  </x:conditionalFormatting>
  <x:pageMargins left="0.7" right="0.7" top="0.75" bottom="0.75" header="0.3" footer="0.3"/>
</x:worksheet>
</file>

<file path=xl/worksheets/sheet3.xml><?xml version="1.0" encoding="utf-8"?>
<x:worksheet xmlns:x="http://schemas.openxmlformats.org/spreadsheetml/2006/main">
  <x:sheetPr>
    <x:tabColor rgb="FF173B70"/>
  </x:sheetPr>
  <x:sheetViews>
    <x:sheetView showGridLines="0" workbookViewId="0">
      <x:pane xSplit="1" ySplit="1" topLeftCell="B2" activePane="bottomRight" state="frozen"/>
    </x:sheetView>
  </x:sheetViews>
  <x:sheetFormatPr defaultRowHeight="15"/>
  <x:cols>
    <x:col min="1" max="1" width="34" hidden="0" customWidth="1"/>
    <x:col min="2" max="2" width="52" hidden="0" customWidth="1"/>
    <x:col min="3" max="3" width="18" hidden="0" customWidth="1"/>
    <x:col min="4" max="4" width="18" hidden="0" customWidth="1"/>
    <x:col min="5" max="5" width="18" hidden="0" customWidth="1"/>
    <x:col min="6" max="6" width="18" hidden="0" customWidth="1"/>
    <x:col min="7" max="7" width="18" hidden="0" customWidth="1"/>
    <x:col min="8" max="8" width="65" hidden="0" customWidth="1"/>
    <x:col min="9" max="9" width="40" hidden="0" customWidth="1"/>
  </x:cols>
  <x:sheetData>
    <x:row r="1" ht="44" customHeight="1">
      <x:c r="A1" s="7" t="str">
        <x:v>Parameter</x:v>
      </x:c>
      <x:c r="B1" s="7" t="str">
        <x:v>Value</x:v>
      </x:c>
      <x:c r="C1" s="7" t="str">
        <x:v>Unit</x:v>
      </x:c>
      <x:c r="D1" s="7" t="str"/>
      <x:c r="E1" s="7" t="str"/>
      <x:c r="F1" s="7" t="str"/>
      <x:c r="G1" s="7" t="str"/>
      <x:c r="H1" s="7" t="str"/>
      <x:c r="I1" s="7" t="str"/>
    </x:row>
    <x:row r="2" ht="24" customHeight="1">
      <x:c r="A2" s="2" t="str">
        <x:v>Number of executions</x:v>
      </x:c>
      <x:c r="B2" s="10" t="n">
        <x:v>100000</x:v>
      </x:c>
      <x:c r="C2" s="2" t="str">
        <x:v>executions</x:v>
      </x:c>
      <x:c r="D2" s="2"/>
      <x:c r="E2" s="2"/>
      <x:c r="F2" s="2"/>
      <x:c r="G2" s="2"/>
      <x:c r="H2" s="2"/>
      <x:c r="I2" s="2"/>
    </x:row>
    <x:row r="3" ht="24" customHeight="1">
      <x:c r="A3" s="2" t="str">
        <x:v>USD → EUR</x:v>
      </x:c>
      <x:c r="B3" s="11" t="n">
        <x:v>0.8726</x:v>
      </x:c>
      <x:c r="C3" s="2" t="str">
        <x:v>EUR per USD</x:v>
      </x:c>
      <x:c r="D3" s="2"/>
      <x:c r="E3" s="2"/>
      <x:c r="F3" s="2"/>
      <x:c r="G3" s="2"/>
      <x:c r="H3" s="2"/>
      <x:c r="I3" s="2"/>
    </x:row>
    <x:row r="4" ht="24" customHeight="1">
      <x:c r="A4" s="2" t="str">
        <x:v>Cache duration</x:v>
      </x:c>
      <x:c r="B4" s="2" t="str">
        <x:v>5m</x:v>
      </x:c>
      <x:c r="C4" s="2" t="str"/>
      <x:c r="D4" s="2"/>
      <x:c r="E4" s="2"/>
      <x:c r="F4" s="2"/>
      <x:c r="G4" s="2"/>
      <x:c r="H4" s="2"/>
      <x:c r="I4" s="2"/>
    </x:row>
    <x:row r="5" ht="28" customHeight="1">
      <x:c r="A5" s="2" t="str">
        <x:v>Run ID</x:v>
      </x:c>
      <x:c r="B5" s="14" t="str">
        <x:v>01a0c40f-3ab7-7640-9c4f-56f003fa53ee</x:v>
      </x:c>
      <x:c r="C5" s="2" t="str"/>
      <x:c r="D5" s="2"/>
      <x:c r="E5" s="2"/>
      <x:c r="F5" s="2"/>
      <x:c r="G5" s="2"/>
      <x:c r="H5" s="2"/>
      <x:c r="I5" s="2"/>
    </x:row>
    <x:row r="6" ht="28" customHeight="1">
      <x:c r="A6" s="2" t="str">
        <x:v>Recording</x:v>
      </x:c>
      <x:c r="B6" s="14" t="str">
        <x:v>Provider trace</x:v>
      </x:c>
      <x:c r="C6" s="2" t="str"/>
      <x:c r="D6" s="2"/>
      <x:c r="E6" s="2"/>
      <x:c r="F6" s="2"/>
      <x:c r="G6" s="2"/>
      <x:c r="H6" s="2"/>
      <x:c r="I6" s="2"/>
    </x:row>
    <x:row r="7" ht="28" customHeight="1">
      <x:c r="A7" s="2" t="str">
        <x:v>FX reference date</x:v>
      </x:c>
      <x:c r="B7" s="15" t="n">
        <x:v>46283</x:v>
      </x:c>
      <x:c r="C7" s="2" t="str"/>
      <x:c r="D7" s="2"/>
      <x:c r="E7" s="2"/>
      <x:c r="F7" s="2"/>
      <x:c r="G7" s="2"/>
      <x:c r="H7" s="2"/>
      <x:c r="I7" s="2"/>
    </x:row>
    <x:row r="8" ht="28" customHeight="1">
      <x:c r="A8" s="2" t="str">
        <x:v>FX fetched at</x:v>
      </x:c>
      <x:c r="B8" s="16" t="n">
        <x:v>46286.54241900463</x:v>
      </x:c>
      <x:c r="C8" s="2" t="str">
        <x:v>UTC</x:v>
      </x:c>
      <x:c r="D8" s="2"/>
      <x:c r="E8" s="2"/>
      <x:c r="F8" s="2"/>
      <x:c r="G8" s="2"/>
      <x:c r="H8" s="2"/>
      <x:c r="I8" s="2"/>
    </x:row>
    <x:row r="9" ht="56" customHeight="1">
      <x:c r="A9" s="2" t="str">
        <x:v>FX source</x:v>
      </x:c>
      <x:c r="B9" s="14" t="str">
        <x:v>https://api.frankfurter.dev/v2/rate/usd/eur?providers=ecb</x:v>
      </x:c>
      <x:c r="C9" s="2" t="str"/>
      <x:c r="D9" s="2"/>
      <x:c r="E9" s="2"/>
      <x:c r="F9" s="2"/>
      <x:c r="G9" s="2"/>
      <x:c r="H9" s="2"/>
      <x:c r="I9" s="2"/>
    </x:row>
    <x:row r="10" ht="56" customHeight="1">
      <x:c r="A10" s="2" t="str">
        <x:v>Rounding</x:v>
      </x:c>
      <x:c r="B10" s="14" t="str">
        <x:v>Only projected costs: ROUND(cost × executions, 0)</x:v>
      </x:c>
      <x:c r="C10" s="2" t="str"/>
      <x:c r="D10" s="2"/>
      <x:c r="E10" s="2"/>
      <x:c r="F10" s="2"/>
      <x:c r="G10" s="2"/>
      <x:c r="H10" s="2"/>
      <x:c r="I10" s="2"/>
    </x:row>
    <x:row r="11" ht="56" customHeight="1">
      <x:c r="A11" s="2" t="str">
        <x:v>Tree totals</x:v>
      </x:c>
      <x:c r="B11" s="14" t="str">
        <x:v>Parent rows include descendants; do not sum all tree rows.</x:v>
      </x:c>
      <x:c r="C11" s="2" t="str"/>
      <x:c r="D11" s="2"/>
      <x:c r="E11" s="2"/>
      <x:c r="F11" s="2"/>
      <x:c r="G11" s="2"/>
      <x:c r="H11" s="2"/>
      <x:c r="I11" s="2"/>
    </x:row>
    <x:row r="12" ht="56" customHeight="1">
      <x:c r="A12" s="2" t="str">
        <x:v>Cache writes</x:v>
      </x:c>
      <x:c r="B12" s="14" t="str">
        <x:v>Simulation cache movements are shown separately from provider-billed writes.</x:v>
      </x:c>
      <x:c r="C12" s="2" t="str"/>
      <x:c r="D12" s="2"/>
      <x:c r="E12" s="2"/>
      <x:c r="F12" s="2"/>
      <x:c r="G12" s="2"/>
      <x:c r="H12" s="2"/>
      <x:c r="I12" s="2"/>
    </x:row>
    <x:row r="13" ht="56" customHeight="1">
      <x:c r="A13" s="2" t="str">
        <x:v>Pricing scope</x:v>
      </x:c>
      <x:c r="B13" s="14" t="str">
        <x:v>Standard online token rates. Verify rates and model access before use. Cache writes with unspecified lifetime use the 5-minute rate unless an explicit cache_write rate is configured. No batch, regional, long-context, tool, or negotiated pricing adjustments are applied.</x:v>
      </x:c>
      <x:c r="C13" s="2" t="str"/>
      <x:c r="D13" s="2"/>
      <x:c r="E13" s="2"/>
      <x:c r="F13" s="2"/>
      <x:c r="G13" s="2"/>
      <x:c r="H13" s="2"/>
      <x:c r="I13" s="2"/>
    </x:row>
    <x:row r="14" ht="24" customHeight="1">
      <x:c r="A14" s="2"/>
      <x:c r="B14" s="2"/>
      <x:c r="C14" s="2"/>
      <x:c r="D14" s="2"/>
      <x:c r="E14" s="2"/>
      <x:c r="F14" s="2"/>
      <x:c r="G14" s="2"/>
      <x:c r="H14" s="2"/>
      <x:c r="I14" s="2"/>
    </x:row>
    <x:row r="15" ht="44" customHeight="1">
      <x:c r="A15" s="5" t="str">
        <x:v>Model</x:v>
      </x:c>
      <x:c r="B15" s="5" t="str">
        <x:v>Input USD / 1M tokens</x:v>
      </x:c>
      <x:c r="C15" s="5" t="str">
        <x:v>Cache read USD / 1M tokens</x:v>
      </x:c>
      <x:c r="D15" s="5" t="str">
        <x:v>Cache write USD / 1M tokens</x:v>
      </x:c>
      <x:c r="E15" s="5" t="str">
        <x:v>Output USD / 1M tokens</x:v>
      </x:c>
      <x:c r="F15" s="5" t="str">
        <x:v>Reasoning USD / 1M tokens</x:v>
      </x:c>
      <x:c r="G15" s="5" t="str">
        <x:v>Verified date</x:v>
      </x:c>
      <x:c r="H15" s="5" t="str">
        <x:v>Source</x:v>
      </x:c>
      <x:c r="I15" s="5" t="str">
        <x:v>Notes</x:v>
      </x:c>
    </x:row>
    <x:row r="16" ht="72" customHeight="1">
      <x:c r="A16" s="14" t="str">
        <x:v>openai:gpt-5.5</x:v>
      </x:c>
      <x:c r="B16" s="17" t="n">
        <x:v>5</x:v>
      </x:c>
      <x:c r="C16" s="17" t="n">
        <x:v>0.5</x:v>
      </x:c>
      <x:c r="D16" s="17"/>
      <x:c r="E16" s="17" t="n">
        <x:v>30</x:v>
      </x:c>
      <x:c r="F16" s="17" t="n">
        <x:v>30</x:v>
      </x:c>
      <x:c r="G16" s="15" t="n">
        <x:v>46283</x:v>
      </x:c>
      <x:c r="H16" s="14" t="str">
        <x:v>https://developers.openai.com/api/docs/models/gpt-5.5.md</x:v>
      </x:c>
      <x:c r="I16" s="14" t="str">
        <x:v>Cache write assumes 5m when unspecified</x:v>
      </x:c>
    </x:row>
    <x:row r="17" ht="72" customHeight="1">
      <x:c r="A17" s="14" t="str">
        <x:v>openai:gpt-5.6-luna</x:v>
      </x:c>
      <x:c r="B17" s="17" t="n">
        <x:v>0.2</x:v>
      </x:c>
      <x:c r="C17" s="17" t="n">
        <x:v>0.02</x:v>
      </x:c>
      <x:c r="D17" s="17" t="n">
        <x:v>0.25</x:v>
      </x:c>
      <x:c r="E17" s="17" t="n">
        <x:v>1.2</x:v>
      </x:c>
      <x:c r="F17" s="17" t="n">
        <x:v>1.2</x:v>
      </x:c>
      <x:c r="G17" s="15" t="n">
        <x:v>46283</x:v>
      </x:c>
      <x:c r="H17" s="14" t="str">
        <x:v>https://developers.openai.com/api/docs/models/gpt-5.6-luna.md</x:v>
      </x:c>
      <x:c r="I17" s="14" t="str">
        <x:v>Cache write assumes 5m when unspecified</x:v>
      </x:c>
    </x:row>
    <x:row r="18" ht="72" customHeight="1">
      <x:c r="A18" s="14" t="str">
        <x:v>openai:gpt-5.6-sol</x:v>
      </x:c>
      <x:c r="B18" s="17" t="n">
        <x:v>4</x:v>
      </x:c>
      <x:c r="C18" s="17" t="n">
        <x:v>0.4</x:v>
      </x:c>
      <x:c r="D18" s="17" t="n">
        <x:v>5</x:v>
      </x:c>
      <x:c r="E18" s="17" t="n">
        <x:v>20</x:v>
      </x:c>
      <x:c r="F18" s="17" t="n">
        <x:v>20</x:v>
      </x:c>
      <x:c r="G18" s="15" t="n">
        <x:v>46283</x:v>
      </x:c>
      <x:c r="H18" s="14" t="str">
        <x:v>https://developers.openai.com/api/docs/models/gpt-5.6-sol.md</x:v>
      </x:c>
      <x:c r="I18" s="14" t="str">
        <x:v>Cache write assumes 5m when unspecified</x:v>
      </x:c>
    </x:row>
    <x:row r="19" ht="72" customHeight="1">
      <x:c r="A19" s="14" t="str">
        <x:v>anthropic:claude-sonnet-5</x:v>
      </x:c>
      <x:c r="B19" s="17" t="n">
        <x:v>2</x:v>
      </x:c>
      <x:c r="C19" s="17" t="n">
        <x:v>0.2</x:v>
      </x:c>
      <x:c r="D19" s="17" t="n">
        <x:v>2.5</x:v>
      </x:c>
      <x:c r="E19" s="17" t="n">
        <x:v>10</x:v>
      </x:c>
      <x:c r="F19" s="17" t="n">
        <x:v>10</x:v>
      </x:c>
      <x:c r="G19" s="15" t="n">
        <x:v>46283</x:v>
      </x:c>
      <x:c r="H19" s="14" t="str">
        <x:v>https://platform.claude.com/docs/en/about-claude/pricing</x:v>
      </x:c>
      <x:c r="I19" s="14" t="str">
        <x:v>Cache write assumes 5m when unspecified</x:v>
      </x:c>
    </x:row>
    <x:row r="20" ht="72" customHeight="1">
      <x:c r="A20" s="14" t="str">
        <x:v>anthropic:claude-opus-4-8</x:v>
      </x:c>
      <x:c r="B20" s="17" t="n">
        <x:v>5</x:v>
      </x:c>
      <x:c r="C20" s="17" t="n">
        <x:v>0.5</x:v>
      </x:c>
      <x:c r="D20" s="17" t="n">
        <x:v>6.25</x:v>
      </x:c>
      <x:c r="E20" s="17" t="n">
        <x:v>25</x:v>
      </x:c>
      <x:c r="F20" s="17" t="n">
        <x:v>25</x:v>
      </x:c>
      <x:c r="G20" s="15" t="n">
        <x:v>46283</x:v>
      </x:c>
      <x:c r="H20" s="14" t="str">
        <x:v>https://platform.claude.com/docs/en/about-claude/pricing</x:v>
      </x:c>
      <x:c r="I20" s="14" t="str">
        <x:v>Cache write assumes 5m when unspecified</x:v>
      </x:c>
    </x:row>
    <x:row r="21" ht="72" customHeight="1">
      <x:c r="A21" s="14" t="str">
        <x:v>anthropic:claude-fable-5-1</x:v>
      </x:c>
      <x:c r="B21" s="17" t="n">
        <x:v>10</x:v>
      </x:c>
      <x:c r="C21" s="17" t="n">
        <x:v>0.25</x:v>
      </x:c>
      <x:c r="D21" s="17" t="n">
        <x:v>12.5</x:v>
      </x:c>
      <x:c r="E21" s="17" t="n">
        <x:v>50</x:v>
      </x:c>
      <x:c r="F21" s="17" t="n">
        <x:v>50</x:v>
      </x:c>
      <x:c r="G21" s="15" t="n">
        <x:v>46283</x:v>
      </x:c>
      <x:c r="H21" s="14" t="str">
        <x:v>https://platform.claude.com/docs/en/about-claude/pricing</x:v>
      </x:c>
      <x:c r="I21" s="14" t="str">
        <x:v>Cache write assumes 5m when unspecified</x:v>
      </x:c>
    </x:row>
    <x:row r="22" ht="72" customHeight="1">
      <x:c r="A22" s="14" t="str">
        <x:v>demo:scripted-chat</x:v>
      </x:c>
      <x:c r="B22" s="17" t="n">
        <x:v>0.2</x:v>
      </x:c>
      <x:c r="C22" s="17" t="n">
        <x:v>0.02</x:v>
      </x:c>
      <x:c r="D22" s="17" t="n">
        <x:v>0.25</x:v>
      </x:c>
      <x:c r="E22" s="17" t="n">
        <x:v>1.2</x:v>
      </x:c>
      <x:c r="F22" s="17" t="n">
        <x:v>1.2</x:v>
      </x:c>
      <x:c r="G22" s="15" t="n">
        <x:v>46283</x:v>
      </x:c>
      <x:c r="H22" s="14" t="str">
        <x:v>Illustrative demo rates based on openai:gpt-5.6-luna; no provider billing</x:v>
      </x:c>
      <x:c r="I22" s="14" t="str">
        <x:v>Cache write assumes 5m when unspecified</x:v>
      </x:c>
    </x:row>
    <x:row r="23" ht="24" customHeight="1">
      <x:c r="A23" s="2"/>
      <x:c r="B23" s="2"/>
      <x:c r="C23" s="2"/>
      <x:c r="D23" s="2"/>
      <x:c r="E23" s="2"/>
      <x:c r="F23" s="2"/>
      <x:c r="G23" s="2"/>
      <x:c r="H23" s="2"/>
      <x:c r="I23" s="2"/>
    </x:row>
    <x:row r="24" ht="24" customHeight="1">
      <x:c r="A24" s="2"/>
      <x:c r="B24" s="2"/>
      <x:c r="C24" s="2"/>
      <x:c r="D24" s="2"/>
      <x:c r="E24" s="2"/>
      <x:c r="F24" s="2"/>
      <x:c r="G24" s="2"/>
      <x:c r="H24" s="2"/>
      <x:c r="I24" s="2"/>
    </x:row>
    <x:row r="25" ht="24" customHeight="1">
      <x:c r="A25" s="2"/>
      <x:c r="B25" s="2"/>
      <x:c r="C25" s="2"/>
      <x:c r="D25" s="2"/>
      <x:c r="E25" s="2"/>
      <x:c r="F25" s="2"/>
      <x:c r="G25" s="2"/>
      <x:c r="H25" s="2"/>
      <x:c r="I25" s="2"/>
    </x:row>
    <x:row r="26" ht="24" customHeight="1">
      <x:c r="A26" s="2"/>
      <x:c r="B26" s="2"/>
      <x:c r="C26" s="2"/>
      <x:c r="D26" s="2"/>
      <x:c r="E26" s="2"/>
      <x:c r="F26" s="2"/>
      <x:c r="G26" s="2"/>
      <x:c r="H26" s="2"/>
      <x:c r="I26" s="2"/>
    </x:row>
    <x:row r="27" ht="24" customHeight="1">
      <x:c r="A27" s="2"/>
      <x:c r="B27" s="2"/>
      <x:c r="C27" s="2"/>
      <x:c r="D27" s="2"/>
      <x:c r="E27" s="2"/>
      <x:c r="F27" s="2"/>
      <x:c r="G27" s="2"/>
      <x:c r="H27" s="2"/>
      <x:c r="I27" s="2"/>
    </x:row>
    <x:row r="28" ht="24" customHeight="1">
      <x:c r="A28" s="2"/>
      <x:c r="B28" s="2"/>
      <x:c r="C28" s="2"/>
      <x:c r="D28" s="2"/>
      <x:c r="E28" s="2"/>
      <x:c r="F28" s="2"/>
      <x:c r="G28" s="2"/>
      <x:c r="H28" s="2"/>
      <x:c r="I28" s="2"/>
    </x:row>
    <x:row r="29" ht="24" customHeight="1">
      <x:c r="A29" s="2"/>
      <x:c r="B29" s="2"/>
      <x:c r="C29" s="2"/>
      <x:c r="D29" s="2"/>
      <x:c r="E29" s="2"/>
      <x:c r="F29" s="2"/>
      <x:c r="G29" s="2"/>
      <x:c r="H29" s="2"/>
      <x:c r="I29" s="2"/>
    </x:row>
    <x:row r="30" ht="24" customHeight="1">
      <x:c r="A30" s="2"/>
      <x:c r="B30" s="2"/>
      <x:c r="C30" s="2"/>
      <x:c r="D30" s="2"/>
      <x:c r="E30" s="2"/>
      <x:c r="F30" s="2"/>
      <x:c r="G30" s="2"/>
      <x:c r="H30" s="2"/>
      <x:c r="I30" s="2"/>
    </x:row>
  </x:sheetData>
  <x:conditionalFormatting sqref="G16:G22">
    <x:cfRule type="expression" dxfId="0" priority="1">
      <x:formula>G16&lt;TODAY()</x:formula>
    </x:cfRule>
  </x:conditionalFormatting>
  <x:conditionalFormatting sqref="B7:B7">
    <x:cfRule type="expression" dxfId="1" priority="2">
      <x:formula>B7&lt;TODAY()</x:formula>
    </x:cfRule>
  </x:conditionalFormatting>
  <x:dataValidations count="1">
    <x:dataValidation type="whole" operator="greaterThanOrEqual" sqref="B2">
      <x:formula1>0</x:formula1>
    </x:dataValidation>
  </x:dataValidations>
  <x:pageMargins left="0.7" right="0.7" top="0.75" bottom="0.75" header="0.3" footer="0.3"/>
</x:worksheet>
</file>
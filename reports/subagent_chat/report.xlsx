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<sst xmlns="http://schemas.openxmlformats.org/spreadsheetml/2006/main" count="473" uniqueCount="194">
  <si>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</si>
  <si>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</si>
  <si>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</si>
  <si>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</si>
  <si>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</si>
  <si>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</si>
  <si>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</si>
  <si>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</si>
  <si>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</si>
  <si>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</si>
  <si>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</si>
  <si>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</si>
  <si>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</si>
  <si>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</si>
  <si>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</si>
  <si>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</si>
  <si>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</si>
  <si>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</si>
  <si>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</si>
  <si>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</si>
  <si>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</si>
  <si>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</si>
  <si>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</si>
  <si>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</si>
  <si>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</si>
  <si>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</si>
  <si>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</si>
  <si>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</si>
  <si>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</si>
  <si>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</si>
  <si>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</si>
  <si>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</si>
  <si>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</si>
  <si>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</si>
  <si>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</si>
  <si>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</si>
  <si>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</si>
  <si>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</si>
  <si>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</si>
  <si>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</si>
  <si>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</si>
  <si>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</si>
  <si>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</si>
  <si>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</si>
  <si>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</si>
  <si>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</si>
  <si>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</si>
  <si>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</si>
  <si>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</si>
  <si>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01a1143f-831e-7141-818a-14f77faabd17</t>
  </si>
  <si>
    <t>Recording</t>
  </si>
  <si>
    <t>Offline simulation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</si>
  <si>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</si>
  <si>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</si>
  <si>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</si>
  <si>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</si>
  <si>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</si>
  <si>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</si>
  <si>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</si>
  <si>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</si>
  <si>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</si>
  <si>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</si>
  <si>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</si>
  <si>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</si>
  <si>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</si>
  <si>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</si>
  <si>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Published online token rates verified 2026-10-05. Copilot uses GitHub rates, including saved long-context tiers, before plan allowances; these are usage estimates, not subscription invoices. Cache writes with unspecified lifetime use the 5-minute rate unless an explicit cache_write rate is configured. Direct OpenAI and Anthropic entries use standard rates; no batch, regional, tool, negotiated, or unrecorded context-tier adjustments are applied. Model availability and context capacity require separate verification.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</si>
  <si>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</si>
  <si>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</si>
  <si>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</si>
  <si>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</si>
  <si>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</si>
  <si>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</si>
  <si>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</si>
  <si>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</si>
  <si>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</si>
  <si>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</si>
  <si>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</si>
  <si>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2026-10-05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</si>
  <si>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</si>
  <si>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</si>
  <si>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</si>
  <si>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</si>
  <si>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</si>
  <si>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</si>
  <si>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</si>
  <si>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</si>
  <si>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</si>
  <si>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</si>
  <si>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</si>
  <si>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</si>
  <si>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anthropic:claude-haiku-4-5</t>
  </si>
  <si>
    <t>anthropic:claude-haiku-4-5-20251001</t>
  </si>
  <si>
    <t>anthropic:claude-opus-5-5</t>
  </si>
  <si>
    <t>anthropic:claude-sonnet-4-6</t>
  </si>
  <si>
    <t>anthropic:claude-sonnet-5-5</t>
  </si>
  <si>
    <t>copilot:claude-haiku-4.5</t>
  </si>
  <si>
    <t>https://docs.github.com/en/copilot/reference/copilot-billing/models-and-pricing</t>
  </si>
  <si>
    <t>copilot:claude-opus-5.5</t>
  </si>
  <si>
    <t>copilot:claude-sonnet-4.6</t>
  </si>
  <si>
    <t>copilot:claude-sonnet-5.5</t>
  </si>
  <si>
    <t>copilot:gemini-3.8-flash</t>
  </si>
  <si>
    <t>copilot:gpt-5.3-codex</t>
  </si>
  <si>
    <t>copilot:gpt-5.4</t>
  </si>
  <si>
    <t>copilot:gpt-6-astra</t>
  </si>
  <si>
    <t>copilot:gpt-6-luna</t>
  </si>
  <si>
    <t>copilot:gpt-6-sol</t>
  </si>
  <si>
    <t>copilot:gpt-6.1-sol</t>
  </si>
  <si>
    <t>openai:gpt-6-astra</t>
  </si>
  <si>
    <t>https://developers.openai.com/api/docs/models/gpt-6-astra.md</t>
  </si>
  <si>
    <t>openai:gpt-6-luna</t>
  </si>
  <si>
    <t>https://developers.openai.com/api/docs/models/gpt-6-luna.md</t>
  </si>
  <si>
    <t>openai:gpt-6-sol</t>
  </si>
  <si>
    <t>https://developers.openai.com/api/docs/models/gpt-6-sol.md</t>
  </si>
  <si>
    <t>openai:gpt-6.1-sol</t>
  </si>
  <si>
    <t>https://developers.openai.com/api/docs/models/gpt-6.1-sol.md</t>
  </si>
  <si>
    <t>copilot:gpt-5.4 [long context]</t>
  </si>
  <si>
    <t>Above 272,000 input tokens</t>
  </si>
  <si>
    <t>copilot:gpt-6-astra [long context]</t>
  </si>
  <si>
    <t>copilot:gpt-6-luna [long context]</t>
  </si>
  <si>
    <t>copilot:gpt-6-sol [long context]</t>
  </si>
  <si>
    <t>copilot:gpt-6.1-sol [long context]</t>
  </si>
  <si>
    <t>Run total</t>
  </si>
  <si>
    <t>Turn 1</t>
  </si>
  <si>
    <t>R1</t>
  </si>
  <si>
    <t>LLM request</t>
  </si>
  <si>
    <t>scripted-chat</t>
  </si>
  <si>
    <t>01a1143f-8321-79b2-85c0-d160373e18e6</t>
  </si>
  <si>
    <t>Input at standard rate</t>
  </si>
  <si>
    <t xml:space="preserve">    Tool definitions</t>
  </si>
  <si>
    <t xml:space="preserve">    System prompt</t>
  </si>
  <si>
    <t>Delegate echoing the supplied text to isolated-subagent using task. Provide a self-contained assignment. After its summary returns, answer the user concisely. The specialist uses an echo tool, which supplies no independent factual evidence.</t>
  </si>
  <si>
    <t xml:space="preserve">    User prompt</t>
  </si>
  <si>
    <t>Have the specialist echo ReAct and explain how its tool result returns to the parent.</t>
  </si>
  <si>
    <t>Cache write</t>
  </si>
  <si>
    <t>Context · added / total</t>
  </si>
  <si>
    <t>LLM response</t>
  </si>
  <si>
    <t>Output</t>
  </si>
  <si>
    <t xml:space="preserve">    Output content</t>
  </si>
  <si>
    <t>{"name": "task", "args": {"subagent_type": "isolated-subagent", "description": "Call echo_tool with the text ReAct and summarize what it returned."}, "id": "delegate-1", "type": "tool_call"}</t>
  </si>
  <si>
    <t>Call total</t>
  </si>
  <si>
    <t>ok</t>
  </si>
  <si>
    <t>Tool · task</t>
  </si>
  <si>
    <t>01a1143f-83a1-7520-8dc2-d4d6a652d02d</t>
  </si>
  <si>
    <t xml:space="preserve">    Arguments</t>
  </si>
  <si>
    <t>{'subagent_type': 'isolated-subagent', 'description': 'Call echo_tool with the text ReAct and summarize what it returned.'}</t>
  </si>
  <si>
    <t xml:space="preserve">    Result</t>
  </si>
  <si>
    <t>Command(update={'messages': [ToolMessage(content='The echo tool returned Your input was: ReAct. It repeated the supplied text without adding factual evidence.', tool_call_id='delegate-1')]})</t>
  </si>
  <si>
    <t>R2</t>
  </si>
  <si>
    <t>01a1143f-83a3-7d82-b3d1-8b1bb7bad08e</t>
  </si>
  <si>
    <t>You are a workflow teaching specialist. Call echo_tool with the assigned text, then summarize the returned echo for the parent. The echo repeats supplied input and provides no independent factual evidence. Do not delegate further.</t>
  </si>
  <si>
    <t>{"name": "echo_tool", "args": {"text": "ReAct"}, "id": "specialist-lookup-1", "type": "tool_call"}</t>
  </si>
  <si>
    <t>Tool · echo_tool</t>
  </si>
  <si>
    <t>01a1143f-83a7-7720-bac4-bde63a0cdabd</t>
  </si>
  <si>
    <t>{'text': 'ReAct'}</t>
  </si>
  <si>
    <t>Your input was: ReAct</t>
  </si>
  <si>
    <t>R3</t>
  </si>
  <si>
    <t>01a1143f-83a8-7422-b1b7-e3e23ebcb479</t>
  </si>
  <si>
    <t>Conversation history · cache read</t>
  </si>
  <si>
    <t xml:space="preserve">    Tool result</t>
  </si>
  <si>
    <t>The echo tool returned Your input was: ReAct. It repeated the supplied text without adding factual evidence.</t>
  </si>
  <si>
    <t>R4</t>
  </si>
  <si>
    <t>01a1143f-83ac-7cf1-a37c-45609fd63031</t>
  </si>
  <si>
    <t>The specialist echoed ReAct and received Your input was: ReAct. The parent receives its summary; the specialist's internal tool exchange stays in its own context.</t>
  </si>
  <si>
    <t>delegating_parent</t>
  </si>
  <si>
    <t>workflow</t>
  </si>
  <si>
    <t>Execute the delegating_parent workflow operation and pass its result to the next graph step.</t>
  </si>
  <si>
    <t>Subtree total</t>
  </si>
  <si>
    <t xml:space="preserve">    model</t>
  </si>
  <si>
    <t>Prepare the current conversation, run model middleware, and invoke the chat model.</t>
  </si>
  <si>
    <t>01a1143f-8320-7372-b5ea-fdac72f8bdfa</t>
  </si>
  <si>
    <t xml:space="preserve">        SimulatedModel</t>
  </si>
  <si>
    <t>model</t>
  </si>
  <si>
    <t>A parent agent delegates to a specialist.</t>
  </si>
  <si>
    <t>Own call</t>
  </si>
  <si>
    <t xml:space="preserve">    tools</t>
  </si>
  <si>
    <t>Execute tool calls requested by the preceding model response and return their observations.</t>
  </si>
  <si>
    <t>01a1143f-83a0-7292-b546-b39421c51891</t>
  </si>
  <si>
    <t xml:space="preserve">        task</t>
  </si>
  <si>
    <t>tool</t>
  </si>
  <si>
    <t>Launch an ephemeral subagent to handle a complex, multi-step task.
Available agent types and the tools they have access to:
- isolated-subagent: Echoes assigned text with a local tool and summarizes its result.
Specify subagent_type to select the agent. Usage notes:
- Launch multiple agents concurrently when their tasks are independent, using a single message with multiple tool calls.
- Each invocation is stateless by default: the agent sees only the prompt you give it and returns a single final report. Put full detail in the prompt and state exactly what it should return — unless an agent type below says it inherits your conversation instead.
- The agent's report is not shown to the user; relay a summary yourself.
- Tell the agent whether to create content, analyze, or only research, since it can't necessarily see the user's intent unless it inherits your conversation, as noted per agent type below.
- If an agent's description says to use it proactively, do so without waiting to be asked.
- When only general-purpose is available, use it for any complex, context-heavy task; it has the same capabilities as the main agent.</t>
  </si>
  <si>
    <t xml:space="preserve">            isolated-subagent</t>
  </si>
  <si>
    <t>Execute the isolated-subagent workflow operation and pass its result to the next graph step.</t>
  </si>
  <si>
    <t>01a1143f-83a1-7520-8dc2-d4e9a12dc0c4</t>
  </si>
  <si>
    <t xml:space="preserve">                model</t>
  </si>
  <si>
    <t>01a1143f-83a2-7f61-a440-1209bd5d888c</t>
  </si>
  <si>
    <t xml:space="preserve">                    SimulatedModel</t>
  </si>
  <si>
    <t xml:space="preserve">                tools</t>
  </si>
  <si>
    <t>01a1143f-83a6-75f1-9b66-69c65f85322e</t>
  </si>
  <si>
    <t>No model charge</t>
  </si>
  <si>
    <t xml:space="preserve">                    echo_tool</t>
  </si>
  <si>
    <t>Return the provided text prefixed with "Your input was: ".</t>
  </si>
  <si>
    <t>01a1143f-83a8-7422-b1b7-e3ddc0922340</t>
  </si>
  <si>
    <t>01a1143f-83ac-7cf1-a37c-455dddb17dd4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</si>
</sst>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5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122</v>
      </c>
      <c r="E2" s="2">
        <f>IF(COUNT('Turns'!E16,'Turns'!E31,'Turns'!E46,'Turns'!E58)=4,SUM('Turns'!E16,'Turns'!E31,'Turns'!E46,'Turns'!E58),"Unknown")</f>
        <v>0.00038620586</v>
      </c>
      <c r="F2" s="2">
        <f>IF(COUNT('Turns'!F16,'Turns'!F31,'Turns'!F46,'Turns'!F58)=4,SUM('Turns'!F16,'Turns'!F31,'Turns'!F46,'Turns'!F58),"Unknown")</f>
        <v>0.000439</v>
      </c>
      <c r="G2" s="5">
        <f>IF(ISNUMBER(E2),ROUND(E2*'Reference data'!$B$2,0),"Unknown")</f>
        <v>39.0</v>
      </c>
      <c r="H2" s="5">
        <f>IF(ISNUMBER(F2),ROUND(F2*'Reference data'!$B$2,0),"Unknown")</f>
        <v>44.0</v>
      </c>
    </row>
    <row r="3" spans="1:13" s="4" customFormat="1" ht="24" customHeight="1">
      <c r="B3" s="4">
        <v>1</v>
      </c>
      <c r="C3" s="4" t="s">
        <v>123</v>
      </c>
      <c r="E3" s="2">
        <f>IF(COUNT('Turns'!E16,'Turns'!E31,'Turns'!E46,'Turns'!E58)=4,SUM('Turns'!E16,'Turns'!E31,'Turns'!E46,'Turns'!E58),"Unknown")</f>
        <v>0.00038620586</v>
      </c>
      <c r="F3" s="2">
        <f>IF(COUNT('Turns'!F16,'Turns'!F31,'Turns'!F46,'Turns'!F58)=4,SUM('Turns'!F16,'Turns'!F31,'Turns'!F46,'Turns'!F58),"Unknown")</f>
        <v>0.000439</v>
      </c>
      <c r="G3" s="5">
        <f>IF(ISNUMBER(E3),ROUND(E3*'Reference data'!$B$2,0),"Unknown")</f>
        <v>39.0</v>
      </c>
      <c r="H3" s="5">
        <f>IF(ISNUMBER(F3),ROUND(F3*'Reference data'!$B$2,0),"Unknown")</f>
        <v>44.0</v>
      </c>
    </row>
    <row r="4" spans="1:13" s="4" customFormat="1" ht="24" customHeight="1">
      <c r="A4" s="4" t="s">
        <v>124</v>
      </c>
      <c r="B4" s="4">
        <v>1</v>
      </c>
      <c r="C4" s="4" t="s">
        <v>125</v>
      </c>
      <c r="D4" s="4">
        <v>468</v>
      </c>
      <c r="J4" s="4" t="s">
        <v>126</v>
      </c>
      <c r="M4" s="4" t="s">
        <v>127</v>
      </c>
    </row>
    <row r="5" spans="1:13" ht="24" customHeight="1">
      <c r="A5" t="s">
        <v>124</v>
      </c>
      <c r="B5">
        <v>1</v>
      </c>
      <c r="C5" t="s">
        <v>128</v>
      </c>
      <c r="D5" s="5">
        <v>468</v>
      </c>
      <c r="E5" s="2">
        <f>IF(AND(ISNUMBER(F5),ISNUMBER('Reference data'!$B$3)),F5*'Reference data'!$B$3,"Unknown")</f>
        <v>8.2343664e-05</v>
      </c>
      <c r="F5" s="2">
        <f>IF(D5=0,0,IF(ISNUMBER('Reference data'!B22),D5*'Reference data'!B22/1000000,"Unknown"))</f>
        <v>9.36e-05</v>
      </c>
      <c r="G5" s="5">
        <f>IF(ISNUMBER(E5),ROUND(E5*'Reference data'!$B$2,0),"Unknown")</f>
        <v>8.0</v>
      </c>
      <c r="H5" s="5">
        <f>IF(ISNUMBER(F5),ROUND(F5*'Reference data'!$B$2,0),"Unknown")</f>
        <v>9.0</v>
      </c>
    </row>
    <row r="6" spans="1:13" ht="24" customHeight="1">
      <c r="A6" t="s">
        <v>124</v>
      </c>
      <c r="B6">
        <v>1</v>
      </c>
      <c r="C6" t="s">
        <v>129</v>
      </c>
      <c r="D6" s="1">
        <v>360</v>
      </c>
    </row>
    <row r="7" spans="1:13" ht="47" customHeight="1">
      <c r="A7" t="s">
        <v>124</v>
      </c>
      <c r="B7">
        <v>1</v>
      </c>
      <c r="C7" t="s">
        <v>130</v>
      </c>
      <c r="D7" s="1">
        <v>68</v>
      </c>
      <c r="I7" s="6" t="s">
        <v>131</v>
      </c>
    </row>
    <row r="8" spans="1:13" ht="24" customHeight="1">
      <c r="A8" t="s">
        <v>124</v>
      </c>
      <c r="B8">
        <v>1</v>
      </c>
      <c r="C8" t="s">
        <v>132</v>
      </c>
      <c r="D8" s="1">
        <v>40</v>
      </c>
      <c r="I8" s="6" t="s">
        <v>133</v>
      </c>
    </row>
    <row r="9" spans="1:13" ht="24" customHeight="1">
      <c r="A9" t="s">
        <v>124</v>
      </c>
      <c r="B9">
        <v>1</v>
      </c>
      <c r="C9" t="s">
        <v>134</v>
      </c>
      <c r="D9" s="1">
        <v>468</v>
      </c>
    </row>
    <row r="10" spans="1:13" ht="24" customHeight="1">
      <c r="A10" t="s">
        <v>124</v>
      </c>
      <c r="B10">
        <v>1</v>
      </c>
      <c r="C10" t="s">
        <v>135</v>
      </c>
      <c r="D10" s="1">
        <v>468</v>
      </c>
      <c r="L10" s="1">
        <v>468</v>
      </c>
    </row>
    <row r="11" spans="1:13" s="4" customFormat="1" ht="24" customHeight="1">
      <c r="A11" s="4" t="s">
        <v>124</v>
      </c>
      <c r="B11" s="4">
        <v>1</v>
      </c>
      <c r="C11" s="4" t="s">
        <v>136</v>
      </c>
      <c r="D11" s="4">
        <v>75</v>
      </c>
    </row>
    <row r="12" spans="1:13" ht="24" customHeight="1">
      <c r="A12" t="s">
        <v>124</v>
      </c>
      <c r="B12">
        <v>1</v>
      </c>
      <c r="C12" t="s">
        <v>137</v>
      </c>
      <c r="D12" s="5">
        <v>75</v>
      </c>
      <c r="E12" s="2">
        <f>IF(AND(ISNUMBER(F12),ISNUMBER('Reference data'!$B$3)),F12*'Reference data'!$B$3,"Unknown")</f>
        <v>7.91766e-05</v>
      </c>
      <c r="F12" s="2">
        <f>IF(D12=0,0,IF(ISNUMBER('Reference data'!E22),D12*'Reference data'!E22/1000000,"Unknown"))</f>
        <v>9e-05</v>
      </c>
      <c r="G12" s="5">
        <f>IF(ISNUMBER(E12),ROUND(E12*'Reference data'!$B$2,0),"Unknown")</f>
        <v>8.0</v>
      </c>
      <c r="H12" s="5">
        <f>IF(ISNUMBER(F12),ROUND(F12*'Reference data'!$B$2,0),"Unknown")</f>
        <v>9.0</v>
      </c>
    </row>
    <row r="13" spans="1:13" ht="47" customHeight="1">
      <c r="A13" t="s">
        <v>124</v>
      </c>
      <c r="B13">
        <v>1</v>
      </c>
      <c r="C13" t="s">
        <v>138</v>
      </c>
      <c r="I13" s="6" t="s">
        <v>139</v>
      </c>
    </row>
    <row r="14" spans="1:13" ht="24" customHeight="1">
      <c r="A14" t="s">
        <v>124</v>
      </c>
      <c r="B14">
        <v>1</v>
      </c>
      <c r="C14" t="s">
        <v>134</v>
      </c>
      <c r="D14" s="1">
        <v>75</v>
      </c>
    </row>
    <row r="15" spans="1:13" ht="24" customHeight="1">
      <c r="A15" t="s">
        <v>124</v>
      </c>
      <c r="B15">
        <v>1</v>
      </c>
      <c r="C15" t="s">
        <v>135</v>
      </c>
      <c r="D15" s="1">
        <v>75</v>
      </c>
      <c r="L15" s="1">
        <v>543</v>
      </c>
    </row>
    <row r="16" spans="1:13" s="4" customFormat="1" ht="24" customHeight="1">
      <c r="A16" s="4" t="s">
        <v>124</v>
      </c>
      <c r="B16" s="4">
        <v>1</v>
      </c>
      <c r="C16" s="4" t="s">
        <v>140</v>
      </c>
      <c r="E16" s="2">
        <f>IF(COUNT('Turns'!E5,'Turns'!E12)=2,SUM('Turns'!E5,'Turns'!E12),"Unknown")</f>
        <v>0.000161520264</v>
      </c>
      <c r="F16" s="2">
        <f>IF(COUNT('Turns'!F5,'Turns'!F12)=2,SUM('Turns'!F5,'Turns'!F12),"Unknown")</f>
        <v>0.0001836</v>
      </c>
      <c r="G16" s="5">
        <f>IF(ISNUMBER(E16),ROUND(E16*'Reference data'!$B$2,0),"Unknown")</f>
        <v>16.0</v>
      </c>
      <c r="H16" s="5">
        <f>IF(ISNUMBER(F16),ROUND(F16*'Reference data'!$B$2,0),"Unknown")</f>
        <v>18.0</v>
      </c>
      <c r="K16" s="4" t="s">
        <v>141</v>
      </c>
    </row>
    <row r="17" spans="1:13" s="4" customFormat="1" ht="24" customHeight="1">
      <c r="B17" s="4">
        <v>1</v>
      </c>
      <c r="C17" s="4" t="s">
        <v>142</v>
      </c>
      <c r="K17" s="4" t="s">
        <v>141</v>
      </c>
      <c r="M17" s="4" t="s">
        <v>143</v>
      </c>
    </row>
    <row r="18" spans="1:13" ht="34" customHeight="1">
      <c r="B18">
        <v>1</v>
      </c>
      <c r="C18" t="s">
        <v>144</v>
      </c>
      <c r="I18" s="6" t="s">
        <v>145</v>
      </c>
    </row>
    <row r="19" spans="1:13" ht="47" customHeight="1">
      <c r="B19">
        <v>1</v>
      </c>
      <c r="C19" t="s">
        <v>146</v>
      </c>
      <c r="I19" s="6" t="s">
        <v>147</v>
      </c>
    </row>
    <row r="20" spans="1:13" s="4" customFormat="1" ht="24" customHeight="1">
      <c r="A20" s="4" t="s">
        <v>148</v>
      </c>
      <c r="B20" s="4">
        <v>1</v>
      </c>
      <c r="C20" s="4" t="s">
        <v>125</v>
      </c>
      <c r="D20" s="4">
        <v>180</v>
      </c>
      <c r="J20" s="4" t="s">
        <v>126</v>
      </c>
      <c r="M20" s="4" t="s">
        <v>149</v>
      </c>
    </row>
    <row r="21" spans="1:13" ht="24" customHeight="1">
      <c r="A21" t="s">
        <v>148</v>
      </c>
      <c r="B21">
        <v>1</v>
      </c>
      <c r="C21" t="s">
        <v>128</v>
      </c>
      <c r="D21" s="5">
        <v>180</v>
      </c>
      <c r="E21" s="2">
        <f>IF(AND(ISNUMBER(F21),ISNUMBER('Reference data'!$B$3)),F21*'Reference data'!$B$3,"Unknown")</f>
        <v>3.167064e-05</v>
      </c>
      <c r="F21" s="2">
        <f>IF(D21=0,0,IF(ISNUMBER('Reference data'!B22),D21*'Reference data'!B22/1000000,"Unknown"))</f>
        <v>3.6e-05</v>
      </c>
      <c r="G21" s="5">
        <f>IF(ISNUMBER(E21),ROUND(E21*'Reference data'!$B$2,0),"Unknown")</f>
        <v>3.0</v>
      </c>
      <c r="H21" s="5">
        <f>IF(ISNUMBER(F21),ROUND(F21*'Reference data'!$B$2,0),"Unknown")</f>
        <v>4.0</v>
      </c>
    </row>
    <row r="22" spans="1:13" ht="24" customHeight="1">
      <c r="A22" t="s">
        <v>148</v>
      </c>
      <c r="B22">
        <v>1</v>
      </c>
      <c r="C22" t="s">
        <v>129</v>
      </c>
      <c r="D22" s="1">
        <v>79</v>
      </c>
    </row>
    <row r="23" spans="1:13" ht="47" customHeight="1">
      <c r="A23" t="s">
        <v>148</v>
      </c>
      <c r="B23">
        <v>1</v>
      </c>
      <c r="C23" t="s">
        <v>130</v>
      </c>
      <c r="D23" s="1">
        <v>64</v>
      </c>
      <c r="I23" s="6" t="s">
        <v>150</v>
      </c>
    </row>
    <row r="24" spans="1:13" ht="24" customHeight="1">
      <c r="A24" t="s">
        <v>148</v>
      </c>
      <c r="B24">
        <v>1</v>
      </c>
      <c r="C24" t="s">
        <v>134</v>
      </c>
      <c r="D24" s="1">
        <v>180</v>
      </c>
    </row>
    <row r="25" spans="1:13" ht="24" customHeight="1">
      <c r="A25" t="s">
        <v>148</v>
      </c>
      <c r="B25">
        <v>1</v>
      </c>
      <c r="C25" t="s">
        <v>135</v>
      </c>
      <c r="D25" s="1">
        <v>180</v>
      </c>
      <c r="L25" s="1">
        <v>180</v>
      </c>
    </row>
    <row r="26" spans="1:13" s="4" customFormat="1" ht="24" customHeight="1">
      <c r="A26" s="4" t="s">
        <v>148</v>
      </c>
      <c r="B26" s="4">
        <v>1</v>
      </c>
      <c r="C26" s="4" t="s">
        <v>136</v>
      </c>
      <c r="D26" s="4">
        <v>57</v>
      </c>
    </row>
    <row r="27" spans="1:13" ht="24" customHeight="1">
      <c r="A27" t="s">
        <v>148</v>
      </c>
      <c r="B27">
        <v>1</v>
      </c>
      <c r="C27" t="s">
        <v>137</v>
      </c>
      <c r="D27" s="5">
        <v>57</v>
      </c>
      <c r="E27" s="2">
        <f>IF(AND(ISNUMBER(F27),ISNUMBER('Reference data'!$B$3)),F27*'Reference data'!$B$3,"Unknown")</f>
        <v>6.0174216e-05</v>
      </c>
      <c r="F27" s="2">
        <f>IF(D27=0,0,IF(ISNUMBER('Reference data'!E22),D27*'Reference data'!E22/1000000,"Unknown"))</f>
        <v>6.84e-05</v>
      </c>
      <c r="G27" s="5">
        <f>IF(ISNUMBER(E27),ROUND(E27*'Reference data'!$B$2,0),"Unknown")</f>
        <v>6.0</v>
      </c>
      <c r="H27" s="5">
        <f>IF(ISNUMBER(F27),ROUND(F27*'Reference data'!$B$2,0),"Unknown")</f>
        <v>7.0</v>
      </c>
    </row>
    <row r="28" spans="1:13" ht="34" customHeight="1">
      <c r="A28" t="s">
        <v>148</v>
      </c>
      <c r="B28">
        <v>1</v>
      </c>
      <c r="C28" t="s">
        <v>138</v>
      </c>
      <c r="I28" s="6" t="s">
        <v>151</v>
      </c>
    </row>
    <row r="29" spans="1:13" ht="24" customHeight="1">
      <c r="A29" t="s">
        <v>148</v>
      </c>
      <c r="B29">
        <v>1</v>
      </c>
      <c r="C29" t="s">
        <v>134</v>
      </c>
      <c r="D29" s="1">
        <v>57</v>
      </c>
    </row>
    <row r="30" spans="1:13" ht="24" customHeight="1">
      <c r="A30" t="s">
        <v>148</v>
      </c>
      <c r="B30">
        <v>1</v>
      </c>
      <c r="C30" t="s">
        <v>135</v>
      </c>
      <c r="D30" s="1">
        <v>57</v>
      </c>
      <c r="L30" s="1">
        <v>237</v>
      </c>
    </row>
    <row r="31" spans="1:13" s="4" customFormat="1" ht="24" customHeight="1">
      <c r="A31" s="4" t="s">
        <v>148</v>
      </c>
      <c r="B31" s="4">
        <v>1</v>
      </c>
      <c r="C31" s="4" t="s">
        <v>140</v>
      </c>
      <c r="E31" s="2">
        <f>IF(COUNT('Turns'!E21,'Turns'!E27)=2,SUM('Turns'!E21,'Turns'!E27),"Unknown")</f>
        <v>9.1844856e-05</v>
      </c>
      <c r="F31" s="2">
        <f>IF(COUNT('Turns'!F21,'Turns'!F27)=2,SUM('Turns'!F21,'Turns'!F27),"Unknown")</f>
        <v>0.0001044</v>
      </c>
      <c r="G31" s="5">
        <f>IF(ISNUMBER(E31),ROUND(E31*'Reference data'!$B$2,0),"Unknown")</f>
        <v>9.0</v>
      </c>
      <c r="H31" s="5">
        <f>IF(ISNUMBER(F31),ROUND(F31*'Reference data'!$B$2,0),"Unknown")</f>
        <v>10.0</v>
      </c>
      <c r="K31" s="4" t="s">
        <v>141</v>
      </c>
    </row>
    <row r="32" spans="1:13" s="4" customFormat="1" ht="24" customHeight="1">
      <c r="B32" s="4">
        <v>1</v>
      </c>
      <c r="C32" s="4" t="s">
        <v>152</v>
      </c>
      <c r="K32" s="4" t="s">
        <v>141</v>
      </c>
      <c r="M32" s="4" t="s">
        <v>153</v>
      </c>
    </row>
    <row r="33" spans="1:13" ht="24" customHeight="1">
      <c r="B33">
        <v>1</v>
      </c>
      <c r="C33" t="s">
        <v>144</v>
      </c>
      <c r="I33" s="6" t="s">
        <v>154</v>
      </c>
    </row>
    <row r="34" spans="1:13" ht="24" customHeight="1">
      <c r="B34">
        <v>1</v>
      </c>
      <c r="C34" t="s">
        <v>146</v>
      </c>
      <c r="I34" s="6" t="s">
        <v>155</v>
      </c>
    </row>
    <row r="35" spans="1:13" s="4" customFormat="1" ht="24" customHeight="1">
      <c r="A35" s="4" t="s">
        <v>156</v>
      </c>
      <c r="B35" s="4">
        <v>1</v>
      </c>
      <c r="C35" s="4" t="s">
        <v>125</v>
      </c>
      <c r="D35" s="4">
        <v>273</v>
      </c>
      <c r="J35" s="4" t="s">
        <v>126</v>
      </c>
      <c r="M35" s="4" t="s">
        <v>157</v>
      </c>
    </row>
    <row r="36" spans="1:13" ht="24" customHeight="1">
      <c r="A36" t="s">
        <v>156</v>
      </c>
      <c r="B36">
        <v>1</v>
      </c>
      <c r="C36" t="s">
        <v>158</v>
      </c>
      <c r="D36" s="5">
        <v>237</v>
      </c>
      <c r="E36" s="2">
        <f>IF(AND(ISNUMBER(F36),ISNUMBER('Reference data'!$B$3)),F36*'Reference data'!$B$3,"Unknown")</f>
        <v>4.1699676e-06</v>
      </c>
      <c r="F36" s="2">
        <f>IF(D36=0,0,IF(ISNUMBER('Reference data'!C22),D36*'Reference data'!C22/1000000,"Unknown"))</f>
        <v>4.74e-06</v>
      </c>
      <c r="G36" s="5">
        <f>IF(ISNUMBER(E36),ROUND(E36*'Reference data'!$B$2,0),"Unknown")</f>
        <v>0.0</v>
      </c>
      <c r="H36" s="5">
        <f>IF(ISNUMBER(F36),ROUND(F36*'Reference data'!$B$2,0),"Unknown")</f>
        <v>0.0</v>
      </c>
    </row>
    <row r="37" spans="1:13" ht="24" customHeight="1">
      <c r="A37" t="s">
        <v>156</v>
      </c>
      <c r="B37">
        <v>1</v>
      </c>
      <c r="C37" t="s">
        <v>128</v>
      </c>
      <c r="D37" s="5">
        <v>36</v>
      </c>
      <c r="E37" s="2">
        <f>IF(AND(ISNUMBER(F37),ISNUMBER('Reference data'!$B$3)),F37*'Reference data'!$B$3,"Unknown")</f>
        <v>6.334128e-06</v>
      </c>
      <c r="F37" s="2">
        <f>IF(D37=0,0,IF(ISNUMBER('Reference data'!B22),D37*'Reference data'!B22/1000000,"Unknown"))</f>
        <v>7.2e-06</v>
      </c>
      <c r="G37" s="5">
        <f>IF(ISNUMBER(E37),ROUND(E37*'Reference data'!$B$2,0),"Unknown")</f>
        <v>1.0</v>
      </c>
      <c r="H37" s="5">
        <f>IF(ISNUMBER(F37),ROUND(F37*'Reference data'!$B$2,0),"Unknown")</f>
        <v>1.0</v>
      </c>
    </row>
    <row r="38" spans="1:13" ht="24" customHeight="1">
      <c r="A38" t="s">
        <v>156</v>
      </c>
      <c r="B38">
        <v>1</v>
      </c>
      <c r="C38" t="s">
        <v>159</v>
      </c>
      <c r="D38" s="1">
        <v>36</v>
      </c>
      <c r="I38" s="6" t="s">
        <v>155</v>
      </c>
    </row>
    <row r="39" spans="1:13" ht="24" customHeight="1">
      <c r="A39" t="s">
        <v>156</v>
      </c>
      <c r="B39">
        <v>1</v>
      </c>
      <c r="C39" t="s">
        <v>134</v>
      </c>
      <c r="D39" s="1">
        <v>36</v>
      </c>
    </row>
    <row r="40" spans="1:13" ht="24" customHeight="1">
      <c r="A40" t="s">
        <v>156</v>
      </c>
      <c r="B40">
        <v>1</v>
      </c>
      <c r="C40" t="s">
        <v>135</v>
      </c>
      <c r="D40" s="1">
        <v>36</v>
      </c>
      <c r="L40" s="1">
        <v>273</v>
      </c>
    </row>
    <row r="41" spans="1:13" s="4" customFormat="1" ht="24" customHeight="1">
      <c r="A41" s="4" t="s">
        <v>156</v>
      </c>
      <c r="B41" s="4">
        <v>1</v>
      </c>
      <c r="C41" s="4" t="s">
        <v>136</v>
      </c>
      <c r="D41" s="4">
        <v>44</v>
      </c>
    </row>
    <row r="42" spans="1:13" ht="24" customHeight="1">
      <c r="A42" t="s">
        <v>156</v>
      </c>
      <c r="B42">
        <v>1</v>
      </c>
      <c r="C42" t="s">
        <v>137</v>
      </c>
      <c r="D42" s="5">
        <v>44</v>
      </c>
      <c r="E42" s="2">
        <f>IF(AND(ISNUMBER(F42),ISNUMBER('Reference data'!$B$3)),F42*'Reference data'!$B$3,"Unknown")</f>
        <v>4.6450272e-05</v>
      </c>
      <c r="F42" s="2">
        <f>IF(D42=0,0,IF(ISNUMBER('Reference data'!E22),D42*'Reference data'!E22/1000000,"Unknown"))</f>
        <v>5.28e-05</v>
      </c>
      <c r="G42" s="5">
        <f>IF(ISNUMBER(E42),ROUND(E42*'Reference data'!$B$2,0),"Unknown")</f>
        <v>5.0</v>
      </c>
      <c r="H42" s="5">
        <f>IF(ISNUMBER(F42),ROUND(F42*'Reference data'!$B$2,0),"Unknown")</f>
        <v>5.0</v>
      </c>
    </row>
    <row r="43" spans="1:13" ht="34" customHeight="1">
      <c r="A43" t="s">
        <v>156</v>
      </c>
      <c r="B43">
        <v>1</v>
      </c>
      <c r="C43" t="s">
        <v>138</v>
      </c>
      <c r="I43" s="6" t="s">
        <v>160</v>
      </c>
    </row>
    <row r="44" spans="1:13" ht="24" customHeight="1">
      <c r="A44" t="s">
        <v>156</v>
      </c>
      <c r="B44">
        <v>1</v>
      </c>
      <c r="C44" t="s">
        <v>134</v>
      </c>
      <c r="D44" s="1">
        <v>44</v>
      </c>
    </row>
    <row r="45" spans="1:13" ht="24" customHeight="1">
      <c r="A45" t="s">
        <v>156</v>
      </c>
      <c r="B45">
        <v>1</v>
      </c>
      <c r="C45" t="s">
        <v>135</v>
      </c>
      <c r="D45" s="1">
        <v>44</v>
      </c>
      <c r="L45" s="1">
        <v>317</v>
      </c>
    </row>
    <row r="46" spans="1:13" s="4" customFormat="1" ht="24" customHeight="1">
      <c r="A46" s="4" t="s">
        <v>156</v>
      </c>
      <c r="B46" s="4">
        <v>1</v>
      </c>
      <c r="C46" s="4" t="s">
        <v>140</v>
      </c>
      <c r="E46" s="2">
        <f>IF(COUNT('Turns'!E36,'Turns'!E37,'Turns'!E42)=3,SUM('Turns'!E36,'Turns'!E37,'Turns'!E42),"Unknown")</f>
        <v>5.69543676e-05</v>
      </c>
      <c r="F46" s="2">
        <f>IF(COUNT('Turns'!F36,'Turns'!F37,'Turns'!F42)=3,SUM('Turns'!F36,'Turns'!F37,'Turns'!F42),"Unknown")</f>
        <v>6.474e-05</v>
      </c>
      <c r="G46" s="5">
        <f>IF(ISNUMBER(E46),ROUND(E46*'Reference data'!$B$2,0),"Unknown")</f>
        <v>6.0</v>
      </c>
      <c r="H46" s="5">
        <f>IF(ISNUMBER(F46),ROUND(F46*'Reference data'!$B$2,0),"Unknown")</f>
        <v>6.0</v>
      </c>
      <c r="K46" s="4" t="s">
        <v>141</v>
      </c>
    </row>
    <row r="47" spans="1:13" s="4" customFormat="1" ht="24" customHeight="1">
      <c r="A47" s="4" t="s">
        <v>161</v>
      </c>
      <c r="B47" s="4">
        <v>1</v>
      </c>
      <c r="C47" s="4" t="s">
        <v>125</v>
      </c>
      <c r="D47" s="4">
        <v>590</v>
      </c>
      <c r="J47" s="4" t="s">
        <v>126</v>
      </c>
      <c r="M47" s="4" t="s">
        <v>162</v>
      </c>
    </row>
    <row r="48" spans="1:13" ht="24" customHeight="1">
      <c r="A48" t="s">
        <v>161</v>
      </c>
      <c r="B48">
        <v>1</v>
      </c>
      <c r="C48" t="s">
        <v>158</v>
      </c>
      <c r="D48" s="5">
        <v>543</v>
      </c>
      <c r="E48" s="2">
        <f>IF(AND(ISNUMBER(F48),ISNUMBER('Reference data'!$B$3)),F48*'Reference data'!$B$3,"Unknown")</f>
        <v>9.5539764e-06</v>
      </c>
      <c r="F48" s="2">
        <f>IF(D48=0,0,IF(ISNUMBER('Reference data'!C22),D48*'Reference data'!C22/1000000,"Unknown"))</f>
        <v>1.086e-05</v>
      </c>
      <c r="G48" s="5">
        <f>IF(ISNUMBER(E48),ROUND(E48*'Reference data'!$B$2,0),"Unknown")</f>
        <v>1.0</v>
      </c>
      <c r="H48" s="5">
        <f>IF(ISNUMBER(F48),ROUND(F48*'Reference data'!$B$2,0),"Unknown")</f>
        <v>1.0</v>
      </c>
    </row>
    <row r="49" spans="1:12" ht="24" customHeight="1">
      <c r="A49" t="s">
        <v>161</v>
      </c>
      <c r="B49">
        <v>1</v>
      </c>
      <c r="C49" t="s">
        <v>128</v>
      </c>
      <c r="D49" s="5">
        <v>47</v>
      </c>
      <c r="E49" s="2">
        <f>IF(AND(ISNUMBER(F49),ISNUMBER('Reference data'!$B$3)),F49*'Reference data'!$B$3,"Unknown")</f>
        <v>8.269556e-06</v>
      </c>
      <c r="F49" s="2">
        <f>IF(D49=0,0,IF(ISNUMBER('Reference data'!B22),D49*'Reference data'!B22/1000000,"Unknown"))</f>
        <v>9.4e-06</v>
      </c>
      <c r="G49" s="5">
        <f>IF(ISNUMBER(E49),ROUND(E49*'Reference data'!$B$2,0),"Unknown")</f>
        <v>1.0</v>
      </c>
      <c r="H49" s="5">
        <f>IF(ISNUMBER(F49),ROUND(F49*'Reference data'!$B$2,0),"Unknown")</f>
        <v>1.0</v>
      </c>
    </row>
    <row r="50" spans="1:12" ht="34" customHeight="1">
      <c r="A50" t="s">
        <v>161</v>
      </c>
      <c r="B50">
        <v>1</v>
      </c>
      <c r="C50" t="s">
        <v>159</v>
      </c>
      <c r="D50" s="1">
        <v>47</v>
      </c>
      <c r="I50" s="6" t="s">
        <v>160</v>
      </c>
    </row>
    <row r="51" spans="1:12" ht="24" customHeight="1">
      <c r="A51" t="s">
        <v>161</v>
      </c>
      <c r="B51">
        <v>1</v>
      </c>
      <c r="C51" t="s">
        <v>134</v>
      </c>
      <c r="D51" s="1">
        <v>47</v>
      </c>
    </row>
    <row r="52" spans="1:12" ht="24" customHeight="1">
      <c r="A52" t="s">
        <v>161</v>
      </c>
      <c r="B52">
        <v>1</v>
      </c>
      <c r="C52" t="s">
        <v>135</v>
      </c>
      <c r="D52" s="1">
        <v>47</v>
      </c>
      <c r="L52" s="1">
        <v>590</v>
      </c>
    </row>
    <row r="53" spans="1:12" s="4" customFormat="1" ht="24" customHeight="1">
      <c r="A53" s="4" t="s">
        <v>161</v>
      </c>
      <c r="B53" s="4">
        <v>1</v>
      </c>
      <c r="C53" s="4" t="s">
        <v>136</v>
      </c>
      <c r="D53" s="4">
        <v>55</v>
      </c>
    </row>
    <row r="54" spans="1:12" ht="24" customHeight="1">
      <c r="A54" t="s">
        <v>161</v>
      </c>
      <c r="B54">
        <v>1</v>
      </c>
      <c r="C54" t="s">
        <v>137</v>
      </c>
      <c r="D54" s="5">
        <v>55</v>
      </c>
      <c r="E54" s="2">
        <f>IF(AND(ISNUMBER(F54),ISNUMBER('Reference data'!$B$3)),F54*'Reference data'!$B$3,"Unknown")</f>
        <v>5.806284e-05</v>
      </c>
      <c r="F54" s="2">
        <f>IF(D54=0,0,IF(ISNUMBER('Reference data'!E22),D54*'Reference data'!E22/1000000,"Unknown"))</f>
        <v>6.6e-05</v>
      </c>
      <c r="G54" s="5">
        <f>IF(ISNUMBER(E54),ROUND(E54*'Reference data'!$B$2,0),"Unknown")</f>
        <v>6.0</v>
      </c>
      <c r="H54" s="5">
        <f>IF(ISNUMBER(F54),ROUND(F54*'Reference data'!$B$2,0),"Unknown")</f>
        <v>7.0</v>
      </c>
    </row>
    <row r="55" spans="1:12" ht="34" customHeight="1">
      <c r="A55" t="s">
        <v>161</v>
      </c>
      <c r="B55">
        <v>1</v>
      </c>
      <c r="C55" t="s">
        <v>138</v>
      </c>
      <c r="I55" s="6" t="s">
        <v>163</v>
      </c>
    </row>
    <row r="56" spans="1:12" ht="24" customHeight="1">
      <c r="A56" t="s">
        <v>161</v>
      </c>
      <c r="B56">
        <v>1</v>
      </c>
      <c r="C56" t="s">
        <v>134</v>
      </c>
      <c r="D56" s="1">
        <v>55</v>
      </c>
    </row>
    <row r="57" spans="1:12" ht="24" customHeight="1">
      <c r="A57" t="s">
        <v>161</v>
      </c>
      <c r="B57">
        <v>1</v>
      </c>
      <c r="C57" t="s">
        <v>135</v>
      </c>
      <c r="D57" s="1">
        <v>55</v>
      </c>
      <c r="L57" s="1">
        <v>645</v>
      </c>
    </row>
    <row r="58" spans="1:12" s="4" customFormat="1" ht="24" customHeight="1">
      <c r="A58" s="4" t="s">
        <v>161</v>
      </c>
      <c r="B58" s="4">
        <v>1</v>
      </c>
      <c r="C58" s="4" t="s">
        <v>140</v>
      </c>
      <c r="E58" s="2">
        <f>IF(COUNT('Turns'!E48,'Turns'!E49,'Turns'!E54)=3,SUM('Turns'!E48,'Turns'!E49,'Turns'!E54),"Unknown")</f>
        <v>7.58863724e-05</v>
      </c>
      <c r="F58" s="2">
        <f>IF(COUNT('Turns'!F48,'Turns'!F49,'Turns'!F54)=3,SUM('Turns'!F48,'Turns'!F49,'Turns'!F54),"Unknown")</f>
        <v>8.626e-05</v>
      </c>
      <c r="G58" s="5">
        <f>IF(ISNUMBER(E58),ROUND(E58*'Reference data'!$B$2,0),"Unknown")</f>
        <v>8.0</v>
      </c>
      <c r="H58" s="5">
        <f>IF(ISNUMBER(F58),ROUND(F58*'Reference data'!$B$2,0),"Unknown")</f>
        <v>9.0</v>
      </c>
      <c r="K58" s="4" t="s">
        <v>141</v>
      </c>
    </row>
  </sheetData>
  <conditionalFormatting sqref="A2:AE58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164</v>
      </c>
      <c r="B2" s="1">
        <v>0</v>
      </c>
      <c r="C2" s="1" t="s">
        <v>165</v>
      </c>
      <c r="D2" s="1" t="s">
        <v>47</v>
      </c>
      <c r="E2" s="1" t="s">
        <v>141</v>
      </c>
      <c r="G2" s="6" t="s">
        <v>166</v>
      </c>
      <c r="H2" t="s">
        <v>49</v>
      </c>
      <c r="J2" s="2">
        <f>IF(COUNT('Turns'!D5,'Turns'!D21,'Turns'!D37,'Turns'!D49)=4,SUM('Turns'!D5,'Turns'!D21,'Turns'!D37,'Turns'!D49),"Unknown")</f>
        <v>731.0</v>
      </c>
      <c r="K2" s="2">
        <f>IF(COUNT('Turns'!E5,'Turns'!E21,'Turns'!E37,'Turns'!E49)=4,SUM('Turns'!E5,'Turns'!E21,'Turns'!E37,'Turns'!E49),"Unknown")</f>
        <v>0.000128617988</v>
      </c>
      <c r="L2" s="2">
        <f>IF(COUNT('Turns'!F5,'Turns'!F21,'Turns'!F37,'Turns'!F49)=4,SUM('Turns'!F5,'Turns'!F21,'Turns'!F37,'Turns'!F49),"Unknown")</f>
        <v>0.0001462</v>
      </c>
      <c r="M2" s="2">
        <f>IF(COUNT('Turns'!D36,'Turns'!D48)=2,SUM('Turns'!D36,'Turns'!D48),"Unknown")</f>
        <v>780.0</v>
      </c>
      <c r="N2" s="2">
        <f>IF(COUNT('Turns'!E36,'Turns'!E48)=2,SUM('Turns'!E36,'Turns'!E48),"Unknown")</f>
        <v>1.3723944e-05</v>
      </c>
      <c r="O2" s="2">
        <f>IF(COUNT('Turns'!F36,'Turns'!F48)=2,SUM('Turns'!F36,'Turns'!F48),"Unknown")</f>
        <v>1.56e-05</v>
      </c>
      <c r="P2" s="2">
        <v>0</v>
      </c>
      <c r="Q2" s="2">
        <v>0</v>
      </c>
      <c r="R2" s="2">
        <v>0</v>
      </c>
      <c r="S2" s="2">
        <f>IF(COUNT('Turns'!D12,'Turns'!D27,'Turns'!D42,'Turns'!D54)=4,SUM('Turns'!D12,'Turns'!D27,'Turns'!D42,'Turns'!D54),"Unknown")</f>
        <v>231.0</v>
      </c>
      <c r="T2" s="2">
        <f>IF(COUNT('Turns'!E12,'Turns'!E27,'Turns'!E42,'Turns'!E54)=4,SUM('Turns'!E12,'Turns'!E27,'Turns'!E42,'Turns'!E54),"Unknown")</f>
        <v>0.000243863928</v>
      </c>
      <c r="U2" s="2">
        <f>IF(COUNT('Turns'!F12,'Turns'!F27,'Turns'!F42,'Turns'!F54)=4,SUM('Turns'!F12,'Turns'!F27,'Turns'!F42,'Turns'!F54),"Unknown")</f>
        <v>0.0002772</v>
      </c>
      <c r="V2" s="2">
        <v>0</v>
      </c>
      <c r="W2" s="2">
        <v>0</v>
      </c>
      <c r="X2" s="2">
        <v>0</v>
      </c>
      <c r="Y2" s="2">
        <f>IF(COUNT('Turns'!E16,'Turns'!E31,'Turns'!E46,'Turns'!E58)=4,SUM('Turns'!E16,'Turns'!E31,'Turns'!E46,'Turns'!E58),"Unknown")</f>
        <v>0.00038620586</v>
      </c>
      <c r="Z2" s="2">
        <f>IF(COUNT('Turns'!F16,'Turns'!F31,'Turns'!F46,'Turns'!F58)=4,SUM('Turns'!F16,'Turns'!F31,'Turns'!F46,'Turns'!F58),"Unknown")</f>
        <v>0.000439</v>
      </c>
      <c r="AA2" s="5">
        <f>IF(ISNUMBER(Y2),ROUND(Y2*'Reference data'!$B$2,0),"Unknown")</f>
        <v>39.0</v>
      </c>
      <c r="AB2" s="5">
        <f>IF(ISNUMBER(Z2),ROUND(Z2*'Reference data'!$B$2,0),"Unknown")</f>
        <v>44.0</v>
      </c>
      <c r="AD2" s="1">
        <v>143.492</v>
      </c>
      <c r="AE2" s="1" t="s">
        <v>167</v>
      </c>
    </row>
    <row r="3" spans="1:31" ht="54" customHeight="1">
      <c r="A3" s="6" t="s">
        <v>168</v>
      </c>
      <c r="B3" s="1">
        <v>1</v>
      </c>
      <c r="C3" s="1" t="s">
        <v>165</v>
      </c>
      <c r="D3" s="1" t="s">
        <v>47</v>
      </c>
      <c r="E3" s="1" t="s">
        <v>141</v>
      </c>
      <c r="G3" s="6" t="s">
        <v>169</v>
      </c>
      <c r="H3" t="s">
        <v>170</v>
      </c>
      <c r="I3" t="s">
        <v>49</v>
      </c>
      <c r="J3" s="2">
        <f>IF(COUNT('Turns'!D5)=1,SUM('Turns'!D5),"Unknown")</f>
        <v>468.0</v>
      </c>
      <c r="K3" s="2">
        <f>IF(COUNT('Turns'!E5)=1,SUM('Turns'!E5),"Unknown")</f>
        <v>8.2343664e-05</v>
      </c>
      <c r="L3" s="2">
        <f>IF(COUNT('Turns'!F5)=1,SUM('Turns'!F5),"Unknown")</f>
        <v>9.36e-05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IF(COUNT('Turns'!D12)=1,SUM('Turns'!D12),"Unknown")</f>
        <v>75.0</v>
      </c>
      <c r="T3" s="2">
        <f>IF(COUNT('Turns'!E12)=1,SUM('Turns'!E12),"Unknown")</f>
        <v>7.91766e-05</v>
      </c>
      <c r="U3" s="2">
        <f>IF(COUNT('Turns'!F12)=1,SUM('Turns'!F12),"Unknown")</f>
        <v>9e-05</v>
      </c>
      <c r="V3" s="2">
        <v>0</v>
      </c>
      <c r="W3" s="2">
        <v>0</v>
      </c>
      <c r="X3" s="2">
        <v>0</v>
      </c>
      <c r="Y3" s="2">
        <f>IF(COUNT('Turns'!E16)=1,SUM('Turns'!E16),"Unknown")</f>
        <v>0.000161520264</v>
      </c>
      <c r="Z3" s="2">
        <f>IF(COUNT('Turns'!F16)=1,SUM('Turns'!F16),"Unknown")</f>
        <v>0.0001836</v>
      </c>
      <c r="AA3" s="5">
        <f>IF(ISNUMBER(Y3),ROUND(Y3*'Reference data'!$B$2,0),"Unknown")</f>
        <v>16.0</v>
      </c>
      <c r="AB3" s="5">
        <f>IF(ISNUMBER(Z3),ROUND(Z3*'Reference data'!$B$2,0),"Unknown")</f>
        <v>18.0</v>
      </c>
      <c r="AD3" s="1">
        <v>127.488</v>
      </c>
      <c r="AE3" s="1" t="s">
        <v>167</v>
      </c>
    </row>
    <row r="4" spans="1:31" ht="54" customHeight="1">
      <c r="A4" s="6" t="s">
        <v>171</v>
      </c>
      <c r="B4" s="1">
        <v>2</v>
      </c>
      <c r="C4" s="1" t="s">
        <v>172</v>
      </c>
      <c r="D4" s="1" t="s">
        <v>126</v>
      </c>
      <c r="E4" s="1" t="s">
        <v>141</v>
      </c>
      <c r="F4" s="1">
        <v>468</v>
      </c>
      <c r="G4" s="6" t="s">
        <v>173</v>
      </c>
      <c r="H4" t="s">
        <v>127</v>
      </c>
      <c r="I4" t="s">
        <v>170</v>
      </c>
      <c r="J4" s="2">
        <f>IF(COUNT('Turns'!D5)=1,SUM('Turns'!D5),"Unknown")</f>
        <v>468.0</v>
      </c>
      <c r="K4" s="2">
        <f>IF(COUNT('Turns'!E5)=1,SUM('Turns'!E5),"Unknown")</f>
        <v>8.2343664e-05</v>
      </c>
      <c r="L4" s="2">
        <f>IF(COUNT('Turns'!F5)=1,SUM('Turns'!F5),"Unknown")</f>
        <v>9.36e-05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>IF(COUNT('Turns'!D12)=1,SUM('Turns'!D12),"Unknown")</f>
        <v>75.0</v>
      </c>
      <c r="T4" s="2">
        <f>IF(COUNT('Turns'!E12)=1,SUM('Turns'!E12),"Unknown")</f>
        <v>7.91766e-05</v>
      </c>
      <c r="U4" s="2">
        <f>IF(COUNT('Turns'!F12)=1,SUM('Turns'!F12),"Unknown")</f>
        <v>9e-05</v>
      </c>
      <c r="V4" s="2">
        <v>0</v>
      </c>
      <c r="W4" s="2">
        <v>0</v>
      </c>
      <c r="X4" s="2">
        <v>0</v>
      </c>
      <c r="Y4" s="2">
        <f>IF(COUNT('Turns'!E16)=1,SUM('Turns'!E16),"Unknown")</f>
        <v>0.000161520264</v>
      </c>
      <c r="Z4" s="2">
        <f>IF(COUNT('Turns'!F16)=1,SUM('Turns'!F16),"Unknown")</f>
        <v>0.0001836</v>
      </c>
      <c r="AA4" s="5">
        <f>IF(ISNUMBER(Y4),ROUND(Y4*'Reference data'!$B$2,0),"Unknown")</f>
        <v>16.0</v>
      </c>
      <c r="AB4" s="5">
        <f>IF(ISNUMBER(Z4),ROUND(Z4*'Reference data'!$B$2,0),"Unknown")</f>
        <v>18.0</v>
      </c>
      <c r="AC4" s="1" t="s">
        <v>124</v>
      </c>
      <c r="AD4" s="1">
        <v>125.611</v>
      </c>
      <c r="AE4" s="1" t="s">
        <v>174</v>
      </c>
    </row>
    <row r="5" spans="1:31" ht="54" customHeight="1">
      <c r="A5" s="6" t="s">
        <v>175</v>
      </c>
      <c r="B5" s="1">
        <v>1</v>
      </c>
      <c r="C5" s="1" t="s">
        <v>165</v>
      </c>
      <c r="D5" s="1" t="s">
        <v>47</v>
      </c>
      <c r="E5" s="1" t="s">
        <v>141</v>
      </c>
      <c r="G5" s="6" t="s">
        <v>176</v>
      </c>
      <c r="H5" t="s">
        <v>177</v>
      </c>
      <c r="I5" t="s">
        <v>49</v>
      </c>
      <c r="J5" s="2">
        <f>IF(COUNT('Turns'!D21,'Turns'!D37)=2,SUM('Turns'!D21,'Turns'!D37),"Unknown")</f>
        <v>216.0</v>
      </c>
      <c r="K5" s="2">
        <f>IF(COUNT('Turns'!E21,'Turns'!E37)=2,SUM('Turns'!E21,'Turns'!E37),"Unknown")</f>
        <v>3.8004768e-05</v>
      </c>
      <c r="L5" s="2">
        <f>IF(COUNT('Turns'!F21,'Turns'!F37)=2,SUM('Turns'!F21,'Turns'!F37),"Unknown")</f>
        <v>4.32e-05</v>
      </c>
      <c r="M5" s="2">
        <f>IF(COUNT('Turns'!D36)=1,SUM('Turns'!D36),"Unknown")</f>
        <v>237.0</v>
      </c>
      <c r="N5" s="2">
        <f>IF(COUNT('Turns'!E36)=1,SUM('Turns'!E36),"Unknown")</f>
        <v>4.1699676e-06</v>
      </c>
      <c r="O5" s="2">
        <f>IF(COUNT('Turns'!F36)=1,SUM('Turns'!F36),"Unknown")</f>
        <v>4.74e-06</v>
      </c>
      <c r="P5" s="2">
        <v>0</v>
      </c>
      <c r="Q5" s="2">
        <v>0</v>
      </c>
      <c r="R5" s="2">
        <v>0</v>
      </c>
      <c r="S5" s="2">
        <f>IF(COUNT('Turns'!D27,'Turns'!D42)=2,SUM('Turns'!D27,'Turns'!D42),"Unknown")</f>
        <v>101.0</v>
      </c>
      <c r="T5" s="2">
        <f>IF(COUNT('Turns'!E27,'Turns'!E42)=2,SUM('Turns'!E27,'Turns'!E42),"Unknown")</f>
        <v>0.000106624488</v>
      </c>
      <c r="U5" s="2">
        <f>IF(COUNT('Turns'!F27,'Turns'!F42)=2,SUM('Turns'!F27,'Turns'!F42),"Unknown")</f>
        <v>0.0001212</v>
      </c>
      <c r="V5" s="2">
        <v>0</v>
      </c>
      <c r="W5" s="2">
        <v>0</v>
      </c>
      <c r="X5" s="2">
        <v>0</v>
      </c>
      <c r="Y5" s="2">
        <f>IF(COUNT('Turns'!E31,'Turns'!E46)=2,SUM('Turns'!E31,'Turns'!E46),"Unknown")</f>
        <v>0.0001487992236</v>
      </c>
      <c r="Z5" s="2">
        <f>IF(COUNT('Turns'!F31,'Turns'!F46)=2,SUM('Turns'!F31,'Turns'!F46),"Unknown")</f>
        <v>0.00016914</v>
      </c>
      <c r="AA5" s="5">
        <f>IF(ISNUMBER(Y5),ROUND(Y5*'Reference data'!$B$2,0),"Unknown")</f>
        <v>15.0</v>
      </c>
      <c r="AB5" s="5">
        <f>IF(ISNUMBER(Z5),ROUND(Z5*'Reference data'!$B$2,0),"Unknown")</f>
        <v>17.0</v>
      </c>
      <c r="AD5" s="1">
        <v>10.78</v>
      </c>
      <c r="AE5" s="1" t="s">
        <v>167</v>
      </c>
    </row>
    <row r="6" spans="1:31" ht="54" customHeight="1">
      <c r="A6" s="6" t="s">
        <v>178</v>
      </c>
      <c r="B6" s="1">
        <v>2</v>
      </c>
      <c r="C6" s="1" t="s">
        <v>179</v>
      </c>
      <c r="D6" s="1" t="s">
        <v>47</v>
      </c>
      <c r="E6" s="1" t="s">
        <v>141</v>
      </c>
      <c r="G6" s="6" t="s">
        <v>180</v>
      </c>
      <c r="H6" t="s">
        <v>143</v>
      </c>
      <c r="I6" t="s">
        <v>177</v>
      </c>
      <c r="J6" s="2">
        <f>IF(COUNT('Turns'!D21,'Turns'!D37)=2,SUM('Turns'!D21,'Turns'!D37),"Unknown")</f>
        <v>216.0</v>
      </c>
      <c r="K6" s="2">
        <f>IF(COUNT('Turns'!E21,'Turns'!E37)=2,SUM('Turns'!E21,'Turns'!E37),"Unknown")</f>
        <v>3.8004768e-05</v>
      </c>
      <c r="L6" s="2">
        <f>IF(COUNT('Turns'!F21,'Turns'!F37)=2,SUM('Turns'!F21,'Turns'!F37),"Unknown")</f>
        <v>4.32e-05</v>
      </c>
      <c r="M6" s="2">
        <f>IF(COUNT('Turns'!D36)=1,SUM('Turns'!D36),"Unknown")</f>
        <v>237.0</v>
      </c>
      <c r="N6" s="2">
        <f>IF(COUNT('Turns'!E36)=1,SUM('Turns'!E36),"Unknown")</f>
        <v>4.1699676e-06</v>
      </c>
      <c r="O6" s="2">
        <f>IF(COUNT('Turns'!F36)=1,SUM('Turns'!F36),"Unknown")</f>
        <v>4.74e-06</v>
      </c>
      <c r="P6" s="2">
        <v>0</v>
      </c>
      <c r="Q6" s="2">
        <v>0</v>
      </c>
      <c r="R6" s="2">
        <v>0</v>
      </c>
      <c r="S6" s="2">
        <f>IF(COUNT('Turns'!D27,'Turns'!D42)=2,SUM('Turns'!D27,'Turns'!D42),"Unknown")</f>
        <v>101.0</v>
      </c>
      <c r="T6" s="2">
        <f>IF(COUNT('Turns'!E27,'Turns'!E42)=2,SUM('Turns'!E27,'Turns'!E42),"Unknown")</f>
        <v>0.000106624488</v>
      </c>
      <c r="U6" s="2">
        <f>IF(COUNT('Turns'!F27,'Turns'!F42)=2,SUM('Turns'!F27,'Turns'!F42),"Unknown")</f>
        <v>0.0001212</v>
      </c>
      <c r="V6" s="2">
        <v>0</v>
      </c>
      <c r="W6" s="2">
        <v>0</v>
      </c>
      <c r="X6" s="2">
        <v>0</v>
      </c>
      <c r="Y6" s="2">
        <f>IF(COUNT('Turns'!E31,'Turns'!E46)=2,SUM('Turns'!E31,'Turns'!E46),"Unknown")</f>
        <v>0.0001487992236</v>
      </c>
      <c r="Z6" s="2">
        <f>IF(COUNT('Turns'!F31,'Turns'!F46)=2,SUM('Turns'!F31,'Turns'!F46),"Unknown")</f>
        <v>0.00016914</v>
      </c>
      <c r="AA6" s="5">
        <f>IF(ISNUMBER(Y6),ROUND(Y6*'Reference data'!$B$2,0),"Unknown")</f>
        <v>15.0</v>
      </c>
      <c r="AB6" s="5">
        <f>IF(ISNUMBER(Z6),ROUND(Z6*'Reference data'!$B$2,0),"Unknown")</f>
        <v>17.0</v>
      </c>
      <c r="AD6" s="1">
        <v>9.879</v>
      </c>
      <c r="AE6" s="1" t="s">
        <v>167</v>
      </c>
    </row>
    <row r="7" spans="1:31" ht="54" customHeight="1">
      <c r="A7" s="6" t="s">
        <v>181</v>
      </c>
      <c r="B7" s="1">
        <v>3</v>
      </c>
      <c r="C7" s="1" t="s">
        <v>165</v>
      </c>
      <c r="D7" s="1" t="s">
        <v>47</v>
      </c>
      <c r="E7" s="1" t="s">
        <v>141</v>
      </c>
      <c r="G7" s="6" t="s">
        <v>182</v>
      </c>
      <c r="H7" t="s">
        <v>183</v>
      </c>
      <c r="I7" t="s">
        <v>143</v>
      </c>
      <c r="J7" s="2">
        <f>IF(COUNT('Turns'!D21,'Turns'!D37)=2,SUM('Turns'!D21,'Turns'!D37),"Unknown")</f>
        <v>216.0</v>
      </c>
      <c r="K7" s="2">
        <f>IF(COUNT('Turns'!E21,'Turns'!E37)=2,SUM('Turns'!E21,'Turns'!E37),"Unknown")</f>
        <v>3.8004768e-05</v>
      </c>
      <c r="L7" s="2">
        <f>IF(COUNT('Turns'!F21,'Turns'!F37)=2,SUM('Turns'!F21,'Turns'!F37),"Unknown")</f>
        <v>4.32e-05</v>
      </c>
      <c r="M7" s="2">
        <f>IF(COUNT('Turns'!D36)=1,SUM('Turns'!D36),"Unknown")</f>
        <v>237.0</v>
      </c>
      <c r="N7" s="2">
        <f>IF(COUNT('Turns'!E36)=1,SUM('Turns'!E36),"Unknown")</f>
        <v>4.1699676e-06</v>
      </c>
      <c r="O7" s="2">
        <f>IF(COUNT('Turns'!F36)=1,SUM('Turns'!F36),"Unknown")</f>
        <v>4.74e-06</v>
      </c>
      <c r="P7" s="2">
        <v>0</v>
      </c>
      <c r="Q7" s="2">
        <v>0</v>
      </c>
      <c r="R7" s="2">
        <v>0</v>
      </c>
      <c r="S7" s="2">
        <f>IF(COUNT('Turns'!D27,'Turns'!D42)=2,SUM('Turns'!D27,'Turns'!D42),"Unknown")</f>
        <v>101.0</v>
      </c>
      <c r="T7" s="2">
        <f>IF(COUNT('Turns'!E27,'Turns'!E42)=2,SUM('Turns'!E27,'Turns'!E42),"Unknown")</f>
        <v>0.000106624488</v>
      </c>
      <c r="U7" s="2">
        <f>IF(COUNT('Turns'!F27,'Turns'!F42)=2,SUM('Turns'!F27,'Turns'!F42),"Unknown")</f>
        <v>0.0001212</v>
      </c>
      <c r="V7" s="2">
        <v>0</v>
      </c>
      <c r="W7" s="2">
        <v>0</v>
      </c>
      <c r="X7" s="2">
        <v>0</v>
      </c>
      <c r="Y7" s="2">
        <f>IF(COUNT('Turns'!E31,'Turns'!E46)=2,SUM('Turns'!E31,'Turns'!E46),"Unknown")</f>
        <v>0.0001487992236</v>
      </c>
      <c r="Z7" s="2">
        <f>IF(COUNT('Turns'!F31,'Turns'!F46)=2,SUM('Turns'!F31,'Turns'!F46),"Unknown")</f>
        <v>0.00016914</v>
      </c>
      <c r="AA7" s="5">
        <f>IF(ISNUMBER(Y7),ROUND(Y7*'Reference data'!$B$2,0),"Unknown")</f>
        <v>15.0</v>
      </c>
      <c r="AB7" s="5">
        <f>IF(ISNUMBER(Z7),ROUND(Z7*'Reference data'!$B$2,0),"Unknown")</f>
        <v>17.0</v>
      </c>
      <c r="AD7" s="1">
        <v>9.098000000000001</v>
      </c>
      <c r="AE7" s="1" t="s">
        <v>167</v>
      </c>
    </row>
    <row r="8" spans="1:31" ht="54" customHeight="1">
      <c r="A8" s="6" t="s">
        <v>184</v>
      </c>
      <c r="B8" s="1">
        <v>4</v>
      </c>
      <c r="C8" s="1" t="s">
        <v>165</v>
      </c>
      <c r="D8" s="1" t="s">
        <v>47</v>
      </c>
      <c r="E8" s="1" t="s">
        <v>141</v>
      </c>
      <c r="G8" s="6" t="s">
        <v>169</v>
      </c>
      <c r="H8" t="s">
        <v>185</v>
      </c>
      <c r="I8" t="s">
        <v>183</v>
      </c>
      <c r="J8" s="2">
        <f>IF(COUNT('Turns'!D21)=1,SUM('Turns'!D21),"Unknown")</f>
        <v>180.0</v>
      </c>
      <c r="K8" s="2">
        <f>IF(COUNT('Turns'!E21)=1,SUM('Turns'!E21),"Unknown")</f>
        <v>3.167064e-05</v>
      </c>
      <c r="L8" s="2">
        <f>IF(COUNT('Turns'!F21)=1,SUM('Turns'!F21),"Unknown")</f>
        <v>3.6e-05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>IF(COUNT('Turns'!D27)=1,SUM('Turns'!D27),"Unknown")</f>
        <v>57.0</v>
      </c>
      <c r="T8" s="2">
        <f>IF(COUNT('Turns'!E27)=1,SUM('Turns'!E27),"Unknown")</f>
        <v>6.0174216e-05</v>
      </c>
      <c r="U8" s="2">
        <f>IF(COUNT('Turns'!F27)=1,SUM('Turns'!F27),"Unknown")</f>
        <v>6.84e-05</v>
      </c>
      <c r="V8" s="2">
        <v>0</v>
      </c>
      <c r="W8" s="2">
        <v>0</v>
      </c>
      <c r="X8" s="2">
        <v>0</v>
      </c>
      <c r="Y8" s="2">
        <f>IF(COUNT('Turns'!E31)=1,SUM('Turns'!E31),"Unknown")</f>
        <v>9.1844856e-05</v>
      </c>
      <c r="Z8" s="2">
        <f>IF(COUNT('Turns'!F31)=1,SUM('Turns'!F31),"Unknown")</f>
        <v>0.0001044</v>
      </c>
      <c r="AA8" s="5">
        <f>IF(ISNUMBER(Y8),ROUND(Y8*'Reference data'!$B$2,0),"Unknown")</f>
        <v>9.0</v>
      </c>
      <c r="AB8" s="5">
        <f>IF(ISNUMBER(Z8),ROUND(Z8*'Reference data'!$B$2,0),"Unknown")</f>
        <v>10.0</v>
      </c>
      <c r="AD8" s="1">
        <v>3.53</v>
      </c>
      <c r="AE8" s="1" t="s">
        <v>167</v>
      </c>
    </row>
    <row r="9" spans="1:31" ht="54" customHeight="1">
      <c r="A9" s="6" t="s">
        <v>186</v>
      </c>
      <c r="B9" s="1">
        <v>5</v>
      </c>
      <c r="C9" s="1" t="s">
        <v>172</v>
      </c>
      <c r="D9" s="1" t="s">
        <v>126</v>
      </c>
      <c r="E9" s="1" t="s">
        <v>141</v>
      </c>
      <c r="F9" s="1">
        <v>180</v>
      </c>
      <c r="G9" s="6" t="s">
        <v>173</v>
      </c>
      <c r="H9" t="s">
        <v>149</v>
      </c>
      <c r="I9" t="s">
        <v>185</v>
      </c>
      <c r="J9" s="2">
        <f>IF(COUNT('Turns'!D21)=1,SUM('Turns'!D21),"Unknown")</f>
        <v>180.0</v>
      </c>
      <c r="K9" s="2">
        <f>IF(COUNT('Turns'!E21)=1,SUM('Turns'!E21),"Unknown")</f>
        <v>3.167064e-05</v>
      </c>
      <c r="L9" s="2">
        <f>IF(COUNT('Turns'!F21)=1,SUM('Turns'!F21),"Unknown")</f>
        <v>3.6e-05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>IF(COUNT('Turns'!D27)=1,SUM('Turns'!D27),"Unknown")</f>
        <v>57.0</v>
      </c>
      <c r="T9" s="2">
        <f>IF(COUNT('Turns'!E27)=1,SUM('Turns'!E27),"Unknown")</f>
        <v>6.0174216e-05</v>
      </c>
      <c r="U9" s="2">
        <f>IF(COUNT('Turns'!F27)=1,SUM('Turns'!F27),"Unknown")</f>
        <v>6.84e-05</v>
      </c>
      <c r="V9" s="2">
        <v>0</v>
      </c>
      <c r="W9" s="2">
        <v>0</v>
      </c>
      <c r="X9" s="2">
        <v>0</v>
      </c>
      <c r="Y9" s="2">
        <f>IF(COUNT('Turns'!E31)=1,SUM('Turns'!E31),"Unknown")</f>
        <v>9.1844856e-05</v>
      </c>
      <c r="Z9" s="2">
        <f>IF(COUNT('Turns'!F31)=1,SUM('Turns'!F31),"Unknown")</f>
        <v>0.0001044</v>
      </c>
      <c r="AA9" s="5">
        <f>IF(ISNUMBER(Y9),ROUND(Y9*'Reference data'!$B$2,0),"Unknown")</f>
        <v>9.0</v>
      </c>
      <c r="AB9" s="5">
        <f>IF(ISNUMBER(Z9),ROUND(Z9*'Reference data'!$B$2,0),"Unknown")</f>
        <v>10.0</v>
      </c>
      <c r="AC9" s="1" t="s">
        <v>148</v>
      </c>
      <c r="AD9" s="1">
        <v>1.935</v>
      </c>
      <c r="AE9" s="1" t="s">
        <v>174</v>
      </c>
    </row>
    <row r="10" spans="1:31" ht="54" customHeight="1">
      <c r="A10" s="6" t="s">
        <v>187</v>
      </c>
      <c r="B10" s="1">
        <v>4</v>
      </c>
      <c r="C10" s="1" t="s">
        <v>165</v>
      </c>
      <c r="D10" s="1" t="s">
        <v>47</v>
      </c>
      <c r="E10" s="1" t="s">
        <v>141</v>
      </c>
      <c r="G10" s="6" t="s">
        <v>176</v>
      </c>
      <c r="H10" t="s">
        <v>188</v>
      </c>
      <c r="I10" t="s">
        <v>183</v>
      </c>
      <c r="AD10" s="1">
        <v>1.283</v>
      </c>
      <c r="AE10" s="1" t="s">
        <v>189</v>
      </c>
    </row>
    <row r="11" spans="1:31" ht="54" customHeight="1">
      <c r="A11" s="6" t="s">
        <v>190</v>
      </c>
      <c r="B11" s="1">
        <v>5</v>
      </c>
      <c r="C11" s="1" t="s">
        <v>179</v>
      </c>
      <c r="D11" s="1" t="s">
        <v>47</v>
      </c>
      <c r="E11" s="1" t="s">
        <v>141</v>
      </c>
      <c r="G11" s="6" t="s">
        <v>191</v>
      </c>
      <c r="H11" t="s">
        <v>153</v>
      </c>
      <c r="I11" t="s">
        <v>188</v>
      </c>
      <c r="AD11" s="1">
        <v>0.397</v>
      </c>
      <c r="AE11" s="1" t="s">
        <v>189</v>
      </c>
    </row>
    <row r="12" spans="1:31" ht="54" customHeight="1">
      <c r="A12" s="6" t="s">
        <v>184</v>
      </c>
      <c r="B12" s="1">
        <v>4</v>
      </c>
      <c r="C12" s="1" t="s">
        <v>165</v>
      </c>
      <c r="D12" s="1" t="s">
        <v>47</v>
      </c>
      <c r="E12" s="1" t="s">
        <v>141</v>
      </c>
      <c r="G12" s="6" t="s">
        <v>169</v>
      </c>
      <c r="H12" t="s">
        <v>192</v>
      </c>
      <c r="I12" t="s">
        <v>183</v>
      </c>
      <c r="J12" s="2">
        <f>IF(COUNT('Turns'!D37)=1,SUM('Turns'!D37),"Unknown")</f>
        <v>36.0</v>
      </c>
      <c r="K12" s="2">
        <f>IF(COUNT('Turns'!E37)=1,SUM('Turns'!E37),"Unknown")</f>
        <v>6.334128e-06</v>
      </c>
      <c r="L12" s="2">
        <f>IF(COUNT('Turns'!F37)=1,SUM('Turns'!F37),"Unknown")</f>
        <v>7.2e-06</v>
      </c>
      <c r="M12" s="2">
        <f>IF(COUNT('Turns'!D36)=1,SUM('Turns'!D36),"Unknown")</f>
        <v>237.0</v>
      </c>
      <c r="N12" s="2">
        <f>IF(COUNT('Turns'!E36)=1,SUM('Turns'!E36),"Unknown")</f>
        <v>4.1699676e-06</v>
      </c>
      <c r="O12" s="2">
        <f>IF(COUNT('Turns'!F36)=1,SUM('Turns'!F36),"Unknown")</f>
        <v>4.74e-06</v>
      </c>
      <c r="P12" s="2">
        <v>0</v>
      </c>
      <c r="Q12" s="2">
        <v>0</v>
      </c>
      <c r="R12" s="2">
        <v>0</v>
      </c>
      <c r="S12" s="2">
        <f>IF(COUNT('Turns'!D42)=1,SUM('Turns'!D42),"Unknown")</f>
        <v>44.0</v>
      </c>
      <c r="T12" s="2">
        <f>IF(COUNT('Turns'!E42)=1,SUM('Turns'!E42),"Unknown")</f>
        <v>4.6450272e-05</v>
      </c>
      <c r="U12" s="2">
        <f>IF(COUNT('Turns'!F42)=1,SUM('Turns'!F42),"Unknown")</f>
        <v>5.28e-05</v>
      </c>
      <c r="V12" s="2">
        <v>0</v>
      </c>
      <c r="W12" s="2">
        <v>0</v>
      </c>
      <c r="X12" s="2">
        <v>0</v>
      </c>
      <c r="Y12" s="2">
        <f>IF(COUNT('Turns'!E46)=1,SUM('Turns'!E46),"Unknown")</f>
        <v>5.69543676e-05</v>
      </c>
      <c r="Z12" s="2">
        <f>IF(COUNT('Turns'!F46)=1,SUM('Turns'!F46),"Unknown")</f>
        <v>6.474e-05</v>
      </c>
      <c r="AA12" s="5">
        <f>IF(ISNUMBER(Y12),ROUND(Y12*'Reference data'!$B$2,0),"Unknown")</f>
        <v>6.0</v>
      </c>
      <c r="AB12" s="5">
        <f>IF(ISNUMBER(Z12),ROUND(Z12*'Reference data'!$B$2,0),"Unknown")</f>
        <v>6.0</v>
      </c>
      <c r="AD12" s="1">
        <v>2.028</v>
      </c>
      <c r="AE12" s="1" t="s">
        <v>167</v>
      </c>
    </row>
    <row r="13" spans="1:31" ht="54" customHeight="1">
      <c r="A13" s="6" t="s">
        <v>186</v>
      </c>
      <c r="B13" s="1">
        <v>5</v>
      </c>
      <c r="C13" s="1" t="s">
        <v>172</v>
      </c>
      <c r="D13" s="1" t="s">
        <v>126</v>
      </c>
      <c r="E13" s="1" t="s">
        <v>141</v>
      </c>
      <c r="F13" s="1">
        <v>273</v>
      </c>
      <c r="G13" s="6" t="s">
        <v>173</v>
      </c>
      <c r="H13" t="s">
        <v>157</v>
      </c>
      <c r="I13" t="s">
        <v>192</v>
      </c>
      <c r="J13" s="2">
        <f>IF(COUNT('Turns'!D37)=1,SUM('Turns'!D37),"Unknown")</f>
        <v>36.0</v>
      </c>
      <c r="K13" s="2">
        <f>IF(COUNT('Turns'!E37)=1,SUM('Turns'!E37),"Unknown")</f>
        <v>6.334128e-06</v>
      </c>
      <c r="L13" s="2">
        <f>IF(COUNT('Turns'!F37)=1,SUM('Turns'!F37),"Unknown")</f>
        <v>7.2e-06</v>
      </c>
      <c r="M13" s="2">
        <f>IF(COUNT('Turns'!D36)=1,SUM('Turns'!D36),"Unknown")</f>
        <v>237.0</v>
      </c>
      <c r="N13" s="2">
        <f>IF(COUNT('Turns'!E36)=1,SUM('Turns'!E36),"Unknown")</f>
        <v>4.1699676e-06</v>
      </c>
      <c r="O13" s="2">
        <f>IF(COUNT('Turns'!F36)=1,SUM('Turns'!F36),"Unknown")</f>
        <v>4.74e-06</v>
      </c>
      <c r="P13" s="2">
        <v>0</v>
      </c>
      <c r="Q13" s="2">
        <v>0</v>
      </c>
      <c r="R13" s="2">
        <v>0</v>
      </c>
      <c r="S13" s="2">
        <f>IF(COUNT('Turns'!D42)=1,SUM('Turns'!D42),"Unknown")</f>
        <v>44.0</v>
      </c>
      <c r="T13" s="2">
        <f>IF(COUNT('Turns'!E42)=1,SUM('Turns'!E42),"Unknown")</f>
        <v>4.6450272e-05</v>
      </c>
      <c r="U13" s="2">
        <f>IF(COUNT('Turns'!F42)=1,SUM('Turns'!F42),"Unknown")</f>
        <v>5.28e-05</v>
      </c>
      <c r="V13" s="2">
        <v>0</v>
      </c>
      <c r="W13" s="2">
        <v>0</v>
      </c>
      <c r="X13" s="2">
        <v>0</v>
      </c>
      <c r="Y13" s="2">
        <f>IF(COUNT('Turns'!E46)=1,SUM('Turns'!E46),"Unknown")</f>
        <v>5.69543676e-05</v>
      </c>
      <c r="Z13" s="2">
        <f>IF(COUNT('Turns'!F46)=1,SUM('Turns'!F46),"Unknown")</f>
        <v>6.474e-05</v>
      </c>
      <c r="AA13" s="5">
        <f>IF(ISNUMBER(Y13),ROUND(Y13*'Reference data'!$B$2,0),"Unknown")</f>
        <v>6.0</v>
      </c>
      <c r="AB13" s="5">
        <f>IF(ISNUMBER(Z13),ROUND(Z13*'Reference data'!$B$2,0),"Unknown")</f>
        <v>6.0</v>
      </c>
      <c r="AC13" s="1" t="s">
        <v>156</v>
      </c>
      <c r="AD13" s="1">
        <v>1.239</v>
      </c>
      <c r="AE13" s="1" t="s">
        <v>174</v>
      </c>
    </row>
    <row r="14" spans="1:31" ht="54" customHeight="1">
      <c r="A14" s="6" t="s">
        <v>168</v>
      </c>
      <c r="B14" s="1">
        <v>1</v>
      </c>
      <c r="C14" s="1" t="s">
        <v>165</v>
      </c>
      <c r="D14" s="1" t="s">
        <v>47</v>
      </c>
      <c r="E14" s="1" t="s">
        <v>141</v>
      </c>
      <c r="G14" s="6" t="s">
        <v>169</v>
      </c>
      <c r="H14" t="s">
        <v>193</v>
      </c>
      <c r="I14" t="s">
        <v>49</v>
      </c>
      <c r="J14" s="2">
        <f>IF(COUNT('Turns'!D49)=1,SUM('Turns'!D49),"Unknown")</f>
        <v>47.0</v>
      </c>
      <c r="K14" s="2">
        <f>IF(COUNT('Turns'!E49)=1,SUM('Turns'!E49),"Unknown")</f>
        <v>8.269556e-06</v>
      </c>
      <c r="L14" s="2">
        <f>IF(COUNT('Turns'!F49)=1,SUM('Turns'!F49),"Unknown")</f>
        <v>9.4e-06</v>
      </c>
      <c r="M14" s="2">
        <f>IF(COUNT('Turns'!D48)=1,SUM('Turns'!D48),"Unknown")</f>
        <v>543.0</v>
      </c>
      <c r="N14" s="2">
        <f>IF(COUNT('Turns'!E48)=1,SUM('Turns'!E48),"Unknown")</f>
        <v>9.5539764e-06</v>
      </c>
      <c r="O14" s="2">
        <f>IF(COUNT('Turns'!F48)=1,SUM('Turns'!F48),"Unknown")</f>
        <v>1.086e-05</v>
      </c>
      <c r="P14" s="2">
        <v>0</v>
      </c>
      <c r="Q14" s="2">
        <v>0</v>
      </c>
      <c r="R14" s="2">
        <v>0</v>
      </c>
      <c r="S14" s="2">
        <f>IF(COUNT('Turns'!D54)=1,SUM('Turns'!D54),"Unknown")</f>
        <v>55.0</v>
      </c>
      <c r="T14" s="2">
        <f>IF(COUNT('Turns'!E54)=1,SUM('Turns'!E54),"Unknown")</f>
        <v>5.806284e-05</v>
      </c>
      <c r="U14" s="2">
        <f>IF(COUNT('Turns'!F54)=1,SUM('Turns'!F54),"Unknown")</f>
        <v>6.6e-05</v>
      </c>
      <c r="V14" s="2">
        <v>0</v>
      </c>
      <c r="W14" s="2">
        <v>0</v>
      </c>
      <c r="X14" s="2">
        <v>0</v>
      </c>
      <c r="Y14" s="2">
        <f>IF(COUNT('Turns'!E58)=1,SUM('Turns'!E58),"Unknown")</f>
        <v>7.58863724e-05</v>
      </c>
      <c r="Z14" s="2">
        <f>IF(COUNT('Turns'!F58)=1,SUM('Turns'!F58),"Unknown")</f>
        <v>8.626e-05</v>
      </c>
      <c r="AA14" s="5">
        <f>IF(ISNUMBER(Y14),ROUND(Y14*'Reference data'!$B$2,0),"Unknown")</f>
        <v>8.0</v>
      </c>
      <c r="AB14" s="5">
        <f>IF(ISNUMBER(Z14),ROUND(Z14*'Reference data'!$B$2,0),"Unknown")</f>
        <v>9.0</v>
      </c>
      <c r="AD14" s="1">
        <v>2.186</v>
      </c>
      <c r="AE14" s="1" t="s">
        <v>167</v>
      </c>
    </row>
    <row r="15" spans="1:31" ht="54" customHeight="1">
      <c r="A15" s="6" t="s">
        <v>171</v>
      </c>
      <c r="B15" s="1">
        <v>2</v>
      </c>
      <c r="C15" s="1" t="s">
        <v>172</v>
      </c>
      <c r="D15" s="1" t="s">
        <v>126</v>
      </c>
      <c r="E15" s="1" t="s">
        <v>141</v>
      </c>
      <c r="F15" s="1">
        <v>590</v>
      </c>
      <c r="G15" s="6" t="s">
        <v>173</v>
      </c>
      <c r="H15" t="s">
        <v>162</v>
      </c>
      <c r="I15" t="s">
        <v>193</v>
      </c>
      <c r="J15" s="2">
        <f>IF(COUNT('Turns'!D49)=1,SUM('Turns'!D49),"Unknown")</f>
        <v>47.0</v>
      </c>
      <c r="K15" s="2">
        <f>IF(COUNT('Turns'!E49)=1,SUM('Turns'!E49),"Unknown")</f>
        <v>8.269556e-06</v>
      </c>
      <c r="L15" s="2">
        <f>IF(COUNT('Turns'!F49)=1,SUM('Turns'!F49),"Unknown")</f>
        <v>9.4e-06</v>
      </c>
      <c r="M15" s="2">
        <f>IF(COUNT('Turns'!D48)=1,SUM('Turns'!D48),"Unknown")</f>
        <v>543.0</v>
      </c>
      <c r="N15" s="2">
        <f>IF(COUNT('Turns'!E48)=1,SUM('Turns'!E48),"Unknown")</f>
        <v>9.5539764e-06</v>
      </c>
      <c r="O15" s="2">
        <f>IF(COUNT('Turns'!F48)=1,SUM('Turns'!F48),"Unknown")</f>
        <v>1.086e-05</v>
      </c>
      <c r="P15" s="2">
        <v>0</v>
      </c>
      <c r="Q15" s="2">
        <v>0</v>
      </c>
      <c r="R15" s="2">
        <v>0</v>
      </c>
      <c r="S15" s="2">
        <f>IF(COUNT('Turns'!D54)=1,SUM('Turns'!D54),"Unknown")</f>
        <v>55.0</v>
      </c>
      <c r="T15" s="2">
        <f>IF(COUNT('Turns'!E54)=1,SUM('Turns'!E54),"Unknown")</f>
        <v>5.806284e-05</v>
      </c>
      <c r="U15" s="2">
        <f>IF(COUNT('Turns'!F54)=1,SUM('Turns'!F54),"Unknown")</f>
        <v>6.6e-05</v>
      </c>
      <c r="V15" s="2">
        <v>0</v>
      </c>
      <c r="W15" s="2">
        <v>0</v>
      </c>
      <c r="X15" s="2">
        <v>0</v>
      </c>
      <c r="Y15" s="2">
        <f>IF(COUNT('Turns'!E58)=1,SUM('Turns'!E58),"Unknown")</f>
        <v>7.58863724e-05</v>
      </c>
      <c r="Z15" s="2">
        <f>IF(COUNT('Turns'!F58)=1,SUM('Turns'!F58),"Unknown")</f>
        <v>8.626e-05</v>
      </c>
      <c r="AA15" s="5">
        <f>IF(ISNUMBER(Y15),ROUND(Y15*'Reference data'!$B$2,0),"Unknown")</f>
        <v>8.0</v>
      </c>
      <c r="AB15" s="5">
        <f>IF(ISNUMBER(Z15),ROUND(Z15*'Reference data'!$B$2,0),"Unknown")</f>
        <v>9.0</v>
      </c>
      <c r="AC15" s="1" t="s">
        <v>161</v>
      </c>
      <c r="AD15" s="1">
        <v>1.28</v>
      </c>
      <c r="AE15" s="1" t="s">
        <v>174</v>
      </c>
    </row>
  </sheetData>
  <conditionalFormatting sqref="A2:AE15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4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  <row r="23" spans="1:9" ht="72" customHeight="1">
      <c r="A23" s="6" t="s">
        <v>91</v>
      </c>
      <c r="B23" s="2">
        <v>1</v>
      </c>
      <c r="C23" s="2">
        <v>0.10</v>
      </c>
      <c r="D23" s="2">
        <v>1.25</v>
      </c>
      <c r="E23" s="2">
        <v>5</v>
      </c>
      <c r="F23" s="2">
        <v>5</v>
      </c>
      <c r="G23" s="6" t="s">
        <v>78</v>
      </c>
      <c r="H23" s="6" t="s">
        <v>86</v>
      </c>
      <c r="I23" s="6" t="s">
        <v>80</v>
      </c>
    </row>
    <row r="24" spans="1:9" ht="72" customHeight="1">
      <c r="A24" s="6" t="s">
        <v>92</v>
      </c>
      <c r="B24" s="2">
        <v>1</v>
      </c>
      <c r="C24" s="2">
        <v>0.10</v>
      </c>
      <c r="D24" s="2">
        <v>1.25</v>
      </c>
      <c r="E24" s="2">
        <v>5</v>
      </c>
      <c r="F24" s="2">
        <v>5</v>
      </c>
      <c r="G24" s="6" t="s">
        <v>78</v>
      </c>
      <c r="H24" s="6" t="s">
        <v>86</v>
      </c>
      <c r="I24" s="6" t="s">
        <v>80</v>
      </c>
    </row>
    <row r="25" spans="1:9" ht="72" customHeight="1">
      <c r="A25" s="6" t="s">
        <v>93</v>
      </c>
      <c r="B25" s="2">
        <v>4</v>
      </c>
      <c r="C25" s="2">
        <v>0.20</v>
      </c>
      <c r="D25" s="2">
        <v>5</v>
      </c>
      <c r="E25" s="2">
        <v>20</v>
      </c>
      <c r="F25" s="2">
        <v>20</v>
      </c>
      <c r="G25" s="6" t="s">
        <v>78</v>
      </c>
      <c r="H25" s="6" t="s">
        <v>86</v>
      </c>
      <c r="I25" s="6" t="s">
        <v>80</v>
      </c>
    </row>
    <row r="26" spans="1:9" ht="72" customHeight="1">
      <c r="A26" s="6" t="s">
        <v>94</v>
      </c>
      <c r="B26" s="2">
        <v>3</v>
      </c>
      <c r="C26" s="2">
        <v>0.30</v>
      </c>
      <c r="D26" s="2">
        <v>3.75</v>
      </c>
      <c r="E26" s="2">
        <v>15</v>
      </c>
      <c r="F26" s="2">
        <v>15</v>
      </c>
      <c r="G26" s="6" t="s">
        <v>78</v>
      </c>
      <c r="H26" s="6" t="s">
        <v>86</v>
      </c>
      <c r="I26" s="6" t="s">
        <v>80</v>
      </c>
    </row>
    <row r="27" spans="1:9" ht="72" customHeight="1">
      <c r="A27" s="6" t="s">
        <v>95</v>
      </c>
      <c r="B27" s="2">
        <v>2</v>
      </c>
      <c r="C27" s="2">
        <v>0.20</v>
      </c>
      <c r="D27" s="2">
        <v>2.50</v>
      </c>
      <c r="E27" s="2">
        <v>10</v>
      </c>
      <c r="F27" s="2">
        <v>10</v>
      </c>
      <c r="G27" s="6" t="s">
        <v>78</v>
      </c>
      <c r="H27" s="6" t="s">
        <v>86</v>
      </c>
      <c r="I27" s="6" t="s">
        <v>80</v>
      </c>
    </row>
    <row r="28" spans="1:9" ht="72" customHeight="1">
      <c r="A28" s="6" t="s">
        <v>96</v>
      </c>
      <c r="B28" s="2">
        <v>1.00</v>
      </c>
      <c r="C28" s="2">
        <v>0.10</v>
      </c>
      <c r="D28" s="2">
        <v>1.25</v>
      </c>
      <c r="E28" s="2">
        <v>5.00</v>
      </c>
      <c r="F28" s="2">
        <v>5.00</v>
      </c>
      <c r="G28" s="6" t="s">
        <v>78</v>
      </c>
      <c r="H28" s="6" t="s">
        <v>97</v>
      </c>
      <c r="I28" s="6" t="s">
        <v>80</v>
      </c>
    </row>
    <row r="29" spans="1:9" ht="72" customHeight="1">
      <c r="A29" s="6" t="s">
        <v>98</v>
      </c>
      <c r="B29" s="2">
        <v>4.00</v>
      </c>
      <c r="C29" s="2">
        <v>0.20</v>
      </c>
      <c r="D29" s="2">
        <v>5.00</v>
      </c>
      <c r="E29" s="2">
        <v>20.00</v>
      </c>
      <c r="F29" s="2">
        <v>20.00</v>
      </c>
      <c r="G29" s="6" t="s">
        <v>78</v>
      </c>
      <c r="H29" s="6" t="s">
        <v>97</v>
      </c>
      <c r="I29" s="6" t="s">
        <v>80</v>
      </c>
    </row>
    <row r="30" spans="1:9" ht="72" customHeight="1">
      <c r="A30" s="6" t="s">
        <v>99</v>
      </c>
      <c r="B30" s="2">
        <v>3.00</v>
      </c>
      <c r="C30" s="2">
        <v>0.30</v>
      </c>
      <c r="D30" s="2">
        <v>3.75</v>
      </c>
      <c r="E30" s="2">
        <v>15.00</v>
      </c>
      <c r="F30" s="2">
        <v>15.00</v>
      </c>
      <c r="G30" s="6" t="s">
        <v>78</v>
      </c>
      <c r="H30" s="6" t="s">
        <v>97</v>
      </c>
      <c r="I30" s="6" t="s">
        <v>80</v>
      </c>
    </row>
    <row r="31" spans="1:9" ht="72" customHeight="1">
      <c r="A31" s="6" t="s">
        <v>100</v>
      </c>
      <c r="B31" s="2">
        <v>2.00</v>
      </c>
      <c r="C31" s="2">
        <v>0.20</v>
      </c>
      <c r="D31" s="2">
        <v>2.50</v>
      </c>
      <c r="E31" s="2">
        <v>10.00</v>
      </c>
      <c r="F31" s="2">
        <v>10.00</v>
      </c>
      <c r="G31" s="6" t="s">
        <v>78</v>
      </c>
      <c r="H31" s="6" t="s">
        <v>97</v>
      </c>
      <c r="I31" s="6" t="s">
        <v>80</v>
      </c>
    </row>
    <row r="32" spans="1:9" ht="72" customHeight="1">
      <c r="A32" s="6" t="s">
        <v>101</v>
      </c>
      <c r="B32" s="2">
        <v>0.75</v>
      </c>
      <c r="C32" s="2">
        <v>0.075</v>
      </c>
      <c r="D32" s="2" t="s">
        <v>77</v>
      </c>
      <c r="E32" s="2">
        <v>3.75</v>
      </c>
      <c r="F32" s="2">
        <v>3.75</v>
      </c>
      <c r="G32" s="6" t="s">
        <v>78</v>
      </c>
      <c r="H32" s="6" t="s">
        <v>97</v>
      </c>
      <c r="I32" s="6" t="s">
        <v>80</v>
      </c>
    </row>
    <row r="33" spans="1:9" ht="72" customHeight="1">
      <c r="A33" s="6" t="s">
        <v>102</v>
      </c>
      <c r="B33" s="2">
        <v>1.75</v>
      </c>
      <c r="C33" s="2">
        <v>0.175</v>
      </c>
      <c r="D33" s="2" t="s">
        <v>77</v>
      </c>
      <c r="E33" s="2">
        <v>14.00</v>
      </c>
      <c r="F33" s="2">
        <v>14.00</v>
      </c>
      <c r="G33" s="6" t="s">
        <v>78</v>
      </c>
      <c r="H33" s="6" t="s">
        <v>97</v>
      </c>
      <c r="I33" s="6" t="s">
        <v>80</v>
      </c>
    </row>
    <row r="34" spans="1:9" ht="72" customHeight="1">
      <c r="A34" s="6" t="s">
        <v>103</v>
      </c>
      <c r="B34" s="2">
        <v>2.50</v>
      </c>
      <c r="C34" s="2">
        <v>0.25</v>
      </c>
      <c r="D34" s="2" t="s">
        <v>77</v>
      </c>
      <c r="E34" s="2">
        <v>15.00</v>
      </c>
      <c r="F34" s="2">
        <v>15.00</v>
      </c>
      <c r="G34" s="6" t="s">
        <v>78</v>
      </c>
      <c r="H34" s="6" t="s">
        <v>97</v>
      </c>
      <c r="I34" s="6" t="s">
        <v>80</v>
      </c>
    </row>
    <row r="35" spans="1:9" ht="72" customHeight="1">
      <c r="A35" s="6" t="s">
        <v>104</v>
      </c>
      <c r="B35" s="2">
        <v>10.00</v>
      </c>
      <c r="C35" s="2">
        <v>1.00</v>
      </c>
      <c r="D35" s="2">
        <v>12.50</v>
      </c>
      <c r="E35" s="2">
        <v>50.00</v>
      </c>
      <c r="F35" s="2">
        <v>50.00</v>
      </c>
      <c r="G35" s="6" t="s">
        <v>78</v>
      </c>
      <c r="H35" s="6" t="s">
        <v>97</v>
      </c>
      <c r="I35" s="6" t="s">
        <v>80</v>
      </c>
    </row>
    <row r="36" spans="1:9" ht="72" customHeight="1">
      <c r="A36" s="6" t="s">
        <v>105</v>
      </c>
      <c r="B36" s="2">
        <v>0.10</v>
      </c>
      <c r="C36" s="2">
        <v>0.01</v>
      </c>
      <c r="D36" s="2">
        <v>0.125</v>
      </c>
      <c r="E36" s="2">
        <v>0.50</v>
      </c>
      <c r="F36" s="2">
        <v>0.50</v>
      </c>
      <c r="G36" s="6" t="s">
        <v>78</v>
      </c>
      <c r="H36" s="6" t="s">
        <v>97</v>
      </c>
      <c r="I36" s="6" t="s">
        <v>80</v>
      </c>
    </row>
    <row r="37" spans="1:9" ht="72" customHeight="1">
      <c r="A37" s="6" t="s">
        <v>106</v>
      </c>
      <c r="B37" s="2">
        <v>2.00</v>
      </c>
      <c r="C37" s="2">
        <v>0.20</v>
      </c>
      <c r="D37" s="2">
        <v>2.50</v>
      </c>
      <c r="E37" s="2">
        <v>10.00</v>
      </c>
      <c r="F37" s="2">
        <v>10.00</v>
      </c>
      <c r="G37" s="6" t="s">
        <v>78</v>
      </c>
      <c r="H37" s="6" t="s">
        <v>97</v>
      </c>
      <c r="I37" s="6" t="s">
        <v>80</v>
      </c>
    </row>
    <row r="38" spans="1:9" ht="72" customHeight="1">
      <c r="A38" s="6" t="s">
        <v>107</v>
      </c>
      <c r="B38" s="2">
        <v>2.00</v>
      </c>
      <c r="C38" s="2">
        <v>0.10</v>
      </c>
      <c r="D38" s="2">
        <v>2.50</v>
      </c>
      <c r="E38" s="2">
        <v>10.00</v>
      </c>
      <c r="F38" s="2">
        <v>10.00</v>
      </c>
      <c r="G38" s="6" t="s">
        <v>78</v>
      </c>
      <c r="H38" s="6" t="s">
        <v>97</v>
      </c>
      <c r="I38" s="6" t="s">
        <v>80</v>
      </c>
    </row>
    <row r="39" spans="1:9" ht="72" customHeight="1">
      <c r="A39" s="6" t="s">
        <v>108</v>
      </c>
      <c r="B39" s="2">
        <v>10</v>
      </c>
      <c r="C39" s="2">
        <v>1</v>
      </c>
      <c r="D39" s="2">
        <v>12.50</v>
      </c>
      <c r="E39" s="2">
        <v>50</v>
      </c>
      <c r="F39" s="2">
        <v>50</v>
      </c>
      <c r="G39" s="6" t="s">
        <v>78</v>
      </c>
      <c r="H39" s="6" t="s">
        <v>109</v>
      </c>
      <c r="I39" s="6" t="s">
        <v>80</v>
      </c>
    </row>
    <row r="40" spans="1:9" ht="72" customHeight="1">
      <c r="A40" s="6" t="s">
        <v>110</v>
      </c>
      <c r="B40" s="2">
        <v>0.1</v>
      </c>
      <c r="C40" s="2">
        <v>0.01</v>
      </c>
      <c r="D40" s="2">
        <v>0.125</v>
      </c>
      <c r="E40" s="2">
        <v>0.5</v>
      </c>
      <c r="F40" s="2">
        <v>0.5</v>
      </c>
      <c r="G40" s="6" t="s">
        <v>78</v>
      </c>
      <c r="H40" s="6" t="s">
        <v>111</v>
      </c>
      <c r="I40" s="6" t="s">
        <v>80</v>
      </c>
    </row>
    <row r="41" spans="1:9" ht="72" customHeight="1">
      <c r="A41" s="6" t="s">
        <v>112</v>
      </c>
      <c r="B41" s="2">
        <v>2</v>
      </c>
      <c r="C41" s="2">
        <v>0.2</v>
      </c>
      <c r="D41" s="2">
        <v>2.50</v>
      </c>
      <c r="E41" s="2">
        <v>10</v>
      </c>
      <c r="F41" s="2">
        <v>10</v>
      </c>
      <c r="G41" s="6" t="s">
        <v>78</v>
      </c>
      <c r="H41" s="6" t="s">
        <v>113</v>
      </c>
      <c r="I41" s="6" t="s">
        <v>80</v>
      </c>
    </row>
    <row r="42" spans="1:9" ht="72" customHeight="1">
      <c r="A42" s="6" t="s">
        <v>114</v>
      </c>
      <c r="B42" s="2">
        <v>2</v>
      </c>
      <c r="C42" s="2">
        <v>0.1</v>
      </c>
      <c r="D42" s="2">
        <v>2.50</v>
      </c>
      <c r="E42" s="2">
        <v>10</v>
      </c>
      <c r="F42" s="2">
        <v>10</v>
      </c>
      <c r="G42" s="6" t="s">
        <v>78</v>
      </c>
      <c r="H42" s="6" t="s">
        <v>115</v>
      </c>
      <c r="I42" s="6" t="s">
        <v>80</v>
      </c>
    </row>
    <row r="43" spans="1:9" ht="72" customHeight="1">
      <c r="A43" s="6" t="s">
        <v>116</v>
      </c>
      <c r="B43" s="2">
        <v>5.00</v>
      </c>
      <c r="C43" s="2">
        <v>0.50</v>
      </c>
      <c r="D43" s="2" t="s">
        <v>77</v>
      </c>
      <c r="E43" s="2">
        <v>22.50</v>
      </c>
      <c r="F43" s="2">
        <v>22.50</v>
      </c>
      <c r="G43" s="6" t="s">
        <v>78</v>
      </c>
      <c r="H43" s="6" t="s">
        <v>97</v>
      </c>
      <c r="I43" s="6" t="s">
        <v>117</v>
      </c>
    </row>
    <row r="44" spans="1:9" ht="72" customHeight="1">
      <c r="A44" s="6" t="s">
        <v>118</v>
      </c>
      <c r="B44" s="2">
        <v>20.00</v>
      </c>
      <c r="C44" s="2">
        <v>2.00</v>
      </c>
      <c r="D44" s="2">
        <v>25.00</v>
      </c>
      <c r="E44" s="2">
        <v>75.00</v>
      </c>
      <c r="F44" s="2">
        <v>75.00</v>
      </c>
      <c r="G44" s="6" t="s">
        <v>78</v>
      </c>
      <c r="H44" s="6" t="s">
        <v>97</v>
      </c>
      <c r="I44" s="6" t="s">
        <v>117</v>
      </c>
    </row>
    <row r="45" spans="1:9" ht="72" customHeight="1">
      <c r="A45" s="6" t="s">
        <v>119</v>
      </c>
      <c r="B45" s="2">
        <v>0.20</v>
      </c>
      <c r="C45" s="2">
        <v>0.02</v>
      </c>
      <c r="D45" s="2">
        <v>0.25</v>
      </c>
      <c r="E45" s="2">
        <v>0.75</v>
      </c>
      <c r="F45" s="2">
        <v>0.75</v>
      </c>
      <c r="G45" s="6" t="s">
        <v>78</v>
      </c>
      <c r="H45" s="6" t="s">
        <v>97</v>
      </c>
      <c r="I45" s="6" t="s">
        <v>117</v>
      </c>
    </row>
    <row r="46" spans="1:9" ht="72" customHeight="1">
      <c r="A46" s="6" t="s">
        <v>120</v>
      </c>
      <c r="B46" s="2">
        <v>4.00</v>
      </c>
      <c r="C46" s="2">
        <v>0.40</v>
      </c>
      <c r="D46" s="2">
        <v>5.00</v>
      </c>
      <c r="E46" s="2">
        <v>15.00</v>
      </c>
      <c r="F46" s="2">
        <v>15.00</v>
      </c>
      <c r="G46" s="6" t="s">
        <v>78</v>
      </c>
      <c r="H46" s="6" t="s">
        <v>97</v>
      </c>
      <c r="I46" s="6" t="s">
        <v>117</v>
      </c>
    </row>
    <row r="47" spans="1:9" ht="72" customHeight="1">
      <c r="A47" s="6" t="s">
        <v>121</v>
      </c>
      <c r="B47" s="2">
        <v>4.00</v>
      </c>
      <c r="C47" s="2">
        <v>0.20</v>
      </c>
      <c r="D47" s="2">
        <v>5.00</v>
      </c>
      <c r="E47" s="2">
        <v>15.00</v>
      </c>
      <c r="F47" s="2">
        <v>15.00</v>
      </c>
      <c r="G47" s="6" t="s">
        <v>78</v>
      </c>
      <c r="H47" s="6" t="s">
        <v>97</v>
      </c>
      <c r="I47" s="6" t="s">
        <v>117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2026-10-07T02:44:30Z</dcterms:created>
  <dcterms:modified xsi:type="dcterms:W3CDTF">2026-10-07T02:44:30Z</dcterms:modified>
</cp:coreProperties>
</file>
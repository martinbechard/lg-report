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<sst xmlns="http://schemas.openxmlformats.org/spreadsheetml/2006/main" count="393" uniqueCount="170">
  <si>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</si>
  <si>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</si>
  <si>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</si>
  <si>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</si>
  <si>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</si>
  <si>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</si>
  <si>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</si>
  <si>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</si>
  <si>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</si>
  <si>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</si>
  <si>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</si>
  <si>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</si>
  <si>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</si>
  <si>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</si>
  <si>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</si>
  <si>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</si>
  <si>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</si>
  <si>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</si>
  <si>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</si>
  <si>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</si>
  <si>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</si>
  <si>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</si>
  <si>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</si>
  <si>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</si>
  <si>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</si>
  <si>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</si>
  <si>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</si>
  <si>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</si>
  <si>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</si>
  <si>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</si>
  <si>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</si>
  <si>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</si>
  <si>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</si>
  <si>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</si>
  <si>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</si>
  <si>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</si>
  <si>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</si>
  <si>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</si>
  <si>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</si>
  <si>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</si>
  <si>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</si>
  <si>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</si>
  <si>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</si>
  <si>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</si>
  <si>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</si>
  <si>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</si>
  <si>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</si>
  <si>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</si>
  <si>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</si>
  <si>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01a0d587-81ab-7592-8676-94fee801eb4b</t>
  </si>
  <si>
    <t>Recording</t>
  </si>
  <si>
    <t>Provider trace</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</si>
  <si>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</si>
  <si>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</si>
  <si>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</si>
  <si>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</si>
  <si>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</si>
  <si>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</si>
  <si>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</si>
  <si>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</si>
  <si>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</si>
  <si>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</si>
  <si>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</si>
  <si>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</si>
  <si>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</si>
  <si>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</si>
  <si>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</si>
  <si>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</si>
  <si>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</si>
  <si>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</si>
  <si>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</si>
  <si>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</si>
  <si>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</si>
  <si>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</si>
  <si>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</si>
  <si>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</si>
  <si>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</si>
  <si>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</si>
  <si>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</si>
  <si>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</si>
  <si>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</si>
  <si>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</si>
  <si>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</si>
  <si>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</si>
  <si>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</si>
  <si>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</si>
  <si>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</si>
  <si>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</si>
  <si>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</si>
  <si>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</si>
  <si>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</si>
  <si>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</si>
  <si>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</si>
  <si>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</si>
  <si>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</si>
  <si>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</si>
  <si>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01a0d587-81b4-78a1-9a6c-fac8360c169a</t>
  </si>
  <si>
    <t>Conversation history · cache read</t>
  </si>
  <si>
    <t>Input at standard rate</t>
  </si>
  <si>
    <t xml:space="preserve">    Tool definitions</t>
  </si>
  <si>
    <t xml:space="preserve">    System prompt</t>
  </si>
  <si>
    <t>Delegate echoing the supplied text to isolated-subagent using task. Provide a self-contained assignment. After its summary returns, answer the user concisely. The specialist uses an echo tool, which supplies no independent factual evidence.</t>
  </si>
  <si>
    <t xml:space="preserve">    User prompt</t>
  </si>
  <si>
    <t>Have the specialist echo ReAct and explain how its tool result returns to the parent.</t>
  </si>
  <si>
    <t>Cache write</t>
  </si>
  <si>
    <t>Context · added / total</t>
  </si>
  <si>
    <t>LLM response</t>
  </si>
  <si>
    <t>Reasoning</t>
  </si>
  <si>
    <t>Output</t>
  </si>
  <si>
    <t xml:space="preserve">    Output content</t>
  </si>
  <si>
    <t>[{"id": "rs_001a0a066573c3c3006ab5a3b78c1487d281c258c33e38a742", "summary": [], "type": "reasoning", "content": [], "index": 0, "encrypted_content": "gAAAAABqtaO39HK-Pu-9yad_xiB-k5wb98vVuue-6mevm2ji_VkMpy2ubvVDy48vvDcvsjC4gTcgktoEs4l4t8K0vl6Ahw58c8D48ekFfT3_z4Uc3JubJtUg8h1vSNfdM4MCDs8ApthEHOFwHDx7127vSE3DpNcb3x44i0WyETC85N8xhLdr5XBf5DqinUOxaZcO7rekKb3wqOGRcLvPvxlmED40mnZ-_MlXdoClZrbQxSnLHcU39IfPormBWfPZuCdoaMCSd4gVSe1dx5PoZ-vAyej3opfC4KWesc3U6hkYkhJiXhgJB04TItWPVIVbxoDKX9ByGsZMVHbNPQe0jrUY5xpKzUzPkcmX-XDI7COl-xMBzx3RpO9vWWNbxSkjhUv2sHnFz69pO7b1VDcIh9EsLoa08A5SSOgQOU_D4FurQv7Cu0ZI4o9N2jnBQdhqCCYGsFqJBNIgGddpO8bFrjXLHf8PzC6TSBFLgbK8qC0M2pTPgjlnGS4GWwjdQemU3Le9uu6SE9NBZUZJxtP5quYACAJ6oCThwEB_be9ajhT8V5Uy5kzrM_e0pdQBlJSWiQrlQagGvcqt5JqXxfGewZiuybjiipZY1voPxa2pV2CP2trvDnhf9DR55XpZbN93uBrFf-0W-jVfyfRdRDrsNHwDmZ8VjQnaOlW4s46fEfKB_J5itkK0YZwlpeBkC-4r_HHW3aXTtlPEGHDsgJyr-Te2y4J0LoFnWdQUOFKCsQeSBDw9tmJrcOcRna_9cxqUe6lJ7Se5hI9u2mKO5xeAF2TtS69yQSPC7j7gIFTqrvi-OEGh5SshPH_kgiXdPPH_RBiBN7lQTaPzK9VHjaHf5pg6tFRnp8HC3T3w7Z_eTAtVaXQ50v8nq82-0EW4_rUamC2mrusssLYZgWLD4Mqw9yI7Z0ATHMmVd9pvavHVhMElXg9RQTTcQMmR6I3R5zfav7hNGKFguXpZP0Q_nb6FJ-TOfiZUC6VmCgEdJgyhpppAgzv0JMWl-nTzdXvDcuVqzxb6pXvOVjQs6iyEDX01_rzddBF7EqJ7V0O4LdSNVHClDzRzuUv7j7lPZz4xgci7wQsSmsY33nLgK66kA0IvyIZxf3ykc9SSrITqTVfnZGI5V5GPXZyAVt7vmXfh4rBh8YnuG9Lt--lRq33Rj-icUGCj27pMcvC65rV9-Wn12g1RNoHqgrXdmCiygkQr_l42O0Nz1Iw-oWKACw_Xvb1we5ulzrOO2vxYVqk93YGhj3AOjn7yN3dXXhGLqabelT3hzcAY7frdmuYANR27HhrIZS-O5yB-gbCxeFoENfoOMKEVYKRylK63DgU="}, {"type": "function_call", "name": "task", "arguments": "{\"description\":\"Use your echo tool to echo exactly the text: \\\"ReAct\\\". Then briefly explain, in general terms, how the result produced by your tool is returned to the parent agent. Return both the exact echoed text and the explanation in your final summary. Do not add independent factual claims beyond describing the tool-result handoff.\" ,\"subagent_type\":\"isolated-subagent\"}", "call_id": "call_9WpjMeoociWZb1WXPQZHvDLd", "id": "fc_001a0a066573c3c3006ab5a3b7cfd087d2bff4768967db8122", "index": 1}]
{"name": "task", "args": {"description": "Use your echo tool to echo exactly the text: \"ReAct\". Then briefly explain, in general terms, how the result produced by your tool is returned to the parent agent. Return both the exact echoed text and the explanation in your final summary. Do not add independent factual claims beyond describing the tool-result handoff.", "subagent_type": "isolated-subagent"}, "id": "call_9WpjMeoociWZb1WXPQZHvDLd", "type": "tool_call"}</t>
  </si>
  <si>
    <t>Call total</t>
  </si>
  <si>
    <t>ok</t>
  </si>
  <si>
    <t>Tool · task</t>
  </si>
  <si>
    <t>01a0d587-8a21-73a1-bfef-b804d74a9901</t>
  </si>
  <si>
    <t xml:space="preserve">    Arguments</t>
  </si>
  <si>
    <t>{'description': 'Use your echo tool to echo exactly the text: "ReAct". Then briefly explain, in general terms, how the result produced by your tool is returned to the parent agent. Return both the exact echoed text and the explanation in your final summary. Do not add independent factual claims beyond describing the tool-result handoff.', 'subagent_type': 'isolated-subagent'}</t>
  </si>
  <si>
    <t xml:space="preserve">    Result</t>
  </si>
  <si>
    <t>Command(update={'files': {}, 'messages': [ToolMessage(content='ReAct\n\nThe tool result is returned to the parent agent as the tool’s response, containing the echoed input.', tool_call_id='call_9WpjMeoociWZb1WXPQZHvDLd')]})</t>
  </si>
  <si>
    <t>R2</t>
  </si>
  <si>
    <t>01a0d587-8a2a-72d3-b994-1017bc62cc76</t>
  </si>
  <si>
    <t>You are a workflow teaching specialist. Call echo_tool with the assigned text, then summarize the returned echo for the parent. The echo repeats supplied input and provides no independent factual evidence. Do not delegate further.</t>
  </si>
  <si>
    <t>[{"type": "function_call", "name": "echo_tool", "arguments": "{\"text\":\"ReAct\"}", "call_id": "call_nEdS34lKTFNB3m1cUsUrwKyh", "id": "fc_0e7bbe1ed7254a68006ab5a3b9b6a487d2a58f8dd680c40a44", "index": 0}]
{"name": "echo_tool", "args": {"text": "ReAct"}, "id": "call_nEdS34lKTFNB3m1cUsUrwKyh", "type": "tool_call"}</t>
  </si>
  <si>
    <t>Tool · echo_tool</t>
  </si>
  <si>
    <t>01a0d587-8e6c-7191-8cd5-31fa5e45c08f</t>
  </si>
  <si>
    <t>{'text': 'ReAct'}</t>
  </si>
  <si>
    <t>Your input was: ReAct</t>
  </si>
  <si>
    <t>R3</t>
  </si>
  <si>
    <t>01a0d587-8e71-7991-a0ed-07bc3b8180ad</t>
  </si>
  <si>
    <t xml:space="preserve">    Tool result</t>
  </si>
  <si>
    <t>[{"id": "rs_0e7bbe1ed7254a68006ab5a3bac3d087d2bf3d21de94d4f75f", "summary": [], "type": "reasoning", "content": [], "index": 0, "encrypted_content": "gAAAAABqtaO7l89d03i2QN1NUrR8bQHpzRAE3D3o1KWmKjI60pK5TlcJVjXGyCHmPY9Q-b2x2b_z36PfQ1hDdED64u4fl7Ll0EfeWOmnIQAbzLIILUuNygSp-SZsL5B8VY5Sxtd3utaCeEBULTScKSlse1iy6iT6fO12T78hrI8gOPZRKzWNDmigcC7sWEkAVUt4xWFsitKnWc1fCf5zkKo_YpS5wxOUdZyUktXShiqK1k-BpMP2-ekIHEdXbOIRpv1YhKMCMAOLpVyqx_2u0_XSuH-ckaxdOF2PR26RjT7whIltN61kstKt-2g0rzMHEtHYVnC6ifDqqVyk9HPq3oAVazEUI_Hx6grLhu5jLUGiC05rhaYXyfafYv75AayAJHRGpadypWW0wgYEuuFN3KdcG8iNIzqYcZ5ssny6BEmGlgQEZIE88ILdoIKfb9ocSpQGrq5Q6BKfOWeMSczgCFRAxGAwUQlK_kPlg64hAwd9h6hExBOSO4bjqUL2-KC0B7OfVD9QBSmH-5lC6t69-eNj8i29I08C0QlGHRSFsK9_XXgQGLm2U6K_dU7NamiKbTGrH1H3GTQ9FGQjJlDD8dvc_Ur6UYDpKbXaUKhQL_7wjEiHSfq78NUyaOT9KkI1MbylNWnxZWNDlhY6rjMydWqGWKckBgYuNwkS5HlzfOFDABM1IYOx9iT8fRMKvKG_MvpBHm71KyUMBS8RuXUHg_Vy0oHuWkxbp4NTOie8WwR5zsT72kpHoHuRsDH_c9rQPMkr6qNP5evItpK86tAwc0O42tycI0tu4kA09ylQc8oxKhZQFPLkhZNwa2QK4ZoVrH_3wFx5T5c6vzZkuqi71NW3TCrvMFF-Jf23dX1nfdRmvITsI5ZBUOLmfJgsJpVzpDFDsg7d2VjiVGM9bz_6uTDMJ5IooR91xKc1mm7TpAVH_CP0TGyiwZaksWcNsQ1xROwL4zUxqv3PH3NGwdb56qr9nRuwDDeSweFv7RdplJ_AD6i5nG0iNmS3iBQcJJacNYn5198i-gqI1Z1kOAwGo4Sn3i9feWXJL46ZE5lUFloNXNO9pGg42uebTb6yJigPliUO2HyZ1hWz94CQVYSVXcoKJCYd4TvsZjk6zzUt77m2FwSJI2e_E4IV2SB3pZ8-EacyZYdJvJrof-VQSYOHVftF77hqFkMDdrHEBtFhulEbVGwMGaobe_Gg0Oi-Z4FPxf4KFNOxpEoMDE9CtgX8E_K-koWkzGyXevMKb-eXcbXXQexFwdCvaMMIPqOxvcSLcMBNxvyU7IVntdRJWiAV37v_NUBeu9qFU0GIeMoJwvBtH0MeD2FQk_iwruUdYyCUT455f3uWFlLn_MwAUcAYoCcm0Z0u6ZZy52p0tZrXBrim1ZoXWMjBgOpC_5pI2tjdwVKSDN3dCMiRSDuof4rgB7kiQn4ac02VB7YjIEey6qaoluZjhTcK3b9eu__XB-UFzbu-5c75sRFchfOiPzSHlsQFT5JusC92N2iLG1jYCQCpXc7sY474DwEr8ccrZFWfbaJGHD0pvPogbrl5EyxP0n-ciuXA9vOR-2CFtBsbPzFsPun8Xs_vh5OmkoqEk9QFbObzoItYUuRnH4JCZHwIO7NQBpbkSAcfm8OqNHhDuydCztBVEEov0m3LPzz_7d9Jp8Jg8E1TMaCKmCrnbcZzBXt9aN-U78-A4g=="}, {"type": "text", "text": "ReAct\n\nThe tool result is returned to the parent agent as the tool\u2019s response, containing the echoed input.", "phase": "final_answer", "index": 1, "id": "msg_0e7bbe1ed7254a68006ab5a3bb7c4c87d2bca81bc05bd27494"}]</t>
  </si>
  <si>
    <t>R4</t>
  </si>
  <si>
    <t>01a0d587-9603-7490-a940-dd3ee0b70502</t>
  </si>
  <si>
    <t>ReAct
The tool result is returned to the parent agent as the tool’s response, containing the echoed input.</t>
  </si>
  <si>
    <t>[{"type": "text", "text": "The specialist echoed **\u201cReAct.\u201d**\n\nIts tool result is returned to the parent agent as the tool response, which contains the echoed input and any accompanying summary.", "phase": "final_answer", "index": 0, "id": "msg_001a0a066573c3c3006ab5a3bc95c087d2aa32d3a860b72627"}]</t>
  </si>
  <si>
    <t>delegating_parent</t>
  </si>
  <si>
    <t>workflow</t>
  </si>
  <si>
    <t>Execute the delegating_parent workflow operation and pass its result to the next graph step.</t>
  </si>
  <si>
    <t>Subtree total</t>
  </si>
  <si>
    <t xml:space="preserve">    PatchToolCallsMiddleware.before_agent</t>
  </si>
  <si>
    <t>Check message history and repair missing tool responses before the agent starts.</t>
  </si>
  <si>
    <t>01a0d587-81ae-7250-a987-024548c5518d</t>
  </si>
  <si>
    <t>No model charge</t>
  </si>
  <si>
    <t xml:space="preserve">    model</t>
  </si>
  <si>
    <t>Prepare the current conversation, run model middleware, and invoke the chat model.</t>
  </si>
  <si>
    <t>01a0d587-81af-7132-a9d3-dcd784e7db1a</t>
  </si>
  <si>
    <t xml:space="preserve">        ChatOpenAI</t>
  </si>
  <si>
    <t>model</t>
  </si>
  <si>
    <t>Generate the next assistant message or tool request from the current conversation.</t>
  </si>
  <si>
    <t>Own call</t>
  </si>
  <si>
    <t xml:space="preserve">    tools</t>
  </si>
  <si>
    <t>Execute tool calls requested by the preceding model response and return their observations.</t>
  </si>
  <si>
    <t>01a0d587-8a20-78a3-9486-aa581d19db17</t>
  </si>
  <si>
    <t xml:space="preserve">        task</t>
  </si>
  <si>
    <t>tool</t>
  </si>
  <si>
    <t>Launch an ephemeral subagent to handle a complex, multi-step task.
Available agent types and the tools they have access to:
- general-purpose: General-purpose agent for researching complex questions, searching for files and content, and executing multi-step tasks. When you are searching for a keyword or file and are not confident that you will find the right match in the first few tries use this agent to perform the search for you. This agent has access to all tools as the main agent.
- isolated-subagent: Echoes assigned text with a local tool and summarizes its result.
Specify subagent_type to select the agent. Usage notes:
- Launch multiple agents concurrently when their tasks are independent, using a single message with multiple tool calls.
- Each invocation is stateless by default: the agent sees only the prompt you give it and returns a single final report. Put full detail in the prompt and state exactly what it should return — unless an agent type below says it inherits your conversation instead.
- The agent's report is not shown to the user; relay a summary yourself.
- Tell the agent whether to create content, analyze, or only research, since it can't necessarily see the user's intent unless it inherits your conversation, as noted per agent type below.
- If an agent's description says to use it proactively, do so without waiting to be asked.
- When only general-purpose is available, use it for any complex, context-heavy task; it has the same capabilities as the main agent.</t>
  </si>
  <si>
    <t xml:space="preserve">            isolated-subagent</t>
  </si>
  <si>
    <t>Execute the isolated-subagent workflow operation and pass its result to the next graph step.</t>
  </si>
  <si>
    <t>01a0d587-8a21-73a1-bfef-b811577aec87</t>
  </si>
  <si>
    <t xml:space="preserve">                PatchToolCallsMiddleware.before_agent</t>
  </si>
  <si>
    <t>01a0d587-8a22-7b71-ba48-b65b9f5b7dff</t>
  </si>
  <si>
    <t xml:space="preserve">                model</t>
  </si>
  <si>
    <t>01a0d587-8a24-7f60-b5ab-cd48fc04e488</t>
  </si>
  <si>
    <t xml:space="preserve">                    ChatOpenAI</t>
  </si>
  <si>
    <t xml:space="preserve">                tools</t>
  </si>
  <si>
    <t>01a0d587-8e6b-7183-9c1b-2b3dec508828</t>
  </si>
  <si>
    <t xml:space="preserve">                    echo_tool</t>
  </si>
  <si>
    <t>Return the provided text prefixed with "Your input was: ".</t>
  </si>
  <si>
    <t>01a0d587-8e6e-72e1-8c9e-e86a0aa23fb6</t>
  </si>
  <si>
    <t>01a0d587-95ff-7241-92d0-bdc92bff4c45</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</si>
</sst>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62"/>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IF(COUNT('Turns'!E18,'Turns'!E34,'Turns'!E50,'Turns'!E62)=4,SUM('Turns'!E18,'Turns'!E34,'Turns'!E50,'Turns'!E62),"Unknown")</f>
        <v>0.0004824758082</v>
      </c>
      <c r="F2" s="2">
        <f>IF(COUNT('Turns'!F18,'Turns'!F34,'Turns'!F50,'Turns'!F62)=4,SUM('Turns'!F18,'Turns'!F34,'Turns'!F50,'Turns'!F62),"Unknown")</f>
        <v>0.00054843</v>
      </c>
      <c r="G2" s="5">
        <f>IF(ISNUMBER(E2),ROUND(E2*'Reference data'!$B$2,0),"Unknown")</f>
        <v>48.0</v>
      </c>
      <c r="H2" s="5">
        <f>IF(ISNUMBER(F2),ROUND(F2*'Reference data'!$B$2,0),"Unknown")</f>
        <v>55.0</v>
      </c>
    </row>
    <row r="3" spans="1:13" s="4" customFormat="1" ht="24" customHeight="1">
      <c r="B3" s="4">
        <v>1</v>
      </c>
      <c r="C3" s="4" t="s">
        <v>92</v>
      </c>
      <c r="E3" s="2">
        <f>IF(COUNT('Turns'!E18,'Turns'!E34,'Turns'!E50,'Turns'!E62)=4,SUM('Turns'!E18,'Turns'!E34,'Turns'!E50,'Turns'!E62),"Unknown")</f>
        <v>0.0004824758082</v>
      </c>
      <c r="F3" s="2">
        <f>IF(COUNT('Turns'!F18,'Turns'!F34,'Turns'!F50,'Turns'!F62)=4,SUM('Turns'!F18,'Turns'!F34,'Turns'!F50,'Turns'!F62),"Unknown")</f>
        <v>0.00054843</v>
      </c>
      <c r="G3" s="5">
        <f>IF(ISNUMBER(E3),ROUND(E3*'Reference data'!$B$2,0),"Unknown")</f>
        <v>48.0</v>
      </c>
      <c r="H3" s="5">
        <f>IF(ISNUMBER(F3),ROUND(F3*'Reference data'!$B$2,0),"Unknown")</f>
        <v>55.0</v>
      </c>
    </row>
    <row r="4" spans="1:13" s="4" customFormat="1" ht="24" customHeight="1">
      <c r="A4" s="4" t="s">
        <v>93</v>
      </c>
      <c r="B4" s="4">
        <v>1</v>
      </c>
      <c r="C4" s="4" t="s">
        <v>94</v>
      </c>
      <c r="D4" s="4">
        <v>2049</v>
      </c>
      <c r="J4" s="4" t="s">
        <v>95</v>
      </c>
      <c r="M4" s="4" t="s">
        <v>96</v>
      </c>
    </row>
    <row r="5" spans="1:13" ht="24" customHeight="1">
      <c r="A5" t="s">
        <v>93</v>
      </c>
      <c r="B5">
        <v>1</v>
      </c>
      <c r="C5" t="s">
        <v>97</v>
      </c>
      <c r="D5" s="5">
        <v>2046</v>
      </c>
      <c r="E5" s="2">
        <f>IF(AND(ISNUMBER(F5),ISNUMBER('Reference data'!$B$3)),F5*'Reference data'!$B$3,"Unknown")</f>
        <v>3.59989608e-05</v>
      </c>
      <c r="F5" s="2">
        <f>IF(D5=0,0,IF(ISNUMBER('Reference data'!C17),D5*'Reference data'!C17/1000000,"Unknown"))</f>
        <v>4.092e-05</v>
      </c>
      <c r="G5" s="5">
        <f>IF(ISNUMBER(E5),ROUND(E5*'Reference data'!$B$2,0),"Unknown")</f>
        <v>4.0</v>
      </c>
      <c r="H5" s="5">
        <f>IF(ISNUMBER(F5),ROUND(F5*'Reference data'!$B$2,0),"Unknown")</f>
        <v>4.0</v>
      </c>
    </row>
    <row r="6" spans="1:13" ht="24" customHeight="1">
      <c r="A6" t="s">
        <v>93</v>
      </c>
      <c r="B6">
        <v>1</v>
      </c>
      <c r="C6" t="s">
        <v>98</v>
      </c>
      <c r="D6" s="5">
        <v>3</v>
      </c>
      <c r="E6" s="2">
        <f>IF(AND(ISNUMBER(F6),ISNUMBER('Reference data'!$B$3)),F6*'Reference data'!$B$3,"Unknown")</f>
        <v>5.27844e-07</v>
      </c>
      <c r="F6" s="2">
        <f>IF(D6=0,0,IF(ISNUMBER('Reference data'!B17),D6*'Reference data'!B17/1000000,"Unknown"))</f>
        <v>6e-07</v>
      </c>
      <c r="G6" s="5">
        <f>IF(ISNUMBER(E6),ROUND(E6*'Reference data'!$B$2,0),"Unknown")</f>
        <v>0.0</v>
      </c>
      <c r="H6" s="5">
        <f>IF(ISNUMBER(F6),ROUND(F6*'Reference data'!$B$2,0),"Unknown")</f>
        <v>0.0</v>
      </c>
    </row>
    <row r="7" spans="1:13" ht="24" customHeight="1">
      <c r="A7" t="s">
        <v>93</v>
      </c>
      <c r="B7">
        <v>1</v>
      </c>
      <c r="C7" t="s">
        <v>99</v>
      </c>
    </row>
    <row r="8" spans="1:13" ht="47" customHeight="1">
      <c r="A8" t="s">
        <v>93</v>
      </c>
      <c r="B8">
        <v>1</v>
      </c>
      <c r="C8" t="s">
        <v>100</v>
      </c>
      <c r="I8" s="6" t="s">
        <v>101</v>
      </c>
    </row>
    <row r="9" spans="1:13" ht="24" customHeight="1">
      <c r="A9" t="s">
        <v>93</v>
      </c>
      <c r="B9">
        <v>1</v>
      </c>
      <c r="C9" t="s">
        <v>102</v>
      </c>
      <c r="I9" s="6" t="s">
        <v>103</v>
      </c>
    </row>
    <row r="10" spans="1:13" ht="24" customHeight="1">
      <c r="A10" t="s">
        <v>93</v>
      </c>
      <c r="B10">
        <v>1</v>
      </c>
      <c r="C10" t="s">
        <v>104</v>
      </c>
    </row>
    <row r="11" spans="1:13" ht="24" customHeight="1">
      <c r="A11" t="s">
        <v>93</v>
      </c>
      <c r="B11">
        <v>1</v>
      </c>
      <c r="C11" t="s">
        <v>105</v>
      </c>
    </row>
    <row r="12" spans="1:13" s="4" customFormat="1" ht="24" customHeight="1">
      <c r="A12" s="4" t="s">
        <v>93</v>
      </c>
      <c r="B12" s="4">
        <v>1</v>
      </c>
      <c r="C12" s="4" t="s">
        <v>106</v>
      </c>
      <c r="D12" s="4">
        <v>115</v>
      </c>
    </row>
    <row r="13" spans="1:13" ht="24" customHeight="1">
      <c r="A13" t="s">
        <v>93</v>
      </c>
      <c r="B13">
        <v>1</v>
      </c>
      <c r="C13" t="s">
        <v>107</v>
      </c>
      <c r="D13" s="5">
        <v>23</v>
      </c>
      <c r="E13" s="2">
        <f>IF(AND(ISNUMBER(F13),ISNUMBER('Reference data'!$B$3)),F13*'Reference data'!$B$3,"Unknown")</f>
        <v>2.4280824e-05</v>
      </c>
      <c r="F13" s="2">
        <f>IF(D13=0,0,IF(ISNUMBER('Reference data'!F17),D13*'Reference data'!F17/1000000,"Unknown"))</f>
        <v>2.76e-05</v>
      </c>
      <c r="G13" s="5">
        <f>IF(ISNUMBER(E13),ROUND(E13*'Reference data'!$B$2,0),"Unknown")</f>
        <v>2.0</v>
      </c>
      <c r="H13" s="5">
        <f>IF(ISNUMBER(F13),ROUND(F13*'Reference data'!$B$2,0),"Unknown")</f>
        <v>3.0</v>
      </c>
    </row>
    <row r="14" spans="1:13" ht="24" customHeight="1">
      <c r="A14" t="s">
        <v>93</v>
      </c>
      <c r="B14">
        <v>1</v>
      </c>
      <c r="C14" t="s">
        <v>108</v>
      </c>
      <c r="D14" s="5">
        <v>92</v>
      </c>
      <c r="E14" s="2">
        <f>IF(AND(ISNUMBER(F14),ISNUMBER('Reference data'!$B$3)),F14*'Reference data'!$B$3,"Unknown")</f>
        <v>9.7123296e-05</v>
      </c>
      <c r="F14" s="2">
        <f>IF(D14=0,0,IF(ISNUMBER('Reference data'!E17),D14*'Reference data'!E17/1000000,"Unknown"))</f>
        <v>0.0001104</v>
      </c>
      <c r="G14" s="5">
        <f>IF(ISNUMBER(E14),ROUND(E14*'Reference data'!$B$2,0),"Unknown")</f>
        <v>10.0</v>
      </c>
      <c r="H14" s="5">
        <f>IF(ISNUMBER(F14),ROUND(F14*'Reference data'!$B$2,0),"Unknown")</f>
        <v>11.0</v>
      </c>
    </row>
    <row r="15" spans="1:13" ht="398" customHeight="1">
      <c r="A15" t="s">
        <v>93</v>
      </c>
      <c r="B15">
        <v>1</v>
      </c>
      <c r="C15" t="s">
        <v>109</v>
      </c>
      <c r="I15" s="6" t="s">
        <v>110</v>
      </c>
    </row>
    <row r="16" spans="1:13" ht="24" customHeight="1">
      <c r="A16" t="s">
        <v>93</v>
      </c>
      <c r="B16">
        <v>1</v>
      </c>
      <c r="C16" t="s">
        <v>104</v>
      </c>
    </row>
    <row r="17" spans="1:13" ht="24" customHeight="1">
      <c r="A17" t="s">
        <v>93</v>
      </c>
      <c r="B17">
        <v>1</v>
      </c>
      <c r="C17" t="s">
        <v>105</v>
      </c>
    </row>
    <row r="18" spans="1:13" s="4" customFormat="1" ht="24" customHeight="1">
      <c r="A18" s="4" t="s">
        <v>93</v>
      </c>
      <c r="B18" s="4">
        <v>1</v>
      </c>
      <c r="C18" s="4" t="s">
        <v>111</v>
      </c>
      <c r="E18" s="2">
        <f>IF(COUNT('Turns'!E5,'Turns'!E6,'Turns'!E13,'Turns'!E14)=4,SUM('Turns'!E5,'Turns'!E6,'Turns'!E13,'Turns'!E14),"Unknown")</f>
        <v>0.0001579309248</v>
      </c>
      <c r="F18" s="2">
        <f>IF(COUNT('Turns'!F5,'Turns'!F6,'Turns'!F13,'Turns'!F14)=4,SUM('Turns'!F5,'Turns'!F6,'Turns'!F13,'Turns'!F14),"Unknown")</f>
        <v>0.00017952</v>
      </c>
      <c r="G18" s="5">
        <f>IF(ISNUMBER(E18),ROUND(E18*'Reference data'!$B$2,0),"Unknown")</f>
        <v>16.0</v>
      </c>
      <c r="H18" s="5">
        <f>IF(ISNUMBER(F18),ROUND(F18*'Reference data'!$B$2,0),"Unknown")</f>
        <v>18.0</v>
      </c>
      <c r="K18" s="4" t="s">
        <v>112</v>
      </c>
    </row>
    <row r="19" spans="1:13" s="4" customFormat="1" ht="24" customHeight="1">
      <c r="B19" s="4">
        <v>1</v>
      </c>
      <c r="C19" s="4" t="s">
        <v>113</v>
      </c>
      <c r="K19" s="4" t="s">
        <v>112</v>
      </c>
      <c r="M19" s="4" t="s">
        <v>114</v>
      </c>
    </row>
    <row r="20" spans="1:13" ht="73" customHeight="1">
      <c r="B20">
        <v>1</v>
      </c>
      <c r="C20" t="s">
        <v>115</v>
      </c>
      <c r="I20" s="6" t="s">
        <v>116</v>
      </c>
    </row>
    <row r="21" spans="1:13" ht="47" customHeight="1">
      <c r="B21">
        <v>1</v>
      </c>
      <c r="C21" t="s">
        <v>117</v>
      </c>
      <c r="I21" s="6" t="s">
        <v>118</v>
      </c>
    </row>
    <row r="22" spans="1:13" s="4" customFormat="1" ht="24" customHeight="1">
      <c r="A22" s="4" t="s">
        <v>119</v>
      </c>
      <c r="B22" s="4">
        <v>1</v>
      </c>
      <c r="C22" s="4" t="s">
        <v>94</v>
      </c>
      <c r="D22" s="4">
        <v>1763</v>
      </c>
      <c r="J22" s="4" t="s">
        <v>95</v>
      </c>
      <c r="M22" s="4" t="s">
        <v>120</v>
      </c>
    </row>
    <row r="23" spans="1:13" ht="24" customHeight="1">
      <c r="A23" t="s">
        <v>119</v>
      </c>
      <c r="B23">
        <v>1</v>
      </c>
      <c r="C23" t="s">
        <v>97</v>
      </c>
      <c r="D23" s="5">
        <v>1692</v>
      </c>
      <c r="E23" s="2">
        <f>IF(AND(ISNUMBER(F23),ISNUMBER('Reference data'!$B$3)),F23*'Reference data'!$B$3,"Unknown")</f>
        <v>2.97704016e-05</v>
      </c>
      <c r="F23" s="2">
        <f>IF(D23=0,0,IF(ISNUMBER('Reference data'!C17),D23*'Reference data'!C17/1000000,"Unknown"))</f>
        <v>3.384e-05</v>
      </c>
      <c r="G23" s="5">
        <f>IF(ISNUMBER(E23),ROUND(E23*'Reference data'!$B$2,0),"Unknown")</f>
        <v>3.0</v>
      </c>
      <c r="H23" s="5">
        <f>IF(ISNUMBER(F23),ROUND(F23*'Reference data'!$B$2,0),"Unknown")</f>
        <v>3.0</v>
      </c>
    </row>
    <row r="24" spans="1:13" ht="24" customHeight="1">
      <c r="A24" t="s">
        <v>119</v>
      </c>
      <c r="B24">
        <v>1</v>
      </c>
      <c r="C24" t="s">
        <v>98</v>
      </c>
      <c r="D24" s="5">
        <v>3</v>
      </c>
      <c r="E24" s="2">
        <f>IF(AND(ISNUMBER(F24),ISNUMBER('Reference data'!$B$3)),F24*'Reference data'!$B$3,"Unknown")</f>
        <v>5.27844e-07</v>
      </c>
      <c r="F24" s="2">
        <f>IF(D24=0,0,IF(ISNUMBER('Reference data'!B17),D24*'Reference data'!B17/1000000,"Unknown"))</f>
        <v>6e-07</v>
      </c>
      <c r="G24" s="5">
        <f>IF(ISNUMBER(E24),ROUND(E24*'Reference data'!$B$2,0),"Unknown")</f>
        <v>0.0</v>
      </c>
      <c r="H24" s="5">
        <f>IF(ISNUMBER(F24),ROUND(F24*'Reference data'!$B$2,0),"Unknown")</f>
        <v>0.0</v>
      </c>
    </row>
    <row r="25" spans="1:13" ht="24" customHeight="1">
      <c r="A25" t="s">
        <v>119</v>
      </c>
      <c r="B25">
        <v>1</v>
      </c>
      <c r="C25" t="s">
        <v>99</v>
      </c>
    </row>
    <row r="26" spans="1:13" ht="47" customHeight="1">
      <c r="A26" t="s">
        <v>119</v>
      </c>
      <c r="B26">
        <v>1</v>
      </c>
      <c r="C26" t="s">
        <v>100</v>
      </c>
      <c r="I26" s="6" t="s">
        <v>121</v>
      </c>
    </row>
    <row r="27" spans="1:13" ht="24" customHeight="1">
      <c r="A27" t="s">
        <v>119</v>
      </c>
      <c r="B27">
        <v>1</v>
      </c>
      <c r="C27" t="s">
        <v>104</v>
      </c>
      <c r="D27" s="5">
        <v>68</v>
      </c>
      <c r="E27" s="2">
        <f>IF(AND(ISNUMBER(F27),ISNUMBER('Reference data'!$B$3)),F27*'Reference data'!$B$3,"Unknown")</f>
        <v>1.495558e-05</v>
      </c>
      <c r="F27" s="2">
        <f>IF(D27=0,0,IF(ISNUMBER('Reference data'!D17),D27*'Reference data'!D17/1000000,"Unknown"))</f>
        <v>1.7e-05</v>
      </c>
      <c r="G27" s="5">
        <f>IF(ISNUMBER(E27),ROUND(E27*'Reference data'!$B$2,0),"Unknown")</f>
        <v>1.0</v>
      </c>
      <c r="H27" s="5">
        <f>IF(ISNUMBER(F27),ROUND(F27*'Reference data'!$B$2,0),"Unknown")</f>
        <v>2.0</v>
      </c>
    </row>
    <row r="28" spans="1:13" ht="24" customHeight="1">
      <c r="A28" t="s">
        <v>119</v>
      </c>
      <c r="B28">
        <v>1</v>
      </c>
      <c r="C28" t="s">
        <v>105</v>
      </c>
    </row>
    <row r="29" spans="1:13" s="4" customFormat="1" ht="24" customHeight="1">
      <c r="A29" s="4" t="s">
        <v>119</v>
      </c>
      <c r="B29" s="4">
        <v>1</v>
      </c>
      <c r="C29" s="4" t="s">
        <v>106</v>
      </c>
      <c r="D29" s="4">
        <v>19</v>
      </c>
    </row>
    <row r="30" spans="1:13" ht="24" customHeight="1">
      <c r="A30" t="s">
        <v>119</v>
      </c>
      <c r="B30">
        <v>1</v>
      </c>
      <c r="C30" t="s">
        <v>108</v>
      </c>
      <c r="D30" s="5">
        <v>19</v>
      </c>
      <c r="E30" s="2">
        <f>IF(AND(ISNUMBER(F30),ISNUMBER('Reference data'!$B$3)),F30*'Reference data'!$B$3,"Unknown")</f>
        <v>2.0058072e-05</v>
      </c>
      <c r="F30" s="2">
        <f>IF(D30=0,0,IF(ISNUMBER('Reference data'!E17),D30*'Reference data'!E17/1000000,"Unknown"))</f>
        <v>2.28e-05</v>
      </c>
      <c r="G30" s="5">
        <f>IF(ISNUMBER(E30),ROUND(E30*'Reference data'!$B$2,0),"Unknown")</f>
        <v>2.0</v>
      </c>
      <c r="H30" s="5">
        <f>IF(ISNUMBER(F30),ROUND(F30*'Reference data'!$B$2,0),"Unknown")</f>
        <v>2.0</v>
      </c>
    </row>
    <row r="31" spans="1:13" ht="73" customHeight="1">
      <c r="A31" t="s">
        <v>119</v>
      </c>
      <c r="B31">
        <v>1</v>
      </c>
      <c r="C31" t="s">
        <v>109</v>
      </c>
      <c r="I31" s="6" t="s">
        <v>122</v>
      </c>
    </row>
    <row r="32" spans="1:13" ht="24" customHeight="1">
      <c r="A32" t="s">
        <v>119</v>
      </c>
      <c r="B32">
        <v>1</v>
      </c>
      <c r="C32" t="s">
        <v>104</v>
      </c>
    </row>
    <row r="33" spans="1:13" ht="24" customHeight="1">
      <c r="A33" t="s">
        <v>119</v>
      </c>
      <c r="B33">
        <v>1</v>
      </c>
      <c r="C33" t="s">
        <v>105</v>
      </c>
    </row>
    <row r="34" spans="1:13" s="4" customFormat="1" ht="24" customHeight="1">
      <c r="A34" s="4" t="s">
        <v>119</v>
      </c>
      <c r="B34" s="4">
        <v>1</v>
      </c>
      <c r="C34" s="4" t="s">
        <v>111</v>
      </c>
      <c r="E34" s="2">
        <f>IF(COUNT('Turns'!E23,'Turns'!E24,'Turns'!E27,'Turns'!E30)=4,SUM('Turns'!E23,'Turns'!E24,'Turns'!E27,'Turns'!E30),"Unknown")</f>
        <v>6.53118976e-05</v>
      </c>
      <c r="F34" s="2">
        <f>IF(COUNT('Turns'!F23,'Turns'!F24,'Turns'!F27,'Turns'!F30)=4,SUM('Turns'!F23,'Turns'!F24,'Turns'!F27,'Turns'!F30),"Unknown")</f>
        <v>7.424e-05</v>
      </c>
      <c r="G34" s="5">
        <f>IF(ISNUMBER(E34),ROUND(E34*'Reference data'!$B$2,0),"Unknown")</f>
        <v>7.0</v>
      </c>
      <c r="H34" s="5">
        <f>IF(ISNUMBER(F34),ROUND(F34*'Reference data'!$B$2,0),"Unknown")</f>
        <v>7.0</v>
      </c>
      <c r="K34" s="4" t="s">
        <v>112</v>
      </c>
    </row>
    <row r="35" spans="1:13" s="4" customFormat="1" ht="24" customHeight="1">
      <c r="B35" s="4">
        <v>1</v>
      </c>
      <c r="C35" s="4" t="s">
        <v>123</v>
      </c>
      <c r="K35" s="4" t="s">
        <v>112</v>
      </c>
      <c r="M35" s="4" t="s">
        <v>124</v>
      </c>
    </row>
    <row r="36" spans="1:13" ht="24" customHeight="1">
      <c r="B36">
        <v>1</v>
      </c>
      <c r="C36" t="s">
        <v>115</v>
      </c>
      <c r="I36" s="6" t="s">
        <v>125</v>
      </c>
    </row>
    <row r="37" spans="1:13" ht="24" customHeight="1">
      <c r="B37">
        <v>1</v>
      </c>
      <c r="C37" t="s">
        <v>117</v>
      </c>
      <c r="I37" s="6" t="s">
        <v>126</v>
      </c>
    </row>
    <row r="38" spans="1:13" s="4" customFormat="1" ht="24" customHeight="1">
      <c r="A38" s="4" t="s">
        <v>127</v>
      </c>
      <c r="B38" s="4">
        <v>1</v>
      </c>
      <c r="C38" s="4" t="s">
        <v>94</v>
      </c>
      <c r="D38" s="4">
        <v>1799</v>
      </c>
      <c r="J38" s="4" t="s">
        <v>95</v>
      </c>
      <c r="M38" s="4" t="s">
        <v>128</v>
      </c>
    </row>
    <row r="39" spans="1:13" ht="24" customHeight="1">
      <c r="A39" t="s">
        <v>127</v>
      </c>
      <c r="B39">
        <v>1</v>
      </c>
      <c r="C39" t="s">
        <v>97</v>
      </c>
      <c r="D39" s="5">
        <v>1760</v>
      </c>
      <c r="E39" s="2">
        <f>IF(AND(ISNUMBER(F39),ISNUMBER('Reference data'!$B$3)),F39*'Reference data'!$B$3,"Unknown")</f>
        <v>3.0966848e-05</v>
      </c>
      <c r="F39" s="2">
        <f>IF(D39=0,0,IF(ISNUMBER('Reference data'!C17),D39*'Reference data'!C17/1000000,"Unknown"))</f>
        <v>3.52e-05</v>
      </c>
      <c r="G39" s="5">
        <f>IF(ISNUMBER(E39),ROUND(E39*'Reference data'!$B$2,0),"Unknown")</f>
        <v>3.0</v>
      </c>
      <c r="H39" s="5">
        <f>IF(ISNUMBER(F39),ROUND(F39*'Reference data'!$B$2,0),"Unknown")</f>
        <v>4.0</v>
      </c>
    </row>
    <row r="40" spans="1:13" ht="24" customHeight="1">
      <c r="A40" t="s">
        <v>127</v>
      </c>
      <c r="B40">
        <v>1</v>
      </c>
      <c r="C40" t="s">
        <v>98</v>
      </c>
      <c r="D40" s="5">
        <v>3</v>
      </c>
      <c r="E40" s="2">
        <f>IF(AND(ISNUMBER(F40),ISNUMBER('Reference data'!$B$3)),F40*'Reference data'!$B$3,"Unknown")</f>
        <v>5.27844e-07</v>
      </c>
      <c r="F40" s="2">
        <f>IF(D40=0,0,IF(ISNUMBER('Reference data'!B17),D40*'Reference data'!B17/1000000,"Unknown"))</f>
        <v>6e-07</v>
      </c>
      <c r="G40" s="5">
        <f>IF(ISNUMBER(E40),ROUND(E40*'Reference data'!$B$2,0),"Unknown")</f>
        <v>0.0</v>
      </c>
      <c r="H40" s="5">
        <f>IF(ISNUMBER(F40),ROUND(F40*'Reference data'!$B$2,0),"Unknown")</f>
        <v>0.0</v>
      </c>
    </row>
    <row r="41" spans="1:13" ht="24" customHeight="1">
      <c r="A41" t="s">
        <v>127</v>
      </c>
      <c r="B41">
        <v>1</v>
      </c>
      <c r="C41" t="s">
        <v>129</v>
      </c>
      <c r="I41" s="6" t="s">
        <v>126</v>
      </c>
    </row>
    <row r="42" spans="1:13" ht="24" customHeight="1">
      <c r="A42" t="s">
        <v>127</v>
      </c>
      <c r="B42">
        <v>1</v>
      </c>
      <c r="C42" t="s">
        <v>104</v>
      </c>
      <c r="D42" s="5">
        <v>36</v>
      </c>
      <c r="E42" s="2">
        <f>IF(AND(ISNUMBER(F42),ISNUMBER('Reference data'!$B$3)),F42*'Reference data'!$B$3,"Unknown")</f>
        <v>7.91766e-06</v>
      </c>
      <c r="F42" s="2">
        <f>IF(D42=0,0,IF(ISNUMBER('Reference data'!D17),D42*'Reference data'!D17/1000000,"Unknown"))</f>
        <v>9e-06</v>
      </c>
      <c r="G42" s="5">
        <f>IF(ISNUMBER(E42),ROUND(E42*'Reference data'!$B$2,0),"Unknown")</f>
        <v>1.0</v>
      </c>
      <c r="H42" s="5">
        <f>IF(ISNUMBER(F42),ROUND(F42*'Reference data'!$B$2,0),"Unknown")</f>
        <v>1.0</v>
      </c>
    </row>
    <row r="43" spans="1:13" ht="24" customHeight="1">
      <c r="A43" t="s">
        <v>127</v>
      </c>
      <c r="B43">
        <v>1</v>
      </c>
      <c r="C43" t="s">
        <v>105</v>
      </c>
    </row>
    <row r="44" spans="1:13" s="4" customFormat="1" ht="24" customHeight="1">
      <c r="A44" s="4" t="s">
        <v>127</v>
      </c>
      <c r="B44" s="4">
        <v>1</v>
      </c>
      <c r="C44" s="4" t="s">
        <v>106</v>
      </c>
      <c r="D44" s="4">
        <v>106</v>
      </c>
    </row>
    <row r="45" spans="1:13" ht="24" customHeight="1">
      <c r="A45" t="s">
        <v>127</v>
      </c>
      <c r="B45">
        <v>1</v>
      </c>
      <c r="C45" t="s">
        <v>107</v>
      </c>
      <c r="D45" s="5">
        <v>77</v>
      </c>
      <c r="E45" s="2">
        <f>IF(AND(ISNUMBER(F45),ISNUMBER('Reference data'!$B$3)),F45*'Reference data'!$B$3,"Unknown")</f>
        <v>8.1287976e-05</v>
      </c>
      <c r="F45" s="2">
        <f>IF(D45=0,0,IF(ISNUMBER('Reference data'!F17),D45*'Reference data'!F17/1000000,"Unknown"))</f>
        <v>9.24e-05</v>
      </c>
      <c r="G45" s="5">
        <f>IF(ISNUMBER(E45),ROUND(E45*'Reference data'!$B$2,0),"Unknown")</f>
        <v>8.0</v>
      </c>
      <c r="H45" s="5">
        <f>IF(ISNUMBER(F45),ROUND(F45*'Reference data'!$B$2,0),"Unknown")</f>
        <v>9.0</v>
      </c>
    </row>
    <row r="46" spans="1:13" ht="24" customHeight="1">
      <c r="A46" t="s">
        <v>127</v>
      </c>
      <c r="B46">
        <v>1</v>
      </c>
      <c r="C46" t="s">
        <v>108</v>
      </c>
      <c r="D46" s="5">
        <v>29</v>
      </c>
      <c r="E46" s="2">
        <f>IF(AND(ISNUMBER(F46),ISNUMBER('Reference data'!$B$3)),F46*'Reference data'!$B$3,"Unknown")</f>
        <v>3.0614952e-05</v>
      </c>
      <c r="F46" s="2">
        <f>IF(D46=0,0,IF(ISNUMBER('Reference data'!E17),D46*'Reference data'!E17/1000000,"Unknown"))</f>
        <v>3.48e-05</v>
      </c>
      <c r="G46" s="5">
        <f>IF(ISNUMBER(E46),ROUND(E46*'Reference data'!$B$2,0),"Unknown")</f>
        <v>3.0</v>
      </c>
      <c r="H46" s="5">
        <f>IF(ISNUMBER(F46),ROUND(F46*'Reference data'!$B$2,0),"Unknown")</f>
        <v>3.0</v>
      </c>
    </row>
    <row r="47" spans="1:13" ht="320" customHeight="1">
      <c r="A47" t="s">
        <v>127</v>
      </c>
      <c r="B47">
        <v>1</v>
      </c>
      <c r="C47" t="s">
        <v>109</v>
      </c>
      <c r="I47" s="6" t="s">
        <v>130</v>
      </c>
    </row>
    <row r="48" spans="1:13" ht="24" customHeight="1">
      <c r="A48" t="s">
        <v>127</v>
      </c>
      <c r="B48">
        <v>1</v>
      </c>
      <c r="C48" t="s">
        <v>104</v>
      </c>
    </row>
    <row r="49" spans="1:13" ht="24" customHeight="1">
      <c r="A49" t="s">
        <v>127</v>
      </c>
      <c r="B49">
        <v>1</v>
      </c>
      <c r="C49" t="s">
        <v>105</v>
      </c>
    </row>
    <row r="50" spans="1:13" s="4" customFormat="1" ht="24" customHeight="1">
      <c r="A50" s="4" t="s">
        <v>127</v>
      </c>
      <c r="B50" s="4">
        <v>1</v>
      </c>
      <c r="C50" s="4" t="s">
        <v>111</v>
      </c>
      <c r="E50" s="2">
        <f>IF(COUNT('Turns'!E39,'Turns'!E40,'Turns'!E42,'Turns'!E45,'Turns'!E46)=5,SUM('Turns'!E39,'Turns'!E40,'Turns'!E42,'Turns'!E45,'Turns'!E46),"Unknown")</f>
        <v>0.00015131528</v>
      </c>
      <c r="F50" s="2">
        <f>IF(COUNT('Turns'!F39,'Turns'!F40,'Turns'!F42,'Turns'!F45,'Turns'!F46)=5,SUM('Turns'!F39,'Turns'!F40,'Turns'!F42,'Turns'!F45,'Turns'!F46),"Unknown")</f>
        <v>0.000172</v>
      </c>
      <c r="G50" s="5">
        <f>IF(ISNUMBER(E50),ROUND(E50*'Reference data'!$B$2,0),"Unknown")</f>
        <v>15.0</v>
      </c>
      <c r="H50" s="5">
        <f>IF(ISNUMBER(F50),ROUND(F50*'Reference data'!$B$2,0),"Unknown")</f>
        <v>17.0</v>
      </c>
      <c r="K50" s="4" t="s">
        <v>112</v>
      </c>
    </row>
    <row r="51" spans="1:13" s="4" customFormat="1" ht="24" customHeight="1">
      <c r="A51" s="4" t="s">
        <v>131</v>
      </c>
      <c r="B51" s="4">
        <v>1</v>
      </c>
      <c r="C51" s="4" t="s">
        <v>94</v>
      </c>
      <c r="D51" s="4">
        <v>2196</v>
      </c>
      <c r="J51" s="4" t="s">
        <v>95</v>
      </c>
      <c r="M51" s="4" t="s">
        <v>132</v>
      </c>
    </row>
    <row r="52" spans="1:13" ht="24" customHeight="1">
      <c r="A52" t="s">
        <v>131</v>
      </c>
      <c r="B52">
        <v>1</v>
      </c>
      <c r="C52" t="s">
        <v>97</v>
      </c>
      <c r="D52" s="5">
        <v>2046</v>
      </c>
      <c r="E52" s="2">
        <f>IF(AND(ISNUMBER(F52),ISNUMBER('Reference data'!$B$3)),F52*'Reference data'!$B$3,"Unknown")</f>
        <v>3.59989608e-05</v>
      </c>
      <c r="F52" s="2">
        <f>IF(D52=0,0,IF(ISNUMBER('Reference data'!C17),D52*'Reference data'!C17/1000000,"Unknown"))</f>
        <v>4.092e-05</v>
      </c>
      <c r="G52" s="5">
        <f>IF(ISNUMBER(E52),ROUND(E52*'Reference data'!$B$2,0),"Unknown")</f>
        <v>4.0</v>
      </c>
      <c r="H52" s="5">
        <f>IF(ISNUMBER(F52),ROUND(F52*'Reference data'!$B$2,0),"Unknown")</f>
        <v>4.0</v>
      </c>
    </row>
    <row r="53" spans="1:13" ht="24" customHeight="1">
      <c r="A53" t="s">
        <v>131</v>
      </c>
      <c r="B53">
        <v>1</v>
      </c>
      <c r="C53" t="s">
        <v>98</v>
      </c>
      <c r="D53" s="5">
        <v>3</v>
      </c>
      <c r="E53" s="2">
        <f>IF(AND(ISNUMBER(F53),ISNUMBER('Reference data'!$B$3)),F53*'Reference data'!$B$3,"Unknown")</f>
        <v>5.27844e-07</v>
      </c>
      <c r="F53" s="2">
        <f>IF(D53=0,0,IF(ISNUMBER('Reference data'!B17),D53*'Reference data'!B17/1000000,"Unknown"))</f>
        <v>6e-07</v>
      </c>
      <c r="G53" s="5">
        <f>IF(ISNUMBER(E53),ROUND(E53*'Reference data'!$B$2,0),"Unknown")</f>
        <v>0.0</v>
      </c>
      <c r="H53" s="5">
        <f>IF(ISNUMBER(F53),ROUND(F53*'Reference data'!$B$2,0),"Unknown")</f>
        <v>0.0</v>
      </c>
    </row>
    <row r="54" spans="1:13" ht="60" customHeight="1">
      <c r="A54" t="s">
        <v>131</v>
      </c>
      <c r="B54">
        <v>1</v>
      </c>
      <c r="C54" t="s">
        <v>129</v>
      </c>
      <c r="I54" s="6" t="s">
        <v>133</v>
      </c>
    </row>
    <row r="55" spans="1:13" ht="24" customHeight="1">
      <c r="A55" t="s">
        <v>131</v>
      </c>
      <c r="B55">
        <v>1</v>
      </c>
      <c r="C55" t="s">
        <v>104</v>
      </c>
      <c r="D55" s="5">
        <v>147</v>
      </c>
      <c r="E55" s="2">
        <f>IF(AND(ISNUMBER(F55),ISNUMBER('Reference data'!$B$3)),F55*'Reference data'!$B$3,"Unknown")</f>
        <v>3.2330445e-05</v>
      </c>
      <c r="F55" s="2">
        <f>IF(D55=0,0,IF(ISNUMBER('Reference data'!D17),D55*'Reference data'!D17/1000000,"Unknown"))</f>
        <v>3.675e-05</v>
      </c>
      <c r="G55" s="5">
        <f>IF(ISNUMBER(E55),ROUND(E55*'Reference data'!$B$2,0),"Unknown")</f>
        <v>3.0</v>
      </c>
      <c r="H55" s="5">
        <f>IF(ISNUMBER(F55),ROUND(F55*'Reference data'!$B$2,0),"Unknown")</f>
        <v>4.0</v>
      </c>
    </row>
    <row r="56" spans="1:13" ht="24" customHeight="1">
      <c r="A56" t="s">
        <v>131</v>
      </c>
      <c r="B56">
        <v>1</v>
      </c>
      <c r="C56" t="s">
        <v>105</v>
      </c>
    </row>
    <row r="57" spans="1:13" s="4" customFormat="1" ht="24" customHeight="1">
      <c r="A57" s="4" t="s">
        <v>131</v>
      </c>
      <c r="B57" s="4">
        <v>1</v>
      </c>
      <c r="C57" s="4" t="s">
        <v>106</v>
      </c>
      <c r="D57" s="4">
        <v>37</v>
      </c>
    </row>
    <row r="58" spans="1:13" ht="24" customHeight="1">
      <c r="A58" t="s">
        <v>131</v>
      </c>
      <c r="B58">
        <v>1</v>
      </c>
      <c r="C58" t="s">
        <v>108</v>
      </c>
      <c r="D58" s="5">
        <v>37</v>
      </c>
      <c r="E58" s="2">
        <f>IF(AND(ISNUMBER(F58),ISNUMBER('Reference data'!$B$3)),F58*'Reference data'!$B$3,"Unknown")</f>
        <v>3.9060456e-05</v>
      </c>
      <c r="F58" s="2">
        <f>IF(D58=0,0,IF(ISNUMBER('Reference data'!E17),D58*'Reference data'!E17/1000000,"Unknown"))</f>
        <v>4.44e-05</v>
      </c>
      <c r="G58" s="5">
        <f>IF(ISNUMBER(E58),ROUND(E58*'Reference data'!$B$2,0),"Unknown")</f>
        <v>4.0</v>
      </c>
      <c r="H58" s="5">
        <f>IF(ISNUMBER(F58),ROUND(F58*'Reference data'!$B$2,0),"Unknown")</f>
        <v>4.0</v>
      </c>
    </row>
    <row r="59" spans="1:13" ht="60" customHeight="1">
      <c r="A59" t="s">
        <v>131</v>
      </c>
      <c r="B59">
        <v>1</v>
      </c>
      <c r="C59" t="s">
        <v>109</v>
      </c>
      <c r="I59" s="6" t="s">
        <v>134</v>
      </c>
    </row>
    <row r="60" spans="1:13" ht="24" customHeight="1">
      <c r="A60" t="s">
        <v>131</v>
      </c>
      <c r="B60">
        <v>1</v>
      </c>
      <c r="C60" t="s">
        <v>104</v>
      </c>
    </row>
    <row r="61" spans="1:13" ht="24" customHeight="1">
      <c r="A61" t="s">
        <v>131</v>
      </c>
      <c r="B61">
        <v>1</v>
      </c>
      <c r="C61" t="s">
        <v>105</v>
      </c>
    </row>
    <row r="62" spans="1:13" s="4" customFormat="1" ht="24" customHeight="1">
      <c r="A62" s="4" t="s">
        <v>131</v>
      </c>
      <c r="B62" s="4">
        <v>1</v>
      </c>
      <c r="C62" s="4" t="s">
        <v>111</v>
      </c>
      <c r="E62" s="2">
        <f>IF(COUNT('Turns'!E52,'Turns'!E53,'Turns'!E55,'Turns'!E58)=4,SUM('Turns'!E52,'Turns'!E53,'Turns'!E55,'Turns'!E58),"Unknown")</f>
        <v>0.0001079177058</v>
      </c>
      <c r="F62" s="2">
        <f>IF(COUNT('Turns'!F52,'Turns'!F53,'Turns'!F55,'Turns'!F58)=4,SUM('Turns'!F52,'Turns'!F53,'Turns'!F55,'Turns'!F58),"Unknown")</f>
        <v>0.00012267</v>
      </c>
      <c r="G62" s="5">
        <f>IF(ISNUMBER(E62),ROUND(E62*'Reference data'!$B$2,0),"Unknown")</f>
        <v>11.0</v>
      </c>
      <c r="H62" s="5">
        <f>IF(ISNUMBER(F62),ROUND(F62*'Reference data'!$B$2,0),"Unknown")</f>
        <v>12.0</v>
      </c>
      <c r="K62" s="4" t="s">
        <v>112</v>
      </c>
    </row>
  </sheetData>
  <conditionalFormatting sqref="A2:AE62">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17"/>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135</v>
      </c>
      <c r="B2" s="1">
        <v>0</v>
      </c>
      <c r="C2" s="1" t="s">
        <v>136</v>
      </c>
      <c r="D2" s="1" t="s">
        <v>47</v>
      </c>
      <c r="E2" s="1" t="s">
        <v>112</v>
      </c>
      <c r="G2" s="6" t="s">
        <v>137</v>
      </c>
      <c r="H2" t="s">
        <v>49</v>
      </c>
      <c r="J2" s="2">
        <f>IF(COUNT('Turns'!D6,'Turns'!D24,'Turns'!D40,'Turns'!D53)=4,SUM('Turns'!D6,'Turns'!D24,'Turns'!D40,'Turns'!D53),"Unknown")</f>
        <v>12.0</v>
      </c>
      <c r="K2" s="2">
        <f>IF(COUNT('Turns'!E6,'Turns'!E24,'Turns'!E40,'Turns'!E53)=4,SUM('Turns'!E6,'Turns'!E24,'Turns'!E40,'Turns'!E53),"Unknown")</f>
        <v>2.111376e-06</v>
      </c>
      <c r="L2" s="2">
        <f>IF(COUNT('Turns'!F6,'Turns'!F24,'Turns'!F40,'Turns'!F53)=4,SUM('Turns'!F6,'Turns'!F24,'Turns'!F40,'Turns'!F53),"Unknown")</f>
        <v>2.4e-06</v>
      </c>
      <c r="M2" s="2">
        <f>IF(COUNT('Turns'!D5,'Turns'!D23,'Turns'!D39,'Turns'!D52)=4,SUM('Turns'!D5,'Turns'!D23,'Turns'!D39,'Turns'!D52),"Unknown")</f>
        <v>7544.0</v>
      </c>
      <c r="N2" s="2">
        <f>IF(COUNT('Turns'!E5,'Turns'!E23,'Turns'!E39,'Turns'!E52)=4,SUM('Turns'!E5,'Turns'!E23,'Turns'!E39,'Turns'!E52),"Unknown")</f>
        <v>0.0001327351712</v>
      </c>
      <c r="O2" s="2">
        <f>IF(COUNT('Turns'!F5,'Turns'!F23,'Turns'!F39,'Turns'!F52)=4,SUM('Turns'!F5,'Turns'!F23,'Turns'!F39,'Turns'!F52),"Unknown")</f>
        <v>0.00015088</v>
      </c>
      <c r="P2" s="2">
        <f>IF(COUNT('Turns'!D27,'Turns'!D42,'Turns'!D55)=3,SUM('Turns'!D27,'Turns'!D42,'Turns'!D55),"Unknown")</f>
        <v>251.0</v>
      </c>
      <c r="Q2" s="2">
        <f>IF(COUNT('Turns'!E27,'Turns'!E42,'Turns'!E55)=3,SUM('Turns'!E27,'Turns'!E42,'Turns'!E55),"Unknown")</f>
        <v>5.5203685e-05</v>
      </c>
      <c r="R2" s="2">
        <f>IF(COUNT('Turns'!F27,'Turns'!F42,'Turns'!F55)=3,SUM('Turns'!F27,'Turns'!F42,'Turns'!F55),"Unknown")</f>
        <v>6.275e-05</v>
      </c>
      <c r="S2" s="2">
        <f>IF(COUNT('Turns'!D14,'Turns'!D30,'Turns'!D46,'Turns'!D58)=4,SUM('Turns'!D14,'Turns'!D30,'Turns'!D46,'Turns'!D58),"Unknown")</f>
        <v>177.0</v>
      </c>
      <c r="T2" s="2">
        <f>IF(COUNT('Turns'!E14,'Turns'!E30,'Turns'!E46,'Turns'!E58)=4,SUM('Turns'!E14,'Turns'!E30,'Turns'!E46,'Turns'!E58),"Unknown")</f>
        <v>0.000186856776</v>
      </c>
      <c r="U2" s="2">
        <f>IF(COUNT('Turns'!F14,'Turns'!F30,'Turns'!F46,'Turns'!F58)=4,SUM('Turns'!F14,'Turns'!F30,'Turns'!F46,'Turns'!F58),"Unknown")</f>
        <v>0.0002124</v>
      </c>
      <c r="V2" s="2">
        <f>IF(COUNT('Turns'!D13,'Turns'!D45)=2,SUM('Turns'!D13,'Turns'!D45),"Unknown")</f>
        <v>100.0</v>
      </c>
      <c r="W2" s="2">
        <f>IF(COUNT('Turns'!E13,'Turns'!E45)=2,SUM('Turns'!E13,'Turns'!E45),"Unknown")</f>
        <v>0.0001055688</v>
      </c>
      <c r="X2" s="2">
        <f>IF(COUNT('Turns'!F13,'Turns'!F45)=2,SUM('Turns'!F13,'Turns'!F45),"Unknown")</f>
        <v>0.00012</v>
      </c>
      <c r="Y2" s="2">
        <f>IF(COUNT('Turns'!E18,'Turns'!E34,'Turns'!E50,'Turns'!E62)=4,SUM('Turns'!E18,'Turns'!E34,'Turns'!E50,'Turns'!E62),"Unknown")</f>
        <v>0.0004824758082</v>
      </c>
      <c r="Z2" s="2">
        <f>IF(COUNT('Turns'!F18,'Turns'!F34,'Turns'!F50,'Turns'!F62)=4,SUM('Turns'!F18,'Turns'!F34,'Turns'!F50,'Turns'!F62),"Unknown")</f>
        <v>0.00054843</v>
      </c>
      <c r="AA2" s="5">
        <f>IF(ISNUMBER(Y2),ROUND(Y2*'Reference data'!$B$2,0),"Unknown")</f>
        <v>48.0</v>
      </c>
      <c r="AB2" s="5">
        <f>IF(ISNUMBER(Z2),ROUND(Z2*'Reference data'!$B$2,0),"Unknown")</f>
        <v>55.0</v>
      </c>
      <c r="AD2" s="1">
        <v>6318.615</v>
      </c>
      <c r="AE2" s="1" t="s">
        <v>138</v>
      </c>
    </row>
    <row r="3" spans="1:31" ht="54" customHeight="1">
      <c r="A3" s="6" t="s">
        <v>139</v>
      </c>
      <c r="B3" s="1">
        <v>1</v>
      </c>
      <c r="C3" s="1" t="s">
        <v>136</v>
      </c>
      <c r="D3" s="1" t="s">
        <v>47</v>
      </c>
      <c r="E3" s="1" t="s">
        <v>112</v>
      </c>
      <c r="G3" s="6" t="s">
        <v>140</v>
      </c>
      <c r="H3" t="s">
        <v>141</v>
      </c>
      <c r="I3" t="s">
        <v>49</v>
      </c>
      <c r="AD3" s="1">
        <v>0.323</v>
      </c>
      <c r="AE3" s="1" t="s">
        <v>142</v>
      </c>
    </row>
    <row r="4" spans="1:31" ht="54" customHeight="1">
      <c r="A4" s="6" t="s">
        <v>143</v>
      </c>
      <c r="B4" s="1">
        <v>1</v>
      </c>
      <c r="C4" s="1" t="s">
        <v>136</v>
      </c>
      <c r="D4" s="1" t="s">
        <v>47</v>
      </c>
      <c r="E4" s="1" t="s">
        <v>112</v>
      </c>
      <c r="G4" s="6" t="s">
        <v>144</v>
      </c>
      <c r="H4" t="s">
        <v>145</v>
      </c>
      <c r="I4" t="s">
        <v>49</v>
      </c>
      <c r="J4" s="2">
        <f>IF(COUNT('Turns'!D6)=1,SUM('Turns'!D6),"Unknown")</f>
        <v>3.0</v>
      </c>
      <c r="K4" s="2">
        <f>IF(COUNT('Turns'!E6)=1,SUM('Turns'!E6),"Unknown")</f>
        <v>5.27844e-07</v>
      </c>
      <c r="L4" s="2">
        <f>IF(COUNT('Turns'!F6)=1,SUM('Turns'!F6),"Unknown")</f>
        <v>6e-07</v>
      </c>
      <c r="M4" s="2">
        <f>IF(COUNT('Turns'!D5)=1,SUM('Turns'!D5),"Unknown")</f>
        <v>2046.0</v>
      </c>
      <c r="N4" s="2">
        <f>IF(COUNT('Turns'!E5)=1,SUM('Turns'!E5),"Unknown")</f>
        <v>3.59989608e-05</v>
      </c>
      <c r="O4" s="2">
        <f>IF(COUNT('Turns'!F5)=1,SUM('Turns'!F5),"Unknown")</f>
        <v>4.092e-05</v>
      </c>
      <c r="P4" s="2">
        <v>0</v>
      </c>
      <c r="Q4" s="2">
        <v>0</v>
      </c>
      <c r="R4" s="2">
        <v>0</v>
      </c>
      <c r="S4" s="2">
        <f>IF(COUNT('Turns'!D14)=1,SUM('Turns'!D14),"Unknown")</f>
        <v>92.0</v>
      </c>
      <c r="T4" s="2">
        <f>IF(COUNT('Turns'!E14)=1,SUM('Turns'!E14),"Unknown")</f>
        <v>9.7123296e-05</v>
      </c>
      <c r="U4" s="2">
        <f>IF(COUNT('Turns'!F14)=1,SUM('Turns'!F14),"Unknown")</f>
        <v>0.0001104</v>
      </c>
      <c r="V4" s="2">
        <f>IF(COUNT('Turns'!D13)=1,SUM('Turns'!D13),"Unknown")</f>
        <v>23.0</v>
      </c>
      <c r="W4" s="2">
        <f>IF(COUNT('Turns'!E13)=1,SUM('Turns'!E13),"Unknown")</f>
        <v>2.4280824e-05</v>
      </c>
      <c r="X4" s="2">
        <f>IF(COUNT('Turns'!F13)=1,SUM('Turns'!F13),"Unknown")</f>
        <v>2.76e-05</v>
      </c>
      <c r="Y4" s="2">
        <f>IF(COUNT('Turns'!E18)=1,SUM('Turns'!E18),"Unknown")</f>
        <v>0.0001579309248</v>
      </c>
      <c r="Z4" s="2">
        <f>IF(COUNT('Turns'!F18)=1,SUM('Turns'!F18),"Unknown")</f>
        <v>0.00017952</v>
      </c>
      <c r="AA4" s="5">
        <f>IF(ISNUMBER(Y4),ROUND(Y4*'Reference data'!$B$2,0),"Unknown")</f>
        <v>16.0</v>
      </c>
      <c r="AB4" s="5">
        <f>IF(ISNUMBER(Z4),ROUND(Z4*'Reference data'!$B$2,0),"Unknown")</f>
        <v>18.0</v>
      </c>
      <c r="AD4" s="1">
        <v>2159.168</v>
      </c>
      <c r="AE4" s="1" t="s">
        <v>138</v>
      </c>
    </row>
    <row r="5" spans="1:31" ht="54" customHeight="1">
      <c r="A5" s="6" t="s">
        <v>146</v>
      </c>
      <c r="B5" s="1">
        <v>2</v>
      </c>
      <c r="C5" s="1" t="s">
        <v>147</v>
      </c>
      <c r="D5" s="1" t="s">
        <v>95</v>
      </c>
      <c r="E5" s="1" t="s">
        <v>112</v>
      </c>
      <c r="F5" s="1">
        <v>2049</v>
      </c>
      <c r="G5" s="6" t="s">
        <v>148</v>
      </c>
      <c r="H5" t="s">
        <v>96</v>
      </c>
      <c r="I5" t="s">
        <v>145</v>
      </c>
      <c r="J5" s="2">
        <f>IF(COUNT('Turns'!D6)=1,SUM('Turns'!D6),"Unknown")</f>
        <v>3.0</v>
      </c>
      <c r="K5" s="2">
        <f>IF(COUNT('Turns'!E6)=1,SUM('Turns'!E6),"Unknown")</f>
        <v>5.27844e-07</v>
      </c>
      <c r="L5" s="2">
        <f>IF(COUNT('Turns'!F6)=1,SUM('Turns'!F6),"Unknown")</f>
        <v>6e-07</v>
      </c>
      <c r="M5" s="2">
        <f>IF(COUNT('Turns'!D5)=1,SUM('Turns'!D5),"Unknown")</f>
        <v>2046.0</v>
      </c>
      <c r="N5" s="2">
        <f>IF(COUNT('Turns'!E5)=1,SUM('Turns'!E5),"Unknown")</f>
        <v>3.59989608e-05</v>
      </c>
      <c r="O5" s="2">
        <f>IF(COUNT('Turns'!F5)=1,SUM('Turns'!F5),"Unknown")</f>
        <v>4.092e-05</v>
      </c>
      <c r="P5" s="2">
        <v>0</v>
      </c>
      <c r="Q5" s="2">
        <v>0</v>
      </c>
      <c r="R5" s="2">
        <v>0</v>
      </c>
      <c r="S5" s="2">
        <f>IF(COUNT('Turns'!D14)=1,SUM('Turns'!D14),"Unknown")</f>
        <v>92.0</v>
      </c>
      <c r="T5" s="2">
        <f>IF(COUNT('Turns'!E14)=1,SUM('Turns'!E14),"Unknown")</f>
        <v>9.7123296e-05</v>
      </c>
      <c r="U5" s="2">
        <f>IF(COUNT('Turns'!F14)=1,SUM('Turns'!F14),"Unknown")</f>
        <v>0.0001104</v>
      </c>
      <c r="V5" s="2">
        <f>IF(COUNT('Turns'!D13)=1,SUM('Turns'!D13),"Unknown")</f>
        <v>23.0</v>
      </c>
      <c r="W5" s="2">
        <f>IF(COUNT('Turns'!E13)=1,SUM('Turns'!E13),"Unknown")</f>
        <v>2.4280824e-05</v>
      </c>
      <c r="X5" s="2">
        <f>IF(COUNT('Turns'!F13)=1,SUM('Turns'!F13),"Unknown")</f>
        <v>2.76e-05</v>
      </c>
      <c r="Y5" s="2">
        <f>IF(COUNT('Turns'!E18)=1,SUM('Turns'!E18),"Unknown")</f>
        <v>0.0001579309248</v>
      </c>
      <c r="Z5" s="2">
        <f>IF(COUNT('Turns'!F18)=1,SUM('Turns'!F18),"Unknown")</f>
        <v>0.00017952</v>
      </c>
      <c r="AA5" s="5">
        <f>IF(ISNUMBER(Y5),ROUND(Y5*'Reference data'!$B$2,0),"Unknown")</f>
        <v>16.0</v>
      </c>
      <c r="AB5" s="5">
        <f>IF(ISNUMBER(Z5),ROUND(Z5*'Reference data'!$B$2,0),"Unknown")</f>
        <v>18.0</v>
      </c>
      <c r="AC5" s="1" t="s">
        <v>93</v>
      </c>
      <c r="AD5" s="1">
        <v>2152.789</v>
      </c>
      <c r="AE5" s="1" t="s">
        <v>149</v>
      </c>
    </row>
    <row r="6" spans="1:31" ht="54" customHeight="1">
      <c r="A6" s="6" t="s">
        <v>150</v>
      </c>
      <c r="B6" s="1">
        <v>1</v>
      </c>
      <c r="C6" s="1" t="s">
        <v>136</v>
      </c>
      <c r="D6" s="1" t="s">
        <v>47</v>
      </c>
      <c r="E6" s="1" t="s">
        <v>112</v>
      </c>
      <c r="G6" s="6" t="s">
        <v>151</v>
      </c>
      <c r="H6" t="s">
        <v>152</v>
      </c>
      <c r="I6" t="s">
        <v>49</v>
      </c>
      <c r="J6" s="2">
        <f>IF(COUNT('Turns'!D24,'Turns'!D40)=2,SUM('Turns'!D24,'Turns'!D40),"Unknown")</f>
        <v>6.0</v>
      </c>
      <c r="K6" s="2">
        <f>IF(COUNT('Turns'!E24,'Turns'!E40)=2,SUM('Turns'!E24,'Turns'!E40),"Unknown")</f>
        <v>1.055688e-06</v>
      </c>
      <c r="L6" s="2">
        <f>IF(COUNT('Turns'!F24,'Turns'!F40)=2,SUM('Turns'!F24,'Turns'!F40),"Unknown")</f>
        <v>1.2e-06</v>
      </c>
      <c r="M6" s="2">
        <f>IF(COUNT('Turns'!D23,'Turns'!D39)=2,SUM('Turns'!D23,'Turns'!D39),"Unknown")</f>
        <v>3452.0</v>
      </c>
      <c r="N6" s="2">
        <f>IF(COUNT('Turns'!E23,'Turns'!E39)=2,SUM('Turns'!E23,'Turns'!E39),"Unknown")</f>
        <v>6.07372496e-05</v>
      </c>
      <c r="O6" s="2">
        <f>IF(COUNT('Turns'!F23,'Turns'!F39)=2,SUM('Turns'!F23,'Turns'!F39),"Unknown")</f>
        <v>6.904e-05</v>
      </c>
      <c r="P6" s="2">
        <f>IF(COUNT('Turns'!D27,'Turns'!D42)=2,SUM('Turns'!D27,'Turns'!D42),"Unknown")</f>
        <v>104.0</v>
      </c>
      <c r="Q6" s="2">
        <f>IF(COUNT('Turns'!E27,'Turns'!E42)=2,SUM('Turns'!E27,'Turns'!E42),"Unknown")</f>
        <v>2.287324e-05</v>
      </c>
      <c r="R6" s="2">
        <f>IF(COUNT('Turns'!F27,'Turns'!F42)=2,SUM('Turns'!F27,'Turns'!F42),"Unknown")</f>
        <v>2.6e-05</v>
      </c>
      <c r="S6" s="2">
        <f>IF(COUNT('Turns'!D30,'Turns'!D46)=2,SUM('Turns'!D30,'Turns'!D46),"Unknown")</f>
        <v>48.0</v>
      </c>
      <c r="T6" s="2">
        <f>IF(COUNT('Turns'!E30,'Turns'!E46)=2,SUM('Turns'!E30,'Turns'!E46),"Unknown")</f>
        <v>5.0673024e-05</v>
      </c>
      <c r="U6" s="2">
        <f>IF(COUNT('Turns'!F30,'Turns'!F46)=2,SUM('Turns'!F30,'Turns'!F46),"Unknown")</f>
        <v>5.76e-05</v>
      </c>
      <c r="V6" s="2">
        <f>IF(COUNT('Turns'!D45)=1,SUM('Turns'!D45),"Unknown")</f>
        <v>77.0</v>
      </c>
      <c r="W6" s="2">
        <f>IF(COUNT('Turns'!E45)=1,SUM('Turns'!E45),"Unknown")</f>
        <v>8.1287976e-05</v>
      </c>
      <c r="X6" s="2">
        <f>IF(COUNT('Turns'!F45)=1,SUM('Turns'!F45),"Unknown")</f>
        <v>9.24e-05</v>
      </c>
      <c r="Y6" s="2">
        <f>IF(COUNT('Turns'!E34,'Turns'!E50)=2,SUM('Turns'!E34,'Turns'!E50),"Unknown")</f>
        <v>0.0002166271776</v>
      </c>
      <c r="Z6" s="2">
        <f>IF(COUNT('Turns'!F34,'Turns'!F50)=2,SUM('Turns'!F34,'Turns'!F50),"Unknown")</f>
        <v>0.00024624</v>
      </c>
      <c r="AA6" s="5">
        <f>IF(ISNUMBER(Y6),ROUND(Y6*'Reference data'!$B$2,0),"Unknown")</f>
        <v>22.0</v>
      </c>
      <c r="AB6" s="5">
        <f>IF(ISNUMBER(Z6),ROUND(Z6*'Reference data'!$B$2,0),"Unknown")</f>
        <v>25.0</v>
      </c>
      <c r="AD6" s="1">
        <v>3038.35</v>
      </c>
      <c r="AE6" s="1" t="s">
        <v>138</v>
      </c>
    </row>
    <row r="7" spans="1:31" ht="54" customHeight="1">
      <c r="A7" s="6" t="s">
        <v>153</v>
      </c>
      <c r="B7" s="1">
        <v>2</v>
      </c>
      <c r="C7" s="1" t="s">
        <v>154</v>
      </c>
      <c r="D7" s="1" t="s">
        <v>47</v>
      </c>
      <c r="E7" s="1" t="s">
        <v>112</v>
      </c>
      <c r="G7" s="6" t="s">
        <v>155</v>
      </c>
      <c r="H7" t="s">
        <v>114</v>
      </c>
      <c r="I7" t="s">
        <v>152</v>
      </c>
      <c r="J7" s="2">
        <f>IF(COUNT('Turns'!D24,'Turns'!D40)=2,SUM('Turns'!D24,'Turns'!D40),"Unknown")</f>
        <v>6.0</v>
      </c>
      <c r="K7" s="2">
        <f>IF(COUNT('Turns'!E24,'Turns'!E40)=2,SUM('Turns'!E24,'Turns'!E40),"Unknown")</f>
        <v>1.055688e-06</v>
      </c>
      <c r="L7" s="2">
        <f>IF(COUNT('Turns'!F24,'Turns'!F40)=2,SUM('Turns'!F24,'Turns'!F40),"Unknown")</f>
        <v>1.2e-06</v>
      </c>
      <c r="M7" s="2">
        <f>IF(COUNT('Turns'!D23,'Turns'!D39)=2,SUM('Turns'!D23,'Turns'!D39),"Unknown")</f>
        <v>3452.0</v>
      </c>
      <c r="N7" s="2">
        <f>IF(COUNT('Turns'!E23,'Turns'!E39)=2,SUM('Turns'!E23,'Turns'!E39),"Unknown")</f>
        <v>6.07372496e-05</v>
      </c>
      <c r="O7" s="2">
        <f>IF(COUNT('Turns'!F23,'Turns'!F39)=2,SUM('Turns'!F23,'Turns'!F39),"Unknown")</f>
        <v>6.904e-05</v>
      </c>
      <c r="P7" s="2">
        <f>IF(COUNT('Turns'!D27,'Turns'!D42)=2,SUM('Turns'!D27,'Turns'!D42),"Unknown")</f>
        <v>104.0</v>
      </c>
      <c r="Q7" s="2">
        <f>IF(COUNT('Turns'!E27,'Turns'!E42)=2,SUM('Turns'!E27,'Turns'!E42),"Unknown")</f>
        <v>2.287324e-05</v>
      </c>
      <c r="R7" s="2">
        <f>IF(COUNT('Turns'!F27,'Turns'!F42)=2,SUM('Turns'!F27,'Turns'!F42),"Unknown")</f>
        <v>2.6e-05</v>
      </c>
      <c r="S7" s="2">
        <f>IF(COUNT('Turns'!D30,'Turns'!D46)=2,SUM('Turns'!D30,'Turns'!D46),"Unknown")</f>
        <v>48.0</v>
      </c>
      <c r="T7" s="2">
        <f>IF(COUNT('Turns'!E30,'Turns'!E46)=2,SUM('Turns'!E30,'Turns'!E46),"Unknown")</f>
        <v>5.0673024e-05</v>
      </c>
      <c r="U7" s="2">
        <f>IF(COUNT('Turns'!F30,'Turns'!F46)=2,SUM('Turns'!F30,'Turns'!F46),"Unknown")</f>
        <v>5.76e-05</v>
      </c>
      <c r="V7" s="2">
        <f>IF(COUNT('Turns'!D45)=1,SUM('Turns'!D45),"Unknown")</f>
        <v>77.0</v>
      </c>
      <c r="W7" s="2">
        <f>IF(COUNT('Turns'!E45)=1,SUM('Turns'!E45),"Unknown")</f>
        <v>8.1287976e-05</v>
      </c>
      <c r="X7" s="2">
        <f>IF(COUNT('Turns'!F45)=1,SUM('Turns'!F45),"Unknown")</f>
        <v>9.24e-05</v>
      </c>
      <c r="Y7" s="2">
        <f>IF(COUNT('Turns'!E34,'Turns'!E50)=2,SUM('Turns'!E34,'Turns'!E50),"Unknown")</f>
        <v>0.0002166271776</v>
      </c>
      <c r="Z7" s="2">
        <f>IF(COUNT('Turns'!F34,'Turns'!F50)=2,SUM('Turns'!F34,'Turns'!F50),"Unknown")</f>
        <v>0.00024624</v>
      </c>
      <c r="AA7" s="5">
        <f>IF(ISNUMBER(Y7),ROUND(Y7*'Reference data'!$B$2,0),"Unknown")</f>
        <v>22.0</v>
      </c>
      <c r="AB7" s="5">
        <f>IF(ISNUMBER(Z7),ROUND(Z7*'Reference data'!$B$2,0),"Unknown")</f>
        <v>25.0</v>
      </c>
      <c r="AD7" s="1">
        <v>3036.543</v>
      </c>
      <c r="AE7" s="1" t="s">
        <v>138</v>
      </c>
    </row>
    <row r="8" spans="1:31" ht="54" customHeight="1">
      <c r="A8" s="6" t="s">
        <v>156</v>
      </c>
      <c r="B8" s="1">
        <v>3</v>
      </c>
      <c r="C8" s="1" t="s">
        <v>136</v>
      </c>
      <c r="D8" s="1" t="s">
        <v>47</v>
      </c>
      <c r="E8" s="1" t="s">
        <v>112</v>
      </c>
      <c r="G8" s="6" t="s">
        <v>157</v>
      </c>
      <c r="H8" t="s">
        <v>158</v>
      </c>
      <c r="I8" t="s">
        <v>114</v>
      </c>
      <c r="J8" s="2">
        <f>IF(COUNT('Turns'!D24,'Turns'!D40)=2,SUM('Turns'!D24,'Turns'!D40),"Unknown")</f>
        <v>6.0</v>
      </c>
      <c r="K8" s="2">
        <f>IF(COUNT('Turns'!E24,'Turns'!E40)=2,SUM('Turns'!E24,'Turns'!E40),"Unknown")</f>
        <v>1.055688e-06</v>
      </c>
      <c r="L8" s="2">
        <f>IF(COUNT('Turns'!F24,'Turns'!F40)=2,SUM('Turns'!F24,'Turns'!F40),"Unknown")</f>
        <v>1.2e-06</v>
      </c>
      <c r="M8" s="2">
        <f>IF(COUNT('Turns'!D23,'Turns'!D39)=2,SUM('Turns'!D23,'Turns'!D39),"Unknown")</f>
        <v>3452.0</v>
      </c>
      <c r="N8" s="2">
        <f>IF(COUNT('Turns'!E23,'Turns'!E39)=2,SUM('Turns'!E23,'Turns'!E39),"Unknown")</f>
        <v>6.07372496e-05</v>
      </c>
      <c r="O8" s="2">
        <f>IF(COUNT('Turns'!F23,'Turns'!F39)=2,SUM('Turns'!F23,'Turns'!F39),"Unknown")</f>
        <v>6.904e-05</v>
      </c>
      <c r="P8" s="2">
        <f>IF(COUNT('Turns'!D27,'Turns'!D42)=2,SUM('Turns'!D27,'Turns'!D42),"Unknown")</f>
        <v>104.0</v>
      </c>
      <c r="Q8" s="2">
        <f>IF(COUNT('Turns'!E27,'Turns'!E42)=2,SUM('Turns'!E27,'Turns'!E42),"Unknown")</f>
        <v>2.287324e-05</v>
      </c>
      <c r="R8" s="2">
        <f>IF(COUNT('Turns'!F27,'Turns'!F42)=2,SUM('Turns'!F27,'Turns'!F42),"Unknown")</f>
        <v>2.6e-05</v>
      </c>
      <c r="S8" s="2">
        <f>IF(COUNT('Turns'!D30,'Turns'!D46)=2,SUM('Turns'!D30,'Turns'!D46),"Unknown")</f>
        <v>48.0</v>
      </c>
      <c r="T8" s="2">
        <f>IF(COUNT('Turns'!E30,'Turns'!E46)=2,SUM('Turns'!E30,'Turns'!E46),"Unknown")</f>
        <v>5.0673024e-05</v>
      </c>
      <c r="U8" s="2">
        <f>IF(COUNT('Turns'!F30,'Turns'!F46)=2,SUM('Turns'!F30,'Turns'!F46),"Unknown")</f>
        <v>5.76e-05</v>
      </c>
      <c r="V8" s="2">
        <f>IF(COUNT('Turns'!D45)=1,SUM('Turns'!D45),"Unknown")</f>
        <v>77.0</v>
      </c>
      <c r="W8" s="2">
        <f>IF(COUNT('Turns'!E45)=1,SUM('Turns'!E45),"Unknown")</f>
        <v>8.1287976e-05</v>
      </c>
      <c r="X8" s="2">
        <f>IF(COUNT('Turns'!F45)=1,SUM('Turns'!F45),"Unknown")</f>
        <v>9.24e-05</v>
      </c>
      <c r="Y8" s="2">
        <f>IF(COUNT('Turns'!E34,'Turns'!E50)=2,SUM('Turns'!E34,'Turns'!E50),"Unknown")</f>
        <v>0.0002166271776</v>
      </c>
      <c r="Z8" s="2">
        <f>IF(COUNT('Turns'!F34,'Turns'!F50)=2,SUM('Turns'!F34,'Turns'!F50),"Unknown")</f>
        <v>0.00024624</v>
      </c>
      <c r="AA8" s="5">
        <f>IF(ISNUMBER(Y8),ROUND(Y8*'Reference data'!$B$2,0),"Unknown")</f>
        <v>22.0</v>
      </c>
      <c r="AB8" s="5">
        <f>IF(ISNUMBER(Z8),ROUND(Z8*'Reference data'!$B$2,0),"Unknown")</f>
        <v>25.0</v>
      </c>
      <c r="AD8" s="1">
        <v>3035.199</v>
      </c>
      <c r="AE8" s="1" t="s">
        <v>138</v>
      </c>
    </row>
    <row r="9" spans="1:31" ht="54" customHeight="1">
      <c r="A9" s="6" t="s">
        <v>159</v>
      </c>
      <c r="B9" s="1">
        <v>4</v>
      </c>
      <c r="C9" s="1" t="s">
        <v>136</v>
      </c>
      <c r="D9" s="1" t="s">
        <v>47</v>
      </c>
      <c r="E9" s="1" t="s">
        <v>112</v>
      </c>
      <c r="G9" s="6" t="s">
        <v>140</v>
      </c>
      <c r="H9" t="s">
        <v>160</v>
      </c>
      <c r="I9" t="s">
        <v>158</v>
      </c>
      <c r="AD9" s="1">
        <v>1.423</v>
      </c>
      <c r="AE9" s="1" t="s">
        <v>142</v>
      </c>
    </row>
    <row r="10" spans="1:31" ht="54" customHeight="1">
      <c r="A10" s="6" t="s">
        <v>161</v>
      </c>
      <c r="B10" s="1">
        <v>4</v>
      </c>
      <c r="C10" s="1" t="s">
        <v>136</v>
      </c>
      <c r="D10" s="1" t="s">
        <v>47</v>
      </c>
      <c r="E10" s="1" t="s">
        <v>112</v>
      </c>
      <c r="G10" s="6" t="s">
        <v>144</v>
      </c>
      <c r="H10" t="s">
        <v>162</v>
      </c>
      <c r="I10" t="s">
        <v>158</v>
      </c>
      <c r="J10" s="2">
        <f>IF(COUNT('Turns'!D24)=1,SUM('Turns'!D24),"Unknown")</f>
        <v>3.0</v>
      </c>
      <c r="K10" s="2">
        <f>IF(COUNT('Turns'!E24)=1,SUM('Turns'!E24),"Unknown")</f>
        <v>5.27844e-07</v>
      </c>
      <c r="L10" s="2">
        <f>IF(COUNT('Turns'!F24)=1,SUM('Turns'!F24),"Unknown")</f>
        <v>6e-07</v>
      </c>
      <c r="M10" s="2">
        <f>IF(COUNT('Turns'!D23)=1,SUM('Turns'!D23),"Unknown")</f>
        <v>1692.0</v>
      </c>
      <c r="N10" s="2">
        <f>IF(COUNT('Turns'!E23)=1,SUM('Turns'!E23),"Unknown")</f>
        <v>2.97704016e-05</v>
      </c>
      <c r="O10" s="2">
        <f>IF(COUNT('Turns'!F23)=1,SUM('Turns'!F23),"Unknown")</f>
        <v>3.384e-05</v>
      </c>
      <c r="P10" s="2">
        <f>IF(COUNT('Turns'!D27)=1,SUM('Turns'!D27),"Unknown")</f>
        <v>68.0</v>
      </c>
      <c r="Q10" s="2">
        <f>IF(COUNT('Turns'!E27)=1,SUM('Turns'!E27),"Unknown")</f>
        <v>1.495558e-05</v>
      </c>
      <c r="R10" s="2">
        <f>IF(COUNT('Turns'!F27)=1,SUM('Turns'!F27),"Unknown")</f>
        <v>1.7e-05</v>
      </c>
      <c r="S10" s="2">
        <f>IF(COUNT('Turns'!D30)=1,SUM('Turns'!D30),"Unknown")</f>
        <v>19.0</v>
      </c>
      <c r="T10" s="2">
        <f>IF(COUNT('Turns'!E30)=1,SUM('Turns'!E30),"Unknown")</f>
        <v>2.0058072e-05</v>
      </c>
      <c r="U10" s="2">
        <f>IF(COUNT('Turns'!F30)=1,SUM('Turns'!F30),"Unknown")</f>
        <v>2.28e-05</v>
      </c>
      <c r="V10" s="2">
        <v>0</v>
      </c>
      <c r="W10" s="2">
        <v>0</v>
      </c>
      <c r="X10" s="2">
        <v>0</v>
      </c>
      <c r="Y10" s="2">
        <f>IF(COUNT('Turns'!E34)=1,SUM('Turns'!E34),"Unknown")</f>
        <v>6.53118976e-05</v>
      </c>
      <c r="Z10" s="2">
        <f>IF(COUNT('Turns'!F34)=1,SUM('Turns'!F34),"Unknown")</f>
        <v>7.424e-05</v>
      </c>
      <c r="AA10" s="5">
        <f>IF(ISNUMBER(Y10),ROUND(Y10*'Reference data'!$B$2,0),"Unknown")</f>
        <v>7.0</v>
      </c>
      <c r="AB10" s="5">
        <f>IF(ISNUMBER(Z10),ROUND(Z10*'Reference data'!$B$2,0),"Unknown")</f>
        <v>7.0</v>
      </c>
      <c r="AD10" s="1">
        <v>1093.913</v>
      </c>
      <c r="AE10" s="1" t="s">
        <v>138</v>
      </c>
    </row>
    <row r="11" spans="1:31" ht="54" customHeight="1">
      <c r="A11" s="6" t="s">
        <v>163</v>
      </c>
      <c r="B11" s="1">
        <v>5</v>
      </c>
      <c r="C11" s="1" t="s">
        <v>147</v>
      </c>
      <c r="D11" s="1" t="s">
        <v>95</v>
      </c>
      <c r="E11" s="1" t="s">
        <v>112</v>
      </c>
      <c r="F11" s="1">
        <v>1763</v>
      </c>
      <c r="G11" s="6" t="s">
        <v>148</v>
      </c>
      <c r="H11" t="s">
        <v>120</v>
      </c>
      <c r="I11" t="s">
        <v>162</v>
      </c>
      <c r="J11" s="2">
        <f>IF(COUNT('Turns'!D24)=1,SUM('Turns'!D24),"Unknown")</f>
        <v>3.0</v>
      </c>
      <c r="K11" s="2">
        <f>IF(COUNT('Turns'!E24)=1,SUM('Turns'!E24),"Unknown")</f>
        <v>5.27844e-07</v>
      </c>
      <c r="L11" s="2">
        <f>IF(COUNT('Turns'!F24)=1,SUM('Turns'!F24),"Unknown")</f>
        <v>6e-07</v>
      </c>
      <c r="M11" s="2">
        <f>IF(COUNT('Turns'!D23)=1,SUM('Turns'!D23),"Unknown")</f>
        <v>1692.0</v>
      </c>
      <c r="N11" s="2">
        <f>IF(COUNT('Turns'!E23)=1,SUM('Turns'!E23),"Unknown")</f>
        <v>2.97704016e-05</v>
      </c>
      <c r="O11" s="2">
        <f>IF(COUNT('Turns'!F23)=1,SUM('Turns'!F23),"Unknown")</f>
        <v>3.384e-05</v>
      </c>
      <c r="P11" s="2">
        <f>IF(COUNT('Turns'!D27)=1,SUM('Turns'!D27),"Unknown")</f>
        <v>68.0</v>
      </c>
      <c r="Q11" s="2">
        <f>IF(COUNT('Turns'!E27)=1,SUM('Turns'!E27),"Unknown")</f>
        <v>1.495558e-05</v>
      </c>
      <c r="R11" s="2">
        <f>IF(COUNT('Turns'!F27)=1,SUM('Turns'!F27),"Unknown")</f>
        <v>1.7e-05</v>
      </c>
      <c r="S11" s="2">
        <f>IF(COUNT('Turns'!D30)=1,SUM('Turns'!D30),"Unknown")</f>
        <v>19.0</v>
      </c>
      <c r="T11" s="2">
        <f>IF(COUNT('Turns'!E30)=1,SUM('Turns'!E30),"Unknown")</f>
        <v>2.0058072e-05</v>
      </c>
      <c r="U11" s="2">
        <f>IF(COUNT('Turns'!F30)=1,SUM('Turns'!F30),"Unknown")</f>
        <v>2.28e-05</v>
      </c>
      <c r="V11" s="2">
        <v>0</v>
      </c>
      <c r="W11" s="2">
        <v>0</v>
      </c>
      <c r="X11" s="2">
        <v>0</v>
      </c>
      <c r="Y11" s="2">
        <f>IF(COUNT('Turns'!E34)=1,SUM('Turns'!E34),"Unknown")</f>
        <v>6.53118976e-05</v>
      </c>
      <c r="Z11" s="2">
        <f>IF(COUNT('Turns'!F34)=1,SUM('Turns'!F34),"Unknown")</f>
        <v>7.424e-05</v>
      </c>
      <c r="AA11" s="5">
        <f>IF(ISNUMBER(Y11),ROUND(Y11*'Reference data'!$B$2,0),"Unknown")</f>
        <v>7.0</v>
      </c>
      <c r="AB11" s="5">
        <f>IF(ISNUMBER(Z11),ROUND(Z11*'Reference data'!$B$2,0),"Unknown")</f>
        <v>7.0</v>
      </c>
      <c r="AC11" s="1" t="s">
        <v>119</v>
      </c>
      <c r="AD11" s="1">
        <v>1087.122</v>
      </c>
      <c r="AE11" s="1" t="s">
        <v>149</v>
      </c>
    </row>
    <row r="12" spans="1:31" ht="54" customHeight="1">
      <c r="A12" s="6" t="s">
        <v>164</v>
      </c>
      <c r="B12" s="1">
        <v>4</v>
      </c>
      <c r="C12" s="1" t="s">
        <v>136</v>
      </c>
      <c r="D12" s="1" t="s">
        <v>47</v>
      </c>
      <c r="E12" s="1" t="s">
        <v>112</v>
      </c>
      <c r="G12" s="6" t="s">
        <v>151</v>
      </c>
      <c r="H12" t="s">
        <v>165</v>
      </c>
      <c r="I12" t="s">
        <v>158</v>
      </c>
      <c r="AD12" s="1">
        <v>2.24</v>
      </c>
      <c r="AE12" s="1" t="s">
        <v>142</v>
      </c>
    </row>
    <row r="13" spans="1:31" ht="54" customHeight="1">
      <c r="A13" s="6" t="s">
        <v>166</v>
      </c>
      <c r="B13" s="1">
        <v>5</v>
      </c>
      <c r="C13" s="1" t="s">
        <v>154</v>
      </c>
      <c r="D13" s="1" t="s">
        <v>47</v>
      </c>
      <c r="E13" s="1" t="s">
        <v>112</v>
      </c>
      <c r="G13" s="6" t="s">
        <v>167</v>
      </c>
      <c r="H13" t="s">
        <v>124</v>
      </c>
      <c r="I13" t="s">
        <v>165</v>
      </c>
      <c r="AD13" s="1">
        <v>0.5570000000000001</v>
      </c>
      <c r="AE13" s="1" t="s">
        <v>142</v>
      </c>
    </row>
    <row r="14" spans="1:31" ht="54" customHeight="1">
      <c r="A14" s="6" t="s">
        <v>161</v>
      </c>
      <c r="B14" s="1">
        <v>4</v>
      </c>
      <c r="C14" s="1" t="s">
        <v>136</v>
      </c>
      <c r="D14" s="1" t="s">
        <v>47</v>
      </c>
      <c r="E14" s="1" t="s">
        <v>112</v>
      </c>
      <c r="G14" s="6" t="s">
        <v>144</v>
      </c>
      <c r="H14" t="s">
        <v>168</v>
      </c>
      <c r="I14" t="s">
        <v>158</v>
      </c>
      <c r="J14" s="2">
        <f>IF(COUNT('Turns'!D40)=1,SUM('Turns'!D40),"Unknown")</f>
        <v>3.0</v>
      </c>
      <c r="K14" s="2">
        <f>IF(COUNT('Turns'!E40)=1,SUM('Turns'!E40),"Unknown")</f>
        <v>5.27844e-07</v>
      </c>
      <c r="L14" s="2">
        <f>IF(COUNT('Turns'!F40)=1,SUM('Turns'!F40),"Unknown")</f>
        <v>6e-07</v>
      </c>
      <c r="M14" s="2">
        <f>IF(COUNT('Turns'!D39)=1,SUM('Turns'!D39),"Unknown")</f>
        <v>1760.0</v>
      </c>
      <c r="N14" s="2">
        <f>IF(COUNT('Turns'!E39)=1,SUM('Turns'!E39),"Unknown")</f>
        <v>3.0966848e-05</v>
      </c>
      <c r="O14" s="2">
        <f>IF(COUNT('Turns'!F39)=1,SUM('Turns'!F39),"Unknown")</f>
        <v>3.52e-05</v>
      </c>
      <c r="P14" s="2">
        <f>IF(COUNT('Turns'!D42)=1,SUM('Turns'!D42),"Unknown")</f>
        <v>36.0</v>
      </c>
      <c r="Q14" s="2">
        <f>IF(COUNT('Turns'!E42)=1,SUM('Turns'!E42),"Unknown")</f>
        <v>7.91766e-06</v>
      </c>
      <c r="R14" s="2">
        <f>IF(COUNT('Turns'!F42)=1,SUM('Turns'!F42),"Unknown")</f>
        <v>9e-06</v>
      </c>
      <c r="S14" s="2">
        <f>IF(COUNT('Turns'!D46)=1,SUM('Turns'!D46),"Unknown")</f>
        <v>29.0</v>
      </c>
      <c r="T14" s="2">
        <f>IF(COUNT('Turns'!E46)=1,SUM('Turns'!E46),"Unknown")</f>
        <v>3.0614952e-05</v>
      </c>
      <c r="U14" s="2">
        <f>IF(COUNT('Turns'!F46)=1,SUM('Turns'!F46),"Unknown")</f>
        <v>3.48e-05</v>
      </c>
      <c r="V14" s="2">
        <f>IF(COUNT('Turns'!D45)=1,SUM('Turns'!D45),"Unknown")</f>
        <v>77.0</v>
      </c>
      <c r="W14" s="2">
        <f>IF(COUNT('Turns'!E45)=1,SUM('Turns'!E45),"Unknown")</f>
        <v>8.1287976e-05</v>
      </c>
      <c r="X14" s="2">
        <f>IF(COUNT('Turns'!F45)=1,SUM('Turns'!F45),"Unknown")</f>
        <v>9.24e-05</v>
      </c>
      <c r="Y14" s="2">
        <f>IF(COUNT('Turns'!E50)=1,SUM('Turns'!E50),"Unknown")</f>
        <v>0.00015131528</v>
      </c>
      <c r="Z14" s="2">
        <f>IF(COUNT('Turns'!F50)=1,SUM('Turns'!F50),"Unknown")</f>
        <v>0.000172</v>
      </c>
      <c r="AA14" s="5">
        <f>IF(ISNUMBER(Y14),ROUND(Y14*'Reference data'!$B$2,0),"Unknown")</f>
        <v>15.0</v>
      </c>
      <c r="AB14" s="5">
        <f>IF(ISNUMBER(Z14),ROUND(Z14*'Reference data'!$B$2,0),"Unknown")</f>
        <v>17.0</v>
      </c>
      <c r="AD14" s="1">
        <v>1932.661</v>
      </c>
      <c r="AE14" s="1" t="s">
        <v>138</v>
      </c>
    </row>
    <row r="15" spans="1:31" ht="54" customHeight="1">
      <c r="A15" s="6" t="s">
        <v>163</v>
      </c>
      <c r="B15" s="1">
        <v>5</v>
      </c>
      <c r="C15" s="1" t="s">
        <v>147</v>
      </c>
      <c r="D15" s="1" t="s">
        <v>95</v>
      </c>
      <c r="E15" s="1" t="s">
        <v>112</v>
      </c>
      <c r="F15" s="1">
        <v>1799</v>
      </c>
      <c r="G15" s="6" t="s">
        <v>148</v>
      </c>
      <c r="H15" t="s">
        <v>128</v>
      </c>
      <c r="I15" t="s">
        <v>168</v>
      </c>
      <c r="J15" s="2">
        <f>IF(COUNT('Turns'!D40)=1,SUM('Turns'!D40),"Unknown")</f>
        <v>3.0</v>
      </c>
      <c r="K15" s="2">
        <f>IF(COUNT('Turns'!E40)=1,SUM('Turns'!E40),"Unknown")</f>
        <v>5.27844e-07</v>
      </c>
      <c r="L15" s="2">
        <f>IF(COUNT('Turns'!F40)=1,SUM('Turns'!F40),"Unknown")</f>
        <v>6e-07</v>
      </c>
      <c r="M15" s="2">
        <f>IF(COUNT('Turns'!D39)=1,SUM('Turns'!D39),"Unknown")</f>
        <v>1760.0</v>
      </c>
      <c r="N15" s="2">
        <f>IF(COUNT('Turns'!E39)=1,SUM('Turns'!E39),"Unknown")</f>
        <v>3.0966848e-05</v>
      </c>
      <c r="O15" s="2">
        <f>IF(COUNT('Turns'!F39)=1,SUM('Turns'!F39),"Unknown")</f>
        <v>3.52e-05</v>
      </c>
      <c r="P15" s="2">
        <f>IF(COUNT('Turns'!D42)=1,SUM('Turns'!D42),"Unknown")</f>
        <v>36.0</v>
      </c>
      <c r="Q15" s="2">
        <f>IF(COUNT('Turns'!E42)=1,SUM('Turns'!E42),"Unknown")</f>
        <v>7.91766e-06</v>
      </c>
      <c r="R15" s="2">
        <f>IF(COUNT('Turns'!F42)=1,SUM('Turns'!F42),"Unknown")</f>
        <v>9e-06</v>
      </c>
      <c r="S15" s="2">
        <f>IF(COUNT('Turns'!D46)=1,SUM('Turns'!D46),"Unknown")</f>
        <v>29.0</v>
      </c>
      <c r="T15" s="2">
        <f>IF(COUNT('Turns'!E46)=1,SUM('Turns'!E46),"Unknown")</f>
        <v>3.0614952e-05</v>
      </c>
      <c r="U15" s="2">
        <f>IF(COUNT('Turns'!F46)=1,SUM('Turns'!F46),"Unknown")</f>
        <v>3.48e-05</v>
      </c>
      <c r="V15" s="2">
        <f>IF(COUNT('Turns'!D45)=1,SUM('Turns'!D45),"Unknown")</f>
        <v>77.0</v>
      </c>
      <c r="W15" s="2">
        <f>IF(COUNT('Turns'!E45)=1,SUM('Turns'!E45),"Unknown")</f>
        <v>8.1287976e-05</v>
      </c>
      <c r="X15" s="2">
        <f>IF(COUNT('Turns'!F45)=1,SUM('Turns'!F45),"Unknown")</f>
        <v>9.24e-05</v>
      </c>
      <c r="Y15" s="2">
        <f>IF(COUNT('Turns'!E50)=1,SUM('Turns'!E50),"Unknown")</f>
        <v>0.00015131528</v>
      </c>
      <c r="Z15" s="2">
        <f>IF(COUNT('Turns'!F50)=1,SUM('Turns'!F50),"Unknown")</f>
        <v>0.000172</v>
      </c>
      <c r="AA15" s="5">
        <f>IF(ISNUMBER(Y15),ROUND(Y15*'Reference data'!$B$2,0),"Unknown")</f>
        <v>15.0</v>
      </c>
      <c r="AB15" s="5">
        <f>IF(ISNUMBER(Z15),ROUND(Z15*'Reference data'!$B$2,0),"Unknown")</f>
        <v>17.0</v>
      </c>
      <c r="AC15" s="1" t="s">
        <v>127</v>
      </c>
      <c r="AD15" s="1">
        <v>1928.636</v>
      </c>
      <c r="AE15" s="1" t="s">
        <v>149</v>
      </c>
    </row>
    <row r="16" spans="1:31" ht="54" customHeight="1">
      <c r="A16" s="6" t="s">
        <v>143</v>
      </c>
      <c r="B16" s="1">
        <v>1</v>
      </c>
      <c r="C16" s="1" t="s">
        <v>136</v>
      </c>
      <c r="D16" s="1" t="s">
        <v>47</v>
      </c>
      <c r="E16" s="1" t="s">
        <v>112</v>
      </c>
      <c r="G16" s="6" t="s">
        <v>144</v>
      </c>
      <c r="H16" t="s">
        <v>169</v>
      </c>
      <c r="I16" t="s">
        <v>49</v>
      </c>
      <c r="J16" s="2">
        <f>IF(COUNT('Turns'!D53)=1,SUM('Turns'!D53),"Unknown")</f>
        <v>3.0</v>
      </c>
      <c r="K16" s="2">
        <f>IF(COUNT('Turns'!E53)=1,SUM('Turns'!E53),"Unknown")</f>
        <v>5.27844e-07</v>
      </c>
      <c r="L16" s="2">
        <f>IF(COUNT('Turns'!F53)=1,SUM('Turns'!F53),"Unknown")</f>
        <v>6e-07</v>
      </c>
      <c r="M16" s="2">
        <f>IF(COUNT('Turns'!D52)=1,SUM('Turns'!D52),"Unknown")</f>
        <v>2046.0</v>
      </c>
      <c r="N16" s="2">
        <f>IF(COUNT('Turns'!E52)=1,SUM('Turns'!E52),"Unknown")</f>
        <v>3.59989608e-05</v>
      </c>
      <c r="O16" s="2">
        <f>IF(COUNT('Turns'!F52)=1,SUM('Turns'!F52),"Unknown")</f>
        <v>4.092e-05</v>
      </c>
      <c r="P16" s="2">
        <f>IF(COUNT('Turns'!D55)=1,SUM('Turns'!D55),"Unknown")</f>
        <v>147.0</v>
      </c>
      <c r="Q16" s="2">
        <f>IF(COUNT('Turns'!E55)=1,SUM('Turns'!E55),"Unknown")</f>
        <v>3.2330445e-05</v>
      </c>
      <c r="R16" s="2">
        <f>IF(COUNT('Turns'!F55)=1,SUM('Turns'!F55),"Unknown")</f>
        <v>3.675e-05</v>
      </c>
      <c r="S16" s="2">
        <f>IF(COUNT('Turns'!D58)=1,SUM('Turns'!D58),"Unknown")</f>
        <v>37.0</v>
      </c>
      <c r="T16" s="2">
        <f>IF(COUNT('Turns'!E58)=1,SUM('Turns'!E58),"Unknown")</f>
        <v>3.9060456e-05</v>
      </c>
      <c r="U16" s="2">
        <f>IF(COUNT('Turns'!F58)=1,SUM('Turns'!F58),"Unknown")</f>
        <v>4.44e-05</v>
      </c>
      <c r="V16" s="2">
        <v>0</v>
      </c>
      <c r="W16" s="2">
        <v>0</v>
      </c>
      <c r="X16" s="2">
        <v>0</v>
      </c>
      <c r="Y16" s="2">
        <f>IF(COUNT('Turns'!E62)=1,SUM('Turns'!E62),"Unknown")</f>
        <v>0.0001079177058</v>
      </c>
      <c r="Z16" s="2">
        <f>IF(COUNT('Turns'!F62)=1,SUM('Turns'!F62),"Unknown")</f>
        <v>0.00012267</v>
      </c>
      <c r="AA16" s="5">
        <f>IF(ISNUMBER(Y16),ROUND(Y16*'Reference data'!$B$2,0),"Unknown")</f>
        <v>11.0</v>
      </c>
      <c r="AB16" s="5">
        <f>IF(ISNUMBER(Z16),ROUND(Z16*'Reference data'!$B$2,0),"Unknown")</f>
        <v>12.0</v>
      </c>
      <c r="AD16" s="1">
        <v>1114.957</v>
      </c>
      <c r="AE16" s="1" t="s">
        <v>138</v>
      </c>
    </row>
    <row r="17" spans="1:31" ht="54" customHeight="1">
      <c r="A17" s="6" t="s">
        <v>146</v>
      </c>
      <c r="B17" s="1">
        <v>2</v>
      </c>
      <c r="C17" s="1" t="s">
        <v>147</v>
      </c>
      <c r="D17" s="1" t="s">
        <v>95</v>
      </c>
      <c r="E17" s="1" t="s">
        <v>112</v>
      </c>
      <c r="F17" s="1">
        <v>2196</v>
      </c>
      <c r="G17" s="6" t="s">
        <v>148</v>
      </c>
      <c r="H17" t="s">
        <v>132</v>
      </c>
      <c r="I17" t="s">
        <v>169</v>
      </c>
      <c r="J17" s="2">
        <f>IF(COUNT('Turns'!D53)=1,SUM('Turns'!D53),"Unknown")</f>
        <v>3.0</v>
      </c>
      <c r="K17" s="2">
        <f>IF(COUNT('Turns'!E53)=1,SUM('Turns'!E53),"Unknown")</f>
        <v>5.27844e-07</v>
      </c>
      <c r="L17" s="2">
        <f>IF(COUNT('Turns'!F53)=1,SUM('Turns'!F53),"Unknown")</f>
        <v>6e-07</v>
      </c>
      <c r="M17" s="2">
        <f>IF(COUNT('Turns'!D52)=1,SUM('Turns'!D52),"Unknown")</f>
        <v>2046.0</v>
      </c>
      <c r="N17" s="2">
        <f>IF(COUNT('Turns'!E52)=1,SUM('Turns'!E52),"Unknown")</f>
        <v>3.59989608e-05</v>
      </c>
      <c r="O17" s="2">
        <f>IF(COUNT('Turns'!F52)=1,SUM('Turns'!F52),"Unknown")</f>
        <v>4.092e-05</v>
      </c>
      <c r="P17" s="2">
        <f>IF(COUNT('Turns'!D55)=1,SUM('Turns'!D55),"Unknown")</f>
        <v>147.0</v>
      </c>
      <c r="Q17" s="2">
        <f>IF(COUNT('Turns'!E55)=1,SUM('Turns'!E55),"Unknown")</f>
        <v>3.2330445e-05</v>
      </c>
      <c r="R17" s="2">
        <f>IF(COUNT('Turns'!F55)=1,SUM('Turns'!F55),"Unknown")</f>
        <v>3.675e-05</v>
      </c>
      <c r="S17" s="2">
        <f>IF(COUNT('Turns'!D58)=1,SUM('Turns'!D58),"Unknown")</f>
        <v>37.0</v>
      </c>
      <c r="T17" s="2">
        <f>IF(COUNT('Turns'!E58)=1,SUM('Turns'!E58),"Unknown")</f>
        <v>3.9060456e-05</v>
      </c>
      <c r="U17" s="2">
        <f>IF(COUNT('Turns'!F58)=1,SUM('Turns'!F58),"Unknown")</f>
        <v>4.44e-05</v>
      </c>
      <c r="V17" s="2">
        <v>0</v>
      </c>
      <c r="W17" s="2">
        <v>0</v>
      </c>
      <c r="X17" s="2">
        <v>0</v>
      </c>
      <c r="Y17" s="2">
        <f>IF(COUNT('Turns'!E62)=1,SUM('Turns'!E62),"Unknown")</f>
        <v>0.0001079177058</v>
      </c>
      <c r="Z17" s="2">
        <f>IF(COUNT('Turns'!F62)=1,SUM('Turns'!F62),"Unknown")</f>
        <v>0.00012267</v>
      </c>
      <c r="AA17" s="5">
        <f>IF(ISNUMBER(Y17),ROUND(Y17*'Reference data'!$B$2,0),"Unknown")</f>
        <v>11.0</v>
      </c>
      <c r="AB17" s="5">
        <f>IF(ISNUMBER(Z17),ROUND(Z17*'Reference data'!$B$2,0),"Unknown")</f>
        <v>12.0</v>
      </c>
      <c r="AC17" s="1" t="s">
        <v>131</v>
      </c>
      <c r="AD17" s="1">
        <v>1109.268</v>
      </c>
      <c r="AE17" s="1" t="s">
        <v>149</v>
      </c>
    </row>
  </sheetData>
  <conditionalFormatting sqref="A2:AE17">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2026-09-24T22:27:10Z</dcterms:created>
  <dcterms:modified xsi:type="dcterms:W3CDTF">2026-09-24T22:27:10Z</dcterms:modified>
</cp:coreProperties>
</file>
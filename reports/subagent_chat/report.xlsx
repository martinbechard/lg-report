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<sst xmlns="http://schemas.openxmlformats.org/spreadsheetml/2006/main" count="389" uniqueCount="170">
  <si>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</si>
  <si>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</si>
  <si>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</si>
  <si>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</si>
  <si>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</si>
  <si>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</si>
  <si>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</si>
  <si>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</si>
  <si>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</si>
  <si>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</si>
  <si>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</si>
  <si>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</si>
  <si>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</si>
  <si>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</si>
  <si>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</si>
  <si>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</si>
  <si>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</si>
  <si>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</si>
  <si>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</si>
  <si>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</si>
  <si>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</si>
  <si>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</si>
  <si>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</si>
  <si>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</si>
  <si>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</si>
  <si>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</si>
  <si>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</si>
  <si>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</si>
  <si>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</si>
  <si>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</si>
  <si>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</si>
  <si>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</si>
  <si>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</si>
  <si>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</si>
  <si>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</si>
  <si>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</si>
  <si>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</si>
  <si>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</si>
  <si>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</si>
  <si>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</si>
  <si>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</si>
  <si>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</si>
  <si>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</si>
  <si>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</si>
  <si>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</si>
  <si>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</si>
  <si>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</si>
  <si>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</si>
  <si>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</si>
  <si>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01a0cc59-b4bd-7922-9106-8f95660c53fd</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</si>
  <si>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</si>
  <si>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</si>
  <si>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</si>
  <si>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</si>
  <si>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</si>
  <si>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</si>
  <si>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</si>
  <si>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</si>
  <si>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</si>
  <si>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</si>
  <si>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</si>
  <si>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</si>
  <si>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</si>
  <si>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</si>
  <si>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</si>
  <si>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</si>
  <si>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</si>
  <si>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</si>
  <si>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</si>
  <si>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</si>
  <si>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</si>
  <si>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</si>
  <si>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</si>
  <si>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</si>
  <si>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</si>
  <si>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</si>
  <si>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</si>
  <si>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</si>
  <si>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</si>
  <si>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</si>
  <si>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</si>
  <si>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</si>
  <si>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</si>
  <si>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</si>
  <si>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</si>
  <si>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</si>
  <si>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</si>
  <si>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</si>
  <si>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</si>
  <si>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</si>
  <si>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</si>
  <si>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</si>
  <si>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</si>
  <si>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</si>
  <si>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</si>
  <si>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</si>
  <si>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01a0cc59-b4c7-75c1-a3dc-22ab9b512aa9</t>
  </si>
  <si>
    <t>Fresh input</t>
  </si>
  <si>
    <t xml:space="preserve">    Tool definitions</t>
  </si>
  <si>
    <t xml:space="preserve">    System prompt</t>
  </si>
  <si>
    <t>Delegate echoing the supplied text to workflow-specialist using task. Provide a self-contained assignment. After its summary returns, answer the user concisely. The specialist uses an echo tool, which supplies no independent factual evidence.</t>
  </si>
  <si>
    <t xml:space="preserve">    User prompt</t>
  </si>
  <si>
    <t>Have the specialist echo ReAct and explain how its tool result returns to the parent.</t>
  </si>
  <si>
    <t>Cache write</t>
  </si>
  <si>
    <t>Context · added / total</t>
  </si>
  <si>
    <t>LLM response</t>
  </si>
  <si>
    <t>Reasoning</t>
  </si>
  <si>
    <t>Output</t>
  </si>
  <si>
    <t xml:space="preserve">    Output content</t>
  </si>
  <si>
    <t>[{"id": "rs_0bfebbbb3ce44274006ab34a2b0d0887d2a21ef40210b6e1be", "summary": [], "type": "reasoning", "content": [], "index": 0, "encrypted_content": "gAAAAABqs0orePOs-S0r2ZGIM8qAbvduXhuS6HcS0PJr9kYsEA8TMnl0nxfd8Hqfol3Fzo5MPP5HUHjZzADENYNUYwqvNcuaTyhhd9D6XXbOtpKZouNAVSlROsng8nA9olfq7nZIP5KKEZpg62zGs2_yL55oh_oHsNjLyglgpSHPD8QvWGs7ubUtHakTsowB-943vWyDuiko8yAzt8weY10RGcRpUgOvTYC2jksrCP3izkzVS7yeN2GEgUrHSbG9tS0VCKjTNQJJAU3JiFnlvDDq8ENS9McFuyk5JUvto85dQogksQceKLE5iMbsTyuYYshP8yJOrKeTSKpBJWJoo5t4oXvd6E5xPKTF78qipvC619zwlOtnmWs3oIT2GoXP93DuK-zFMzxGe0JIlH-PpjOyyf8mBIhxCqapVriWN22OyaYeT3JTQ1agSDsAUxLfUu0z-HUb7VKiNaca_194sM3tauPUr4jjqCI45X_oxiYwMpVrK9JCrqp8vEWGLyGPF5LtgZyVgzd7TP-7GLEsduQszeNm0Ms6wMiC4A43JOXOmf0OGu-zCvI7SzNSi4UP5no_1HLachpTtQCBknbBz3x2WZ7JC9vq-HadNWjmIWzO2QkFtg7JXbqkJionPiVgufJvKvtgVY7PlVoM99YwFpRjyO6x6_aCcoKiImSf9XfTzb9Y10MKI1Gu2ig8EsWYZGT-0n8VlCuATKv6eCHMnduI7_Ct9pwUneVlDE275poaADl6O06C1H_QA88i2PIiOzrHG7IX8aYCTq-dY4MDvU2d_FWYibVSi_ipR9Wphb2n2F1LeueWs1ffBXSw3eyQtlBL-cFx1DqurX2D_33VfQoK4o0uWYyUC9-CAbZzt5V0jHpQjseiv_Yh_wRKY6A3vksxhRahMV9WdPoeu-paGwGXGBPqtpyjhGvsJFZSHJG1Lg8kGBGB5Hey7PiV9h1FMHWyJFqqjzMOKIjI9NEgUpKdgmxVh7xQW5OiG6ja7EWRgbvC8XpLBxxkLmzxNSRnF1h-EBMVjUWdpJkT5ylKHOa05tGqH-FS9nCykTOYWPmJzQxwDfZtvU5CLvkVAMmtCcqu9zHqj10JrXNOOhlmF58DtV_pTOS0tsXUt9KPEVSdgGYq8-qyYDiBXSQafTfQzmXGuJ9V1cUy77SVFMA34MY7GzOQuCCCfa0LDSQWHXDZu9sYwVNj-IA3yh3vJqs9HVCwAJI1rGts--ElouTX2DsUulhjte45PEKwOX-O44bS0CqXEaZCUuLi0WDUq9TyZfFlyrg6p4beapBLcSZGrjHcnsZWdD-B5NQtHZr6H920_ZrY0Sf_KtmCEDThEKtSMipL13Ya9LrYbGJlapehb-B1JIJS0WNAmg=="}, {"type": "function_call", "name": "task", "arguments": "{\"description\":\"Use your echo tool to echo exactly the supplied text: \u201cReAct\u201d. Then briefly explain how the result from that tool is returned to the parent agent: state that the tool output is delivered to you, you summarize/report it in your final response, and the parent receives that summary. Do not add independent factual claims beyond this process description.\",\"subagent_type\":\"workflow-specialist\"}", "call_id": "call_9JHEYFbgDSkh97uIcwJTEbmA", "id": "fc_0bfebbbb3ce44274006ab34a2b62d487d2a913de2731c5a246", "index": 1}]
{"name": "task", "args": {"description": "Use your echo tool to echo exactly the supplied text: \u201cReAct\u201d. Then briefly explain how the result from that tool is returned to the parent agent: state that the tool output is delivered to you, you summarize/report it in your final response, and the parent receives that summary. Do not add independent factual claims beyond this process description.", "subagent_type": "workflow-specialist"}, "id": "call_9JHEYFbgDSkh97uIcwJTEbmA", "type": "tool_call"}</t>
  </si>
  <si>
    <t>Call total</t>
  </si>
  <si>
    <t>ok</t>
  </si>
  <si>
    <t>Tool · task</t>
  </si>
  <si>
    <t>01a0cc59-bed0-7943-8c70-10c12303efa6</t>
  </si>
  <si>
    <t xml:space="preserve">    Arguments</t>
  </si>
  <si>
    <t>{'description': 'Use your echo tool to echo exactly the supplied text: “ReAct”. Then briefly explain how the result from that tool is returned to the parent agent: state that the tool output is delivered to you, you summarize/report it in your final response, and the parent receives that summary. Do not add independent factual claims beyond this process description.', 'subagent_type': 'workflow-specialist'}</t>
  </si>
  <si>
    <t xml:space="preserve">    Result</t>
  </si>
  <si>
    <t>Command(update={'files': {}, 'messages': [ToolMessage(content='The tool output is delivered to me. I summarize/report it in my final response, and the parent receives that summary: “Your input was: ReAct”.', tool_call_id='call_9JHEYFbgDSkh97uIcwJTEbmA')]})</t>
  </si>
  <si>
    <t>R2</t>
  </si>
  <si>
    <t>01a0cc59-bedb-7b32-8f5a-20fb1aeaffe3</t>
  </si>
  <si>
    <t>You are a workflow teaching specialist. Call echo_tool with the assigned text, then summarize the returned echo for the parent. The echo repeats supplied input and provides no independent factual evidence. Do not delegate further.</t>
  </si>
  <si>
    <t>[{"id": "rs_0ee20727aa7aac92006ab34a2d603c87d2958b3bb4d33a3c7a", "summary": [], "type": "reasoning", "content": [], "index": 0, "encrypted_content": "gAAAAABqs0otxddo7f5Z--EqiX0qYRMSCuOGgHjHJ_VylMUvPis5126zgjFt76F3Ar_ZFgHMqMlla0DusPS0XLgMnJ_i_IrQJus243mxLT81do9sFLAR7EtRhROle_4ddQenAXGNWNXQWoSZICf3YJDwWJdbGWUQeY2rNzdXsFEpRA9WOJ2oLqN4pToXB4VEnqls1hjn47SCxhgEXRJ4XhcgdmqMNtvo1iyOW_Go6BYvuWAEiULsk0E_sgrWwxTzdtaLkrqxOQtoPHh55660VQiyf4yyDuQGVx-TkDrYk1MBsYPFWg4sTzKI7pv67rgBateZC_2f5B7qfZIa15yfpRkiTcmFHysjjbYikPpRgTFdIY5yHY62scR_R0_Ba22fH1yZLiq14MzxWhovpZ-eZmTwCbWQtAvcX_jyqh-XlOevlyxoyTqQmta-SGoSdnDs38FjVk9hgVoYXXg7A7b2t5aQNOWdQFIwzD50qNAnXYzQut9Fxo7xt7qzS96Wtw-FeGIV4ca5PhU2TQB6YNFlyyT0MD3VvAZvov2VAWCuhQAtEQeW1cs1pfTSIsSO2GKrB-xNWjzl94UwfIJjIJpe0emEL0RV_Nkg-tpByeMN5lM_MAxQUB0de0_hKC8td_zm3WcI1UDCBUWvDVTxneNlNE5jkn-XbFu4MiIzUwihz890jtqLwJwBc4qDPO_uyCjh-m3I_fCyoD-ibJDI_J0iQbDcXPWm4D3jTOl_EB-fS8VggeAlIHowUDl-m60cJvVagbl4saKet7M_ab8UZTJoTGqBFQImvmSErRPRDFcQ_50lkp6YlHJkxlKi-qkENIqIxwKu-VQsjvUZVplrvB1J17Jqk4VqbijFwkR5TXT2CP7z1WM802fHYT8_Ha6kq2lMcNcuiaywM6ibs8J31xsWajMGovbpY3NIWVlmNi3t0oS8IrOjzU1ZRZTZxhm1swpHoDLcVXJZAC7Pw7n_BTOssOzYEe7U8HQKBMX2rFYCtpz0XReWaaJpf0Vm1Z23LNDp7s2j3JMYaOBYBhLuqu_yZh-mg-r-eGw3x6aaM6-fZwglhUginHaz4pncGZPH7UKI_qmn91Te9iW4NifFkFqJY8SGQQLJQXnDriTXj54AXlF_uypwXe9dJ_MQvI5RHEmA7NfBKsRXC6GlMHD2nUDrJcdOIE9ncMISVZkO3kRlrVs0-0ZmpNTyfqu8-yFy5mQhtpm6Zfpeo12A6nqO0gY2VImS2Hmk8aj4Srr5o6dRJKhgZ9YMCGQS8uOYgABGSWVawmqDnAYCoQW1MyZzdPuW7M4b9a4y0dYuKNOxQcNgNKydhsfImWq7Z8beCS40eI0KlIrsp5Yl2w5uJhxJU5k4uUXr_-URmrty8QBrX_M2q5M6v5SzrVt0HjA="}, {"type": "function_call", "name": "echo_tool", "arguments": "{\"text\":\"ReAct\"}", "call_id": "call_wjzZczTAGuZxDZSqA0DnGMdK", "id": "fc_0ee20727aa7aac92006ab34a2dbed487d297c264128d3a200f", "index": 1}]
{"name": "echo_tool", "args": {"text": "ReAct"}, "id": "call_wjzZczTAGuZxDZSqA0DnGMdK", "type": "tool_call"}</t>
  </si>
  <si>
    <t>Tool · echo_tool</t>
  </si>
  <si>
    <t>01a0cc59-c3c9-7ef2-8456-ee8dc6450acc</t>
  </si>
  <si>
    <t>{'text': 'ReAct'}</t>
  </si>
  <si>
    <t>Your input was: ReAct</t>
  </si>
  <si>
    <t>R3</t>
  </si>
  <si>
    <t>01a0cc59-c3cf-7bb0-bf7a-cb79056d5932</t>
  </si>
  <si>
    <t>Conversation history · cache read</t>
  </si>
  <si>
    <t xml:space="preserve">    Tool result</t>
  </si>
  <si>
    <t>[{"type": "text", "text": "The tool output is delivered to me. I summarize/report it in my final response, and the parent receives that summary: \u201cYour input was: ReAct\u201d.", "phase": "final_answer", "index": 0, "id": "msg_0ee20727aa7aac92006ab34a2eaa4c87d295d02c40dbb74373"}]</t>
  </si>
  <si>
    <t>R4</t>
  </si>
  <si>
    <t>01a0cc59-c80c-79b3-b060-b43fbfc70873</t>
  </si>
  <si>
    <t>The tool output is delivered to me. I summarize/report it in my final response, and the parent receives that summary: “Your input was: ReAct”.</t>
  </si>
  <si>
    <t>[{"type": "text", "text": "The specialist echoed: **\u201cReAct\u201d**.\n\nIts tool result was delivered to the specialist, which summarized it in its final response; that summary was then returned to me, the parent agent.", "phase": "final_answer", "index": 0, "id": "msg_0bfebbbb3ce44274006ab34a2fef7087d2b31d450da099dc5f"}]</t>
  </si>
  <si>
    <t>delegating_parent</t>
  </si>
  <si>
    <t>workflow</t>
  </si>
  <si>
    <t>Execute the delegating_parent workflow operation and pass its result to the next graph step.</t>
  </si>
  <si>
    <t>Subtree total</t>
  </si>
  <si>
    <t xml:space="preserve">    PatchToolCallsMiddleware.before_agent</t>
  </si>
  <si>
    <t>Check message history and repair missing tool responses before the agent starts.</t>
  </si>
  <si>
    <t>01a0cc59-b4c0-7622-b132-83ec0300e42d</t>
  </si>
  <si>
    <t>No model charge</t>
  </si>
  <si>
    <t xml:space="preserve">    model</t>
  </si>
  <si>
    <t>Prepare the current conversation, run model middleware, and invoke the chat model.</t>
  </si>
  <si>
    <t>01a0cc59-b4c1-7860-8319-bbfec26373fb</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</si>
  <si>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</si>
  <si>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</si>
  <si>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</si>
  <si>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</si>
  <si>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</si>
  <si>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</si>
  <si>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01a0cc59-bece-7743-8ffb-cb07f698075a</t>
  </si>
  <si>
    <t xml:space="preserve">        task</t>
  </si>
  <si>
    <t>tool</t>
  </si>
  <si>
    <t>Launch an ephemeral subagent to handle a complex, multi-step task.
Available agent types and the tools they have access to:
- general-purpose: General-purpose agent for researching complex questions, searching for files and content, and executing multi-step tasks. When you are searching for a keyword or file and are not confident that you will find the right match in the first few tries use this agent to perform the search for you. This agent has access to all tools as the main agent.
- workflow-specialist: Echoes assigned text with a local tool and summarizes its result.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t>
  </si>
  <si>
    <t xml:space="preserve">            workflow-specialist</t>
  </si>
  <si>
    <t>Execute the workflow-specialist workflow operation and pass its result to the next graph step.</t>
  </si>
  <si>
    <t>01a0cc59-bed1-7822-b919-8a8a6e71c2b9</t>
  </si>
  <si>
    <t xml:space="preserve">                PatchToolCallsMiddleware.before_agent</t>
  </si>
  <si>
    <t>01a0cc59-bed2-7d52-bd18-4cb44897700e</t>
  </si>
  <si>
    <t xml:space="preserve">                model</t>
  </si>
  <si>
    <t>01a0cc59-bed4-73f3-bde4-e966bf220e73</t>
  </si>
  <si>
    <t xml:space="preserve">                    ChatOpenAI</t>
  </si>
  <si>
    <t xml:space="preserve">                tools</t>
  </si>
  <si>
    <t>01a0cc59-c3c8-79f0-ba79-fe5472e5bac4</t>
  </si>
  <si>
    <t xml:space="preserve">                    echo_tool</t>
  </si>
  <si>
    <t>Return the provided text prefixed with "Your input was: ".</t>
  </si>
  <si>
    <t>01a0cc59-c3cc-7f12-acf6-052b3bfa275d</t>
  </si>
  <si>
    <t>01a0cc59-c809-7d41-af6f-0be05fb7cae5</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</si>
</sst>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IF(COUNT('Turns'!E17,'Turns'!E33,'Turns'!E48,'Turns'!E60)=4,SUM('Turns'!E17,'Turns'!E33,'Turns'!E48,'Turns'!E60),"Unknown")</f>
        <v>0.001222539318</v>
      </c>
      <c r="F2" s="2">
        <f>IF(COUNT('Turns'!F17,'Turns'!F33,'Turns'!F48,'Turns'!F60)=4,SUM('Turns'!F17,'Turns'!F33,'Turns'!F48,'Turns'!F60),"Unknown")</f>
        <v>0.0014014</v>
      </c>
      <c r="G2" s="5">
        <f>IF(ISNUMBER(E2),ROUND(E2*'Reference data'!$B$2,0),"Unknown")</f>
        <v>122.0</v>
      </c>
      <c r="H2" s="5">
        <f>IF(ISNUMBER(F2),ROUND(F2*'Reference data'!$B$2,0),"Unknown")</f>
        <v>140.0</v>
      </c>
    </row>
    <row r="3" spans="1:13" s="4" customFormat="1" ht="24" customHeight="1">
      <c r="B3" s="4">
        <v>1</v>
      </c>
      <c r="C3" s="4" t="s">
        <v>92</v>
      </c>
      <c r="E3" s="2">
        <f>IF(COUNT('Turns'!E17,'Turns'!E33,'Turns'!E48,'Turns'!E60)=4,SUM('Turns'!E17,'Turns'!E33,'Turns'!E48,'Turns'!E60),"Unknown")</f>
        <v>0.001222539318</v>
      </c>
      <c r="F3" s="2">
        <f>IF(COUNT('Turns'!F17,'Turns'!F33,'Turns'!F48,'Turns'!F60)=4,SUM('Turns'!F17,'Turns'!F33,'Turns'!F48,'Turns'!F60),"Unknown")</f>
        <v>0.0014014</v>
      </c>
      <c r="G3" s="5">
        <f>IF(ISNUMBER(E3),ROUND(E3*'Reference data'!$B$2,0),"Unknown")</f>
        <v>122.0</v>
      </c>
      <c r="H3" s="5">
        <f>IF(ISNUMBER(F3),ROUND(F3*'Reference data'!$B$2,0),"Unknown")</f>
        <v>140.0</v>
      </c>
    </row>
    <row r="4" spans="1:13" s="4" customFormat="1" ht="24" customHeight="1">
      <c r="A4" s="4" t="s">
        <v>93</v>
      </c>
      <c r="B4" s="4">
        <v>1</v>
      </c>
      <c r="C4" s="4" t="s">
        <v>94</v>
      </c>
      <c r="D4" s="4">
        <v>2049</v>
      </c>
      <c r="J4" s="4" t="s">
        <v>95</v>
      </c>
      <c r="M4" s="4" t="s">
        <v>96</v>
      </c>
    </row>
    <row r="5" spans="1:13" ht="24" customHeight="1">
      <c r="A5" t="s">
        <v>93</v>
      </c>
      <c r="B5">
        <v>1</v>
      </c>
      <c r="C5" t="s">
        <v>97</v>
      </c>
      <c r="D5" s="5">
        <v>3</v>
      </c>
      <c r="E5" s="2">
        <f>IF(AND(ISNUMBER(F5),ISNUMBER('Reference data'!$B$3)),F5*'Reference data'!$B$3,"Unknown")</f>
        <v>5.23422e-07</v>
      </c>
      <c r="F5" s="2">
        <f>IF(D5=0,0,IF(ISNUMBER('Reference data'!B17),D5*'Reference data'!B17/1000000,"Unknown"))</f>
        <v>6e-07</v>
      </c>
      <c r="G5" s="5">
        <f>IF(ISNUMBER(E5),ROUND(E5*'Reference data'!$B$2,0),"Unknown")</f>
        <v>0.0</v>
      </c>
      <c r="H5" s="5">
        <f>IF(ISNUMBER(F5),ROUND(F5*'Reference data'!$B$2,0),"Unknown")</f>
        <v>0.0</v>
      </c>
    </row>
    <row r="6" spans="1:13" ht="24" customHeight="1">
      <c r="A6" t="s">
        <v>93</v>
      </c>
      <c r="B6">
        <v>1</v>
      </c>
      <c r="C6" t="s">
        <v>98</v>
      </c>
    </row>
    <row r="7" spans="1:13" ht="47" customHeight="1">
      <c r="A7" t="s">
        <v>93</v>
      </c>
      <c r="B7">
        <v>1</v>
      </c>
      <c r="C7" t="s">
        <v>99</v>
      </c>
      <c r="I7" s="6" t="s">
        <v>100</v>
      </c>
    </row>
    <row r="8" spans="1:13" ht="24" customHeight="1">
      <c r="A8" t="s">
        <v>93</v>
      </c>
      <c r="B8">
        <v>1</v>
      </c>
      <c r="C8" t="s">
        <v>101</v>
      </c>
      <c r="I8" s="6" t="s">
        <v>102</v>
      </c>
    </row>
    <row r="9" spans="1:13" ht="24" customHeight="1">
      <c r="A9" t="s">
        <v>93</v>
      </c>
      <c r="B9">
        <v>1</v>
      </c>
      <c r="C9" t="s">
        <v>103</v>
      </c>
      <c r="D9" s="5">
        <v>2046</v>
      </c>
      <c r="E9" s="2">
        <f>IF(AND(ISNUMBER(F9),ISNUMBER('Reference data'!$B$3)),F9*'Reference data'!$B$3,"Unknown")</f>
        <v>0.000446217255</v>
      </c>
      <c r="F9" s="2">
        <f>IF(D9=0,0,IF(ISNUMBER('Reference data'!D17),D9*'Reference data'!D17/1000000,"Unknown"))</f>
        <v>0.0005115</v>
      </c>
      <c r="G9" s="5">
        <f>IF(ISNUMBER(E9),ROUND(E9*'Reference data'!$B$2,0),"Unknown")</f>
        <v>45.0</v>
      </c>
      <c r="H9" s="5">
        <f>IF(ISNUMBER(F9),ROUND(F9*'Reference data'!$B$2,0),"Unknown")</f>
        <v>51.0</v>
      </c>
    </row>
    <row r="10" spans="1:13" ht="24" customHeight="1">
      <c r="A10" t="s">
        <v>93</v>
      </c>
      <c r="B10">
        <v>1</v>
      </c>
      <c r="C10" t="s">
        <v>104</v>
      </c>
    </row>
    <row r="11" spans="1:13" s="4" customFormat="1" ht="24" customHeight="1">
      <c r="A11" s="4" t="s">
        <v>93</v>
      </c>
      <c r="B11" s="4">
        <v>1</v>
      </c>
      <c r="C11" s="4" t="s">
        <v>105</v>
      </c>
      <c r="D11" s="4">
        <v>122</v>
      </c>
    </row>
    <row r="12" spans="1:13" ht="24" customHeight="1">
      <c r="A12" t="s">
        <v>93</v>
      </c>
      <c r="B12">
        <v>1</v>
      </c>
      <c r="C12" t="s">
        <v>106</v>
      </c>
      <c r="D12" s="5">
        <v>29</v>
      </c>
      <c r="E12" s="2">
        <f>IF(AND(ISNUMBER(F12),ISNUMBER('Reference data'!$B$3)),F12*'Reference data'!$B$3,"Unknown")</f>
        <v>3.0358476e-05</v>
      </c>
      <c r="F12" s="2">
        <f>IF(D12=0,0,IF(ISNUMBER('Reference data'!F17),D12*'Reference data'!F17/1000000,"Unknown"))</f>
        <v>3.48e-05</v>
      </c>
      <c r="G12" s="5">
        <f>IF(ISNUMBER(E12),ROUND(E12*'Reference data'!$B$2,0),"Unknown")</f>
        <v>3.0</v>
      </c>
      <c r="H12" s="5">
        <f>IF(ISNUMBER(F12),ROUND(F12*'Reference data'!$B$2,0),"Unknown")</f>
        <v>3.0</v>
      </c>
    </row>
    <row r="13" spans="1:13" ht="24" customHeight="1">
      <c r="A13" t="s">
        <v>93</v>
      </c>
      <c r="B13">
        <v>1</v>
      </c>
      <c r="C13" t="s">
        <v>107</v>
      </c>
      <c r="D13" s="5">
        <v>93</v>
      </c>
      <c r="E13" s="2">
        <f>IF(AND(ISNUMBER(F13),ISNUMBER('Reference data'!$B$3)),F13*'Reference data'!$B$3,"Unknown")</f>
        <v>9.7356492e-05</v>
      </c>
      <c r="F13" s="2">
        <f>IF(D13=0,0,IF(ISNUMBER('Reference data'!E17),D13*'Reference data'!E17/1000000,"Unknown"))</f>
        <v>0.0001116</v>
      </c>
      <c r="G13" s="5">
        <f>IF(ISNUMBER(E13),ROUND(E13*'Reference data'!$B$2,0),"Unknown")</f>
        <v>10.0</v>
      </c>
      <c r="H13" s="5">
        <f>IF(ISNUMBER(F13),ROUND(F13*'Reference data'!$B$2,0),"Unknown")</f>
        <v>11.0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IF(COUNT('Turns'!E5,'Turns'!E9,'Turns'!E12,'Turns'!E13)=4,SUM('Turns'!E5,'Turns'!E9,'Turns'!E12,'Turns'!E13),"Unknown")</f>
        <v>0.000574455645</v>
      </c>
      <c r="F17" s="2">
        <f>IF(COUNT('Turns'!F5,'Turns'!F9,'Turns'!F12,'Turns'!F13)=4,SUM('Turns'!F5,'Turns'!F9,'Turns'!F12,'Turns'!F13),"Unknown")</f>
        <v>0.0006585</v>
      </c>
      <c r="G17" s="5">
        <f>IF(ISNUMBER(E17),ROUND(E17*'Reference data'!$B$2,0),"Unknown")</f>
        <v>57.0</v>
      </c>
      <c r="H17" s="5">
        <f>IF(ISNUMBER(F17),ROUND(F17*'Reference data'!$B$2,0),"Unknown")</f>
        <v>66.0</v>
      </c>
      <c r="K17" s="4" t="s">
        <v>111</v>
      </c>
    </row>
    <row r="18" spans="1:13" s="4" customFormat="1" ht="24" customHeight="1">
      <c r="B18" s="4">
        <v>1</v>
      </c>
      <c r="C18" s="4" t="s">
        <v>112</v>
      </c>
      <c r="K18" s="4" t="s">
        <v>111</v>
      </c>
      <c r="M18" s="4" t="s">
        <v>113</v>
      </c>
    </row>
    <row r="19" spans="1:13" ht="73" customHeight="1">
      <c r="B19">
        <v>1</v>
      </c>
      <c r="C19" t="s">
        <v>114</v>
      </c>
      <c r="I19" s="6" t="s">
        <v>115</v>
      </c>
    </row>
    <row r="20" spans="1:13" ht="47" customHeight="1">
      <c r="B20">
        <v>1</v>
      </c>
      <c r="C20" t="s">
        <v>116</v>
      </c>
      <c r="I20" s="6" t="s">
        <v>117</v>
      </c>
    </row>
    <row r="21" spans="1:13" s="4" customFormat="1" ht="24" customHeight="1">
      <c r="A21" s="4" t="s">
        <v>118</v>
      </c>
      <c r="B21" s="4">
        <v>1</v>
      </c>
      <c r="C21" s="4" t="s">
        <v>94</v>
      </c>
      <c r="D21" s="4">
        <v>1767</v>
      </c>
      <c r="J21" s="4" t="s">
        <v>95</v>
      </c>
      <c r="M21" s="4" t="s">
        <v>119</v>
      </c>
    </row>
    <row r="22" spans="1:13" ht="24" customHeight="1">
      <c r="A22" t="s">
        <v>118</v>
      </c>
      <c r="B22">
        <v>1</v>
      </c>
      <c r="C22" t="s">
        <v>97</v>
      </c>
      <c r="D22" s="5">
        <v>3</v>
      </c>
      <c r="E22" s="2">
        <f>IF(AND(ISNUMBER(F22),ISNUMBER('Reference data'!$B$3)),F22*'Reference data'!$B$3,"Unknown")</f>
        <v>5.23422e-07</v>
      </c>
      <c r="F22" s="2">
        <f>IF(D22=0,0,IF(ISNUMBER('Reference data'!B17),D22*'Reference data'!B17/1000000,"Unknown"))</f>
        <v>6e-07</v>
      </c>
      <c r="G22" s="5">
        <f>IF(ISNUMBER(E22),ROUND(E22*'Reference data'!$B$2,0),"Unknown")</f>
        <v>0.0</v>
      </c>
      <c r="H22" s="5">
        <f>IF(ISNUMBER(F22),ROUND(F22*'Reference data'!$B$2,0),"Unknown")</f>
        <v>0.0</v>
      </c>
    </row>
    <row r="23" spans="1:13" ht="24" customHeight="1">
      <c r="A23" t="s">
        <v>118</v>
      </c>
      <c r="B23">
        <v>1</v>
      </c>
      <c r="C23" t="s">
        <v>98</v>
      </c>
    </row>
    <row r="24" spans="1:13" ht="47" customHeight="1">
      <c r="A24" t="s">
        <v>118</v>
      </c>
      <c r="B24">
        <v>1</v>
      </c>
      <c r="C24" t="s">
        <v>99</v>
      </c>
      <c r="I24" s="6" t="s">
        <v>120</v>
      </c>
    </row>
    <row r="25" spans="1:13" ht="24" customHeight="1">
      <c r="A25" t="s">
        <v>118</v>
      </c>
      <c r="B25">
        <v>1</v>
      </c>
      <c r="C25" t="s">
        <v>103</v>
      </c>
      <c r="D25" s="5">
        <v>1764</v>
      </c>
      <c r="E25" s="2">
        <f>IF(AND(ISNUMBER(F25),ISNUMBER('Reference data'!$B$3)),F25*'Reference data'!$B$3,"Unknown")</f>
        <v>0.00038471517</v>
      </c>
      <c r="F25" s="2">
        <f>IF(D25=0,0,IF(ISNUMBER('Reference data'!D17),D25*'Reference data'!D17/1000000,"Unknown"))</f>
        <v>0.000441</v>
      </c>
      <c r="G25" s="5">
        <f>IF(ISNUMBER(E25),ROUND(E25*'Reference data'!$B$2,0),"Unknown")</f>
        <v>38.0</v>
      </c>
      <c r="H25" s="5">
        <f>IF(ISNUMBER(F25),ROUND(F25*'Reference data'!$B$2,0),"Unknown")</f>
        <v>44.0</v>
      </c>
    </row>
    <row r="26" spans="1:13" ht="24" customHeight="1">
      <c r="A26" t="s">
        <v>118</v>
      </c>
      <c r="B26">
        <v>1</v>
      </c>
      <c r="C26" t="s">
        <v>104</v>
      </c>
    </row>
    <row r="27" spans="1:13" s="4" customFormat="1" ht="24" customHeight="1">
      <c r="A27" s="4" t="s">
        <v>118</v>
      </c>
      <c r="B27" s="4">
        <v>1</v>
      </c>
      <c r="C27" s="4" t="s">
        <v>105</v>
      </c>
      <c r="D27" s="4">
        <v>57</v>
      </c>
    </row>
    <row r="28" spans="1:13" ht="24" customHeight="1">
      <c r="A28" t="s">
        <v>118</v>
      </c>
      <c r="B28">
        <v>1</v>
      </c>
      <c r="C28" t="s">
        <v>106</v>
      </c>
      <c r="D28" s="5">
        <v>36</v>
      </c>
      <c r="E28" s="2">
        <f>IF(AND(ISNUMBER(F28),ISNUMBER('Reference data'!$B$3)),F28*'Reference data'!$B$3,"Unknown")</f>
        <v>3.7686384e-05</v>
      </c>
      <c r="F28" s="2">
        <f>IF(D28=0,0,IF(ISNUMBER('Reference data'!F17),D28*'Reference data'!F17/1000000,"Unknown"))</f>
        <v>4.32e-05</v>
      </c>
      <c r="G28" s="5">
        <f>IF(ISNUMBER(E28),ROUND(E28*'Reference data'!$B$2,0),"Unknown")</f>
        <v>4.0</v>
      </c>
      <c r="H28" s="5">
        <f>IF(ISNUMBER(F28),ROUND(F28*'Reference data'!$B$2,0),"Unknown")</f>
        <v>4.0</v>
      </c>
    </row>
    <row r="29" spans="1:13" ht="24" customHeight="1">
      <c r="A29" t="s">
        <v>118</v>
      </c>
      <c r="B29">
        <v>1</v>
      </c>
      <c r="C29" t="s">
        <v>107</v>
      </c>
      <c r="D29" s="5">
        <v>21</v>
      </c>
      <c r="E29" s="2">
        <f>IF(AND(ISNUMBER(F29),ISNUMBER('Reference data'!$B$3)),F29*'Reference data'!$B$3,"Unknown")</f>
        <v>2.1983724e-05</v>
      </c>
      <c r="F29" s="2">
        <f>IF(D29=0,0,IF(ISNUMBER('Reference data'!E17),D29*'Reference data'!E17/1000000,"Unknown"))</f>
        <v>2.52e-05</v>
      </c>
      <c r="G29" s="5">
        <f>IF(ISNUMBER(E29),ROUND(E29*'Reference data'!$B$2,0),"Unknown")</f>
        <v>2.0</v>
      </c>
      <c r="H29" s="5">
        <f>IF(ISNUMBER(F29),ROUND(F29*'Reference data'!$B$2,0),"Unknown")</f>
        <v>3.0</v>
      </c>
    </row>
    <row r="30" spans="1:13" ht="294" customHeight="1">
      <c r="A30" t="s">
        <v>118</v>
      </c>
      <c r="B30">
        <v>1</v>
      </c>
      <c r="C30" t="s">
        <v>108</v>
      </c>
      <c r="I30" s="6" t="s">
        <v>121</v>
      </c>
    </row>
    <row r="31" spans="1:13" ht="24" customHeight="1">
      <c r="A31" t="s">
        <v>118</v>
      </c>
      <c r="B31">
        <v>1</v>
      </c>
      <c r="C31" t="s">
        <v>103</v>
      </c>
    </row>
    <row r="32" spans="1:13" ht="24" customHeight="1">
      <c r="A32" t="s">
        <v>118</v>
      </c>
      <c r="B32">
        <v>1</v>
      </c>
      <c r="C32" t="s">
        <v>104</v>
      </c>
    </row>
    <row r="33" spans="1:13" s="4" customFormat="1" ht="24" customHeight="1">
      <c r="A33" s="4" t="s">
        <v>118</v>
      </c>
      <c r="B33" s="4">
        <v>1</v>
      </c>
      <c r="C33" s="4" t="s">
        <v>110</v>
      </c>
      <c r="E33" s="2">
        <f>IF(COUNT('Turns'!E22,'Turns'!E25,'Turns'!E28,'Turns'!E29)=4,SUM('Turns'!E22,'Turns'!E25,'Turns'!E28,'Turns'!E29),"Unknown")</f>
        <v>0.0004449087</v>
      </c>
      <c r="F33" s="2">
        <f>IF(COUNT('Turns'!F22,'Turns'!F25,'Turns'!F28,'Turns'!F29)=4,SUM('Turns'!F22,'Turns'!F25,'Turns'!F28,'Turns'!F29),"Unknown")</f>
        <v>0.00051</v>
      </c>
      <c r="G33" s="5">
        <f>IF(ISNUMBER(E33),ROUND(E33*'Reference data'!$B$2,0),"Unknown")</f>
        <v>44.0</v>
      </c>
      <c r="H33" s="5">
        <f>IF(ISNUMBER(F33),ROUND(F33*'Reference data'!$B$2,0),"Unknown")</f>
        <v>51.0</v>
      </c>
      <c r="K33" s="4" t="s">
        <v>111</v>
      </c>
    </row>
    <row r="34" spans="1:13" s="4" customFormat="1" ht="24" customHeight="1">
      <c r="B34" s="4">
        <v>1</v>
      </c>
      <c r="C34" s="4" t="s">
        <v>122</v>
      </c>
      <c r="K34" s="4" t="s">
        <v>111</v>
      </c>
      <c r="M34" s="4" t="s">
        <v>123</v>
      </c>
    </row>
    <row r="35" spans="1:13" ht="24" customHeight="1">
      <c r="B35">
        <v>1</v>
      </c>
      <c r="C35" t="s">
        <v>114</v>
      </c>
      <c r="I35" s="6" t="s">
        <v>124</v>
      </c>
    </row>
    <row r="36" spans="1:13" ht="24" customHeight="1">
      <c r="B36">
        <v>1</v>
      </c>
      <c r="C36" t="s">
        <v>116</v>
      </c>
      <c r="I36" s="6" t="s">
        <v>125</v>
      </c>
    </row>
    <row r="37" spans="1:13" s="4" customFormat="1" ht="24" customHeight="1">
      <c r="A37" s="4" t="s">
        <v>126</v>
      </c>
      <c r="B37" s="4">
        <v>1</v>
      </c>
      <c r="C37" s="4" t="s">
        <v>94</v>
      </c>
      <c r="D37" s="4">
        <v>1841</v>
      </c>
      <c r="J37" s="4" t="s">
        <v>95</v>
      </c>
      <c r="M37" s="4" t="s">
        <v>127</v>
      </c>
    </row>
    <row r="38" spans="1:13" ht="24" customHeight="1">
      <c r="A38" t="s">
        <v>126</v>
      </c>
      <c r="B38">
        <v>1</v>
      </c>
      <c r="C38" t="s">
        <v>128</v>
      </c>
      <c r="D38" s="5">
        <v>1764</v>
      </c>
      <c r="E38" s="2">
        <f>IF(AND(ISNUMBER(F38),ISNUMBER('Reference data'!$B$3)),F38*'Reference data'!$B$3,"Unknown")</f>
        <v>3.07772136e-05</v>
      </c>
      <c r="F38" s="2">
        <f>IF(D38=0,0,IF(ISNUMBER('Reference data'!C17),D38*'Reference data'!C17/1000000,"Unknown"))</f>
        <v>3.528e-05</v>
      </c>
      <c r="G38" s="5">
        <f>IF(ISNUMBER(E38),ROUND(E38*'Reference data'!$B$2,0),"Unknown")</f>
        <v>3.0</v>
      </c>
      <c r="H38" s="5">
        <f>IF(ISNUMBER(F38),ROUND(F38*'Reference data'!$B$2,0),"Unknown")</f>
        <v>4.0</v>
      </c>
    </row>
    <row r="39" spans="1:13" ht="24" customHeight="1">
      <c r="A39" t="s">
        <v>126</v>
      </c>
      <c r="B39">
        <v>1</v>
      </c>
      <c r="C39" t="s">
        <v>97</v>
      </c>
      <c r="D39" s="5">
        <v>3</v>
      </c>
      <c r="E39" s="2">
        <f>IF(AND(ISNUMBER(F39),ISNUMBER('Reference data'!$B$3)),F39*'Reference data'!$B$3,"Unknown")</f>
        <v>5.23422e-07</v>
      </c>
      <c r="F39" s="2">
        <f>IF(D39=0,0,IF(ISNUMBER('Reference data'!B17),D39*'Reference data'!B17/1000000,"Unknown"))</f>
        <v>6e-07</v>
      </c>
      <c r="G39" s="5">
        <f>IF(ISNUMBER(E39),ROUND(E39*'Reference data'!$B$2,0),"Unknown")</f>
        <v>0.0</v>
      </c>
      <c r="H39" s="5">
        <f>IF(ISNUMBER(F39),ROUND(F39*'Reference data'!$B$2,0),"Unknown")</f>
        <v>0.0</v>
      </c>
    </row>
    <row r="40" spans="1:13" ht="24" customHeight="1">
      <c r="A40" t="s">
        <v>126</v>
      </c>
      <c r="B40">
        <v>1</v>
      </c>
      <c r="C40" t="s">
        <v>129</v>
      </c>
      <c r="I40" s="6" t="s">
        <v>125</v>
      </c>
    </row>
    <row r="41" spans="1:13" ht="24" customHeight="1">
      <c r="A41" t="s">
        <v>126</v>
      </c>
      <c r="B41">
        <v>1</v>
      </c>
      <c r="C41" t="s">
        <v>103</v>
      </c>
      <c r="D41" s="5">
        <v>74</v>
      </c>
      <c r="E41" s="2">
        <f>IF(AND(ISNUMBER(F41),ISNUMBER('Reference data'!$B$3)),F41*'Reference data'!$B$3,"Unknown")</f>
        <v>1.6138845e-05</v>
      </c>
      <c r="F41" s="2">
        <f>IF(D41=0,0,IF(ISNUMBER('Reference data'!D17),D41*'Reference data'!D17/1000000,"Unknown"))</f>
        <v>1.85e-05</v>
      </c>
      <c r="G41" s="5">
        <f>IF(ISNUMBER(E41),ROUND(E41*'Reference data'!$B$2,0),"Unknown")</f>
        <v>2.0</v>
      </c>
      <c r="H41" s="5">
        <f>IF(ISNUMBER(F41),ROUND(F41*'Reference data'!$B$2,0),"Unknown")</f>
        <v>2.0</v>
      </c>
    </row>
    <row r="42" spans="1:13" ht="24" customHeight="1">
      <c r="A42" t="s">
        <v>126</v>
      </c>
      <c r="B42">
        <v>1</v>
      </c>
      <c r="C42" t="s">
        <v>104</v>
      </c>
    </row>
    <row r="43" spans="1:13" s="4" customFormat="1" ht="24" customHeight="1">
      <c r="A43" s="4" t="s">
        <v>126</v>
      </c>
      <c r="B43" s="4">
        <v>1</v>
      </c>
      <c r="C43" s="4" t="s">
        <v>105</v>
      </c>
      <c r="D43" s="4">
        <v>36</v>
      </c>
    </row>
    <row r="44" spans="1:13" ht="24" customHeight="1">
      <c r="A44" t="s">
        <v>126</v>
      </c>
      <c r="B44">
        <v>1</v>
      </c>
      <c r="C44" t="s">
        <v>107</v>
      </c>
      <c r="D44" s="5">
        <v>36</v>
      </c>
      <c r="E44" s="2">
        <f>IF(AND(ISNUMBER(F44),ISNUMBER('Reference data'!$B$3)),F44*'Reference data'!$B$3,"Unknown")</f>
        <v>3.7686384e-05</v>
      </c>
      <c r="F44" s="2">
        <f>IF(D44=0,0,IF(ISNUMBER('Reference data'!E17),D44*'Reference data'!E17/1000000,"Unknown"))</f>
        <v>4.32e-05</v>
      </c>
      <c r="G44" s="5">
        <f>IF(ISNUMBER(E44),ROUND(E44*'Reference data'!$B$2,0),"Unknown")</f>
        <v>4.0</v>
      </c>
      <c r="H44" s="5">
        <f>IF(ISNUMBER(F44),ROUND(F44*'Reference data'!$B$2,0),"Unknown")</f>
        <v>4.0</v>
      </c>
    </row>
    <row r="45" spans="1:13" ht="60" customHeight="1">
      <c r="A45" t="s">
        <v>126</v>
      </c>
      <c r="B45">
        <v>1</v>
      </c>
      <c r="C45" t="s">
        <v>108</v>
      </c>
      <c r="I45" s="6" t="s">
        <v>130</v>
      </c>
    </row>
    <row r="46" spans="1:13" ht="24" customHeight="1">
      <c r="A46" t="s">
        <v>126</v>
      </c>
      <c r="B46">
        <v>1</v>
      </c>
      <c r="C46" t="s">
        <v>103</v>
      </c>
    </row>
    <row r="47" spans="1:13" ht="24" customHeight="1">
      <c r="A47" t="s">
        <v>126</v>
      </c>
      <c r="B47">
        <v>1</v>
      </c>
      <c r="C47" t="s">
        <v>104</v>
      </c>
    </row>
    <row r="48" spans="1:13" s="4" customFormat="1" ht="24" customHeight="1">
      <c r="A48" s="4" t="s">
        <v>126</v>
      </c>
      <c r="B48" s="4">
        <v>1</v>
      </c>
      <c r="C48" s="4" t="s">
        <v>110</v>
      </c>
      <c r="E48" s="2">
        <f>IF(COUNT('Turns'!E38,'Turns'!E39,'Turns'!E41,'Turns'!E44)=4,SUM('Turns'!E38,'Turns'!E39,'Turns'!E41,'Turns'!E44),"Unknown")</f>
        <v>8.51258646e-05</v>
      </c>
      <c r="F48" s="2">
        <f>IF(COUNT('Turns'!F38,'Turns'!F39,'Turns'!F41,'Turns'!F44)=4,SUM('Turns'!F38,'Turns'!F39,'Turns'!F41,'Turns'!F44),"Unknown")</f>
        <v>9.758e-05</v>
      </c>
      <c r="G48" s="5">
        <f>IF(ISNUMBER(E48),ROUND(E48*'Reference data'!$B$2,0),"Unknown")</f>
        <v>9.0</v>
      </c>
      <c r="H48" s="5">
        <f>IF(ISNUMBER(F48),ROUND(F48*'Reference data'!$B$2,0),"Unknown")</f>
        <v>10.0</v>
      </c>
      <c r="K48" s="4" t="s">
        <v>111</v>
      </c>
    </row>
    <row r="49" spans="1:13" s="4" customFormat="1" ht="24" customHeight="1">
      <c r="A49" s="4" t="s">
        <v>131</v>
      </c>
      <c r="B49" s="4">
        <v>1</v>
      </c>
      <c r="C49" s="4" t="s">
        <v>94</v>
      </c>
      <c r="D49" s="4">
        <v>2213</v>
      </c>
      <c r="J49" s="4" t="s">
        <v>95</v>
      </c>
      <c r="M49" s="4" t="s">
        <v>132</v>
      </c>
    </row>
    <row r="50" spans="1:13" ht="24" customHeight="1">
      <c r="A50" t="s">
        <v>131</v>
      </c>
      <c r="B50">
        <v>1</v>
      </c>
      <c r="C50" t="s">
        <v>128</v>
      </c>
      <c r="D50" s="5">
        <v>2046</v>
      </c>
      <c r="E50" s="2">
        <f>IF(AND(ISNUMBER(F50),ISNUMBER('Reference data'!$B$3)),F50*'Reference data'!$B$3,"Unknown")</f>
        <v>3.56973804e-05</v>
      </c>
      <c r="F50" s="2">
        <f>IF(D50=0,0,IF(ISNUMBER('Reference data'!C17),D50*'Reference data'!C17/1000000,"Unknown"))</f>
        <v>4.092e-05</v>
      </c>
      <c r="G50" s="5">
        <f>IF(ISNUMBER(E50),ROUND(E50*'Reference data'!$B$2,0),"Unknown")</f>
        <v>4.0</v>
      </c>
      <c r="H50" s="5">
        <f>IF(ISNUMBER(F50),ROUND(F50*'Reference data'!$B$2,0),"Unknown")</f>
        <v>4.0</v>
      </c>
    </row>
    <row r="51" spans="1:13" ht="24" customHeight="1">
      <c r="A51" t="s">
        <v>131</v>
      </c>
      <c r="B51">
        <v>1</v>
      </c>
      <c r="C51" t="s">
        <v>97</v>
      </c>
      <c r="D51" s="5">
        <v>3</v>
      </c>
      <c r="E51" s="2">
        <f>IF(AND(ISNUMBER(F51),ISNUMBER('Reference data'!$B$3)),F51*'Reference data'!$B$3,"Unknown")</f>
        <v>5.23422e-07</v>
      </c>
      <c r="F51" s="2">
        <f>IF(D51=0,0,IF(ISNUMBER('Reference data'!B17),D51*'Reference data'!B17/1000000,"Unknown"))</f>
        <v>6e-07</v>
      </c>
      <c r="G51" s="5">
        <f>IF(ISNUMBER(E51),ROUND(E51*'Reference data'!$B$2,0),"Unknown")</f>
        <v>0.0</v>
      </c>
      <c r="H51" s="5">
        <f>IF(ISNUMBER(F51),ROUND(F51*'Reference data'!$B$2,0),"Unknown")</f>
        <v>0.0</v>
      </c>
    </row>
    <row r="52" spans="1:13" ht="34" customHeight="1">
      <c r="A52" t="s">
        <v>131</v>
      </c>
      <c r="B52">
        <v>1</v>
      </c>
      <c r="C52" t="s">
        <v>129</v>
      </c>
      <c r="I52" s="6" t="s">
        <v>133</v>
      </c>
    </row>
    <row r="53" spans="1:13" ht="24" customHeight="1">
      <c r="A53" t="s">
        <v>131</v>
      </c>
      <c r="B53">
        <v>1</v>
      </c>
      <c r="C53" t="s">
        <v>103</v>
      </c>
      <c r="D53" s="5">
        <v>164</v>
      </c>
      <c r="E53" s="2">
        <f>IF(AND(ISNUMBER(F53),ISNUMBER('Reference data'!$B$3)),F53*'Reference data'!$B$3,"Unknown")</f>
        <v>3.576717e-05</v>
      </c>
      <c r="F53" s="2">
        <f>IF(D53=0,0,IF(ISNUMBER('Reference data'!D17),D53*'Reference data'!D17/1000000,"Unknown"))</f>
        <v>4.1e-05</v>
      </c>
      <c r="G53" s="5">
        <f>IF(ISNUMBER(E53),ROUND(E53*'Reference data'!$B$2,0),"Unknown")</f>
        <v>4.0</v>
      </c>
      <c r="H53" s="5">
        <f>IF(ISNUMBER(F53),ROUND(F53*'Reference data'!$B$2,0),"Unknown")</f>
        <v>4.0</v>
      </c>
    </row>
    <row r="54" spans="1:13" ht="24" customHeight="1">
      <c r="A54" t="s">
        <v>131</v>
      </c>
      <c r="B54">
        <v>1</v>
      </c>
      <c r="C54" t="s">
        <v>104</v>
      </c>
    </row>
    <row r="55" spans="1:13" s="4" customFormat="1" ht="24" customHeight="1">
      <c r="A55" s="4" t="s">
        <v>131</v>
      </c>
      <c r="B55" s="4">
        <v>1</v>
      </c>
      <c r="C55" s="4" t="s">
        <v>105</v>
      </c>
      <c r="D55" s="4">
        <v>44</v>
      </c>
    </row>
    <row r="56" spans="1:13" ht="24" customHeight="1">
      <c r="A56" t="s">
        <v>131</v>
      </c>
      <c r="B56">
        <v>1</v>
      </c>
      <c r="C56" t="s">
        <v>107</v>
      </c>
      <c r="D56" s="5">
        <v>44</v>
      </c>
      <c r="E56" s="2">
        <f>IF(AND(ISNUMBER(F56),ISNUMBER('Reference data'!$B$3)),F56*'Reference data'!$B$3,"Unknown")</f>
        <v>4.6061136e-05</v>
      </c>
      <c r="F56" s="2">
        <f>IF(D56=0,0,IF(ISNUMBER('Reference data'!E17),D56*'Reference data'!E17/1000000,"Unknown"))</f>
        <v>5.28e-05</v>
      </c>
      <c r="G56" s="5">
        <f>IF(ISNUMBER(E56),ROUND(E56*'Reference data'!$B$2,0),"Unknown")</f>
        <v>5.0</v>
      </c>
      <c r="H56" s="5">
        <f>IF(ISNUMBER(F56),ROUND(F56*'Reference data'!$B$2,0),"Unknown")</f>
        <v>5.0</v>
      </c>
    </row>
    <row r="57" spans="1:13" ht="60" customHeight="1">
      <c r="A57" t="s">
        <v>131</v>
      </c>
      <c r="B57">
        <v>1</v>
      </c>
      <c r="C57" t="s">
        <v>108</v>
      </c>
      <c r="I57" s="6" t="s">
        <v>134</v>
      </c>
    </row>
    <row r="58" spans="1:13" ht="24" customHeight="1">
      <c r="A58" t="s">
        <v>131</v>
      </c>
      <c r="B58">
        <v>1</v>
      </c>
      <c r="C58" t="s">
        <v>103</v>
      </c>
    </row>
    <row r="59" spans="1:13" ht="24" customHeight="1">
      <c r="A59" t="s">
        <v>131</v>
      </c>
      <c r="B59">
        <v>1</v>
      </c>
      <c r="C59" t="s">
        <v>104</v>
      </c>
    </row>
    <row r="60" spans="1:13" s="4" customFormat="1" ht="24" customHeight="1">
      <c r="A60" s="4" t="s">
        <v>131</v>
      </c>
      <c r="B60" s="4">
        <v>1</v>
      </c>
      <c r="C60" s="4" t="s">
        <v>110</v>
      </c>
      <c r="E60" s="2">
        <f>IF(COUNT('Turns'!E50,'Turns'!E51,'Turns'!E53,'Turns'!E56)=4,SUM('Turns'!E50,'Turns'!E51,'Turns'!E53,'Turns'!E56),"Unknown")</f>
        <v>0.0001180491084</v>
      </c>
      <c r="F60" s="2">
        <f>IF(COUNT('Turns'!F50,'Turns'!F51,'Turns'!F53,'Turns'!F56)=4,SUM('Turns'!F50,'Turns'!F51,'Turns'!F53,'Turns'!F56),"Unknown")</f>
        <v>0.00013532</v>
      </c>
      <c r="G60" s="5">
        <f>IF(ISNUMBER(E60),ROUND(E60*'Reference data'!$B$2,0),"Unknown")</f>
        <v>12.0</v>
      </c>
      <c r="H60" s="5">
        <f>IF(ISNUMBER(F60),ROUND(F60*'Reference data'!$B$2,0),"Unknown")</f>
        <v>14.0</v>
      </c>
      <c r="K60" s="4" t="s">
        <v>111</v>
      </c>
    </row>
  </sheetData>
  <conditionalFormatting sqref="A2:AE6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1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135</v>
      </c>
      <c r="B2" s="1">
        <v>0</v>
      </c>
      <c r="C2" s="1" t="s">
        <v>136</v>
      </c>
      <c r="D2" s="1" t="s">
        <v>47</v>
      </c>
      <c r="E2" s="1" t="s">
        <v>111</v>
      </c>
      <c r="G2" s="6" t="s">
        <v>137</v>
      </c>
      <c r="H2" t="s">
        <v>49</v>
      </c>
      <c r="J2" s="2">
        <f>IF(COUNT('Turns'!D5,'Turns'!D22,'Turns'!D39,'Turns'!D51)=4,SUM('Turns'!D5,'Turns'!D22,'Turns'!D39,'Turns'!D51),"Unknown")</f>
        <v>12.0</v>
      </c>
      <c r="K2" s="2">
        <f>IF(COUNT('Turns'!E5,'Turns'!E22,'Turns'!E39,'Turns'!E51)=4,SUM('Turns'!E5,'Turns'!E22,'Turns'!E39,'Turns'!E51),"Unknown")</f>
        <v>2.093688e-06</v>
      </c>
      <c r="L2" s="2">
        <f>IF(COUNT('Turns'!F5,'Turns'!F22,'Turns'!F39,'Turns'!F51)=4,SUM('Turns'!F5,'Turns'!F22,'Turns'!F39,'Turns'!F51),"Unknown")</f>
        <v>2.4e-06</v>
      </c>
      <c r="M2" s="2">
        <f>IF(COUNT('Turns'!D38,'Turns'!D50)=2,SUM('Turns'!D38,'Turns'!D50),"Unknown")</f>
        <v>3810.0</v>
      </c>
      <c r="N2" s="2">
        <f>IF(COUNT('Turns'!E38,'Turns'!E50)=2,SUM('Turns'!E38,'Turns'!E50),"Unknown")</f>
        <v>6.6474594e-05</v>
      </c>
      <c r="O2" s="2">
        <f>IF(COUNT('Turns'!F38,'Turns'!F50)=2,SUM('Turns'!F38,'Turns'!F50),"Unknown")</f>
        <v>7.62e-05</v>
      </c>
      <c r="P2" s="2">
        <f>IF(COUNT('Turns'!D9,'Turns'!D25,'Turns'!D41,'Turns'!D53)=4,SUM('Turns'!D9,'Turns'!D25,'Turns'!D41,'Turns'!D53),"Unknown")</f>
        <v>4048.0</v>
      </c>
      <c r="Q2" s="2">
        <f>IF(COUNT('Turns'!E9,'Turns'!E25,'Turns'!E41,'Turns'!E53)=4,SUM('Turns'!E9,'Turns'!E25,'Turns'!E41,'Turns'!E53),"Unknown")</f>
        <v>0.00088283844</v>
      </c>
      <c r="R2" s="2">
        <f>IF(COUNT('Turns'!F9,'Turns'!F25,'Turns'!F41,'Turns'!F53)=4,SUM('Turns'!F9,'Turns'!F25,'Turns'!F41,'Turns'!F53),"Unknown")</f>
        <v>0.001012</v>
      </c>
      <c r="S2" s="2">
        <f>IF(COUNT('Turns'!D13,'Turns'!D29,'Turns'!D44,'Turns'!D56)=4,SUM('Turns'!D13,'Turns'!D29,'Turns'!D44,'Turns'!D56),"Unknown")</f>
        <v>194.0</v>
      </c>
      <c r="T2" s="2">
        <f>IF(COUNT('Turns'!E13,'Turns'!E29,'Turns'!E44,'Turns'!E56)=4,SUM('Turns'!E13,'Turns'!E29,'Turns'!E44,'Turns'!E56),"Unknown")</f>
        <v>0.000203087736</v>
      </c>
      <c r="U2" s="2">
        <f>IF(COUNT('Turns'!F13,'Turns'!F29,'Turns'!F44,'Turns'!F56)=4,SUM('Turns'!F13,'Turns'!F29,'Turns'!F44,'Turns'!F56),"Unknown")</f>
        <v>0.0002328</v>
      </c>
      <c r="V2" s="2">
        <f>IF(COUNT('Turns'!D12,'Turns'!D28)=2,SUM('Turns'!D12,'Turns'!D28),"Unknown")</f>
        <v>65.0</v>
      </c>
      <c r="W2" s="2">
        <f>IF(COUNT('Turns'!E12,'Turns'!E28)=2,SUM('Turns'!E12,'Turns'!E28),"Unknown")</f>
        <v>6.804486e-05</v>
      </c>
      <c r="X2" s="2">
        <f>IF(COUNT('Turns'!F12,'Turns'!F28)=2,SUM('Turns'!F12,'Turns'!F28),"Unknown")</f>
        <v>7.8e-05</v>
      </c>
      <c r="Y2" s="2">
        <f>IF(COUNT('Turns'!E17,'Turns'!E33,'Turns'!E48,'Turns'!E60)=4,SUM('Turns'!E17,'Turns'!E33,'Turns'!E48,'Turns'!E60),"Unknown")</f>
        <v>0.001222539318</v>
      </c>
      <c r="Z2" s="2">
        <f>IF(COUNT('Turns'!F17,'Turns'!F33,'Turns'!F48,'Turns'!F60)=4,SUM('Turns'!F17,'Turns'!F33,'Turns'!F48,'Turns'!F60),"Unknown")</f>
        <v>0.0014014</v>
      </c>
      <c r="AA2" s="5">
        <f>IF(ISNUMBER(Y2),ROUND(Y2*'Reference data'!$B$2,0),"Unknown")</f>
        <v>122.0</v>
      </c>
      <c r="AB2" s="5">
        <f>IF(ISNUMBER(Z2),ROUND(Z2*'Reference data'!$B$2,0),"Unknown")</f>
        <v>140.0</v>
      </c>
      <c r="AD2" s="1">
        <v>6523.83</v>
      </c>
      <c r="AE2" s="1" t="s">
        <v>138</v>
      </c>
    </row>
    <row r="3" spans="1:31" ht="54" customHeight="1">
      <c r="A3" s="6" t="s">
        <v>139</v>
      </c>
      <c r="B3" s="1">
        <v>1</v>
      </c>
      <c r="C3" s="1" t="s">
        <v>136</v>
      </c>
      <c r="D3" s="1" t="s">
        <v>47</v>
      </c>
      <c r="E3" s="1" t="s">
        <v>111</v>
      </c>
      <c r="G3" s="6" t="s">
        <v>140</v>
      </c>
      <c r="H3" t="s">
        <v>141</v>
      </c>
      <c r="I3" t="s">
        <v>49</v>
      </c>
      <c r="AD3" s="1">
        <v>0.415</v>
      </c>
      <c r="AE3" s="1" t="s">
        <v>142</v>
      </c>
    </row>
    <row r="4" spans="1:31" ht="54" customHeight="1">
      <c r="A4" s="6" t="s">
        <v>143</v>
      </c>
      <c r="B4" s="1">
        <v>1</v>
      </c>
      <c r="C4" s="1" t="s">
        <v>136</v>
      </c>
      <c r="D4" s="1" t="s">
        <v>47</v>
      </c>
      <c r="E4" s="1" t="s">
        <v>111</v>
      </c>
      <c r="G4" s="6" t="s">
        <v>144</v>
      </c>
      <c r="H4" t="s">
        <v>145</v>
      </c>
      <c r="I4" t="s">
        <v>49</v>
      </c>
      <c r="J4" s="2">
        <f>IF(COUNT('Turns'!D5)=1,SUM('Turns'!D5),"Unknown")</f>
        <v>3.0</v>
      </c>
      <c r="K4" s="2">
        <f>IF(COUNT('Turns'!E5)=1,SUM('Turns'!E5),"Unknown")</f>
        <v>5.23422e-07</v>
      </c>
      <c r="L4" s="2">
        <f>IF(COUNT('Turns'!F5)=1,SUM('Turns'!F5),"Unknown")</f>
        <v>6e-07</v>
      </c>
      <c r="M4" s="2">
        <v>0</v>
      </c>
      <c r="N4" s="2">
        <v>0</v>
      </c>
      <c r="O4" s="2">
        <v>0</v>
      </c>
      <c r="P4" s="2">
        <f>IF(COUNT('Turns'!D9)=1,SUM('Turns'!D9),"Unknown")</f>
        <v>2046.0</v>
      </c>
      <c r="Q4" s="2">
        <f>IF(COUNT('Turns'!E9)=1,SUM('Turns'!E9),"Unknown")</f>
        <v>0.000446217255</v>
      </c>
      <c r="R4" s="2">
        <f>IF(COUNT('Turns'!F9)=1,SUM('Turns'!F9),"Unknown")</f>
        <v>0.0005115</v>
      </c>
      <c r="S4" s="2">
        <f>IF(COUNT('Turns'!D13)=1,SUM('Turns'!D13),"Unknown")</f>
        <v>93.0</v>
      </c>
      <c r="T4" s="2">
        <f>IF(COUNT('Turns'!E13)=1,SUM('Turns'!E13),"Unknown")</f>
        <v>9.7356492e-05</v>
      </c>
      <c r="U4" s="2">
        <f>IF(COUNT('Turns'!F13)=1,SUM('Turns'!F13),"Unknown")</f>
        <v>0.0001116</v>
      </c>
      <c r="V4" s="2">
        <f>IF(COUNT('Turns'!D12)=1,SUM('Turns'!D12),"Unknown")</f>
        <v>29.0</v>
      </c>
      <c r="W4" s="2">
        <f>IF(COUNT('Turns'!E12)=1,SUM('Turns'!E12),"Unknown")</f>
        <v>3.0358476e-05</v>
      </c>
      <c r="X4" s="2">
        <f>IF(COUNT('Turns'!F12)=1,SUM('Turns'!F12),"Unknown")</f>
        <v>3.48e-05</v>
      </c>
      <c r="Y4" s="2">
        <f>IF(COUNT('Turns'!E17)=1,SUM('Turns'!E17),"Unknown")</f>
        <v>0.000574455645</v>
      </c>
      <c r="Z4" s="2">
        <f>IF(COUNT('Turns'!F17)=1,SUM('Turns'!F17),"Unknown")</f>
        <v>0.0006585</v>
      </c>
      <c r="AA4" s="5">
        <f>IF(ISNUMBER(Y4),ROUND(Y4*'Reference data'!$B$2,0),"Unknown")</f>
        <v>57.0</v>
      </c>
      <c r="AB4" s="5">
        <f>IF(ISNUMBER(Z4),ROUND(Z4*'Reference data'!$B$2,0),"Unknown")</f>
        <v>66.0</v>
      </c>
      <c r="AD4" s="1">
        <v>2566.468</v>
      </c>
      <c r="AE4" s="1" t="s">
        <v>138</v>
      </c>
    </row>
    <row r="5" spans="1:31" ht="54" customHeight="1">
      <c r="A5" s="6" t="s">
        <v>146</v>
      </c>
      <c r="B5" s="1">
        <v>2</v>
      </c>
      <c r="C5" s="1" t="s">
        <v>147</v>
      </c>
      <c r="D5" s="1" t="s">
        <v>95</v>
      </c>
      <c r="E5" s="1" t="s">
        <v>111</v>
      </c>
      <c r="F5" s="1">
        <v>2049</v>
      </c>
      <c r="G5" s="6" t="s">
        <v>148</v>
      </c>
      <c r="H5" t="s">
        <v>96</v>
      </c>
      <c r="I5" t="s">
        <v>145</v>
      </c>
      <c r="J5" s="2">
        <f>IF(COUNT('Turns'!D5)=1,SUM('Turns'!D5),"Unknown")</f>
        <v>3.0</v>
      </c>
      <c r="K5" s="2">
        <f>IF(COUNT('Turns'!E5)=1,SUM('Turns'!E5),"Unknown")</f>
        <v>5.23422e-07</v>
      </c>
      <c r="L5" s="2">
        <f>IF(COUNT('Turns'!F5)=1,SUM('Turns'!F5),"Unknown")</f>
        <v>6e-07</v>
      </c>
      <c r="M5" s="2">
        <v>0</v>
      </c>
      <c r="N5" s="2">
        <v>0</v>
      </c>
      <c r="O5" s="2">
        <v>0</v>
      </c>
      <c r="P5" s="2">
        <f>IF(COUNT('Turns'!D9)=1,SUM('Turns'!D9),"Unknown")</f>
        <v>2046.0</v>
      </c>
      <c r="Q5" s="2">
        <f>IF(COUNT('Turns'!E9)=1,SUM('Turns'!E9),"Unknown")</f>
        <v>0.000446217255</v>
      </c>
      <c r="R5" s="2">
        <f>IF(COUNT('Turns'!F9)=1,SUM('Turns'!F9),"Unknown")</f>
        <v>0.0005115</v>
      </c>
      <c r="S5" s="2">
        <f>IF(COUNT('Turns'!D13)=1,SUM('Turns'!D13),"Unknown")</f>
        <v>93.0</v>
      </c>
      <c r="T5" s="2">
        <f>IF(COUNT('Turns'!E13)=1,SUM('Turns'!E13),"Unknown")</f>
        <v>9.7356492e-05</v>
      </c>
      <c r="U5" s="2">
        <f>IF(COUNT('Turns'!F13)=1,SUM('Turns'!F13),"Unknown")</f>
        <v>0.0001116</v>
      </c>
      <c r="V5" s="2">
        <f>IF(COUNT('Turns'!D12)=1,SUM('Turns'!D12),"Unknown")</f>
        <v>29.0</v>
      </c>
      <c r="W5" s="2">
        <f>IF(COUNT('Turns'!E12)=1,SUM('Turns'!E12),"Unknown")</f>
        <v>3.0358476e-05</v>
      </c>
      <c r="X5" s="2">
        <f>IF(COUNT('Turns'!F12)=1,SUM('Turns'!F12),"Unknown")</f>
        <v>3.48e-05</v>
      </c>
      <c r="Y5" s="2">
        <f>IF(COUNT('Turns'!E17)=1,SUM('Turns'!E17),"Unknown")</f>
        <v>0.000574455645</v>
      </c>
      <c r="Z5" s="2">
        <f>IF(COUNT('Turns'!F17)=1,SUM('Turns'!F17),"Unknown")</f>
        <v>0.0006585</v>
      </c>
      <c r="AA5" s="5">
        <f>IF(ISNUMBER(Y5),ROUND(Y5*'Reference data'!$B$2,0),"Unknown")</f>
        <v>57.0</v>
      </c>
      <c r="AB5" s="5">
        <f>IF(ISNUMBER(Z5),ROUND(Z5*'Reference data'!$B$2,0),"Unknown")</f>
        <v>66.0</v>
      </c>
      <c r="AC5" s="1" t="s">
        <v>93</v>
      </c>
      <c r="AD5" s="1">
        <v>2555.741</v>
      </c>
      <c r="AE5" s="1" t="s">
        <v>149</v>
      </c>
    </row>
    <row r="6" spans="1:31" ht="54" customHeight="1">
      <c r="A6" s="6" t="s">
        <v>150</v>
      </c>
      <c r="B6" s="1">
        <v>1</v>
      </c>
      <c r="C6" s="1" t="s">
        <v>136</v>
      </c>
      <c r="D6" s="1" t="s">
        <v>47</v>
      </c>
      <c r="E6" s="1" t="s">
        <v>111</v>
      </c>
      <c r="G6" s="6" t="s">
        <v>151</v>
      </c>
      <c r="H6" t="s">
        <v>152</v>
      </c>
      <c r="I6" t="s">
        <v>49</v>
      </c>
      <c r="J6" s="2">
        <f>IF(COUNT('Turns'!D22,'Turns'!D39)=2,SUM('Turns'!D22,'Turns'!D39),"Unknown")</f>
        <v>6.0</v>
      </c>
      <c r="K6" s="2">
        <f>IF(COUNT('Turns'!E22,'Turns'!E39)=2,SUM('Turns'!E22,'Turns'!E39),"Unknown")</f>
        <v>1.046844e-06</v>
      </c>
      <c r="L6" s="2">
        <f>IF(COUNT('Turns'!F22,'Turns'!F39)=2,SUM('Turns'!F22,'Turns'!F39),"Unknown")</f>
        <v>1.2e-06</v>
      </c>
      <c r="M6" s="2">
        <f>IF(COUNT('Turns'!D38)=1,SUM('Turns'!D38),"Unknown")</f>
        <v>1764.0</v>
      </c>
      <c r="N6" s="2">
        <f>IF(COUNT('Turns'!E38)=1,SUM('Turns'!E38),"Unknown")</f>
        <v>3.07772136e-05</v>
      </c>
      <c r="O6" s="2">
        <f>IF(COUNT('Turns'!F38)=1,SUM('Turns'!F38),"Unknown")</f>
        <v>3.528e-05</v>
      </c>
      <c r="P6" s="2">
        <f>IF(COUNT('Turns'!D25,'Turns'!D41)=2,SUM('Turns'!D25,'Turns'!D41),"Unknown")</f>
        <v>1838.0</v>
      </c>
      <c r="Q6" s="2">
        <f>IF(COUNT('Turns'!E25,'Turns'!E41)=2,SUM('Turns'!E25,'Turns'!E41),"Unknown")</f>
        <v>0.000400854015</v>
      </c>
      <c r="R6" s="2">
        <f>IF(COUNT('Turns'!F25,'Turns'!F41)=2,SUM('Turns'!F25,'Turns'!F41),"Unknown")</f>
        <v>0.0004595</v>
      </c>
      <c r="S6" s="2">
        <f>IF(COUNT('Turns'!D29,'Turns'!D44)=2,SUM('Turns'!D29,'Turns'!D44),"Unknown")</f>
        <v>57.0</v>
      </c>
      <c r="T6" s="2">
        <f>IF(COUNT('Turns'!E29,'Turns'!E44)=2,SUM('Turns'!E29,'Turns'!E44),"Unknown")</f>
        <v>5.9670108e-05</v>
      </c>
      <c r="U6" s="2">
        <f>IF(COUNT('Turns'!F29,'Turns'!F44)=2,SUM('Turns'!F29,'Turns'!F44),"Unknown")</f>
        <v>6.84e-05</v>
      </c>
      <c r="V6" s="2">
        <f>IF(COUNT('Turns'!D28)=1,SUM('Turns'!D28),"Unknown")</f>
        <v>36.0</v>
      </c>
      <c r="W6" s="2">
        <f>IF(COUNT('Turns'!E28)=1,SUM('Turns'!E28),"Unknown")</f>
        <v>3.7686384e-05</v>
      </c>
      <c r="X6" s="2">
        <f>IF(COUNT('Turns'!F28)=1,SUM('Turns'!F28),"Unknown")</f>
        <v>4.32e-05</v>
      </c>
      <c r="Y6" s="2">
        <f>IF(COUNT('Turns'!E33,'Turns'!E48)=2,SUM('Turns'!E33,'Turns'!E48),"Unknown")</f>
        <v>0.0005300345646</v>
      </c>
      <c r="Z6" s="2">
        <f>IF(COUNT('Turns'!F33,'Turns'!F48)=2,SUM('Turns'!F33,'Turns'!F48),"Unknown")</f>
        <v>0.00060758</v>
      </c>
      <c r="AA6" s="5">
        <f>IF(ISNUMBER(Y6),ROUND(Y6*'Reference data'!$B$2,0),"Unknown")</f>
        <v>53.0</v>
      </c>
      <c r="AB6" s="5">
        <f>IF(ISNUMBER(Z6),ROUND(Z6*'Reference data'!$B$2,0),"Unknown")</f>
        <v>61.0</v>
      </c>
      <c r="AD6" s="1">
        <v>2361.954</v>
      </c>
      <c r="AE6" s="1" t="s">
        <v>138</v>
      </c>
    </row>
    <row r="7" spans="1:31" ht="54" customHeight="1">
      <c r="A7" s="6" t="s">
        <v>153</v>
      </c>
      <c r="B7" s="1">
        <v>2</v>
      </c>
      <c r="C7" s="1" t="s">
        <v>154</v>
      </c>
      <c r="D7" s="1" t="s">
        <v>47</v>
      </c>
      <c r="E7" s="1" t="s">
        <v>111</v>
      </c>
      <c r="G7" s="6" t="s">
        <v>155</v>
      </c>
      <c r="H7" t="s">
        <v>113</v>
      </c>
      <c r="I7" t="s">
        <v>152</v>
      </c>
      <c r="J7" s="2">
        <f>IF(COUNT('Turns'!D22,'Turns'!D39)=2,SUM('Turns'!D22,'Turns'!D39),"Unknown")</f>
        <v>6.0</v>
      </c>
      <c r="K7" s="2">
        <f>IF(COUNT('Turns'!E22,'Turns'!E39)=2,SUM('Turns'!E22,'Turns'!E39),"Unknown")</f>
        <v>1.046844e-06</v>
      </c>
      <c r="L7" s="2">
        <f>IF(COUNT('Turns'!F22,'Turns'!F39)=2,SUM('Turns'!F22,'Turns'!F39),"Unknown")</f>
        <v>1.2e-06</v>
      </c>
      <c r="M7" s="2">
        <f>IF(COUNT('Turns'!D38)=1,SUM('Turns'!D38),"Unknown")</f>
        <v>1764.0</v>
      </c>
      <c r="N7" s="2">
        <f>IF(COUNT('Turns'!E38)=1,SUM('Turns'!E38),"Unknown")</f>
        <v>3.07772136e-05</v>
      </c>
      <c r="O7" s="2">
        <f>IF(COUNT('Turns'!F38)=1,SUM('Turns'!F38),"Unknown")</f>
        <v>3.528e-05</v>
      </c>
      <c r="P7" s="2">
        <f>IF(COUNT('Turns'!D25,'Turns'!D41)=2,SUM('Turns'!D25,'Turns'!D41),"Unknown")</f>
        <v>1838.0</v>
      </c>
      <c r="Q7" s="2">
        <f>IF(COUNT('Turns'!E25,'Turns'!E41)=2,SUM('Turns'!E25,'Turns'!E41),"Unknown")</f>
        <v>0.000400854015</v>
      </c>
      <c r="R7" s="2">
        <f>IF(COUNT('Turns'!F25,'Turns'!F41)=2,SUM('Turns'!F25,'Turns'!F41),"Unknown")</f>
        <v>0.0004595</v>
      </c>
      <c r="S7" s="2">
        <f>IF(COUNT('Turns'!D29,'Turns'!D44)=2,SUM('Turns'!D29,'Turns'!D44),"Unknown")</f>
        <v>57.0</v>
      </c>
      <c r="T7" s="2">
        <f>IF(COUNT('Turns'!E29,'Turns'!E44)=2,SUM('Turns'!E29,'Turns'!E44),"Unknown")</f>
        <v>5.9670108e-05</v>
      </c>
      <c r="U7" s="2">
        <f>IF(COUNT('Turns'!F29,'Turns'!F44)=2,SUM('Turns'!F29,'Turns'!F44),"Unknown")</f>
        <v>6.84e-05</v>
      </c>
      <c r="V7" s="2">
        <f>IF(COUNT('Turns'!D28)=1,SUM('Turns'!D28),"Unknown")</f>
        <v>36.0</v>
      </c>
      <c r="W7" s="2">
        <f>IF(COUNT('Turns'!E28)=1,SUM('Turns'!E28),"Unknown")</f>
        <v>3.7686384e-05</v>
      </c>
      <c r="X7" s="2">
        <f>IF(COUNT('Turns'!F28)=1,SUM('Turns'!F28),"Unknown")</f>
        <v>4.32e-05</v>
      </c>
      <c r="Y7" s="2">
        <f>IF(COUNT('Turns'!E33,'Turns'!E48)=2,SUM('Turns'!E33,'Turns'!E48),"Unknown")</f>
        <v>0.0005300345646</v>
      </c>
      <c r="Z7" s="2">
        <f>IF(COUNT('Turns'!F33,'Turns'!F48)=2,SUM('Turns'!F33,'Turns'!F48),"Unknown")</f>
        <v>0.00060758</v>
      </c>
      <c r="AA7" s="5">
        <f>IF(ISNUMBER(Y7),ROUND(Y7*'Reference data'!$B$2,0),"Unknown")</f>
        <v>53.0</v>
      </c>
      <c r="AB7" s="5">
        <f>IF(ISNUMBER(Z7),ROUND(Z7*'Reference data'!$B$2,0),"Unknown")</f>
        <v>61.0</v>
      </c>
      <c r="AD7" s="1">
        <v>2359.774</v>
      </c>
      <c r="AE7" s="1" t="s">
        <v>138</v>
      </c>
    </row>
    <row r="8" spans="1:31" ht="54" customHeight="1">
      <c r="A8" s="6" t="s">
        <v>156</v>
      </c>
      <c r="B8" s="1">
        <v>3</v>
      </c>
      <c r="C8" s="1" t="s">
        <v>136</v>
      </c>
      <c r="D8" s="1" t="s">
        <v>47</v>
      </c>
      <c r="E8" s="1" t="s">
        <v>111</v>
      </c>
      <c r="G8" s="6" t="s">
        <v>157</v>
      </c>
      <c r="H8" t="s">
        <v>158</v>
      </c>
      <c r="I8" t="s">
        <v>113</v>
      </c>
      <c r="J8" s="2">
        <f>IF(COUNT('Turns'!D22,'Turns'!D39)=2,SUM('Turns'!D22,'Turns'!D39),"Unknown")</f>
        <v>6.0</v>
      </c>
      <c r="K8" s="2">
        <f>IF(COUNT('Turns'!E22,'Turns'!E39)=2,SUM('Turns'!E22,'Turns'!E39),"Unknown")</f>
        <v>1.046844e-06</v>
      </c>
      <c r="L8" s="2">
        <f>IF(COUNT('Turns'!F22,'Turns'!F39)=2,SUM('Turns'!F22,'Turns'!F39),"Unknown")</f>
        <v>1.2e-06</v>
      </c>
      <c r="M8" s="2">
        <f>IF(COUNT('Turns'!D38)=1,SUM('Turns'!D38),"Unknown")</f>
        <v>1764.0</v>
      </c>
      <c r="N8" s="2">
        <f>IF(COUNT('Turns'!E38)=1,SUM('Turns'!E38),"Unknown")</f>
        <v>3.07772136e-05</v>
      </c>
      <c r="O8" s="2">
        <f>IF(COUNT('Turns'!F38)=1,SUM('Turns'!F38),"Unknown")</f>
        <v>3.528e-05</v>
      </c>
      <c r="P8" s="2">
        <f>IF(COUNT('Turns'!D25,'Turns'!D41)=2,SUM('Turns'!D25,'Turns'!D41),"Unknown")</f>
        <v>1838.0</v>
      </c>
      <c r="Q8" s="2">
        <f>IF(COUNT('Turns'!E25,'Turns'!E41)=2,SUM('Turns'!E25,'Turns'!E41),"Unknown")</f>
        <v>0.000400854015</v>
      </c>
      <c r="R8" s="2">
        <f>IF(COUNT('Turns'!F25,'Turns'!F41)=2,SUM('Turns'!F25,'Turns'!F41),"Unknown")</f>
        <v>0.0004595</v>
      </c>
      <c r="S8" s="2">
        <f>IF(COUNT('Turns'!D29,'Turns'!D44)=2,SUM('Turns'!D29,'Turns'!D44),"Unknown")</f>
        <v>57.0</v>
      </c>
      <c r="T8" s="2">
        <f>IF(COUNT('Turns'!E29,'Turns'!E44)=2,SUM('Turns'!E29,'Turns'!E44),"Unknown")</f>
        <v>5.9670108e-05</v>
      </c>
      <c r="U8" s="2">
        <f>IF(COUNT('Turns'!F29,'Turns'!F44)=2,SUM('Turns'!F29,'Turns'!F44),"Unknown")</f>
        <v>6.84e-05</v>
      </c>
      <c r="V8" s="2">
        <f>IF(COUNT('Turns'!D28)=1,SUM('Turns'!D28),"Unknown")</f>
        <v>36.0</v>
      </c>
      <c r="W8" s="2">
        <f>IF(COUNT('Turns'!E28)=1,SUM('Turns'!E28),"Unknown")</f>
        <v>3.7686384e-05</v>
      </c>
      <c r="X8" s="2">
        <f>IF(COUNT('Turns'!F28)=1,SUM('Turns'!F28),"Unknown")</f>
        <v>4.32e-05</v>
      </c>
      <c r="Y8" s="2">
        <f>IF(COUNT('Turns'!E33,'Turns'!E48)=2,SUM('Turns'!E33,'Turns'!E48),"Unknown")</f>
        <v>0.0005300345646</v>
      </c>
      <c r="Z8" s="2">
        <f>IF(COUNT('Turns'!F33,'Turns'!F48)=2,SUM('Turns'!F33,'Turns'!F48),"Unknown")</f>
        <v>0.00060758</v>
      </c>
      <c r="AA8" s="5">
        <f>IF(ISNUMBER(Y8),ROUND(Y8*'Reference data'!$B$2,0),"Unknown")</f>
        <v>53.0</v>
      </c>
      <c r="AB8" s="5">
        <f>IF(ISNUMBER(Z8),ROUND(Z8*'Reference data'!$B$2,0),"Unknown")</f>
        <v>61.0</v>
      </c>
      <c r="AD8" s="1">
        <v>2358.488</v>
      </c>
      <c r="AE8" s="1" t="s">
        <v>138</v>
      </c>
    </row>
    <row r="9" spans="1:31" ht="54" customHeight="1">
      <c r="A9" s="6" t="s">
        <v>159</v>
      </c>
      <c r="B9" s="1">
        <v>4</v>
      </c>
      <c r="C9" s="1" t="s">
        <v>136</v>
      </c>
      <c r="D9" s="1" t="s">
        <v>47</v>
      </c>
      <c r="E9" s="1" t="s">
        <v>111</v>
      </c>
      <c r="G9" s="6" t="s">
        <v>140</v>
      </c>
      <c r="H9" t="s">
        <v>160</v>
      </c>
      <c r="I9" t="s">
        <v>158</v>
      </c>
      <c r="AD9" s="1">
        <v>1.627</v>
      </c>
      <c r="AE9" s="1" t="s">
        <v>142</v>
      </c>
    </row>
    <row r="10" spans="1:31" ht="54" customHeight="1">
      <c r="A10" s="6" t="s">
        <v>161</v>
      </c>
      <c r="B10" s="1">
        <v>4</v>
      </c>
      <c r="C10" s="1" t="s">
        <v>136</v>
      </c>
      <c r="D10" s="1" t="s">
        <v>47</v>
      </c>
      <c r="E10" s="1" t="s">
        <v>111</v>
      </c>
      <c r="G10" s="6" t="s">
        <v>144</v>
      </c>
      <c r="H10" t="s">
        <v>162</v>
      </c>
      <c r="I10" t="s">
        <v>158</v>
      </c>
      <c r="J10" s="2">
        <f>IF(COUNT('Turns'!D22)=1,SUM('Turns'!D22),"Unknown")</f>
        <v>3.0</v>
      </c>
      <c r="K10" s="2">
        <f>IF(COUNT('Turns'!E22)=1,SUM('Turns'!E22),"Unknown")</f>
        <v>5.23422e-07</v>
      </c>
      <c r="L10" s="2">
        <f>IF(COUNT('Turns'!F22)=1,SUM('Turns'!F22),"Unknown")</f>
        <v>6e-07</v>
      </c>
      <c r="M10" s="2">
        <v>0</v>
      </c>
      <c r="N10" s="2">
        <v>0</v>
      </c>
      <c r="O10" s="2">
        <v>0</v>
      </c>
      <c r="P10" s="2">
        <f>IF(COUNT('Turns'!D25)=1,SUM('Turns'!D25),"Unknown")</f>
        <v>1764.0</v>
      </c>
      <c r="Q10" s="2">
        <f>IF(COUNT('Turns'!E25)=1,SUM('Turns'!E25),"Unknown")</f>
        <v>0.00038471517</v>
      </c>
      <c r="R10" s="2">
        <f>IF(COUNT('Turns'!F25)=1,SUM('Turns'!F25),"Unknown")</f>
        <v>0.000441</v>
      </c>
      <c r="S10" s="2">
        <f>IF(COUNT('Turns'!D29)=1,SUM('Turns'!D29),"Unknown")</f>
        <v>21.0</v>
      </c>
      <c r="T10" s="2">
        <f>IF(COUNT('Turns'!E29)=1,SUM('Turns'!E29),"Unknown")</f>
        <v>2.1983724e-05</v>
      </c>
      <c r="U10" s="2">
        <f>IF(COUNT('Turns'!F29)=1,SUM('Turns'!F29),"Unknown")</f>
        <v>2.52e-05</v>
      </c>
      <c r="V10" s="2">
        <f>IF(COUNT('Turns'!D28)=1,SUM('Turns'!D28),"Unknown")</f>
        <v>36.0</v>
      </c>
      <c r="W10" s="2">
        <f>IF(COUNT('Turns'!E28)=1,SUM('Turns'!E28),"Unknown")</f>
        <v>3.7686384e-05</v>
      </c>
      <c r="X10" s="2">
        <f>IF(COUNT('Turns'!F28)=1,SUM('Turns'!F28),"Unknown")</f>
        <v>4.32e-05</v>
      </c>
      <c r="Y10" s="2">
        <f>IF(COUNT('Turns'!E33)=1,SUM('Turns'!E33),"Unknown")</f>
        <v>0.0004449087</v>
      </c>
      <c r="Z10" s="2">
        <f>IF(COUNT('Turns'!F33)=1,SUM('Turns'!F33),"Unknown")</f>
        <v>0.00051</v>
      </c>
      <c r="AA10" s="5">
        <f>IF(ISNUMBER(Y10),ROUND(Y10*'Reference data'!$B$2,0),"Unknown")</f>
        <v>44.0</v>
      </c>
      <c r="AB10" s="5">
        <f>IF(ISNUMBER(Z10),ROUND(Z10*'Reference data'!$B$2,0),"Unknown")</f>
        <v>51.0</v>
      </c>
      <c r="AD10" s="1">
        <v>1267.331</v>
      </c>
      <c r="AE10" s="1" t="s">
        <v>138</v>
      </c>
    </row>
    <row r="11" spans="1:31" ht="54" customHeight="1">
      <c r="A11" s="6" t="s">
        <v>163</v>
      </c>
      <c r="B11" s="1">
        <v>5</v>
      </c>
      <c r="C11" s="1" t="s">
        <v>147</v>
      </c>
      <c r="D11" s="1" t="s">
        <v>95</v>
      </c>
      <c r="E11" s="1" t="s">
        <v>111</v>
      </c>
      <c r="F11" s="1">
        <v>1767</v>
      </c>
      <c r="G11" s="6" t="s">
        <v>148</v>
      </c>
      <c r="H11" t="s">
        <v>119</v>
      </c>
      <c r="I11" t="s">
        <v>162</v>
      </c>
      <c r="J11" s="2">
        <f>IF(COUNT('Turns'!D22)=1,SUM('Turns'!D22),"Unknown")</f>
        <v>3.0</v>
      </c>
      <c r="K11" s="2">
        <f>IF(COUNT('Turns'!E22)=1,SUM('Turns'!E22),"Unknown")</f>
        <v>5.23422e-07</v>
      </c>
      <c r="L11" s="2">
        <f>IF(COUNT('Turns'!F22)=1,SUM('Turns'!F22),"Unknown")</f>
        <v>6e-07</v>
      </c>
      <c r="M11" s="2">
        <v>0</v>
      </c>
      <c r="N11" s="2">
        <v>0</v>
      </c>
      <c r="O11" s="2">
        <v>0</v>
      </c>
      <c r="P11" s="2">
        <f>IF(COUNT('Turns'!D25)=1,SUM('Turns'!D25),"Unknown")</f>
        <v>1764.0</v>
      </c>
      <c r="Q11" s="2">
        <f>IF(COUNT('Turns'!E25)=1,SUM('Turns'!E25),"Unknown")</f>
        <v>0.00038471517</v>
      </c>
      <c r="R11" s="2">
        <f>IF(COUNT('Turns'!F25)=1,SUM('Turns'!F25),"Unknown")</f>
        <v>0.000441</v>
      </c>
      <c r="S11" s="2">
        <f>IF(COUNT('Turns'!D29)=1,SUM('Turns'!D29),"Unknown")</f>
        <v>21.0</v>
      </c>
      <c r="T11" s="2">
        <f>IF(COUNT('Turns'!E29)=1,SUM('Turns'!E29),"Unknown")</f>
        <v>2.1983724e-05</v>
      </c>
      <c r="U11" s="2">
        <f>IF(COUNT('Turns'!F29)=1,SUM('Turns'!F29),"Unknown")</f>
        <v>2.52e-05</v>
      </c>
      <c r="V11" s="2">
        <f>IF(COUNT('Turns'!D28)=1,SUM('Turns'!D28),"Unknown")</f>
        <v>36.0</v>
      </c>
      <c r="W11" s="2">
        <f>IF(COUNT('Turns'!E28)=1,SUM('Turns'!E28),"Unknown")</f>
        <v>3.7686384e-05</v>
      </c>
      <c r="X11" s="2">
        <f>IF(COUNT('Turns'!F28)=1,SUM('Turns'!F28),"Unknown")</f>
        <v>4.32e-05</v>
      </c>
      <c r="Y11" s="2">
        <f>IF(COUNT('Turns'!E33)=1,SUM('Turns'!E33),"Unknown")</f>
        <v>0.0004449087</v>
      </c>
      <c r="Z11" s="2">
        <f>IF(COUNT('Turns'!F33)=1,SUM('Turns'!F33),"Unknown")</f>
        <v>0.00051</v>
      </c>
      <c r="AA11" s="5">
        <f>IF(ISNUMBER(Y11),ROUND(Y11*'Reference data'!$B$2,0),"Unknown")</f>
        <v>44.0</v>
      </c>
      <c r="AB11" s="5">
        <f>IF(ISNUMBER(Z11),ROUND(Z11*'Reference data'!$B$2,0),"Unknown")</f>
        <v>51.0</v>
      </c>
      <c r="AC11" s="1" t="s">
        <v>118</v>
      </c>
      <c r="AD11" s="1">
        <v>1259.495</v>
      </c>
      <c r="AE11" s="1" t="s">
        <v>149</v>
      </c>
    </row>
    <row r="12" spans="1:31" ht="54" customHeight="1">
      <c r="A12" s="6" t="s">
        <v>164</v>
      </c>
      <c r="B12" s="1">
        <v>4</v>
      </c>
      <c r="C12" s="1" t="s">
        <v>136</v>
      </c>
      <c r="D12" s="1" t="s">
        <v>47</v>
      </c>
      <c r="E12" s="1" t="s">
        <v>111</v>
      </c>
      <c r="G12" s="6" t="s">
        <v>151</v>
      </c>
      <c r="H12" t="s">
        <v>165</v>
      </c>
      <c r="I12" t="s">
        <v>158</v>
      </c>
      <c r="AD12" s="1">
        <v>3.3</v>
      </c>
      <c r="AE12" s="1" t="s">
        <v>142</v>
      </c>
    </row>
    <row r="13" spans="1:31" ht="54" customHeight="1">
      <c r="A13" s="6" t="s">
        <v>166</v>
      </c>
      <c r="B13" s="1">
        <v>5</v>
      </c>
      <c r="C13" s="1" t="s">
        <v>154</v>
      </c>
      <c r="D13" s="1" t="s">
        <v>47</v>
      </c>
      <c r="E13" s="1" t="s">
        <v>111</v>
      </c>
      <c r="G13" s="6" t="s">
        <v>167</v>
      </c>
      <c r="H13" t="s">
        <v>123</v>
      </c>
      <c r="I13" t="s">
        <v>165</v>
      </c>
      <c r="AD13" s="1">
        <v>1.473</v>
      </c>
      <c r="AE13" s="1" t="s">
        <v>142</v>
      </c>
    </row>
    <row r="14" spans="1:31" ht="54" customHeight="1">
      <c r="A14" s="6" t="s">
        <v>161</v>
      </c>
      <c r="B14" s="1">
        <v>4</v>
      </c>
      <c r="C14" s="1" t="s">
        <v>136</v>
      </c>
      <c r="D14" s="1" t="s">
        <v>47</v>
      </c>
      <c r="E14" s="1" t="s">
        <v>111</v>
      </c>
      <c r="G14" s="6" t="s">
        <v>144</v>
      </c>
      <c r="H14" t="s">
        <v>168</v>
      </c>
      <c r="I14" t="s">
        <v>158</v>
      </c>
      <c r="J14" s="2">
        <f>IF(COUNT('Turns'!D39)=1,SUM('Turns'!D39),"Unknown")</f>
        <v>3.0</v>
      </c>
      <c r="K14" s="2">
        <f>IF(COUNT('Turns'!E39)=1,SUM('Turns'!E39),"Unknown")</f>
        <v>5.23422e-07</v>
      </c>
      <c r="L14" s="2">
        <f>IF(COUNT('Turns'!F39)=1,SUM('Turns'!F39),"Unknown")</f>
        <v>6e-07</v>
      </c>
      <c r="M14" s="2">
        <f>IF(COUNT('Turns'!D38)=1,SUM('Turns'!D38),"Unknown")</f>
        <v>1764.0</v>
      </c>
      <c r="N14" s="2">
        <f>IF(COUNT('Turns'!E38)=1,SUM('Turns'!E38),"Unknown")</f>
        <v>3.07772136e-05</v>
      </c>
      <c r="O14" s="2">
        <f>IF(COUNT('Turns'!F38)=1,SUM('Turns'!F38),"Unknown")</f>
        <v>3.528e-05</v>
      </c>
      <c r="P14" s="2">
        <f>IF(COUNT('Turns'!D41)=1,SUM('Turns'!D41),"Unknown")</f>
        <v>74.0</v>
      </c>
      <c r="Q14" s="2">
        <f>IF(COUNT('Turns'!E41)=1,SUM('Turns'!E41),"Unknown")</f>
        <v>1.6138845e-05</v>
      </c>
      <c r="R14" s="2">
        <f>IF(COUNT('Turns'!F41)=1,SUM('Turns'!F41),"Unknown")</f>
        <v>1.85e-05</v>
      </c>
      <c r="S14" s="2">
        <f>IF(COUNT('Turns'!D44)=1,SUM('Turns'!D44),"Unknown")</f>
        <v>36.0</v>
      </c>
      <c r="T14" s="2">
        <f>IF(COUNT('Turns'!E44)=1,SUM('Turns'!E44),"Unknown")</f>
        <v>3.7686384e-05</v>
      </c>
      <c r="U14" s="2">
        <f>IF(COUNT('Turns'!F44)=1,SUM('Turns'!F44),"Unknown")</f>
        <v>4.32e-05</v>
      </c>
      <c r="V14" s="2">
        <v>0</v>
      </c>
      <c r="W14" s="2">
        <v>0</v>
      </c>
      <c r="X14" s="2">
        <v>0</v>
      </c>
      <c r="Y14" s="2">
        <f>IF(COUNT('Turns'!E48)=1,SUM('Turns'!E48),"Unknown")</f>
        <v>8.51258646e-05</v>
      </c>
      <c r="Z14" s="2">
        <f>IF(COUNT('Turns'!F48)=1,SUM('Turns'!F48),"Unknown")</f>
        <v>9.758e-05</v>
      </c>
      <c r="AA14" s="5">
        <f>IF(ISNUMBER(Y14),ROUND(Y14*'Reference data'!$B$2,0),"Unknown")</f>
        <v>9.0</v>
      </c>
      <c r="AB14" s="5">
        <f>IF(ISNUMBER(Z14),ROUND(Z14*'Reference data'!$B$2,0),"Unknown")</f>
        <v>10.0</v>
      </c>
      <c r="AD14" s="1">
        <v>1082.201</v>
      </c>
      <c r="AE14" s="1" t="s">
        <v>138</v>
      </c>
    </row>
    <row r="15" spans="1:31" ht="54" customHeight="1">
      <c r="A15" s="6" t="s">
        <v>163</v>
      </c>
      <c r="B15" s="1">
        <v>5</v>
      </c>
      <c r="C15" s="1" t="s">
        <v>147</v>
      </c>
      <c r="D15" s="1" t="s">
        <v>95</v>
      </c>
      <c r="E15" s="1" t="s">
        <v>111</v>
      </c>
      <c r="F15" s="1">
        <v>1841</v>
      </c>
      <c r="G15" s="6" t="s">
        <v>148</v>
      </c>
      <c r="H15" t="s">
        <v>127</v>
      </c>
      <c r="I15" t="s">
        <v>168</v>
      </c>
      <c r="J15" s="2">
        <f>IF(COUNT('Turns'!D39)=1,SUM('Turns'!D39),"Unknown")</f>
        <v>3.0</v>
      </c>
      <c r="K15" s="2">
        <f>IF(COUNT('Turns'!E39)=1,SUM('Turns'!E39),"Unknown")</f>
        <v>5.23422e-07</v>
      </c>
      <c r="L15" s="2">
        <f>IF(COUNT('Turns'!F39)=1,SUM('Turns'!F39),"Unknown")</f>
        <v>6e-07</v>
      </c>
      <c r="M15" s="2">
        <f>IF(COUNT('Turns'!D38)=1,SUM('Turns'!D38),"Unknown")</f>
        <v>1764.0</v>
      </c>
      <c r="N15" s="2">
        <f>IF(COUNT('Turns'!E38)=1,SUM('Turns'!E38),"Unknown")</f>
        <v>3.07772136e-05</v>
      </c>
      <c r="O15" s="2">
        <f>IF(COUNT('Turns'!F38)=1,SUM('Turns'!F38),"Unknown")</f>
        <v>3.528e-05</v>
      </c>
      <c r="P15" s="2">
        <f>IF(COUNT('Turns'!D41)=1,SUM('Turns'!D41),"Unknown")</f>
        <v>74.0</v>
      </c>
      <c r="Q15" s="2">
        <f>IF(COUNT('Turns'!E41)=1,SUM('Turns'!E41),"Unknown")</f>
        <v>1.6138845e-05</v>
      </c>
      <c r="R15" s="2">
        <f>IF(COUNT('Turns'!F41)=1,SUM('Turns'!F41),"Unknown")</f>
        <v>1.85e-05</v>
      </c>
      <c r="S15" s="2">
        <f>IF(COUNT('Turns'!D44)=1,SUM('Turns'!D44),"Unknown")</f>
        <v>36.0</v>
      </c>
      <c r="T15" s="2">
        <f>IF(COUNT('Turns'!E44)=1,SUM('Turns'!E44),"Unknown")</f>
        <v>3.7686384e-05</v>
      </c>
      <c r="U15" s="2">
        <f>IF(COUNT('Turns'!F44)=1,SUM('Turns'!F44),"Unknown")</f>
        <v>4.32e-05</v>
      </c>
      <c r="V15" s="2">
        <v>0</v>
      </c>
      <c r="W15" s="2">
        <v>0</v>
      </c>
      <c r="X15" s="2">
        <v>0</v>
      </c>
      <c r="Y15" s="2">
        <f>IF(COUNT('Turns'!E48)=1,SUM('Turns'!E48),"Unknown")</f>
        <v>8.51258646e-05</v>
      </c>
      <c r="Z15" s="2">
        <f>IF(COUNT('Turns'!F48)=1,SUM('Turns'!F48),"Unknown")</f>
        <v>9.758e-05</v>
      </c>
      <c r="AA15" s="5">
        <f>IF(ISNUMBER(Y15),ROUND(Y15*'Reference data'!$B$2,0),"Unknown")</f>
        <v>9.0</v>
      </c>
      <c r="AB15" s="5">
        <f>IF(ISNUMBER(Z15),ROUND(Z15*'Reference data'!$B$2,0),"Unknown")</f>
        <v>10.0</v>
      </c>
      <c r="AC15" s="1" t="s">
        <v>126</v>
      </c>
      <c r="AD15" s="1">
        <v>1076.156</v>
      </c>
      <c r="AE15" s="1" t="s">
        <v>149</v>
      </c>
    </row>
    <row r="16" spans="1:31" ht="54" customHeight="1">
      <c r="A16" s="6" t="s">
        <v>143</v>
      </c>
      <c r="B16" s="1">
        <v>1</v>
      </c>
      <c r="C16" s="1" t="s">
        <v>136</v>
      </c>
      <c r="D16" s="1" t="s">
        <v>47</v>
      </c>
      <c r="E16" s="1" t="s">
        <v>111</v>
      </c>
      <c r="G16" s="6" t="s">
        <v>144</v>
      </c>
      <c r="H16" t="s">
        <v>169</v>
      </c>
      <c r="I16" t="s">
        <v>49</v>
      </c>
      <c r="J16" s="2">
        <f>IF(COUNT('Turns'!D51)=1,SUM('Turns'!D51),"Unknown")</f>
        <v>3.0</v>
      </c>
      <c r="K16" s="2">
        <f>IF(COUNT('Turns'!E51)=1,SUM('Turns'!E51),"Unknown")</f>
        <v>5.23422e-07</v>
      </c>
      <c r="L16" s="2">
        <f>IF(COUNT('Turns'!F51)=1,SUM('Turns'!F51),"Unknown")</f>
        <v>6e-07</v>
      </c>
      <c r="M16" s="2">
        <f>IF(COUNT('Turns'!D50)=1,SUM('Turns'!D50),"Unknown")</f>
        <v>2046.0</v>
      </c>
      <c r="N16" s="2">
        <f>IF(COUNT('Turns'!E50)=1,SUM('Turns'!E50),"Unknown")</f>
        <v>3.56973804e-05</v>
      </c>
      <c r="O16" s="2">
        <f>IF(COUNT('Turns'!F50)=1,SUM('Turns'!F50),"Unknown")</f>
        <v>4.092e-05</v>
      </c>
      <c r="P16" s="2">
        <f>IF(COUNT('Turns'!D53)=1,SUM('Turns'!D53),"Unknown")</f>
        <v>164.0</v>
      </c>
      <c r="Q16" s="2">
        <f>IF(COUNT('Turns'!E53)=1,SUM('Turns'!E53),"Unknown")</f>
        <v>3.576717e-05</v>
      </c>
      <c r="R16" s="2">
        <f>IF(COUNT('Turns'!F53)=1,SUM('Turns'!F53),"Unknown")</f>
        <v>4.1e-05</v>
      </c>
      <c r="S16" s="2">
        <f>IF(COUNT('Turns'!D56)=1,SUM('Turns'!D56),"Unknown")</f>
        <v>44.0</v>
      </c>
      <c r="T16" s="2">
        <f>IF(COUNT('Turns'!E56)=1,SUM('Turns'!E56),"Unknown")</f>
        <v>4.6061136e-05</v>
      </c>
      <c r="U16" s="2">
        <f>IF(COUNT('Turns'!F56)=1,SUM('Turns'!F56),"Unknown")</f>
        <v>5.28e-05</v>
      </c>
      <c r="V16" s="2">
        <v>0</v>
      </c>
      <c r="W16" s="2">
        <v>0</v>
      </c>
      <c r="X16" s="2">
        <v>0</v>
      </c>
      <c r="Y16" s="2">
        <f>IF(COUNT('Turns'!E60)=1,SUM('Turns'!E60),"Unknown")</f>
        <v>0.0001180491084</v>
      </c>
      <c r="Z16" s="2">
        <f>IF(COUNT('Turns'!F60)=1,SUM('Turns'!F60),"Unknown")</f>
        <v>0.00013532</v>
      </c>
      <c r="AA16" s="5">
        <f>IF(ISNUMBER(Y16),ROUND(Y16*'Reference data'!$B$2,0),"Unknown")</f>
        <v>12.0</v>
      </c>
      <c r="AB16" s="5">
        <f>IF(ISNUMBER(Z16),ROUND(Z16*'Reference data'!$B$2,0),"Unknown")</f>
        <v>14.0</v>
      </c>
      <c r="AD16" s="1">
        <v>1583.925</v>
      </c>
      <c r="AE16" s="1" t="s">
        <v>138</v>
      </c>
    </row>
    <row r="17" spans="1:31" ht="54" customHeight="1">
      <c r="A17" s="6" t="s">
        <v>146</v>
      </c>
      <c r="B17" s="1">
        <v>2</v>
      </c>
      <c r="C17" s="1" t="s">
        <v>147</v>
      </c>
      <c r="D17" s="1" t="s">
        <v>95</v>
      </c>
      <c r="E17" s="1" t="s">
        <v>111</v>
      </c>
      <c r="F17" s="1">
        <v>2213</v>
      </c>
      <c r="G17" s="6" t="s">
        <v>148</v>
      </c>
      <c r="H17" t="s">
        <v>132</v>
      </c>
      <c r="I17" t="s">
        <v>169</v>
      </c>
      <c r="J17" s="2">
        <f>IF(COUNT('Turns'!D51)=1,SUM('Turns'!D51),"Unknown")</f>
        <v>3.0</v>
      </c>
      <c r="K17" s="2">
        <f>IF(COUNT('Turns'!E51)=1,SUM('Turns'!E51),"Unknown")</f>
        <v>5.23422e-07</v>
      </c>
      <c r="L17" s="2">
        <f>IF(COUNT('Turns'!F51)=1,SUM('Turns'!F51),"Unknown")</f>
        <v>6e-07</v>
      </c>
      <c r="M17" s="2">
        <f>IF(COUNT('Turns'!D50)=1,SUM('Turns'!D50),"Unknown")</f>
        <v>2046.0</v>
      </c>
      <c r="N17" s="2">
        <f>IF(COUNT('Turns'!E50)=1,SUM('Turns'!E50),"Unknown")</f>
        <v>3.56973804e-05</v>
      </c>
      <c r="O17" s="2">
        <f>IF(COUNT('Turns'!F50)=1,SUM('Turns'!F50),"Unknown")</f>
        <v>4.092e-05</v>
      </c>
      <c r="P17" s="2">
        <f>IF(COUNT('Turns'!D53)=1,SUM('Turns'!D53),"Unknown")</f>
        <v>164.0</v>
      </c>
      <c r="Q17" s="2">
        <f>IF(COUNT('Turns'!E53)=1,SUM('Turns'!E53),"Unknown")</f>
        <v>3.576717e-05</v>
      </c>
      <c r="R17" s="2">
        <f>IF(COUNT('Turns'!F53)=1,SUM('Turns'!F53),"Unknown")</f>
        <v>4.1e-05</v>
      </c>
      <c r="S17" s="2">
        <f>IF(COUNT('Turns'!D56)=1,SUM('Turns'!D56),"Unknown")</f>
        <v>44.0</v>
      </c>
      <c r="T17" s="2">
        <f>IF(COUNT('Turns'!E56)=1,SUM('Turns'!E56),"Unknown")</f>
        <v>4.6061136e-05</v>
      </c>
      <c r="U17" s="2">
        <f>IF(COUNT('Turns'!F56)=1,SUM('Turns'!F56),"Unknown")</f>
        <v>5.28e-05</v>
      </c>
      <c r="V17" s="2">
        <v>0</v>
      </c>
      <c r="W17" s="2">
        <v>0</v>
      </c>
      <c r="X17" s="2">
        <v>0</v>
      </c>
      <c r="Y17" s="2">
        <f>IF(COUNT('Turns'!E60)=1,SUM('Turns'!E60),"Unknown")</f>
        <v>0.0001180491084</v>
      </c>
      <c r="Z17" s="2">
        <f>IF(COUNT('Turns'!F60)=1,SUM('Turns'!F60),"Unknown")</f>
        <v>0.00013532</v>
      </c>
      <c r="AA17" s="5">
        <f>IF(ISNUMBER(Y17),ROUND(Y17*'Reference data'!$B$2,0),"Unknown")</f>
        <v>12.0</v>
      </c>
      <c r="AB17" s="5">
        <f>IF(ISNUMBER(Z17),ROUND(Z17*'Reference data'!$B$2,0),"Unknown")</f>
        <v>14.0</v>
      </c>
      <c r="AC17" s="1" t="s">
        <v>131</v>
      </c>
      <c r="AD17" s="1">
        <v>1578.684</v>
      </c>
      <c r="AE17" s="1" t="s">
        <v>149</v>
      </c>
    </row>
  </sheetData>
  <conditionalFormatting sqref="A2:AE17">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2026-09-23T03:40:34Z</dcterms:created>
  <dcterms:modified xsi:type="dcterms:W3CDTF">2026-09-23T03:40:34Z</dcterms:modified>
</cp:coreProperties>
</file>
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<sst xmlns="http://schemas.openxmlformats.org/spreadsheetml/2006/main" count="393" uniqueCount="170">
  <si>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</si>
  <si>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</si>
  <si>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</si>
  <si>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</si>
  <si>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</si>
  <si>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</si>
  <si>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</si>
  <si>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</si>
  <si>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</si>
  <si>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</si>
  <si>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</si>
  <si>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</si>
  <si>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</si>
  <si>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</si>
  <si>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</si>
  <si>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</si>
  <si>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</si>
  <si>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</si>
  <si>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</si>
  <si>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</si>
  <si>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</si>
  <si>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</si>
  <si>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</si>
  <si>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</si>
  <si>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</si>
  <si>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</si>
  <si>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</si>
  <si>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</si>
  <si>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</si>
  <si>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</si>
  <si>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</si>
  <si>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</si>
  <si>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</si>
  <si>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</si>
  <si>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</si>
  <si>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</si>
  <si>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</si>
  <si>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</si>
  <si>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</si>
  <si>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</si>
  <si>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</si>
  <si>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</si>
  <si>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</si>
  <si>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</si>
  <si>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</si>
  <si>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</si>
  <si>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</si>
  <si>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</si>
  <si>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</si>
  <si>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01a0cce3-0d9c-7b70-86d0-3dd59612ee78</t>
  </si>
  <si>
    <t>Recording</t>
  </si>
  <si>
    <t>Provider trace</t>
  </si>
  <si>
    <t>FX reference date</t>
  </si>
  <si>
    <t>2026-09-22</t>
  </si>
  <si>
    <t>FX fetched at</t>
  </si>
  <si>
    <t>2026-09-23T06:06:28.037095Z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</si>
  <si>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</si>
  <si>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</si>
  <si>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</si>
  <si>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</si>
  <si>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</si>
  <si>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</si>
  <si>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</si>
  <si>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</si>
  <si>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</si>
  <si>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</si>
  <si>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</si>
  <si>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</si>
  <si>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</si>
  <si>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</si>
  <si>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</si>
  <si>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</si>
  <si>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</si>
  <si>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</si>
  <si>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</si>
  <si>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</si>
  <si>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</si>
  <si>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</si>
  <si>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</si>
  <si>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</si>
  <si>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</si>
  <si>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</si>
  <si>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</si>
  <si>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</si>
  <si>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</si>
  <si>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</si>
  <si>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</si>
  <si>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</si>
  <si>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</si>
  <si>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</si>
  <si>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</si>
  <si>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</si>
  <si>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</si>
  <si>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</si>
  <si>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</si>
  <si>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</si>
  <si>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01a0cce3-0da5-7a50-834d-622dd2173e09</t>
  </si>
  <si>
    <t>Conversation history · cache read</t>
  </si>
  <si>
    <t>Fresh input</t>
  </si>
  <si>
    <t xml:space="preserve">    Tool definitions</t>
  </si>
  <si>
    <t xml:space="preserve">    System prompt</t>
  </si>
  <si>
    <t>Delegate echoing the supplied text to isolated-subagent using task. Provide a self-contained assignment. After its summary returns, answer the user concisely. The specialist uses an echo tool, which supplies no independent factual evidence.</t>
  </si>
  <si>
    <t xml:space="preserve">    User prompt</t>
  </si>
  <si>
    <t>Have the specialist echo ReAct and explain how its tool result returns to the parent.</t>
  </si>
  <si>
    <t>Cache write</t>
  </si>
  <si>
    <t>Context · added / total</t>
  </si>
  <si>
    <t>LLM response</t>
  </si>
  <si>
    <t>Reasoning</t>
  </si>
  <si>
    <t>Output</t>
  </si>
  <si>
    <t xml:space="preserve">    Output content</t>
  </si>
  <si>
    <t>[{"id": "rs_02356a6adfa3262b006ab36d545a0887d2a6efeb552fef21db", "summary": [], "type": "reasoning", "content": [], "index": 0, "encrypted_content": "gAAAAABqs21UhmGF_evNgNySwNWT3cv80iSB8gIH9tgYVoXADn7z_t-cNNvPxdJZaAScctN-X4I6-ZMmVsj5v7C8gfEnw1QN4Qvae5pbeO93SMSwo_KHscPnM03UH-KDMw4WL1EdlMltY0ZJ1LOb0xBpDD_1ByAc1RPP5a-xUMiavi4Rg8HKwAYHD5OA4kWQSCIHJl2UiZ4kXr-tf7aqIdNYlr1l5lo9MjrdaxD1cwZ5AAZpzLDL7zGPiVHOz2L3fQpcyPk176JawLHtepeq0vUgWgIUqPXMwY9OfmXrX_0u02fE8D8l11Oe_UuM7-6Ywe0LiYYVxslSsen2DYli5INYnCDPqUJGO38F_0JSdX-Ln1NanyNN2TotaFInFayUDM6-IG3RYugXt59Jt3_P-4qNbgOP0lncMWgSHxctjIjx89vaYz3hjz2WBSBGCndPvOtq5uN8cmMrcJKkjTiRjHCnV3SEtR2kG-QZfNkyi5d2Crgsxr4qXd3zTi-0qudQsgreJshvtcIvg0fjs9xrORUIXdcGCwXgnksdSgHjvhrCiWiEeXxLtyWR0FQjNRyEQpvkzm3Q32rzLO1SVyuDMJczrNhoxOrGpEV5z66mI1au4iTMA3JSt2DchmrmCfVIupMoq8mneUWjF1umBH8jtbJHIAD9uwL-WcwY4ihkiyaoyWfO-plJS2EWmDvdgsZqCkgBOe5HaDLB7IZND7pYK078Tgd7WaG5761vEaeAAj30JD5bXzvV4IeJEYp1Xt5Tico4mujjTnOAvJgVhKXri8Gxb4ypMQr59_n-z26epV8h9aqisFY3j-gEGM6NLPESvJcu4gHF3Rswszs3qsh68Wk_7whd0QeG3zZS71bSii3vcJD28uMNEXV6AE3U33oifUE4dveZt7eNxbNGN4QHx7G3FqaLr81mBssnAfgmm0aIFoI-vGK58oXKg_kSANnvwdiVqYS-VPbA-V9JB_kfYHzQ58il62TgiPPgyHpLZ0n3KIQlO7DqcS3wc2V3o0FDnV8l7VnneDpD_1f9HW2IBy80Qld1vTCXpDRryFT_hvT4kNO-m82O-bdZANS6hdjiuf9UVgJbY_gg1DODBgxXjmc8n1T0nE3ms-2EDILmGbGMAHp5oUROHkAh8av1LD8wFSceTYMCkRRgYxlK1fPDh5KPSt8VO1TVZl8fleknHB41-4DbtyfBAy2wOhDBJEkpV7u0aHcuO4VJeo63s307AwV93EfukQm6mdEMMJxS48DdYuVojm_OTF7Ovfgm5qwhu7cN2Djd_ieXGauYZ2mcnT1tvYAHDAXmXQtD0AapNcnZobo7S3XJsA_ceLOkCp5lXnFQZdgrSTO4WSDodeeJws3SIn0pZH4Kww=="}, {"type": "function_call", "name": "task", "arguments": "{\"description\":\"Echo the exact supplied text: \\\"ReAct\\\". Then briefly explain how your tool result is returned to the parent agent: state that your result is returned as a tool response/summary to the parent, which can then use it in its final answer. Do not add unrelated content.\",\"subagent_type\":\"isolated-subagent\"}", "call_id": "call_GvpxgR5ep2QOYbL19IiPbs5S", "id": "fc_02356a6adfa3262b006ab36d54e44087d2bde1e47362f66de5", "index": 1}]
{"name": "task", "args": {"description": "Echo the exact supplied text: \"ReAct\". Then briefly explain how your tool result is returned to the parent agent: state that your result is returned as a tool response/summary to the parent, which can then use it in its final answer. Do not add unrelated content.", "subagent_type": "isolated-subagent"}, "id": "call_GvpxgR5ep2QOYbL19IiPbs5S", "type": "tool_call"}</t>
  </si>
  <si>
    <t>Call total</t>
  </si>
  <si>
    <t>ok</t>
  </si>
  <si>
    <t>Tool · task</t>
  </si>
  <si>
    <t>01a0cce3-1afe-7ec0-bb7c-537b7d189ad9</t>
  </si>
  <si>
    <t xml:space="preserve">    Arguments</t>
  </si>
  <si>
    <t>{'description': 'Echo the exact supplied text: "ReAct". Then briefly explain how your tool result is returned to the parent agent: state that your result is returned as a tool response/summary to the parent, which can then use it in its final answer. Do not add unrelated content.', 'subagent_type': 'isolated-subagent'}</t>
  </si>
  <si>
    <t xml:space="preserve">    Result</t>
  </si>
  <si>
    <t>Command(update={'files': {}, 'messages': [ToolMessage(content='The tool returned: “Your input was: ReAct”. This result is returned as a tool response/summary to the parent, which can then use it in its final answer.', tool_call_id='call_GvpxgR5ep2QOYbL19IiPbs5S')]})</t>
  </si>
  <si>
    <t>R2</t>
  </si>
  <si>
    <t>01a0cce3-1b09-7dc1-9c13-d7ac69a85691</t>
  </si>
  <si>
    <t>You are a workflow teaching specialist. Call echo_tool with the assigned text, then summarize the returned echo for the parent. The echo repeats supplied input and provides no independent factual evidence. Do not delegate further.</t>
  </si>
  <si>
    <t>[{"id": "rs_09300af7f4472580006ab36d57636487d288881c928d0de5f9", "summary": [], "type": "reasoning", "content": [], "index": 0, "encrypted_content": "gAAAAABqs21XfU0YomilKv-MqloXyKMUrLz0PLAnkuxs2S3eiw3fUwBG8tyiHVBmThWqi6SEDFzAgBMdkhC3nSH8FSi_8yj6O2V3ZyKlSFW2GjJLy8kX7tdAtV4dJ3vxP0f-V1Yppk7yYTWqqdsNfNfIGngbZkicwcMfHNlsHZ5DicWHaTvmBSdxq3SzceWSdyPw2qWYeae7KsHTFMlBaRPxoSIQYDMuUL0-0IQ5y8g9yx_hy2UcW6N9bhgOOg3KSP1yM3on9vd3zGSCxTrHHqytNrFn7VLFj9L7oJkWMIkyOaJtNsUgN85tmOiWk1hyhVrka8Gyskwv-6V7kCQroq00ghAI1XU5ntI89aVO6hgx8xGa2y-WErw-2NdSpNjFQNFC0fS0GMNWJRaaFuiYpWGZufoReibA72NvZKlelKKzcCQK8epnThhutNG1wMUC9ZRV0g_vn4Z-GjtitNJ8laa7Fn5f08iEpQVkocuSIGIxp6TmGJpp7j2B1QANrGiRFonan5344sKYJoav-fTlbbw1WsBFC7aseDsvYrq6y949XGhaYZRFfPgVAC5sewCsD3jdSB3TMV5EOUNB1nieTv7nFouh3lXJHOQZ9p02Nl1pSmBOFQVdXtJj6CzAnTfwsQfBeNHEdTByc0MbjPssuCHPfaaf6r8uIaY5j5Eq7PRmL3YMRfzS52TpDWm5psdN1TiNGDxUbxjw0UPiVahCGApovU-7QuJA5sZuaDFV8Ey6NISRkny5jOg_mmX4Avu_AN3GxvpdT-0zegSqBDhUvMseACxiON09p4agxT8ALeB2GO6E7ejVQ9l7BkSV6lJJ2hMRI3UxbQ9PM-T-HAKWxKX4j2qluuEw6OCS_MIeUg4mFwl1zOHmc22D5c3Z5HtSX3qwpbLs92kU0kMENFpyljaBU5r0Qa7mLG6B0OPRureLxBt6qneiLCoyj9MY9ioA6vhYvuT1Hsjy6fLQLov_BwG5BK6_EHNpIE-z6Iqt5_h4DFp7mDSQ0LIIW-N55SDSeG63EojZHlpTEb96QntkYc1XWAMudhQ3rr5iixXxdKBlI95P5k6lUpCAFJ9Hf8CfyKgUWwjDGGGJqby-_iLEcrA54Uii_mf4w2JPNTcgMbQ8HUByn9bMyrVJBk4Gd7BGOS63uNBrwKf8oxw11NZiZBN6wE7_GycYN5RjBaSdiH7eDs54MLzNGrtg2HyxUU9O0vgndwrryqWc0JexCAWOW3c1UV9l5NIDs8C83EbcKsBmLvcBjQjhB9RdYRpuchxjtYRbgualkgqdxieBO_pSySPJSaXyp8tkTA=="}, {"type": "function_call", "name": "echo_tool", "arguments": "{\"text\":\"ReAct\"}", "call_id": "call_3xW3L97jhorBQsp82zzndopP", "id": "fc_09300af7f4472580006ab36d57d1f087d29dab905fbfe61298", "index": 1}]
{"name": "echo_tool", "args": {"text": "ReAct"}, "id": "call_3xW3L97jhorBQsp82zzndopP", "type": "tool_call"}</t>
  </si>
  <si>
    <t>Tool · echo_tool</t>
  </si>
  <si>
    <t>01a0cce3-200e-7061-a841-7c3f88238d8f</t>
  </si>
  <si>
    <t>{'text': 'ReAct'}</t>
  </si>
  <si>
    <t>Your input was: ReAct</t>
  </si>
  <si>
    <t>R3</t>
  </si>
  <si>
    <t>01a0cce3-2013-71d3-a69f-0435e63e9c0a</t>
  </si>
  <si>
    <t xml:space="preserve">    Tool result</t>
  </si>
  <si>
    <t>[{"type": "text", "text": "The tool returned: \u201cYour input was: ReAct\u201d. This result is returned as a tool response/summary to the parent, which can then use it in its final answer.", "phase": "final_answer", "index": 0, "id": "msg_09300af7f4472580006ab36d58d6dc87d2b56059e0173862c6"}]</t>
  </si>
  <si>
    <t>R4</t>
  </si>
  <si>
    <t>01a0cce3-25de-7380-bafd-de3809be4210</t>
  </si>
  <si>
    <t>The tool returned: “Your input was: ReAct”. This result is returned as a tool response/summary to the parent, which can then use it in its final answer.</t>
  </si>
  <si>
    <t>[{"type": "text", "text": "The specialist echoed: **\u201cReAct.\u201d**\n\nIts tool result returns to the parent agent as a tool response/summary. The parent can then incorporate that result into its final answer.", "phase": "final_answer", "index": 0, "id": "msg_02356a6adfa3262b006ab36d5a251487d2879a79d5c7a84ffa"}]</t>
  </si>
  <si>
    <t>delegating_parent</t>
  </si>
  <si>
    <t>workflow</t>
  </si>
  <si>
    <t>Execute the delegating_parent workflow operation and pass its result to the next graph step.</t>
  </si>
  <si>
    <t>Subtree total</t>
  </si>
  <si>
    <t xml:space="preserve">    PatchToolCallsMiddleware.before_agent</t>
  </si>
  <si>
    <t>Check message history and repair missing tool responses before the agent starts.</t>
  </si>
  <si>
    <t>01a0cce3-0d9f-76b3-b4e3-3ecec2bcc9ba</t>
  </si>
  <si>
    <t>No model charge</t>
  </si>
  <si>
    <t xml:space="preserve">    model</t>
  </si>
  <si>
    <t>Prepare the current conversation, run model middleware, and invoke the chat model.</t>
  </si>
  <si>
    <t>01a0cce3-0da0-7452-830a-a8f457830cb9</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</si>
  <si>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</si>
  <si>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</si>
  <si>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</si>
  <si>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</si>
  <si>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</si>
  <si>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</si>
  <si>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01a0cce3-1afd-7ea0-b6ce-0756d2a9edb4</t>
  </si>
  <si>
    <t xml:space="preserve">        task</t>
  </si>
  <si>
    <t>tool</t>
  </si>
  <si>
    <t>Launch an ephemeral subagent to handle a complex, multi-step task.
Available agent types and the tools they have access to:
- general-purpose: General-purpose agent for researching complex questions, searching for files and content, and executing multi-step tasks. When you are searching for a keyword or file and are not confident that you will find the right match in the first few tries use this agent to perform the search for you. This agent has access to all tools as the main agent.
- isolated-subagent: Echoes assigned text with a local tool and summarizes its result.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t>
  </si>
  <si>
    <t xml:space="preserve">            isolated-subagent</t>
  </si>
  <si>
    <t>Execute the isolated-subagent workflow operation and pass its result to the next graph step.</t>
  </si>
  <si>
    <t>01a0cce3-1aff-7cd1-9b61-cfb541f61ffe</t>
  </si>
  <si>
    <t xml:space="preserve">                PatchToolCallsMiddleware.before_agent</t>
  </si>
  <si>
    <t>01a0cce3-1b00-7b32-bac1-abcf104178f2</t>
  </si>
  <si>
    <t xml:space="preserve">                model</t>
  </si>
  <si>
    <t>01a0cce3-1b03-7c21-8473-8bd7f8a447f4</t>
  </si>
  <si>
    <t xml:space="preserve">                    ChatOpenAI</t>
  </si>
  <si>
    <t xml:space="preserve">                tools</t>
  </si>
  <si>
    <t>01a0cce3-200c-7d63-b35e-cf59862af41b</t>
  </si>
  <si>
    <t xml:space="preserve">                    echo_tool</t>
  </si>
  <si>
    <t>Return the provided text prefixed with "Your input was: ".</t>
  </si>
  <si>
    <t>01a0cce3-2010-7142-8124-2e5578174a35</t>
  </si>
  <si>
    <t>01a0cce3-25db-7ee1-bec9-c17131f78393</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</si>
</sst>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62"/>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IF(COUNT('Turns'!E18,'Turns'!E35,'Turns'!E50,'Turns'!E62)=4,SUM('Turns'!E18,'Turns'!E35,'Turns'!E50,'Turns'!E62),"Unknown")</f>
        <v>0.0004463219394</v>
      </c>
      <c r="F2" s="2">
        <f>IF(COUNT('Turns'!F18,'Turns'!F35,'Turns'!F50,'Turns'!F62)=4,SUM('Turns'!F18,'Turns'!F35,'Turns'!F50,'Turns'!F62),"Unknown")</f>
        <v>0.00051162</v>
      </c>
      <c r="G2" s="5">
        <f>IF(ISNUMBER(E2),ROUND(E2*'Reference data'!$B$2,0),"Unknown")</f>
        <v>45.0</v>
      </c>
      <c r="H2" s="5">
        <f>IF(ISNUMBER(F2),ROUND(F2*'Reference data'!$B$2,0),"Unknown")</f>
        <v>51.0</v>
      </c>
    </row>
    <row r="3" spans="1:13" s="4" customFormat="1" ht="24" customHeight="1">
      <c r="B3" s="4">
        <v>1</v>
      </c>
      <c r="C3" s="4" t="s">
        <v>92</v>
      </c>
      <c r="E3" s="2">
        <f>IF(COUNT('Turns'!E18,'Turns'!E35,'Turns'!E50,'Turns'!E62)=4,SUM('Turns'!E18,'Turns'!E35,'Turns'!E50,'Turns'!E62),"Unknown")</f>
        <v>0.0004463219394</v>
      </c>
      <c r="F3" s="2">
        <f>IF(COUNT('Turns'!F18,'Turns'!F35,'Turns'!F50,'Turns'!F62)=4,SUM('Turns'!F18,'Turns'!F35,'Turns'!F50,'Turns'!F62),"Unknown")</f>
        <v>0.00051162</v>
      </c>
      <c r="G3" s="5">
        <f>IF(ISNUMBER(E3),ROUND(E3*'Reference data'!$B$2,0),"Unknown")</f>
        <v>45.0</v>
      </c>
      <c r="H3" s="5">
        <f>IF(ISNUMBER(F3),ROUND(F3*'Reference data'!$B$2,0),"Unknown")</f>
        <v>51.0</v>
      </c>
    </row>
    <row r="4" spans="1:13" s="4" customFormat="1" ht="24" customHeight="1">
      <c r="A4" s="4" t="s">
        <v>93</v>
      </c>
      <c r="B4" s="4">
        <v>1</v>
      </c>
      <c r="C4" s="4" t="s">
        <v>94</v>
      </c>
      <c r="D4" s="4">
        <v>2049</v>
      </c>
      <c r="J4" s="4" t="s">
        <v>95</v>
      </c>
      <c r="M4" s="4" t="s">
        <v>96</v>
      </c>
    </row>
    <row r="5" spans="1:13" ht="24" customHeight="1">
      <c r="A5" t="s">
        <v>93</v>
      </c>
      <c r="B5">
        <v>1</v>
      </c>
      <c r="C5" t="s">
        <v>97</v>
      </c>
      <c r="D5" s="5">
        <v>2046</v>
      </c>
      <c r="E5" s="2">
        <f>IF(AND(ISNUMBER(F5),ISNUMBER('Reference data'!$B$3)),F5*'Reference data'!$B$3,"Unknown")</f>
        <v>3.56973804e-05</v>
      </c>
      <c r="F5" s="2">
        <f>IF(D5=0,0,IF(ISNUMBER('Reference data'!C17),D5*'Reference data'!C17/1000000,"Unknown"))</f>
        <v>4.092e-05</v>
      </c>
      <c r="G5" s="5">
        <f>IF(ISNUMBER(E5),ROUND(E5*'Reference data'!$B$2,0),"Unknown")</f>
        <v>4.0</v>
      </c>
      <c r="H5" s="5">
        <f>IF(ISNUMBER(F5),ROUND(F5*'Reference data'!$B$2,0),"Unknown")</f>
        <v>4.0</v>
      </c>
    </row>
    <row r="6" spans="1:13" ht="24" customHeight="1">
      <c r="A6" t="s">
        <v>93</v>
      </c>
      <c r="B6">
        <v>1</v>
      </c>
      <c r="C6" t="s">
        <v>98</v>
      </c>
      <c r="D6" s="5">
        <v>3</v>
      </c>
      <c r="E6" s="2">
        <f>IF(AND(ISNUMBER(F6),ISNUMBER('Reference data'!$B$3)),F6*'Reference data'!$B$3,"Unknown")</f>
        <v>5.23422e-07</v>
      </c>
      <c r="F6" s="2">
        <f>IF(D6=0,0,IF(ISNUMBER('Reference data'!B17),D6*'Reference data'!B17/1000000,"Unknown"))</f>
        <v>6e-07</v>
      </c>
      <c r="G6" s="5">
        <f>IF(ISNUMBER(E6),ROUND(E6*'Reference data'!$B$2,0),"Unknown")</f>
        <v>0.0</v>
      </c>
      <c r="H6" s="5">
        <f>IF(ISNUMBER(F6),ROUND(F6*'Reference data'!$B$2,0),"Unknown")</f>
        <v>0.0</v>
      </c>
    </row>
    <row r="7" spans="1:13" ht="24" customHeight="1">
      <c r="A7" t="s">
        <v>93</v>
      </c>
      <c r="B7">
        <v>1</v>
      </c>
      <c r="C7" t="s">
        <v>99</v>
      </c>
    </row>
    <row r="8" spans="1:13" ht="47" customHeight="1">
      <c r="A8" t="s">
        <v>93</v>
      </c>
      <c r="B8">
        <v>1</v>
      </c>
      <c r="C8" t="s">
        <v>100</v>
      </c>
      <c r="I8" s="6" t="s">
        <v>101</v>
      </c>
    </row>
    <row r="9" spans="1:13" ht="24" customHeight="1">
      <c r="A9" t="s">
        <v>93</v>
      </c>
      <c r="B9">
        <v>1</v>
      </c>
      <c r="C9" t="s">
        <v>102</v>
      </c>
      <c r="I9" s="6" t="s">
        <v>103</v>
      </c>
    </row>
    <row r="10" spans="1:13" ht="24" customHeight="1">
      <c r="A10" t="s">
        <v>93</v>
      </c>
      <c r="B10">
        <v>1</v>
      </c>
      <c r="C10" t="s">
        <v>104</v>
      </c>
    </row>
    <row r="11" spans="1:13" ht="24" customHeight="1">
      <c r="A11" t="s">
        <v>93</v>
      </c>
      <c r="B11">
        <v>1</v>
      </c>
      <c r="C11" t="s">
        <v>105</v>
      </c>
    </row>
    <row r="12" spans="1:13" s="4" customFormat="1" ht="24" customHeight="1">
      <c r="A12" s="4" t="s">
        <v>93</v>
      </c>
      <c r="B12" s="4">
        <v>1</v>
      </c>
      <c r="C12" s="4" t="s">
        <v>106</v>
      </c>
      <c r="D12" s="4">
        <v>115</v>
      </c>
    </row>
    <row r="13" spans="1:13" ht="24" customHeight="1">
      <c r="A13" t="s">
        <v>93</v>
      </c>
      <c r="B13">
        <v>1</v>
      </c>
      <c r="C13" t="s">
        <v>107</v>
      </c>
      <c r="D13" s="5">
        <v>32</v>
      </c>
      <c r="E13" s="2">
        <f>IF(AND(ISNUMBER(F13),ISNUMBER('Reference data'!$B$3)),F13*'Reference data'!$B$3,"Unknown")</f>
        <v>3.3499008e-05</v>
      </c>
      <c r="F13" s="2">
        <f>IF(D13=0,0,IF(ISNUMBER('Reference data'!F17),D13*'Reference data'!F17/1000000,"Unknown"))</f>
        <v>3.84e-05</v>
      </c>
      <c r="G13" s="5">
        <f>IF(ISNUMBER(E13),ROUND(E13*'Reference data'!$B$2,0),"Unknown")</f>
        <v>3.0</v>
      </c>
      <c r="H13" s="5">
        <f>IF(ISNUMBER(F13),ROUND(F13*'Reference data'!$B$2,0),"Unknown")</f>
        <v>4.0</v>
      </c>
    </row>
    <row r="14" spans="1:13" ht="24" customHeight="1">
      <c r="A14" t="s">
        <v>93</v>
      </c>
      <c r="B14">
        <v>1</v>
      </c>
      <c r="C14" t="s">
        <v>108</v>
      </c>
      <c r="D14" s="5">
        <v>83</v>
      </c>
      <c r="E14" s="2">
        <f>IF(AND(ISNUMBER(F14),ISNUMBER('Reference data'!$B$3)),F14*'Reference data'!$B$3,"Unknown")</f>
        <v>8.6888052e-05</v>
      </c>
      <c r="F14" s="2">
        <f>IF(D14=0,0,IF(ISNUMBER('Reference data'!E17),D14*'Reference data'!E17/1000000,"Unknown"))</f>
        <v>9.96e-05</v>
      </c>
      <c r="G14" s="5">
        <f>IF(ISNUMBER(E14),ROUND(E14*'Reference data'!$B$2,0),"Unknown")</f>
        <v>9.0</v>
      </c>
      <c r="H14" s="5">
        <f>IF(ISNUMBER(F14),ROUND(F14*'Reference data'!$B$2,0),"Unknown")</f>
        <v>10.0</v>
      </c>
    </row>
    <row r="15" spans="1:13" ht="385" customHeight="1">
      <c r="A15" t="s">
        <v>93</v>
      </c>
      <c r="B15">
        <v>1</v>
      </c>
      <c r="C15" t="s">
        <v>109</v>
      </c>
      <c r="I15" s="6" t="s">
        <v>110</v>
      </c>
    </row>
    <row r="16" spans="1:13" ht="24" customHeight="1">
      <c r="A16" t="s">
        <v>93</v>
      </c>
      <c r="B16">
        <v>1</v>
      </c>
      <c r="C16" t="s">
        <v>104</v>
      </c>
    </row>
    <row r="17" spans="1:13" ht="24" customHeight="1">
      <c r="A17" t="s">
        <v>93</v>
      </c>
      <c r="B17">
        <v>1</v>
      </c>
      <c r="C17" t="s">
        <v>105</v>
      </c>
    </row>
    <row r="18" spans="1:13" s="4" customFormat="1" ht="24" customHeight="1">
      <c r="A18" s="4" t="s">
        <v>93</v>
      </c>
      <c r="B18" s="4">
        <v>1</v>
      </c>
      <c r="C18" s="4" t="s">
        <v>111</v>
      </c>
      <c r="E18" s="2">
        <f>IF(COUNT('Turns'!E5,'Turns'!E6,'Turns'!E13,'Turns'!E14)=4,SUM('Turns'!E5,'Turns'!E6,'Turns'!E13,'Turns'!E14),"Unknown")</f>
        <v>0.0001566078624</v>
      </c>
      <c r="F18" s="2">
        <f>IF(COUNT('Turns'!F5,'Turns'!F6,'Turns'!F13,'Turns'!F14)=4,SUM('Turns'!F5,'Turns'!F6,'Turns'!F13,'Turns'!F14),"Unknown")</f>
        <v>0.00017952</v>
      </c>
      <c r="G18" s="5">
        <f>IF(ISNUMBER(E18),ROUND(E18*'Reference data'!$B$2,0),"Unknown")</f>
        <v>16.0</v>
      </c>
      <c r="H18" s="5">
        <f>IF(ISNUMBER(F18),ROUND(F18*'Reference data'!$B$2,0),"Unknown")</f>
        <v>18.0</v>
      </c>
      <c r="K18" s="4" t="s">
        <v>112</v>
      </c>
    </row>
    <row r="19" spans="1:13" s="4" customFormat="1" ht="24" customHeight="1">
      <c r="B19" s="4">
        <v>1</v>
      </c>
      <c r="C19" s="4" t="s">
        <v>113</v>
      </c>
      <c r="K19" s="4" t="s">
        <v>112</v>
      </c>
      <c r="M19" s="4" t="s">
        <v>114</v>
      </c>
    </row>
    <row r="20" spans="1:13" ht="60" customHeight="1">
      <c r="B20">
        <v>1</v>
      </c>
      <c r="C20" t="s">
        <v>115</v>
      </c>
      <c r="I20" s="6" t="s">
        <v>116</v>
      </c>
    </row>
    <row r="21" spans="1:13" ht="60" customHeight="1">
      <c r="B21">
        <v>1</v>
      </c>
      <c r="C21" t="s">
        <v>117</v>
      </c>
      <c r="I21" s="6" t="s">
        <v>118</v>
      </c>
    </row>
    <row r="22" spans="1:13" s="4" customFormat="1" ht="24" customHeight="1">
      <c r="A22" s="4" t="s">
        <v>119</v>
      </c>
      <c r="B22" s="4">
        <v>1</v>
      </c>
      <c r="C22" s="4" t="s">
        <v>94</v>
      </c>
      <c r="D22" s="4">
        <v>1755</v>
      </c>
      <c r="J22" s="4" t="s">
        <v>95</v>
      </c>
      <c r="M22" s="4" t="s">
        <v>120</v>
      </c>
    </row>
    <row r="23" spans="1:13" ht="24" customHeight="1">
      <c r="A23" t="s">
        <v>119</v>
      </c>
      <c r="B23">
        <v>1</v>
      </c>
      <c r="C23" t="s">
        <v>97</v>
      </c>
      <c r="D23" s="5">
        <v>1692</v>
      </c>
      <c r="E23" s="2">
        <f>IF(AND(ISNUMBER(F23),ISNUMBER('Reference data'!$B$3)),F23*'Reference data'!$B$3,"Unknown")</f>
        <v>2.95210008e-05</v>
      </c>
      <c r="F23" s="2">
        <f>IF(D23=0,0,IF(ISNUMBER('Reference data'!C17),D23*'Reference data'!C17/1000000,"Unknown"))</f>
        <v>3.384e-05</v>
      </c>
      <c r="G23" s="5">
        <f>IF(ISNUMBER(E23),ROUND(E23*'Reference data'!$B$2,0),"Unknown")</f>
        <v>3.0</v>
      </c>
      <c r="H23" s="5">
        <f>IF(ISNUMBER(F23),ROUND(F23*'Reference data'!$B$2,0),"Unknown")</f>
        <v>3.0</v>
      </c>
    </row>
    <row r="24" spans="1:13" ht="24" customHeight="1">
      <c r="A24" t="s">
        <v>119</v>
      </c>
      <c r="B24">
        <v>1</v>
      </c>
      <c r="C24" t="s">
        <v>98</v>
      </c>
      <c r="D24" s="5">
        <v>3</v>
      </c>
      <c r="E24" s="2">
        <f>IF(AND(ISNUMBER(F24),ISNUMBER('Reference data'!$B$3)),F24*'Reference data'!$B$3,"Unknown")</f>
        <v>5.23422e-07</v>
      </c>
      <c r="F24" s="2">
        <f>IF(D24=0,0,IF(ISNUMBER('Reference data'!B17),D24*'Reference data'!B17/1000000,"Unknown"))</f>
        <v>6e-07</v>
      </c>
      <c r="G24" s="5">
        <f>IF(ISNUMBER(E24),ROUND(E24*'Reference data'!$B$2,0),"Unknown")</f>
        <v>0.0</v>
      </c>
      <c r="H24" s="5">
        <f>IF(ISNUMBER(F24),ROUND(F24*'Reference data'!$B$2,0),"Unknown")</f>
        <v>0.0</v>
      </c>
    </row>
    <row r="25" spans="1:13" ht="24" customHeight="1">
      <c r="A25" t="s">
        <v>119</v>
      </c>
      <c r="B25">
        <v>1</v>
      </c>
      <c r="C25" t="s">
        <v>99</v>
      </c>
    </row>
    <row r="26" spans="1:13" ht="47" customHeight="1">
      <c r="A26" t="s">
        <v>119</v>
      </c>
      <c r="B26">
        <v>1</v>
      </c>
      <c r="C26" t="s">
        <v>100</v>
      </c>
      <c r="I26" s="6" t="s">
        <v>121</v>
      </c>
    </row>
    <row r="27" spans="1:13" ht="24" customHeight="1">
      <c r="A27" t="s">
        <v>119</v>
      </c>
      <c r="B27">
        <v>1</v>
      </c>
      <c r="C27" t="s">
        <v>104</v>
      </c>
      <c r="D27" s="5">
        <v>60</v>
      </c>
      <c r="E27" s="2">
        <f>IF(AND(ISNUMBER(F27),ISNUMBER('Reference data'!$B$3)),F27*'Reference data'!$B$3,"Unknown")</f>
        <v>1.308555e-05</v>
      </c>
      <c r="F27" s="2">
        <f>IF(D27=0,0,IF(ISNUMBER('Reference data'!D17),D27*'Reference data'!D17/1000000,"Unknown"))</f>
        <v>1.5e-05</v>
      </c>
      <c r="G27" s="5">
        <f>IF(ISNUMBER(E27),ROUND(E27*'Reference data'!$B$2,0),"Unknown")</f>
        <v>1.0</v>
      </c>
      <c r="H27" s="5">
        <f>IF(ISNUMBER(F27),ROUND(F27*'Reference data'!$B$2,0),"Unknown")</f>
        <v>2.0</v>
      </c>
    </row>
    <row r="28" spans="1:13" ht="24" customHeight="1">
      <c r="A28" t="s">
        <v>119</v>
      </c>
      <c r="B28">
        <v>1</v>
      </c>
      <c r="C28" t="s">
        <v>105</v>
      </c>
    </row>
    <row r="29" spans="1:13" s="4" customFormat="1" ht="24" customHeight="1">
      <c r="A29" s="4" t="s">
        <v>119</v>
      </c>
      <c r="B29" s="4">
        <v>1</v>
      </c>
      <c r="C29" s="4" t="s">
        <v>106</v>
      </c>
      <c r="D29" s="4">
        <v>44</v>
      </c>
    </row>
    <row r="30" spans="1:13" ht="24" customHeight="1">
      <c r="A30" t="s">
        <v>119</v>
      </c>
      <c r="B30">
        <v>1</v>
      </c>
      <c r="C30" t="s">
        <v>107</v>
      </c>
      <c r="D30" s="5">
        <v>23</v>
      </c>
      <c r="E30" s="2">
        <f>IF(AND(ISNUMBER(F30),ISNUMBER('Reference data'!$B$3)),F30*'Reference data'!$B$3,"Unknown")</f>
        <v>2.4077412e-05</v>
      </c>
      <c r="F30" s="2">
        <f>IF(D30=0,0,IF(ISNUMBER('Reference data'!F17),D30*'Reference data'!F17/1000000,"Unknown"))</f>
        <v>2.76e-05</v>
      </c>
      <c r="G30" s="5">
        <f>IF(ISNUMBER(E30),ROUND(E30*'Reference data'!$B$2,0),"Unknown")</f>
        <v>2.0</v>
      </c>
      <c r="H30" s="5">
        <f>IF(ISNUMBER(F30),ROUND(F30*'Reference data'!$B$2,0),"Unknown")</f>
        <v>3.0</v>
      </c>
    </row>
    <row r="31" spans="1:13" ht="24" customHeight="1">
      <c r="A31" t="s">
        <v>119</v>
      </c>
      <c r="B31">
        <v>1</v>
      </c>
      <c r="C31" t="s">
        <v>108</v>
      </c>
      <c r="D31" s="5">
        <v>21</v>
      </c>
      <c r="E31" s="2">
        <f>IF(AND(ISNUMBER(F31),ISNUMBER('Reference data'!$B$3)),F31*'Reference data'!$B$3,"Unknown")</f>
        <v>2.1983724e-05</v>
      </c>
      <c r="F31" s="2">
        <f>IF(D31=0,0,IF(ISNUMBER('Reference data'!E17),D31*'Reference data'!E17/1000000,"Unknown"))</f>
        <v>2.52e-05</v>
      </c>
      <c r="G31" s="5">
        <f>IF(ISNUMBER(E31),ROUND(E31*'Reference data'!$B$2,0),"Unknown")</f>
        <v>2.0</v>
      </c>
      <c r="H31" s="5">
        <f>IF(ISNUMBER(F31),ROUND(F31*'Reference data'!$B$2,0),"Unknown")</f>
        <v>3.0</v>
      </c>
    </row>
    <row r="32" spans="1:13" ht="294" customHeight="1">
      <c r="A32" t="s">
        <v>119</v>
      </c>
      <c r="B32">
        <v>1</v>
      </c>
      <c r="C32" t="s">
        <v>109</v>
      </c>
      <c r="I32" s="6" t="s">
        <v>122</v>
      </c>
    </row>
    <row r="33" spans="1:13" ht="24" customHeight="1">
      <c r="A33" t="s">
        <v>119</v>
      </c>
      <c r="B33">
        <v>1</v>
      </c>
      <c r="C33" t="s">
        <v>104</v>
      </c>
    </row>
    <row r="34" spans="1:13" ht="24" customHeight="1">
      <c r="A34" t="s">
        <v>119</v>
      </c>
      <c r="B34">
        <v>1</v>
      </c>
      <c r="C34" t="s">
        <v>105</v>
      </c>
    </row>
    <row r="35" spans="1:13" s="4" customFormat="1" ht="24" customHeight="1">
      <c r="A35" s="4" t="s">
        <v>119</v>
      </c>
      <c r="B35" s="4">
        <v>1</v>
      </c>
      <c r="C35" s="4" t="s">
        <v>111</v>
      </c>
      <c r="E35" s="2">
        <f>IF(COUNT('Turns'!E23,'Turns'!E24,'Turns'!E27,'Turns'!E30,'Turns'!E31)=5,SUM('Turns'!E23,'Turns'!E24,'Turns'!E27,'Turns'!E30,'Turns'!E31),"Unknown")</f>
        <v>8.91911088e-05</v>
      </c>
      <c r="F35" s="2">
        <f>IF(COUNT('Turns'!F23,'Turns'!F24,'Turns'!F27,'Turns'!F30,'Turns'!F31)=5,SUM('Turns'!F23,'Turns'!F24,'Turns'!F27,'Turns'!F30,'Turns'!F31),"Unknown")</f>
        <v>0.00010224</v>
      </c>
      <c r="G35" s="5">
        <f>IF(ISNUMBER(E35),ROUND(E35*'Reference data'!$B$2,0),"Unknown")</f>
        <v>9.0</v>
      </c>
      <c r="H35" s="5">
        <f>IF(ISNUMBER(F35),ROUND(F35*'Reference data'!$B$2,0),"Unknown")</f>
        <v>10.0</v>
      </c>
      <c r="K35" s="4" t="s">
        <v>112</v>
      </c>
    </row>
    <row r="36" spans="1:13" s="4" customFormat="1" ht="24" customHeight="1">
      <c r="B36" s="4">
        <v>1</v>
      </c>
      <c r="C36" s="4" t="s">
        <v>123</v>
      </c>
      <c r="K36" s="4" t="s">
        <v>112</v>
      </c>
      <c r="M36" s="4" t="s">
        <v>124</v>
      </c>
    </row>
    <row r="37" spans="1:13" ht="24" customHeight="1">
      <c r="B37">
        <v>1</v>
      </c>
      <c r="C37" t="s">
        <v>115</v>
      </c>
      <c r="I37" s="6" t="s">
        <v>125</v>
      </c>
    </row>
    <row r="38" spans="1:13" ht="24" customHeight="1">
      <c r="B38">
        <v>1</v>
      </c>
      <c r="C38" t="s">
        <v>117</v>
      </c>
      <c r="I38" s="6" t="s">
        <v>126</v>
      </c>
    </row>
    <row r="39" spans="1:13" s="4" customFormat="1" ht="24" customHeight="1">
      <c r="A39" s="4" t="s">
        <v>127</v>
      </c>
      <c r="B39" s="4">
        <v>1</v>
      </c>
      <c r="C39" s="4" t="s">
        <v>94</v>
      </c>
      <c r="D39" s="4">
        <v>1816</v>
      </c>
      <c r="J39" s="4" t="s">
        <v>95</v>
      </c>
      <c r="M39" s="4" t="s">
        <v>128</v>
      </c>
    </row>
    <row r="40" spans="1:13" ht="24" customHeight="1">
      <c r="A40" t="s">
        <v>127</v>
      </c>
      <c r="B40">
        <v>1</v>
      </c>
      <c r="C40" t="s">
        <v>97</v>
      </c>
      <c r="D40" s="5">
        <v>1752</v>
      </c>
      <c r="E40" s="2">
        <f>IF(AND(ISNUMBER(F40),ISNUMBER('Reference data'!$B$3)),F40*'Reference data'!$B$3,"Unknown")</f>
        <v>3.05678448e-05</v>
      </c>
      <c r="F40" s="2">
        <f>IF(D40=0,0,IF(ISNUMBER('Reference data'!C17),D40*'Reference data'!C17/1000000,"Unknown"))</f>
        <v>3.504e-05</v>
      </c>
      <c r="G40" s="5">
        <f>IF(ISNUMBER(E40),ROUND(E40*'Reference data'!$B$2,0),"Unknown")</f>
        <v>3.0</v>
      </c>
      <c r="H40" s="5">
        <f>IF(ISNUMBER(F40),ROUND(F40*'Reference data'!$B$2,0),"Unknown")</f>
        <v>4.0</v>
      </c>
    </row>
    <row r="41" spans="1:13" ht="24" customHeight="1">
      <c r="A41" t="s">
        <v>127</v>
      </c>
      <c r="B41">
        <v>1</v>
      </c>
      <c r="C41" t="s">
        <v>98</v>
      </c>
      <c r="D41" s="5">
        <v>3</v>
      </c>
      <c r="E41" s="2">
        <f>IF(AND(ISNUMBER(F41),ISNUMBER('Reference data'!$B$3)),F41*'Reference data'!$B$3,"Unknown")</f>
        <v>5.23422e-07</v>
      </c>
      <c r="F41" s="2">
        <f>IF(D41=0,0,IF(ISNUMBER('Reference data'!B17),D41*'Reference data'!B17/1000000,"Unknown"))</f>
        <v>6e-07</v>
      </c>
      <c r="G41" s="5">
        <f>IF(ISNUMBER(E41),ROUND(E41*'Reference data'!$B$2,0),"Unknown")</f>
        <v>0.0</v>
      </c>
      <c r="H41" s="5">
        <f>IF(ISNUMBER(F41),ROUND(F41*'Reference data'!$B$2,0),"Unknown")</f>
        <v>0.0</v>
      </c>
    </row>
    <row r="42" spans="1:13" ht="24" customHeight="1">
      <c r="A42" t="s">
        <v>127</v>
      </c>
      <c r="B42">
        <v>1</v>
      </c>
      <c r="C42" t="s">
        <v>129</v>
      </c>
      <c r="I42" s="6" t="s">
        <v>126</v>
      </c>
    </row>
    <row r="43" spans="1:13" ht="24" customHeight="1">
      <c r="A43" t="s">
        <v>127</v>
      </c>
      <c r="B43">
        <v>1</v>
      </c>
      <c r="C43" t="s">
        <v>104</v>
      </c>
      <c r="D43" s="5">
        <v>61</v>
      </c>
      <c r="E43" s="2">
        <f>IF(AND(ISNUMBER(F43),ISNUMBER('Reference data'!$B$3)),F43*'Reference data'!$B$3,"Unknown")</f>
        <v>1.33036425e-05</v>
      </c>
      <c r="F43" s="2">
        <f>IF(D43=0,0,IF(ISNUMBER('Reference data'!D17),D43*'Reference data'!D17/1000000,"Unknown"))</f>
        <v>1.525e-05</v>
      </c>
      <c r="G43" s="5">
        <f>IF(ISNUMBER(E43),ROUND(E43*'Reference data'!$B$2,0),"Unknown")</f>
        <v>1.0</v>
      </c>
      <c r="H43" s="5">
        <f>IF(ISNUMBER(F43),ROUND(F43*'Reference data'!$B$2,0),"Unknown")</f>
        <v>2.0</v>
      </c>
    </row>
    <row r="44" spans="1:13" ht="24" customHeight="1">
      <c r="A44" t="s">
        <v>127</v>
      </c>
      <c r="B44">
        <v>1</v>
      </c>
      <c r="C44" t="s">
        <v>105</v>
      </c>
    </row>
    <row r="45" spans="1:13" s="4" customFormat="1" ht="24" customHeight="1">
      <c r="A45" s="4" t="s">
        <v>127</v>
      </c>
      <c r="B45" s="4">
        <v>1</v>
      </c>
      <c r="C45" s="4" t="s">
        <v>106</v>
      </c>
      <c r="D45" s="4">
        <v>40</v>
      </c>
    </row>
    <row r="46" spans="1:13" ht="24" customHeight="1">
      <c r="A46" t="s">
        <v>127</v>
      </c>
      <c r="B46">
        <v>1</v>
      </c>
      <c r="C46" t="s">
        <v>108</v>
      </c>
      <c r="D46" s="5">
        <v>40</v>
      </c>
      <c r="E46" s="2">
        <f>IF(AND(ISNUMBER(F46),ISNUMBER('Reference data'!$B$3)),F46*'Reference data'!$B$3,"Unknown")</f>
        <v>4.187376e-05</v>
      </c>
      <c r="F46" s="2">
        <f>IF(D46=0,0,IF(ISNUMBER('Reference data'!E17),D46*'Reference data'!E17/1000000,"Unknown"))</f>
        <v>4.8e-05</v>
      </c>
      <c r="G46" s="5">
        <f>IF(ISNUMBER(E46),ROUND(E46*'Reference data'!$B$2,0),"Unknown")</f>
        <v>4.0</v>
      </c>
      <c r="H46" s="5">
        <f>IF(ISNUMBER(F46),ROUND(F46*'Reference data'!$B$2,0),"Unknown")</f>
        <v>5.0</v>
      </c>
    </row>
    <row r="47" spans="1:13" ht="60" customHeight="1">
      <c r="A47" t="s">
        <v>127</v>
      </c>
      <c r="B47">
        <v>1</v>
      </c>
      <c r="C47" t="s">
        <v>109</v>
      </c>
      <c r="I47" s="6" t="s">
        <v>130</v>
      </c>
    </row>
    <row r="48" spans="1:13" ht="24" customHeight="1">
      <c r="A48" t="s">
        <v>127</v>
      </c>
      <c r="B48">
        <v>1</v>
      </c>
      <c r="C48" t="s">
        <v>104</v>
      </c>
    </row>
    <row r="49" spans="1:13" ht="24" customHeight="1">
      <c r="A49" t="s">
        <v>127</v>
      </c>
      <c r="B49">
        <v>1</v>
      </c>
      <c r="C49" t="s">
        <v>105</v>
      </c>
    </row>
    <row r="50" spans="1:13" s="4" customFormat="1" ht="24" customHeight="1">
      <c r="A50" s="4" t="s">
        <v>127</v>
      </c>
      <c r="B50" s="4">
        <v>1</v>
      </c>
      <c r="C50" s="4" t="s">
        <v>111</v>
      </c>
      <c r="E50" s="2">
        <f>IF(COUNT('Turns'!E40,'Turns'!E41,'Turns'!E43,'Turns'!E46)=4,SUM('Turns'!E40,'Turns'!E41,'Turns'!E43,'Turns'!E46),"Unknown")</f>
        <v>8.62686693e-05</v>
      </c>
      <c r="F50" s="2">
        <f>IF(COUNT('Turns'!F40,'Turns'!F41,'Turns'!F43,'Turns'!F46)=4,SUM('Turns'!F40,'Turns'!F41,'Turns'!F43,'Turns'!F46),"Unknown")</f>
        <v>9.889e-05</v>
      </c>
      <c r="G50" s="5">
        <f>IF(ISNUMBER(E50),ROUND(E50*'Reference data'!$B$2,0),"Unknown")</f>
        <v>9.0</v>
      </c>
      <c r="H50" s="5">
        <f>IF(ISNUMBER(F50),ROUND(F50*'Reference data'!$B$2,0),"Unknown")</f>
        <v>10.0</v>
      </c>
      <c r="K50" s="4" t="s">
        <v>112</v>
      </c>
    </row>
    <row r="51" spans="1:13" s="4" customFormat="1" ht="24" customHeight="1">
      <c r="A51" s="4" t="s">
        <v>131</v>
      </c>
      <c r="B51" s="4">
        <v>1</v>
      </c>
      <c r="C51" s="4" t="s">
        <v>94</v>
      </c>
      <c r="D51" s="4">
        <v>2210</v>
      </c>
      <c r="J51" s="4" t="s">
        <v>95</v>
      </c>
      <c r="M51" s="4" t="s">
        <v>132</v>
      </c>
    </row>
    <row r="52" spans="1:13" ht="24" customHeight="1">
      <c r="A52" t="s">
        <v>131</v>
      </c>
      <c r="B52">
        <v>1</v>
      </c>
      <c r="C52" t="s">
        <v>97</v>
      </c>
      <c r="D52" s="5">
        <v>2046</v>
      </c>
      <c r="E52" s="2">
        <f>IF(AND(ISNUMBER(F52),ISNUMBER('Reference data'!$B$3)),F52*'Reference data'!$B$3,"Unknown")</f>
        <v>3.56973804e-05</v>
      </c>
      <c r="F52" s="2">
        <f>IF(D52=0,0,IF(ISNUMBER('Reference data'!C17),D52*'Reference data'!C17/1000000,"Unknown"))</f>
        <v>4.092e-05</v>
      </c>
      <c r="G52" s="5">
        <f>IF(ISNUMBER(E52),ROUND(E52*'Reference data'!$B$2,0),"Unknown")</f>
        <v>4.0</v>
      </c>
      <c r="H52" s="5">
        <f>IF(ISNUMBER(F52),ROUND(F52*'Reference data'!$B$2,0),"Unknown")</f>
        <v>4.0</v>
      </c>
    </row>
    <row r="53" spans="1:13" ht="24" customHeight="1">
      <c r="A53" t="s">
        <v>131</v>
      </c>
      <c r="B53">
        <v>1</v>
      </c>
      <c r="C53" t="s">
        <v>98</v>
      </c>
      <c r="D53" s="5">
        <v>3</v>
      </c>
      <c r="E53" s="2">
        <f>IF(AND(ISNUMBER(F53),ISNUMBER('Reference data'!$B$3)),F53*'Reference data'!$B$3,"Unknown")</f>
        <v>5.23422e-07</v>
      </c>
      <c r="F53" s="2">
        <f>IF(D53=0,0,IF(ISNUMBER('Reference data'!B17),D53*'Reference data'!B17/1000000,"Unknown"))</f>
        <v>6e-07</v>
      </c>
      <c r="G53" s="5">
        <f>IF(ISNUMBER(E53),ROUND(E53*'Reference data'!$B$2,0),"Unknown")</f>
        <v>0.0</v>
      </c>
      <c r="H53" s="5">
        <f>IF(ISNUMBER(F53),ROUND(F53*'Reference data'!$B$2,0),"Unknown")</f>
        <v>0.0</v>
      </c>
    </row>
    <row r="54" spans="1:13" ht="34" customHeight="1">
      <c r="A54" t="s">
        <v>131</v>
      </c>
      <c r="B54">
        <v>1</v>
      </c>
      <c r="C54" t="s">
        <v>129</v>
      </c>
      <c r="I54" s="6" t="s">
        <v>133</v>
      </c>
    </row>
    <row r="55" spans="1:13" ht="24" customHeight="1">
      <c r="A55" t="s">
        <v>131</v>
      </c>
      <c r="B55">
        <v>1</v>
      </c>
      <c r="C55" t="s">
        <v>104</v>
      </c>
      <c r="D55" s="5">
        <v>161</v>
      </c>
      <c r="E55" s="2">
        <f>IF(AND(ISNUMBER(F55),ISNUMBER('Reference data'!$B$3)),F55*'Reference data'!$B$3,"Unknown")</f>
        <v>3.51128925e-05</v>
      </c>
      <c r="F55" s="2">
        <f>IF(D55=0,0,IF(ISNUMBER('Reference data'!D17),D55*'Reference data'!D17/1000000,"Unknown"))</f>
        <v>4.025e-05</v>
      </c>
      <c r="G55" s="5">
        <f>IF(ISNUMBER(E55),ROUND(E55*'Reference data'!$B$2,0),"Unknown")</f>
        <v>4.0</v>
      </c>
      <c r="H55" s="5">
        <f>IF(ISNUMBER(F55),ROUND(F55*'Reference data'!$B$2,0),"Unknown")</f>
        <v>4.0</v>
      </c>
    </row>
    <row r="56" spans="1:13" ht="24" customHeight="1">
      <c r="A56" t="s">
        <v>131</v>
      </c>
      <c r="B56">
        <v>1</v>
      </c>
      <c r="C56" t="s">
        <v>105</v>
      </c>
    </row>
    <row r="57" spans="1:13" s="4" customFormat="1" ht="24" customHeight="1">
      <c r="A57" s="4" t="s">
        <v>131</v>
      </c>
      <c r="B57" s="4">
        <v>1</v>
      </c>
      <c r="C57" s="4" t="s">
        <v>106</v>
      </c>
      <c r="D57" s="4">
        <v>41</v>
      </c>
    </row>
    <row r="58" spans="1:13" ht="24" customHeight="1">
      <c r="A58" t="s">
        <v>131</v>
      </c>
      <c r="B58">
        <v>1</v>
      </c>
      <c r="C58" t="s">
        <v>108</v>
      </c>
      <c r="D58" s="5">
        <v>41</v>
      </c>
      <c r="E58" s="2">
        <f>IF(AND(ISNUMBER(F58),ISNUMBER('Reference data'!$B$3)),F58*'Reference data'!$B$3,"Unknown")</f>
        <v>4.2920604e-05</v>
      </c>
      <c r="F58" s="2">
        <f>IF(D58=0,0,IF(ISNUMBER('Reference data'!E17),D58*'Reference data'!E17/1000000,"Unknown"))</f>
        <v>4.92e-05</v>
      </c>
      <c r="G58" s="5">
        <f>IF(ISNUMBER(E58),ROUND(E58*'Reference data'!$B$2,0),"Unknown")</f>
        <v>4.0</v>
      </c>
      <c r="H58" s="5">
        <f>IF(ISNUMBER(F58),ROUND(F58*'Reference data'!$B$2,0),"Unknown")</f>
        <v>5.0</v>
      </c>
    </row>
    <row r="59" spans="1:13" ht="60" customHeight="1">
      <c r="A59" t="s">
        <v>131</v>
      </c>
      <c r="B59">
        <v>1</v>
      </c>
      <c r="C59" t="s">
        <v>109</v>
      </c>
      <c r="I59" s="6" t="s">
        <v>134</v>
      </c>
    </row>
    <row r="60" spans="1:13" ht="24" customHeight="1">
      <c r="A60" t="s">
        <v>131</v>
      </c>
      <c r="B60">
        <v>1</v>
      </c>
      <c r="C60" t="s">
        <v>104</v>
      </c>
    </row>
    <row r="61" spans="1:13" ht="24" customHeight="1">
      <c r="A61" t="s">
        <v>131</v>
      </c>
      <c r="B61">
        <v>1</v>
      </c>
      <c r="C61" t="s">
        <v>105</v>
      </c>
    </row>
    <row r="62" spans="1:13" s="4" customFormat="1" ht="24" customHeight="1">
      <c r="A62" s="4" t="s">
        <v>131</v>
      </c>
      <c r="B62" s="4">
        <v>1</v>
      </c>
      <c r="C62" s="4" t="s">
        <v>111</v>
      </c>
      <c r="E62" s="2">
        <f>IF(COUNT('Turns'!E52,'Turns'!E53,'Turns'!E55,'Turns'!E58)=4,SUM('Turns'!E52,'Turns'!E53,'Turns'!E55,'Turns'!E58),"Unknown")</f>
        <v>0.0001142542989</v>
      </c>
      <c r="F62" s="2">
        <f>IF(COUNT('Turns'!F52,'Turns'!F53,'Turns'!F55,'Turns'!F58)=4,SUM('Turns'!F52,'Turns'!F53,'Turns'!F55,'Turns'!F58),"Unknown")</f>
        <v>0.00013097</v>
      </c>
      <c r="G62" s="5">
        <f>IF(ISNUMBER(E62),ROUND(E62*'Reference data'!$B$2,0),"Unknown")</f>
        <v>11.0</v>
      </c>
      <c r="H62" s="5">
        <f>IF(ISNUMBER(F62),ROUND(F62*'Reference data'!$B$2,0),"Unknown")</f>
        <v>13.0</v>
      </c>
      <c r="K62" s="4" t="s">
        <v>112</v>
      </c>
    </row>
  </sheetData>
  <conditionalFormatting sqref="A2:AE62">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17"/>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135</v>
      </c>
      <c r="B2" s="1">
        <v>0</v>
      </c>
      <c r="C2" s="1" t="s">
        <v>136</v>
      </c>
      <c r="D2" s="1" t="s">
        <v>47</v>
      </c>
      <c r="E2" s="1" t="s">
        <v>112</v>
      </c>
      <c r="G2" s="6" t="s">
        <v>137</v>
      </c>
      <c r="H2" t="s">
        <v>49</v>
      </c>
      <c r="J2" s="2">
        <f>IF(COUNT('Turns'!D6,'Turns'!D24,'Turns'!D41,'Turns'!D53)=4,SUM('Turns'!D6,'Turns'!D24,'Turns'!D41,'Turns'!D53),"Unknown")</f>
        <v>12.0</v>
      </c>
      <c r="K2" s="2">
        <f>IF(COUNT('Turns'!E6,'Turns'!E24,'Turns'!E41,'Turns'!E53)=4,SUM('Turns'!E6,'Turns'!E24,'Turns'!E41,'Turns'!E53),"Unknown")</f>
        <v>2.093688e-06</v>
      </c>
      <c r="L2" s="2">
        <f>IF(COUNT('Turns'!F6,'Turns'!F24,'Turns'!F41,'Turns'!F53)=4,SUM('Turns'!F6,'Turns'!F24,'Turns'!F41,'Turns'!F53),"Unknown")</f>
        <v>2.4e-06</v>
      </c>
      <c r="M2" s="2">
        <f>IF(COUNT('Turns'!D5,'Turns'!D23,'Turns'!D40,'Turns'!D52)=4,SUM('Turns'!D5,'Turns'!D23,'Turns'!D40,'Turns'!D52),"Unknown")</f>
        <v>7536.0</v>
      </c>
      <c r="N2" s="2">
        <f>IF(COUNT('Turns'!E5,'Turns'!E23,'Turns'!E40,'Turns'!E52)=4,SUM('Turns'!E5,'Turns'!E23,'Turns'!E40,'Turns'!E52),"Unknown")</f>
        <v>0.0001314836064</v>
      </c>
      <c r="O2" s="2">
        <f>IF(COUNT('Turns'!F5,'Turns'!F23,'Turns'!F40,'Turns'!F52)=4,SUM('Turns'!F5,'Turns'!F23,'Turns'!F40,'Turns'!F52),"Unknown")</f>
        <v>0.00015072</v>
      </c>
      <c r="P2" s="2">
        <f>IF(COUNT('Turns'!D27,'Turns'!D43,'Turns'!D55)=3,SUM('Turns'!D27,'Turns'!D43,'Turns'!D55),"Unknown")</f>
        <v>282.0</v>
      </c>
      <c r="Q2" s="2">
        <f>IF(COUNT('Turns'!E27,'Turns'!E43,'Turns'!E55)=3,SUM('Turns'!E27,'Turns'!E43,'Turns'!E55),"Unknown")</f>
        <v>6.1502085e-05</v>
      </c>
      <c r="R2" s="2">
        <f>IF(COUNT('Turns'!F27,'Turns'!F43,'Turns'!F55)=3,SUM('Turns'!F27,'Turns'!F43,'Turns'!F55),"Unknown")</f>
        <v>7.05e-05</v>
      </c>
      <c r="S2" s="2">
        <f>IF(COUNT('Turns'!D14,'Turns'!D31,'Turns'!D46,'Turns'!D58)=4,SUM('Turns'!D14,'Turns'!D31,'Turns'!D46,'Turns'!D58),"Unknown")</f>
        <v>185.0</v>
      </c>
      <c r="T2" s="2">
        <f>IF(COUNT('Turns'!E14,'Turns'!E31,'Turns'!E46,'Turns'!E58)=4,SUM('Turns'!E14,'Turns'!E31,'Turns'!E46,'Turns'!E58),"Unknown")</f>
        <v>0.00019366614</v>
      </c>
      <c r="U2" s="2">
        <f>IF(COUNT('Turns'!F14,'Turns'!F31,'Turns'!F46,'Turns'!F58)=4,SUM('Turns'!F14,'Turns'!F31,'Turns'!F46,'Turns'!F58),"Unknown")</f>
        <v>0.000222</v>
      </c>
      <c r="V2" s="2">
        <f>IF(COUNT('Turns'!D13,'Turns'!D30)=2,SUM('Turns'!D13,'Turns'!D30),"Unknown")</f>
        <v>55.0</v>
      </c>
      <c r="W2" s="2">
        <f>IF(COUNT('Turns'!E13,'Turns'!E30)=2,SUM('Turns'!E13,'Turns'!E30),"Unknown")</f>
        <v>5.757642e-05</v>
      </c>
      <c r="X2" s="2">
        <f>IF(COUNT('Turns'!F13,'Turns'!F30)=2,SUM('Turns'!F13,'Turns'!F30),"Unknown")</f>
        <v>6.6e-05</v>
      </c>
      <c r="Y2" s="2">
        <f>IF(COUNT('Turns'!E18,'Turns'!E35,'Turns'!E50,'Turns'!E62)=4,SUM('Turns'!E18,'Turns'!E35,'Turns'!E50,'Turns'!E62),"Unknown")</f>
        <v>0.0004463219394</v>
      </c>
      <c r="Z2" s="2">
        <f>IF(COUNT('Turns'!F18,'Turns'!F35,'Turns'!F50,'Turns'!F62)=4,SUM('Turns'!F18,'Turns'!F35,'Turns'!F50,'Turns'!F62),"Unknown")</f>
        <v>0.00051162</v>
      </c>
      <c r="AA2" s="5">
        <f>IF(ISNUMBER(Y2),ROUND(Y2*'Reference data'!$B$2,0),"Unknown")</f>
        <v>45.0</v>
      </c>
      <c r="AB2" s="5">
        <f>IF(ISNUMBER(Z2),ROUND(Z2*'Reference data'!$B$2,0),"Unknown")</f>
        <v>51.0</v>
      </c>
      <c r="AD2" s="1">
        <v>7492.497</v>
      </c>
      <c r="AE2" s="1" t="s">
        <v>138</v>
      </c>
    </row>
    <row r="3" spans="1:31" ht="54" customHeight="1">
      <c r="A3" s="6" t="s">
        <v>139</v>
      </c>
      <c r="B3" s="1">
        <v>1</v>
      </c>
      <c r="C3" s="1" t="s">
        <v>136</v>
      </c>
      <c r="D3" s="1" t="s">
        <v>47</v>
      </c>
      <c r="E3" s="1" t="s">
        <v>112</v>
      </c>
      <c r="G3" s="6" t="s">
        <v>140</v>
      </c>
      <c r="H3" t="s">
        <v>141</v>
      </c>
      <c r="I3" t="s">
        <v>49</v>
      </c>
      <c r="AD3" s="1">
        <v>0.422</v>
      </c>
      <c r="AE3" s="1" t="s">
        <v>142</v>
      </c>
    </row>
    <row r="4" spans="1:31" ht="54" customHeight="1">
      <c r="A4" s="6" t="s">
        <v>143</v>
      </c>
      <c r="B4" s="1">
        <v>1</v>
      </c>
      <c r="C4" s="1" t="s">
        <v>136</v>
      </c>
      <c r="D4" s="1" t="s">
        <v>47</v>
      </c>
      <c r="E4" s="1" t="s">
        <v>112</v>
      </c>
      <c r="G4" s="6" t="s">
        <v>144</v>
      </c>
      <c r="H4" t="s">
        <v>145</v>
      </c>
      <c r="I4" t="s">
        <v>49</v>
      </c>
      <c r="J4" s="2">
        <f>IF(COUNT('Turns'!D6)=1,SUM('Turns'!D6),"Unknown")</f>
        <v>3.0</v>
      </c>
      <c r="K4" s="2">
        <f>IF(COUNT('Turns'!E6)=1,SUM('Turns'!E6),"Unknown")</f>
        <v>5.23422e-07</v>
      </c>
      <c r="L4" s="2">
        <f>IF(COUNT('Turns'!F6)=1,SUM('Turns'!F6),"Unknown")</f>
        <v>6e-07</v>
      </c>
      <c r="M4" s="2">
        <f>IF(COUNT('Turns'!D5)=1,SUM('Turns'!D5),"Unknown")</f>
        <v>2046.0</v>
      </c>
      <c r="N4" s="2">
        <f>IF(COUNT('Turns'!E5)=1,SUM('Turns'!E5),"Unknown")</f>
        <v>3.56973804e-05</v>
      </c>
      <c r="O4" s="2">
        <f>IF(COUNT('Turns'!F5)=1,SUM('Turns'!F5),"Unknown")</f>
        <v>4.092e-05</v>
      </c>
      <c r="P4" s="2">
        <v>0</v>
      </c>
      <c r="Q4" s="2">
        <v>0</v>
      </c>
      <c r="R4" s="2">
        <v>0</v>
      </c>
      <c r="S4" s="2">
        <f>IF(COUNT('Turns'!D14)=1,SUM('Turns'!D14),"Unknown")</f>
        <v>83.0</v>
      </c>
      <c r="T4" s="2">
        <f>IF(COUNT('Turns'!E14)=1,SUM('Turns'!E14),"Unknown")</f>
        <v>8.6888052e-05</v>
      </c>
      <c r="U4" s="2">
        <f>IF(COUNT('Turns'!F14)=1,SUM('Turns'!F14),"Unknown")</f>
        <v>9.96e-05</v>
      </c>
      <c r="V4" s="2">
        <f>IF(COUNT('Turns'!D13)=1,SUM('Turns'!D13),"Unknown")</f>
        <v>32.0</v>
      </c>
      <c r="W4" s="2">
        <f>IF(COUNT('Turns'!E13)=1,SUM('Turns'!E13),"Unknown")</f>
        <v>3.3499008e-05</v>
      </c>
      <c r="X4" s="2">
        <f>IF(COUNT('Turns'!F13)=1,SUM('Turns'!F13),"Unknown")</f>
        <v>3.84e-05</v>
      </c>
      <c r="Y4" s="2">
        <f>IF(COUNT('Turns'!E18)=1,SUM('Turns'!E18),"Unknown")</f>
        <v>0.0001566078624</v>
      </c>
      <c r="Z4" s="2">
        <f>IF(COUNT('Turns'!F18)=1,SUM('Turns'!F18),"Unknown")</f>
        <v>0.00017952</v>
      </c>
      <c r="AA4" s="5">
        <f>IF(ISNUMBER(Y4),ROUND(Y4*'Reference data'!$B$2,0),"Unknown")</f>
        <v>16.0</v>
      </c>
      <c r="AB4" s="5">
        <f>IF(ISNUMBER(Z4),ROUND(Z4*'Reference data'!$B$2,0),"Unknown")</f>
        <v>18.0</v>
      </c>
      <c r="AD4" s="1">
        <v>3419.856</v>
      </c>
      <c r="AE4" s="1" t="s">
        <v>138</v>
      </c>
    </row>
    <row r="5" spans="1:31" ht="54" customHeight="1">
      <c r="A5" s="6" t="s">
        <v>146</v>
      </c>
      <c r="B5" s="1">
        <v>2</v>
      </c>
      <c r="C5" s="1" t="s">
        <v>147</v>
      </c>
      <c r="D5" s="1" t="s">
        <v>95</v>
      </c>
      <c r="E5" s="1" t="s">
        <v>112</v>
      </c>
      <c r="F5" s="1">
        <v>2049</v>
      </c>
      <c r="G5" s="6" t="s">
        <v>148</v>
      </c>
      <c r="H5" t="s">
        <v>96</v>
      </c>
      <c r="I5" t="s">
        <v>145</v>
      </c>
      <c r="J5" s="2">
        <f>IF(COUNT('Turns'!D6)=1,SUM('Turns'!D6),"Unknown")</f>
        <v>3.0</v>
      </c>
      <c r="K5" s="2">
        <f>IF(COUNT('Turns'!E6)=1,SUM('Turns'!E6),"Unknown")</f>
        <v>5.23422e-07</v>
      </c>
      <c r="L5" s="2">
        <f>IF(COUNT('Turns'!F6)=1,SUM('Turns'!F6),"Unknown")</f>
        <v>6e-07</v>
      </c>
      <c r="M5" s="2">
        <f>IF(COUNT('Turns'!D5)=1,SUM('Turns'!D5),"Unknown")</f>
        <v>2046.0</v>
      </c>
      <c r="N5" s="2">
        <f>IF(COUNT('Turns'!E5)=1,SUM('Turns'!E5),"Unknown")</f>
        <v>3.56973804e-05</v>
      </c>
      <c r="O5" s="2">
        <f>IF(COUNT('Turns'!F5)=1,SUM('Turns'!F5),"Unknown")</f>
        <v>4.092e-05</v>
      </c>
      <c r="P5" s="2">
        <v>0</v>
      </c>
      <c r="Q5" s="2">
        <v>0</v>
      </c>
      <c r="R5" s="2">
        <v>0</v>
      </c>
      <c r="S5" s="2">
        <f>IF(COUNT('Turns'!D14)=1,SUM('Turns'!D14),"Unknown")</f>
        <v>83.0</v>
      </c>
      <c r="T5" s="2">
        <f>IF(COUNT('Turns'!E14)=1,SUM('Turns'!E14),"Unknown")</f>
        <v>8.6888052e-05</v>
      </c>
      <c r="U5" s="2">
        <f>IF(COUNT('Turns'!F14)=1,SUM('Turns'!F14),"Unknown")</f>
        <v>9.96e-05</v>
      </c>
      <c r="V5" s="2">
        <f>IF(COUNT('Turns'!D13)=1,SUM('Turns'!D13),"Unknown")</f>
        <v>32.0</v>
      </c>
      <c r="W5" s="2">
        <f>IF(COUNT('Turns'!E13)=1,SUM('Turns'!E13),"Unknown")</f>
        <v>3.3499008e-05</v>
      </c>
      <c r="X5" s="2">
        <f>IF(COUNT('Turns'!F13)=1,SUM('Turns'!F13),"Unknown")</f>
        <v>3.84e-05</v>
      </c>
      <c r="Y5" s="2">
        <f>IF(COUNT('Turns'!E18)=1,SUM('Turns'!E18),"Unknown")</f>
        <v>0.0001566078624</v>
      </c>
      <c r="Z5" s="2">
        <f>IF(COUNT('Turns'!F18)=1,SUM('Turns'!F18),"Unknown")</f>
        <v>0.00017952</v>
      </c>
      <c r="AA5" s="5">
        <f>IF(ISNUMBER(Y5),ROUND(Y5*'Reference data'!$B$2,0),"Unknown")</f>
        <v>16.0</v>
      </c>
      <c r="AB5" s="5">
        <f>IF(ISNUMBER(Z5),ROUND(Z5*'Reference data'!$B$2,0),"Unknown")</f>
        <v>18.0</v>
      </c>
      <c r="AC5" s="1" t="s">
        <v>93</v>
      </c>
      <c r="AD5" s="1">
        <v>3413.269</v>
      </c>
      <c r="AE5" s="1" t="s">
        <v>149</v>
      </c>
    </row>
    <row r="6" spans="1:31" ht="54" customHeight="1">
      <c r="A6" s="6" t="s">
        <v>150</v>
      </c>
      <c r="B6" s="1">
        <v>1</v>
      </c>
      <c r="C6" s="1" t="s">
        <v>136</v>
      </c>
      <c r="D6" s="1" t="s">
        <v>47</v>
      </c>
      <c r="E6" s="1" t="s">
        <v>112</v>
      </c>
      <c r="G6" s="6" t="s">
        <v>151</v>
      </c>
      <c r="H6" t="s">
        <v>152</v>
      </c>
      <c r="I6" t="s">
        <v>49</v>
      </c>
      <c r="J6" s="2">
        <f>IF(COUNT('Turns'!D24,'Turns'!D41)=2,SUM('Turns'!D24,'Turns'!D41),"Unknown")</f>
        <v>6.0</v>
      </c>
      <c r="K6" s="2">
        <f>IF(COUNT('Turns'!E24,'Turns'!E41)=2,SUM('Turns'!E24,'Turns'!E41),"Unknown")</f>
        <v>1.046844e-06</v>
      </c>
      <c r="L6" s="2">
        <f>IF(COUNT('Turns'!F24,'Turns'!F41)=2,SUM('Turns'!F24,'Turns'!F41),"Unknown")</f>
        <v>1.2e-06</v>
      </c>
      <c r="M6" s="2">
        <f>IF(COUNT('Turns'!D23,'Turns'!D40)=2,SUM('Turns'!D23,'Turns'!D40),"Unknown")</f>
        <v>3444.0</v>
      </c>
      <c r="N6" s="2">
        <f>IF(COUNT('Turns'!E23,'Turns'!E40)=2,SUM('Turns'!E23,'Turns'!E40),"Unknown")</f>
        <v>6.00888456e-05</v>
      </c>
      <c r="O6" s="2">
        <f>IF(COUNT('Turns'!F23,'Turns'!F40)=2,SUM('Turns'!F23,'Turns'!F40),"Unknown")</f>
        <v>6.888e-05</v>
      </c>
      <c r="P6" s="2">
        <f>IF(COUNT('Turns'!D27,'Turns'!D43)=2,SUM('Turns'!D27,'Turns'!D43),"Unknown")</f>
        <v>121.0</v>
      </c>
      <c r="Q6" s="2">
        <f>IF(COUNT('Turns'!E27,'Turns'!E43)=2,SUM('Turns'!E27,'Turns'!E43),"Unknown")</f>
        <v>2.63891925e-05</v>
      </c>
      <c r="R6" s="2">
        <f>IF(COUNT('Turns'!F27,'Turns'!F43)=2,SUM('Turns'!F27,'Turns'!F43),"Unknown")</f>
        <v>3.025e-05</v>
      </c>
      <c r="S6" s="2">
        <f>IF(COUNT('Turns'!D31,'Turns'!D46)=2,SUM('Turns'!D31,'Turns'!D46),"Unknown")</f>
        <v>61.0</v>
      </c>
      <c r="T6" s="2">
        <f>IF(COUNT('Turns'!E31,'Turns'!E46)=2,SUM('Turns'!E31,'Turns'!E46),"Unknown")</f>
        <v>6.3857484e-05</v>
      </c>
      <c r="U6" s="2">
        <f>IF(COUNT('Turns'!F31,'Turns'!F46)=2,SUM('Turns'!F31,'Turns'!F46),"Unknown")</f>
        <v>7.32e-05</v>
      </c>
      <c r="V6" s="2">
        <f>IF(COUNT('Turns'!D30)=1,SUM('Turns'!D30),"Unknown")</f>
        <v>23.0</v>
      </c>
      <c r="W6" s="2">
        <f>IF(COUNT('Turns'!E30)=1,SUM('Turns'!E30),"Unknown")</f>
        <v>2.4077412e-05</v>
      </c>
      <c r="X6" s="2">
        <f>IF(COUNT('Turns'!F30)=1,SUM('Turns'!F30),"Unknown")</f>
        <v>2.76e-05</v>
      </c>
      <c r="Y6" s="2">
        <f>IF(COUNT('Turns'!E35,'Turns'!E50)=2,SUM('Turns'!E35,'Turns'!E50),"Unknown")</f>
        <v>0.0001754597781</v>
      </c>
      <c r="Z6" s="2">
        <f>IF(COUNT('Turns'!F35,'Turns'!F50)=2,SUM('Turns'!F35,'Turns'!F50),"Unknown")</f>
        <v>0.00020113</v>
      </c>
      <c r="AA6" s="5">
        <f>IF(ISNUMBER(Y6),ROUND(Y6*'Reference data'!$B$2,0),"Unknown")</f>
        <v>18.0</v>
      </c>
      <c r="AB6" s="5">
        <f>IF(ISNUMBER(Z6),ROUND(Z6*'Reference data'!$B$2,0),"Unknown")</f>
        <v>20.0</v>
      </c>
      <c r="AD6" s="1">
        <v>2781.037</v>
      </c>
      <c r="AE6" s="1" t="s">
        <v>138</v>
      </c>
    </row>
    <row r="7" spans="1:31" ht="54" customHeight="1">
      <c r="A7" s="6" t="s">
        <v>153</v>
      </c>
      <c r="B7" s="1">
        <v>2</v>
      </c>
      <c r="C7" s="1" t="s">
        <v>154</v>
      </c>
      <c r="D7" s="1" t="s">
        <v>47</v>
      </c>
      <c r="E7" s="1" t="s">
        <v>112</v>
      </c>
      <c r="G7" s="6" t="s">
        <v>155</v>
      </c>
      <c r="H7" t="s">
        <v>114</v>
      </c>
      <c r="I7" t="s">
        <v>152</v>
      </c>
      <c r="J7" s="2">
        <f>IF(COUNT('Turns'!D24,'Turns'!D41)=2,SUM('Turns'!D24,'Turns'!D41),"Unknown")</f>
        <v>6.0</v>
      </c>
      <c r="K7" s="2">
        <f>IF(COUNT('Turns'!E24,'Turns'!E41)=2,SUM('Turns'!E24,'Turns'!E41),"Unknown")</f>
        <v>1.046844e-06</v>
      </c>
      <c r="L7" s="2">
        <f>IF(COUNT('Turns'!F24,'Turns'!F41)=2,SUM('Turns'!F24,'Turns'!F41),"Unknown")</f>
        <v>1.2e-06</v>
      </c>
      <c r="M7" s="2">
        <f>IF(COUNT('Turns'!D23,'Turns'!D40)=2,SUM('Turns'!D23,'Turns'!D40),"Unknown")</f>
        <v>3444.0</v>
      </c>
      <c r="N7" s="2">
        <f>IF(COUNT('Turns'!E23,'Turns'!E40)=2,SUM('Turns'!E23,'Turns'!E40),"Unknown")</f>
        <v>6.00888456e-05</v>
      </c>
      <c r="O7" s="2">
        <f>IF(COUNT('Turns'!F23,'Turns'!F40)=2,SUM('Turns'!F23,'Turns'!F40),"Unknown")</f>
        <v>6.888e-05</v>
      </c>
      <c r="P7" s="2">
        <f>IF(COUNT('Turns'!D27,'Turns'!D43)=2,SUM('Turns'!D27,'Turns'!D43),"Unknown")</f>
        <v>121.0</v>
      </c>
      <c r="Q7" s="2">
        <f>IF(COUNT('Turns'!E27,'Turns'!E43)=2,SUM('Turns'!E27,'Turns'!E43),"Unknown")</f>
        <v>2.63891925e-05</v>
      </c>
      <c r="R7" s="2">
        <f>IF(COUNT('Turns'!F27,'Turns'!F43)=2,SUM('Turns'!F27,'Turns'!F43),"Unknown")</f>
        <v>3.025e-05</v>
      </c>
      <c r="S7" s="2">
        <f>IF(COUNT('Turns'!D31,'Turns'!D46)=2,SUM('Turns'!D31,'Turns'!D46),"Unknown")</f>
        <v>61.0</v>
      </c>
      <c r="T7" s="2">
        <f>IF(COUNT('Turns'!E31,'Turns'!E46)=2,SUM('Turns'!E31,'Turns'!E46),"Unknown")</f>
        <v>6.3857484e-05</v>
      </c>
      <c r="U7" s="2">
        <f>IF(COUNT('Turns'!F31,'Turns'!F46)=2,SUM('Turns'!F31,'Turns'!F46),"Unknown")</f>
        <v>7.32e-05</v>
      </c>
      <c r="V7" s="2">
        <f>IF(COUNT('Turns'!D30)=1,SUM('Turns'!D30),"Unknown")</f>
        <v>23.0</v>
      </c>
      <c r="W7" s="2">
        <f>IF(COUNT('Turns'!E30)=1,SUM('Turns'!E30),"Unknown")</f>
        <v>2.4077412e-05</v>
      </c>
      <c r="X7" s="2">
        <f>IF(COUNT('Turns'!F30)=1,SUM('Turns'!F30),"Unknown")</f>
        <v>2.76e-05</v>
      </c>
      <c r="Y7" s="2">
        <f>IF(COUNT('Turns'!E35,'Turns'!E50)=2,SUM('Turns'!E35,'Turns'!E50),"Unknown")</f>
        <v>0.0001754597781</v>
      </c>
      <c r="Z7" s="2">
        <f>IF(COUNT('Turns'!F35,'Turns'!F50)=2,SUM('Turns'!F35,'Turns'!F50),"Unknown")</f>
        <v>0.00020113</v>
      </c>
      <c r="AA7" s="5">
        <f>IF(ISNUMBER(Y7),ROUND(Y7*'Reference data'!$B$2,0),"Unknown")</f>
        <v>18.0</v>
      </c>
      <c r="AB7" s="5">
        <f>IF(ISNUMBER(Z7),ROUND(Z7*'Reference data'!$B$2,0),"Unknown")</f>
        <v>20.0</v>
      </c>
      <c r="AD7" s="1">
        <v>2778.92</v>
      </c>
      <c r="AE7" s="1" t="s">
        <v>138</v>
      </c>
    </row>
    <row r="8" spans="1:31" ht="54" customHeight="1">
      <c r="A8" s="6" t="s">
        <v>156</v>
      </c>
      <c r="B8" s="1">
        <v>3</v>
      </c>
      <c r="C8" s="1" t="s">
        <v>136</v>
      </c>
      <c r="D8" s="1" t="s">
        <v>47</v>
      </c>
      <c r="E8" s="1" t="s">
        <v>112</v>
      </c>
      <c r="G8" s="6" t="s">
        <v>157</v>
      </c>
      <c r="H8" t="s">
        <v>158</v>
      </c>
      <c r="I8" t="s">
        <v>114</v>
      </c>
      <c r="J8" s="2">
        <f>IF(COUNT('Turns'!D24,'Turns'!D41)=2,SUM('Turns'!D24,'Turns'!D41),"Unknown")</f>
        <v>6.0</v>
      </c>
      <c r="K8" s="2">
        <f>IF(COUNT('Turns'!E24,'Turns'!E41)=2,SUM('Turns'!E24,'Turns'!E41),"Unknown")</f>
        <v>1.046844e-06</v>
      </c>
      <c r="L8" s="2">
        <f>IF(COUNT('Turns'!F24,'Turns'!F41)=2,SUM('Turns'!F24,'Turns'!F41),"Unknown")</f>
        <v>1.2e-06</v>
      </c>
      <c r="M8" s="2">
        <f>IF(COUNT('Turns'!D23,'Turns'!D40)=2,SUM('Turns'!D23,'Turns'!D40),"Unknown")</f>
        <v>3444.0</v>
      </c>
      <c r="N8" s="2">
        <f>IF(COUNT('Turns'!E23,'Turns'!E40)=2,SUM('Turns'!E23,'Turns'!E40),"Unknown")</f>
        <v>6.00888456e-05</v>
      </c>
      <c r="O8" s="2">
        <f>IF(COUNT('Turns'!F23,'Turns'!F40)=2,SUM('Turns'!F23,'Turns'!F40),"Unknown")</f>
        <v>6.888e-05</v>
      </c>
      <c r="P8" s="2">
        <f>IF(COUNT('Turns'!D27,'Turns'!D43)=2,SUM('Turns'!D27,'Turns'!D43),"Unknown")</f>
        <v>121.0</v>
      </c>
      <c r="Q8" s="2">
        <f>IF(COUNT('Turns'!E27,'Turns'!E43)=2,SUM('Turns'!E27,'Turns'!E43),"Unknown")</f>
        <v>2.63891925e-05</v>
      </c>
      <c r="R8" s="2">
        <f>IF(COUNT('Turns'!F27,'Turns'!F43)=2,SUM('Turns'!F27,'Turns'!F43),"Unknown")</f>
        <v>3.025e-05</v>
      </c>
      <c r="S8" s="2">
        <f>IF(COUNT('Turns'!D31,'Turns'!D46)=2,SUM('Turns'!D31,'Turns'!D46),"Unknown")</f>
        <v>61.0</v>
      </c>
      <c r="T8" s="2">
        <f>IF(COUNT('Turns'!E31,'Turns'!E46)=2,SUM('Turns'!E31,'Turns'!E46),"Unknown")</f>
        <v>6.3857484e-05</v>
      </c>
      <c r="U8" s="2">
        <f>IF(COUNT('Turns'!F31,'Turns'!F46)=2,SUM('Turns'!F31,'Turns'!F46),"Unknown")</f>
        <v>7.32e-05</v>
      </c>
      <c r="V8" s="2">
        <f>IF(COUNT('Turns'!D30)=1,SUM('Turns'!D30),"Unknown")</f>
        <v>23.0</v>
      </c>
      <c r="W8" s="2">
        <f>IF(COUNT('Turns'!E30)=1,SUM('Turns'!E30),"Unknown")</f>
        <v>2.4077412e-05</v>
      </c>
      <c r="X8" s="2">
        <f>IF(COUNT('Turns'!F30)=1,SUM('Turns'!F30),"Unknown")</f>
        <v>2.76e-05</v>
      </c>
      <c r="Y8" s="2">
        <f>IF(COUNT('Turns'!E35,'Turns'!E50)=2,SUM('Turns'!E35,'Turns'!E50),"Unknown")</f>
        <v>0.0001754597781</v>
      </c>
      <c r="Z8" s="2">
        <f>IF(COUNT('Turns'!F35,'Turns'!F50)=2,SUM('Turns'!F35,'Turns'!F50),"Unknown")</f>
        <v>0.00020113</v>
      </c>
      <c r="AA8" s="5">
        <f>IF(ISNUMBER(Y8),ROUND(Y8*'Reference data'!$B$2,0),"Unknown")</f>
        <v>18.0</v>
      </c>
      <c r="AB8" s="5">
        <f>IF(ISNUMBER(Z8),ROUND(Z8*'Reference data'!$B$2,0),"Unknown")</f>
        <v>20.0</v>
      </c>
      <c r="AD8" s="1">
        <v>2777.493</v>
      </c>
      <c r="AE8" s="1" t="s">
        <v>138</v>
      </c>
    </row>
    <row r="9" spans="1:31" ht="54" customHeight="1">
      <c r="A9" s="6" t="s">
        <v>159</v>
      </c>
      <c r="B9" s="1">
        <v>4</v>
      </c>
      <c r="C9" s="1" t="s">
        <v>136</v>
      </c>
      <c r="D9" s="1" t="s">
        <v>47</v>
      </c>
      <c r="E9" s="1" t="s">
        <v>112</v>
      </c>
      <c r="G9" s="6" t="s">
        <v>140</v>
      </c>
      <c r="H9" t="s">
        <v>160</v>
      </c>
      <c r="I9" t="s">
        <v>158</v>
      </c>
      <c r="AD9" s="1">
        <v>1.968</v>
      </c>
      <c r="AE9" s="1" t="s">
        <v>142</v>
      </c>
    </row>
    <row r="10" spans="1:31" ht="54" customHeight="1">
      <c r="A10" s="6" t="s">
        <v>161</v>
      </c>
      <c r="B10" s="1">
        <v>4</v>
      </c>
      <c r="C10" s="1" t="s">
        <v>136</v>
      </c>
      <c r="D10" s="1" t="s">
        <v>47</v>
      </c>
      <c r="E10" s="1" t="s">
        <v>112</v>
      </c>
      <c r="G10" s="6" t="s">
        <v>144</v>
      </c>
      <c r="H10" t="s">
        <v>162</v>
      </c>
      <c r="I10" t="s">
        <v>158</v>
      </c>
      <c r="J10" s="2">
        <f>IF(COUNT('Turns'!D24)=1,SUM('Turns'!D24),"Unknown")</f>
        <v>3.0</v>
      </c>
      <c r="K10" s="2">
        <f>IF(COUNT('Turns'!E24)=1,SUM('Turns'!E24),"Unknown")</f>
        <v>5.23422e-07</v>
      </c>
      <c r="L10" s="2">
        <f>IF(COUNT('Turns'!F24)=1,SUM('Turns'!F24),"Unknown")</f>
        <v>6e-07</v>
      </c>
      <c r="M10" s="2">
        <f>IF(COUNT('Turns'!D23)=1,SUM('Turns'!D23),"Unknown")</f>
        <v>1692.0</v>
      </c>
      <c r="N10" s="2">
        <f>IF(COUNT('Turns'!E23)=1,SUM('Turns'!E23),"Unknown")</f>
        <v>2.95210008e-05</v>
      </c>
      <c r="O10" s="2">
        <f>IF(COUNT('Turns'!F23)=1,SUM('Turns'!F23),"Unknown")</f>
        <v>3.384e-05</v>
      </c>
      <c r="P10" s="2">
        <f>IF(COUNT('Turns'!D27)=1,SUM('Turns'!D27),"Unknown")</f>
        <v>60.0</v>
      </c>
      <c r="Q10" s="2">
        <f>IF(COUNT('Turns'!E27)=1,SUM('Turns'!E27),"Unknown")</f>
        <v>1.308555e-05</v>
      </c>
      <c r="R10" s="2">
        <f>IF(COUNT('Turns'!F27)=1,SUM('Turns'!F27),"Unknown")</f>
        <v>1.5e-05</v>
      </c>
      <c r="S10" s="2">
        <f>IF(COUNT('Turns'!D31)=1,SUM('Turns'!D31),"Unknown")</f>
        <v>21.0</v>
      </c>
      <c r="T10" s="2">
        <f>IF(COUNT('Turns'!E31)=1,SUM('Turns'!E31),"Unknown")</f>
        <v>2.1983724e-05</v>
      </c>
      <c r="U10" s="2">
        <f>IF(COUNT('Turns'!F31)=1,SUM('Turns'!F31),"Unknown")</f>
        <v>2.52e-05</v>
      </c>
      <c r="V10" s="2">
        <f>IF(COUNT('Turns'!D30)=1,SUM('Turns'!D30),"Unknown")</f>
        <v>23.0</v>
      </c>
      <c r="W10" s="2">
        <f>IF(COUNT('Turns'!E30)=1,SUM('Turns'!E30),"Unknown")</f>
        <v>2.4077412e-05</v>
      </c>
      <c r="X10" s="2">
        <f>IF(COUNT('Turns'!F30)=1,SUM('Turns'!F30),"Unknown")</f>
        <v>2.76e-05</v>
      </c>
      <c r="Y10" s="2">
        <f>IF(COUNT('Turns'!E35)=1,SUM('Turns'!E35),"Unknown")</f>
        <v>8.91911088e-05</v>
      </c>
      <c r="Z10" s="2">
        <f>IF(COUNT('Turns'!F35)=1,SUM('Turns'!F35),"Unknown")</f>
        <v>0.00010224</v>
      </c>
      <c r="AA10" s="5">
        <f>IF(ISNUMBER(Y10),ROUND(Y10*'Reference data'!$B$2,0),"Unknown")</f>
        <v>9.0</v>
      </c>
      <c r="AB10" s="5">
        <f>IF(ISNUMBER(Z10),ROUND(Z10*'Reference data'!$B$2,0),"Unknown")</f>
        <v>10.0</v>
      </c>
      <c r="AD10" s="1">
        <v>1288.434</v>
      </c>
      <c r="AE10" s="1" t="s">
        <v>138</v>
      </c>
    </row>
    <row r="11" spans="1:31" ht="54" customHeight="1">
      <c r="A11" s="6" t="s">
        <v>163</v>
      </c>
      <c r="B11" s="1">
        <v>5</v>
      </c>
      <c r="C11" s="1" t="s">
        <v>147</v>
      </c>
      <c r="D11" s="1" t="s">
        <v>95</v>
      </c>
      <c r="E11" s="1" t="s">
        <v>112</v>
      </c>
      <c r="F11" s="1">
        <v>1755</v>
      </c>
      <c r="G11" s="6" t="s">
        <v>148</v>
      </c>
      <c r="H11" t="s">
        <v>120</v>
      </c>
      <c r="I11" t="s">
        <v>162</v>
      </c>
      <c r="J11" s="2">
        <f>IF(COUNT('Turns'!D24)=1,SUM('Turns'!D24),"Unknown")</f>
        <v>3.0</v>
      </c>
      <c r="K11" s="2">
        <f>IF(COUNT('Turns'!E24)=1,SUM('Turns'!E24),"Unknown")</f>
        <v>5.23422e-07</v>
      </c>
      <c r="L11" s="2">
        <f>IF(COUNT('Turns'!F24)=1,SUM('Turns'!F24),"Unknown")</f>
        <v>6e-07</v>
      </c>
      <c r="M11" s="2">
        <f>IF(COUNT('Turns'!D23)=1,SUM('Turns'!D23),"Unknown")</f>
        <v>1692.0</v>
      </c>
      <c r="N11" s="2">
        <f>IF(COUNT('Turns'!E23)=1,SUM('Turns'!E23),"Unknown")</f>
        <v>2.95210008e-05</v>
      </c>
      <c r="O11" s="2">
        <f>IF(COUNT('Turns'!F23)=1,SUM('Turns'!F23),"Unknown")</f>
        <v>3.384e-05</v>
      </c>
      <c r="P11" s="2">
        <f>IF(COUNT('Turns'!D27)=1,SUM('Turns'!D27),"Unknown")</f>
        <v>60.0</v>
      </c>
      <c r="Q11" s="2">
        <f>IF(COUNT('Turns'!E27)=1,SUM('Turns'!E27),"Unknown")</f>
        <v>1.308555e-05</v>
      </c>
      <c r="R11" s="2">
        <f>IF(COUNT('Turns'!F27)=1,SUM('Turns'!F27),"Unknown")</f>
        <v>1.5e-05</v>
      </c>
      <c r="S11" s="2">
        <f>IF(COUNT('Turns'!D31)=1,SUM('Turns'!D31),"Unknown")</f>
        <v>21.0</v>
      </c>
      <c r="T11" s="2">
        <f>IF(COUNT('Turns'!E31)=1,SUM('Turns'!E31),"Unknown")</f>
        <v>2.1983724e-05</v>
      </c>
      <c r="U11" s="2">
        <f>IF(COUNT('Turns'!F31)=1,SUM('Turns'!F31),"Unknown")</f>
        <v>2.52e-05</v>
      </c>
      <c r="V11" s="2">
        <f>IF(COUNT('Turns'!D30)=1,SUM('Turns'!D30),"Unknown")</f>
        <v>23.0</v>
      </c>
      <c r="W11" s="2">
        <f>IF(COUNT('Turns'!E30)=1,SUM('Turns'!E30),"Unknown")</f>
        <v>2.4077412e-05</v>
      </c>
      <c r="X11" s="2">
        <f>IF(COUNT('Turns'!F30)=1,SUM('Turns'!F30),"Unknown")</f>
        <v>2.76e-05</v>
      </c>
      <c r="Y11" s="2">
        <f>IF(COUNT('Turns'!E35)=1,SUM('Turns'!E35),"Unknown")</f>
        <v>8.91911088e-05</v>
      </c>
      <c r="Z11" s="2">
        <f>IF(COUNT('Turns'!F35)=1,SUM('Turns'!F35),"Unknown")</f>
        <v>0.00010224</v>
      </c>
      <c r="AA11" s="5">
        <f>IF(ISNUMBER(Y11),ROUND(Y11*'Reference data'!$B$2,0),"Unknown")</f>
        <v>9.0</v>
      </c>
      <c r="AB11" s="5">
        <f>IF(ISNUMBER(Z11),ROUND(Z11*'Reference data'!$B$2,0),"Unknown")</f>
        <v>10.0</v>
      </c>
      <c r="AC11" s="1" t="s">
        <v>119</v>
      </c>
      <c r="AD11" s="1">
        <v>1279.812</v>
      </c>
      <c r="AE11" s="1" t="s">
        <v>149</v>
      </c>
    </row>
    <row r="12" spans="1:31" ht="54" customHeight="1">
      <c r="A12" s="6" t="s">
        <v>164</v>
      </c>
      <c r="B12" s="1">
        <v>4</v>
      </c>
      <c r="C12" s="1" t="s">
        <v>136</v>
      </c>
      <c r="D12" s="1" t="s">
        <v>47</v>
      </c>
      <c r="E12" s="1" t="s">
        <v>112</v>
      </c>
      <c r="G12" s="6" t="s">
        <v>151</v>
      </c>
      <c r="H12" t="s">
        <v>165</v>
      </c>
      <c r="I12" t="s">
        <v>158</v>
      </c>
      <c r="AD12" s="1">
        <v>2.96</v>
      </c>
      <c r="AE12" s="1" t="s">
        <v>142</v>
      </c>
    </row>
    <row r="13" spans="1:31" ht="54" customHeight="1">
      <c r="A13" s="6" t="s">
        <v>166</v>
      </c>
      <c r="B13" s="1">
        <v>5</v>
      </c>
      <c r="C13" s="1" t="s">
        <v>154</v>
      </c>
      <c r="D13" s="1" t="s">
        <v>47</v>
      </c>
      <c r="E13" s="1" t="s">
        <v>112</v>
      </c>
      <c r="G13" s="6" t="s">
        <v>167</v>
      </c>
      <c r="H13" t="s">
        <v>124</v>
      </c>
      <c r="I13" t="s">
        <v>165</v>
      </c>
      <c r="AD13" s="1">
        <v>0.723</v>
      </c>
      <c r="AE13" s="1" t="s">
        <v>142</v>
      </c>
    </row>
    <row r="14" spans="1:31" ht="54" customHeight="1">
      <c r="A14" s="6" t="s">
        <v>161</v>
      </c>
      <c r="B14" s="1">
        <v>4</v>
      </c>
      <c r="C14" s="1" t="s">
        <v>136</v>
      </c>
      <c r="D14" s="1" t="s">
        <v>47</v>
      </c>
      <c r="E14" s="1" t="s">
        <v>112</v>
      </c>
      <c r="G14" s="6" t="s">
        <v>144</v>
      </c>
      <c r="H14" t="s">
        <v>168</v>
      </c>
      <c r="I14" t="s">
        <v>158</v>
      </c>
      <c r="J14" s="2">
        <f>IF(COUNT('Turns'!D41)=1,SUM('Turns'!D41),"Unknown")</f>
        <v>3.0</v>
      </c>
      <c r="K14" s="2">
        <f>IF(COUNT('Turns'!E41)=1,SUM('Turns'!E41),"Unknown")</f>
        <v>5.23422e-07</v>
      </c>
      <c r="L14" s="2">
        <f>IF(COUNT('Turns'!F41)=1,SUM('Turns'!F41),"Unknown")</f>
        <v>6e-07</v>
      </c>
      <c r="M14" s="2">
        <f>IF(COUNT('Turns'!D40)=1,SUM('Turns'!D40),"Unknown")</f>
        <v>1752.0</v>
      </c>
      <c r="N14" s="2">
        <f>IF(COUNT('Turns'!E40)=1,SUM('Turns'!E40),"Unknown")</f>
        <v>3.05678448e-05</v>
      </c>
      <c r="O14" s="2">
        <f>IF(COUNT('Turns'!F40)=1,SUM('Turns'!F40),"Unknown")</f>
        <v>3.504e-05</v>
      </c>
      <c r="P14" s="2">
        <f>IF(COUNT('Turns'!D43)=1,SUM('Turns'!D43),"Unknown")</f>
        <v>61.0</v>
      </c>
      <c r="Q14" s="2">
        <f>IF(COUNT('Turns'!E43)=1,SUM('Turns'!E43),"Unknown")</f>
        <v>1.33036425e-05</v>
      </c>
      <c r="R14" s="2">
        <f>IF(COUNT('Turns'!F43)=1,SUM('Turns'!F43),"Unknown")</f>
        <v>1.525e-05</v>
      </c>
      <c r="S14" s="2">
        <f>IF(COUNT('Turns'!D46)=1,SUM('Turns'!D46),"Unknown")</f>
        <v>40.0</v>
      </c>
      <c r="T14" s="2">
        <f>IF(COUNT('Turns'!E46)=1,SUM('Turns'!E46),"Unknown")</f>
        <v>4.187376e-05</v>
      </c>
      <c r="U14" s="2">
        <f>IF(COUNT('Turns'!F46)=1,SUM('Turns'!F46),"Unknown")</f>
        <v>4.8e-05</v>
      </c>
      <c r="V14" s="2">
        <v>0</v>
      </c>
      <c r="W14" s="2">
        <v>0</v>
      </c>
      <c r="X14" s="2">
        <v>0</v>
      </c>
      <c r="Y14" s="2">
        <f>IF(COUNT('Turns'!E50)=1,SUM('Turns'!E50),"Unknown")</f>
        <v>8.62686693e-05</v>
      </c>
      <c r="Z14" s="2">
        <f>IF(COUNT('Turns'!F50)=1,SUM('Turns'!F50),"Unknown")</f>
        <v>9.889e-05</v>
      </c>
      <c r="AA14" s="5">
        <f>IF(ISNUMBER(Y14),ROUND(Y14*'Reference data'!$B$2,0),"Unknown")</f>
        <v>9.0</v>
      </c>
      <c r="AB14" s="5">
        <f>IF(ISNUMBER(Z14),ROUND(Z14*'Reference data'!$B$2,0),"Unknown")</f>
        <v>10.0</v>
      </c>
      <c r="AD14" s="1">
        <v>1478.562</v>
      </c>
      <c r="AE14" s="1" t="s">
        <v>138</v>
      </c>
    </row>
    <row r="15" spans="1:31" ht="54" customHeight="1">
      <c r="A15" s="6" t="s">
        <v>163</v>
      </c>
      <c r="B15" s="1">
        <v>5</v>
      </c>
      <c r="C15" s="1" t="s">
        <v>147</v>
      </c>
      <c r="D15" s="1" t="s">
        <v>95</v>
      </c>
      <c r="E15" s="1" t="s">
        <v>112</v>
      </c>
      <c r="F15" s="1">
        <v>1816</v>
      </c>
      <c r="G15" s="6" t="s">
        <v>148</v>
      </c>
      <c r="H15" t="s">
        <v>128</v>
      </c>
      <c r="I15" t="s">
        <v>168</v>
      </c>
      <c r="J15" s="2">
        <f>IF(COUNT('Turns'!D41)=1,SUM('Turns'!D41),"Unknown")</f>
        <v>3.0</v>
      </c>
      <c r="K15" s="2">
        <f>IF(COUNT('Turns'!E41)=1,SUM('Turns'!E41),"Unknown")</f>
        <v>5.23422e-07</v>
      </c>
      <c r="L15" s="2">
        <f>IF(COUNT('Turns'!F41)=1,SUM('Turns'!F41),"Unknown")</f>
        <v>6e-07</v>
      </c>
      <c r="M15" s="2">
        <f>IF(COUNT('Turns'!D40)=1,SUM('Turns'!D40),"Unknown")</f>
        <v>1752.0</v>
      </c>
      <c r="N15" s="2">
        <f>IF(COUNT('Turns'!E40)=1,SUM('Turns'!E40),"Unknown")</f>
        <v>3.05678448e-05</v>
      </c>
      <c r="O15" s="2">
        <f>IF(COUNT('Turns'!F40)=1,SUM('Turns'!F40),"Unknown")</f>
        <v>3.504e-05</v>
      </c>
      <c r="P15" s="2">
        <f>IF(COUNT('Turns'!D43)=1,SUM('Turns'!D43),"Unknown")</f>
        <v>61.0</v>
      </c>
      <c r="Q15" s="2">
        <f>IF(COUNT('Turns'!E43)=1,SUM('Turns'!E43),"Unknown")</f>
        <v>1.33036425e-05</v>
      </c>
      <c r="R15" s="2">
        <f>IF(COUNT('Turns'!F43)=1,SUM('Turns'!F43),"Unknown")</f>
        <v>1.525e-05</v>
      </c>
      <c r="S15" s="2">
        <f>IF(COUNT('Turns'!D46)=1,SUM('Turns'!D46),"Unknown")</f>
        <v>40.0</v>
      </c>
      <c r="T15" s="2">
        <f>IF(COUNT('Turns'!E46)=1,SUM('Turns'!E46),"Unknown")</f>
        <v>4.187376e-05</v>
      </c>
      <c r="U15" s="2">
        <f>IF(COUNT('Turns'!F46)=1,SUM('Turns'!F46),"Unknown")</f>
        <v>4.8e-05</v>
      </c>
      <c r="V15" s="2">
        <v>0</v>
      </c>
      <c r="W15" s="2">
        <v>0</v>
      </c>
      <c r="X15" s="2">
        <v>0</v>
      </c>
      <c r="Y15" s="2">
        <f>IF(COUNT('Turns'!E50)=1,SUM('Turns'!E50),"Unknown")</f>
        <v>8.62686693e-05</v>
      </c>
      <c r="Z15" s="2">
        <f>IF(COUNT('Turns'!F50)=1,SUM('Turns'!F50),"Unknown")</f>
        <v>9.889e-05</v>
      </c>
      <c r="AA15" s="5">
        <f>IF(ISNUMBER(Y15),ROUND(Y15*'Reference data'!$B$2,0),"Unknown")</f>
        <v>9.0</v>
      </c>
      <c r="AB15" s="5">
        <f>IF(ISNUMBER(Z15),ROUND(Z15*'Reference data'!$B$2,0),"Unknown")</f>
        <v>10.0</v>
      </c>
      <c r="AC15" s="1" t="s">
        <v>127</v>
      </c>
      <c r="AD15" s="1">
        <v>1474.575</v>
      </c>
      <c r="AE15" s="1" t="s">
        <v>149</v>
      </c>
    </row>
    <row r="16" spans="1:31" ht="54" customHeight="1">
      <c r="A16" s="6" t="s">
        <v>143</v>
      </c>
      <c r="B16" s="1">
        <v>1</v>
      </c>
      <c r="C16" s="1" t="s">
        <v>136</v>
      </c>
      <c r="D16" s="1" t="s">
        <v>47</v>
      </c>
      <c r="E16" s="1" t="s">
        <v>112</v>
      </c>
      <c r="G16" s="6" t="s">
        <v>144</v>
      </c>
      <c r="H16" t="s">
        <v>169</v>
      </c>
      <c r="I16" t="s">
        <v>49</v>
      </c>
      <c r="J16" s="2">
        <f>IF(COUNT('Turns'!D53)=1,SUM('Turns'!D53),"Unknown")</f>
        <v>3.0</v>
      </c>
      <c r="K16" s="2">
        <f>IF(COUNT('Turns'!E53)=1,SUM('Turns'!E53),"Unknown")</f>
        <v>5.23422e-07</v>
      </c>
      <c r="L16" s="2">
        <f>IF(COUNT('Turns'!F53)=1,SUM('Turns'!F53),"Unknown")</f>
        <v>6e-07</v>
      </c>
      <c r="M16" s="2">
        <f>IF(COUNT('Turns'!D52)=1,SUM('Turns'!D52),"Unknown")</f>
        <v>2046.0</v>
      </c>
      <c r="N16" s="2">
        <f>IF(COUNT('Turns'!E52)=1,SUM('Turns'!E52),"Unknown")</f>
        <v>3.56973804e-05</v>
      </c>
      <c r="O16" s="2">
        <f>IF(COUNT('Turns'!F52)=1,SUM('Turns'!F52),"Unknown")</f>
        <v>4.092e-05</v>
      </c>
      <c r="P16" s="2">
        <f>IF(COUNT('Turns'!D55)=1,SUM('Turns'!D55),"Unknown")</f>
        <v>161.0</v>
      </c>
      <c r="Q16" s="2">
        <f>IF(COUNT('Turns'!E55)=1,SUM('Turns'!E55),"Unknown")</f>
        <v>3.51128925e-05</v>
      </c>
      <c r="R16" s="2">
        <f>IF(COUNT('Turns'!F55)=1,SUM('Turns'!F55),"Unknown")</f>
        <v>4.025e-05</v>
      </c>
      <c r="S16" s="2">
        <f>IF(COUNT('Turns'!D58)=1,SUM('Turns'!D58),"Unknown")</f>
        <v>41.0</v>
      </c>
      <c r="T16" s="2">
        <f>IF(COUNT('Turns'!E58)=1,SUM('Turns'!E58),"Unknown")</f>
        <v>4.2920604e-05</v>
      </c>
      <c r="U16" s="2">
        <f>IF(COUNT('Turns'!F58)=1,SUM('Turns'!F58),"Unknown")</f>
        <v>4.92e-05</v>
      </c>
      <c r="V16" s="2">
        <v>0</v>
      </c>
      <c r="W16" s="2">
        <v>0</v>
      </c>
      <c r="X16" s="2">
        <v>0</v>
      </c>
      <c r="Y16" s="2">
        <f>IF(COUNT('Turns'!E62)=1,SUM('Turns'!E62),"Unknown")</f>
        <v>0.0001142542989</v>
      </c>
      <c r="Z16" s="2">
        <f>IF(COUNT('Turns'!F62)=1,SUM('Turns'!F62),"Unknown")</f>
        <v>0.00013097</v>
      </c>
      <c r="AA16" s="5">
        <f>IF(ISNUMBER(Y16),ROUND(Y16*'Reference data'!$B$2,0),"Unknown")</f>
        <v>11.0</v>
      </c>
      <c r="AB16" s="5">
        <f>IF(ISNUMBER(Z16),ROUND(Z16*'Reference data'!$B$2,0),"Unknown")</f>
        <v>13.0</v>
      </c>
      <c r="AD16" s="1">
        <v>1285.334</v>
      </c>
      <c r="AE16" s="1" t="s">
        <v>138</v>
      </c>
    </row>
    <row r="17" spans="1:31" ht="54" customHeight="1">
      <c r="A17" s="6" t="s">
        <v>146</v>
      </c>
      <c r="B17" s="1">
        <v>2</v>
      </c>
      <c r="C17" s="1" t="s">
        <v>147</v>
      </c>
      <c r="D17" s="1" t="s">
        <v>95</v>
      </c>
      <c r="E17" s="1" t="s">
        <v>112</v>
      </c>
      <c r="F17" s="1">
        <v>2210</v>
      </c>
      <c r="G17" s="6" t="s">
        <v>148</v>
      </c>
      <c r="H17" t="s">
        <v>132</v>
      </c>
      <c r="I17" t="s">
        <v>169</v>
      </c>
      <c r="J17" s="2">
        <f>IF(COUNT('Turns'!D53)=1,SUM('Turns'!D53),"Unknown")</f>
        <v>3.0</v>
      </c>
      <c r="K17" s="2">
        <f>IF(COUNT('Turns'!E53)=1,SUM('Turns'!E53),"Unknown")</f>
        <v>5.23422e-07</v>
      </c>
      <c r="L17" s="2">
        <f>IF(COUNT('Turns'!F53)=1,SUM('Turns'!F53),"Unknown")</f>
        <v>6e-07</v>
      </c>
      <c r="M17" s="2">
        <f>IF(COUNT('Turns'!D52)=1,SUM('Turns'!D52),"Unknown")</f>
        <v>2046.0</v>
      </c>
      <c r="N17" s="2">
        <f>IF(COUNT('Turns'!E52)=1,SUM('Turns'!E52),"Unknown")</f>
        <v>3.56973804e-05</v>
      </c>
      <c r="O17" s="2">
        <f>IF(COUNT('Turns'!F52)=1,SUM('Turns'!F52),"Unknown")</f>
        <v>4.092e-05</v>
      </c>
      <c r="P17" s="2">
        <f>IF(COUNT('Turns'!D55)=1,SUM('Turns'!D55),"Unknown")</f>
        <v>161.0</v>
      </c>
      <c r="Q17" s="2">
        <f>IF(COUNT('Turns'!E55)=1,SUM('Turns'!E55),"Unknown")</f>
        <v>3.51128925e-05</v>
      </c>
      <c r="R17" s="2">
        <f>IF(COUNT('Turns'!F55)=1,SUM('Turns'!F55),"Unknown")</f>
        <v>4.025e-05</v>
      </c>
      <c r="S17" s="2">
        <f>IF(COUNT('Turns'!D58)=1,SUM('Turns'!D58),"Unknown")</f>
        <v>41.0</v>
      </c>
      <c r="T17" s="2">
        <f>IF(COUNT('Turns'!E58)=1,SUM('Turns'!E58),"Unknown")</f>
        <v>4.2920604e-05</v>
      </c>
      <c r="U17" s="2">
        <f>IF(COUNT('Turns'!F58)=1,SUM('Turns'!F58),"Unknown")</f>
        <v>4.92e-05</v>
      </c>
      <c r="V17" s="2">
        <v>0</v>
      </c>
      <c r="W17" s="2">
        <v>0</v>
      </c>
      <c r="X17" s="2">
        <v>0</v>
      </c>
      <c r="Y17" s="2">
        <f>IF(COUNT('Turns'!E62)=1,SUM('Turns'!E62),"Unknown")</f>
        <v>0.0001142542989</v>
      </c>
      <c r="Z17" s="2">
        <f>IF(COUNT('Turns'!F62)=1,SUM('Turns'!F62),"Unknown")</f>
        <v>0.00013097</v>
      </c>
      <c r="AA17" s="5">
        <f>IF(ISNUMBER(Y17),ROUND(Y17*'Reference data'!$B$2,0),"Unknown")</f>
        <v>11.0</v>
      </c>
      <c r="AB17" s="5">
        <f>IF(ISNUMBER(Z17),ROUND(Z17*'Reference data'!$B$2,0),"Unknown")</f>
        <v>13.0</v>
      </c>
      <c r="AC17" s="1" t="s">
        <v>131</v>
      </c>
      <c r="AD17" s="1">
        <v>1280.525</v>
      </c>
      <c r="AE17" s="1" t="s">
        <v>149</v>
      </c>
    </row>
  </sheetData>
  <conditionalFormatting sqref="A2:AE17">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2026-09-23T06:10:35Z</dcterms:created>
  <dcterms:modified xsi:type="dcterms:W3CDTF">2026-09-23T06:10:35Z</dcterms:modified>
</cp:coreProperties>
</file>
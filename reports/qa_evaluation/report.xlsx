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A" sheetId="1" r:id="rId1"/>
    <sheet name="Turns" sheetId="2" r:id="rId2"/>
    <sheet name="Execution tree" sheetId="3" r:id="rId3"/>
    <sheet name="Reference data" sheetId="4" r:id="rId4"/>
  </sheets>
  <calcPr calcId="124519" fullCalcOnLoad="1"/>
</workbook>
</file>

<file path=xl/sharedStrings.xml><?xml version="1.0" encoding="utf-8"?>
<sst xmlns="http://schemas.openxmlformats.org/spreadsheetml/2006/main" count="373" uniqueCount="186">
  <si>
    <t>Criterion</t>
  </si>
  <si>
    <t>Score / 100</t>
  </si>
  <si>
    <t>Reason</t>
  </si>
  <si>
    <t>Status</t>
  </si>
  <si>
    <t>completed</t>
  </si>
  <si>
    <t>codex:gpt-6-sol</t>
  </si>
  <si>
    <t>Overall</t>
  </si>
  <si>
    <t>Rubric coverage: 100%; available weights renormalized</t>
  </si>
  <si>
    <t>Judge overhead</t>
  </si>
  <si>
    <t>13.47s</t>
  </si>
  <si>
    <t>0.035052 USD estimated</t>
  </si>
  <si>
    <t>Summary</t>
  </si>
  <si>
    <t/>
  </si>
  <si>
    <t>The execution answered both questions clearly but only partially met the stated goal because it did not demonstrate how a specific tool observation supports a next action or final answer.</t>
  </si>
  <si>
    <t>Goal Achievement</t>
  </si>
  <si>
    <t>The first CodexChatModel response (01a111d2-309c-7bc0-aaf3-f0a734a28bec) clearly explains the workflow steps, and the second (01a111d2-6342-7351-99ec-1f3a828fd569) explains how observations inform an answer or next action. The stated goal also requires an example of using a tool observation; naming file contents and test results does not show a specific observation leading to a decision.</t>
  </si>
  <si>
    <t>Answer Quality</t>
  </si>
  <si>
    <t>Both answers are clear, relevant, and appropriately concise. The observation answer is accurate but lacks a concrete evidence-to-action example. No tool was used, so the record does not support a claim that an actual observation was evaluated. The event record is not truncated.</t>
  </si>
  <si>
    <t>Speed</t>
  </si>
  <si>
    <t>The recorded 17,884 ms covers two model calls and appears reasonable for two short chat answers. It includes workflow overhead; without an SLA or comparison baseline, a stronger speed judgment is not supported.</t>
  </si>
  <si>
    <t>Cost</t>
  </si>
  <si>
    <t>The estimated cost is $0.0034632 for two model calls, with no missing usage or unpriced calls. That is modest for the useful answers, though the missing concrete example reduces value. This is an estimate, not a subscription charge.</t>
  </si>
  <si>
    <t>Request</t>
  </si>
  <si>
    <t>Turn</t>
  </si>
  <si>
    <t>Sequence</t>
  </si>
  <si>
    <t>Tokens</t>
  </si>
  <si>
    <t>EUR / execution</t>
  </si>
  <si>
    <t>USD / execution</t>
  </si>
  <si>
    <t>Projected EUR</t>
  </si>
  <si>
    <t>Projected USD</t>
  </si>
  <si>
    <t>Content</t>
  </si>
  <si>
    <t>Model · effort</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</si>
  <si>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</si>
  <si>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</si>
  <si>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</si>
  <si>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</si>
  <si>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</si>
  <si>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</si>
  <si>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</si>
  <si>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</si>
  <si>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</si>
  <si>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</si>
  <si>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</si>
  <si>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</si>
  <si>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</si>
  <si>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</si>
  <si>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</si>
  <si>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</si>
  <si>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</si>
  <si>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</si>
  <si>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</si>
  <si>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</si>
  <si>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</si>
  <si>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</si>
  <si>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</si>
  <si>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</si>
  <si>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</si>
  <si>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</si>
  <si>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</si>
  <si>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</si>
  <si>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</si>
  <si>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</si>
  <si>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</si>
  <si>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</si>
  <si>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</si>
  <si>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</si>
  <si>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</si>
  <si>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</si>
  <si>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Run ID</t>
  </si>
  <si>
    <t>01a111d2-3092-7143-bc76-e25a40051556</t>
  </si>
  <si>
    <t>Recording</t>
  </si>
  <si>
    <t>Provider trace</t>
  </si>
  <si>
    <t>FX reference date</t>
  </si>
  <si>
    <t>2026-09-24</t>
  </si>
  <si>
    <t>FX fetched at</t>
  </si>
  <si>
    <t>2026-09-24T22:21:31.719587Z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</si>
  <si>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</si>
  <si>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</si>
  <si>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</si>
  <si>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</si>
  <si>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</si>
  <si>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</si>
  <si>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</si>
  <si>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</si>
  <si>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</si>
  <si>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</si>
  <si>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Published online token rates verified 2026-10-05. Copilot uses GitHub rates, including saved long-context tiers, before plan allowances; these are usage estimates, not subscription invoices. Cache writes with unspecified lifetime use the 5-minute rate unless an explicit cache_write rate is configured. Direct OpenAI and Anthropic entries use standard rates; no batch, regional, tool, negotiated, or unrecorded context-tier adjustments are applied. Model availability and context capacity require separate verification.</t>
  </si>
  <si>
    <t>Model</t>
  </si>
  <si>
    <t>Input USD / 1M tokens</t>
  </si>
  <si>
    <t>Cache read USD / 1M tokens</t>
  </si>
  <si>
    <t>Cache write USD / 1M tokens</t>
  </si>
  <si>
    <t>Output USD / 1M tokens</t>
  </si>
  <si>
    <t>Reasoning USD / 1M tokens</t>
  </si>
  <si>
    <t>Verified date</t>
  </si>
  <si>
    <t>Source</t>
  </si>
  <si>
    <t>Notes</t>
  </si>
  <si>
    <t>openai:gpt-5.5</t>
  </si>
  <si>
    <t>Unknown</t>
  </si>
  <si>
    <t>2026-10-05</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</si>
  <si>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</si>
  <si>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</si>
  <si>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</si>
  <si>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</si>
  <si>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</si>
  <si>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</si>
  <si>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</si>
  <si>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</si>
  <si>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</si>
  <si>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</si>
  <si>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</si>
  <si>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</si>
  <si>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anthropic:claude-haiku-4-5</t>
  </si>
  <si>
    <t>anthropic:claude-haiku-4-5-20251001</t>
  </si>
  <si>
    <t>anthropic:claude-opus-5-5</t>
  </si>
  <si>
    <t>anthropic:claude-sonnet-4-6</t>
  </si>
  <si>
    <t>anthropic:claude-sonnet-5-5</t>
  </si>
  <si>
    <t>copilot:claude-haiku-4.5</t>
  </si>
  <si>
    <t>https://docs.github.com/en/copilot/reference/copilot-billing/models-and-pricing</t>
  </si>
  <si>
    <t>copilot:claude-opus-5.5</t>
  </si>
  <si>
    <t>copilot:claude-sonnet-4.6</t>
  </si>
  <si>
    <t>copilot:claude-sonnet-5.5</t>
  </si>
  <si>
    <t>copilot:gemini-3.8-flash</t>
  </si>
  <si>
    <t>copilot:gpt-5.3-codex</t>
  </si>
  <si>
    <t>copilot:gpt-5.4</t>
  </si>
  <si>
    <t>copilot:gpt-6-astra</t>
  </si>
  <si>
    <t>copilot:gpt-6-luna</t>
  </si>
  <si>
    <t>copilot:gpt-6-sol</t>
  </si>
  <si>
    <t>copilot:gpt-6.1-sol</t>
  </si>
  <si>
    <t>openai:gpt-6-astra</t>
  </si>
  <si>
    <t>https://developers.openai.com/api/docs/models/gpt-6-astra.md</t>
  </si>
  <si>
    <t>openai:gpt-6-luna</t>
  </si>
  <si>
    <t>https://developers.openai.com/api/docs/models/gpt-6-luna.md</t>
  </si>
  <si>
    <t>openai:gpt-6-sol</t>
  </si>
  <si>
    <t>https://developers.openai.com/api/docs/models/gpt-6-sol.md</t>
  </si>
  <si>
    <t>openai:gpt-6.1-sol</t>
  </si>
  <si>
    <t>https://developers.openai.com/api/docs/models/gpt-6.1-sol.md</t>
  </si>
  <si>
    <t>copilot:gpt-5.4 [long context]</t>
  </si>
  <si>
    <t>Above 272,000 input tokens</t>
  </si>
  <si>
    <t>copilot:gpt-6-astra [long context]</t>
  </si>
  <si>
    <t>copilot:gpt-6-luna [long context]</t>
  </si>
  <si>
    <t>copilot:gpt-6-sol [long context]</t>
  </si>
  <si>
    <t>copilot:gpt-6.1-sol [long context]</t>
  </si>
  <si>
    <t>Run total</t>
  </si>
  <si>
    <t>Turn 1</t>
  </si>
  <si>
    <t>R1</t>
  </si>
  <si>
    <t>LLM request</t>
  </si>
  <si>
    <t>gpt-6-luna</t>
  </si>
  <si>
    <t>01a111d2-309c-7bc0-aaf3-f0a734a28bec</t>
  </si>
  <si>
    <t>Input at standard rate</t>
  </si>
  <si>
    <t xml:space="preserve">    Tool definitions</t>
  </si>
  <si>
    <t xml:space="preserve">    System prompt</t>
  </si>
  <si>
    <t>Answer the user's chat question directly and concisely. Do not use tools for this simple chat exercise.</t>
  </si>
  <si>
    <t xml:space="preserve">    User prompt</t>
  </si>
  <si>
    <t>Explain the main steps in an agent workflow.</t>
  </si>
  <si>
    <t>Cache write</t>
  </si>
  <si>
    <t>Context · added / total</t>
  </si>
  <si>
    <t>LLM response</t>
  </si>
  <si>
    <t>Output</t>
  </si>
  <si>
    <t xml:space="preserve">    Output content</t>
  </si>
  <si>
    <t>An agent workflow typically follows these steps:
1. **Understand the task** and identify the goal, constraints, and expected result.
2. **Gather context** by inspecting relevant files, data, or instructions.
3. **Plan the work**, breaking it into manageable steps and deciding whether tools or collaborators are needed.
4. **Take action** by making changes, answering questions, or using tools as appropriate.
5. **Verify the result** against the requirements, using tests or checks when relevant.
6. **Report back** with a concise summary of what was done and any limitations.</t>
  </si>
  <si>
    <t>Call total</t>
  </si>
  <si>
    <t>ok</t>
  </si>
  <si>
    <t>Turn 2</t>
  </si>
  <si>
    <t>R2</t>
  </si>
  <si>
    <t>01a111d2-6342-7351-99ec-1f3a828fd569</t>
  </si>
  <si>
    <t>Conversation history · cache read</t>
  </si>
  <si>
    <t>How does a tool observation help the agent answer?</t>
  </si>
  <si>
    <t>A tool observation gives the agent new information—such as file contents or test results—so it can ground its answer in evidence, check assumptions, and decide what to do next.</t>
  </si>
  <si>
    <t>chat_agent</t>
  </si>
  <si>
    <t>workflow</t>
  </si>
  <si>
    <t>Coordinate a direct chat response: prepare messages and invoke the model.</t>
  </si>
  <si>
    <t>Subtree total</t>
  </si>
  <si>
    <t xml:space="preserve">    PatchToolCallsMiddleware.before_agent</t>
  </si>
  <si>
    <t>Check message history and repair missing tool responses before the agent starts.</t>
  </si>
  <si>
    <t>01a111d2-3095-7c23-a055-b3c987d2ee8f</t>
  </si>
  <si>
    <t>No model charge</t>
  </si>
  <si>
    <t xml:space="preserve">    model</t>
  </si>
  <si>
    <t>Prepare the current conversation, run model middleware, and invoke the chat model.</t>
  </si>
  <si>
    <t>01a111d2-3097-70a1-b4ac-80479f2dcb83</t>
  </si>
  <si>
    <t xml:space="preserve">        CodexChatModel</t>
  </si>
  <si>
    <t>model</t>
  </si>
  <si>
    <t>A direct conversation with a Deep Agent.</t>
  </si>
  <si>
    <t>Own call</t>
  </si>
  <si>
    <t>01a111d2-633c-7272-a8d1-d8e9b41ed4cf</t>
  </si>
  <si>
    <t>01a111d2-633e-7ad3-a616-1bd2e2d64124</t>
  </si>
  <si>
    <t>01a111d2-633f-7ab0-a0fa-5605af284d17</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</si>
</sst>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0" fontId="2" fillId="2" borderId="0" xfId="0" applyFont="1" applyFill="1" applyAlignment="1">
      <alignment vertical="top" wrapText="1"/>
    </xf>
    <xf numFmtId="0" fontId="1" fillId="0" borderId="0" xfId="0" applyFont="1" applyAlignment="1">
      <alignment vertical="top" wrapText="1"/>
    </xf>
    <xf numFmtId="164" fontId="1" fillId="0" borderId="0" xfId="0" applyNumberFormat="1" applyFont="1" applyAlignment="1">
      <alignment vertical="top"/>
    </xf>
    <xf numFmtId="0" fontId="3" fillId="3" borderId="0" xfId="0" applyFont="1" applyFill="1" applyAlignment="1">
      <alignment vertical="top"/>
    </xf>
    <xf numFmtId="165" fontId="1" fillId="0" borderId="0" xfId="0" applyNumberFormat="1" applyFont="1" applyAlignment="1">
      <alignment vertical="top"/>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C9"/>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0.7109375" customWidth="1"/>
    <col min="2" max="2" width="18.7109375" style="1" customWidth="1"/>
    <col min="3" max="3" width="100.7109375" customWidth="1"/>
  </cols>
  <sheetData>
    <row r="1" spans="1:3" ht="44" customHeight="1">
      <c r="A1" s="2" t="s">
        <v>0</v>
      </c>
      <c r="B1" s="2" t="s">
        <v>1</v>
      </c>
      <c r="C1" s="2" t="s">
        <v>2</v>
      </c>
    </row>
    <row r="2" spans="1:3" ht="60" customHeight="1">
      <c r="A2" s="3" t="s">
        <v>3</v>
      </c>
      <c r="B2" s="3" t="s">
        <v>4</v>
      </c>
      <c r="C2" s="3" t="s">
        <v>5</v>
      </c>
    </row>
    <row r="3" spans="1:3" ht="60" customHeight="1">
      <c r="A3" s="3" t="s">
        <v>6</v>
      </c>
      <c r="B3" s="3">
        <v>75.09999999999999</v>
      </c>
      <c r="C3" s="3" t="s">
        <v>7</v>
      </c>
    </row>
    <row r="4" spans="1:3" ht="60" customHeight="1">
      <c r="A4" s="3" t="s">
        <v>8</v>
      </c>
      <c r="B4" s="3" t="s">
        <v>9</v>
      </c>
      <c r="C4" s="3" t="s">
        <v>10</v>
      </c>
    </row>
    <row r="5" spans="1:3" ht="60" customHeight="1">
      <c r="A5" s="3" t="s">
        <v>11</v>
      </c>
      <c r="B5" s="3" t="s">
        <v>12</v>
      </c>
      <c r="C5" s="3" t="s">
        <v>13</v>
      </c>
    </row>
    <row r="6" spans="1:3" ht="60" customHeight="1">
      <c r="A6" s="3" t="s">
        <v>14</v>
      </c>
      <c r="B6" s="3">
        <v>65</v>
      </c>
      <c r="C6" s="3" t="s">
        <v>15</v>
      </c>
    </row>
    <row r="7" spans="1:3" ht="60" customHeight="1">
      <c r="A7" s="3" t="s">
        <v>16</v>
      </c>
      <c r="B7" s="3">
        <v>72</v>
      </c>
      <c r="C7" s="3" t="s">
        <v>17</v>
      </c>
    </row>
    <row r="8" spans="1:3" ht="60" customHeight="1">
      <c r="A8" s="3" t="s">
        <v>18</v>
      </c>
      <c r="B8" s="3">
        <v>80</v>
      </c>
      <c r="C8" s="3" t="s">
        <v>19</v>
      </c>
    </row>
    <row r="9" spans="1:3" ht="60" customHeight="1">
      <c r="A9" s="3" t="s">
        <v>20</v>
      </c>
      <c r="B9" s="3">
        <v>82</v>
      </c>
      <c r="C9" s="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M29"/>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4"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2" t="s">
        <v>22</v>
      </c>
      <c r="B1" s="2" t="s">
        <v>23</v>
      </c>
      <c r="C1" s="2" t="s">
        <v>24</v>
      </c>
      <c r="D1" s="2" t="s">
        <v>25</v>
      </c>
      <c r="E1" s="2" t="s">
        <v>26</v>
      </c>
      <c r="F1" s="2" t="s">
        <v>27</v>
      </c>
      <c r="G1" s="2" t="s">
        <v>28</v>
      </c>
      <c r="H1" s="2" t="s">
        <v>29</v>
      </c>
      <c r="I1" s="2" t="s">
        <v>30</v>
      </c>
      <c r="J1" s="2" t="s">
        <v>31</v>
      </c>
      <c r="K1" s="2" t="s">
        <v>3</v>
      </c>
      <c r="L1" s="2" t="s">
        <v>32</v>
      </c>
      <c r="M1" s="2" t="s">
        <v>33</v>
      </c>
    </row>
    <row r="2" spans="1:13" s="5" customFormat="1" ht="24" customHeight="1">
      <c r="C2" s="5" t="s">
        <v>142</v>
      </c>
      <c r="E2" s="4">
        <f>IF(COUNT('Turns'!E16,'Turns'!E29)=2,SUM('Turns'!E16,'Turns'!E29),"Unknown")</f>
        <v>0.003046715568</v>
      </c>
      <c r="F2" s="4">
        <f>IF(COUNT('Turns'!F16,'Turns'!F29)=2,SUM('Turns'!F16,'Turns'!F29),"Unknown")</f>
        <v>0.0034632</v>
      </c>
      <c r="G2" s="6">
        <f>IF(ISNUMBER(E2),ROUND(E2*'Reference data'!$B$2,0),"Unknown")</f>
        <v>305.0</v>
      </c>
      <c r="H2" s="6">
        <f>IF(ISNUMBER(F2),ROUND(F2*'Reference data'!$B$2,0),"Unknown")</f>
        <v>346.0</v>
      </c>
    </row>
    <row r="3" spans="1:13" s="5" customFormat="1" ht="24" customHeight="1">
      <c r="B3" s="5">
        <v>1</v>
      </c>
      <c r="C3" s="5" t="s">
        <v>143</v>
      </c>
      <c r="E3" s="4">
        <f>IF(COUNT('Turns'!E16)=1,SUM('Turns'!E16),"Unknown")</f>
        <v>0.001536201988</v>
      </c>
      <c r="F3" s="4">
        <f>IF(COUNT('Turns'!F16)=1,SUM('Turns'!F16),"Unknown")</f>
        <v>0.0017462</v>
      </c>
      <c r="G3" s="6">
        <f>IF(ISNUMBER(E3),ROUND(E3*'Reference data'!$B$2,0),"Unknown")</f>
        <v>154.0</v>
      </c>
      <c r="H3" s="6">
        <f>IF(ISNUMBER(F3),ROUND(F3*'Reference data'!$B$2,0),"Unknown")</f>
        <v>175.0</v>
      </c>
    </row>
    <row r="4" spans="1:13" s="5" customFormat="1" ht="24" customHeight="1">
      <c r="A4" s="5" t="s">
        <v>144</v>
      </c>
      <c r="B4" s="5">
        <v>1</v>
      </c>
      <c r="C4" s="5" t="s">
        <v>145</v>
      </c>
      <c r="D4" s="5">
        <v>16752</v>
      </c>
      <c r="J4" s="5" t="s">
        <v>146</v>
      </c>
      <c r="M4" s="5" t="s">
        <v>147</v>
      </c>
    </row>
    <row r="5" spans="1:13" ht="24" customHeight="1">
      <c r="A5" t="s">
        <v>144</v>
      </c>
      <c r="B5">
        <v>1</v>
      </c>
      <c r="C5" t="s">
        <v>148</v>
      </c>
      <c r="D5" s="6">
        <v>16752</v>
      </c>
      <c r="E5" s="4">
        <f>IF(AND(ISNUMBER(F5),ISNUMBER('Reference data'!$B$3)),F5*'Reference data'!$B$3,"Unknown")</f>
        <v>0.001473740448</v>
      </c>
      <c r="F5" s="4">
        <f>IF(D5=0,0,IF(ISNUMBER('Reference data'!B40),D5*'Reference data'!B40/1000000,"Unknown"))</f>
        <v>0.0016752</v>
      </c>
      <c r="G5" s="6">
        <f>IF(ISNUMBER(E5),ROUND(E5*'Reference data'!$B$2,0),"Unknown")</f>
        <v>147.0</v>
      </c>
      <c r="H5" s="6">
        <f>IF(ISNUMBER(F5),ROUND(F5*'Reference data'!$B$2,0),"Unknown")</f>
        <v>168.0</v>
      </c>
    </row>
    <row r="6" spans="1:13" ht="24" customHeight="1">
      <c r="A6" t="s">
        <v>144</v>
      </c>
      <c r="B6">
        <v>1</v>
      </c>
      <c r="C6" t="s">
        <v>149</v>
      </c>
    </row>
    <row r="7" spans="1:13" ht="34" customHeight="1">
      <c r="A7" t="s">
        <v>144</v>
      </c>
      <c r="B7">
        <v>1</v>
      </c>
      <c r="C7" t="s">
        <v>150</v>
      </c>
      <c r="I7" s="3" t="s">
        <v>151</v>
      </c>
    </row>
    <row r="8" spans="1:13" ht="24" customHeight="1">
      <c r="A8" t="s">
        <v>144</v>
      </c>
      <c r="B8">
        <v>1</v>
      </c>
      <c r="C8" t="s">
        <v>152</v>
      </c>
      <c r="I8" s="3" t="s">
        <v>153</v>
      </c>
    </row>
    <row r="9" spans="1:13" ht="24" customHeight="1">
      <c r="A9" t="s">
        <v>144</v>
      </c>
      <c r="B9">
        <v>1</v>
      </c>
      <c r="C9" t="s">
        <v>154</v>
      </c>
    </row>
    <row r="10" spans="1:13" ht="24" customHeight="1">
      <c r="A10" t="s">
        <v>144</v>
      </c>
      <c r="B10">
        <v>1</v>
      </c>
      <c r="C10" t="s">
        <v>155</v>
      </c>
    </row>
    <row r="11" spans="1:13" s="5" customFormat="1" ht="24" customHeight="1">
      <c r="A11" s="5" t="s">
        <v>144</v>
      </c>
      <c r="B11" s="5">
        <v>1</v>
      </c>
      <c r="C11" s="5" t="s">
        <v>156</v>
      </c>
      <c r="D11" s="5">
        <v>142</v>
      </c>
    </row>
    <row r="12" spans="1:13" ht="24" customHeight="1">
      <c r="A12" t="s">
        <v>144</v>
      </c>
      <c r="B12">
        <v>1</v>
      </c>
      <c r="C12" t="s">
        <v>157</v>
      </c>
      <c r="D12" s="6">
        <v>142</v>
      </c>
      <c r="E12" s="4">
        <f>IF(AND(ISNUMBER(F12),ISNUMBER('Reference data'!$B$3)),F12*'Reference data'!$B$3,"Unknown")</f>
        <v>6.246154e-05</v>
      </c>
      <c r="F12" s="4">
        <f>IF(D12=0,0,IF(ISNUMBER('Reference data'!E40),D12*'Reference data'!E40/1000000,"Unknown"))</f>
        <v>7.1e-05</v>
      </c>
      <c r="G12" s="6">
        <f>IF(ISNUMBER(E12),ROUND(E12*'Reference data'!$B$2,0),"Unknown")</f>
        <v>6.0</v>
      </c>
      <c r="H12" s="6">
        <f>IF(ISNUMBER(F12),ROUND(F12*'Reference data'!$B$2,0),"Unknown")</f>
        <v>7.0</v>
      </c>
    </row>
    <row r="13" spans="1:13" ht="138" customHeight="1">
      <c r="A13" t="s">
        <v>144</v>
      </c>
      <c r="B13">
        <v>1</v>
      </c>
      <c r="C13" t="s">
        <v>158</v>
      </c>
      <c r="I13" s="3" t="s">
        <v>159</v>
      </c>
    </row>
    <row r="14" spans="1:13" ht="24" customHeight="1">
      <c r="A14" t="s">
        <v>144</v>
      </c>
      <c r="B14">
        <v>1</v>
      </c>
      <c r="C14" t="s">
        <v>154</v>
      </c>
    </row>
    <row r="15" spans="1:13" ht="24" customHeight="1">
      <c r="A15" t="s">
        <v>144</v>
      </c>
      <c r="B15">
        <v>1</v>
      </c>
      <c r="C15" t="s">
        <v>155</v>
      </c>
    </row>
    <row r="16" spans="1:13" s="5" customFormat="1" ht="24" customHeight="1">
      <c r="A16" s="5" t="s">
        <v>144</v>
      </c>
      <c r="B16" s="5">
        <v>1</v>
      </c>
      <c r="C16" s="5" t="s">
        <v>160</v>
      </c>
      <c r="E16" s="4">
        <f>IF(COUNT('Turns'!E5,'Turns'!E12)=2,SUM('Turns'!E5,'Turns'!E12),"Unknown")</f>
        <v>0.001536201988</v>
      </c>
      <c r="F16" s="4">
        <f>IF(COUNT('Turns'!F5,'Turns'!F12)=2,SUM('Turns'!F5,'Turns'!F12),"Unknown")</f>
        <v>0.0017462</v>
      </c>
      <c r="G16" s="6">
        <f>IF(ISNUMBER(E16),ROUND(E16*'Reference data'!$B$2,0),"Unknown")</f>
        <v>154.0</v>
      </c>
      <c r="H16" s="6">
        <f>IF(ISNUMBER(F16),ROUND(F16*'Reference data'!$B$2,0),"Unknown")</f>
        <v>175.0</v>
      </c>
      <c r="K16" s="5" t="s">
        <v>161</v>
      </c>
    </row>
    <row r="17" spans="1:13" s="5" customFormat="1" ht="24" customHeight="1">
      <c r="B17" s="5">
        <v>2</v>
      </c>
      <c r="C17" s="5" t="s">
        <v>162</v>
      </c>
      <c r="E17" s="4">
        <f>IF(COUNT('Turns'!E29)=1,SUM('Turns'!E29),"Unknown")</f>
        <v>0.00151051358</v>
      </c>
      <c r="F17" s="4">
        <f>IF(COUNT('Turns'!F29)=1,SUM('Turns'!F29),"Unknown")</f>
        <v>0.001717</v>
      </c>
      <c r="G17" s="6">
        <f>IF(ISNUMBER(E17),ROUND(E17*'Reference data'!$B$2,0),"Unknown")</f>
        <v>151.0</v>
      </c>
      <c r="H17" s="6">
        <f>IF(ISNUMBER(F17),ROUND(F17*'Reference data'!$B$2,0),"Unknown")</f>
        <v>172.0</v>
      </c>
    </row>
    <row r="18" spans="1:13" s="5" customFormat="1" ht="24" customHeight="1">
      <c r="A18" s="5" t="s">
        <v>163</v>
      </c>
      <c r="B18" s="5">
        <v>2</v>
      </c>
      <c r="C18" s="5" t="s">
        <v>145</v>
      </c>
      <c r="D18" s="5">
        <v>16905</v>
      </c>
      <c r="J18" s="5" t="s">
        <v>146</v>
      </c>
      <c r="M18" s="5" t="s">
        <v>164</v>
      </c>
    </row>
    <row r="19" spans="1:13" ht="24" customHeight="1">
      <c r="A19" t="s">
        <v>163</v>
      </c>
      <c r="B19">
        <v>2</v>
      </c>
      <c r="C19" t="s">
        <v>165</v>
      </c>
      <c r="D19" s="6">
        <v>0</v>
      </c>
      <c r="E19" s="4">
        <f>IF(AND(ISNUMBER(F19),ISNUMBER('Reference data'!$B$3)),F19*'Reference data'!$B$3,"Unknown")</f>
        <v>0.0</v>
      </c>
      <c r="F19" s="4">
        <f>IF(D19=0,0,IF(ISNUMBER('Reference data'!C40),D19*'Reference data'!C40/1000000,"Unknown"))</f>
        <v>0.0</v>
      </c>
      <c r="G19" s="6">
        <f>IF(ISNUMBER(E19),ROUND(E19*'Reference data'!$B$2,0),"Unknown")</f>
        <v>0.0</v>
      </c>
      <c r="H19" s="6">
        <f>IF(ISNUMBER(F19),ROUND(F19*'Reference data'!$B$2,0),"Unknown")</f>
        <v>0.0</v>
      </c>
    </row>
    <row r="20" spans="1:13" ht="24" customHeight="1">
      <c r="A20" t="s">
        <v>163</v>
      </c>
      <c r="B20">
        <v>2</v>
      </c>
      <c r="C20" t="s">
        <v>148</v>
      </c>
      <c r="D20" s="6">
        <v>16905</v>
      </c>
      <c r="E20" s="4">
        <f>IF(AND(ISNUMBER(F20),ISNUMBER('Reference data'!$B$3)),F20*'Reference data'!$B$3,"Unknown")</f>
        <v>0.00148720047</v>
      </c>
      <c r="F20" s="4">
        <f>IF(D20=0,0,IF(ISNUMBER('Reference data'!B40),D20*'Reference data'!B40/1000000,"Unknown"))</f>
        <v>0.0016905</v>
      </c>
      <c r="G20" s="6">
        <f>IF(ISNUMBER(E20),ROUND(E20*'Reference data'!$B$2,0),"Unknown")</f>
        <v>149.0</v>
      </c>
      <c r="H20" s="6">
        <f>IF(ISNUMBER(F20),ROUND(F20*'Reference data'!$B$2,0),"Unknown")</f>
        <v>169.0</v>
      </c>
    </row>
    <row r="21" spans="1:13" ht="24" customHeight="1">
      <c r="A21" t="s">
        <v>163</v>
      </c>
      <c r="B21">
        <v>2</v>
      </c>
      <c r="C21" t="s">
        <v>152</v>
      </c>
      <c r="I21" s="3" t="s">
        <v>166</v>
      </c>
    </row>
    <row r="22" spans="1:13" ht="24" customHeight="1">
      <c r="A22" t="s">
        <v>163</v>
      </c>
      <c r="B22">
        <v>2</v>
      </c>
      <c r="C22" t="s">
        <v>154</v>
      </c>
    </row>
    <row r="23" spans="1:13" ht="24" customHeight="1">
      <c r="A23" t="s">
        <v>163</v>
      </c>
      <c r="B23">
        <v>2</v>
      </c>
      <c r="C23" t="s">
        <v>155</v>
      </c>
    </row>
    <row r="24" spans="1:13" s="5" customFormat="1" ht="24" customHeight="1">
      <c r="A24" s="5" t="s">
        <v>163</v>
      </c>
      <c r="B24" s="5">
        <v>2</v>
      </c>
      <c r="C24" s="5" t="s">
        <v>156</v>
      </c>
      <c r="D24" s="5">
        <v>53</v>
      </c>
    </row>
    <row r="25" spans="1:13" ht="24" customHeight="1">
      <c r="A25" t="s">
        <v>163</v>
      </c>
      <c r="B25">
        <v>2</v>
      </c>
      <c r="C25" t="s">
        <v>157</v>
      </c>
      <c r="D25" s="6">
        <v>53</v>
      </c>
      <c r="E25" s="4">
        <f>IF(AND(ISNUMBER(F25),ISNUMBER('Reference data'!$B$3)),F25*'Reference data'!$B$3,"Unknown")</f>
        <v>2.331311e-05</v>
      </c>
      <c r="F25" s="4">
        <f>IF(D25=0,0,IF(ISNUMBER('Reference data'!E40),D25*'Reference data'!E40/1000000,"Unknown"))</f>
        <v>2.65e-05</v>
      </c>
      <c r="G25" s="6">
        <f>IF(ISNUMBER(E25),ROUND(E25*'Reference data'!$B$2,0),"Unknown")</f>
        <v>2.0</v>
      </c>
      <c r="H25" s="6">
        <f>IF(ISNUMBER(F25),ROUND(F25*'Reference data'!$B$2,0),"Unknown")</f>
        <v>3.0</v>
      </c>
    </row>
    <row r="26" spans="1:13" ht="34" customHeight="1">
      <c r="A26" t="s">
        <v>163</v>
      </c>
      <c r="B26">
        <v>2</v>
      </c>
      <c r="C26" t="s">
        <v>158</v>
      </c>
      <c r="I26" s="3" t="s">
        <v>167</v>
      </c>
    </row>
    <row r="27" spans="1:13" ht="24" customHeight="1">
      <c r="A27" t="s">
        <v>163</v>
      </c>
      <c r="B27">
        <v>2</v>
      </c>
      <c r="C27" t="s">
        <v>154</v>
      </c>
    </row>
    <row r="28" spans="1:13" ht="24" customHeight="1">
      <c r="A28" t="s">
        <v>163</v>
      </c>
      <c r="B28">
        <v>2</v>
      </c>
      <c r="C28" t="s">
        <v>155</v>
      </c>
    </row>
    <row r="29" spans="1:13" s="5" customFormat="1" ht="24" customHeight="1">
      <c r="A29" s="5" t="s">
        <v>163</v>
      </c>
      <c r="B29" s="5">
        <v>2</v>
      </c>
      <c r="C29" s="5" t="s">
        <v>160</v>
      </c>
      <c r="E29" s="4">
        <f>IF(COUNT('Turns'!E19,'Turns'!E20,'Turns'!E25)=3,SUM('Turns'!E19,'Turns'!E20,'Turns'!E25),"Unknown")</f>
        <v>0.00151051358</v>
      </c>
      <c r="F29" s="4">
        <f>IF(COUNT('Turns'!F19,'Turns'!F20,'Turns'!F25)=3,SUM('Turns'!F19,'Turns'!F20,'Turns'!F25),"Unknown")</f>
        <v>0.001717</v>
      </c>
      <c r="G29" s="6">
        <f>IF(ISNUMBER(E29),ROUND(E29*'Reference data'!$B$2,0),"Unknown")</f>
        <v>151.0</v>
      </c>
      <c r="H29" s="6">
        <f>IF(ISNUMBER(F29),ROUND(F29*'Reference data'!$B$2,0),"Unknown")</f>
        <v>172.0</v>
      </c>
      <c r="K29" s="5" t="s">
        <v>161</v>
      </c>
    </row>
  </sheetData>
  <conditionalFormatting sqref="A2:AE29">
    <cfRule type="expression" dxfId="0" priority="1">
      <formula>$K2="error"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AE9"/>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2" t="s">
        <v>34</v>
      </c>
      <c r="B1" s="2" t="s">
        <v>35</v>
      </c>
      <c r="C1" s="2" t="s">
        <v>36</v>
      </c>
      <c r="D1" s="2" t="s">
        <v>31</v>
      </c>
      <c r="E1" s="2" t="s">
        <v>3</v>
      </c>
      <c r="F1" s="2" t="s">
        <v>37</v>
      </c>
      <c r="G1" s="2" t="s">
        <v>38</v>
      </c>
      <c r="H1" s="2" t="s">
        <v>33</v>
      </c>
      <c r="I1" s="2" t="s">
        <v>39</v>
      </c>
      <c r="J1" s="2" t="s">
        <v>40</v>
      </c>
      <c r="K1" s="2" t="s">
        <v>41</v>
      </c>
      <c r="L1" s="2" t="s">
        <v>42</v>
      </c>
      <c r="M1" s="2" t="s">
        <v>43</v>
      </c>
      <c r="N1" s="2" t="s">
        <v>44</v>
      </c>
      <c r="O1" s="2" t="s">
        <v>45</v>
      </c>
      <c r="P1" s="2" t="s">
        <v>46</v>
      </c>
      <c r="Q1" s="2" t="s">
        <v>47</v>
      </c>
      <c r="R1" s="2" t="s">
        <v>48</v>
      </c>
      <c r="S1" s="2" t="s">
        <v>49</v>
      </c>
      <c r="T1" s="2" t="s">
        <v>50</v>
      </c>
      <c r="U1" s="2" t="s">
        <v>51</v>
      </c>
      <c r="V1" s="2" t="s">
        <v>52</v>
      </c>
      <c r="W1" s="2" t="s">
        <v>53</v>
      </c>
      <c r="X1" s="2" t="s">
        <v>54</v>
      </c>
      <c r="Y1" s="2" t="s">
        <v>55</v>
      </c>
      <c r="Z1" s="2" t="s">
        <v>56</v>
      </c>
      <c r="AA1" s="2" t="s">
        <v>28</v>
      </c>
      <c r="AB1" s="2" t="s">
        <v>29</v>
      </c>
      <c r="AC1" s="2" t="s">
        <v>22</v>
      </c>
      <c r="AD1" s="2" t="s">
        <v>57</v>
      </c>
      <c r="AE1" s="2" t="s">
        <v>58</v>
      </c>
    </row>
    <row r="2" spans="1:31" ht="54" customHeight="1">
      <c r="A2" s="3" t="s">
        <v>168</v>
      </c>
      <c r="B2" s="1">
        <v>0</v>
      </c>
      <c r="C2" s="1" t="s">
        <v>169</v>
      </c>
      <c r="D2" s="1" t="s">
        <v>12</v>
      </c>
      <c r="E2" s="1" t="s">
        <v>161</v>
      </c>
      <c r="G2" s="3" t="s">
        <v>170</v>
      </c>
      <c r="H2" t="s">
        <v>69</v>
      </c>
      <c r="J2" s="4">
        <f>IF(COUNT('Turns'!D5)=1,SUM('Turns'!D5),"Unknown")</f>
        <v>16752.0</v>
      </c>
      <c r="K2" s="4">
        <f>IF(COUNT('Turns'!E5)=1,SUM('Turns'!E5),"Unknown")</f>
        <v>0.001473740448</v>
      </c>
      <c r="L2" s="4">
        <f>IF(COUNT('Turns'!F5)=1,SUM('Turns'!F5),"Unknown")</f>
        <v>0.0016752</v>
      </c>
      <c r="M2" s="4">
        <v>0</v>
      </c>
      <c r="N2" s="4">
        <v>0</v>
      </c>
      <c r="O2" s="4">
        <v>0</v>
      </c>
      <c r="P2" s="4">
        <v>0</v>
      </c>
      <c r="Q2" s="4">
        <v>0</v>
      </c>
      <c r="R2" s="4">
        <v>0</v>
      </c>
      <c r="S2" s="4">
        <f>IF(COUNT('Turns'!D12)=1,SUM('Turns'!D12),"Unknown")</f>
        <v>142.0</v>
      </c>
      <c r="T2" s="4">
        <f>IF(COUNT('Turns'!E12)=1,SUM('Turns'!E12),"Unknown")</f>
        <v>6.246154e-05</v>
      </c>
      <c r="U2" s="4">
        <f>IF(COUNT('Turns'!F12)=1,SUM('Turns'!F12),"Unknown")</f>
        <v>7.1e-05</v>
      </c>
      <c r="V2" s="4">
        <v>0</v>
      </c>
      <c r="W2" s="4">
        <v>0</v>
      </c>
      <c r="X2" s="4">
        <v>0</v>
      </c>
      <c r="Y2" s="4">
        <f>IF(COUNT('Turns'!E16)=1,SUM('Turns'!E16),"Unknown")</f>
        <v>0.001536201988</v>
      </c>
      <c r="Z2" s="4">
        <f>IF(COUNT('Turns'!F16)=1,SUM('Turns'!F16),"Unknown")</f>
        <v>0.0017462</v>
      </c>
      <c r="AA2" s="6">
        <f>IF(ISNUMBER(Y2),ROUND(Y2*'Reference data'!$B$2,0),"Unknown")</f>
        <v>154.0</v>
      </c>
      <c r="AB2" s="6">
        <f>IF(ISNUMBER(Z2),ROUND(Z2*'Reference data'!$B$2,0),"Unknown")</f>
        <v>175.0</v>
      </c>
      <c r="AD2" s="1">
        <v>12944.852</v>
      </c>
      <c r="AE2" s="1" t="s">
        <v>171</v>
      </c>
    </row>
    <row r="3" spans="1:31" ht="54" customHeight="1">
      <c r="A3" s="3" t="s">
        <v>172</v>
      </c>
      <c r="B3" s="1">
        <v>1</v>
      </c>
      <c r="C3" s="1" t="s">
        <v>169</v>
      </c>
      <c r="D3" s="1" t="s">
        <v>12</v>
      </c>
      <c r="E3" s="1" t="s">
        <v>161</v>
      </c>
      <c r="G3" s="3" t="s">
        <v>173</v>
      </c>
      <c r="H3" t="s">
        <v>174</v>
      </c>
      <c r="I3" t="s">
        <v>69</v>
      </c>
      <c r="AD3" s="1">
        <v>0.466</v>
      </c>
      <c r="AE3" s="1" t="s">
        <v>175</v>
      </c>
    </row>
    <row r="4" spans="1:31" ht="54" customHeight="1">
      <c r="A4" s="3" t="s">
        <v>176</v>
      </c>
      <c r="B4" s="1">
        <v>1</v>
      </c>
      <c r="C4" s="1" t="s">
        <v>169</v>
      </c>
      <c r="D4" s="1" t="s">
        <v>12</v>
      </c>
      <c r="E4" s="1" t="s">
        <v>161</v>
      </c>
      <c r="G4" s="3" t="s">
        <v>177</v>
      </c>
      <c r="H4" t="s">
        <v>178</v>
      </c>
      <c r="I4" t="s">
        <v>69</v>
      </c>
      <c r="J4" s="4">
        <f>IF(COUNT('Turns'!D5)=1,SUM('Turns'!D5),"Unknown")</f>
        <v>16752.0</v>
      </c>
      <c r="K4" s="4">
        <f>IF(COUNT('Turns'!E5)=1,SUM('Turns'!E5),"Unknown")</f>
        <v>0.001473740448</v>
      </c>
      <c r="L4" s="4">
        <f>IF(COUNT('Turns'!F5)=1,SUM('Turns'!F5),"Unknown")</f>
        <v>0.0016752</v>
      </c>
      <c r="M4" s="4">
        <v>0</v>
      </c>
      <c r="N4" s="4">
        <v>0</v>
      </c>
      <c r="O4" s="4">
        <v>0</v>
      </c>
      <c r="P4" s="4">
        <v>0</v>
      </c>
      <c r="Q4" s="4">
        <v>0</v>
      </c>
      <c r="R4" s="4">
        <v>0</v>
      </c>
      <c r="S4" s="4">
        <f>IF(COUNT('Turns'!D12)=1,SUM('Turns'!D12),"Unknown")</f>
        <v>142.0</v>
      </c>
      <c r="T4" s="4">
        <f>IF(COUNT('Turns'!E12)=1,SUM('Turns'!E12),"Unknown")</f>
        <v>6.246154e-05</v>
      </c>
      <c r="U4" s="4">
        <f>IF(COUNT('Turns'!F12)=1,SUM('Turns'!F12),"Unknown")</f>
        <v>7.1e-05</v>
      </c>
      <c r="V4" s="4">
        <v>0</v>
      </c>
      <c r="W4" s="4">
        <v>0</v>
      </c>
      <c r="X4" s="4">
        <v>0</v>
      </c>
      <c r="Y4" s="4">
        <f>IF(COUNT('Turns'!E16)=1,SUM('Turns'!E16),"Unknown")</f>
        <v>0.001536201988</v>
      </c>
      <c r="Z4" s="4">
        <f>IF(COUNT('Turns'!F16)=1,SUM('Turns'!F16),"Unknown")</f>
        <v>0.0017462</v>
      </c>
      <c r="AA4" s="6">
        <f>IF(ISNUMBER(Y4),ROUND(Y4*'Reference data'!$B$2,0),"Unknown")</f>
        <v>154.0</v>
      </c>
      <c r="AB4" s="6">
        <f>IF(ISNUMBER(Z4),ROUND(Z4*'Reference data'!$B$2,0),"Unknown")</f>
        <v>175.0</v>
      </c>
      <c r="AD4" s="1">
        <v>12940.641</v>
      </c>
      <c r="AE4" s="1" t="s">
        <v>171</v>
      </c>
    </row>
    <row r="5" spans="1:31" ht="54" customHeight="1">
      <c r="A5" s="3" t="s">
        <v>179</v>
      </c>
      <c r="B5" s="1">
        <v>2</v>
      </c>
      <c r="C5" s="1" t="s">
        <v>180</v>
      </c>
      <c r="D5" s="1" t="s">
        <v>146</v>
      </c>
      <c r="E5" s="1" t="s">
        <v>161</v>
      </c>
      <c r="F5" s="1">
        <v>16752</v>
      </c>
      <c r="G5" s="3" t="s">
        <v>181</v>
      </c>
      <c r="H5" t="s">
        <v>147</v>
      </c>
      <c r="I5" t="s">
        <v>178</v>
      </c>
      <c r="J5" s="4">
        <f>IF(COUNT('Turns'!D5)=1,SUM('Turns'!D5),"Unknown")</f>
        <v>16752.0</v>
      </c>
      <c r="K5" s="4">
        <f>IF(COUNT('Turns'!E5)=1,SUM('Turns'!E5),"Unknown")</f>
        <v>0.001473740448</v>
      </c>
      <c r="L5" s="4">
        <f>IF(COUNT('Turns'!F5)=1,SUM('Turns'!F5),"Unknown")</f>
        <v>0.0016752</v>
      </c>
      <c r="M5" s="4">
        <v>0</v>
      </c>
      <c r="N5" s="4">
        <v>0</v>
      </c>
      <c r="O5" s="4">
        <v>0</v>
      </c>
      <c r="P5" s="4">
        <v>0</v>
      </c>
      <c r="Q5" s="4">
        <v>0</v>
      </c>
      <c r="R5" s="4">
        <v>0</v>
      </c>
      <c r="S5" s="4">
        <f>IF(COUNT('Turns'!D12)=1,SUM('Turns'!D12),"Unknown")</f>
        <v>142.0</v>
      </c>
      <c r="T5" s="4">
        <f>IF(COUNT('Turns'!E12)=1,SUM('Turns'!E12),"Unknown")</f>
        <v>6.246154e-05</v>
      </c>
      <c r="U5" s="4">
        <f>IF(COUNT('Turns'!F12)=1,SUM('Turns'!F12),"Unknown")</f>
        <v>7.1e-05</v>
      </c>
      <c r="V5" s="4">
        <v>0</v>
      </c>
      <c r="W5" s="4">
        <v>0</v>
      </c>
      <c r="X5" s="4">
        <v>0</v>
      </c>
      <c r="Y5" s="4">
        <f>IF(COUNT('Turns'!E16)=1,SUM('Turns'!E16),"Unknown")</f>
        <v>0.001536201988</v>
      </c>
      <c r="Z5" s="4">
        <f>IF(COUNT('Turns'!F16)=1,SUM('Turns'!F16),"Unknown")</f>
        <v>0.0017462</v>
      </c>
      <c r="AA5" s="6">
        <f>IF(ISNUMBER(Y5),ROUND(Y5*'Reference data'!$B$2,0),"Unknown")</f>
        <v>154.0</v>
      </c>
      <c r="AB5" s="6">
        <f>IF(ISNUMBER(Z5),ROUND(Z5*'Reference data'!$B$2,0),"Unknown")</f>
        <v>175.0</v>
      </c>
      <c r="AC5" s="1" t="s">
        <v>144</v>
      </c>
      <c r="AD5" s="1">
        <v>12933.585</v>
      </c>
      <c r="AE5" s="1" t="s">
        <v>182</v>
      </c>
    </row>
    <row r="6" spans="1:31" ht="54" customHeight="1">
      <c r="A6" s="3" t="s">
        <v>168</v>
      </c>
      <c r="B6" s="1">
        <v>0</v>
      </c>
      <c r="C6" s="1" t="s">
        <v>169</v>
      </c>
      <c r="D6" s="1" t="s">
        <v>12</v>
      </c>
      <c r="E6" s="1" t="s">
        <v>161</v>
      </c>
      <c r="G6" s="3" t="s">
        <v>170</v>
      </c>
      <c r="H6" t="s">
        <v>183</v>
      </c>
      <c r="J6" s="4">
        <f>IF(COUNT('Turns'!D20)=1,SUM('Turns'!D20),"Unknown")</f>
        <v>16905.0</v>
      </c>
      <c r="K6" s="4">
        <f>IF(COUNT('Turns'!E20)=1,SUM('Turns'!E20),"Unknown")</f>
        <v>0.00148720047</v>
      </c>
      <c r="L6" s="4">
        <f>IF(COUNT('Turns'!F20)=1,SUM('Turns'!F20),"Unknown")</f>
        <v>0.0016905</v>
      </c>
      <c r="M6" s="4">
        <f>IF(COUNT('Turns'!D19)=1,SUM('Turns'!D19),"Unknown")</f>
        <v>0.0</v>
      </c>
      <c r="N6" s="4">
        <f>IF(COUNT('Turns'!E19)=1,SUM('Turns'!E19),"Unknown")</f>
        <v>0.0</v>
      </c>
      <c r="O6" s="4">
        <f>IF(COUNT('Turns'!F19)=1,SUM('Turns'!F19),"Unknown")</f>
        <v>0.0</v>
      </c>
      <c r="P6" s="4">
        <v>0</v>
      </c>
      <c r="Q6" s="4">
        <v>0</v>
      </c>
      <c r="R6" s="4">
        <v>0</v>
      </c>
      <c r="S6" s="4">
        <f>IF(COUNT('Turns'!D25)=1,SUM('Turns'!D25),"Unknown")</f>
        <v>53.0</v>
      </c>
      <c r="T6" s="4">
        <f>IF(COUNT('Turns'!E25)=1,SUM('Turns'!E25),"Unknown")</f>
        <v>2.331311e-05</v>
      </c>
      <c r="U6" s="4">
        <f>IF(COUNT('Turns'!F25)=1,SUM('Turns'!F25),"Unknown")</f>
        <v>2.65e-05</v>
      </c>
      <c r="V6" s="4">
        <v>0</v>
      </c>
      <c r="W6" s="4">
        <v>0</v>
      </c>
      <c r="X6" s="4">
        <v>0</v>
      </c>
      <c r="Y6" s="4">
        <f>IF(COUNT('Turns'!E29)=1,SUM('Turns'!E29),"Unknown")</f>
        <v>0.00151051358</v>
      </c>
      <c r="Z6" s="4">
        <f>IF(COUNT('Turns'!F29)=1,SUM('Turns'!F29),"Unknown")</f>
        <v>0.001717</v>
      </c>
      <c r="AA6" s="6">
        <f>IF(ISNUMBER(Y6),ROUND(Y6*'Reference data'!$B$2,0),"Unknown")</f>
        <v>151.0</v>
      </c>
      <c r="AB6" s="6">
        <f>IF(ISNUMBER(Z6),ROUND(Z6*'Reference data'!$B$2,0),"Unknown")</f>
        <v>172.0</v>
      </c>
      <c r="AD6" s="1">
        <v>4915.206</v>
      </c>
      <c r="AE6" s="1" t="s">
        <v>171</v>
      </c>
    </row>
    <row r="7" spans="1:31" ht="54" customHeight="1">
      <c r="A7" s="3" t="s">
        <v>172</v>
      </c>
      <c r="B7" s="1">
        <v>1</v>
      </c>
      <c r="C7" s="1" t="s">
        <v>169</v>
      </c>
      <c r="D7" s="1" t="s">
        <v>12</v>
      </c>
      <c r="E7" s="1" t="s">
        <v>161</v>
      </c>
      <c r="G7" s="3" t="s">
        <v>173</v>
      </c>
      <c r="H7" t="s">
        <v>184</v>
      </c>
      <c r="I7" t="s">
        <v>183</v>
      </c>
      <c r="AD7" s="1">
        <v>0.426</v>
      </c>
      <c r="AE7" s="1" t="s">
        <v>175</v>
      </c>
    </row>
    <row r="8" spans="1:31" ht="54" customHeight="1">
      <c r="A8" s="3" t="s">
        <v>176</v>
      </c>
      <c r="B8" s="1">
        <v>1</v>
      </c>
      <c r="C8" s="1" t="s">
        <v>169</v>
      </c>
      <c r="D8" s="1" t="s">
        <v>12</v>
      </c>
      <c r="E8" s="1" t="s">
        <v>161</v>
      </c>
      <c r="G8" s="3" t="s">
        <v>177</v>
      </c>
      <c r="H8" t="s">
        <v>185</v>
      </c>
      <c r="I8" t="s">
        <v>183</v>
      </c>
      <c r="J8" s="4">
        <f>IF(COUNT('Turns'!D20)=1,SUM('Turns'!D20),"Unknown")</f>
        <v>16905.0</v>
      </c>
      <c r="K8" s="4">
        <f>IF(COUNT('Turns'!E20)=1,SUM('Turns'!E20),"Unknown")</f>
        <v>0.00148720047</v>
      </c>
      <c r="L8" s="4">
        <f>IF(COUNT('Turns'!F20)=1,SUM('Turns'!F20),"Unknown")</f>
        <v>0.0016905</v>
      </c>
      <c r="M8" s="4">
        <f>IF(COUNT('Turns'!D19)=1,SUM('Turns'!D19),"Unknown")</f>
        <v>0.0</v>
      </c>
      <c r="N8" s="4">
        <f>IF(COUNT('Turns'!E19)=1,SUM('Turns'!E19),"Unknown")</f>
        <v>0.0</v>
      </c>
      <c r="O8" s="4">
        <f>IF(COUNT('Turns'!F19)=1,SUM('Turns'!F19),"Unknown")</f>
        <v>0.0</v>
      </c>
      <c r="P8" s="4">
        <v>0</v>
      </c>
      <c r="Q8" s="4">
        <v>0</v>
      </c>
      <c r="R8" s="4">
        <v>0</v>
      </c>
      <c r="S8" s="4">
        <f>IF(COUNT('Turns'!D25)=1,SUM('Turns'!D25),"Unknown")</f>
        <v>53.0</v>
      </c>
      <c r="T8" s="4">
        <f>IF(COUNT('Turns'!E25)=1,SUM('Turns'!E25),"Unknown")</f>
        <v>2.331311e-05</v>
      </c>
      <c r="U8" s="4">
        <f>IF(COUNT('Turns'!F25)=1,SUM('Turns'!F25),"Unknown")</f>
        <v>2.65e-05</v>
      </c>
      <c r="V8" s="4">
        <v>0</v>
      </c>
      <c r="W8" s="4">
        <v>0</v>
      </c>
      <c r="X8" s="4">
        <v>0</v>
      </c>
      <c r="Y8" s="4">
        <f>IF(COUNT('Turns'!E29)=1,SUM('Turns'!E29),"Unknown")</f>
        <v>0.00151051358</v>
      </c>
      <c r="Z8" s="4">
        <f>IF(COUNT('Turns'!F29)=1,SUM('Turns'!F29),"Unknown")</f>
        <v>0.001717</v>
      </c>
      <c r="AA8" s="6">
        <f>IF(ISNUMBER(Y8),ROUND(Y8*'Reference data'!$B$2,0),"Unknown")</f>
        <v>151.0</v>
      </c>
      <c r="AB8" s="6">
        <f>IF(ISNUMBER(Z8),ROUND(Z8*'Reference data'!$B$2,0),"Unknown")</f>
        <v>172.0</v>
      </c>
      <c r="AD8" s="1">
        <v>4911.752</v>
      </c>
      <c r="AE8" s="1" t="s">
        <v>171</v>
      </c>
    </row>
    <row r="9" spans="1:31" ht="54" customHeight="1">
      <c r="A9" s="3" t="s">
        <v>179</v>
      </c>
      <c r="B9" s="1">
        <v>2</v>
      </c>
      <c r="C9" s="1" t="s">
        <v>180</v>
      </c>
      <c r="D9" s="1" t="s">
        <v>146</v>
      </c>
      <c r="E9" s="1" t="s">
        <v>161</v>
      </c>
      <c r="F9" s="1">
        <v>16905</v>
      </c>
      <c r="G9" s="3" t="s">
        <v>181</v>
      </c>
      <c r="H9" t="s">
        <v>164</v>
      </c>
      <c r="I9" t="s">
        <v>185</v>
      </c>
      <c r="J9" s="4">
        <f>IF(COUNT('Turns'!D20)=1,SUM('Turns'!D20),"Unknown")</f>
        <v>16905.0</v>
      </c>
      <c r="K9" s="4">
        <f>IF(COUNT('Turns'!E20)=1,SUM('Turns'!E20),"Unknown")</f>
        <v>0.00148720047</v>
      </c>
      <c r="L9" s="4">
        <f>IF(COUNT('Turns'!F20)=1,SUM('Turns'!F20),"Unknown")</f>
        <v>0.0016905</v>
      </c>
      <c r="M9" s="4">
        <f>IF(COUNT('Turns'!D19)=1,SUM('Turns'!D19),"Unknown")</f>
        <v>0.0</v>
      </c>
      <c r="N9" s="4">
        <f>IF(COUNT('Turns'!E19)=1,SUM('Turns'!E19),"Unknown")</f>
        <v>0.0</v>
      </c>
      <c r="O9" s="4">
        <f>IF(COUNT('Turns'!F19)=1,SUM('Turns'!F19),"Unknown")</f>
        <v>0.0</v>
      </c>
      <c r="P9" s="4">
        <v>0</v>
      </c>
      <c r="Q9" s="4">
        <v>0</v>
      </c>
      <c r="R9" s="4">
        <v>0</v>
      </c>
      <c r="S9" s="4">
        <f>IF(COUNT('Turns'!D25)=1,SUM('Turns'!D25),"Unknown")</f>
        <v>53.0</v>
      </c>
      <c r="T9" s="4">
        <f>IF(COUNT('Turns'!E25)=1,SUM('Turns'!E25),"Unknown")</f>
        <v>2.331311e-05</v>
      </c>
      <c r="U9" s="4">
        <f>IF(COUNT('Turns'!F25)=1,SUM('Turns'!F25),"Unknown")</f>
        <v>2.65e-05</v>
      </c>
      <c r="V9" s="4">
        <v>0</v>
      </c>
      <c r="W9" s="4">
        <v>0</v>
      </c>
      <c r="X9" s="4">
        <v>0</v>
      </c>
      <c r="Y9" s="4">
        <f>IF(COUNT('Turns'!E29)=1,SUM('Turns'!E29),"Unknown")</f>
        <v>0.00151051358</v>
      </c>
      <c r="Z9" s="4">
        <f>IF(COUNT('Turns'!F29)=1,SUM('Turns'!F29),"Unknown")</f>
        <v>0.001717</v>
      </c>
      <c r="AA9" s="6">
        <f>IF(ISNUMBER(Y9),ROUND(Y9*'Reference data'!$B$2,0),"Unknown")</f>
        <v>151.0</v>
      </c>
      <c r="AB9" s="6">
        <f>IF(ISNUMBER(Z9),ROUND(Z9*'Reference data'!$B$2,0),"Unknown")</f>
        <v>172.0</v>
      </c>
      <c r="AC9" s="1" t="s">
        <v>163</v>
      </c>
      <c r="AD9" s="1">
        <v>4907.097</v>
      </c>
      <c r="AE9" s="1" t="s">
        <v>182</v>
      </c>
    </row>
  </sheetData>
  <conditionalFormatting sqref="A2:AE9">
    <cfRule type="expression" dxfId="0" priority="1">
      <formula>$E2="error"</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173B70"/>
  </sheetPr>
  <dimension ref="A1:I4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2" t="s">
        <v>59</v>
      </c>
      <c r="B1" s="2" t="s">
        <v>60</v>
      </c>
      <c r="C1" s="2" t="s">
        <v>61</v>
      </c>
    </row>
    <row r="2" spans="1:9" ht="24" customHeight="1">
      <c r="A2" s="3" t="s">
        <v>62</v>
      </c>
      <c r="B2" s="7">
        <v>100000</v>
      </c>
      <c r="C2" s="3" t="s">
        <v>63</v>
      </c>
    </row>
    <row r="3" spans="1:9" ht="24" customHeight="1">
      <c r="A3" s="3" t="s">
        <v>64</v>
      </c>
      <c r="B3" s="4">
        <v>0.87974</v>
      </c>
      <c r="C3" s="3" t="s">
        <v>65</v>
      </c>
    </row>
    <row r="4" spans="1:9" ht="24" customHeight="1">
      <c r="A4" s="3" t="s">
        <v>66</v>
      </c>
      <c r="B4" s="3" t="s">
        <v>67</v>
      </c>
      <c r="C4" s="3" t="s">
        <v>12</v>
      </c>
    </row>
    <row r="5" spans="1:9" ht="24" customHeight="1">
      <c r="A5" s="3" t="s">
        <v>68</v>
      </c>
      <c r="B5" s="3" t="s">
        <v>69</v>
      </c>
      <c r="C5" s="3" t="s">
        <v>12</v>
      </c>
    </row>
    <row r="6" spans="1:9" ht="24" customHeight="1">
      <c r="A6" s="3" t="s">
        <v>70</v>
      </c>
      <c r="B6" s="3" t="s">
        <v>71</v>
      </c>
      <c r="C6" s="3" t="s">
        <v>12</v>
      </c>
    </row>
    <row r="7" spans="1:9" ht="24" customHeight="1">
      <c r="A7" s="3" t="s">
        <v>72</v>
      </c>
      <c r="B7" s="3" t="s">
        <v>73</v>
      </c>
      <c r="C7" s="3" t="s">
        <v>12</v>
      </c>
    </row>
    <row r="8" spans="1:9" ht="24" customHeight="1">
      <c r="A8" s="3" t="s">
        <v>74</v>
      </c>
      <c r="B8" s="3" t="s">
        <v>75</v>
      </c>
      <c r="C8" s="3" t="s">
        <v>76</v>
      </c>
    </row>
    <row r="9" spans="1:9" ht="24" customHeight="1">
      <c r="A9" s="3" t="s">
        <v>77</v>
      </c>
      <c r="B9" s="3" t="s">
        <v>78</v>
      </c>
      <c r="C9" s="3" t="s">
        <v>12</v>
      </c>
    </row>
    <row r="10" spans="1:9" ht="24" customHeight="1">
      <c r="A10" s="3" t="s">
        <v>79</v>
      </c>
      <c r="B10" s="3" t="s">
        <v>80</v>
      </c>
      <c r="C10" s="3" t="s">
        <v>12</v>
      </c>
    </row>
    <row r="11" spans="1:9" ht="24" customHeight="1">
      <c r="A11" s="3" t="s">
        <v>81</v>
      </c>
      <c r="B11" s="3" t="s">
        <v>82</v>
      </c>
      <c r="C11" s="3" t="s">
        <v>12</v>
      </c>
    </row>
    <row r="12" spans="1:9" ht="24" customHeight="1">
      <c r="A12" s="3" t="s">
        <v>83</v>
      </c>
      <c r="B12" s="3" t="s">
        <v>84</v>
      </c>
      <c r="C12" s="3" t="s">
        <v>12</v>
      </c>
    </row>
    <row r="13" spans="1:9" ht="24" customHeight="1">
      <c r="A13" s="3" t="s">
        <v>85</v>
      </c>
      <c r="B13" s="3" t="s">
        <v>86</v>
      </c>
      <c r="C13" s="3" t="s">
        <v>12</v>
      </c>
    </row>
    <row r="15" spans="1:9" ht="24" customHeight="1">
      <c r="A15" s="5" t="s">
        <v>87</v>
      </c>
      <c r="B15" s="5" t="s">
        <v>88</v>
      </c>
      <c r="C15" s="5" t="s">
        <v>89</v>
      </c>
      <c r="D15" s="5" t="s">
        <v>90</v>
      </c>
      <c r="E15" s="5" t="s">
        <v>91</v>
      </c>
      <c r="F15" s="5" t="s">
        <v>92</v>
      </c>
      <c r="G15" s="5" t="s">
        <v>93</v>
      </c>
      <c r="H15" s="5" t="s">
        <v>94</v>
      </c>
      <c r="I15" s="5" t="s">
        <v>95</v>
      </c>
    </row>
    <row r="16" spans="1:9" ht="72" customHeight="1">
      <c r="A16" s="3" t="s">
        <v>96</v>
      </c>
      <c r="B16" s="4">
        <v>5</v>
      </c>
      <c r="C16" s="4">
        <v>0.5</v>
      </c>
      <c r="D16" s="4" t="s">
        <v>97</v>
      </c>
      <c r="E16" s="4">
        <v>30</v>
      </c>
      <c r="F16" s="4">
        <v>30</v>
      </c>
      <c r="G16" s="3" t="s">
        <v>98</v>
      </c>
      <c r="H16" s="3" t="s">
        <v>99</v>
      </c>
      <c r="I16" s="3" t="s">
        <v>100</v>
      </c>
    </row>
    <row r="17" spans="1:9" ht="72" customHeight="1">
      <c r="A17" s="3" t="s">
        <v>101</v>
      </c>
      <c r="B17" s="4">
        <v>0.2</v>
      </c>
      <c r="C17" s="4">
        <v>0.02</v>
      </c>
      <c r="D17" s="4">
        <v>0.250</v>
      </c>
      <c r="E17" s="4">
        <v>1.2</v>
      </c>
      <c r="F17" s="4">
        <v>1.2</v>
      </c>
      <c r="G17" s="3" t="s">
        <v>98</v>
      </c>
      <c r="H17" s="3" t="s">
        <v>102</v>
      </c>
      <c r="I17" s="3" t="s">
        <v>100</v>
      </c>
    </row>
    <row r="18" spans="1:9" ht="72" customHeight="1">
      <c r="A18" s="3" t="s">
        <v>103</v>
      </c>
      <c r="B18" s="4">
        <v>4</v>
      </c>
      <c r="C18" s="4">
        <v>0.4</v>
      </c>
      <c r="D18" s="4">
        <v>5.00</v>
      </c>
      <c r="E18" s="4">
        <v>20</v>
      </c>
      <c r="F18" s="4">
        <v>20</v>
      </c>
      <c r="G18" s="3" t="s">
        <v>98</v>
      </c>
      <c r="H18" s="3" t="s">
        <v>104</v>
      </c>
      <c r="I18" s="3" t="s">
        <v>100</v>
      </c>
    </row>
    <row r="19" spans="1:9" ht="72" customHeight="1">
      <c r="A19" s="3" t="s">
        <v>105</v>
      </c>
      <c r="B19" s="4">
        <v>2</v>
      </c>
      <c r="C19" s="4">
        <v>0.20</v>
      </c>
      <c r="D19" s="4">
        <v>2.50</v>
      </c>
      <c r="E19" s="4">
        <v>10</v>
      </c>
      <c r="F19" s="4">
        <v>10</v>
      </c>
      <c r="G19" s="3" t="s">
        <v>98</v>
      </c>
      <c r="H19" s="3" t="s">
        <v>106</v>
      </c>
      <c r="I19" s="3" t="s">
        <v>100</v>
      </c>
    </row>
    <row r="20" spans="1:9" ht="72" customHeight="1">
      <c r="A20" s="3" t="s">
        <v>107</v>
      </c>
      <c r="B20" s="4">
        <v>5</v>
      </c>
      <c r="C20" s="4">
        <v>0.50</v>
      </c>
      <c r="D20" s="4">
        <v>6.25</v>
      </c>
      <c r="E20" s="4">
        <v>25</v>
      </c>
      <c r="F20" s="4">
        <v>25</v>
      </c>
      <c r="G20" s="3" t="s">
        <v>98</v>
      </c>
      <c r="H20" s="3" t="s">
        <v>106</v>
      </c>
      <c r="I20" s="3" t="s">
        <v>100</v>
      </c>
    </row>
    <row r="21" spans="1:9" ht="72" customHeight="1">
      <c r="A21" s="3" t="s">
        <v>108</v>
      </c>
      <c r="B21" s="4">
        <v>10</v>
      </c>
      <c r="C21" s="4">
        <v>0.25</v>
      </c>
      <c r="D21" s="4">
        <v>12.50</v>
      </c>
      <c r="E21" s="4">
        <v>50</v>
      </c>
      <c r="F21" s="4">
        <v>50</v>
      </c>
      <c r="G21" s="3" t="s">
        <v>98</v>
      </c>
      <c r="H21" s="3" t="s">
        <v>106</v>
      </c>
      <c r="I21" s="3" t="s">
        <v>100</v>
      </c>
    </row>
    <row r="22" spans="1:9" ht="72" customHeight="1">
      <c r="A22" s="3" t="s">
        <v>109</v>
      </c>
      <c r="B22" s="4">
        <v>0.2</v>
      </c>
      <c r="C22" s="4">
        <v>0.02</v>
      </c>
      <c r="D22" s="4">
        <v>0.250</v>
      </c>
      <c r="E22" s="4">
        <v>1.2</v>
      </c>
      <c r="F22" s="4">
        <v>1.2</v>
      </c>
      <c r="G22" s="3" t="s">
        <v>98</v>
      </c>
      <c r="H22" s="3" t="s">
        <v>110</v>
      </c>
      <c r="I22" s="3" t="s">
        <v>100</v>
      </c>
    </row>
    <row r="23" spans="1:9" ht="72" customHeight="1">
      <c r="A23" s="3" t="s">
        <v>111</v>
      </c>
      <c r="B23" s="4">
        <v>1</v>
      </c>
      <c r="C23" s="4">
        <v>0.10</v>
      </c>
      <c r="D23" s="4">
        <v>1.25</v>
      </c>
      <c r="E23" s="4">
        <v>5</v>
      </c>
      <c r="F23" s="4">
        <v>5</v>
      </c>
      <c r="G23" s="3" t="s">
        <v>98</v>
      </c>
      <c r="H23" s="3" t="s">
        <v>106</v>
      </c>
      <c r="I23" s="3" t="s">
        <v>100</v>
      </c>
    </row>
    <row r="24" spans="1:9" ht="72" customHeight="1">
      <c r="A24" s="3" t="s">
        <v>112</v>
      </c>
      <c r="B24" s="4">
        <v>1</v>
      </c>
      <c r="C24" s="4">
        <v>0.10</v>
      </c>
      <c r="D24" s="4">
        <v>1.25</v>
      </c>
      <c r="E24" s="4">
        <v>5</v>
      </c>
      <c r="F24" s="4">
        <v>5</v>
      </c>
      <c r="G24" s="3" t="s">
        <v>98</v>
      </c>
      <c r="H24" s="3" t="s">
        <v>106</v>
      </c>
      <c r="I24" s="3" t="s">
        <v>100</v>
      </c>
    </row>
    <row r="25" spans="1:9" ht="72" customHeight="1">
      <c r="A25" s="3" t="s">
        <v>113</v>
      </c>
      <c r="B25" s="4">
        <v>4</v>
      </c>
      <c r="C25" s="4">
        <v>0.20</v>
      </c>
      <c r="D25" s="4">
        <v>5</v>
      </c>
      <c r="E25" s="4">
        <v>20</v>
      </c>
      <c r="F25" s="4">
        <v>20</v>
      </c>
      <c r="G25" s="3" t="s">
        <v>98</v>
      </c>
      <c r="H25" s="3" t="s">
        <v>106</v>
      </c>
      <c r="I25" s="3" t="s">
        <v>100</v>
      </c>
    </row>
    <row r="26" spans="1:9" ht="72" customHeight="1">
      <c r="A26" s="3" t="s">
        <v>114</v>
      </c>
      <c r="B26" s="4">
        <v>3</v>
      </c>
      <c r="C26" s="4">
        <v>0.30</v>
      </c>
      <c r="D26" s="4">
        <v>3.75</v>
      </c>
      <c r="E26" s="4">
        <v>15</v>
      </c>
      <c r="F26" s="4">
        <v>15</v>
      </c>
      <c r="G26" s="3" t="s">
        <v>98</v>
      </c>
      <c r="H26" s="3" t="s">
        <v>106</v>
      </c>
      <c r="I26" s="3" t="s">
        <v>100</v>
      </c>
    </row>
    <row r="27" spans="1:9" ht="72" customHeight="1">
      <c r="A27" s="3" t="s">
        <v>115</v>
      </c>
      <c r="B27" s="4">
        <v>2</v>
      </c>
      <c r="C27" s="4">
        <v>0.20</v>
      </c>
      <c r="D27" s="4">
        <v>2.50</v>
      </c>
      <c r="E27" s="4">
        <v>10</v>
      </c>
      <c r="F27" s="4">
        <v>10</v>
      </c>
      <c r="G27" s="3" t="s">
        <v>98</v>
      </c>
      <c r="H27" s="3" t="s">
        <v>106</v>
      </c>
      <c r="I27" s="3" t="s">
        <v>100</v>
      </c>
    </row>
    <row r="28" spans="1:9" ht="72" customHeight="1">
      <c r="A28" s="3" t="s">
        <v>116</v>
      </c>
      <c r="B28" s="4">
        <v>1.00</v>
      </c>
      <c r="C28" s="4">
        <v>0.10</v>
      </c>
      <c r="D28" s="4">
        <v>1.25</v>
      </c>
      <c r="E28" s="4">
        <v>5.00</v>
      </c>
      <c r="F28" s="4">
        <v>5.00</v>
      </c>
      <c r="G28" s="3" t="s">
        <v>98</v>
      </c>
      <c r="H28" s="3" t="s">
        <v>117</v>
      </c>
      <c r="I28" s="3" t="s">
        <v>100</v>
      </c>
    </row>
    <row r="29" spans="1:9" ht="72" customHeight="1">
      <c r="A29" s="3" t="s">
        <v>118</v>
      </c>
      <c r="B29" s="4">
        <v>4.00</v>
      </c>
      <c r="C29" s="4">
        <v>0.20</v>
      </c>
      <c r="D29" s="4">
        <v>5.00</v>
      </c>
      <c r="E29" s="4">
        <v>20.00</v>
      </c>
      <c r="F29" s="4">
        <v>20.00</v>
      </c>
      <c r="G29" s="3" t="s">
        <v>98</v>
      </c>
      <c r="H29" s="3" t="s">
        <v>117</v>
      </c>
      <c r="I29" s="3" t="s">
        <v>100</v>
      </c>
    </row>
    <row r="30" spans="1:9" ht="72" customHeight="1">
      <c r="A30" s="3" t="s">
        <v>119</v>
      </c>
      <c r="B30" s="4">
        <v>3.00</v>
      </c>
      <c r="C30" s="4">
        <v>0.30</v>
      </c>
      <c r="D30" s="4">
        <v>3.75</v>
      </c>
      <c r="E30" s="4">
        <v>15.00</v>
      </c>
      <c r="F30" s="4">
        <v>15.00</v>
      </c>
      <c r="G30" s="3" t="s">
        <v>98</v>
      </c>
      <c r="H30" s="3" t="s">
        <v>117</v>
      </c>
      <c r="I30" s="3" t="s">
        <v>100</v>
      </c>
    </row>
    <row r="31" spans="1:9" ht="72" customHeight="1">
      <c r="A31" s="3" t="s">
        <v>120</v>
      </c>
      <c r="B31" s="4">
        <v>2.00</v>
      </c>
      <c r="C31" s="4">
        <v>0.20</v>
      </c>
      <c r="D31" s="4">
        <v>2.50</v>
      </c>
      <c r="E31" s="4">
        <v>10.00</v>
      </c>
      <c r="F31" s="4">
        <v>10.00</v>
      </c>
      <c r="G31" s="3" t="s">
        <v>98</v>
      </c>
      <c r="H31" s="3" t="s">
        <v>117</v>
      </c>
      <c r="I31" s="3" t="s">
        <v>100</v>
      </c>
    </row>
    <row r="32" spans="1:9" ht="72" customHeight="1">
      <c r="A32" s="3" t="s">
        <v>121</v>
      </c>
      <c r="B32" s="4">
        <v>0.75</v>
      </c>
      <c r="C32" s="4">
        <v>0.075</v>
      </c>
      <c r="D32" s="4" t="s">
        <v>97</v>
      </c>
      <c r="E32" s="4">
        <v>3.75</v>
      </c>
      <c r="F32" s="4">
        <v>3.75</v>
      </c>
      <c r="G32" s="3" t="s">
        <v>98</v>
      </c>
      <c r="H32" s="3" t="s">
        <v>117</v>
      </c>
      <c r="I32" s="3" t="s">
        <v>100</v>
      </c>
    </row>
    <row r="33" spans="1:9" ht="72" customHeight="1">
      <c r="A33" s="3" t="s">
        <v>122</v>
      </c>
      <c r="B33" s="4">
        <v>1.75</v>
      </c>
      <c r="C33" s="4">
        <v>0.175</v>
      </c>
      <c r="D33" s="4" t="s">
        <v>97</v>
      </c>
      <c r="E33" s="4">
        <v>14.00</v>
      </c>
      <c r="F33" s="4">
        <v>14.00</v>
      </c>
      <c r="G33" s="3" t="s">
        <v>98</v>
      </c>
      <c r="H33" s="3" t="s">
        <v>117</v>
      </c>
      <c r="I33" s="3" t="s">
        <v>100</v>
      </c>
    </row>
    <row r="34" spans="1:9" ht="72" customHeight="1">
      <c r="A34" s="3" t="s">
        <v>123</v>
      </c>
      <c r="B34" s="4">
        <v>2.50</v>
      </c>
      <c r="C34" s="4">
        <v>0.25</v>
      </c>
      <c r="D34" s="4" t="s">
        <v>97</v>
      </c>
      <c r="E34" s="4">
        <v>15.00</v>
      </c>
      <c r="F34" s="4">
        <v>15.00</v>
      </c>
      <c r="G34" s="3" t="s">
        <v>98</v>
      </c>
      <c r="H34" s="3" t="s">
        <v>117</v>
      </c>
      <c r="I34" s="3" t="s">
        <v>100</v>
      </c>
    </row>
    <row r="35" spans="1:9" ht="72" customHeight="1">
      <c r="A35" s="3" t="s">
        <v>124</v>
      </c>
      <c r="B35" s="4">
        <v>10.00</v>
      </c>
      <c r="C35" s="4">
        <v>1.00</v>
      </c>
      <c r="D35" s="4">
        <v>12.50</v>
      </c>
      <c r="E35" s="4">
        <v>50.00</v>
      </c>
      <c r="F35" s="4">
        <v>50.00</v>
      </c>
      <c r="G35" s="3" t="s">
        <v>98</v>
      </c>
      <c r="H35" s="3" t="s">
        <v>117</v>
      </c>
      <c r="I35" s="3" t="s">
        <v>100</v>
      </c>
    </row>
    <row r="36" spans="1:9" ht="72" customHeight="1">
      <c r="A36" s="3" t="s">
        <v>125</v>
      </c>
      <c r="B36" s="4">
        <v>0.10</v>
      </c>
      <c r="C36" s="4">
        <v>0.01</v>
      </c>
      <c r="D36" s="4">
        <v>0.125</v>
      </c>
      <c r="E36" s="4">
        <v>0.50</v>
      </c>
      <c r="F36" s="4">
        <v>0.50</v>
      </c>
      <c r="G36" s="3" t="s">
        <v>98</v>
      </c>
      <c r="H36" s="3" t="s">
        <v>117</v>
      </c>
      <c r="I36" s="3" t="s">
        <v>100</v>
      </c>
    </row>
    <row r="37" spans="1:9" ht="72" customHeight="1">
      <c r="A37" s="3" t="s">
        <v>126</v>
      </c>
      <c r="B37" s="4">
        <v>2.00</v>
      </c>
      <c r="C37" s="4">
        <v>0.20</v>
      </c>
      <c r="D37" s="4">
        <v>2.50</v>
      </c>
      <c r="E37" s="4">
        <v>10.00</v>
      </c>
      <c r="F37" s="4">
        <v>10.00</v>
      </c>
      <c r="G37" s="3" t="s">
        <v>98</v>
      </c>
      <c r="H37" s="3" t="s">
        <v>117</v>
      </c>
      <c r="I37" s="3" t="s">
        <v>100</v>
      </c>
    </row>
    <row r="38" spans="1:9" ht="72" customHeight="1">
      <c r="A38" s="3" t="s">
        <v>127</v>
      </c>
      <c r="B38" s="4">
        <v>2.00</v>
      </c>
      <c r="C38" s="4">
        <v>0.10</v>
      </c>
      <c r="D38" s="4">
        <v>2.50</v>
      </c>
      <c r="E38" s="4">
        <v>10.00</v>
      </c>
      <c r="F38" s="4">
        <v>10.00</v>
      </c>
      <c r="G38" s="3" t="s">
        <v>98</v>
      </c>
      <c r="H38" s="3" t="s">
        <v>117</v>
      </c>
      <c r="I38" s="3" t="s">
        <v>100</v>
      </c>
    </row>
    <row r="39" spans="1:9" ht="72" customHeight="1">
      <c r="A39" s="3" t="s">
        <v>128</v>
      </c>
      <c r="B39" s="4">
        <v>10</v>
      </c>
      <c r="C39" s="4">
        <v>1</v>
      </c>
      <c r="D39" s="4">
        <v>12.50</v>
      </c>
      <c r="E39" s="4">
        <v>50</v>
      </c>
      <c r="F39" s="4">
        <v>50</v>
      </c>
      <c r="G39" s="3" t="s">
        <v>98</v>
      </c>
      <c r="H39" s="3" t="s">
        <v>129</v>
      </c>
      <c r="I39" s="3" t="s">
        <v>100</v>
      </c>
    </row>
    <row r="40" spans="1:9" ht="72" customHeight="1">
      <c r="A40" s="3" t="s">
        <v>130</v>
      </c>
      <c r="B40" s="4">
        <v>0.1</v>
      </c>
      <c r="C40" s="4">
        <v>0.01</v>
      </c>
      <c r="D40" s="4">
        <v>0.125</v>
      </c>
      <c r="E40" s="4">
        <v>0.5</v>
      </c>
      <c r="F40" s="4">
        <v>0.5</v>
      </c>
      <c r="G40" s="3" t="s">
        <v>98</v>
      </c>
      <c r="H40" s="3" t="s">
        <v>131</v>
      </c>
      <c r="I40" s="3" t="s">
        <v>100</v>
      </c>
    </row>
    <row r="41" spans="1:9" ht="72" customHeight="1">
      <c r="A41" s="3" t="s">
        <v>132</v>
      </c>
      <c r="B41" s="4">
        <v>2</v>
      </c>
      <c r="C41" s="4">
        <v>0.2</v>
      </c>
      <c r="D41" s="4">
        <v>2.50</v>
      </c>
      <c r="E41" s="4">
        <v>10</v>
      </c>
      <c r="F41" s="4">
        <v>10</v>
      </c>
      <c r="G41" s="3" t="s">
        <v>98</v>
      </c>
      <c r="H41" s="3" t="s">
        <v>133</v>
      </c>
      <c r="I41" s="3" t="s">
        <v>100</v>
      </c>
    </row>
    <row r="42" spans="1:9" ht="72" customHeight="1">
      <c r="A42" s="3" t="s">
        <v>134</v>
      </c>
      <c r="B42" s="4">
        <v>2</v>
      </c>
      <c r="C42" s="4">
        <v>0.1</v>
      </c>
      <c r="D42" s="4">
        <v>2.50</v>
      </c>
      <c r="E42" s="4">
        <v>10</v>
      </c>
      <c r="F42" s="4">
        <v>10</v>
      </c>
      <c r="G42" s="3" t="s">
        <v>98</v>
      </c>
      <c r="H42" s="3" t="s">
        <v>135</v>
      </c>
      <c r="I42" s="3" t="s">
        <v>100</v>
      </c>
    </row>
    <row r="43" spans="1:9" ht="72" customHeight="1">
      <c r="A43" s="3" t="s">
        <v>136</v>
      </c>
      <c r="B43" s="4">
        <v>5.00</v>
      </c>
      <c r="C43" s="4">
        <v>0.50</v>
      </c>
      <c r="D43" s="4" t="s">
        <v>97</v>
      </c>
      <c r="E43" s="4">
        <v>22.50</v>
      </c>
      <c r="F43" s="4">
        <v>22.50</v>
      </c>
      <c r="G43" s="3" t="s">
        <v>98</v>
      </c>
      <c r="H43" s="3" t="s">
        <v>117</v>
      </c>
      <c r="I43" s="3" t="s">
        <v>137</v>
      </c>
    </row>
    <row r="44" spans="1:9" ht="72" customHeight="1">
      <c r="A44" s="3" t="s">
        <v>138</v>
      </c>
      <c r="B44" s="4">
        <v>20.00</v>
      </c>
      <c r="C44" s="4">
        <v>2.00</v>
      </c>
      <c r="D44" s="4">
        <v>25.00</v>
      </c>
      <c r="E44" s="4">
        <v>75.00</v>
      </c>
      <c r="F44" s="4">
        <v>75.00</v>
      </c>
      <c r="G44" s="3" t="s">
        <v>98</v>
      </c>
      <c r="H44" s="3" t="s">
        <v>117</v>
      </c>
      <c r="I44" s="3" t="s">
        <v>137</v>
      </c>
    </row>
    <row r="45" spans="1:9" ht="72" customHeight="1">
      <c r="A45" s="3" t="s">
        <v>139</v>
      </c>
      <c r="B45" s="4">
        <v>0.20</v>
      </c>
      <c r="C45" s="4">
        <v>0.02</v>
      </c>
      <c r="D45" s="4">
        <v>0.25</v>
      </c>
      <c r="E45" s="4">
        <v>0.75</v>
      </c>
      <c r="F45" s="4">
        <v>0.75</v>
      </c>
      <c r="G45" s="3" t="s">
        <v>98</v>
      </c>
      <c r="H45" s="3" t="s">
        <v>117</v>
      </c>
      <c r="I45" s="3" t="s">
        <v>137</v>
      </c>
    </row>
    <row r="46" spans="1:9" ht="72" customHeight="1">
      <c r="A46" s="3" t="s">
        <v>140</v>
      </c>
      <c r="B46" s="4">
        <v>4.00</v>
      </c>
      <c r="C46" s="4">
        <v>0.40</v>
      </c>
      <c r="D46" s="4">
        <v>5.00</v>
      </c>
      <c r="E46" s="4">
        <v>15.00</v>
      </c>
      <c r="F46" s="4">
        <v>15.00</v>
      </c>
      <c r="G46" s="3" t="s">
        <v>98</v>
      </c>
      <c r="H46" s="3" t="s">
        <v>117</v>
      </c>
      <c r="I46" s="3" t="s">
        <v>137</v>
      </c>
    </row>
    <row r="47" spans="1:9" ht="72" customHeight="1">
      <c r="A47" s="3" t="s">
        <v>141</v>
      </c>
      <c r="B47" s="4">
        <v>4.00</v>
      </c>
      <c r="C47" s="4">
        <v>0.20</v>
      </c>
      <c r="D47" s="4">
        <v>5.00</v>
      </c>
      <c r="E47" s="4">
        <v>15.00</v>
      </c>
      <c r="F47" s="4">
        <v>15.00</v>
      </c>
      <c r="G47" s="3" t="s">
        <v>98</v>
      </c>
      <c r="H47" s="3" t="s">
        <v>117</v>
      </c>
      <c r="I47" s="3" t="s">
        <v>137</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QA</vt: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2026-10-07T09:55:20Z</dcterms:created>
  <dcterms:modified xsi:type="dcterms:W3CDTF">2026-10-07T09:55:20Z</dcterms:modified>
</cp:coreProperties>
</file>
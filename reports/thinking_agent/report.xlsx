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430abb338b4ef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urns" sheetId="1" r:id="Ra4b397fc549449c0"/>
    <x:sheet xmlns:r="http://schemas.openxmlformats.org/officeDocument/2006/relationships" name="Execution tree" sheetId="2" r:id="Recc489064fd845f7"/>
    <x:sheet xmlns:r="http://schemas.openxmlformats.org/officeDocument/2006/relationships" name="Reference data" sheetId="3" r:id="R40dfe25d14ea4ad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"/>
    <x:numFmt numFmtId="201" formatCode="0.###############;-0.###############;0"/>
    <x:numFmt numFmtId="202" formatCode="yyyy-mm-dd"/>
    <x:numFmt numFmtId="203" formatCode="yyyy-mm-dd hh:mm:ss"/>
    <x:numFmt numFmtId="204" formatCode="0.00"/>
  </x:numFmts>
  <x:fonts count="5">
    <x:font>
      <x:sz val="11"/>
      <x:name val="Carlito"/>
    </x:font>
    <x:font>
      <x:sz val="10"/>
      <x:color rgb="FF193E42"/>
      <x:name val="Arial"/>
    </x:font>
    <x:font>
      <x:b/>
      <x:sz val="10"/>
      <x:color rgb="FFFFFFFF"/>
      <x:name val="Arial"/>
    </x:font>
    <x:font>
      <x:b/>
      <x:sz val="10"/>
      <x:color rgb="FF173B70"/>
      <x:name val="Arial"/>
    </x:font>
    <x:font>
      <x:b/>
      <x:sz val="10"/>
      <x:color rgb="FF193E42"/>
      <x:name val="Arial"/>
    </x:font>
  </x:fonts>
  <x:fills count="9">
    <x:fill>
      <x:patternFill patternType="none"/>
    </x:fill>
    <x:fill>
      <x:patternFill patternType="gray125"/>
    </x:fill>
    <x:fill>
      <x:patternFill patternType="solid">
        <x:fgColor rgb="FF173B70"/>
      </x:patternFill>
    </x:fill>
    <x:fill>
      <x:patternFill patternType="solid">
        <x:fgColor rgb="FFFFF1B8"/>
      </x:patternFill>
    </x:fill>
    <x:fill>
      <x:patternFill patternType="solid">
        <x:fgColor rgb="FFDBE5F1"/>
      </x:patternFill>
    </x:fill>
    <x:fill>
      <x:patternFill patternType="solid">
        <x:fgColor rgb="FFF0F5FC"/>
      </x:patternFill>
    </x:fill>
    <x:fill>
      <x:patternFill patternType="solid">
        <x:fgColor rgb="FFF4F4F4"/>
      </x:patternFill>
    </x:fill>
    <x:fill>
      <x:patternFill patternType="solid">
        <x:fgColor rgb="FFE8EEF7"/>
      </x:patternFill>
    </x:fill>
    <x:fill>
      <x:patternFill patternType="solid">
        <x:fgColor rgb="FFFFFFFF"/>
      </x:patternFill>
    </x:fill>
  </x:fills>
  <x:borders count="1">
    <x:border/>
  </x:borders>
  <x:cellStyleXfs count="1">
    <x:xf numFmtId="0" fontId="0" fillId="0" borderId="0"/>
  </x:cellStyleXfs>
  <x:cellXfs count="4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vertical="top"/>
    </x:xf>
    <x:xf numFmtId="0" fontId="2" fillId="2" borderId="0" xfId="0" applyNumberFormat="1" applyFont="1" applyFill="1" applyBorder="1" applyAlignment="1">
      <x:alignment vertical="top"/>
    </x:xf>
    <x:xf numFmtId="0" fontId="2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horizontal="center" vertical="top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top"/>
    </x:xf>
    <x:xf numFmtId="0" fontId="3" fillId="3" borderId="0" xfId="0" applyNumberFormat="1" applyFont="1" applyFill="1" applyBorder="1" applyAlignment="1">
      <x:alignment vertical="top"/>
    </x:xf>
    <x:xf numFmtId="200" fontId="3" fillId="3" borderId="0" xfId="0" applyNumberFormat="1" applyFont="1" applyFill="1" applyBorder="1" applyAlignment="1">
      <x:alignment vertical="top"/>
    </x:xf>
    <x:xf numFmtId="201" fontId="1" fillId="0" borderId="0" xfId="0" applyNumberFormat="1" applyFont="1" applyFill="1" applyBorder="1" applyAlignment="1">
      <x:alignment vertical="top"/>
    </x:xf>
    <x:xf numFmtId="202" fontId="1" fillId="0" borderId="0" xfId="0" applyNumberFormat="1" applyFont="1" applyFill="1" applyBorder="1" applyAlignment="1">
      <x:alignment vertical="top"/>
    </x:xf>
    <x:xf numFmtId="203" fontId="1" fillId="0" borderId="0" xfId="0" applyNumberFormat="1" applyFont="1" applyFill="1" applyBorder="1" applyAlignment="1">
      <x:alignment vertical="top"/>
    </x:xf>
    <x:xf numFmtId="0" fontId="1" fillId="0" borderId="0" xfId="0" applyNumberFormat="1" applyFont="1" applyFill="1" applyBorder="1" applyAlignment="1">
      <x:alignment vertical="top" wrapText="1"/>
    </x:xf>
    <x:xf numFmtId="202" fontId="1" fillId="0" borderId="0" xfId="0" applyNumberFormat="1" applyFont="1" applyFill="1" applyBorder="1" applyAlignment="1">
      <x:alignment vertical="top" wrapText="1"/>
    </x:xf>
    <x:xf numFmtId="203" fontId="1" fillId="0" borderId="0" xfId="0" applyNumberFormat="1" applyFont="1" applyFill="1" applyBorder="1" applyAlignment="1">
      <x:alignment vertical="top" wrapText="1"/>
    </x:xf>
    <x:xf numFmtId="201" fontId="1" fillId="0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top"/>
    </x:xf>
    <x:xf numFmtId="0" fontId="3" fillId="4" borderId="0" xfId="0" applyNumberFormat="1" applyFont="1" applyFill="1" applyBorder="1" applyAlignment="1">
      <x:alignment vertical="top"/>
    </x:xf>
    <x:xf numFmtId="0" fontId="1" fillId="5" borderId="0" xfId="0" applyNumberFormat="1" applyFont="1" applyFill="1" applyBorder="1" applyAlignment="1">
      <x:alignment vertical="top"/>
    </x:xf>
    <x:xf numFmtId="0" fontId="3" fillId="5" borderId="0" xfId="0" applyNumberFormat="1" applyFont="1" applyFill="1" applyBorder="1" applyAlignment="1">
      <x:alignment vertical="top"/>
    </x:xf>
    <x:xf numFmtId="0" fontId="4" fillId="0" borderId="0" xfId="0" applyNumberFormat="1" applyFont="1" applyFill="1" applyBorder="1" applyAlignment="1">
      <x:alignment vertical="top"/>
    </x:xf>
    <x:xf numFmtId="0" fontId="1" fillId="6" borderId="0" xfId="0" applyNumberFormat="1" applyFont="1" applyFill="1" applyBorder="1" applyAlignment="1">
      <x:alignment vertical="top"/>
    </x:xf>
    <x:xf numFmtId="0" fontId="4" fillId="6" borderId="0" xfId="0" applyNumberFormat="1" applyFont="1" applyFill="1" applyBorder="1" applyAlignment="1">
      <x:alignment vertical="top"/>
    </x:xf>
    <x:xf numFmtId="0" fontId="3" fillId="4" borderId="0" xfId="0" applyNumberFormat="1" applyFont="1" applyFill="1" applyBorder="1" applyAlignment="1">
      <x:alignment vertical="top" wrapText="1"/>
    </x:xf>
    <x:xf numFmtId="0" fontId="3" fillId="5" borderId="0" xfId="0" applyNumberFormat="1" applyFont="1" applyFill="1" applyBorder="1" applyAlignment="1">
      <x:alignment vertical="top" wrapText="1"/>
    </x:xf>
    <x:xf numFmtId="0" fontId="4" fillId="6" borderId="0" xfId="0" applyNumberFormat="1" applyFont="1" applyFill="1" applyBorder="1" applyAlignment="1">
      <x:alignment vertical="top" wrapText="1"/>
    </x:xf>
    <x:xf numFmtId="201" fontId="3" fillId="4" borderId="0" xfId="0" applyNumberFormat="1" applyFont="1" applyFill="1" applyBorder="1" applyAlignment="1">
      <x:alignment vertical="top"/>
    </x:xf>
    <x:xf numFmtId="201" fontId="3" fillId="5" borderId="0" xfId="0" applyNumberFormat="1" applyFont="1" applyFill="1" applyBorder="1" applyAlignment="1">
      <x:alignment vertical="top"/>
    </x:xf>
    <x:xf numFmtId="201" fontId="4" fillId="6" borderId="0" xfId="0" applyNumberFormat="1" applyFont="1" applyFill="1" applyBorder="1" applyAlignment="1">
      <x:alignment vertical="top"/>
    </x:xf>
    <x:xf numFmtId="200" fontId="3" fillId="4" borderId="0" xfId="0" applyNumberFormat="1" applyFont="1" applyFill="1" applyBorder="1" applyAlignment="1">
      <x:alignment vertical="top"/>
    </x:xf>
    <x:xf numFmtId="200" fontId="3" fillId="5" borderId="0" xfId="0" applyNumberFormat="1" applyFont="1" applyFill="1" applyBorder="1" applyAlignment="1">
      <x:alignment vertical="top"/>
    </x:xf>
    <x:xf numFmtId="200" fontId="1" fillId="0" borderId="0" xfId="0" applyNumberFormat="1" applyFont="1" applyFill="1" applyBorder="1" applyAlignment="1">
      <x:alignment vertical="top"/>
    </x:xf>
    <x:xf numFmtId="200" fontId="4" fillId="6" borderId="0" xfId="0" applyNumberFormat="1" applyFont="1" applyFill="1" applyBorder="1" applyAlignment="1">
      <x:alignment vertical="top"/>
    </x:xf>
    <x:xf numFmtId="0" fontId="1" fillId="7" borderId="0" xfId="0" applyNumberFormat="1" applyFont="1" applyFill="1" applyBorder="1" applyAlignment="1">
      <x:alignment vertical="top"/>
    </x:xf>
    <x:xf numFmtId="0" fontId="1" fillId="8" borderId="0" xfId="0" applyNumberFormat="1" applyFont="1" applyFill="1" applyBorder="1" applyAlignment="1">
      <x:alignment vertical="top"/>
    </x:xf>
    <x:xf numFmtId="200" fontId="1" fillId="7" borderId="0" xfId="0" applyNumberFormat="1" applyFont="1" applyFill="1" applyBorder="1" applyAlignment="1">
      <x:alignment vertical="top"/>
    </x:xf>
    <x:xf numFmtId="200" fontId="1" fillId="8" borderId="0" xfId="0" applyNumberFormat="1" applyFont="1" applyFill="1" applyBorder="1" applyAlignment="1">
      <x:alignment vertical="top"/>
    </x:xf>
    <x:xf numFmtId="200" fontId="1" fillId="5" borderId="0" xfId="0" applyNumberFormat="1" applyFont="1" applyFill="1" applyBorder="1" applyAlignment="1">
      <x:alignment vertical="top"/>
    </x:xf>
    <x:xf numFmtId="0" fontId="1" fillId="7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vertical="top" wrapText="1"/>
    </x:xf>
    <x:xf numFmtId="204" fontId="1" fillId="0" borderId="0" xfId="0" applyNumberFormat="1" applyFont="1" applyFill="1" applyBorder="1" applyAlignment="1">
      <x:alignment vertical="top"/>
    </x:xf>
  </x:cellXfs>
  <x:cellStyles count="1">
    <x:cellStyle name="Normal" xfId="0"/>
  </x:cellStyles>
  <x:dxfs count="4">
    <x:dxf>
      <x:font>
        <x:color rgb="FF8B1010"/>
      </x:font>
      <x:fill>
        <x:patternFill patternType="solid">
          <x:bgColor rgb="FFFFD3D3"/>
        </x:patternFill>
      </x:fill>
    </x:dxf>
    <x:dxf>
      <x:font>
        <x:color rgb="FF8B1010"/>
      </x:font>
      <x:fill>
        <x:patternFill patternType="solid">
          <x:bgColor rgb="FFFFD3D3"/>
        </x:patternFill>
      </x:fill>
    </x:dxf>
    <x:dxf>
      <x:font>
        <x:color rgb="FF8B1010"/>
      </x:font>
      <x:fill>
        <x:patternFill patternType="solid">
          <x:bgColor rgb="FFFFD3D3"/>
        </x:patternFill>
      </x:fill>
    </x:dxf>
    <x:dxf>
      <x:font>
        <x:color rgb="FF8B1010"/>
      </x:font>
      <x:fill>
        <x:patternFill patternType="solid">
          <x:bgColor rgb="FFFFD3D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7e4ec86dbfe4ad6" /><Relationship Type="http://schemas.openxmlformats.org/officeDocument/2006/relationships/theme" Target="/xl/theme/theme1.xml" Id="R16b69918ad4d4c34" /><Relationship Type="http://schemas.openxmlformats.org/officeDocument/2006/relationships/sharedStrings" Target="/xl/sharedStrings.xml" Id="Rc13b34027ec44c27" /><Relationship Type="http://schemas.openxmlformats.org/officeDocument/2006/relationships/worksheet" Target="/xl/worksheets/sheet1.xml" Id="Ra4b397fc549449c0" /><Relationship Type="http://schemas.openxmlformats.org/officeDocument/2006/relationships/worksheet" Target="/xl/worksheets/sheet2.xml" Id="Recc489064fd845f7" /><Relationship Type="http://schemas.openxmlformats.org/officeDocument/2006/relationships/worksheet" Target="/xl/worksheets/sheet3.xml" Id="R40dfe25d14ea4ad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3B70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0" hidden="0" customWidth="1"/>
    <x:col min="2" max="2" width="10" hidden="0" customWidth="1"/>
    <x:col min="3" max="3" width="38" hidden="0" customWidth="1"/>
    <x:col min="4" max="4" width="14" hidden="0" customWidth="1"/>
    <x:col min="5" max="5" width="22" hidden="0" customWidth="1"/>
    <x:col min="6" max="6" width="22" hidden="0" customWidth="1"/>
    <x:col min="7" max="7" width="18" hidden="0" customWidth="1"/>
    <x:col min="8" max="8" width="18" hidden="0" customWidth="1"/>
    <x:col min="9" max="9" width="100" hidden="0" customWidth="1"/>
    <x:col min="10" max="10" width="26" hidden="0" customWidth="1"/>
    <x:col min="11" max="11" width="18" hidden="0" customWidth="1"/>
    <x:col min="12" max="12" width="18" hidden="0" customWidth="1"/>
    <x:col min="13" max="13" width="38" hidden="0" customWidth="1"/>
  </x:cols>
  <x:sheetData>
    <x:row r="1" ht="44" customHeight="1">
      <x:c r="A1" s="7" t="str">
        <x:v>Request</x:v>
      </x:c>
      <x:c r="B1" s="7" t="str">
        <x:v>Turn</x:v>
      </x:c>
      <x:c r="C1" s="7" t="str">
        <x:v>Sequence</x:v>
      </x:c>
      <x:c r="D1" s="7" t="str">
        <x:v>Tokens</x:v>
      </x:c>
      <x:c r="E1" s="7" t="str">
        <x:v>EUR / execution</x:v>
      </x:c>
      <x:c r="F1" s="7" t="str">
        <x:v>USD / execution</x:v>
      </x:c>
      <x:c r="G1" s="7" t="str">
        <x:v>Projected EUR</x:v>
      </x:c>
      <x:c r="H1" s="7" t="str">
        <x:v>Projected USD</x:v>
      </x:c>
      <x:c r="I1" s="7" t="str">
        <x:v>Content</x:v>
      </x:c>
      <x:c r="J1" s="7" t="str">
        <x:v>Model · effort</x:v>
      </x:c>
      <x:c r="K1" s="7" t="str">
        <x:v>Status</x:v>
      </x:c>
      <x:c r="L1" s="7" t="str">
        <x:v>Context total tokens</x:v>
      </x:c>
      <x:c r="M1" s="7" t="str">
        <x:v>Span ID</x:v>
      </x:c>
    </x:row>
    <x:row r="2" ht="24" customHeight="1">
      <x:c r="A2" s="19"/>
      <x:c r="B2" s="19"/>
      <x:c r="C2" s="19" t="str">
        <x:v>Run total</x:v>
      </x:c>
      <x:c r="D2" s="31"/>
      <x:c r="E2" s="28" t="n">
        <x:f>IF(COUNT(E17,E39,E60)=3,SUM(E17,E39,E60),"Unknown")</x:f>
        <x:v>0.001191762176</x:v>
      </x:c>
      <x:c r="F2" s="28" t="n">
        <x:f>IF(COUNT(F17,F39,F60)=3,SUM(F17,F39,F60),"Unknown")</x:f>
        <x:v>0.0013657600000000002</x:v>
      </x:c>
      <x:c r="G2" s="31" t="n">
        <x:f>IF(ISNUMBER(E2),ROUND(E2*'Reference data'!$B$2,0),"Unknown")</x:f>
        <x:v>119</x:v>
      </x:c>
      <x:c r="H2" s="31" t="n">
        <x:f>IF(ISNUMBER(F2),ROUND(F2*'Reference data'!$B$2,0),"Unknown")</x:f>
        <x:v>137</x:v>
      </x:c>
      <x:c r="I2" s="25"/>
      <x:c r="J2" s="19"/>
      <x:c r="K2" s="19"/>
      <x:c r="L2" s="31"/>
      <x:c r="M2" s="19"/>
    </x:row>
    <x:row r="3" ht="24" customHeight="1">
      <x:c r="A3" s="19"/>
      <x:c r="B3" s="19" t="n">
        <x:v>1</x:v>
      </x:c>
      <x:c r="C3" s="19" t="str">
        <x:v>Turn 1</x:v>
      </x:c>
      <x:c r="D3" s="31"/>
      <x:c r="E3" s="28" t="n">
        <x:f>IF(COUNT(E17,E39,E60)=3,SUM(E17,E39,E60),"Unknown")</x:f>
        <x:v>0.001191762176</x:v>
      </x:c>
      <x:c r="F3" s="28" t="n">
        <x:f>IF(COUNT(F17,F39,F60)=3,SUM(F17,F39,F60),"Unknown")</x:f>
        <x:v>0.0013657600000000002</x:v>
      </x:c>
      <x:c r="G3" s="31" t="n">
        <x:f>IF(ISNUMBER(E3),ROUND(E3*'Reference data'!$B$2,0),"Unknown")</x:f>
        <x:v>119</x:v>
      </x:c>
      <x:c r="H3" s="31" t="n">
        <x:f>IF(ISNUMBER(F3),ROUND(F3*'Reference data'!$B$2,0),"Unknown")</x:f>
        <x:v>137</x:v>
      </x:c>
      <x:c r="I3" s="25"/>
      <x:c r="J3" s="19"/>
      <x:c r="K3" s="19"/>
      <x:c r="L3" s="31"/>
      <x:c r="M3" s="19"/>
    </x:row>
    <x:row r="4" ht="24" customHeight="1">
      <x:c r="A4" s="21" t="str">
        <x:v>R1</x:v>
      </x:c>
      <x:c r="B4" s="21" t="n">
        <x:v>1</x:v>
      </x:c>
      <x:c r="C4" s="21" t="str">
        <x:v>LLM request</x:v>
      </x:c>
      <x:c r="D4" s="32" t="n">
        <x:v>2102</x:v>
      </x:c>
      <x:c r="E4" s="29"/>
      <x:c r="F4" s="29"/>
      <x:c r="G4" s="32"/>
      <x:c r="H4" s="32"/>
      <x:c r="I4" s="26"/>
      <x:c r="J4" s="21" t="str">
        <x:v>gpt-5.6-luna</x:v>
      </x:c>
      <x:c r="K4" s="21"/>
      <x:c r="L4" s="32"/>
      <x:c r="M4" s="21" t="str">
        <x:v>01a0c40f-8213-7040-aab2-327f02382086</x:v>
      </x:c>
    </x:row>
    <x:row r="5" ht="24" customHeight="1">
      <x:c r="A5" s="2" t="str">
        <x:v>R1</x:v>
      </x:c>
      <x:c r="B5" s="2" t="n">
        <x:v>1</x:v>
      </x:c>
      <x:c r="C5" s="22" t="str">
        <x:v>Fresh input</x:v>
      </x:c>
      <x:c r="D5" s="33" t="n">
        <x:v>3</x:v>
      </x:c>
      <x:c r="E5" s="11" t="n">
        <x:f>IF(AND(ISNUMBER(F5),ISNUMBER('Reference data'!$B$3)),F5*'Reference data'!$B$3,"Unknown")</x:f>
        <x:v>5.235600000000001e-7</x:v>
      </x:c>
      <x:c r="F5" s="11" t="n">
        <x:f>IF(D5=0,0,IF(ISNUMBER('Reference data'!B17),D5*'Reference data'!B17/1000000,"Unknown"))</x:f>
        <x:v>6.000000000000001e-7</x:v>
      </x:c>
      <x:c r="G5" s="33" t="n">
        <x:f>IF(ISNUMBER(E5),ROUND(E5*'Reference data'!$B$2,0),"Unknown")</x:f>
        <x:v>0</x:v>
      </x:c>
      <x:c r="H5" s="33" t="n">
        <x:f>IF(ISNUMBER(F5),ROUND(F5*'Reference data'!$B$2,0),"Unknown")</x:f>
        <x:v>0</x:v>
      </x:c>
      <x:c r="I5" s="14"/>
      <x:c r="J5" s="2"/>
      <x:c r="K5" s="2"/>
      <x:c r="L5" s="33"/>
      <x:c r="M5" s="2"/>
    </x:row>
    <x:row r="6" ht="24" customHeight="1">
      <x:c r="A6" s="2" t="str">
        <x:v>R1</x:v>
      </x:c>
      <x:c r="B6" s="2" t="n">
        <x:v>1</x:v>
      </x:c>
      <x:c r="C6" s="2" t="str">
        <x:v>    Tool definitions</x:v>
      </x:c>
      <x:c r="D6" s="33"/>
      <x:c r="E6" s="11"/>
      <x:c r="F6" s="11"/>
      <x:c r="G6" s="33"/>
      <x:c r="H6" s="33"/>
      <x:c r="I6" s="14"/>
      <x:c r="J6" s="2"/>
      <x:c r="K6" s="2"/>
      <x:c r="L6" s="33"/>
      <x:c r="M6" s="2"/>
    </x:row>
    <x:row r="7" ht="34" customHeight="1">
      <x:c r="A7" s="2" t="str">
        <x:v>R1</x:v>
      </x:c>
      <x:c r="B7" s="2" t="n">
        <x:v>1</x:v>
      </x:c>
      <x:c r="C7" s="2" t="str">
        <x:v>    System prompt</x:v>
      </x:c>
      <x:c r="D7" s="33"/>
      <x:c r="E7" s="11"/>
      <x:c r="F7" s="11"/>
      <x:c r="G7" s="33"/>
      <x:c r="H7" s="33"/>
      <x:c r="I7" s="14" t="str">
        <x:v>Use the fictional service evidence to propose and validate a latency improvement. Inspect traffic, database behavior, and constraints before testing the plan.</x:v>
      </x:c>
      <x:c r="J7" s="2"/>
      <x:c r="K7" s="2"/>
      <x:c r="L7" s="33"/>
      <x:c r="M7" s="2"/>
    </x:row>
    <x:row r="8" ht="24" customHeight="1">
      <x:c r="A8" s="2" t="str">
        <x:v>R1</x:v>
      </x:c>
      <x:c r="B8" s="2" t="n">
        <x:v>1</x:v>
      </x:c>
      <x:c r="C8" s="2" t="str">
        <x:v>    User prompt</x:v>
      </x:c>
      <x:c r="D8" s="33"/>
      <x:c r="E8" s="11"/>
      <x:c r="F8" s="11"/>
      <x:c r="G8" s="33"/>
      <x:c r="H8" s="33"/>
      <x:c r="I8" s="14" t="str">
        <x:v>Investigate service latency and validate a plan meeting the constraints.</x:v>
      </x:c>
      <x:c r="J8" s="2"/>
      <x:c r="K8" s="2"/>
      <x:c r="L8" s="33"/>
      <x:c r="M8" s="2"/>
    </x:row>
    <x:row r="9" ht="24" customHeight="1">
      <x:c r="A9" s="2" t="str">
        <x:v>R1</x:v>
      </x:c>
      <x:c r="B9" s="2" t="n">
        <x:v>1</x:v>
      </x:c>
      <x:c r="C9" s="22" t="str">
        <x:v>Cache write</x:v>
      </x:c>
      <x:c r="D9" s="33" t="n">
        <x:v>2099</x:v>
      </x:c>
      <x:c r="E9" s="11" t="n">
        <x:f>IF(AND(ISNUMBER(F9),ISNUMBER('Reference data'!$B$3)),F9*'Reference data'!$B$3,"Unknown")</x:f>
        <x:v>0.0004578968500000001</x:v>
      </x:c>
      <x:c r="F9" s="11" t="n">
        <x:f>IF(D9=0,0,IF(ISNUMBER('Reference data'!D17),D9*'Reference data'!D17/1000000,"Unknown"))</x:f>
        <x:v>0.00052475</x:v>
      </x:c>
      <x:c r="G9" s="33" t="n">
        <x:f>IF(ISNUMBER(E9),ROUND(E9*'Reference data'!$B$2,0),"Unknown")</x:f>
        <x:v>46</x:v>
      </x:c>
      <x:c r="H9" s="33" t="n">
        <x:f>IF(ISNUMBER(F9),ROUND(F9*'Reference data'!$B$2,0),"Unknown")</x:f>
        <x:v>52</x:v>
      </x:c>
      <x:c r="I9" s="14"/>
      <x:c r="J9" s="2"/>
      <x:c r="K9" s="2"/>
      <x:c r="L9" s="33"/>
      <x:c r="M9" s="2"/>
    </x:row>
    <x:row r="10" ht="24" customHeight="1">
      <x:c r="A10" s="2" t="str">
        <x:v>R1</x:v>
      </x:c>
      <x:c r="B10" s="2" t="n">
        <x:v>1</x:v>
      </x:c>
      <x:c r="C10" s="2" t="str">
        <x:v>Context · added / total</x:v>
      </x:c>
      <x:c r="D10" s="33"/>
      <x:c r="E10" s="11"/>
      <x:c r="F10" s="11"/>
      <x:c r="G10" s="33"/>
      <x:c r="H10" s="33"/>
      <x:c r="I10" s="14"/>
      <x:c r="J10" s="2"/>
      <x:c r="K10" s="2"/>
      <x:c r="L10" s="33"/>
      <x:c r="M10" s="2"/>
    </x:row>
    <x:row r="11" ht="24" customHeight="1">
      <x:c r="A11" s="21" t="str">
        <x:v>R1</x:v>
      </x:c>
      <x:c r="B11" s="21" t="n">
        <x:v>1</x:v>
      </x:c>
      <x:c r="C11" s="21" t="str">
        <x:v>LLM response</x:v>
      </x:c>
      <x:c r="D11" s="32" t="n">
        <x:v>99</x:v>
      </x:c>
      <x:c r="E11" s="29"/>
      <x:c r="F11" s="29"/>
      <x:c r="G11" s="32"/>
      <x:c r="H11" s="32"/>
      <x:c r="I11" s="26"/>
      <x:c r="J11" s="21"/>
      <x:c r="K11" s="21"/>
      <x:c r="L11" s="32"/>
      <x:c r="M11" s="21"/>
    </x:row>
    <x:row r="12" ht="24" customHeight="1">
      <x:c r="A12" s="2" t="str">
        <x:v>R1</x:v>
      </x:c>
      <x:c r="B12" s="2" t="n">
        <x:v>1</x:v>
      </x:c>
      <x:c r="C12" s="22" t="str">
        <x:v>Reasoning</x:v>
      </x:c>
      <x:c r="D12" s="33" t="n">
        <x:v>35</x:v>
      </x:c>
      <x:c r="E12" s="11" t="n">
        <x:f>IF(AND(ISNUMBER(F12),ISNUMBER('Reference data'!$B$3)),F12*'Reference data'!$B$3,"Unknown")</x:f>
        <x:v>0.0000366492</x:v>
      </x:c>
      <x:c r="F12" s="11" t="n">
        <x:f>IF(D12=0,0,IF(ISNUMBER('Reference data'!F17),D12*'Reference data'!F17/1000000,"Unknown"))</x:f>
        <x:v>0.000042</x:v>
      </x:c>
      <x:c r="G12" s="33" t="n">
        <x:f>IF(ISNUMBER(E12),ROUND(E12*'Reference data'!$B$2,0),"Unknown")</x:f>
        <x:v>4</x:v>
      </x:c>
      <x:c r="H12" s="33" t="n">
        <x:f>IF(ISNUMBER(F12),ROUND(F12*'Reference data'!$B$2,0),"Unknown")</x:f>
        <x:v>4</x:v>
      </x:c>
      <x:c r="I12" s="14"/>
      <x:c r="J12" s="2"/>
      <x:c r="K12" s="2"/>
      <x:c r="L12" s="33"/>
      <x:c r="M12" s="2"/>
    </x:row>
    <x:row r="13" ht="24" customHeight="1">
      <x:c r="A13" s="2" t="str">
        <x:v>R1</x:v>
      </x:c>
      <x:c r="B13" s="2" t="n">
        <x:v>1</x:v>
      </x:c>
      <x:c r="C13" s="22" t="str">
        <x:v>Output</x:v>
      </x:c>
      <x:c r="D13" s="33" t="n">
        <x:v>64</x:v>
      </x:c>
      <x:c r="E13" s="11" t="n">
        <x:f>IF(AND(ISNUMBER(F13),ISNUMBER('Reference data'!$B$3)),F13*'Reference data'!$B$3,"Unknown")</x:f>
        <x:v>0.00006701568</x:v>
      </x:c>
      <x:c r="F13" s="11" t="n">
        <x:f>IF(D13=0,0,IF(ISNUMBER('Reference data'!E17),D13*'Reference data'!E17/1000000,"Unknown"))</x:f>
        <x:v>0.0000768</x:v>
      </x:c>
      <x:c r="G13" s="33" t="n">
        <x:f>IF(ISNUMBER(E13),ROUND(E13*'Reference data'!$B$2,0),"Unknown")</x:f>
        <x:v>7</x:v>
      </x:c>
      <x:c r="H13" s="33" t="n">
        <x:f>IF(ISNUMBER(F13),ROUND(F13*'Reference data'!$B$2,0),"Unknown")</x:f>
        <x:v>8</x:v>
      </x:c>
      <x:c r="I13" s="14"/>
      <x:c r="J13" s="2"/>
      <x:c r="K13" s="2"/>
      <x:c r="L13" s="33"/>
      <x:c r="M13" s="2"/>
    </x:row>
    <x:row r="14" ht="411" customHeight="1">
      <x:c r="A14" s="2" t="str">
        <x:v>R1</x:v>
      </x:c>
      <x:c r="B14" s="2" t="n">
        <x:v>1</x:v>
      </x:c>
      <x:c r="C14" s="2" t="str">
        <x:v>    Output content</x:v>
      </x:c>
      <x:c r="D14" s="33"/>
      <x:c r="E14" s="11"/>
      <x:c r="F14" s="11"/>
      <x:c r="G14" s="33"/>
      <x:c r="H14" s="33"/>
      <x:c r="I14" s="14" t="str">
        <x:v>[{"id":"rs_07835a672e701138006ab12ae2bce487d291d6807e13c18aff","summary":[],"type":"reasoning","content":[],"index":0,"encrypted_content":"gAAAAABqsSrj0QOSvLEE_cphoMEZRs6fDw7FB-SPXukkQdoKGDmFyFnZgh26XFgVQcKFFIXVLW3FGZkp93IqA-PhZ0ehETnbMDvU34fFpDK9LLPXbeWWeoJ2Gqct1GOKaxqvhYSr9FHgWzJTLx_9T6B2fbTXJ2uGhaPRiHxcMMiUHrSeQeAhtea23Sr09pfpNS9WlnC7IlzRklGYfugjWGyAw3ndKsEAHNpHk6YITfIfo4YbVhtc9-eBWU_ZvyR62IGJs-XbqgNwBsh-s5VADN1vsy8FzPUyigrNs-ZSBuRDOY6XCZ9KVxQDO5WROgfZIqQhpYWY6JIwY9T19aKNWH2TXTsUjzJA4kRXG-PQ-aC5VBJFMzw37Yf_Im_WQ5V9fnHgrn5WuICSR1izyI0VJLa4MZweml3paa5OUV5vz8O_JBdZSnsUuX_7Rg7B-7SMQz3x-Kr9pvpFNjuFuMJaOnzKpCvRmUXr_d4Qd9ozn4OGf3G9MS_5J7BRHFDmFp5Pcf8nvuTBZkzJEZVZFxzwd9EBXReJeEqXip-4eydij2QVn0oz2KNMcT5YgIB7SwVB9QhIwZ-DJuA_owCyOIumpzNeIBv9floc0hnUyo2IEHi9-z2WSzSeL6Cq_cRKoO96fvTGu5y9ttu4V6NyXCqdTKhebMl-CZyg3HtJy82BaXjuQRLY1iWVDuvINQBoissfxTORIyiL_4EPkbwUJNiQidKWyn1X0OuOtg0k3vpLZl_joCEZ6iSJVyQnh60B_dHBxK08vPS9r6WMU4xM77KuibGPsW_3e4KHQnjXcwlhw7L-KRldiXpZzRcdToZ4KvZkCBE4swZKfAiiCoFCq1tLQiN7GtBxSOUx1Mw1wESqltXN8iRrRAdsrt_IkPGqYmP5mePfueLrdSjs5PzCyOncIbe3ZOXvXuVNeYTkvVInRrMZLHOtwrjfWr2KqUYRGhZOSVopDQfCOgENFtgq10EN04TFOtLMDtGmgE6cj9aImq--L-do3Uwobh5cjEK7EgBmXt3tr-m3_XtDJXJ3yvqCHRlsXzpWRbNE9MgRk6ezbGFKnH_6z8NUeL4zsAaL8fAeUNM50OcxweXROYqlOB2h9BKc4ROTF-lvxdAOit7nj3VbGlgc0H3SUKbSenm6pZYCgTVZk7h0vC-gOVQE0Wivn_LqZrsFk9o6p_v01yMzHNb9V3FTGfxMU7qAm2E8VVtJFgCqZ0DnYh7oRH33vtRO3QnPnYsQ_Gjyot3vIjpooxvJQAUFZrzxhcX0Q2rbeMFpKc9DLlz2NRJMRvDjpNsWbHhlv01aYVbFs5eVG66dxqSsL5Wl7eMANkt8lvHewgZgjAjvH7SWEjlmHKUEnH-z1JF6-OyUJiHKRKrC6egYDNg-kvooVbQRRBqpRshXaO1WVAa7usgrtNiM"},{"type":"function_call","name":"inspect_service","arguments":"{\"section\":\"traffic\"}","call_id":"call_WJeLxBDOSKEDzTBSrxPqHnW6","id":"fc_07835a672e701138006ab12ae3d9c887d2836d789c7ade94ae","index":1},{"type":"function_call","name":"inspect_service","arguments":"{\"section\":\"database\"}","call_id":"call_ZtYKrkhQ9Uo8Owu0cGOiuLbj","id":"fc_07835a672e701138006ab12ae3d9e087d289af91e28c547212","index":2},{"type":"function_call","name":"inspect_service","arguments":"{\"section\":\"constraints\"}","call_id":"call_fzndLxvcEdkRQjDlqOAqgQHW","id":"fc_07835a672e701138006ab12ae3d9ec87d29081a5c0aa1566f1","index":3}]
{"name":"inspect_service","args":{"section":"traffic"},"id":"call_WJeLxBDOSKEDzTBSrxPqHnW6","type":"tool_call"}
{"name":"inspect_service","args":{"section":"database"},"id":"call_ZtYKrkhQ9Uo8Owu0cGOiuLbj","type":"tool_call"}
{"name":"inspect_service","args":{"section":"constraints"},"id":"call_fzndLxvcEdkRQjDlqOAqgQHW","type":"tool_call"}</x:v>
      </x:c>
      <x:c r="J14" s="2"/>
      <x:c r="K14" s="2"/>
      <x:c r="L14" s="33"/>
      <x:c r="M14" s="2"/>
    </x:row>
    <x:row r="15" ht="24" customHeight="1">
      <x:c r="A15" s="2" t="str">
        <x:v>R1</x:v>
      </x:c>
      <x:c r="B15" s="2" t="n">
        <x:v>1</x:v>
      </x:c>
      <x:c r="C15" s="2" t="str">
        <x:v>Cache write</x:v>
      </x:c>
      <x:c r="D15" s="33"/>
      <x:c r="E15" s="11"/>
      <x:c r="F15" s="11"/>
      <x:c r="G15" s="33"/>
      <x:c r="H15" s="33"/>
      <x:c r="I15" s="14"/>
      <x:c r="J15" s="2"/>
      <x:c r="K15" s="2"/>
      <x:c r="L15" s="33"/>
      <x:c r="M15" s="2"/>
    </x:row>
    <x:row r="16" ht="24" customHeight="1">
      <x:c r="A16" s="2" t="str">
        <x:v>R1</x:v>
      </x:c>
      <x:c r="B16" s="2" t="n">
        <x:v>1</x:v>
      </x:c>
      <x:c r="C16" s="2" t="str">
        <x:v>Context · added / total</x:v>
      </x:c>
      <x:c r="D16" s="33"/>
      <x:c r="E16" s="11"/>
      <x:c r="F16" s="11"/>
      <x:c r="G16" s="33"/>
      <x:c r="H16" s="33"/>
      <x:c r="I16" s="14"/>
      <x:c r="J16" s="2"/>
      <x:c r="K16" s="2"/>
      <x:c r="L16" s="33"/>
      <x:c r="M16" s="2"/>
    </x:row>
    <x:row r="17" ht="24" customHeight="1">
      <x:c r="A17" s="21" t="str">
        <x:v>R1</x:v>
      </x:c>
      <x:c r="B17" s="21" t="n">
        <x:v>1</x:v>
      </x:c>
      <x:c r="C17" s="21" t="str">
        <x:v>Call total</x:v>
      </x:c>
      <x:c r="D17" s="32"/>
      <x:c r="E17" s="29" t="n">
        <x:f>IF(COUNT(E5,E9,E12,E13)=4,SUM(E5,E9,E12,E13),"Unknown")</x:f>
        <x:v>0.0005620852900000001</x:v>
      </x:c>
      <x:c r="F17" s="29" t="n">
        <x:f>IF(COUNT(F5,F9,F12,F13)=4,SUM(F5,F9,F12,F13),"Unknown")</x:f>
        <x:v>0.0006441500000000001</x:v>
      </x:c>
      <x:c r="G17" s="32" t="n">
        <x:f>IF(ISNUMBER(E17),ROUND(E17*'Reference data'!$B$2,0),"Unknown")</x:f>
        <x:v>56</x:v>
      </x:c>
      <x:c r="H17" s="32" t="n">
        <x:f>IF(ISNUMBER(F17),ROUND(F17*'Reference data'!$B$2,0),"Unknown")</x:f>
        <x:v>64</x:v>
      </x:c>
      <x:c r="I17" s="26"/>
      <x:c r="J17" s="21"/>
      <x:c r="K17" s="21" t="str">
        <x:v>ok</x:v>
      </x:c>
      <x:c r="L17" s="32"/>
      <x:c r="M17" s="21"/>
    </x:row>
    <x:row r="18" ht="24" customHeight="1">
      <x:c r="A18" s="24"/>
      <x:c r="B18" s="24" t="n">
        <x:v>1</x:v>
      </x:c>
      <x:c r="C18" s="24" t="str">
        <x:v>Tool · inspect_service</x:v>
      </x:c>
      <x:c r="D18" s="34"/>
      <x:c r="E18" s="30"/>
      <x:c r="F18" s="30"/>
      <x:c r="G18" s="34"/>
      <x:c r="H18" s="34"/>
      <x:c r="I18" s="27"/>
      <x:c r="J18" s="24"/>
      <x:c r="K18" s="24" t="str">
        <x:v>ok</x:v>
      </x:c>
      <x:c r="L18" s="34"/>
      <x:c r="M18" s="24" t="str">
        <x:v>01a0c40f-8b08-72d2-addb-6e552cb923da</x:v>
      </x:c>
    </x:row>
    <x:row r="19" ht="24" customHeight="1">
      <x:c r="A19" s="2"/>
      <x:c r="B19" s="2" t="n">
        <x:v>1</x:v>
      </x:c>
      <x:c r="C19" s="2" t="str">
        <x:v>    Arguments</x:v>
      </x:c>
      <x:c r="D19" s="33"/>
      <x:c r="E19" s="11"/>
      <x:c r="F19" s="11"/>
      <x:c r="G19" s="33"/>
      <x:c r="H19" s="33"/>
      <x:c r="I19" s="14" t="str">
        <x:v>{'section': 'traffic'}</x:v>
      </x:c>
      <x:c r="J19" s="2"/>
      <x:c r="K19" s="2"/>
      <x:c r="L19" s="33"/>
      <x:c r="M19" s="2"/>
    </x:row>
    <x:row r="20" ht="24" customHeight="1">
      <x:c r="A20" s="2"/>
      <x:c r="B20" s="2" t="n">
        <x:v>1</x:v>
      </x:c>
      <x:c r="C20" s="2" t="str">
        <x:v>    Result</x:v>
      </x:c>
      <x:c r="D20" s="33"/>
      <x:c r="E20" s="11"/>
      <x:c r="F20" s="11"/>
      <x:c r="G20" s="33"/>
      <x:c r="H20" s="33"/>
      <x:c r="I20" s="14" t="str">
        <x:v>Peak 240 requests/s; p95 1.8s; 12 workers. Latency rises during database bursts.</x:v>
      </x:c>
      <x:c r="J20" s="2"/>
      <x:c r="K20" s="2"/>
      <x:c r="L20" s="33"/>
      <x:c r="M20" s="2"/>
    </x:row>
    <x:row r="21" ht="24" customHeight="1">
      <x:c r="A21" s="24"/>
      <x:c r="B21" s="24" t="n">
        <x:v>1</x:v>
      </x:c>
      <x:c r="C21" s="24" t="str">
        <x:v>Tool · inspect_service</x:v>
      </x:c>
      <x:c r="D21" s="34"/>
      <x:c r="E21" s="30"/>
      <x:c r="F21" s="30"/>
      <x:c r="G21" s="34"/>
      <x:c r="H21" s="34"/>
      <x:c r="I21" s="27"/>
      <x:c r="J21" s="24"/>
      <x:c r="K21" s="24" t="str">
        <x:v>ok</x:v>
      </x:c>
      <x:c r="L21" s="34"/>
      <x:c r="M21" s="24" t="str">
        <x:v>01a0c40f-8b08-72d2-addb-6e644b2c5a7a</x:v>
      </x:c>
    </x:row>
    <x:row r="22" ht="24" customHeight="1">
      <x:c r="A22" s="2"/>
      <x:c r="B22" s="2" t="n">
        <x:v>1</x:v>
      </x:c>
      <x:c r="C22" s="2" t="str">
        <x:v>    Arguments</x:v>
      </x:c>
      <x:c r="D22" s="33"/>
      <x:c r="E22" s="11"/>
      <x:c r="F22" s="11"/>
      <x:c r="G22" s="33"/>
      <x:c r="H22" s="33"/>
      <x:c r="I22" s="14" t="str">
        <x:v>{'section': 'database'}</x:v>
      </x:c>
      <x:c r="J22" s="2"/>
      <x:c r="K22" s="2"/>
      <x:c r="L22" s="33"/>
      <x:c r="M22" s="2"/>
    </x:row>
    <x:row r="23" ht="34" customHeight="1">
      <x:c r="A23" s="2"/>
      <x:c r="B23" s="2" t="n">
        <x:v>1</x:v>
      </x:c>
      <x:c r="C23" s="2" t="str">
        <x:v>    Result</x:v>
      </x:c>
      <x:c r="D23" s="33"/>
      <x:c r="E23" s="11"/>
      <x:c r="F23" s="11"/>
      <x:c r="G23" s="33"/>
      <x:c r="H23" s="33"/>
      <x:c r="I23" s="14" t="str">
        <x:v>Pool limit 12. Median query 80ms; p95 900ms. Duplicate account lookups appear per request.</x:v>
      </x:c>
      <x:c r="J23" s="2"/>
      <x:c r="K23" s="2"/>
      <x:c r="L23" s="33"/>
      <x:c r="M23" s="2"/>
    </x:row>
    <x:row r="24" ht="24" customHeight="1">
      <x:c r="A24" s="24"/>
      <x:c r="B24" s="24" t="n">
        <x:v>1</x:v>
      </x:c>
      <x:c r="C24" s="24" t="str">
        <x:v>Tool · inspect_service</x:v>
      </x:c>
      <x:c r="D24" s="34"/>
      <x:c r="E24" s="30"/>
      <x:c r="F24" s="30"/>
      <x:c r="G24" s="34"/>
      <x:c r="H24" s="34"/>
      <x:c r="I24" s="27"/>
      <x:c r="J24" s="24"/>
      <x:c r="K24" s="24" t="str">
        <x:v>ok</x:v>
      </x:c>
      <x:c r="L24" s="34"/>
      <x:c r="M24" s="24" t="str">
        <x:v>01a0c40f-8b09-7b21-b7ec-964170dbec8d</x:v>
      </x:c>
    </x:row>
    <x:row r="25" ht="24" customHeight="1">
      <x:c r="A25" s="2"/>
      <x:c r="B25" s="2" t="n">
        <x:v>1</x:v>
      </x:c>
      <x:c r="C25" s="2" t="str">
        <x:v>    Arguments</x:v>
      </x:c>
      <x:c r="D25" s="33"/>
      <x:c r="E25" s="11"/>
      <x:c r="F25" s="11"/>
      <x:c r="G25" s="33"/>
      <x:c r="H25" s="33"/>
      <x:c r="I25" s="14" t="str">
        <x:v>{'section': 'constraints'}</x:v>
      </x:c>
      <x:c r="J25" s="2"/>
      <x:c r="K25" s="2"/>
      <x:c r="L25" s="33"/>
      <x:c r="M25" s="2"/>
    </x:row>
    <x:row r="26" ht="34" customHeight="1">
      <x:c r="A26" s="2"/>
      <x:c r="B26" s="2" t="n">
        <x:v>1</x:v>
      </x:c>
      <x:c r="C26" s="2" t="str">
        <x:v>    Result</x:v>
      </x:c>
      <x:c r="D26" s="33"/>
      <x:c r="E26" s="11"/>
      <x:c r="F26" s="11"/>
      <x:c r="G26" s="33"/>
      <x:c r="H26" s="33"/>
      <x:c r="I26" s="14" t="str">
        <x:v>Target p95 under 500ms. No additional database nodes. Cache lifetime must not exceed 60s.</x:v>
      </x:c>
      <x:c r="J26" s="2"/>
      <x:c r="K26" s="2"/>
      <x:c r="L26" s="33"/>
      <x:c r="M26" s="2"/>
    </x:row>
    <x:row r="27" ht="24" customHeight="1">
      <x:c r="A27" s="21" t="str">
        <x:v>R2</x:v>
      </x:c>
      <x:c r="B27" s="21" t="n">
        <x:v>1</x:v>
      </x:c>
      <x:c r="C27" s="21" t="str">
        <x:v>LLM request</x:v>
      </x:c>
      <x:c r="D27" s="32" t="n">
        <x:v>2302</x:v>
      </x:c>
      <x:c r="E27" s="29"/>
      <x:c r="F27" s="29"/>
      <x:c r="G27" s="32"/>
      <x:c r="H27" s="32"/>
      <x:c r="I27" s="26"/>
      <x:c r="J27" s="21" t="str">
        <x:v>gpt-5.6-luna</x:v>
      </x:c>
      <x:c r="K27" s="21"/>
      <x:c r="L27" s="32"/>
      <x:c r="M27" s="21" t="str">
        <x:v>01a0c40f-8b0f-7691-ae3a-23e8633e8efb</x:v>
      </x:c>
    </x:row>
    <x:row r="28" ht="24" customHeight="1">
      <x:c r="A28" s="2" t="str">
        <x:v>R2</x:v>
      </x:c>
      <x:c r="B28" s="2" t="n">
        <x:v>1</x:v>
      </x:c>
      <x:c r="C28" s="22" t="str">
        <x:v>Conversation history · cache read</x:v>
      </x:c>
      <x:c r="D28" s="33" t="n">
        <x:v>2099</x:v>
      </x:c>
      <x:c r="E28" s="11" t="n">
        <x:f>IF(AND(ISNUMBER(F28),ISNUMBER('Reference data'!$B$3)),F28*'Reference data'!$B$3,"Unknown")</x:f>
        <x:v>0.000036631748</x:v>
      </x:c>
      <x:c r="F28" s="11" t="n">
        <x:f>IF(D28=0,0,IF(ISNUMBER('Reference data'!C17),D28*'Reference data'!C17/1000000,"Unknown"))</x:f>
        <x:v>0.00004198</x:v>
      </x:c>
      <x:c r="G28" s="33" t="n">
        <x:f>IF(ISNUMBER(E28),ROUND(E28*'Reference data'!$B$2,0),"Unknown")</x:f>
        <x:v>4</x:v>
      </x:c>
      <x:c r="H28" s="33" t="n">
        <x:f>IF(ISNUMBER(F28),ROUND(F28*'Reference data'!$B$2,0),"Unknown")</x:f>
        <x:v>4</x:v>
      </x:c>
      <x:c r="I28" s="14"/>
      <x:c r="J28" s="2"/>
      <x:c r="K28" s="2"/>
      <x:c r="L28" s="33"/>
      <x:c r="M28" s="2"/>
    </x:row>
    <x:row r="29" ht="24" customHeight="1">
      <x:c r="A29" s="2" t="str">
        <x:v>R2</x:v>
      </x:c>
      <x:c r="B29" s="2" t="n">
        <x:v>1</x:v>
      </x:c>
      <x:c r="C29" s="22" t="str">
        <x:v>Fresh input</x:v>
      </x:c>
      <x:c r="D29" s="33" t="n">
        <x:v>3</x:v>
      </x:c>
      <x:c r="E29" s="11" t="n">
        <x:f>IF(AND(ISNUMBER(F29),ISNUMBER('Reference data'!$B$3)),F29*'Reference data'!$B$3,"Unknown")</x:f>
        <x:v>5.235600000000001e-7</x:v>
      </x:c>
      <x:c r="F29" s="11" t="n">
        <x:f>IF(D29=0,0,IF(ISNUMBER('Reference data'!B17),D29*'Reference data'!B17/1000000,"Unknown"))</x:f>
        <x:v>6.000000000000001e-7</x:v>
      </x:c>
      <x:c r="G29" s="33" t="n">
        <x:f>IF(ISNUMBER(E29),ROUND(E29*'Reference data'!$B$2,0),"Unknown")</x:f>
        <x:v>0</x:v>
      </x:c>
      <x:c r="H29" s="33" t="n">
        <x:f>IF(ISNUMBER(F29),ROUND(F29*'Reference data'!$B$2,0),"Unknown")</x:f>
        <x:v>0</x:v>
      </x:c>
      <x:c r="I29" s="14"/>
      <x:c r="J29" s="2"/>
      <x:c r="K29" s="2"/>
      <x:c r="L29" s="33"/>
      <x:c r="M29" s="2"/>
    </x:row>
    <x:row r="30" ht="73" customHeight="1">
      <x:c r="A30" s="2" t="str">
        <x:v>R2</x:v>
      </x:c>
      <x:c r="B30" s="2" t="n">
        <x:v>1</x:v>
      </x:c>
      <x:c r="C30" s="2" t="str">
        <x:v>    Tool result</x:v>
      </x:c>
      <x:c r="D30" s="33"/>
      <x:c r="E30" s="11"/>
      <x:c r="F30" s="11"/>
      <x:c r="G30" s="33"/>
      <x:c r="H30" s="33"/>
      <x:c r="I30" s="14" t="str">
        <x:v>Peak 240 requests/s; p95 1.8s; 12 workers. Latency rises during database bursts.
Pool limit 12. Median query 80ms; p95 900ms. Duplicate account lookups appear per request.
Target p95 under 500ms. No additional database nodes. Cache lifetime must not exceed 60s.</x:v>
      </x:c>
      <x:c r="J30" s="2"/>
      <x:c r="K30" s="2"/>
      <x:c r="L30" s="33"/>
      <x:c r="M30" s="2"/>
    </x:row>
    <x:row r="31" ht="24" customHeight="1">
      <x:c r="A31" s="2" t="str">
        <x:v>R2</x:v>
      </x:c>
      <x:c r="B31" s="2" t="n">
        <x:v>1</x:v>
      </x:c>
      <x:c r="C31" s="22" t="str">
        <x:v>Cache write</x:v>
      </x:c>
      <x:c r="D31" s="33" t="n">
        <x:v>200</x:v>
      </x:c>
      <x:c r="E31" s="11" t="n">
        <x:f>IF(AND(ISNUMBER(F31),ISNUMBER('Reference data'!$B$3)),F31*'Reference data'!$B$3,"Unknown")</x:f>
        <x:v>0.00004363000000000001</x:v>
      </x:c>
      <x:c r="F31" s="11" t="n">
        <x:f>IF(D31=0,0,IF(ISNUMBER('Reference data'!D17),D31*'Reference data'!D17/1000000,"Unknown"))</x:f>
        <x:v>0.00005</x:v>
      </x:c>
      <x:c r="G31" s="33" t="n">
        <x:f>IF(ISNUMBER(E31),ROUND(E31*'Reference data'!$B$2,0),"Unknown")</x:f>
        <x:v>4</x:v>
      </x:c>
      <x:c r="H31" s="33" t="n">
        <x:f>IF(ISNUMBER(F31),ROUND(F31*'Reference data'!$B$2,0),"Unknown")</x:f>
        <x:v>5</x:v>
      </x:c>
      <x:c r="I31" s="14"/>
      <x:c r="J31" s="2"/>
      <x:c r="K31" s="2"/>
      <x:c r="L31" s="33"/>
      <x:c r="M31" s="2"/>
    </x:row>
    <x:row r="32" ht="24" customHeight="1">
      <x:c r="A32" s="2" t="str">
        <x:v>R2</x:v>
      </x:c>
      <x:c r="B32" s="2" t="n">
        <x:v>1</x:v>
      </x:c>
      <x:c r="C32" s="2" t="str">
        <x:v>Context · added / total</x:v>
      </x:c>
      <x:c r="D32" s="33"/>
      <x:c r="E32" s="11"/>
      <x:c r="F32" s="11"/>
      <x:c r="G32" s="33"/>
      <x:c r="H32" s="33"/>
      <x:c r="I32" s="14"/>
      <x:c r="J32" s="2"/>
      <x:c r="K32" s="2"/>
      <x:c r="L32" s="33"/>
      <x:c r="M32" s="2"/>
    </x:row>
    <x:row r="33" ht="24" customHeight="1">
      <x:c r="A33" s="21" t="str">
        <x:v>R2</x:v>
      </x:c>
      <x:c r="B33" s="21" t="n">
        <x:v>1</x:v>
      </x:c>
      <x:c r="C33" s="21" t="str">
        <x:v>LLM response</x:v>
      </x:c>
      <x:c r="D33" s="32" t="n">
        <x:v>125</x:v>
      </x:c>
      <x:c r="E33" s="29"/>
      <x:c r="F33" s="29"/>
      <x:c r="G33" s="32"/>
      <x:c r="H33" s="32"/>
      <x:c r="I33" s="26"/>
      <x:c r="J33" s="21"/>
      <x:c r="K33" s="21"/>
      <x:c r="L33" s="32"/>
      <x:c r="M33" s="21"/>
    </x:row>
    <x:row r="34" ht="24" customHeight="1">
      <x:c r="A34" s="2" t="str">
        <x:v>R2</x:v>
      </x:c>
      <x:c r="B34" s="2" t="n">
        <x:v>1</x:v>
      </x:c>
      <x:c r="C34" s="22" t="str">
        <x:v>Reasoning</x:v>
      </x:c>
      <x:c r="D34" s="33" t="n">
        <x:v>60</x:v>
      </x:c>
      <x:c r="E34" s="11" t="n">
        <x:f>IF(AND(ISNUMBER(F34),ISNUMBER('Reference data'!$B$3)),F34*'Reference data'!$B$3,"Unknown")</x:f>
        <x:v>0.0000628272</x:v>
      </x:c>
      <x:c r="F34" s="11" t="n">
        <x:f>IF(D34=0,0,IF(ISNUMBER('Reference data'!F17),D34*'Reference data'!F17/1000000,"Unknown"))</x:f>
        <x:v>0.000072</x:v>
      </x:c>
      <x:c r="G34" s="33" t="n">
        <x:f>IF(ISNUMBER(E34),ROUND(E34*'Reference data'!$B$2,0),"Unknown")</x:f>
        <x:v>6</x:v>
      </x:c>
      <x:c r="H34" s="33" t="n">
        <x:f>IF(ISNUMBER(F34),ROUND(F34*'Reference data'!$B$2,0),"Unknown")</x:f>
        <x:v>7</x:v>
      </x:c>
      <x:c r="I34" s="14"/>
      <x:c r="J34" s="2"/>
      <x:c r="K34" s="2"/>
      <x:c r="L34" s="33"/>
      <x:c r="M34" s="2"/>
    </x:row>
    <x:row r="35" ht="24" customHeight="1">
      <x:c r="A35" s="2" t="str">
        <x:v>R2</x:v>
      </x:c>
      <x:c r="B35" s="2" t="n">
        <x:v>1</x:v>
      </x:c>
      <x:c r="C35" s="22" t="str">
        <x:v>Output</x:v>
      </x:c>
      <x:c r="D35" s="33" t="n">
        <x:v>65</x:v>
      </x:c>
      <x:c r="E35" s="11" t="n">
        <x:f>IF(AND(ISNUMBER(F35),ISNUMBER('Reference data'!$B$3)),F35*'Reference data'!$B$3,"Unknown")</x:f>
        <x:v>0.0000680628</x:v>
      </x:c>
      <x:c r="F35" s="11" t="n">
        <x:f>IF(D35=0,0,IF(ISNUMBER('Reference data'!E17),D35*'Reference data'!E17/1000000,"Unknown"))</x:f>
        <x:v>0.000078</x:v>
      </x:c>
      <x:c r="G35" s="33" t="n">
        <x:f>IF(ISNUMBER(E35),ROUND(E35*'Reference data'!$B$2,0),"Unknown")</x:f>
        <x:v>7</x:v>
      </x:c>
      <x:c r="H35" s="33" t="n">
        <x:f>IF(ISNUMBER(F35),ROUND(F35*'Reference data'!$B$2,0),"Unknown")</x:f>
        <x:v>8</x:v>
      </x:c>
      <x:c r="I35" s="14"/>
      <x:c r="J35" s="2"/>
      <x:c r="K35" s="2"/>
      <x:c r="L35" s="33"/>
      <x:c r="M35" s="2"/>
    </x:row>
    <x:row r="36" ht="437" customHeight="1">
      <x:c r="A36" s="2" t="str">
        <x:v>R2</x:v>
      </x:c>
      <x:c r="B36" s="2" t="n">
        <x:v>1</x:v>
      </x:c>
      <x:c r="C36" s="2" t="str">
        <x:v>    Output content</x:v>
      </x:c>
      <x:c r="D36" s="33"/>
      <x:c r="E36" s="11"/>
      <x:c r="F36" s="11"/>
      <x:c r="G36" s="33"/>
      <x:c r="H36" s="33"/>
      <x:c r="I36" s="14" t="str">
        <x:v>[{"id":"rs_07835a672e701138006ab12ae4cda887d281467f0d49571da1","summary":[],"type":"reasoning","content":[],"index":0,"encrypted_content":"gAAAAABqsSrmMSpQkiMjEyhLEfKRvodDhEDxJeTlRaSyjrFeqUGfOjFlyjIlLlKEyspmnrUQnujui4rwceSx8gz7iJMkATmbqX6hhJoY59dXahEkydQUwHMsbg8rfAuCBgRBMkh5OF1zGEAmOUdqIv3AX-lV5sZKy1gr---T-UxHDBulGoSGartluwqBV3n2XQJybeCIoKwIZh050MHXd7ajvpJ2NgU3nWXKQZnvd0AZPW8zK_WJzxuPNm6q09SvXjhGiBFrhJZW78GmQ1rBBV2beQ2YUja6WCxzvxPI-8Apsbir-MClNPvY694P2R2j_7n34et5c8_OjLvHoxCSQ287EFB70dZcekap8UTNzfAd4FuJpB9dyziL45jnCf9uNiYJnxbaw99VMcwTT0W6Q9khhUCjcwTpSmqQfria9ulOPfivfHR3aiW3IBZcdjk8B1S9w_BfamM7Rt5zKbwlYqzCrbjL-pL7Kdpfq1JSV3evs-anFMsX9H5VlU_bfhLtWBUDzUadYwurX4nR3mNfC4QfgLoWfspErQ0OHIVPtcLBdxrKKo0zE91y1K-Pu7EWI99rIjv-k7CCZM0OkcylksA_lhTmal_fH_SpYtCB5OlJ0SdxJZ91uKIbJeo8NqRioWeIlgrYF4t8OnagabVUPFCx0vw3TX8ZjEZ5lWXgVi0fTUfzeDRaY75e-czO2qqixLWFB63K_dv1G7H2TfVSvJLu4o5aPNqguucvNx2RzS4nRQ0s7Amvr1o8RYTcoLsE57FSy3Nkzz4RdMGqiGcuqq2yqiO31Vt1F9ZOmDgkhflKgb7f7_QWvMcsdufRhOsBoR6K5vPUVNr4lkFCUqydM_Qq07ZvQ8ItbFNPiUf-k7dHKFoPg8mhZZDZ2rVQkZN-Yjbny_mhhYdpWrkHO_pQwbgaI8kJhE4J-UuYkvZT_ZyewwM-73AzOorY3U4Ns9s9GIA0Z9O1WljD4x3dnqmgzl5MopVFG6cunmt-VEkd1olpkiLjtn3iQ10AdnMIAc3a6tFeWZ5wUunoLQDkJvTN1jeBQU-OuNv_MCY_sJIOr9W7wXdioYale1MybibtzM2ggJaklbPppO4Y24EDcPibAeEM07dPy0I6skqCQ6p_pkqwKjsqR8pGq0rARnHcK2C6SFr2t6i-aN7S55cCxTwNsUv8PZW2RbTOQDi7aCNFr6nZWJNr1A6uEONyilmLvswjZnLN45fiNaf82YC8URMAgs-zeZ-Pj1FLMOyMA3Wq96B3ggh1XnmAwjNEZ6fek1HjztHorcYq4rkra_cwMFJ0UF1jSljaJUopdwpWEoIEULZ3ZT3d9wWvRGpgaE9DJnvTzB2qUZke3LBM_gwINPEihLV0DGNvD13i1AaPjLs7K7xuj1AnjYKWV0wlzOtgxC697GOFrAOxqlgPzofp79--OnjzenOsAdrLcqFbNVGFLoxT9B0uHVYHn6IgpknoAu5fWHBHqmzDltSHgdge9ZUuk_fHsC9gp4MkEVN72pjwrXC-lcyi_OWo-db6qmpDRIx_v0E7wrDiJj9U2CHDmNjMeFWpTz7ZLKS_HA=="},{"type":"function_call","name":"test_plan","arguments":"{\"check\":\"load\"}","call_id":"call_vWs4ZjfQVEo081WMpHIuweQI","id":"fc_07835a672e701138006ab12ae6570887d297fa314642c98f89","index":1},{"type":"function_call","name":"test_plan","arguments":"{\"check\":\"freshness\"}","call_id":"call_EmPWpygbwpMzJHzY21rfN1aC","id":"fc_07835a672e701138006ab12ae6571c87d2b1ddab77770adab4","index":2},{"type":"function_call","name":"test_plan","arguments":"{\"check\":\"rollback\"}","call_id":"call_XOacye8IuuxWOP2K4ba6hUZd","id":"fc_07835a672e701138006ab12ae6572487d2874b34c1006dd6d2","index":3}]
{"name":"test_plan","args":{"check":"load"},"id":"call_vWs4ZjfQVEo081WMpHIuweQI","type":"tool_call"}
{"name":"test_plan","args":{"check":"freshness"},"id":"call_EmPWpygbwpMzJHzY21rfN1aC","type":"tool_call"}
{"name":"test_plan","args":{"check":"rollback"},"id":"call_XOacye8IuuxWOP2K4ba6hUZd","type":"tool_call"}</x:v>
      </x:c>
      <x:c r="J36" s="2"/>
      <x:c r="K36" s="2"/>
      <x:c r="L36" s="33"/>
      <x:c r="M36" s="2"/>
    </x:row>
    <x:row r="37" ht="24" customHeight="1">
      <x:c r="A37" s="2" t="str">
        <x:v>R2</x:v>
      </x:c>
      <x:c r="B37" s="2" t="n">
        <x:v>1</x:v>
      </x:c>
      <x:c r="C37" s="2" t="str">
        <x:v>Cache write</x:v>
      </x:c>
      <x:c r="D37" s="33"/>
      <x:c r="E37" s="11"/>
      <x:c r="F37" s="11"/>
      <x:c r="G37" s="33"/>
      <x:c r="H37" s="33"/>
      <x:c r="I37" s="14"/>
      <x:c r="J37" s="2"/>
      <x:c r="K37" s="2"/>
      <x:c r="L37" s="33"/>
      <x:c r="M37" s="2"/>
    </x:row>
    <x:row r="38" ht="24" customHeight="1">
      <x:c r="A38" s="2" t="str">
        <x:v>R2</x:v>
      </x:c>
      <x:c r="B38" s="2" t="n">
        <x:v>1</x:v>
      </x:c>
      <x:c r="C38" s="2" t="str">
        <x:v>Context · added / total</x:v>
      </x:c>
      <x:c r="D38" s="33"/>
      <x:c r="E38" s="11"/>
      <x:c r="F38" s="11"/>
      <x:c r="G38" s="33"/>
      <x:c r="H38" s="33"/>
      <x:c r="I38" s="14"/>
      <x:c r="J38" s="2"/>
      <x:c r="K38" s="2"/>
      <x:c r="L38" s="33"/>
      <x:c r="M38" s="2"/>
    </x:row>
    <x:row r="39" ht="24" customHeight="1">
      <x:c r="A39" s="21" t="str">
        <x:v>R2</x:v>
      </x:c>
      <x:c r="B39" s="21" t="n">
        <x:v>1</x:v>
      </x:c>
      <x:c r="C39" s="21" t="str">
        <x:v>Call total</x:v>
      </x:c>
      <x:c r="D39" s="32"/>
      <x:c r="E39" s="29" t="n">
        <x:f>IF(COUNT(E28,E29,E31,E34,E35)=5,SUM(E28,E29,E31,E34,E35),"Unknown")</x:f>
        <x:v>0.00021167530800000002</x:v>
      </x:c>
      <x:c r="F39" s="29" t="n">
        <x:f>IF(COUNT(F28,F29,F31,F34,F35)=5,SUM(F28,F29,F31,F34,F35),"Unknown")</x:f>
        <x:v>0.00024258</x:v>
      </x:c>
      <x:c r="G39" s="32" t="n">
        <x:f>IF(ISNUMBER(E39),ROUND(E39*'Reference data'!$B$2,0),"Unknown")</x:f>
        <x:v>21</x:v>
      </x:c>
      <x:c r="H39" s="32" t="n">
        <x:f>IF(ISNUMBER(F39),ROUND(F39*'Reference data'!$B$2,0),"Unknown")</x:f>
        <x:v>24</x:v>
      </x:c>
      <x:c r="I39" s="26"/>
      <x:c r="J39" s="21"/>
      <x:c r="K39" s="21" t="str">
        <x:v>ok</x:v>
      </x:c>
      <x:c r="L39" s="32"/>
      <x:c r="M39" s="21"/>
    </x:row>
    <x:row r="40" ht="24" customHeight="1">
      <x:c r="A40" s="24"/>
      <x:c r="B40" s="24" t="n">
        <x:v>1</x:v>
      </x:c>
      <x:c r="C40" s="24" t="str">
        <x:v>Tool · test_plan</x:v>
      </x:c>
      <x:c r="D40" s="34"/>
      <x:c r="E40" s="30"/>
      <x:c r="F40" s="30"/>
      <x:c r="G40" s="34"/>
      <x:c r="H40" s="34"/>
      <x:c r="I40" s="27"/>
      <x:c r="J40" s="24"/>
      <x:c r="K40" s="24" t="str">
        <x:v>ok</x:v>
      </x:c>
      <x:c r="L40" s="34"/>
      <x:c r="M40" s="24" t="str">
        <x:v>01a0c40f-947b-74f1-8530-53f64142199c</x:v>
      </x:c>
    </x:row>
    <x:row r="41" ht="24" customHeight="1">
      <x:c r="A41" s="2"/>
      <x:c r="B41" s="2" t="n">
        <x:v>1</x:v>
      </x:c>
      <x:c r="C41" s="2" t="str">
        <x:v>    Arguments</x:v>
      </x:c>
      <x:c r="D41" s="33"/>
      <x:c r="E41" s="11"/>
      <x:c r="F41" s="11"/>
      <x:c r="G41" s="33"/>
      <x:c r="H41" s="33"/>
      <x:c r="I41" s="14" t="str">
        <x:v>{'check': 'load'}</x:v>
      </x:c>
      <x:c r="J41" s="2"/>
      <x:c r="K41" s="2"/>
      <x:c r="L41" s="33"/>
      <x:c r="M41" s="2"/>
    </x:row>
    <x:row r="42" ht="34" customHeight="1">
      <x:c r="A42" s="2"/>
      <x:c r="B42" s="2" t="n">
        <x:v>1</x:v>
      </x:c>
      <x:c r="C42" s="2" t="str">
        <x:v>    Result</x:v>
      </x:c>
      <x:c r="D42" s="33"/>
      <x:c r="E42" s="11"/>
      <x:c r="F42" s="11"/>
      <x:c r="G42" s="33"/>
      <x:c r="H42" s="33"/>
      <x:c r="I42" s="14" t="str">
        <x:v>PASS: deduplicated lookups plus 30s cache yield p95 410ms at 240 requests/s; pool occupancy 65%.</x:v>
      </x:c>
      <x:c r="J42" s="2"/>
      <x:c r="K42" s="2"/>
      <x:c r="L42" s="33"/>
      <x:c r="M42" s="2"/>
    </x:row>
    <x:row r="43" ht="24" customHeight="1">
      <x:c r="A43" s="24"/>
      <x:c r="B43" s="24" t="n">
        <x:v>1</x:v>
      </x:c>
      <x:c r="C43" s="24" t="str">
        <x:v>Tool · test_plan</x:v>
      </x:c>
      <x:c r="D43" s="34"/>
      <x:c r="E43" s="30"/>
      <x:c r="F43" s="30"/>
      <x:c r="G43" s="34"/>
      <x:c r="H43" s="34"/>
      <x:c r="I43" s="27"/>
      <x:c r="J43" s="24"/>
      <x:c r="K43" s="24" t="str">
        <x:v>ok</x:v>
      </x:c>
      <x:c r="L43" s="34"/>
      <x:c r="M43" s="24" t="str">
        <x:v>01a0c40f-947b-74f1-8530-54042ec5dad3</x:v>
      </x:c>
    </x:row>
    <x:row r="44" ht="24" customHeight="1">
      <x:c r="A44" s="2"/>
      <x:c r="B44" s="2" t="n">
        <x:v>1</x:v>
      </x:c>
      <x:c r="C44" s="2" t="str">
        <x:v>    Arguments</x:v>
      </x:c>
      <x:c r="D44" s="33"/>
      <x:c r="E44" s="11"/>
      <x:c r="F44" s="11"/>
      <x:c r="G44" s="33"/>
      <x:c r="H44" s="33"/>
      <x:c r="I44" s="14" t="str">
        <x:v>{'check': 'freshness'}</x:v>
      </x:c>
      <x:c r="J44" s="2"/>
      <x:c r="K44" s="2"/>
      <x:c r="L44" s="33"/>
      <x:c r="M44" s="2"/>
    </x:row>
    <x:row r="45" ht="24" customHeight="1">
      <x:c r="A45" s="2"/>
      <x:c r="B45" s="2" t="n">
        <x:v>1</x:v>
      </x:c>
      <x:c r="C45" s="2" t="str">
        <x:v>    Result</x:v>
      </x:c>
      <x:c r="D45" s="33"/>
      <x:c r="E45" s="11"/>
      <x:c r="F45" s="11"/>
      <x:c r="G45" s="33"/>
      <x:c r="H45" s="33"/>
      <x:c r="I45" s="14" t="str">
        <x:v>PASS: account changes invalidate cached values; maximum fallback age is 30s.</x:v>
      </x:c>
      <x:c r="J45" s="2"/>
      <x:c r="K45" s="2"/>
      <x:c r="L45" s="33"/>
      <x:c r="M45" s="2"/>
    </x:row>
    <x:row r="46" ht="24" customHeight="1">
      <x:c r="A46" s="24"/>
      <x:c r="B46" s="24" t="n">
        <x:v>1</x:v>
      </x:c>
      <x:c r="C46" s="24" t="str">
        <x:v>Tool · test_plan</x:v>
      </x:c>
      <x:c r="D46" s="34"/>
      <x:c r="E46" s="30"/>
      <x:c r="F46" s="30"/>
      <x:c r="G46" s="34"/>
      <x:c r="H46" s="34"/>
      <x:c r="I46" s="27"/>
      <x:c r="J46" s="24"/>
      <x:c r="K46" s="24" t="str">
        <x:v>ok</x:v>
      </x:c>
      <x:c r="L46" s="34"/>
      <x:c r="M46" s="24" t="str">
        <x:v>01a0c40f-947c-7391-8282-6cf5df38557e</x:v>
      </x:c>
    </x:row>
    <x:row r="47" ht="24" customHeight="1">
      <x:c r="A47" s="2"/>
      <x:c r="B47" s="2" t="n">
        <x:v>1</x:v>
      </x:c>
      <x:c r="C47" s="2" t="str">
        <x:v>    Arguments</x:v>
      </x:c>
      <x:c r="D47" s="33"/>
      <x:c r="E47" s="11"/>
      <x:c r="F47" s="11"/>
      <x:c r="G47" s="33"/>
      <x:c r="H47" s="33"/>
      <x:c r="I47" s="14" t="str">
        <x:v>{'check': 'rollback'}</x:v>
      </x:c>
      <x:c r="J47" s="2"/>
      <x:c r="K47" s="2"/>
      <x:c r="L47" s="33"/>
      <x:c r="M47" s="2"/>
    </x:row>
    <x:row r="48" ht="24" customHeight="1">
      <x:c r="A48" s="2"/>
      <x:c r="B48" s="2" t="n">
        <x:v>1</x:v>
      </x:c>
      <x:c r="C48" s="2" t="str">
        <x:v>    Result</x:v>
      </x:c>
      <x:c r="D48" s="33"/>
      <x:c r="E48" s="11"/>
      <x:c r="F48" s="11"/>
      <x:c r="G48" s="33"/>
      <x:c r="H48" s="33"/>
      <x:c r="I48" s="14" t="str">
        <x:v>PASS: feature flag restores original lookup path; no schema migration required.</x:v>
      </x:c>
      <x:c r="J48" s="2"/>
      <x:c r="K48" s="2"/>
      <x:c r="L48" s="33"/>
      <x:c r="M48" s="2"/>
    </x:row>
    <x:row r="49" ht="24" customHeight="1">
      <x:c r="A49" s="21" t="str">
        <x:v>R3</x:v>
      </x:c>
      <x:c r="B49" s="21" t="n">
        <x:v>1</x:v>
      </x:c>
      <x:c r="C49" s="21" t="str">
        <x:v>LLM request</x:v>
      </x:c>
      <x:c r="D49" s="32" t="n">
        <x:v>2515</x:v>
      </x:c>
      <x:c r="E49" s="29"/>
      <x:c r="F49" s="29"/>
      <x:c r="G49" s="32"/>
      <x:c r="H49" s="32"/>
      <x:c r="I49" s="26"/>
      <x:c r="J49" s="21" t="str">
        <x:v>gpt-5.6-luna</x:v>
      </x:c>
      <x:c r="K49" s="21"/>
      <x:c r="L49" s="32"/>
      <x:c r="M49" s="21" t="str">
        <x:v>01a0c40f-9482-7181-a4c0-1ff93cae7e90</x:v>
      </x:c>
    </x:row>
    <x:row r="50" ht="24" customHeight="1">
      <x:c r="A50" s="2" t="str">
        <x:v>R3</x:v>
      </x:c>
      <x:c r="B50" s="2" t="n">
        <x:v>1</x:v>
      </x:c>
      <x:c r="C50" s="22" t="str">
        <x:v>Conversation history · cache read</x:v>
      </x:c>
      <x:c r="D50" s="33" t="n">
        <x:v>2299</x:v>
      </x:c>
      <x:c r="E50" s="11" t="n">
        <x:f>IF(AND(ISNUMBER(F50),ISNUMBER('Reference data'!$B$3)),F50*'Reference data'!$B$3,"Unknown")</x:f>
        <x:v>0.000040122148000000005</x:v>
      </x:c>
      <x:c r="F50" s="11" t="n">
        <x:f>IF(D50=0,0,IF(ISNUMBER('Reference data'!C17),D50*'Reference data'!C17/1000000,"Unknown"))</x:f>
        <x:v>0.000045980000000000004</x:v>
      </x:c>
      <x:c r="G50" s="33" t="n">
        <x:f>IF(ISNUMBER(E50),ROUND(E50*'Reference data'!$B$2,0),"Unknown")</x:f>
        <x:v>4</x:v>
      </x:c>
      <x:c r="H50" s="33" t="n">
        <x:f>IF(ISNUMBER(F50),ROUND(F50*'Reference data'!$B$2,0),"Unknown")</x:f>
        <x:v>5</x:v>
      </x:c>
      <x:c r="I50" s="14"/>
      <x:c r="J50" s="2"/>
      <x:c r="K50" s="2"/>
      <x:c r="L50" s="33"/>
      <x:c r="M50" s="2"/>
    </x:row>
    <x:row r="51" ht="24" customHeight="1">
      <x:c r="A51" s="2" t="str">
        <x:v>R3</x:v>
      </x:c>
      <x:c r="B51" s="2" t="n">
        <x:v>1</x:v>
      </x:c>
      <x:c r="C51" s="22" t="str">
        <x:v>Fresh input</x:v>
      </x:c>
      <x:c r="D51" s="33" t="n">
        <x:v>3</x:v>
      </x:c>
      <x:c r="E51" s="11" t="n">
        <x:f>IF(AND(ISNUMBER(F51),ISNUMBER('Reference data'!$B$3)),F51*'Reference data'!$B$3,"Unknown")</x:f>
        <x:v>5.235600000000001e-7</x:v>
      </x:c>
      <x:c r="F51" s="11" t="n">
        <x:f>IF(D51=0,0,IF(ISNUMBER('Reference data'!B17),D51*'Reference data'!B17/1000000,"Unknown"))</x:f>
        <x:v>6.000000000000001e-7</x:v>
      </x:c>
      <x:c r="G51" s="33" t="n">
        <x:f>IF(ISNUMBER(E51),ROUND(E51*'Reference data'!$B$2,0),"Unknown")</x:f>
        <x:v>0</x:v>
      </x:c>
      <x:c r="H51" s="33" t="n">
        <x:f>IF(ISNUMBER(F51),ROUND(F51*'Reference data'!$B$2,0),"Unknown")</x:f>
        <x:v>0</x:v>
      </x:c>
      <x:c r="I51" s="14"/>
      <x:c r="J51" s="2"/>
      <x:c r="K51" s="2"/>
      <x:c r="L51" s="33"/>
      <x:c r="M51" s="2"/>
    </x:row>
    <x:row r="52" ht="60" customHeight="1">
      <x:c r="A52" s="2" t="str">
        <x:v>R3</x:v>
      </x:c>
      <x:c r="B52" s="2" t="n">
        <x:v>1</x:v>
      </x:c>
      <x:c r="C52" s="2" t="str">
        <x:v>    Tool result</x:v>
      </x:c>
      <x:c r="D52" s="33"/>
      <x:c r="E52" s="11"/>
      <x:c r="F52" s="11"/>
      <x:c r="G52" s="33"/>
      <x:c r="H52" s="33"/>
      <x:c r="I52" s="14" t="str">
        <x:v>PASS: deduplicated lookups plus 30s cache yield p95 410ms at 240 requests/s; pool occupancy 65%.
PASS: account changes invalidate cached values; maximum fallback age is 30s.
PASS: feature flag restores original lookup path; no schema migration required.</x:v>
      </x:c>
      <x:c r="J52" s="2"/>
      <x:c r="K52" s="2"/>
      <x:c r="L52" s="33"/>
      <x:c r="M52" s="2"/>
    </x:row>
    <x:row r="53" ht="24" customHeight="1">
      <x:c r="A53" s="2" t="str">
        <x:v>R3</x:v>
      </x:c>
      <x:c r="B53" s="2" t="n">
        <x:v>1</x:v>
      </x:c>
      <x:c r="C53" s="22" t="str">
        <x:v>Cache write</x:v>
      </x:c>
      <x:c r="D53" s="33" t="n">
        <x:v>213</x:v>
      </x:c>
      <x:c r="E53" s="11" t="n">
        <x:f>IF(AND(ISNUMBER(F53),ISNUMBER('Reference data'!$B$3)),F53*'Reference data'!$B$3,"Unknown")</x:f>
        <x:v>0.00004646595</x:v>
      </x:c>
      <x:c r="F53" s="11" t="n">
        <x:f>IF(D53=0,0,IF(ISNUMBER('Reference data'!D17),D53*'Reference data'!D17/1000000,"Unknown"))</x:f>
        <x:v>0.00005325</x:v>
      </x:c>
      <x:c r="G53" s="33" t="n">
        <x:f>IF(ISNUMBER(E53),ROUND(E53*'Reference data'!$B$2,0),"Unknown")</x:f>
        <x:v>5</x:v>
      </x:c>
      <x:c r="H53" s="33" t="n">
        <x:f>IF(ISNUMBER(F53),ROUND(F53*'Reference data'!$B$2,0),"Unknown")</x:f>
        <x:v>5</x:v>
      </x:c>
      <x:c r="I53" s="14"/>
      <x:c r="J53" s="2"/>
      <x:c r="K53" s="2"/>
      <x:c r="L53" s="33"/>
      <x:c r="M53" s="2"/>
    </x:row>
    <x:row r="54" ht="24" customHeight="1">
      <x:c r="A54" s="2" t="str">
        <x:v>R3</x:v>
      </x:c>
      <x:c r="B54" s="2" t="n">
        <x:v>1</x:v>
      </x:c>
      <x:c r="C54" s="2" t="str">
        <x:v>Context · added / total</x:v>
      </x:c>
      <x:c r="D54" s="33"/>
      <x:c r="E54" s="11"/>
      <x:c r="F54" s="11"/>
      <x:c r="G54" s="33"/>
      <x:c r="H54" s="33"/>
      <x:c r="I54" s="14"/>
      <x:c r="J54" s="2"/>
      <x:c r="K54" s="2"/>
      <x:c r="L54" s="33"/>
      <x:c r="M54" s="2"/>
    </x:row>
    <x:row r="55" ht="24" customHeight="1">
      <x:c r="A55" s="21" t="str">
        <x:v>R3</x:v>
      </x:c>
      <x:c r="B55" s="21" t="n">
        <x:v>1</x:v>
      </x:c>
      <x:c r="C55" s="21" t="str">
        <x:v>LLM response</x:v>
      </x:c>
      <x:c r="D55" s="32" t="n">
        <x:v>316</x:v>
      </x:c>
      <x:c r="E55" s="29"/>
      <x:c r="F55" s="29"/>
      <x:c r="G55" s="32"/>
      <x:c r="H55" s="32"/>
      <x:c r="I55" s="26"/>
      <x:c r="J55" s="21"/>
      <x:c r="K55" s="21"/>
      <x:c r="L55" s="32"/>
      <x:c r="M55" s="21"/>
    </x:row>
    <x:row r="56" ht="24" customHeight="1">
      <x:c r="A56" s="2" t="str">
        <x:v>R3</x:v>
      </x:c>
      <x:c r="B56" s="2" t="n">
        <x:v>1</x:v>
      </x:c>
      <x:c r="C56" s="22" t="str">
        <x:v>Output</x:v>
      </x:c>
      <x:c r="D56" s="33" t="n">
        <x:v>316</x:v>
      </x:c>
      <x:c r="E56" s="11" t="n">
        <x:f>IF(AND(ISNUMBER(F56),ISNUMBER('Reference data'!$B$3)),F56*'Reference data'!$B$3,"Unknown")</x:f>
        <x:v>0.00033088992</x:v>
      </x:c>
      <x:c r="F56" s="11" t="n">
        <x:f>IF(D56=0,0,IF(ISNUMBER('Reference data'!E17),D56*'Reference data'!E17/1000000,"Unknown"))</x:f>
        <x:v>0.0003792</x:v>
      </x:c>
      <x:c r="G56" s="33" t="n">
        <x:f>IF(ISNUMBER(E56),ROUND(E56*'Reference data'!$B$2,0),"Unknown")</x:f>
        <x:v>33</x:v>
      </x:c>
      <x:c r="H56" s="33" t="n">
        <x:f>IF(ISNUMBER(F56),ROUND(F56*'Reference data'!$B$2,0),"Unknown")</x:f>
        <x:v>38</x:v>
      </x:c>
      <x:c r="I56" s="14"/>
      <x:c r="J56" s="2"/>
      <x:c r="K56" s="2"/>
      <x:c r="L56" s="33"/>
      <x:c r="M56" s="2"/>
    </x:row>
    <x:row r="57" ht="242" customHeight="1">
      <x:c r="A57" s="2" t="str">
        <x:v>R3</x:v>
      </x:c>
      <x:c r="B57" s="2" t="n">
        <x:v>1</x:v>
      </x:c>
      <x:c r="C57" s="2" t="str">
        <x:v>    Output content</x:v>
      </x:c>
      <x:c r="D57" s="33"/>
      <x:c r="E57" s="11"/>
      <x:c r="F57" s="11"/>
      <x:c r="G57" s="33"/>
      <x:c r="H57" s="33"/>
      <x:c r="I57" s="14" t="str">
        <x:v>[{"type":"text","text":"## Findings\n\n- **Traffic:** Peak load is **240 requests/s** with **12 workers**; current p95 latency is **1.8s** and worsens during database bursts.\n- **Database:** Connection pool limit is **12**. Query median is **80ms**, but p95 reaches **900ms**. Requests perform duplicate account lookups.\n- **Constraints:** Reduce p95 below **500ms**, add no database nodes, and keep cache lifetime at or below **60s**.\n\n## Proposed latency plan\n\n1. **Deduplicate account lookups within each request** so repeated access uses one fetched result.\n2. Add a short-lived account cache with a **30-second TTL**.\n3. **Invalidate cached values when account data changes**.\n4. Roll out behind a feature flag, preserving the existing lookup path for immediate rollback.\n5. Monitor p50/p95/p99 latency, database query rate, pool occupancy, cache hit rate, and stale-read incidents.\n\n## Validation\n\nThe fictional plan checks passed:\n\n- **Load:** Deduplicated lookups plus a 30-second cache produce **410ms p95 at 240 requests/s**, meeting the sub-500ms target. Pool occupancy is reduced to **65%**.\n- **Freshness:** Account changes invalidate cached values, with a maximum fallback age of **30 seconds**.\n- **Rollback:** A feature flag restores the original lookup path; no schema migration is required.\n\nThis plan meets all stated constraints and provides a reversible improvement without adding database capacity.","phase":"final_answer","index":0,"id":"msg_07835a672e701138006ab12ae769ac87d286d9a72d74c423cf"}]</x:v>
      </x:c>
      <x:c r="J57" s="2"/>
      <x:c r="K57" s="2"/>
      <x:c r="L57" s="33"/>
      <x:c r="M57" s="2"/>
    </x:row>
    <x:row r="58" ht="24" customHeight="1">
      <x:c r="A58" s="2" t="str">
        <x:v>R3</x:v>
      </x:c>
      <x:c r="B58" s="2" t="n">
        <x:v>1</x:v>
      </x:c>
      <x:c r="C58" s="2" t="str">
        <x:v>Cache write</x:v>
      </x:c>
      <x:c r="D58" s="33"/>
      <x:c r="E58" s="11"/>
      <x:c r="F58" s="11"/>
      <x:c r="G58" s="33"/>
      <x:c r="H58" s="33"/>
      <x:c r="I58" s="14"/>
      <x:c r="J58" s="2"/>
      <x:c r="K58" s="2"/>
      <x:c r="L58" s="33"/>
      <x:c r="M58" s="2"/>
    </x:row>
    <x:row r="59" ht="24" customHeight="1">
      <x:c r="A59" s="2" t="str">
        <x:v>R3</x:v>
      </x:c>
      <x:c r="B59" s="2" t="n">
        <x:v>1</x:v>
      </x:c>
      <x:c r="C59" s="2" t="str">
        <x:v>Context · added / total</x:v>
      </x:c>
      <x:c r="D59" s="33"/>
      <x:c r="E59" s="11"/>
      <x:c r="F59" s="11"/>
      <x:c r="G59" s="33"/>
      <x:c r="H59" s="33"/>
      <x:c r="I59" s="14"/>
      <x:c r="J59" s="2"/>
      <x:c r="K59" s="2"/>
      <x:c r="L59" s="33"/>
      <x:c r="M59" s="2"/>
    </x:row>
    <x:row r="60" ht="24" customHeight="1">
      <x:c r="A60" s="21" t="str">
        <x:v>R3</x:v>
      </x:c>
      <x:c r="B60" s="21" t="n">
        <x:v>1</x:v>
      </x:c>
      <x:c r="C60" s="21" t="str">
        <x:v>Call total</x:v>
      </x:c>
      <x:c r="D60" s="32"/>
      <x:c r="E60" s="29" t="n">
        <x:f>IF(COUNT(E50,E51,E53,E56)=4,SUM(E50,E51,E53,E56),"Unknown")</x:f>
        <x:v>0.00041800157800000006</x:v>
      </x:c>
      <x:c r="F60" s="29" t="n">
        <x:f>IF(COUNT(F50,F51,F53,F56)=4,SUM(F50,F51,F53,F56),"Unknown")</x:f>
        <x:v>0.00047902999999999997</x:v>
      </x:c>
      <x:c r="G60" s="32" t="n">
        <x:f>IF(ISNUMBER(E60),ROUND(E60*'Reference data'!$B$2,0),"Unknown")</x:f>
        <x:v>42</x:v>
      </x:c>
      <x:c r="H60" s="32" t="n">
        <x:f>IF(ISNUMBER(F60),ROUND(F60*'Reference data'!$B$2,0),"Unknown")</x:f>
        <x:v>48</x:v>
      </x:c>
      <x:c r="I60" s="26"/>
      <x:c r="J60" s="21"/>
      <x:c r="K60" s="21" t="str">
        <x:v>ok</x:v>
      </x:c>
      <x:c r="L60" s="32"/>
      <x:c r="M60" s="21"/>
    </x:row>
  </x:sheetData>
  <x:conditionalFormatting sqref="A2:M60">
    <x:cfRule type="expression" dxfId="2" priority="1">
      <x:formula>$K2="error"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B70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48" hidden="0" customWidth="1"/>
    <x:col min="2" max="2" width="12" hidden="0" customWidth="1"/>
    <x:col min="3" max="3" width="12" hidden="0" customWidth="1"/>
    <x:col min="4" max="4" width="26" hidden="0" customWidth="1"/>
    <x:col min="5" max="5" width="18" hidden="0" customWidth="1"/>
    <x:col min="6" max="6" width="18" hidden="0" customWidth="1"/>
    <x:col min="7" max="7" width="62" hidden="0" customWidth="1"/>
    <x:col min="8" max="8" width="38" hidden="0" customWidth="1"/>
    <x:col min="9" max="9" width="3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</x:cols>
  <x:sheetData>
    <x:row r="1" ht="44" customHeight="1">
      <x:c r="A1" s="7" t="str">
        <x:v>Operation</x:v>
      </x:c>
      <x:c r="B1" s="7" t="str">
        <x:v>Depth</x:v>
      </x:c>
      <x:c r="C1" s="7" t="str">
        <x:v>Type</x:v>
      </x:c>
      <x:c r="D1" s="7" t="str">
        <x:v>Model · effort</x:v>
      </x:c>
      <x:c r="E1" s="7" t="str">
        <x:v>Status</x:v>
      </x:c>
      <x:c r="F1" s="7" t="str">
        <x:v>Input context tokens</x:v>
      </x:c>
      <x:c r="G1" s="7" t="str">
        <x:v>Description</x:v>
      </x:c>
      <x:c r="H1" s="7" t="str">
        <x:v>Span ID</x:v>
      </x:c>
      <x:c r="I1" s="7" t="str">
        <x:v>Parent ID</x:v>
      </x:c>
      <x:c r="J1" s="7" t="str">
        <x:v>Fresh input tokens</x:v>
      </x:c>
      <x:c r="K1" s="7" t="str">
        <x:v>Fresh input EUR</x:v>
      </x:c>
      <x:c r="L1" s="7" t="str">
        <x:v>Fresh input USD</x:v>
      </x:c>
      <x:c r="M1" s="7" t="str">
        <x:v>Cache read tokens</x:v>
      </x:c>
      <x:c r="N1" s="7" t="str">
        <x:v>Cache read EUR</x:v>
      </x:c>
      <x:c r="O1" s="7" t="str">
        <x:v>Cache read USD</x:v>
      </x:c>
      <x:c r="P1" s="7" t="str">
        <x:v>Cache write tokens</x:v>
      </x:c>
      <x:c r="Q1" s="7" t="str">
        <x:v>Cache write EUR</x:v>
      </x:c>
      <x:c r="R1" s="7" t="str">
        <x:v>Cache write USD</x:v>
      </x:c>
      <x:c r="S1" s="7" t="str">
        <x:v>Output (non-reasoning) tokens</x:v>
      </x:c>
      <x:c r="T1" s="7" t="str">
        <x:v>Output (non-reasoning) EUR</x:v>
      </x:c>
      <x:c r="U1" s="7" t="str">
        <x:v>Output (non-reasoning) USD</x:v>
      </x:c>
      <x:c r="V1" s="7" t="str">
        <x:v>Reasoning tokens</x:v>
      </x:c>
      <x:c r="W1" s="7" t="str">
        <x:v>Reasoning EUR</x:v>
      </x:c>
      <x:c r="X1" s="7" t="str">
        <x:v>Reasoning USD</x:v>
      </x:c>
      <x:c r="Y1" s="7" t="str">
        <x:v>Total EUR</x:v>
      </x:c>
      <x:c r="Z1" s="7" t="str">
        <x:v>Total USD</x:v>
      </x:c>
      <x:c r="AA1" s="7" t="str">
        <x:v>Projected EUR</x:v>
      </x:c>
      <x:c r="AB1" s="7" t="str">
        <x:v>Projected USD</x:v>
      </x:c>
      <x:c r="AC1" s="7" t="str">
        <x:v>Request</x:v>
      </x:c>
      <x:c r="AD1" s="7" t="str">
        <x:v>Elapsed ms</x:v>
      </x:c>
      <x:c r="AE1" s="7" t="str">
        <x:v>Accounting</x:v>
      </x:c>
    </x:row>
    <x:row r="2" ht="54" customHeight="1">
      <x:c r="A2" s="40" t="str">
        <x:v>investigation_agent</x:v>
      </x:c>
      <x:c r="B2" s="35" t="n">
        <x:v>0</x:v>
      </x:c>
      <x:c r="C2" s="35" t="str">
        <x:v>workflow</x:v>
      </x:c>
      <x:c r="D2" s="35" t="str"/>
      <x:c r="E2" s="35" t="str">
        <x:v>ok</x:v>
      </x:c>
      <x:c r="F2" s="37"/>
      <x:c r="G2" s="40" t="str">
        <x:v>Execute the investigation_agent workflow operation and pass its result to the next graph step.</x:v>
      </x:c>
      <x:c r="H2" s="35" t="str">
        <x:v>01a0c40f-8209-7370-86b4-1a7414d8a09e</x:v>
      </x:c>
      <x:c r="I2" s="35"/>
      <x:c r="J2" s="33" t="n">
        <x:f>IF(COUNT('Turns'!D5,'Turns'!D29,'Turns'!D51)=3,SUM('Turns'!D5,'Turns'!D29,'Turns'!D51),"Unknown")</x:f>
        <x:v>9</x:v>
      </x:c>
      <x:c r="K2" s="11" t="n">
        <x:f>IF(COUNT('Turns'!E5,'Turns'!E29,'Turns'!E51)=3,SUM('Turns'!E5,'Turns'!E29,'Turns'!E51),"Unknown")</x:f>
        <x:v>0.0000015706800000000004</x:v>
      </x:c>
      <x:c r="L2" s="11" t="n">
        <x:f>IF(COUNT('Turns'!F5,'Turns'!F29,'Turns'!F51)=3,SUM('Turns'!F5,'Turns'!F29,'Turns'!F51),"Unknown")</x:f>
        <x:v>0.0000018000000000000001</x:v>
      </x:c>
      <x:c r="M2" s="33" t="n">
        <x:f>IF(COUNT('Turns'!D28,'Turns'!D50)=2,SUM('Turns'!D28,'Turns'!D50),"Unknown")</x:f>
        <x:v>4398</x:v>
      </x:c>
      <x:c r="N2" s="11" t="n">
        <x:f>IF(COUNT('Turns'!E28,'Turns'!E50)=2,SUM('Turns'!E28,'Turns'!E50),"Unknown")</x:f>
        <x:v>0.00007675389600000001</x:v>
      </x:c>
      <x:c r="O2" s="11" t="n">
        <x:f>IF(COUNT('Turns'!F28,'Turns'!F50)=2,SUM('Turns'!F28,'Turns'!F50),"Unknown")</x:f>
        <x:v>0.00008796</x:v>
      </x:c>
      <x:c r="P2" s="33" t="n">
        <x:f>IF(COUNT('Turns'!D9,'Turns'!D31,'Turns'!D53)=3,SUM('Turns'!D9,'Turns'!D31,'Turns'!D53),"Unknown")</x:f>
        <x:v>2512</x:v>
      </x:c>
      <x:c r="Q2" s="11" t="n">
        <x:f>IF(COUNT('Turns'!E9,'Turns'!E31,'Turns'!E53)=3,SUM('Turns'!E9,'Turns'!E31,'Turns'!E53),"Unknown")</x:f>
        <x:v>0.0005479928</x:v>
      </x:c>
      <x:c r="R2" s="11" t="n">
        <x:f>IF(COUNT('Turns'!F9,'Turns'!F31,'Turns'!F53)=3,SUM('Turns'!F9,'Turns'!F31,'Turns'!F53),"Unknown")</x:f>
        <x:v>0.0006280000000000001</x:v>
      </x:c>
      <x:c r="S2" s="33" t="n">
        <x:f>IF(COUNT('Turns'!D13,'Turns'!D35,'Turns'!D56)=3,SUM('Turns'!D13,'Turns'!D35,'Turns'!D56),"Unknown")</x:f>
        <x:v>445</x:v>
      </x:c>
      <x:c r="T2" s="11" t="n">
        <x:f>IF(COUNT('Turns'!E13,'Turns'!E35,'Turns'!E56)=3,SUM('Turns'!E13,'Turns'!E35,'Turns'!E56),"Unknown")</x:f>
        <x:v>0.0004659684</x:v>
      </x:c>
      <x:c r="U2" s="11" t="n">
        <x:f>IF(COUNT('Turns'!F13,'Turns'!F35,'Turns'!F56)=3,SUM('Turns'!F13,'Turns'!F35,'Turns'!F56),"Unknown")</x:f>
        <x:v>0.000534</x:v>
      </x:c>
      <x:c r="V2" s="33" t="n">
        <x:f>IF(COUNT('Turns'!D12,'Turns'!D34)=2,SUM('Turns'!D12,'Turns'!D34),"Unknown")</x:f>
        <x:v>95</x:v>
      </x:c>
      <x:c r="W2" s="11" t="n">
        <x:f>IF(COUNT('Turns'!E12,'Turns'!E34)=2,SUM('Turns'!E12,'Turns'!E34),"Unknown")</x:f>
        <x:v>0.00009947640000000001</x:v>
      </x:c>
      <x:c r="X2" s="11" t="n">
        <x:f>IF(COUNT('Turns'!F12,'Turns'!F34)=2,SUM('Turns'!F12,'Turns'!F34),"Unknown")</x:f>
        <x:v>0.000114</x:v>
      </x:c>
      <x:c r="Y2" s="11" t="n">
        <x:f>IF(COUNT('Turns'!E17,'Turns'!E39,'Turns'!E60)=3,SUM('Turns'!E17,'Turns'!E39,'Turns'!E60),"Unknown")</x:f>
        <x:v>0.001191762176</x:v>
      </x:c>
      <x:c r="Z2" s="11" t="n">
        <x:f>IF(COUNT('Turns'!F17,'Turns'!F39,'Turns'!F60)=3,SUM('Turns'!F17,'Turns'!F39,'Turns'!F60),"Unknown")</x:f>
        <x:v>0.0013657600000000002</x:v>
      </x:c>
      <x:c r="AA2" s="33" t="n">
        <x:f>IF(ISNUMBER(Y2),ROUND(Y2*'Reference data'!$B$2,0),"Unknown")</x:f>
        <x:v>119</x:v>
      </x:c>
      <x:c r="AB2" s="33" t="n">
        <x:f>IF(ISNUMBER(Z2),ROUND(Z2*'Reference data'!$B$2,0),"Unknown")</x:f>
        <x:v>137</x:v>
      </x:c>
      <x:c r="AC2" s="2"/>
      <x:c r="AD2" s="43" t="n">
        <x:v>9899.77088</x:v>
      </x:c>
      <x:c r="AE2" s="2" t="str">
        <x:v>Subtree total</x:v>
      </x:c>
    </x:row>
    <x:row r="3" ht="54" customHeight="1">
      <x:c r="A3" s="41" t="str">
        <x:v>    PatchToolCallsMiddleware.before_agent</x:v>
      </x:c>
      <x:c r="B3" s="36" t="n">
        <x:v>1</x:v>
      </x:c>
      <x:c r="C3" s="36" t="str">
        <x:v>workflow</x:v>
      </x:c>
      <x:c r="D3" s="36" t="str"/>
      <x:c r="E3" s="36" t="str">
        <x:v>ok</x:v>
      </x:c>
      <x:c r="F3" s="38"/>
      <x:c r="G3" s="41" t="str">
        <x:v>Check message history and repair missing tool responses before the agent starts.</x:v>
      </x:c>
      <x:c r="H3" s="36" t="str">
        <x:v>01a0c40f-820b-7301-b636-683aa295d324</x:v>
      </x:c>
      <x:c r="I3" s="36" t="str">
        <x:v>01a0c40f-8209-7370-86b4-1a7414d8a09e</x:v>
      </x:c>
      <x:c r="J3" s="33"/>
      <x:c r="K3" s="11"/>
      <x:c r="L3" s="11"/>
      <x:c r="M3" s="33"/>
      <x:c r="N3" s="11"/>
      <x:c r="O3" s="11"/>
      <x:c r="P3" s="33"/>
      <x:c r="Q3" s="11"/>
      <x:c r="R3" s="11"/>
      <x:c r="S3" s="33"/>
      <x:c r="T3" s="11"/>
      <x:c r="U3" s="11"/>
      <x:c r="V3" s="33"/>
      <x:c r="W3" s="11"/>
      <x:c r="X3" s="11"/>
      <x:c r="Y3" s="11"/>
      <x:c r="Z3" s="11"/>
      <x:c r="AA3" s="33"/>
      <x:c r="AB3" s="33"/>
      <x:c r="AC3" s="2"/>
      <x:c r="AD3" s="43" t="n">
        <x:v>0.391936</x:v>
      </x:c>
      <x:c r="AE3" s="2" t="str">
        <x:v>No model charge</x:v>
      </x:c>
    </x:row>
    <x:row r="4" ht="54" customHeight="1">
      <x:c r="A4" s="41" t="str">
        <x:v>    model</x:v>
      </x:c>
      <x:c r="B4" s="36" t="n">
        <x:v>1</x:v>
      </x:c>
      <x:c r="C4" s="36" t="str">
        <x:v>workflow</x:v>
      </x:c>
      <x:c r="D4" s="36" t="str"/>
      <x:c r="E4" s="36" t="str">
        <x:v>ok</x:v>
      </x:c>
      <x:c r="F4" s="38"/>
      <x:c r="G4" s="41" t="str">
        <x:v>Prepare the current conversation, run model middleware, and invoke the chat model.</x:v>
      </x:c>
      <x:c r="H4" s="36" t="str">
        <x:v>01a0c40f-820c-7442-ba01-9a1a1bd8f843</x:v>
      </x:c>
      <x:c r="I4" s="36" t="str">
        <x:v>01a0c40f-8209-7370-86b4-1a7414d8a09e</x:v>
      </x:c>
      <x:c r="J4" s="33" t="n">
        <x:f>IF(COUNT('Turns'!D5)=1,SUM('Turns'!D5),"Unknown")</x:f>
        <x:v>3</x:v>
      </x:c>
      <x:c r="K4" s="11" t="n">
        <x:f>IF(COUNT('Turns'!E5)=1,SUM('Turns'!E5),"Unknown")</x:f>
        <x:v>5.235600000000001e-7</x:v>
      </x:c>
      <x:c r="L4" s="11" t="n">
        <x:f>IF(COUNT('Turns'!F5)=1,SUM('Turns'!F5),"Unknown")</x:f>
        <x:v>6.000000000000001e-7</x:v>
      </x:c>
      <x:c r="M4" s="33" t="n">
        <x:v>0</x:v>
      </x:c>
      <x:c r="N4" s="11" t="n">
        <x:v>0</x:v>
      </x:c>
      <x:c r="O4" s="11" t="n">
        <x:v>0</x:v>
      </x:c>
      <x:c r="P4" s="33" t="n">
        <x:f>IF(COUNT('Turns'!D9)=1,SUM('Turns'!D9),"Unknown")</x:f>
        <x:v>2099</x:v>
      </x:c>
      <x:c r="Q4" s="11" t="n">
        <x:f>IF(COUNT('Turns'!E9)=1,SUM('Turns'!E9),"Unknown")</x:f>
        <x:v>0.0004578968500000001</x:v>
      </x:c>
      <x:c r="R4" s="11" t="n">
        <x:f>IF(COUNT('Turns'!F9)=1,SUM('Turns'!F9),"Unknown")</x:f>
        <x:v>0.00052475</x:v>
      </x:c>
      <x:c r="S4" s="33" t="n">
        <x:f>IF(COUNT('Turns'!D13)=1,SUM('Turns'!D13),"Unknown")</x:f>
        <x:v>64</x:v>
      </x:c>
      <x:c r="T4" s="11" t="n">
        <x:f>IF(COUNT('Turns'!E13)=1,SUM('Turns'!E13),"Unknown")</x:f>
        <x:v>0.00006701568</x:v>
      </x:c>
      <x:c r="U4" s="11" t="n">
        <x:f>IF(COUNT('Turns'!F13)=1,SUM('Turns'!F13),"Unknown")</x:f>
        <x:v>0.0000768</x:v>
      </x:c>
      <x:c r="V4" s="33" t="n">
        <x:f>IF(COUNT('Turns'!D12)=1,SUM('Turns'!D12),"Unknown")</x:f>
        <x:v>35</x:v>
      </x:c>
      <x:c r="W4" s="11" t="n">
        <x:f>IF(COUNT('Turns'!E12)=1,SUM('Turns'!E12),"Unknown")</x:f>
        <x:v>0.0000366492</x:v>
      </x:c>
      <x:c r="X4" s="11" t="n">
        <x:f>IF(COUNT('Turns'!F12)=1,SUM('Turns'!F12),"Unknown")</x:f>
        <x:v>0.000042</x:v>
      </x:c>
      <x:c r="Y4" s="11" t="n">
        <x:f>IF(COUNT('Turns'!E17)=1,SUM('Turns'!E17),"Unknown")</x:f>
        <x:v>0.0005620852900000001</x:v>
      </x:c>
      <x:c r="Z4" s="11" t="n">
        <x:f>IF(COUNT('Turns'!F17)=1,SUM('Turns'!F17),"Unknown")</x:f>
        <x:v>0.0006441500000000001</x:v>
      </x:c>
      <x:c r="AA4" s="33" t="n">
        <x:f>IF(ISNUMBER(Y4),ROUND(Y4*'Reference data'!$B$2,0),"Unknown")</x:f>
        <x:v>56</x:v>
      </x:c>
      <x:c r="AB4" s="33" t="n">
        <x:f>IF(ISNUMBER(Z4),ROUND(Z4*'Reference data'!$B$2,0),"Unknown")</x:f>
        <x:v>64</x:v>
      </x:c>
      <x:c r="AC4" s="2"/>
      <x:c r="AD4" s="43" t="n">
        <x:v>2297.138944</x:v>
      </x:c>
      <x:c r="AE4" s="2" t="str">
        <x:v>Subtree total</x:v>
      </x:c>
    </x:row>
    <x:row r="5" ht="54" customHeight="1">
      <x:c r="A5" s="42" t="str">
        <x:v>        ChatOpenAI</x:v>
      </x:c>
      <x:c r="B5" s="20" t="n">
        <x:v>2</x:v>
      </x:c>
      <x:c r="C5" s="20" t="str">
        <x:v>model</x:v>
      </x:c>
      <x:c r="D5" s="20" t="str">
        <x:v>gpt-5.6-luna</x:v>
      </x:c>
      <x:c r="E5" s="20" t="str">
        <x:v>ok</x:v>
      </x:c>
      <x:c r="F5" s="39" t="n">
        <x:v>2102</x:v>
      </x:c>
      <x:c r="G5" s="42" t="str">
        <x:v>Generate the next assistant message or tool request from the current conversation.</x:v>
      </x:c>
      <x:c r="H5" s="20" t="str">
        <x:v>01a0c40f-8213-7040-aab2-327f02382086</x:v>
      </x:c>
      <x:c r="I5" s="20" t="str">
        <x:v>01a0c40f-820c-7442-ba01-9a1a1bd8f843</x:v>
      </x:c>
      <x:c r="J5" s="33" t="n">
        <x:f>IF(COUNT('Turns'!D5)=1,SUM('Turns'!D5),"Unknown")</x:f>
        <x:v>3</x:v>
      </x:c>
      <x:c r="K5" s="11" t="n">
        <x:f>IF(COUNT('Turns'!E5)=1,SUM('Turns'!E5),"Unknown")</x:f>
        <x:v>5.235600000000001e-7</x:v>
      </x:c>
      <x:c r="L5" s="11" t="n">
        <x:f>IF(COUNT('Turns'!F5)=1,SUM('Turns'!F5),"Unknown")</x:f>
        <x:v>6.000000000000001e-7</x:v>
      </x:c>
      <x:c r="M5" s="33" t="n">
        <x:v>0</x:v>
      </x:c>
      <x:c r="N5" s="11" t="n">
        <x:v>0</x:v>
      </x:c>
      <x:c r="O5" s="11" t="n">
        <x:v>0</x:v>
      </x:c>
      <x:c r="P5" s="33" t="n">
        <x:f>IF(COUNT('Turns'!D9)=1,SUM('Turns'!D9),"Unknown")</x:f>
        <x:v>2099</x:v>
      </x:c>
      <x:c r="Q5" s="11" t="n">
        <x:f>IF(COUNT('Turns'!E9)=1,SUM('Turns'!E9),"Unknown")</x:f>
        <x:v>0.0004578968500000001</x:v>
      </x:c>
      <x:c r="R5" s="11" t="n">
        <x:f>IF(COUNT('Turns'!F9)=1,SUM('Turns'!F9),"Unknown")</x:f>
        <x:v>0.00052475</x:v>
      </x:c>
      <x:c r="S5" s="33" t="n">
        <x:f>IF(COUNT('Turns'!D13)=1,SUM('Turns'!D13),"Unknown")</x:f>
        <x:v>64</x:v>
      </x:c>
      <x:c r="T5" s="11" t="n">
        <x:f>IF(COUNT('Turns'!E13)=1,SUM('Turns'!E13),"Unknown")</x:f>
        <x:v>0.00006701568</x:v>
      </x:c>
      <x:c r="U5" s="11" t="n">
        <x:f>IF(COUNT('Turns'!F13)=1,SUM('Turns'!F13),"Unknown")</x:f>
        <x:v>0.0000768</x:v>
      </x:c>
      <x:c r="V5" s="33" t="n">
        <x:f>IF(COUNT('Turns'!D12)=1,SUM('Turns'!D12),"Unknown")</x:f>
        <x:v>35</x:v>
      </x:c>
      <x:c r="W5" s="11" t="n">
        <x:f>IF(COUNT('Turns'!E12)=1,SUM('Turns'!E12),"Unknown")</x:f>
        <x:v>0.0000366492</x:v>
      </x:c>
      <x:c r="X5" s="11" t="n">
        <x:f>IF(COUNT('Turns'!F12)=1,SUM('Turns'!F12),"Unknown")</x:f>
        <x:v>0.000042</x:v>
      </x:c>
      <x:c r="Y5" s="11" t="n">
        <x:f>IF(COUNT('Turns'!E17)=1,SUM('Turns'!E17),"Unknown")</x:f>
        <x:v>0.0005620852900000001</x:v>
      </x:c>
      <x:c r="Z5" s="11" t="n">
        <x:f>IF(COUNT('Turns'!F17)=1,SUM('Turns'!F17),"Unknown")</x:f>
        <x:v>0.0006441500000000001</x:v>
      </x:c>
      <x:c r="AA5" s="33" t="n">
        <x:f>IF(ISNUMBER(Y5),ROUND(Y5*'Reference data'!$B$2,0),"Unknown")</x:f>
        <x:v>56</x:v>
      </x:c>
      <x:c r="AB5" s="33" t="n">
        <x:f>IF(ISNUMBER(Z5),ROUND(Z5*'Reference data'!$B$2,0),"Unknown")</x:f>
        <x:v>64</x:v>
      </x:c>
      <x:c r="AC5" s="2" t="str">
        <x:v>R1</x:v>
      </x:c>
      <x:c r="AD5" s="43" t="n">
        <x:v>2288.747008</x:v>
      </x:c>
      <x:c r="AE5" s="2" t="str">
        <x:v>Own call</x:v>
      </x:c>
    </x:row>
    <x:row r="6" ht="54" customHeight="1">
      <x:c r="A6" s="41" t="str">
        <x:v>    tools</x:v>
      </x:c>
      <x:c r="B6" s="36" t="n">
        <x:v>1</x:v>
      </x:c>
      <x:c r="C6" s="36" t="str">
        <x:v>workflow</x:v>
      </x:c>
      <x:c r="D6" s="36" t="str"/>
      <x:c r="E6" s="36" t="str">
        <x:v>ok</x:v>
      </x:c>
      <x:c r="F6" s="38"/>
      <x:c r="G6" s="41" t="str">
        <x:v>Execute tool calls requested by the preceding model response and return their observations.</x:v>
      </x:c>
      <x:c r="H6" s="36" t="str">
        <x:v>01a0c40f-8b06-77e3-a0f1-09da1513e12a</x:v>
      </x:c>
      <x:c r="I6" s="36" t="str">
        <x:v>01a0c40f-8209-7370-86b4-1a7414d8a09e</x:v>
      </x:c>
      <x:c r="J6" s="33"/>
      <x:c r="K6" s="11"/>
      <x:c r="L6" s="11"/>
      <x:c r="M6" s="33"/>
      <x:c r="N6" s="11"/>
      <x:c r="O6" s="11"/>
      <x:c r="P6" s="33"/>
      <x:c r="Q6" s="11"/>
      <x:c r="R6" s="11"/>
      <x:c r="S6" s="33"/>
      <x:c r="T6" s="11"/>
      <x:c r="U6" s="11"/>
      <x:c r="V6" s="33"/>
      <x:c r="W6" s="11"/>
      <x:c r="X6" s="11"/>
      <x:c r="Y6" s="11"/>
      <x:c r="Z6" s="11"/>
      <x:c r="AA6" s="33"/>
      <x:c r="AB6" s="33"/>
      <x:c r="AC6" s="2"/>
      <x:c r="AD6" s="43" t="n">
        <x:v>5.042176</x:v>
      </x:c>
      <x:c r="AE6" s="2" t="str">
        <x:v>No model charge</x:v>
      </x:c>
    </x:row>
    <x:row r="7" ht="54" customHeight="1">
      <x:c r="A7" s="41" t="str">
        <x:v>        inspect_service</x:v>
      </x:c>
      <x:c r="B7" s="36" t="n">
        <x:v>2</x:v>
      </x:c>
      <x:c r="C7" s="36" t="str">
        <x:v>tool</x:v>
      </x:c>
      <x:c r="D7" s="36" t="str"/>
      <x:c r="E7" s="36" t="str">
        <x:v>ok</x:v>
      </x:c>
      <x:c r="F7" s="38"/>
      <x:c r="G7" s="41" t="str">
        <x:v>Read fictional service evidence; no live service is inspected.</x:v>
      </x:c>
      <x:c r="H7" s="36" t="str">
        <x:v>01a0c40f-8b08-72d2-addb-6e552cb923da</x:v>
      </x:c>
      <x:c r="I7" s="36" t="str">
        <x:v>01a0c40f-8b06-77e3-a0f1-09da1513e12a</x:v>
      </x:c>
      <x:c r="J7" s="33"/>
      <x:c r="K7" s="11"/>
      <x:c r="L7" s="11"/>
      <x:c r="M7" s="33"/>
      <x:c r="N7" s="11"/>
      <x:c r="O7" s="11"/>
      <x:c r="P7" s="33"/>
      <x:c r="Q7" s="11"/>
      <x:c r="R7" s="11"/>
      <x:c r="S7" s="33"/>
      <x:c r="T7" s="11"/>
      <x:c r="U7" s="11"/>
      <x:c r="V7" s="33"/>
      <x:c r="W7" s="11"/>
      <x:c r="X7" s="11"/>
      <x:c r="Y7" s="11"/>
      <x:c r="Z7" s="11"/>
      <x:c r="AA7" s="33"/>
      <x:c r="AB7" s="33"/>
      <x:c r="AC7" s="2"/>
      <x:c r="AD7" s="43" t="n">
        <x:v>2.142976</x:v>
      </x:c>
      <x:c r="AE7" s="2" t="str">
        <x:v>No model charge</x:v>
      </x:c>
    </x:row>
    <x:row r="8" ht="54" customHeight="1">
      <x:c r="A8" s="41" t="str">
        <x:v>    tools</x:v>
      </x:c>
      <x:c r="B8" s="36" t="n">
        <x:v>1</x:v>
      </x:c>
      <x:c r="C8" s="36" t="str">
        <x:v>workflow</x:v>
      </x:c>
      <x:c r="D8" s="36" t="str"/>
      <x:c r="E8" s="36" t="str">
        <x:v>ok</x:v>
      </x:c>
      <x:c r="F8" s="38"/>
      <x:c r="G8" s="41" t="str">
        <x:v>Execute tool calls requested by the preceding model response and return their observations.</x:v>
      </x:c>
      <x:c r="H8" s="36" t="str">
        <x:v>01a0c40f-8b07-72d0-8af6-3dd0063f94d4</x:v>
      </x:c>
      <x:c r="I8" s="36" t="str">
        <x:v>01a0c40f-8209-7370-86b4-1a7414d8a09e</x:v>
      </x:c>
      <x:c r="J8" s="33"/>
      <x:c r="K8" s="11"/>
      <x:c r="L8" s="11"/>
      <x:c r="M8" s="33"/>
      <x:c r="N8" s="11"/>
      <x:c r="O8" s="11"/>
      <x:c r="P8" s="33"/>
      <x:c r="Q8" s="11"/>
      <x:c r="R8" s="11"/>
      <x:c r="S8" s="33"/>
      <x:c r="T8" s="11"/>
      <x:c r="U8" s="11"/>
      <x:c r="V8" s="33"/>
      <x:c r="W8" s="11"/>
      <x:c r="X8" s="11"/>
      <x:c r="Y8" s="11"/>
      <x:c r="Z8" s="11"/>
      <x:c r="AA8" s="33"/>
      <x:c r="AB8" s="33"/>
      <x:c r="AC8" s="2"/>
      <x:c r="AD8" s="43" t="n">
        <x:v>4.494848</x:v>
      </x:c>
      <x:c r="AE8" s="2" t="str">
        <x:v>No model charge</x:v>
      </x:c>
    </x:row>
    <x:row r="9" ht="54" customHeight="1">
      <x:c r="A9" s="41" t="str">
        <x:v>        inspect_service</x:v>
      </x:c>
      <x:c r="B9" s="36" t="n">
        <x:v>2</x:v>
      </x:c>
      <x:c r="C9" s="36" t="str">
        <x:v>tool</x:v>
      </x:c>
      <x:c r="D9" s="36" t="str"/>
      <x:c r="E9" s="36" t="str">
        <x:v>ok</x:v>
      </x:c>
      <x:c r="F9" s="38"/>
      <x:c r="G9" s="41" t="str">
        <x:v>Read fictional service evidence; no live service is inspected.</x:v>
      </x:c>
      <x:c r="H9" s="36" t="str">
        <x:v>01a0c40f-8b08-72d2-addb-6e644b2c5a7a</x:v>
      </x:c>
      <x:c r="I9" s="36" t="str">
        <x:v>01a0c40f-8b07-72d0-8af6-3dd0063f94d4</x:v>
      </x:c>
      <x:c r="J9" s="33"/>
      <x:c r="K9" s="11"/>
      <x:c r="L9" s="11"/>
      <x:c r="M9" s="33"/>
      <x:c r="N9" s="11"/>
      <x:c r="O9" s="11"/>
      <x:c r="P9" s="33"/>
      <x:c r="Q9" s="11"/>
      <x:c r="R9" s="11"/>
      <x:c r="S9" s="33"/>
      <x:c r="T9" s="11"/>
      <x:c r="U9" s="11"/>
      <x:c r="V9" s="33"/>
      <x:c r="W9" s="11"/>
      <x:c r="X9" s="11"/>
      <x:c r="Y9" s="11"/>
      <x:c r="Z9" s="11"/>
      <x:c r="AA9" s="33"/>
      <x:c r="AB9" s="33"/>
      <x:c r="AC9" s="2"/>
      <x:c r="AD9" s="43" t="n">
        <x:v>0.944128</x:v>
      </x:c>
      <x:c r="AE9" s="2" t="str">
        <x:v>No model charge</x:v>
      </x:c>
    </x:row>
    <x:row r="10" ht="54" customHeight="1">
      <x:c r="A10" s="41" t="str">
        <x:v>    tools</x:v>
      </x:c>
      <x:c r="B10" s="36" t="n">
        <x:v>1</x:v>
      </x:c>
      <x:c r="C10" s="36" t="str">
        <x:v>workflow</x:v>
      </x:c>
      <x:c r="D10" s="36" t="str"/>
      <x:c r="E10" s="36" t="str">
        <x:v>ok</x:v>
      </x:c>
      <x:c r="F10" s="38"/>
      <x:c r="G10" s="41" t="str">
        <x:v>Execute tool calls requested by the preceding model response and return their observations.</x:v>
      </x:c>
      <x:c r="H10" s="36" t="str">
        <x:v>01a0c40f-8b07-72d0-8af6-3de825d964c4</x:v>
      </x:c>
      <x:c r="I10" s="36" t="str">
        <x:v>01a0c40f-8209-7370-86b4-1a7414d8a09e</x:v>
      </x:c>
      <x:c r="J10" s="33"/>
      <x:c r="K10" s="11"/>
      <x:c r="L10" s="11"/>
      <x:c r="M10" s="33"/>
      <x:c r="N10" s="11"/>
      <x:c r="O10" s="11"/>
      <x:c r="P10" s="33"/>
      <x:c r="Q10" s="11"/>
      <x:c r="R10" s="11"/>
      <x:c r="S10" s="33"/>
      <x:c r="T10" s="11"/>
      <x:c r="U10" s="11"/>
      <x:c r="V10" s="33"/>
      <x:c r="W10" s="11"/>
      <x:c r="X10" s="11"/>
      <x:c r="Y10" s="11"/>
      <x:c r="Z10" s="11"/>
      <x:c r="AA10" s="33"/>
      <x:c r="AB10" s="33"/>
      <x:c r="AC10" s="2"/>
      <x:c r="AD10" s="43" t="n">
        <x:v>4.55808</x:v>
      </x:c>
      <x:c r="AE10" s="2" t="str">
        <x:v>No model charge</x:v>
      </x:c>
    </x:row>
    <x:row r="11" ht="54" customHeight="1">
      <x:c r="A11" s="41" t="str">
        <x:v>        inspect_service</x:v>
      </x:c>
      <x:c r="B11" s="36" t="n">
        <x:v>2</x:v>
      </x:c>
      <x:c r="C11" s="36" t="str">
        <x:v>tool</x:v>
      </x:c>
      <x:c r="D11" s="36" t="str"/>
      <x:c r="E11" s="36" t="str">
        <x:v>ok</x:v>
      </x:c>
      <x:c r="F11" s="38"/>
      <x:c r="G11" s="41" t="str">
        <x:v>Read fictional service evidence; no live service is inspected.</x:v>
      </x:c>
      <x:c r="H11" s="36" t="str">
        <x:v>01a0c40f-8b09-7b21-b7ec-964170dbec8d</x:v>
      </x:c>
      <x:c r="I11" s="36" t="str">
        <x:v>01a0c40f-8b07-72d0-8af6-3de825d964c4</x:v>
      </x:c>
      <x:c r="J11" s="33"/>
      <x:c r="K11" s="11"/>
      <x:c r="L11" s="11"/>
      <x:c r="M11" s="33"/>
      <x:c r="N11" s="11"/>
      <x:c r="O11" s="11"/>
      <x:c r="P11" s="33"/>
      <x:c r="Q11" s="11"/>
      <x:c r="R11" s="11"/>
      <x:c r="S11" s="33"/>
      <x:c r="T11" s="11"/>
      <x:c r="U11" s="11"/>
      <x:c r="V11" s="33"/>
      <x:c r="W11" s="11"/>
      <x:c r="X11" s="11"/>
      <x:c r="Y11" s="11"/>
      <x:c r="Z11" s="11"/>
      <x:c r="AA11" s="33"/>
      <x:c r="AB11" s="33"/>
      <x:c r="AC11" s="2"/>
      <x:c r="AD11" s="43" t="n">
        <x:v>1.067008</x:v>
      </x:c>
      <x:c r="AE11" s="2" t="str">
        <x:v>No model charge</x:v>
      </x:c>
    </x:row>
    <x:row r="12" ht="54" customHeight="1">
      <x:c r="A12" s="41" t="str">
        <x:v>    model</x:v>
      </x:c>
      <x:c r="B12" s="36" t="n">
        <x:v>1</x:v>
      </x:c>
      <x:c r="C12" s="36" t="str">
        <x:v>workflow</x:v>
      </x:c>
      <x:c r="D12" s="36" t="str"/>
      <x:c r="E12" s="36" t="str">
        <x:v>ok</x:v>
      </x:c>
      <x:c r="F12" s="38"/>
      <x:c r="G12" s="41" t="str">
        <x:v>Prepare the current conversation, run model middleware, and invoke the chat model.</x:v>
      </x:c>
      <x:c r="H12" s="36" t="str">
        <x:v>01a0c40f-8b0c-7b73-95c3-56bceea5de4f</x:v>
      </x:c>
      <x:c r="I12" s="36" t="str">
        <x:v>01a0c40f-8209-7370-86b4-1a7414d8a09e</x:v>
      </x:c>
      <x:c r="J12" s="33" t="n">
        <x:f>IF(COUNT('Turns'!D29)=1,SUM('Turns'!D29),"Unknown")</x:f>
        <x:v>3</x:v>
      </x:c>
      <x:c r="K12" s="11" t="n">
        <x:f>IF(COUNT('Turns'!E29)=1,SUM('Turns'!E29),"Unknown")</x:f>
        <x:v>5.235600000000001e-7</x:v>
      </x:c>
      <x:c r="L12" s="11" t="n">
        <x:f>IF(COUNT('Turns'!F29)=1,SUM('Turns'!F29),"Unknown")</x:f>
        <x:v>6.000000000000001e-7</x:v>
      </x:c>
      <x:c r="M12" s="33" t="n">
        <x:f>IF(COUNT('Turns'!D28)=1,SUM('Turns'!D28),"Unknown")</x:f>
        <x:v>2099</x:v>
      </x:c>
      <x:c r="N12" s="11" t="n">
        <x:f>IF(COUNT('Turns'!E28)=1,SUM('Turns'!E28),"Unknown")</x:f>
        <x:v>0.000036631748</x:v>
      </x:c>
      <x:c r="O12" s="11" t="n">
        <x:f>IF(COUNT('Turns'!F28)=1,SUM('Turns'!F28),"Unknown")</x:f>
        <x:v>0.00004198</x:v>
      </x:c>
      <x:c r="P12" s="33" t="n">
        <x:f>IF(COUNT('Turns'!D31)=1,SUM('Turns'!D31),"Unknown")</x:f>
        <x:v>200</x:v>
      </x:c>
      <x:c r="Q12" s="11" t="n">
        <x:f>IF(COUNT('Turns'!E31)=1,SUM('Turns'!E31),"Unknown")</x:f>
        <x:v>0.00004363000000000001</x:v>
      </x:c>
      <x:c r="R12" s="11" t="n">
        <x:f>IF(COUNT('Turns'!F31)=1,SUM('Turns'!F31),"Unknown")</x:f>
        <x:v>0.00005</x:v>
      </x:c>
      <x:c r="S12" s="33" t="n">
        <x:f>IF(COUNT('Turns'!D35)=1,SUM('Turns'!D35),"Unknown")</x:f>
        <x:v>65</x:v>
      </x:c>
      <x:c r="T12" s="11" t="n">
        <x:f>IF(COUNT('Turns'!E35)=1,SUM('Turns'!E35),"Unknown")</x:f>
        <x:v>0.0000680628</x:v>
      </x:c>
      <x:c r="U12" s="11" t="n">
        <x:f>IF(COUNT('Turns'!F35)=1,SUM('Turns'!F35),"Unknown")</x:f>
        <x:v>0.000078</x:v>
      </x:c>
      <x:c r="V12" s="33" t="n">
        <x:f>IF(COUNT('Turns'!D34)=1,SUM('Turns'!D34),"Unknown")</x:f>
        <x:v>60</x:v>
      </x:c>
      <x:c r="W12" s="11" t="n">
        <x:f>IF(COUNT('Turns'!E34)=1,SUM('Turns'!E34),"Unknown")</x:f>
        <x:v>0.0000628272</x:v>
      </x:c>
      <x:c r="X12" s="11" t="n">
        <x:f>IF(COUNT('Turns'!F34)=1,SUM('Turns'!F34),"Unknown")</x:f>
        <x:v>0.000072</x:v>
      </x:c>
      <x:c r="Y12" s="11" t="n">
        <x:f>IF(COUNT('Turns'!E39)=1,SUM('Turns'!E39),"Unknown")</x:f>
        <x:v>0.00021167530800000002</x:v>
      </x:c>
      <x:c r="Z12" s="11" t="n">
        <x:f>IF(COUNT('Turns'!F39)=1,SUM('Turns'!F39),"Unknown")</x:f>
        <x:v>0.00024258</x:v>
      </x:c>
      <x:c r="AA12" s="33" t="n">
        <x:f>IF(ISNUMBER(Y12),ROUND(Y12*'Reference data'!$B$2,0),"Unknown")</x:f>
        <x:v>21</x:v>
      </x:c>
      <x:c r="AB12" s="33" t="n">
        <x:f>IF(ISNUMBER(Z12),ROUND(Z12*'Reference data'!$B$2,0),"Unknown")</x:f>
        <x:v>24</x:v>
      </x:c>
      <x:c r="AC12" s="2"/>
      <x:c r="AD12" s="43" t="n">
        <x:v>2412.062976</x:v>
      </x:c>
      <x:c r="AE12" s="2" t="str">
        <x:v>Subtree total</x:v>
      </x:c>
    </x:row>
    <x:row r="13" ht="54" customHeight="1">
      <x:c r="A13" s="42" t="str">
        <x:v>        ChatOpenAI</x:v>
      </x:c>
      <x:c r="B13" s="20" t="n">
        <x:v>2</x:v>
      </x:c>
      <x:c r="C13" s="20" t="str">
        <x:v>model</x:v>
      </x:c>
      <x:c r="D13" s="20" t="str">
        <x:v>gpt-5.6-luna</x:v>
      </x:c>
      <x:c r="E13" s="20" t="str">
        <x:v>ok</x:v>
      </x:c>
      <x:c r="F13" s="39" t="n">
        <x:v>2302</x:v>
      </x:c>
      <x:c r="G13" s="42" t="str">
        <x:v>Generate the next assistant message or tool request from the current conversation.</x:v>
      </x:c>
      <x:c r="H13" s="20" t="str">
        <x:v>01a0c40f-8b0f-7691-ae3a-23e8633e8efb</x:v>
      </x:c>
      <x:c r="I13" s="20" t="str">
        <x:v>01a0c40f-8b0c-7b73-95c3-56bceea5de4f</x:v>
      </x:c>
      <x:c r="J13" s="33" t="n">
        <x:f>IF(COUNT('Turns'!D29)=1,SUM('Turns'!D29),"Unknown")</x:f>
        <x:v>3</x:v>
      </x:c>
      <x:c r="K13" s="11" t="n">
        <x:f>IF(COUNT('Turns'!E29)=1,SUM('Turns'!E29),"Unknown")</x:f>
        <x:v>5.235600000000001e-7</x:v>
      </x:c>
      <x:c r="L13" s="11" t="n">
        <x:f>IF(COUNT('Turns'!F29)=1,SUM('Turns'!F29),"Unknown")</x:f>
        <x:v>6.000000000000001e-7</x:v>
      </x:c>
      <x:c r="M13" s="33" t="n">
        <x:f>IF(COUNT('Turns'!D28)=1,SUM('Turns'!D28),"Unknown")</x:f>
        <x:v>2099</x:v>
      </x:c>
      <x:c r="N13" s="11" t="n">
        <x:f>IF(COUNT('Turns'!E28)=1,SUM('Turns'!E28),"Unknown")</x:f>
        <x:v>0.000036631748</x:v>
      </x:c>
      <x:c r="O13" s="11" t="n">
        <x:f>IF(COUNT('Turns'!F28)=1,SUM('Turns'!F28),"Unknown")</x:f>
        <x:v>0.00004198</x:v>
      </x:c>
      <x:c r="P13" s="33" t="n">
        <x:f>IF(COUNT('Turns'!D31)=1,SUM('Turns'!D31),"Unknown")</x:f>
        <x:v>200</x:v>
      </x:c>
      <x:c r="Q13" s="11" t="n">
        <x:f>IF(COUNT('Turns'!E31)=1,SUM('Turns'!E31),"Unknown")</x:f>
        <x:v>0.00004363000000000001</x:v>
      </x:c>
      <x:c r="R13" s="11" t="n">
        <x:f>IF(COUNT('Turns'!F31)=1,SUM('Turns'!F31),"Unknown")</x:f>
        <x:v>0.00005</x:v>
      </x:c>
      <x:c r="S13" s="33" t="n">
        <x:f>IF(COUNT('Turns'!D35)=1,SUM('Turns'!D35),"Unknown")</x:f>
        <x:v>65</x:v>
      </x:c>
      <x:c r="T13" s="11" t="n">
        <x:f>IF(COUNT('Turns'!E35)=1,SUM('Turns'!E35),"Unknown")</x:f>
        <x:v>0.0000680628</x:v>
      </x:c>
      <x:c r="U13" s="11" t="n">
        <x:f>IF(COUNT('Turns'!F35)=1,SUM('Turns'!F35),"Unknown")</x:f>
        <x:v>0.000078</x:v>
      </x:c>
      <x:c r="V13" s="33" t="n">
        <x:f>IF(COUNT('Turns'!D34)=1,SUM('Turns'!D34),"Unknown")</x:f>
        <x:v>60</x:v>
      </x:c>
      <x:c r="W13" s="11" t="n">
        <x:f>IF(COUNT('Turns'!E34)=1,SUM('Turns'!E34),"Unknown")</x:f>
        <x:v>0.0000628272</x:v>
      </x:c>
      <x:c r="X13" s="11" t="n">
        <x:f>IF(COUNT('Turns'!F34)=1,SUM('Turns'!F34),"Unknown")</x:f>
        <x:v>0.000072</x:v>
      </x:c>
      <x:c r="Y13" s="11" t="n">
        <x:f>IF(COUNT('Turns'!E39)=1,SUM('Turns'!E39),"Unknown")</x:f>
        <x:v>0.00021167530800000002</x:v>
      </x:c>
      <x:c r="Z13" s="11" t="n">
        <x:f>IF(COUNT('Turns'!F39)=1,SUM('Turns'!F39),"Unknown")</x:f>
        <x:v>0.00024258</x:v>
      </x:c>
      <x:c r="AA13" s="33" t="n">
        <x:f>IF(ISNUMBER(Y13),ROUND(Y13*'Reference data'!$B$2,0),"Unknown")</x:f>
        <x:v>21</x:v>
      </x:c>
      <x:c r="AB13" s="33" t="n">
        <x:f>IF(ISNUMBER(Z13),ROUND(Z13*'Reference data'!$B$2,0),"Unknown")</x:f>
        <x:v>24</x:v>
      </x:c>
      <x:c r="AC13" s="2" t="str">
        <x:v>R2</x:v>
      </x:c>
      <x:c r="AD13" s="43" t="n">
        <x:v>2407.954944</x:v>
      </x:c>
      <x:c r="AE13" s="2" t="str">
        <x:v>Own call</x:v>
      </x:c>
    </x:row>
    <x:row r="14" ht="54" customHeight="1">
      <x:c r="A14" s="41" t="str">
        <x:v>    tools</x:v>
      </x:c>
      <x:c r="B14" s="36" t="n">
        <x:v>1</x:v>
      </x:c>
      <x:c r="C14" s="36" t="str">
        <x:v>workflow</x:v>
      </x:c>
      <x:c r="D14" s="36" t="str"/>
      <x:c r="E14" s="36" t="str">
        <x:v>ok</x:v>
      </x:c>
      <x:c r="F14" s="38"/>
      <x:c r="G14" s="41" t="str">
        <x:v>Execute tool calls requested by the preceding model response and return their observations.</x:v>
      </x:c>
      <x:c r="H14" s="36" t="str">
        <x:v>01a0c40f-947a-7f22-86b9-094c84ddfb59</x:v>
      </x:c>
      <x:c r="I14" s="36" t="str">
        <x:v>01a0c40f-8209-7370-86b4-1a7414d8a09e</x:v>
      </x:c>
      <x:c r="J14" s="33"/>
      <x:c r="K14" s="11"/>
      <x:c r="L14" s="11"/>
      <x:c r="M14" s="33"/>
      <x:c r="N14" s="11"/>
      <x:c r="O14" s="11"/>
      <x:c r="P14" s="33"/>
      <x:c r="Q14" s="11"/>
      <x:c r="R14" s="11"/>
      <x:c r="S14" s="33"/>
      <x:c r="T14" s="11"/>
      <x:c r="U14" s="11"/>
      <x:c r="V14" s="33"/>
      <x:c r="W14" s="11"/>
      <x:c r="X14" s="11"/>
      <x:c r="Y14" s="11"/>
      <x:c r="Z14" s="11"/>
      <x:c r="AA14" s="33"/>
      <x:c r="AB14" s="33"/>
      <x:c r="AC14" s="2"/>
      <x:c r="AD14" s="43" t="n">
        <x:v>4.673024</x:v>
      </x:c>
      <x:c r="AE14" s="2" t="str">
        <x:v>No model charge</x:v>
      </x:c>
    </x:row>
    <x:row r="15" ht="54" customHeight="1">
      <x:c r="A15" s="41" t="str">
        <x:v>        test_plan</x:v>
      </x:c>
      <x:c r="B15" s="36" t="n">
        <x:v>2</x:v>
      </x:c>
      <x:c r="C15" s="36" t="str">
        <x:v>tool</x:v>
      </x:c>
      <x:c r="D15" s="36" t="str"/>
      <x:c r="E15" s="36" t="str">
        <x:v>ok</x:v>
      </x:c>
      <x:c r="F15" s="38"/>
      <x:c r="G15" s="41" t="str">
        <x:v>Return a fixed fictional plan-check result; no real test is executed.</x:v>
      </x:c>
      <x:c r="H15" s="36" t="str">
        <x:v>01a0c40f-947b-74f1-8530-53f64142199c</x:v>
      </x:c>
      <x:c r="I15" s="36" t="str">
        <x:v>01a0c40f-947a-7f22-86b9-094c84ddfb59</x:v>
      </x:c>
      <x:c r="J15" s="33"/>
      <x:c r="K15" s="11"/>
      <x:c r="L15" s="11"/>
      <x:c r="M15" s="33"/>
      <x:c r="N15" s="11"/>
      <x:c r="O15" s="11"/>
      <x:c r="P15" s="33"/>
      <x:c r="Q15" s="11"/>
      <x:c r="R15" s="11"/>
      <x:c r="S15" s="33"/>
      <x:c r="T15" s="11"/>
      <x:c r="U15" s="11"/>
      <x:c r="V15" s="33"/>
      <x:c r="W15" s="11"/>
      <x:c r="X15" s="11"/>
      <x:c r="Y15" s="11"/>
      <x:c r="Z15" s="11"/>
      <x:c r="AA15" s="33"/>
      <x:c r="AB15" s="33"/>
      <x:c r="AC15" s="2"/>
      <x:c r="AD15" s="43" t="n">
        <x:v>1.925888</x:v>
      </x:c>
      <x:c r="AE15" s="2" t="str">
        <x:v>No model charge</x:v>
      </x:c>
    </x:row>
    <x:row r="16" ht="54" customHeight="1">
      <x:c r="A16" s="41" t="str">
        <x:v>    tools</x:v>
      </x:c>
      <x:c r="B16" s="36" t="n">
        <x:v>1</x:v>
      </x:c>
      <x:c r="C16" s="36" t="str">
        <x:v>workflow</x:v>
      </x:c>
      <x:c r="D16" s="36" t="str"/>
      <x:c r="E16" s="36" t="str">
        <x:v>ok</x:v>
      </x:c>
      <x:c r="F16" s="38"/>
      <x:c r="G16" s="41" t="str">
        <x:v>Execute tool calls requested by the preceding model response and return their observations.</x:v>
      </x:c>
      <x:c r="H16" s="36" t="str">
        <x:v>01a0c40f-947a-7f22-86b9-0950e262e27d</x:v>
      </x:c>
      <x:c r="I16" s="36" t="str">
        <x:v>01a0c40f-8209-7370-86b4-1a7414d8a09e</x:v>
      </x:c>
      <x:c r="J16" s="33"/>
      <x:c r="K16" s="11"/>
      <x:c r="L16" s="11"/>
      <x:c r="M16" s="33"/>
      <x:c r="N16" s="11"/>
      <x:c r="O16" s="11"/>
      <x:c r="P16" s="33"/>
      <x:c r="Q16" s="11"/>
      <x:c r="R16" s="11"/>
      <x:c r="S16" s="33"/>
      <x:c r="T16" s="11"/>
      <x:c r="U16" s="11"/>
      <x:c r="V16" s="33"/>
      <x:c r="W16" s="11"/>
      <x:c r="X16" s="11"/>
      <x:c r="Y16" s="11"/>
      <x:c r="Z16" s="11"/>
      <x:c r="AA16" s="33"/>
      <x:c r="AB16" s="33"/>
      <x:c r="AC16" s="2"/>
      <x:c r="AD16" s="43" t="n">
        <x:v>4.43904</x:v>
      </x:c>
      <x:c r="AE16" s="2" t="str">
        <x:v>No model charge</x:v>
      </x:c>
    </x:row>
    <x:row r="17" ht="54" customHeight="1">
      <x:c r="A17" s="41" t="str">
        <x:v>        test_plan</x:v>
      </x:c>
      <x:c r="B17" s="36" t="n">
        <x:v>2</x:v>
      </x:c>
      <x:c r="C17" s="36" t="str">
        <x:v>tool</x:v>
      </x:c>
      <x:c r="D17" s="36" t="str"/>
      <x:c r="E17" s="36" t="str">
        <x:v>ok</x:v>
      </x:c>
      <x:c r="F17" s="38"/>
      <x:c r="G17" s="41" t="str">
        <x:v>Return a fixed fictional plan-check result; no real test is executed.</x:v>
      </x:c>
      <x:c r="H17" s="36" t="str">
        <x:v>01a0c40f-947b-74f1-8530-54042ec5dad3</x:v>
      </x:c>
      <x:c r="I17" s="36" t="str">
        <x:v>01a0c40f-947a-7f22-86b9-0950e262e27d</x:v>
      </x:c>
      <x:c r="J17" s="33"/>
      <x:c r="K17" s="11"/>
      <x:c r="L17" s="11"/>
      <x:c r="M17" s="33"/>
      <x:c r="N17" s="11"/>
      <x:c r="O17" s="11"/>
      <x:c r="P17" s="33"/>
      <x:c r="Q17" s="11"/>
      <x:c r="R17" s="11"/>
      <x:c r="S17" s="33"/>
      <x:c r="T17" s="11"/>
      <x:c r="U17" s="11"/>
      <x:c r="V17" s="33"/>
      <x:c r="W17" s="11"/>
      <x:c r="X17" s="11"/>
      <x:c r="Y17" s="11"/>
      <x:c r="Z17" s="11"/>
      <x:c r="AA17" s="33"/>
      <x:c r="AB17" s="33"/>
      <x:c r="AC17" s="2"/>
      <x:c r="AD17" s="43" t="n">
        <x:v>0.982016</x:v>
      </x:c>
      <x:c r="AE17" s="2" t="str">
        <x:v>No model charge</x:v>
      </x:c>
    </x:row>
    <x:row r="18" ht="54" customHeight="1">
      <x:c r="A18" s="41" t="str">
        <x:v>    tools</x:v>
      </x:c>
      <x:c r="B18" s="36" t="n">
        <x:v>1</x:v>
      </x:c>
      <x:c r="C18" s="36" t="str">
        <x:v>workflow</x:v>
      </x:c>
      <x:c r="D18" s="36" t="str"/>
      <x:c r="E18" s="36" t="str">
        <x:v>ok</x:v>
      </x:c>
      <x:c r="F18" s="38"/>
      <x:c r="G18" s="41" t="str">
        <x:v>Execute tool calls requested by the preceding model response and return their observations.</x:v>
      </x:c>
      <x:c r="H18" s="36" t="str">
        <x:v>01a0c40f-947a-7f22-86b9-09658139f332</x:v>
      </x:c>
      <x:c r="I18" s="36" t="str">
        <x:v>01a0c40f-8209-7370-86b4-1a7414d8a09e</x:v>
      </x:c>
      <x:c r="J18" s="33"/>
      <x:c r="K18" s="11"/>
      <x:c r="L18" s="11"/>
      <x:c r="M18" s="33"/>
      <x:c r="N18" s="11"/>
      <x:c r="O18" s="11"/>
      <x:c r="P18" s="33"/>
      <x:c r="Q18" s="11"/>
      <x:c r="R18" s="11"/>
      <x:c r="S18" s="33"/>
      <x:c r="T18" s="11"/>
      <x:c r="U18" s="11"/>
      <x:c r="V18" s="33"/>
      <x:c r="W18" s="11"/>
      <x:c r="X18" s="11"/>
      <x:c r="Y18" s="11"/>
      <x:c r="Z18" s="11"/>
      <x:c r="AA18" s="33"/>
      <x:c r="AB18" s="33"/>
      <x:c r="AC18" s="2"/>
      <x:c r="AD18" s="43" t="n">
        <x:v>4.201216</x:v>
      </x:c>
      <x:c r="AE18" s="2" t="str">
        <x:v>No model charge</x:v>
      </x:c>
    </x:row>
    <x:row r="19" ht="54" customHeight="1">
      <x:c r="A19" s="41" t="str">
        <x:v>        test_plan</x:v>
      </x:c>
      <x:c r="B19" s="36" t="n">
        <x:v>2</x:v>
      </x:c>
      <x:c r="C19" s="36" t="str">
        <x:v>tool</x:v>
      </x:c>
      <x:c r="D19" s="36" t="str"/>
      <x:c r="E19" s="36" t="str">
        <x:v>ok</x:v>
      </x:c>
      <x:c r="F19" s="38"/>
      <x:c r="G19" s="41" t="str">
        <x:v>Return a fixed fictional plan-check result; no real test is executed.</x:v>
      </x:c>
      <x:c r="H19" s="36" t="str">
        <x:v>01a0c40f-947c-7391-8282-6cf5df38557e</x:v>
      </x:c>
      <x:c r="I19" s="36" t="str">
        <x:v>01a0c40f-947a-7f22-86b9-09658139f332</x:v>
      </x:c>
      <x:c r="J19" s="33"/>
      <x:c r="K19" s="11"/>
      <x:c r="L19" s="11"/>
      <x:c r="M19" s="33"/>
      <x:c r="N19" s="11"/>
      <x:c r="O19" s="11"/>
      <x:c r="P19" s="33"/>
      <x:c r="Q19" s="11"/>
      <x:c r="R19" s="11"/>
      <x:c r="S19" s="33"/>
      <x:c r="T19" s="11"/>
      <x:c r="U19" s="11"/>
      <x:c r="V19" s="33"/>
      <x:c r="W19" s="11"/>
      <x:c r="X19" s="11"/>
      <x:c r="Y19" s="11"/>
      <x:c r="Z19" s="11"/>
      <x:c r="AA19" s="33"/>
      <x:c r="AB19" s="33"/>
      <x:c r="AC19" s="2"/>
      <x:c r="AD19" s="43" t="n">
        <x:v>1.452032</x:v>
      </x:c>
      <x:c r="AE19" s="2" t="str">
        <x:v>No model charge</x:v>
      </x:c>
    </x:row>
    <x:row r="20" ht="54" customHeight="1">
      <x:c r="A20" s="41" t="str">
        <x:v>    model</x:v>
      </x:c>
      <x:c r="B20" s="36" t="n">
        <x:v>1</x:v>
      </x:c>
      <x:c r="C20" s="36" t="str">
        <x:v>workflow</x:v>
      </x:c>
      <x:c r="D20" s="36" t="str"/>
      <x:c r="E20" s="36" t="str">
        <x:v>ok</x:v>
      </x:c>
      <x:c r="F20" s="38"/>
      <x:c r="G20" s="41" t="str">
        <x:v>Prepare the current conversation, run model middleware, and invoke the chat model.</x:v>
      </x:c>
      <x:c r="H20" s="36" t="str">
        <x:v>01a0c40f-9480-7c30-8ab0-fdabc6d33ff6</x:v>
      </x:c>
      <x:c r="I20" s="36" t="str">
        <x:v>01a0c40f-8209-7370-86b4-1a7414d8a09e</x:v>
      </x:c>
      <x:c r="J20" s="33" t="n">
        <x:f>IF(COUNT('Turns'!D51)=1,SUM('Turns'!D51),"Unknown")</x:f>
        <x:v>3</x:v>
      </x:c>
      <x:c r="K20" s="11" t="n">
        <x:f>IF(COUNT('Turns'!E51)=1,SUM('Turns'!E51),"Unknown")</x:f>
        <x:v>5.235600000000001e-7</x:v>
      </x:c>
      <x:c r="L20" s="11" t="n">
        <x:f>IF(COUNT('Turns'!F51)=1,SUM('Turns'!F51),"Unknown")</x:f>
        <x:v>6.000000000000001e-7</x:v>
      </x:c>
      <x:c r="M20" s="33" t="n">
        <x:f>IF(COUNT('Turns'!D50)=1,SUM('Turns'!D50),"Unknown")</x:f>
        <x:v>2299</x:v>
      </x:c>
      <x:c r="N20" s="11" t="n">
        <x:f>IF(COUNT('Turns'!E50)=1,SUM('Turns'!E50),"Unknown")</x:f>
        <x:v>0.000040122148000000005</x:v>
      </x:c>
      <x:c r="O20" s="11" t="n">
        <x:f>IF(COUNT('Turns'!F50)=1,SUM('Turns'!F50),"Unknown")</x:f>
        <x:v>0.000045980000000000004</x:v>
      </x:c>
      <x:c r="P20" s="33" t="n">
        <x:f>IF(COUNT('Turns'!D53)=1,SUM('Turns'!D53),"Unknown")</x:f>
        <x:v>213</x:v>
      </x:c>
      <x:c r="Q20" s="11" t="n">
        <x:f>IF(COUNT('Turns'!E53)=1,SUM('Turns'!E53),"Unknown")</x:f>
        <x:v>0.00004646595</x:v>
      </x:c>
      <x:c r="R20" s="11" t="n">
        <x:f>IF(COUNT('Turns'!F53)=1,SUM('Turns'!F53),"Unknown")</x:f>
        <x:v>0.00005325</x:v>
      </x:c>
      <x:c r="S20" s="33" t="n">
        <x:f>IF(COUNT('Turns'!D56)=1,SUM('Turns'!D56),"Unknown")</x:f>
        <x:v>316</x:v>
      </x:c>
      <x:c r="T20" s="11" t="n">
        <x:f>IF(COUNT('Turns'!E56)=1,SUM('Turns'!E56),"Unknown")</x:f>
        <x:v>0.00033088992</x:v>
      </x:c>
      <x:c r="U20" s="11" t="n">
        <x:f>IF(COUNT('Turns'!F56)=1,SUM('Turns'!F56),"Unknown")</x:f>
        <x:v>0.0003792</x:v>
      </x:c>
      <x:c r="V20" s="33" t="n">
        <x:v>0</x:v>
      </x:c>
      <x:c r="W20" s="11" t="n">
        <x:v>0</x:v>
      </x:c>
      <x:c r="X20" s="11" t="n">
        <x:v>0</x:v>
      </x:c>
      <x:c r="Y20" s="11" t="n">
        <x:f>IF(COUNT('Turns'!E60)=1,SUM('Turns'!E60),"Unknown")</x:f>
        <x:v>0.00041800157800000006</x:v>
      </x:c>
      <x:c r="Z20" s="11" t="n">
        <x:f>IF(COUNT('Turns'!F60)=1,SUM('Turns'!F60),"Unknown")</x:f>
        <x:v>0.00047902999999999997</x:v>
      </x:c>
      <x:c r="AA20" s="33" t="n">
        <x:f>IF(ISNUMBER(Y20),ROUND(Y20*'Reference data'!$B$2,0),"Unknown")</x:f>
        <x:v>42</x:v>
      </x:c>
      <x:c r="AB20" s="33" t="n">
        <x:f>IF(ISNUMBER(Z20),ROUND(Z20*'Reference data'!$B$2,0),"Unknown")</x:f>
        <x:v>48</x:v>
      </x:c>
      <x:c r="AC20" s="2"/>
      <x:c r="AD20" s="43" t="n">
        <x:v>5173.072896</x:v>
      </x:c>
      <x:c r="AE20" s="2" t="str">
        <x:v>Subtree total</x:v>
      </x:c>
    </x:row>
    <x:row r="21" ht="54" customHeight="1">
      <x:c r="A21" s="42" t="str">
        <x:v>        ChatOpenAI</x:v>
      </x:c>
      <x:c r="B21" s="20" t="n">
        <x:v>2</x:v>
      </x:c>
      <x:c r="C21" s="20" t="str">
        <x:v>model</x:v>
      </x:c>
      <x:c r="D21" s="20" t="str">
        <x:v>gpt-5.6-luna</x:v>
      </x:c>
      <x:c r="E21" s="20" t="str">
        <x:v>ok</x:v>
      </x:c>
      <x:c r="F21" s="39" t="n">
        <x:v>2515</x:v>
      </x:c>
      <x:c r="G21" s="42" t="str">
        <x:v>Generate the next assistant message or tool request from the current conversation.</x:v>
      </x:c>
      <x:c r="H21" s="20" t="str">
        <x:v>01a0c40f-9482-7181-a4c0-1ff93cae7e90</x:v>
      </x:c>
      <x:c r="I21" s="20" t="str">
        <x:v>01a0c40f-9480-7c30-8ab0-fdabc6d33ff6</x:v>
      </x:c>
      <x:c r="J21" s="33" t="n">
        <x:f>IF(COUNT('Turns'!D51)=1,SUM('Turns'!D51),"Unknown")</x:f>
        <x:v>3</x:v>
      </x:c>
      <x:c r="K21" s="11" t="n">
        <x:f>IF(COUNT('Turns'!E51)=1,SUM('Turns'!E51),"Unknown")</x:f>
        <x:v>5.235600000000001e-7</x:v>
      </x:c>
      <x:c r="L21" s="11" t="n">
        <x:f>IF(COUNT('Turns'!F51)=1,SUM('Turns'!F51),"Unknown")</x:f>
        <x:v>6.000000000000001e-7</x:v>
      </x:c>
      <x:c r="M21" s="33" t="n">
        <x:f>IF(COUNT('Turns'!D50)=1,SUM('Turns'!D50),"Unknown")</x:f>
        <x:v>2299</x:v>
      </x:c>
      <x:c r="N21" s="11" t="n">
        <x:f>IF(COUNT('Turns'!E50)=1,SUM('Turns'!E50),"Unknown")</x:f>
        <x:v>0.000040122148000000005</x:v>
      </x:c>
      <x:c r="O21" s="11" t="n">
        <x:f>IF(COUNT('Turns'!F50)=1,SUM('Turns'!F50),"Unknown")</x:f>
        <x:v>0.000045980000000000004</x:v>
      </x:c>
      <x:c r="P21" s="33" t="n">
        <x:f>IF(COUNT('Turns'!D53)=1,SUM('Turns'!D53),"Unknown")</x:f>
        <x:v>213</x:v>
      </x:c>
      <x:c r="Q21" s="11" t="n">
        <x:f>IF(COUNT('Turns'!E53)=1,SUM('Turns'!E53),"Unknown")</x:f>
        <x:v>0.00004646595</x:v>
      </x:c>
      <x:c r="R21" s="11" t="n">
        <x:f>IF(COUNT('Turns'!F53)=1,SUM('Turns'!F53),"Unknown")</x:f>
        <x:v>0.00005325</x:v>
      </x:c>
      <x:c r="S21" s="33" t="n">
        <x:f>IF(COUNT('Turns'!D56)=1,SUM('Turns'!D56),"Unknown")</x:f>
        <x:v>316</x:v>
      </x:c>
      <x:c r="T21" s="11" t="n">
        <x:f>IF(COUNT('Turns'!E56)=1,SUM('Turns'!E56),"Unknown")</x:f>
        <x:v>0.00033088992</x:v>
      </x:c>
      <x:c r="U21" s="11" t="n">
        <x:f>IF(COUNT('Turns'!F56)=1,SUM('Turns'!F56),"Unknown")</x:f>
        <x:v>0.0003792</x:v>
      </x:c>
      <x:c r="V21" s="33" t="n">
        <x:v>0</x:v>
      </x:c>
      <x:c r="W21" s="11" t="n">
        <x:v>0</x:v>
      </x:c>
      <x:c r="X21" s="11" t="n">
        <x:v>0</x:v>
      </x:c>
      <x:c r="Y21" s="11" t="n">
        <x:f>IF(COUNT('Turns'!E60)=1,SUM('Turns'!E60),"Unknown")</x:f>
        <x:v>0.00041800157800000006</x:v>
      </x:c>
      <x:c r="Z21" s="11" t="n">
        <x:f>IF(COUNT('Turns'!F60)=1,SUM('Turns'!F60),"Unknown")</x:f>
        <x:v>0.00047902999999999997</x:v>
      </x:c>
      <x:c r="AA21" s="33" t="n">
        <x:f>IF(ISNUMBER(Y21),ROUND(Y21*'Reference data'!$B$2,0),"Unknown")</x:f>
        <x:v>42</x:v>
      </x:c>
      <x:c r="AB21" s="33" t="n">
        <x:f>IF(ISNUMBER(Z21),ROUND(Z21*'Reference data'!$B$2,0),"Unknown")</x:f>
        <x:v>48</x:v>
      </x:c>
      <x:c r="AC21" s="2" t="str">
        <x:v>R3</x:v>
      </x:c>
      <x:c r="AD21" s="43" t="n">
        <x:v>5168.54912</x:v>
      </x:c>
      <x:c r="AE21" s="2" t="str">
        <x:v>Own call</x:v>
      </x:c>
    </x:row>
  </x:sheetData>
  <x:conditionalFormatting sqref="A2:AE21">
    <x:cfRule type="expression" dxfId="3" priority="1">
      <x:formula>$E2="error"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73B70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34" hidden="0" customWidth="1"/>
    <x:col min="2" max="2" width="5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65" hidden="0" customWidth="1"/>
    <x:col min="9" max="9" width="40" hidden="0" customWidth="1"/>
  </x:cols>
  <x:sheetData>
    <x:row r="1" ht="44" customHeight="1">
      <x:c r="A1" s="7" t="str">
        <x:v>Parameter</x:v>
      </x:c>
      <x:c r="B1" s="7" t="str">
        <x:v>Value</x:v>
      </x:c>
      <x:c r="C1" s="7" t="str">
        <x:v>Unit</x:v>
      </x:c>
      <x:c r="D1" s="7" t="str"/>
      <x:c r="E1" s="7" t="str"/>
      <x:c r="F1" s="7" t="str"/>
      <x:c r="G1" s="7" t="str"/>
      <x:c r="H1" s="7" t="str"/>
      <x:c r="I1" s="7" t="str"/>
    </x:row>
    <x:row r="2" ht="24" customHeight="1">
      <x:c r="A2" s="2" t="str">
        <x:v>Number of executions</x:v>
      </x:c>
      <x:c r="B2" s="10" t="n">
        <x:v>100000</x:v>
      </x:c>
      <x:c r="C2" s="2" t="str">
        <x:v>executions</x:v>
      </x:c>
      <x:c r="D2" s="2"/>
      <x:c r="E2" s="2"/>
      <x:c r="F2" s="2"/>
      <x:c r="G2" s="2"/>
      <x:c r="H2" s="2"/>
      <x:c r="I2" s="2"/>
    </x:row>
    <x:row r="3" ht="24" customHeight="1">
      <x:c r="A3" s="2" t="str">
        <x:v>USD → EUR</x:v>
      </x:c>
      <x:c r="B3" s="11" t="n">
        <x:v>0.8726</x:v>
      </x:c>
      <x:c r="C3" s="2" t="str">
        <x:v>EUR per USD</x:v>
      </x:c>
      <x:c r="D3" s="2"/>
      <x:c r="E3" s="2"/>
      <x:c r="F3" s="2"/>
      <x:c r="G3" s="2"/>
      <x:c r="H3" s="2"/>
      <x:c r="I3" s="2"/>
    </x:row>
    <x:row r="4" ht="24" customHeight="1">
      <x:c r="A4" s="2" t="str">
        <x:v>Cache duration</x:v>
      </x:c>
      <x:c r="B4" s="2" t="str">
        <x:v>5m</x:v>
      </x:c>
      <x:c r="C4" s="2" t="str"/>
      <x:c r="D4" s="2"/>
      <x:c r="E4" s="2"/>
      <x:c r="F4" s="2"/>
      <x:c r="G4" s="2"/>
      <x:c r="H4" s="2"/>
      <x:c r="I4" s="2"/>
    </x:row>
    <x:row r="5" ht="28" customHeight="1">
      <x:c r="A5" s="2" t="str">
        <x:v>Run ID</x:v>
      </x:c>
      <x:c r="B5" s="14" t="str">
        <x:v>01a0c40f-8209-7370-86b4-1a7414d8a09e</x:v>
      </x:c>
      <x:c r="C5" s="2" t="str"/>
      <x:c r="D5" s="2"/>
      <x:c r="E5" s="2"/>
      <x:c r="F5" s="2"/>
      <x:c r="G5" s="2"/>
      <x:c r="H5" s="2"/>
      <x:c r="I5" s="2"/>
    </x:row>
    <x:row r="6" ht="28" customHeight="1">
      <x:c r="A6" s="2" t="str">
        <x:v>Recording</x:v>
      </x:c>
      <x:c r="B6" s="14" t="str">
        <x:v>Provider trace</x:v>
      </x:c>
      <x:c r="C6" s="2" t="str"/>
      <x:c r="D6" s="2"/>
      <x:c r="E6" s="2"/>
      <x:c r="F6" s="2"/>
      <x:c r="G6" s="2"/>
      <x:c r="H6" s="2"/>
      <x:c r="I6" s="2"/>
    </x:row>
    <x:row r="7" ht="28" customHeight="1">
      <x:c r="A7" s="2" t="str">
        <x:v>FX reference date</x:v>
      </x:c>
      <x:c r="B7" s="15" t="n">
        <x:v>46283</x:v>
      </x:c>
      <x:c r="C7" s="2" t="str"/>
      <x:c r="D7" s="2"/>
      <x:c r="E7" s="2"/>
      <x:c r="F7" s="2"/>
      <x:c r="G7" s="2"/>
      <x:c r="H7" s="2"/>
      <x:c r="I7" s="2"/>
    </x:row>
    <x:row r="8" ht="28" customHeight="1">
      <x:c r="A8" s="2" t="str">
        <x:v>FX fetched at</x:v>
      </x:c>
      <x:c r="B8" s="16" t="n">
        <x:v>46286.5424678125</x:v>
      </x:c>
      <x:c r="C8" s="2" t="str">
        <x:v>UTC</x:v>
      </x:c>
      <x:c r="D8" s="2"/>
      <x:c r="E8" s="2"/>
      <x:c r="F8" s="2"/>
      <x:c r="G8" s="2"/>
      <x:c r="H8" s="2"/>
      <x:c r="I8" s="2"/>
    </x:row>
    <x:row r="9" ht="56" customHeight="1">
      <x:c r="A9" s="2" t="str">
        <x:v>FX source</x:v>
      </x:c>
      <x:c r="B9" s="14" t="str">
        <x:v>https://api.frankfurter.dev/v2/rate/usd/eur?providers=ecb</x:v>
      </x:c>
      <x:c r="C9" s="2" t="str"/>
      <x:c r="D9" s="2"/>
      <x:c r="E9" s="2"/>
      <x:c r="F9" s="2"/>
      <x:c r="G9" s="2"/>
      <x:c r="H9" s="2"/>
      <x:c r="I9" s="2"/>
    </x:row>
    <x:row r="10" ht="56" customHeight="1">
      <x:c r="A10" s="2" t="str">
        <x:v>Rounding</x:v>
      </x:c>
      <x:c r="B10" s="14" t="str">
        <x:v>Only projected costs: ROUND(cost × executions, 0)</x:v>
      </x:c>
      <x:c r="C10" s="2" t="str"/>
      <x:c r="D10" s="2"/>
      <x:c r="E10" s="2"/>
      <x:c r="F10" s="2"/>
      <x:c r="G10" s="2"/>
      <x:c r="H10" s="2"/>
      <x:c r="I10" s="2"/>
    </x:row>
    <x:row r="11" ht="56" customHeight="1">
      <x:c r="A11" s="2" t="str">
        <x:v>Tree totals</x:v>
      </x:c>
      <x:c r="B11" s="14" t="str">
        <x:v>Parent rows include descendants; do not sum all tree rows.</x:v>
      </x:c>
      <x:c r="C11" s="2" t="str"/>
      <x:c r="D11" s="2"/>
      <x:c r="E11" s="2"/>
      <x:c r="F11" s="2"/>
      <x:c r="G11" s="2"/>
      <x:c r="H11" s="2"/>
      <x:c r="I11" s="2"/>
    </x:row>
    <x:row r="12" ht="56" customHeight="1">
      <x:c r="A12" s="2" t="str">
        <x:v>Cache writes</x:v>
      </x:c>
      <x:c r="B12" s="14" t="str">
        <x:v>Simulation cache movements are shown separately from provider-billed writes.</x:v>
      </x:c>
      <x:c r="C12" s="2" t="str"/>
      <x:c r="D12" s="2"/>
      <x:c r="E12" s="2"/>
      <x:c r="F12" s="2"/>
      <x:c r="G12" s="2"/>
      <x:c r="H12" s="2"/>
      <x:c r="I12" s="2"/>
    </x:row>
    <x:row r="13" ht="56" customHeight="1">
      <x:c r="A13" s="2" t="str">
        <x:v>Pricing scope</x:v>
      </x:c>
      <x:c r="B13" s="14" t="str">
        <x:v>Standard online token rates. Verify rates and model access before use. Cache writes with unspecified lifetime use the 5-minute rate unless an explicit cache_write rate is configured. No batch, regional, long-context, tool, or negotiated pricing adjustments are applied.</x:v>
      </x:c>
      <x:c r="C13" s="2" t="str"/>
      <x:c r="D13" s="2"/>
      <x:c r="E13" s="2"/>
      <x:c r="F13" s="2"/>
      <x:c r="G13" s="2"/>
      <x:c r="H13" s="2"/>
      <x:c r="I13" s="2"/>
    </x:row>
    <x:row r="14" ht="24" customHeight="1">
      <x:c r="A14" s="2"/>
      <x:c r="B14" s="2"/>
      <x:c r="C14" s="2"/>
      <x:c r="D14" s="2"/>
      <x:c r="E14" s="2"/>
      <x:c r="F14" s="2"/>
      <x:c r="G14" s="2"/>
      <x:c r="H14" s="2"/>
      <x:c r="I14" s="2"/>
    </x:row>
    <x:row r="15" ht="44" customHeight="1">
      <x:c r="A15" s="5" t="str">
        <x:v>Model</x:v>
      </x:c>
      <x:c r="B15" s="5" t="str">
        <x:v>Input USD / 1M tokens</x:v>
      </x:c>
      <x:c r="C15" s="5" t="str">
        <x:v>Cache read USD / 1M tokens</x:v>
      </x:c>
      <x:c r="D15" s="5" t="str">
        <x:v>Cache write USD / 1M tokens</x:v>
      </x:c>
      <x:c r="E15" s="5" t="str">
        <x:v>Output USD / 1M tokens</x:v>
      </x:c>
      <x:c r="F15" s="5" t="str">
        <x:v>Reasoning USD / 1M tokens</x:v>
      </x:c>
      <x:c r="G15" s="5" t="str">
        <x:v>Verified date</x:v>
      </x:c>
      <x:c r="H15" s="5" t="str">
        <x:v>Source</x:v>
      </x:c>
      <x:c r="I15" s="5" t="str">
        <x:v>Notes</x:v>
      </x:c>
    </x:row>
    <x:row r="16" ht="72" customHeight="1">
      <x:c r="A16" s="14" t="str">
        <x:v>openai:gpt-5.5</x:v>
      </x:c>
      <x:c r="B16" s="17" t="n">
        <x:v>5</x:v>
      </x:c>
      <x:c r="C16" s="17" t="n">
        <x:v>0.5</x:v>
      </x:c>
      <x:c r="D16" s="17"/>
      <x:c r="E16" s="17" t="n">
        <x:v>30</x:v>
      </x:c>
      <x:c r="F16" s="17" t="n">
        <x:v>30</x:v>
      </x:c>
      <x:c r="G16" s="15" t="n">
        <x:v>46283</x:v>
      </x:c>
      <x:c r="H16" s="14" t="str">
        <x:v>https://developers.openai.com/api/docs/models/gpt-5.5.md</x:v>
      </x:c>
      <x:c r="I16" s="14" t="str">
        <x:v>Cache write assumes 5m when unspecified</x:v>
      </x:c>
    </x:row>
    <x:row r="17" ht="72" customHeight="1">
      <x:c r="A17" s="14" t="str">
        <x:v>openai:gpt-5.6-luna</x:v>
      </x:c>
      <x:c r="B17" s="17" t="n">
        <x:v>0.2</x:v>
      </x:c>
      <x:c r="C17" s="17" t="n">
        <x:v>0.02</x:v>
      </x:c>
      <x:c r="D17" s="17" t="n">
        <x:v>0.25</x:v>
      </x:c>
      <x:c r="E17" s="17" t="n">
        <x:v>1.2</x:v>
      </x:c>
      <x:c r="F17" s="17" t="n">
        <x:v>1.2</x:v>
      </x:c>
      <x:c r="G17" s="15" t="n">
        <x:v>46283</x:v>
      </x:c>
      <x:c r="H17" s="14" t="str">
        <x:v>https://developers.openai.com/api/docs/models/gpt-5.6-luna.md</x:v>
      </x:c>
      <x:c r="I17" s="14" t="str">
        <x:v>Cache write assumes 5m when unspecified</x:v>
      </x:c>
    </x:row>
    <x:row r="18" ht="72" customHeight="1">
      <x:c r="A18" s="14" t="str">
        <x:v>openai:gpt-5.6-sol</x:v>
      </x:c>
      <x:c r="B18" s="17" t="n">
        <x:v>4</x:v>
      </x:c>
      <x:c r="C18" s="17" t="n">
        <x:v>0.4</x:v>
      </x:c>
      <x:c r="D18" s="17" t="n">
        <x:v>5</x:v>
      </x:c>
      <x:c r="E18" s="17" t="n">
        <x:v>20</x:v>
      </x:c>
      <x:c r="F18" s="17" t="n">
        <x:v>20</x:v>
      </x:c>
      <x:c r="G18" s="15" t="n">
        <x:v>46283</x:v>
      </x:c>
      <x:c r="H18" s="14" t="str">
        <x:v>https://developers.openai.com/api/docs/models/gpt-5.6-sol.md</x:v>
      </x:c>
      <x:c r="I18" s="14" t="str">
        <x:v>Cache write assumes 5m when unspecified</x:v>
      </x:c>
    </x:row>
    <x:row r="19" ht="72" customHeight="1">
      <x:c r="A19" s="14" t="str">
        <x:v>anthropic:claude-sonnet-5</x:v>
      </x:c>
      <x:c r="B19" s="17" t="n">
        <x:v>2</x:v>
      </x:c>
      <x:c r="C19" s="17" t="n">
        <x:v>0.2</x:v>
      </x:c>
      <x:c r="D19" s="17" t="n">
        <x:v>2.5</x:v>
      </x:c>
      <x:c r="E19" s="17" t="n">
        <x:v>10</x:v>
      </x:c>
      <x:c r="F19" s="17" t="n">
        <x:v>10</x:v>
      </x:c>
      <x:c r="G19" s="15" t="n">
        <x:v>46283</x:v>
      </x:c>
      <x:c r="H19" s="14" t="str">
        <x:v>https://platform.claude.com/docs/en/about-claude/pricing</x:v>
      </x:c>
      <x:c r="I19" s="14" t="str">
        <x:v>Cache write assumes 5m when unspecified</x:v>
      </x:c>
    </x:row>
    <x:row r="20" ht="72" customHeight="1">
      <x:c r="A20" s="14" t="str">
        <x:v>anthropic:claude-opus-4-8</x:v>
      </x:c>
      <x:c r="B20" s="17" t="n">
        <x:v>5</x:v>
      </x:c>
      <x:c r="C20" s="17" t="n">
        <x:v>0.5</x:v>
      </x:c>
      <x:c r="D20" s="17" t="n">
        <x:v>6.25</x:v>
      </x:c>
      <x:c r="E20" s="17" t="n">
        <x:v>25</x:v>
      </x:c>
      <x:c r="F20" s="17" t="n">
        <x:v>25</x:v>
      </x:c>
      <x:c r="G20" s="15" t="n">
        <x:v>46283</x:v>
      </x:c>
      <x:c r="H20" s="14" t="str">
        <x:v>https://platform.claude.com/docs/en/about-claude/pricing</x:v>
      </x:c>
      <x:c r="I20" s="14" t="str">
        <x:v>Cache write assumes 5m when unspecified</x:v>
      </x:c>
    </x:row>
    <x:row r="21" ht="72" customHeight="1">
      <x:c r="A21" s="14" t="str">
        <x:v>anthropic:claude-fable-5-1</x:v>
      </x:c>
      <x:c r="B21" s="17" t="n">
        <x:v>10</x:v>
      </x:c>
      <x:c r="C21" s="17" t="n">
        <x:v>0.25</x:v>
      </x:c>
      <x:c r="D21" s="17" t="n">
        <x:v>12.5</x:v>
      </x:c>
      <x:c r="E21" s="17" t="n">
        <x:v>50</x:v>
      </x:c>
      <x:c r="F21" s="17" t="n">
        <x:v>50</x:v>
      </x:c>
      <x:c r="G21" s="15" t="n">
        <x:v>46283</x:v>
      </x:c>
      <x:c r="H21" s="14" t="str">
        <x:v>https://platform.claude.com/docs/en/about-claude/pricing</x:v>
      </x:c>
      <x:c r="I21" s="14" t="str">
        <x:v>Cache write assumes 5m when unspecified</x:v>
      </x:c>
    </x:row>
    <x:row r="22" ht="72" customHeight="1">
      <x:c r="A22" s="14" t="str">
        <x:v>demo:scripted-chat</x:v>
      </x:c>
      <x:c r="B22" s="17" t="n">
        <x:v>0.2</x:v>
      </x:c>
      <x:c r="C22" s="17" t="n">
        <x:v>0.02</x:v>
      </x:c>
      <x:c r="D22" s="17" t="n">
        <x:v>0.25</x:v>
      </x:c>
      <x:c r="E22" s="17" t="n">
        <x:v>1.2</x:v>
      </x:c>
      <x:c r="F22" s="17" t="n">
        <x:v>1.2</x:v>
      </x:c>
      <x:c r="G22" s="15" t="n">
        <x:v>46283</x:v>
      </x:c>
      <x:c r="H22" s="14" t="str">
        <x:v>Illustrative demo rates based on openai:gpt-5.6-luna; no provider billing</x:v>
      </x:c>
      <x:c r="I22" s="14" t="str">
        <x:v>Cache write assumes 5m when unspecified</x:v>
      </x:c>
    </x:row>
    <x:row r="23" ht="24" customHeight="1">
      <x:c r="A23" s="2"/>
      <x:c r="B23" s="2"/>
      <x:c r="C23" s="2"/>
      <x:c r="D23" s="2"/>
      <x:c r="E23" s="2"/>
      <x:c r="F23" s="2"/>
      <x:c r="G23" s="2"/>
      <x:c r="H23" s="2"/>
      <x:c r="I23" s="2"/>
    </x:row>
    <x:row r="24" ht="24" customHeight="1">
      <x:c r="A24" s="2"/>
      <x:c r="B24" s="2"/>
      <x:c r="C24" s="2"/>
      <x:c r="D24" s="2"/>
      <x:c r="E24" s="2"/>
      <x:c r="F24" s="2"/>
      <x:c r="G24" s="2"/>
      <x:c r="H24" s="2"/>
      <x:c r="I24" s="2"/>
    </x:row>
    <x:row r="25" ht="24" customHeight="1">
      <x:c r="A25" s="2"/>
      <x:c r="B25" s="2"/>
      <x:c r="C25" s="2"/>
      <x:c r="D25" s="2"/>
      <x:c r="E25" s="2"/>
      <x:c r="F25" s="2"/>
      <x:c r="G25" s="2"/>
      <x:c r="H25" s="2"/>
      <x:c r="I25" s="2"/>
    </x:row>
    <x:row r="26" ht="24" customHeight="1">
      <x:c r="A26" s="2"/>
      <x:c r="B26" s="2"/>
      <x:c r="C26" s="2"/>
      <x:c r="D26" s="2"/>
      <x:c r="E26" s="2"/>
      <x:c r="F26" s="2"/>
      <x:c r="G26" s="2"/>
      <x:c r="H26" s="2"/>
      <x:c r="I26" s="2"/>
    </x:row>
    <x:row r="27" ht="24" customHeight="1">
      <x:c r="A27" s="2"/>
      <x:c r="B27" s="2"/>
      <x:c r="C27" s="2"/>
      <x:c r="D27" s="2"/>
      <x:c r="E27" s="2"/>
      <x:c r="F27" s="2"/>
      <x:c r="G27" s="2"/>
      <x:c r="H27" s="2"/>
      <x:c r="I27" s="2"/>
    </x:row>
    <x:row r="28" ht="24" customHeight="1">
      <x:c r="A28" s="2"/>
      <x:c r="B28" s="2"/>
      <x:c r="C28" s="2"/>
      <x:c r="D28" s="2"/>
      <x:c r="E28" s="2"/>
      <x:c r="F28" s="2"/>
      <x:c r="G28" s="2"/>
      <x:c r="H28" s="2"/>
      <x:c r="I28" s="2"/>
    </x:row>
    <x:row r="29" ht="24" customHeight="1">
      <x:c r="A29" s="2"/>
      <x:c r="B29" s="2"/>
      <x:c r="C29" s="2"/>
      <x:c r="D29" s="2"/>
      <x:c r="E29" s="2"/>
      <x:c r="F29" s="2"/>
      <x:c r="G29" s="2"/>
      <x:c r="H29" s="2"/>
      <x:c r="I29" s="2"/>
    </x:row>
    <x:row r="30" ht="24" customHeight="1">
      <x:c r="A30" s="2"/>
      <x:c r="B30" s="2"/>
      <x:c r="C30" s="2"/>
      <x:c r="D30" s="2"/>
      <x:c r="E30" s="2"/>
      <x:c r="F30" s="2"/>
      <x:c r="G30" s="2"/>
      <x:c r="H30" s="2"/>
      <x:c r="I30" s="2"/>
    </x:row>
  </x:sheetData>
  <x:conditionalFormatting sqref="G16:G22">
    <x:cfRule type="expression" dxfId="0" priority="1">
      <x:formula>G16&lt;TODAY()</x:formula>
    </x:cfRule>
  </x:conditionalFormatting>
  <x:conditionalFormatting sqref="B7:B7">
    <x:cfRule type="expression" dxfId="1" priority="2">
      <x:formula>B7&lt;TODAY()</x:formula>
    </x:cfRule>
  </x:conditionalFormatting>
  <x:dataValidations count="1">
    <x:dataValidation type="whole" operator="greaterThanOrEqual" sqref="B2">
      <x:formula1>0</x:formula1>
    </x:dataValidation>
  </x:dataValidations>
  <x:pageMargins left="0.7" right="0.7" top="0.75" bottom="0.75" header="0.3" footer="0.3"/>
</x:worksheet>
</file>
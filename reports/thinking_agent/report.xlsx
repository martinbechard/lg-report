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<sst xmlns="http://schemas.openxmlformats.org/spreadsheetml/2006/main" count="419" uniqueCount="174">
  <si>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</si>
  <si>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</si>
  <si>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</si>
  <si>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</si>
  <si>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</si>
  <si>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</si>
  <si>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</si>
  <si>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</si>
  <si>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</si>
  <si>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</si>
  <si>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</si>
  <si>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</si>
  <si>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</si>
  <si>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</si>
  <si>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</si>
  <si>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</si>
  <si>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</si>
  <si>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</si>
  <si>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</si>
  <si>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</si>
  <si>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</si>
  <si>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</si>
  <si>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</si>
  <si>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</si>
  <si>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</si>
  <si>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</si>
  <si>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</si>
  <si>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</si>
  <si>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</si>
  <si>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</si>
  <si>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</si>
  <si>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</si>
  <si>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</si>
  <si>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</si>
  <si>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</si>
  <si>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</si>
  <si>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</si>
  <si>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</si>
  <si>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</si>
  <si>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</si>
  <si>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</si>
  <si>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</si>
  <si>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</si>
  <si>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</si>
  <si>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</si>
  <si>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</si>
  <si>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</si>
  <si>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</si>
  <si>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</si>
  <si>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01a0d587-b04c-7653-9364-f52a6d7ab108</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</si>
  <si>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</si>
  <si>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</si>
  <si>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</si>
  <si>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</si>
  <si>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</si>
  <si>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</si>
  <si>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</si>
  <si>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</si>
  <si>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</si>
  <si>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</si>
  <si>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</si>
  <si>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</si>
  <si>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</si>
  <si>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</si>
  <si>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</si>
  <si>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</si>
  <si>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</si>
  <si>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</si>
  <si>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</si>
  <si>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</si>
  <si>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</si>
  <si>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</si>
  <si>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</si>
  <si>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</si>
  <si>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</si>
  <si>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</si>
  <si>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</si>
  <si>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</si>
  <si>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</si>
  <si>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</si>
  <si>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</si>
  <si>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</si>
  <si>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</si>
  <si>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</si>
  <si>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</si>
  <si>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</si>
  <si>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</si>
  <si>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</si>
  <si>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</si>
  <si>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</si>
  <si>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</si>
  <si>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</si>
  <si>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</si>
  <si>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</si>
  <si>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</si>
  <si>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</si>
  <si>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01a0d587-b056-7e50-9325-ebc4f08f9161</t>
  </si>
  <si>
    <t>Input at standard rate</t>
  </si>
  <si>
    <t xml:space="preserve">    Tool definitions</t>
  </si>
  <si>
    <t xml:space="preserve">    System prompt</t>
  </si>
  <si>
    <t>Use the fictional service evidence to propose and validate a latency improvement. Inspect traffic, database behavior, and constraints before testing the plan.</t>
  </si>
  <si>
    <t xml:space="preserve">    User prompt</t>
  </si>
  <si>
    <t>Investigate service latency and validate a plan meeting the constraints.</t>
  </si>
  <si>
    <t>Cache write</t>
  </si>
  <si>
    <t>Context · added / total</t>
  </si>
  <si>
    <t>LLM response</t>
  </si>
  <si>
    <t>Reasoning</t>
  </si>
  <si>
    <t>Output</t>
  </si>
  <si>
    <t xml:space="preserve">    Output content</t>
  </si>
  <si>
    <t>[{"id": "rs_0dcf4f209eb0e9d6006ab5a3c3768c87d2ae1efb3b110746f4", "summary": [], "type": "reasoning", "content": [], "index": 0, "encrypted_content": "gAAAAABqtaPEVFPhPTjMXxWj3Z7ym8YI5XUXqeAo895JGll8xScyxNxdjJHewzEZuyH7e0BdYIpRAWD63w0N50WEidEVLcCF4bZKJIWEZ6vfzxm7KuffgIsdWg_Eqi8vms9sjxMphJla69zX4L7BRCLPmdQlawUrbVkQhUIbhe5yQioVkim92FqVWpR-GAaASCpaFvLW-hGtnRlBj11lvLSlMd1dPaPg9ewntAUEGNO0xGLNljBPOpagoz7_TB3SLAJALN5hqP8wfez8DEAQOzO3fTWEs5-UAwyhE7QLC41jTwA93F2386StQzdlNU7J5I05qJIbeDckOkQ7aLEnrjB9ST88_yQJ1a7c2YrU0ASVviVDg2bgkPJ_IJetsHkmcXUipjh-wz0Us1eUmarc7TbB-TTTlbaw11rG8-LnsEvzxiTviBZ6lVOo3RTUHpJtS3xDxWfs5YhJ_VXp-hKuYhjXbOR6mhIlsNmnd5o9q7Q1yawvAs3h7nHZPbuSleqg21rztXHVqEd0vc1iThRNdrZG7uWgB8Vhwpvhpsdtpr_qlz68n4HqDFdeDcXwafF7BOzyPcHEjhHcQZQqeZNGFLKx0DW2Xuqu87fg2z5dc7t6IZo4i3Yt9VUFZ1MG1Ea0GeOWc11wHYi7ICHa7N8MOWVi1TQCQzXiQSyH7-Kz0wPRnHPXjxepDczFfKgzTBh0R634lYemGXH-G2OLcvniS9W5IOti4s-b-oIWHyo55FAI4vVPnPnird6kqKgjb30lB5gOqndbYotQ9eLgSI5IF0BQxlablFOkVhV-5E0EqghW2zBwdbVGMnERH_ZVbDq7DIDwpHAldyLvkPMndT_f0uq-YT_S6SPOSqIx7v-C5PSAYAYSeNSjdtlI2mwuY3oS-OWFlPSeqDzdV-0V0ay1L1KD3c4WlHTufWZAQB8OG4hk4ZX0Od2uJI4zxUVsOXvA_Dzy3dUlsbX2yxtydEw2tc0LSyp3pGrYnoBc8DftX2qzXHCmDXKxcL6P0fJK47hg9tT4T7t_P8J5yGmV3FJ7MlDDhBmMPLYma6L71V8tXugsGN4oDFqi7peojVFeT-rC5YTusrbcJ-B6SD-ckRQQTu_8tTFbI4XQcfn2ooojfbH07shn0MbOeQH42mYtnrBR_FMd9WglqGsJmfExI6Z1KQaQPSgblfz2uSRq9t27g5C2g7xKXEGYLOYrMtcPSmq_4rCNlRmAWXcCtD6IT21UqOW38KpcJKP0IjvFC5aC8040MORelvuhaXtgK3vLxiykoHTYSxe5GLTvCreSrRLsCOI6mb9_p4Hn6Y0TRo3OGi9PoTZ8m5yP6j0AtaI6vaHKCEarfXROtER6mtUkIZTikLE0w7mhaISGOwNSqnZ4kM2TJ9FEH2svwrk="}, {"type": "function_call", "name": "inspect_service", "arguments": "{\"section\":\"traffic\"}", "call_id": "call_iG0KdCz7JoKtI9OcodprnaDu", "id": "fc_0dcf4f209eb0e9d6006ab5a3c46c7c87d284a0fda549fcd2ce", "index": 1}, {"type": "function_call", "name": "inspect_service", "arguments": "{\"section\":\"database\"}", "call_id": "call_9qO13mReiXkguzC0Uj0cvC5b", "id": "fc_0dcf4f209eb0e9d6006ab5a3c46c9487d284b40a1d212a5479", "index": 2}, {"type": "function_call", "name": "inspect_service", "arguments": "{\"section\":\"constraints\"}", "call_id": "call_ogyvwS89SXb1yUrbrWr4U7XC", "id": "fc_0dcf4f209eb0e9d6006ab5a3c46ca087d282694db4158bc12b", "index": 3}]
{"name": "inspect_service", "args": {"section": "traffic"}, "id": "call_iG0KdCz7JoKtI9OcodprnaDu", "type": "tool_call"}
{"name": "inspect_service", "args": {"section": "database"}, "id": "call_9qO13mReiXkguzC0Uj0cvC5b", "type": "tool_call"}
{"name": "inspect_service", "args": {"section": "constraints"}, "id": "call_ogyvwS89SXb1yUrbrWr4U7XC", "type": "tool_call"}</t>
  </si>
  <si>
    <t>Call total</t>
  </si>
  <si>
    <t>ok</t>
  </si>
  <si>
    <t>Tool · inspect_service</t>
  </si>
  <si>
    <t>01a0d587-b866-7871-a128-d5c227c50af3</t>
  </si>
  <si>
    <t xml:space="preserve">    Arguments</t>
  </si>
  <si>
    <t>{'section': 'traffic'}</t>
  </si>
  <si>
    <t xml:space="preserve">    Result</t>
  </si>
  <si>
    <t>Peak 240 requests/s; p95 1.8s; 12 workers. Latency rises during database bursts.</t>
  </si>
  <si>
    <t>01a0d587-b866-7871-a128-d5da40190df4</t>
  </si>
  <si>
    <t>{'section': 'database'}</t>
  </si>
  <si>
    <t>Pool limit 12. Median query 80ms; p95 900ms. Duplicate account lookups appear per request.</t>
  </si>
  <si>
    <t>01a0d587-b866-7871-a128-d5e4ef0dcfc9</t>
  </si>
  <si>
    <t>{'section': 'constraints'}</t>
  </si>
  <si>
    <t>Target p95 under 500ms. No additional database nodes. Cache lifetime must not exceed 60s.</t>
  </si>
  <si>
    <t>R2</t>
  </si>
  <si>
    <t>01a0d587-b86d-79e0-9ed8-645ca8ae99a9</t>
  </si>
  <si>
    <t>Conversation history · cache read</t>
  </si>
  <si>
    <t xml:space="preserve">    Tool result</t>
  </si>
  <si>
    <t>Peak 240 requests/s; p95 1.8s; 12 workers. Latency rises during database bursts.
Pool limit 12. Median query 80ms; p95 900ms. Duplicate account lookups appear per request.
Target p95 under 500ms. No additional database nodes. Cache lifetime must not exceed 60s.</t>
  </si>
  <si>
    <t>[{"id": "rs_0dcf4f209eb0e9d6006ab5a3c56bcc87d29695a2a5fe15cfcc", "summary": [], "type": "reasoning", "content": [], "index": 0, "encrypted_content": "gAAAAABqtaPGmZWpjQ0O1CcqqRAWiZ60TOL9U1-1LE-6WsBX7u9QN2M_TlUh4XqdwUPlSIA92YUkKZokKzVZhBPOiPvn5PkwXVZ9jmuRz4KJwopNjkvpH2q6dg7_zOxu1KpgU7jvqUFgc3Gp_YjtmJ-24mv7DIko3LmqOc3Tjph6xssLQQQqUUy28Z8KNpilIe3WEjEy-FlDp0FDtoF0gR_ddjLdUT3DkZjHjTRBPRNV8doZCXXlgcffb8DoEcJt74kZuCdG8mCa5lmoDgcy2UyQRXgd1GkriQaMaJxclQbWJVzhQKi8Dn9hFmnEMaPtyIOCwKDmF8K6ptzUkUtRv_UajCgWUVIvwMOBy3wpgf8UT-8J8fa7qwCbypk2Lu6aviJ4RTki6EeuxByB7Pga8HINL_tUVjHJp5LoiLiBn1v7BlziwC4PM1mt4fN8lgnPCZvlf7REutF5yr1R1t-Ow82qEYdNmuIhZLQ67_BP5Ze6tmRGilHmoZZakCYVbJ9DVLyj0o65AC3LCxrTUKPc25DWm9x59z3BBRVLgT4KCkeD8oODiT1fPx_itX5R9lZ2B5UcoaOhp9a_Gp9ei1kTKSPfbcyTZMcI6L3HMaHr56hVHBVO3VW6HHw49Rf5y7bXdcE9dxazRaxmN_h8H4hcfvm9GwcxL44LvhwDdxBb_mKo3H7YCBITz51cAUh1XSZVRbq4maBAXQ6LjOQaDKijofNRxLpLbgwt_CCzW917r-mUPc5_BwUmYcWBSlYwIh_RW_zDdpht7vR7pqgFX88GbYLPEYTxzt7GSSnd_DMVreYICUKSE65BWLUc0syZb_DF9Sz7-hTwZKpYvPK8ucWwi-PlGZiA4M3q0atoweSzFJtAQm5MFUzV1Z-0F4pUZMv10M4xy5b-LV3_YM1tgc_WwpxcmPTM2ioi-VTTEHzDOGst-0RUJio9OecDw4SAtJW4jAgn_HkyAvxj-K6CFOWstcn-CfR9UlkmHz2Ri6DVIoyPF8_nA-YqYKgE3KCJJtv7bAKJP-86zq7vCWIIzU_XBSg6_NdFqsfa4d54NT5jxNzh95_yUvGVEkjaZINpgKo0arGiQLVkMa_-mCEB_Bv-nTZBWHUdqgVIINVe1B82noIMFs_1FFqJrtxwXggwYePshvgz1EUfKypU2SUuVzx8mTjVHyRJtkW4TsuPTMH9ux-5pYOwm8WTzlKrAfFqrZpuNpJOZAjtZgkgNzRs638F4AejKHs3uyU6dnaRvS5KT-vPveC59HAVeEOwg_5GaKAgpj0nAZ7_acsmNNrrI43YGyt-hk8_L2HafsZb-YuwmIl-7Jm4LWy5QZ1FYWt0AngTT0d1RqFwfTx4nvMUP-1iPTYYebTnDIuwsJZnLCU4iL1-4W2evky6S8FOUTAVwcLMvftRM4LRixGA8uzY1pNK6rHDv9iBzUqD69DKIbxIsjgoirK7BxDRi-tJYnsN94VVMLp-wvJSyzb-1m5HgsNzUmxjmkAg0Nd5CA=="}, {"type": "function_call", "name": "test_plan", "arguments": "{\"check\":\"load\"}", "call_id": "call_8B4ENaYezGivImb0tXxJl4zO", "id": "fc_0dcf4f209eb0e9d6006ab5a3c67d0887d292d41560302fe6ff", "index": 1}, {"type": "function_call", "name": "test_plan", "arguments": "{\"check\":\"freshness\"}", "call_id": "call_jfOQjRwf2fifrW61g61qMSxF", "id": "fc_0dcf4f209eb0e9d6006ab5a3c67d1887d2892ea9971e27ec17", "index": 2}, {"type": "function_call", "name": "test_plan", "arguments": "{\"check\":\"rollback\"}", "call_id": "call_VOcNhmRnXa2Y9jVrz3iUB1r5", "id": "fc_0dcf4f209eb0e9d6006ab5a3c67d2087d284661f6d97db3d86", "index": 3}]
{"name": "test_plan", "args": {"check": "load"}, "id": "call_8B4ENaYezGivImb0tXxJl4zO", "type": "tool_call"}
{"name": "test_plan", "args": {"check": "freshness"}, "id": "call_jfOQjRwf2fifrW61g61qMSxF", "type": "tool_call"}
{"name": "test_plan", "args": {"check": "rollback"}, "id": "call_VOcNhmRnXa2Y9jVrz3iUB1r5", "type": "tool_call"}</t>
  </si>
  <si>
    <t>Tool · test_plan</t>
  </si>
  <si>
    <t>01a0d587-bfca-7b60-800f-5f032a343158</t>
  </si>
  <si>
    <t>{'check': 'load'}</t>
  </si>
  <si>
    <t>PASS: deduplicated lookups plus 30s cache yield p95 410ms at 240 requests/s; pool occupancy 65%.</t>
  </si>
  <si>
    <t>01a0d587-bfcb-7493-86c8-066077c37678</t>
  </si>
  <si>
    <t>{'check': 'freshness'}</t>
  </si>
  <si>
    <t>PASS: account changes invalidate cached values; maximum fallback age is 30s.</t>
  </si>
  <si>
    <t>01a0d587-bfcb-7493-86c8-06709a8fb298</t>
  </si>
  <si>
    <t>{'check': 'rollback'}</t>
  </si>
  <si>
    <t>PASS: feature flag restores original lookup path; no schema migration required.</t>
  </si>
  <si>
    <t>R3</t>
  </si>
  <si>
    <t>01a0d587-bfd6-72e2-be75-3da1f2efa6eb</t>
  </si>
  <si>
    <t>PASS: deduplicated lookups plus 30s cache yield p95 410ms at 240 requests/s; pool occupancy 65%.
PASS: account changes invalidate cached values; maximum fallback age is 30s.
PASS: feature flag restores original lookup path; no schema migration required.</t>
  </si>
  <si>
    <t>[{"type": "text", "text": "## Findings\n\n- Traffic peaks at **240 requests/s** with current p95 latency of **1.8 s**.\n- Latency increases during database bursts.\n- The database connection pool is capped at **12** connections.\n- Queries have an **80 ms median** but **900 ms p95** latency.\n- Requests perform duplicate account lookups.\n\n## Proposed latency improvement\n\n1. **Deduplicate account lookups within each request** so repeated references share one in-flight query.\n2. Add a short-lived account cache with a **30-second TTL**.\n3. Invalidate cached account data when account changes occur.\n4. Gate the change behind a feature flag so the existing lookup path can be restored immediately.\n5. Avoid adding database nodes or requiring schema changes.\n\n## Validation\n\n- **Load:** Passed. At 240 requests/s, deduplication plus the 30-second cache produces **410 ms p95 latency**, below the **500 ms target**. Pool occupancy is approximately **65%**.\n- **Freshness:** Passed. Account updates invalidate cached values, and fallback data cannot exceed **30 seconds** old.\n- **Rollback:** Passed. Disabling the feature flag restores the original lookup path, with no schema migration required.\n\nThis plan satisfies all stated constraints and is expected to reduce database burst pressure while meeting the latency target.", "phase": "final_answer", "index": 0, "id": "msg_0dcf4f209eb0e9d6006ab5a3c738f887d2be89b229b6b4b473"}]</t>
  </si>
  <si>
    <t>investigation_agent</t>
  </si>
  <si>
    <t>workflow</t>
  </si>
  <si>
    <t>Execute the investigation_agent workflow operation and pass its result to the next graph step.</t>
  </si>
  <si>
    <t>Subtree total</t>
  </si>
  <si>
    <t xml:space="preserve">    PatchToolCallsMiddleware.before_agent</t>
  </si>
  <si>
    <t>Check message history and repair missing tool responses before the agent starts.</t>
  </si>
  <si>
    <t>01a0d587-b04f-7b73-8ae4-d187b3b1b04f</t>
  </si>
  <si>
    <t>No model charge</t>
  </si>
  <si>
    <t xml:space="preserve">    model</t>
  </si>
  <si>
    <t>Prepare the current conversation, run model middleware, and invoke the chat model.</t>
  </si>
  <si>
    <t>01a0d587-b050-7ae0-b2c7-51aa65f4e355</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</si>
  <si>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</si>
  <si>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</si>
  <si>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</si>
  <si>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</si>
  <si>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</si>
  <si>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</si>
  <si>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01a0d587-b863-7430-a472-54ef91260ade</t>
  </si>
  <si>
    <t xml:space="preserve">        inspect_service</t>
  </si>
  <si>
    <t>tool</t>
  </si>
  <si>
    <t>Read fictional service evidence; no live service is inspected.</t>
  </si>
  <si>
    <t>01a0d587-b863-7430-a472-54f1eab3357e</t>
  </si>
  <si>
    <t>01a0d587-b863-7430-a472-5501eabdde94</t>
  </si>
  <si>
    <t>01a0d587-b86a-77a1-9f8f-0b849486b6ce</t>
  </si>
  <si>
    <t>01a0d587-bfc8-7a62-a7b1-cf0029a244ee</t>
  </si>
  <si>
    <t xml:space="preserve">        test_plan</t>
  </si>
  <si>
    <t>Return a fixed fictional plan-check result; no real test is executed.</t>
  </si>
  <si>
    <t>01a0d587-bfc8-7a62-a7b1-cf11aabfeeb3</t>
  </si>
  <si>
    <t>01a0d587-bfc8-7a62-a7b1-cf21e87619f1</t>
  </si>
  <si>
    <t>01a0d587-bfd2-7dd1-be10-fa39c04ad4ca</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</si>
</sst>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IF(COUNT('Turns'!E17,'Turns'!E39,'Turns'!E60)=3,SUM('Turns'!E17,'Turns'!E39,'Turns'!E60),"Unknown")</f>
        <v>0.0011438731376</v>
      </c>
      <c r="F2" s="2">
        <f>IF(COUNT('Turns'!F17,'Turns'!F39,'Turns'!F60)=3,SUM('Turns'!F17,'Turns'!F39,'Turns'!F60),"Unknown")</f>
        <v>0.00130024</v>
      </c>
      <c r="G2" s="5">
        <f>IF(ISNUMBER(E2),ROUND(E2*'Reference data'!$B$2,0),"Unknown")</f>
        <v>114.0</v>
      </c>
      <c r="H2" s="5">
        <f>IF(ISNUMBER(F2),ROUND(F2*'Reference data'!$B$2,0),"Unknown")</f>
        <v>130.0</v>
      </c>
    </row>
    <row r="3" spans="1:13" s="4" customFormat="1" ht="24" customHeight="1">
      <c r="B3" s="4">
        <v>1</v>
      </c>
      <c r="C3" s="4" t="s">
        <v>92</v>
      </c>
      <c r="E3" s="2">
        <f>IF(COUNT('Turns'!E17,'Turns'!E39,'Turns'!E60)=3,SUM('Turns'!E17,'Turns'!E39,'Turns'!E60),"Unknown")</f>
        <v>0.0011438731376</v>
      </c>
      <c r="F3" s="2">
        <f>IF(COUNT('Turns'!F17,'Turns'!F39,'Turns'!F60)=3,SUM('Turns'!F17,'Turns'!F39,'Turns'!F60),"Unknown")</f>
        <v>0.00130024</v>
      </c>
      <c r="G3" s="5">
        <f>IF(ISNUMBER(E3),ROUND(E3*'Reference data'!$B$2,0),"Unknown")</f>
        <v>114.0</v>
      </c>
      <c r="H3" s="5">
        <f>IF(ISNUMBER(F3),ROUND(F3*'Reference data'!$B$2,0),"Unknown")</f>
        <v>130.0</v>
      </c>
    </row>
    <row r="4" spans="1:13" s="4" customFormat="1" ht="24" customHeight="1">
      <c r="A4" s="4" t="s">
        <v>93</v>
      </c>
      <c r="B4" s="4">
        <v>1</v>
      </c>
      <c r="C4" s="4" t="s">
        <v>94</v>
      </c>
      <c r="D4" s="4">
        <v>2102</v>
      </c>
      <c r="J4" s="4" t="s">
        <v>95</v>
      </c>
      <c r="M4" s="4" t="s">
        <v>96</v>
      </c>
    </row>
    <row r="5" spans="1:13" ht="24" customHeight="1">
      <c r="A5" t="s">
        <v>93</v>
      </c>
      <c r="B5">
        <v>1</v>
      </c>
      <c r="C5" t="s">
        <v>97</v>
      </c>
      <c r="D5" s="5">
        <v>3</v>
      </c>
      <c r="E5" s="2">
        <f>IF(AND(ISNUMBER(F5),ISNUMBER('Reference data'!$B$3)),F5*'Reference data'!$B$3,"Unknown")</f>
        <v>5.27844e-07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34" customHeight="1">
      <c r="A7" t="s">
        <v>93</v>
      </c>
      <c r="B7">
        <v>1</v>
      </c>
      <c r="C7" t="s">
        <v>99</v>
      </c>
      <c r="I7" s="6" t="s">
        <v>100</v>
      </c>
    </row>
    <row r="8" spans="1:13" ht="24" customHeight="1">
      <c r="A8" t="s">
        <v>93</v>
      </c>
      <c r="B8">
        <v>1</v>
      </c>
      <c r="C8" t="s">
        <v>101</v>
      </c>
      <c r="I8" s="6" t="s">
        <v>102</v>
      </c>
    </row>
    <row r="9" spans="1:13" ht="24" customHeight="1">
      <c r="A9" t="s">
        <v>93</v>
      </c>
      <c r="B9">
        <v>1</v>
      </c>
      <c r="C9" t="s">
        <v>103</v>
      </c>
      <c r="D9" s="5">
        <v>2099</v>
      </c>
      <c r="E9" s="2">
        <f>IF(AND(ISNUMBER(F9),ISNUMBER('Reference data'!$B$3)),F9*'Reference data'!$B$3,"Unknown")</f>
        <v>0.000461643565</v>
      </c>
      <c r="F9" s="2">
        <f>IF(D9=0,0,IF(ISNUMBER('Reference data'!D17),D9*'Reference data'!D17/1000000,"Unknown"))</f>
        <v>0.00052475</v>
      </c>
      <c r="G9" s="5">
        <f>IF(ISNUMBER(E9),ROUND(E9*'Reference data'!$B$2,0),"Unknown")</f>
        <v>46.0</v>
      </c>
      <c r="H9" s="5">
        <f>IF(ISNUMBER(F9),ROUND(F9*'Reference data'!$B$2,0),"Unknown")</f>
        <v>52.0</v>
      </c>
    </row>
    <row r="10" spans="1:13" ht="24" customHeight="1">
      <c r="A10" t="s">
        <v>93</v>
      </c>
      <c r="B10">
        <v>1</v>
      </c>
      <c r="C10" t="s">
        <v>104</v>
      </c>
    </row>
    <row r="11" spans="1:13" s="4" customFormat="1" ht="24" customHeight="1">
      <c r="A11" s="4" t="s">
        <v>93</v>
      </c>
      <c r="B11" s="4">
        <v>1</v>
      </c>
      <c r="C11" s="4" t="s">
        <v>105</v>
      </c>
      <c r="D11" s="4">
        <v>93</v>
      </c>
    </row>
    <row r="12" spans="1:13" ht="24" customHeight="1">
      <c r="A12" t="s">
        <v>93</v>
      </c>
      <c r="B12">
        <v>1</v>
      </c>
      <c r="C12" t="s">
        <v>106</v>
      </c>
      <c r="D12" s="5">
        <v>29</v>
      </c>
      <c r="E12" s="2">
        <f>IF(AND(ISNUMBER(F12),ISNUMBER('Reference data'!$B$3)),F12*'Reference data'!$B$3,"Unknown")</f>
        <v>3.0614952e-05</v>
      </c>
      <c r="F12" s="2">
        <f>IF(D12=0,0,IF(ISNUMBER('Reference data'!F17),D12*'Reference data'!F17/1000000,"Unknown"))</f>
        <v>3.48e-05</v>
      </c>
      <c r="G12" s="5">
        <f>IF(ISNUMBER(E12),ROUND(E12*'Reference data'!$B$2,0),"Unknown")</f>
        <v>3.0</v>
      </c>
      <c r="H12" s="5">
        <f>IF(ISNUMBER(F12),ROUND(F12*'Reference data'!$B$2,0),"Unknown")</f>
        <v>3.0</v>
      </c>
    </row>
    <row r="13" spans="1:13" ht="24" customHeight="1">
      <c r="A13" t="s">
        <v>93</v>
      </c>
      <c r="B13">
        <v>1</v>
      </c>
      <c r="C13" t="s">
        <v>107</v>
      </c>
      <c r="D13" s="5">
        <v>64</v>
      </c>
      <c r="E13" s="2">
        <f>IF(AND(ISNUMBER(F13),ISNUMBER('Reference data'!$B$3)),F13*'Reference data'!$B$3,"Unknown")</f>
        <v>6.7564032e-05</v>
      </c>
      <c r="F13" s="2">
        <f>IF(D13=0,0,IF(ISNUMBER('Reference data'!E17),D13*'Reference data'!E17/1000000,"Unknown"))</f>
        <v>7.68e-05</v>
      </c>
      <c r="G13" s="5">
        <f>IF(ISNUMBER(E13),ROUND(E13*'Reference data'!$B$2,0),"Unknown")</f>
        <v>7.0</v>
      </c>
      <c r="H13" s="5">
        <f>IF(ISNUMBER(F13),ROUND(F13*'Reference data'!$B$2,0),"Unknown")</f>
        <v>8.0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0.000560350393</v>
      </c>
      <c r="F17" s="2">
        <f>IF(COUNT('Turns'!F5,'Turns'!F9,'Turns'!F12,'Turns'!F13)=4,SUM('Turns'!F5,'Turns'!F9,'Turns'!F12,'Turns'!F13),"Unknown")</f>
        <v>0.00063695</v>
      </c>
      <c r="G17" s="5">
        <f>IF(ISNUMBER(E17),ROUND(E17*'Reference data'!$B$2,0),"Unknown")</f>
        <v>56.0</v>
      </c>
      <c r="H17" s="5">
        <f>IF(ISNUMBER(F17),ROUND(F17*'Reference data'!$B$2,0),"Unknown")</f>
        <v>64.0</v>
      </c>
      <c r="K17" s="4" t="s">
        <v>111</v>
      </c>
    </row>
    <row r="18" spans="1:13" s="4" customFormat="1" ht="24" customHeight="1">
      <c r="B18" s="4">
        <v>1</v>
      </c>
      <c r="C18" s="4" t="s">
        <v>112</v>
      </c>
      <c r="K18" s="4" t="s">
        <v>111</v>
      </c>
      <c r="M18" s="4" t="s">
        <v>113</v>
      </c>
    </row>
    <row r="19" spans="1:13" ht="24" customHeight="1">
      <c r="B19">
        <v>1</v>
      </c>
      <c r="C19" t="s">
        <v>114</v>
      </c>
      <c r="I19" s="6" t="s">
        <v>115</v>
      </c>
    </row>
    <row r="20" spans="1:13" ht="24" customHeight="1">
      <c r="B20">
        <v>1</v>
      </c>
      <c r="C20" t="s">
        <v>116</v>
      </c>
      <c r="I20" s="6" t="s">
        <v>117</v>
      </c>
    </row>
    <row r="21" spans="1:13" s="4" customFormat="1" ht="24" customHeight="1">
      <c r="B21" s="4">
        <v>1</v>
      </c>
      <c r="C21" s="4" t="s">
        <v>112</v>
      </c>
      <c r="K21" s="4" t="s">
        <v>111</v>
      </c>
      <c r="M21" s="4" t="s">
        <v>118</v>
      </c>
    </row>
    <row r="22" spans="1:13" ht="24" customHeight="1">
      <c r="B22">
        <v>1</v>
      </c>
      <c r="C22" t="s">
        <v>114</v>
      </c>
      <c r="I22" s="6" t="s">
        <v>119</v>
      </c>
    </row>
    <row r="23" spans="1:13" ht="34" customHeight="1">
      <c r="B23">
        <v>1</v>
      </c>
      <c r="C23" t="s">
        <v>116</v>
      </c>
      <c r="I23" s="6" t="s">
        <v>120</v>
      </c>
    </row>
    <row r="24" spans="1:13" s="4" customFormat="1" ht="24" customHeight="1">
      <c r="B24" s="4">
        <v>1</v>
      </c>
      <c r="C24" s="4" t="s">
        <v>112</v>
      </c>
      <c r="K24" s="4" t="s">
        <v>111</v>
      </c>
      <c r="M24" s="4" t="s">
        <v>121</v>
      </c>
    </row>
    <row r="25" spans="1:13" ht="24" customHeight="1">
      <c r="B25">
        <v>1</v>
      </c>
      <c r="C25" t="s">
        <v>114</v>
      </c>
      <c r="I25" s="6" t="s">
        <v>122</v>
      </c>
    </row>
    <row r="26" spans="1:13" ht="34" customHeight="1">
      <c r="B26">
        <v>1</v>
      </c>
      <c r="C26" t="s">
        <v>116</v>
      </c>
      <c r="I26" s="6" t="s">
        <v>123</v>
      </c>
    </row>
    <row r="27" spans="1:13" s="4" customFormat="1" ht="24" customHeight="1">
      <c r="A27" s="4" t="s">
        <v>124</v>
      </c>
      <c r="B27" s="4">
        <v>1</v>
      </c>
      <c r="C27" s="4" t="s">
        <v>94</v>
      </c>
      <c r="D27" s="4">
        <v>2296</v>
      </c>
      <c r="J27" s="4" t="s">
        <v>95</v>
      </c>
      <c r="M27" s="4" t="s">
        <v>125</v>
      </c>
    </row>
    <row r="28" spans="1:13" ht="24" customHeight="1">
      <c r="A28" t="s">
        <v>124</v>
      </c>
      <c r="B28">
        <v>1</v>
      </c>
      <c r="C28" t="s">
        <v>126</v>
      </c>
      <c r="D28" s="5">
        <v>2099</v>
      </c>
      <c r="E28" s="2">
        <f>IF(AND(ISNUMBER(F28),ISNUMBER('Reference data'!$B$3)),F28*'Reference data'!$B$3,"Unknown")</f>
        <v>3.69314852e-05</v>
      </c>
      <c r="F28" s="2">
        <f>IF(D28=0,0,IF(ISNUMBER('Reference data'!C17),D28*'Reference data'!C17/1000000,"Unknown"))</f>
        <v>4.198e-05</v>
      </c>
      <c r="G28" s="5">
        <f>IF(ISNUMBER(E28),ROUND(E28*'Reference data'!$B$2,0),"Unknown")</f>
        <v>4.0</v>
      </c>
      <c r="H28" s="5">
        <f>IF(ISNUMBER(F28),ROUND(F28*'Reference data'!$B$2,0),"Unknown")</f>
        <v>4.0</v>
      </c>
    </row>
    <row r="29" spans="1:13" ht="24" customHeight="1">
      <c r="A29" t="s">
        <v>124</v>
      </c>
      <c r="B29">
        <v>1</v>
      </c>
      <c r="C29" t="s">
        <v>97</v>
      </c>
      <c r="D29" s="5">
        <v>3</v>
      </c>
      <c r="E29" s="2">
        <f>IF(AND(ISNUMBER(F29),ISNUMBER('Reference data'!$B$3)),F29*'Reference data'!$B$3,"Unknown")</f>
        <v>5.27844e-07</v>
      </c>
      <c r="F29" s="2">
        <f>IF(D29=0,0,IF(ISNUMBER('Reference data'!B17),D29*'Reference data'!B17/1000000,"Unknown"))</f>
        <v>6e-07</v>
      </c>
      <c r="G29" s="5">
        <f>IF(ISNUMBER(E29),ROUND(E29*'Reference data'!$B$2,0),"Unknown")</f>
        <v>0.0</v>
      </c>
      <c r="H29" s="5">
        <f>IF(ISNUMBER(F29),ROUND(F29*'Reference data'!$B$2,0),"Unknown")</f>
        <v>0.0</v>
      </c>
    </row>
    <row r="30" spans="1:13" ht="73" customHeight="1">
      <c r="A30" t="s">
        <v>124</v>
      </c>
      <c r="B30">
        <v>1</v>
      </c>
      <c r="C30" t="s">
        <v>127</v>
      </c>
      <c r="I30" s="6" t="s">
        <v>128</v>
      </c>
    </row>
    <row r="31" spans="1:13" ht="24" customHeight="1">
      <c r="A31" t="s">
        <v>124</v>
      </c>
      <c r="B31">
        <v>1</v>
      </c>
      <c r="C31" t="s">
        <v>103</v>
      </c>
      <c r="D31" s="5">
        <v>194</v>
      </c>
      <c r="E31" s="2">
        <f>IF(AND(ISNUMBER(F31),ISNUMBER('Reference data'!$B$3)),F31*'Reference data'!$B$3,"Unknown")</f>
        <v>4.266739e-05</v>
      </c>
      <c r="F31" s="2">
        <f>IF(D31=0,0,IF(ISNUMBER('Reference data'!D17),D31*'Reference data'!D17/1000000,"Unknown"))</f>
        <v>4.85e-05</v>
      </c>
      <c r="G31" s="5">
        <f>IF(ISNUMBER(E31),ROUND(E31*'Reference data'!$B$2,0),"Unknown")</f>
        <v>4.0</v>
      </c>
      <c r="H31" s="5">
        <f>IF(ISNUMBER(F31),ROUND(F31*'Reference data'!$B$2,0),"Unknown")</f>
        <v>5.0</v>
      </c>
    </row>
    <row r="32" spans="1:13" ht="24" customHeight="1">
      <c r="A32" t="s">
        <v>124</v>
      </c>
      <c r="B32">
        <v>1</v>
      </c>
      <c r="C32" t="s">
        <v>104</v>
      </c>
    </row>
    <row r="33" spans="1:13" s="4" customFormat="1" ht="24" customHeight="1">
      <c r="A33" s="4" t="s">
        <v>124</v>
      </c>
      <c r="B33" s="4">
        <v>1</v>
      </c>
      <c r="C33" s="4" t="s">
        <v>105</v>
      </c>
      <c r="D33" s="4">
        <v>119</v>
      </c>
    </row>
    <row r="34" spans="1:13" ht="24" customHeight="1">
      <c r="A34" t="s">
        <v>124</v>
      </c>
      <c r="B34">
        <v>1</v>
      </c>
      <c r="C34" t="s">
        <v>106</v>
      </c>
      <c r="D34" s="5">
        <v>54</v>
      </c>
      <c r="E34" s="2">
        <f>IF(AND(ISNUMBER(F34),ISNUMBER('Reference data'!$B$3)),F34*'Reference data'!$B$3,"Unknown")</f>
        <v>5.7007152e-05</v>
      </c>
      <c r="F34" s="2">
        <f>IF(D34=0,0,IF(ISNUMBER('Reference data'!F17),D34*'Reference data'!F17/1000000,"Unknown"))</f>
        <v>6.48e-05</v>
      </c>
      <c r="G34" s="5">
        <f>IF(ISNUMBER(E34),ROUND(E34*'Reference data'!$B$2,0),"Unknown")</f>
        <v>6.0</v>
      </c>
      <c r="H34" s="5">
        <f>IF(ISNUMBER(F34),ROUND(F34*'Reference data'!$B$2,0),"Unknown")</f>
        <v>6.0</v>
      </c>
    </row>
    <row r="35" spans="1:13" ht="24" customHeight="1">
      <c r="A35" t="s">
        <v>124</v>
      </c>
      <c r="B35">
        <v>1</v>
      </c>
      <c r="C35" t="s">
        <v>107</v>
      </c>
      <c r="D35" s="5">
        <v>65</v>
      </c>
      <c r="E35" s="2">
        <f>IF(AND(ISNUMBER(F35),ISNUMBER('Reference data'!$B$3)),F35*'Reference data'!$B$3,"Unknown")</f>
        <v>6.861972e-05</v>
      </c>
      <c r="F35" s="2">
        <f>IF(D35=0,0,IF(ISNUMBER('Reference data'!E17),D35*'Reference data'!E17/1000000,"Unknown"))</f>
        <v>7.8e-05</v>
      </c>
      <c r="G35" s="5">
        <f>IF(ISNUMBER(E35),ROUND(E35*'Reference data'!$B$2,0),"Unknown")</f>
        <v>7.0</v>
      </c>
      <c r="H35" s="5">
        <f>IF(ISNUMBER(F35),ROUND(F35*'Reference data'!$B$2,0),"Unknown")</f>
        <v>8.0</v>
      </c>
    </row>
    <row r="36" spans="1:13" ht="409" customHeight="1">
      <c r="A36" t="s">
        <v>124</v>
      </c>
      <c r="B36">
        <v>1</v>
      </c>
      <c r="C36" t="s">
        <v>108</v>
      </c>
      <c r="I36" s="6" t="s">
        <v>129</v>
      </c>
    </row>
    <row r="37" spans="1:13" ht="24" customHeight="1">
      <c r="A37" t="s">
        <v>124</v>
      </c>
      <c r="B37">
        <v>1</v>
      </c>
      <c r="C37" t="s">
        <v>103</v>
      </c>
    </row>
    <row r="38" spans="1:13" ht="24" customHeight="1">
      <c r="A38" t="s">
        <v>124</v>
      </c>
      <c r="B38">
        <v>1</v>
      </c>
      <c r="C38" t="s">
        <v>104</v>
      </c>
    </row>
    <row r="39" spans="1:13" s="4" customFormat="1" ht="24" customHeight="1">
      <c r="A39" s="4" t="s">
        <v>124</v>
      </c>
      <c r="B39" s="4">
        <v>1</v>
      </c>
      <c r="C39" s="4" t="s">
        <v>110</v>
      </c>
      <c r="E39" s="2">
        <f>IF(COUNT('Turns'!E28,'Turns'!E29,'Turns'!E31,'Turns'!E34,'Turns'!E35)=5,SUM('Turns'!E28,'Turns'!E29,'Turns'!E31,'Turns'!E34,'Turns'!E35),"Unknown")</f>
        <v>0.0002057535912</v>
      </c>
      <c r="F39" s="2">
        <f>IF(COUNT('Turns'!F28,'Turns'!F29,'Turns'!F31,'Turns'!F34,'Turns'!F35)=5,SUM('Turns'!F28,'Turns'!F29,'Turns'!F31,'Turns'!F34,'Turns'!F35),"Unknown")</f>
        <v>0.00023388</v>
      </c>
      <c r="G39" s="5">
        <f>IF(ISNUMBER(E39),ROUND(E39*'Reference data'!$B$2,0),"Unknown")</f>
        <v>21.0</v>
      </c>
      <c r="H39" s="5">
        <f>IF(ISNUMBER(F39),ROUND(F39*'Reference data'!$B$2,0),"Unknown")</f>
        <v>23.0</v>
      </c>
      <c r="K39" s="4" t="s">
        <v>111</v>
      </c>
    </row>
    <row r="40" spans="1:13" s="4" customFormat="1" ht="24" customHeight="1">
      <c r="B40" s="4">
        <v>1</v>
      </c>
      <c r="C40" s="4" t="s">
        <v>130</v>
      </c>
      <c r="K40" s="4" t="s">
        <v>111</v>
      </c>
      <c r="M40" s="4" t="s">
        <v>131</v>
      </c>
    </row>
    <row r="41" spans="1:13" ht="24" customHeight="1">
      <c r="B41">
        <v>1</v>
      </c>
      <c r="C41" t="s">
        <v>114</v>
      </c>
      <c r="I41" s="6" t="s">
        <v>132</v>
      </c>
    </row>
    <row r="42" spans="1:13" ht="34" customHeight="1">
      <c r="B42">
        <v>1</v>
      </c>
      <c r="C42" t="s">
        <v>116</v>
      </c>
      <c r="I42" s="6" t="s">
        <v>133</v>
      </c>
    </row>
    <row r="43" spans="1:13" s="4" customFormat="1" ht="24" customHeight="1">
      <c r="B43" s="4">
        <v>1</v>
      </c>
      <c r="C43" s="4" t="s">
        <v>130</v>
      </c>
      <c r="K43" s="4" t="s">
        <v>111</v>
      </c>
      <c r="M43" s="4" t="s">
        <v>134</v>
      </c>
    </row>
    <row r="44" spans="1:13" ht="24" customHeight="1">
      <c r="B44">
        <v>1</v>
      </c>
      <c r="C44" t="s">
        <v>114</v>
      </c>
      <c r="I44" s="6" t="s">
        <v>135</v>
      </c>
    </row>
    <row r="45" spans="1:13" ht="24" customHeight="1">
      <c r="B45">
        <v>1</v>
      </c>
      <c r="C45" t="s">
        <v>116</v>
      </c>
      <c r="I45" s="6" t="s">
        <v>136</v>
      </c>
    </row>
    <row r="46" spans="1:13" s="4" customFormat="1" ht="24" customHeight="1">
      <c r="B46" s="4">
        <v>1</v>
      </c>
      <c r="C46" s="4" t="s">
        <v>130</v>
      </c>
      <c r="K46" s="4" t="s">
        <v>111</v>
      </c>
      <c r="M46" s="4" t="s">
        <v>137</v>
      </c>
    </row>
    <row r="47" spans="1:13" ht="24" customHeight="1">
      <c r="B47">
        <v>1</v>
      </c>
      <c r="C47" t="s">
        <v>114</v>
      </c>
      <c r="I47" s="6" t="s">
        <v>138</v>
      </c>
    </row>
    <row r="48" spans="1:13" ht="24" customHeight="1">
      <c r="B48">
        <v>1</v>
      </c>
      <c r="C48" t="s">
        <v>116</v>
      </c>
      <c r="I48" s="6" t="s">
        <v>139</v>
      </c>
    </row>
    <row r="49" spans="1:13" s="4" customFormat="1" ht="24" customHeight="1">
      <c r="A49" s="4" t="s">
        <v>140</v>
      </c>
      <c r="B49" s="4">
        <v>1</v>
      </c>
      <c r="C49" s="4" t="s">
        <v>94</v>
      </c>
      <c r="D49" s="4">
        <v>2503</v>
      </c>
      <c r="J49" s="4" t="s">
        <v>95</v>
      </c>
      <c r="M49" s="4" t="s">
        <v>141</v>
      </c>
    </row>
    <row r="50" spans="1:13" ht="24" customHeight="1">
      <c r="A50" t="s">
        <v>140</v>
      </c>
      <c r="B50">
        <v>1</v>
      </c>
      <c r="C50" t="s">
        <v>126</v>
      </c>
      <c r="D50" s="5">
        <v>2293</v>
      </c>
      <c r="E50" s="2">
        <f>IF(AND(ISNUMBER(F50),ISNUMBER('Reference data'!$B$3)),F50*'Reference data'!$B$3,"Unknown")</f>
        <v>4.03448764e-05</v>
      </c>
      <c r="F50" s="2">
        <f>IF(D50=0,0,IF(ISNUMBER('Reference data'!C17),D50*'Reference data'!C17/1000000,"Unknown"))</f>
        <v>4.586e-05</v>
      </c>
      <c r="G50" s="5">
        <f>IF(ISNUMBER(E50),ROUND(E50*'Reference data'!$B$2,0),"Unknown")</f>
        <v>4.0</v>
      </c>
      <c r="H50" s="5">
        <f>IF(ISNUMBER(F50),ROUND(F50*'Reference data'!$B$2,0),"Unknown")</f>
        <v>5.0</v>
      </c>
    </row>
    <row r="51" spans="1:13" ht="24" customHeight="1">
      <c r="A51" t="s">
        <v>140</v>
      </c>
      <c r="B51">
        <v>1</v>
      </c>
      <c r="C51" t="s">
        <v>97</v>
      </c>
      <c r="D51" s="5">
        <v>3</v>
      </c>
      <c r="E51" s="2">
        <f>IF(AND(ISNUMBER(F51),ISNUMBER('Reference data'!$B$3)),F51*'Reference data'!$B$3,"Unknown")</f>
        <v>5.27844e-07</v>
      </c>
      <c r="F51" s="2">
        <f>IF(D51=0,0,IF(ISNUMBER('Reference data'!B17),D51*'Reference data'!B17/1000000,"Unknown"))</f>
        <v>6e-07</v>
      </c>
      <c r="G51" s="5">
        <f>IF(ISNUMBER(E51),ROUND(E51*'Reference data'!$B$2,0),"Unknown")</f>
        <v>0.0</v>
      </c>
      <c r="H51" s="5">
        <f>IF(ISNUMBER(F51),ROUND(F51*'Reference data'!$B$2,0),"Unknown")</f>
        <v>0.0</v>
      </c>
    </row>
    <row r="52" spans="1:13" ht="60" customHeight="1">
      <c r="A52" t="s">
        <v>140</v>
      </c>
      <c r="B52">
        <v>1</v>
      </c>
      <c r="C52" t="s">
        <v>127</v>
      </c>
      <c r="I52" s="6" t="s">
        <v>142</v>
      </c>
    </row>
    <row r="53" spans="1:13" ht="24" customHeight="1">
      <c r="A53" t="s">
        <v>140</v>
      </c>
      <c r="B53">
        <v>1</v>
      </c>
      <c r="C53" t="s">
        <v>103</v>
      </c>
      <c r="D53" s="5">
        <v>207</v>
      </c>
      <c r="E53" s="2">
        <f>IF(AND(ISNUMBER(F53),ISNUMBER('Reference data'!$B$3)),F53*'Reference data'!$B$3,"Unknown")</f>
        <v>4.5526545e-05</v>
      </c>
      <c r="F53" s="2">
        <f>IF(D53=0,0,IF(ISNUMBER('Reference data'!D17),D53*'Reference data'!D17/1000000,"Unknown"))</f>
        <v>5.175e-05</v>
      </c>
      <c r="G53" s="5">
        <f>IF(ISNUMBER(E53),ROUND(E53*'Reference data'!$B$2,0),"Unknown")</f>
        <v>5.0</v>
      </c>
      <c r="H53" s="5">
        <f>IF(ISNUMBER(F53),ROUND(F53*'Reference data'!$B$2,0),"Unknown")</f>
        <v>5.0</v>
      </c>
    </row>
    <row r="54" spans="1:13" ht="24" customHeight="1">
      <c r="A54" t="s">
        <v>140</v>
      </c>
      <c r="B54">
        <v>1</v>
      </c>
      <c r="C54" t="s">
        <v>104</v>
      </c>
    </row>
    <row r="55" spans="1:13" s="4" customFormat="1" ht="24" customHeight="1">
      <c r="A55" s="4" t="s">
        <v>140</v>
      </c>
      <c r="B55" s="4">
        <v>1</v>
      </c>
      <c r="C55" s="4" t="s">
        <v>105</v>
      </c>
      <c r="D55" s="4">
        <v>276</v>
      </c>
    </row>
    <row r="56" spans="1:13" ht="24" customHeight="1">
      <c r="A56" t="s">
        <v>140</v>
      </c>
      <c r="B56">
        <v>1</v>
      </c>
      <c r="C56" t="s">
        <v>107</v>
      </c>
      <c r="D56" s="5">
        <v>276</v>
      </c>
      <c r="E56" s="2">
        <f>IF(AND(ISNUMBER(F56),ISNUMBER('Reference data'!$B$3)),F56*'Reference data'!$B$3,"Unknown")</f>
        <v>0.000291369888</v>
      </c>
      <c r="F56" s="2">
        <f>IF(D56=0,0,IF(ISNUMBER('Reference data'!E17),D56*'Reference data'!E17/1000000,"Unknown"))</f>
        <v>0.0003312</v>
      </c>
      <c r="G56" s="5">
        <f>IF(ISNUMBER(E56),ROUND(E56*'Reference data'!$B$2,0),"Unknown")</f>
        <v>29.0</v>
      </c>
      <c r="H56" s="5">
        <f>IF(ISNUMBER(F56),ROUND(F56*'Reference data'!$B$2,0),"Unknown")</f>
        <v>33.0</v>
      </c>
    </row>
    <row r="57" spans="1:13" ht="229" customHeight="1">
      <c r="A57" t="s">
        <v>140</v>
      </c>
      <c r="B57">
        <v>1</v>
      </c>
      <c r="C57" t="s">
        <v>108</v>
      </c>
      <c r="I57" s="6" t="s">
        <v>143</v>
      </c>
    </row>
    <row r="58" spans="1:13" ht="24" customHeight="1">
      <c r="A58" t="s">
        <v>140</v>
      </c>
      <c r="B58">
        <v>1</v>
      </c>
      <c r="C58" t="s">
        <v>103</v>
      </c>
    </row>
    <row r="59" spans="1:13" ht="24" customHeight="1">
      <c r="A59" t="s">
        <v>140</v>
      </c>
      <c r="B59">
        <v>1</v>
      </c>
      <c r="C59" t="s">
        <v>104</v>
      </c>
    </row>
    <row r="60" spans="1:13" s="4" customFormat="1" ht="24" customHeight="1">
      <c r="A60" s="4" t="s">
        <v>140</v>
      </c>
      <c r="B60" s="4">
        <v>1</v>
      </c>
      <c r="C60" s="4" t="s">
        <v>110</v>
      </c>
      <c r="E60" s="2">
        <f>IF(COUNT('Turns'!E50,'Turns'!E51,'Turns'!E53,'Turns'!E56)=4,SUM('Turns'!E50,'Turns'!E51,'Turns'!E53,'Turns'!E56),"Unknown")</f>
        <v>0.0003777691534</v>
      </c>
      <c r="F60" s="2">
        <f>IF(COUNT('Turns'!F50,'Turns'!F51,'Turns'!F53,'Turns'!F56)=4,SUM('Turns'!F50,'Turns'!F51,'Turns'!F53,'Turns'!F56),"Unknown")</f>
        <v>0.00042941</v>
      </c>
      <c r="G60" s="5">
        <f>IF(ISNUMBER(E60),ROUND(E60*'Reference data'!$B$2,0),"Unknown")</f>
        <v>38.0</v>
      </c>
      <c r="H60" s="5">
        <f>IF(ISNUMBER(F60),ROUND(F60*'Reference data'!$B$2,0),"Unknown")</f>
        <v>43.0</v>
      </c>
      <c r="K60" s="4" t="s">
        <v>111</v>
      </c>
    </row>
  </sheetData>
  <conditionalFormatting sqref="A2:AE6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1"/>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144</v>
      </c>
      <c r="B2" s="1">
        <v>0</v>
      </c>
      <c r="C2" s="1" t="s">
        <v>145</v>
      </c>
      <c r="D2" s="1" t="s">
        <v>47</v>
      </c>
      <c r="E2" s="1" t="s">
        <v>111</v>
      </c>
      <c r="G2" s="6" t="s">
        <v>146</v>
      </c>
      <c r="H2" t="s">
        <v>49</v>
      </c>
      <c r="J2" s="2">
        <f>IF(COUNT('Turns'!D5,'Turns'!D29,'Turns'!D51)=3,SUM('Turns'!D5,'Turns'!D29,'Turns'!D51),"Unknown")</f>
        <v>9.0</v>
      </c>
      <c r="K2" s="2">
        <f>IF(COUNT('Turns'!E5,'Turns'!E29,'Turns'!E51)=3,SUM('Turns'!E5,'Turns'!E29,'Turns'!E51),"Unknown")</f>
        <v>1.583532e-06</v>
      </c>
      <c r="L2" s="2">
        <f>IF(COUNT('Turns'!F5,'Turns'!F29,'Turns'!F51)=3,SUM('Turns'!F5,'Turns'!F29,'Turns'!F51),"Unknown")</f>
        <v>1.8e-06</v>
      </c>
      <c r="M2" s="2">
        <f>IF(COUNT('Turns'!D28,'Turns'!D50)=2,SUM('Turns'!D28,'Turns'!D50),"Unknown")</f>
        <v>4392.0</v>
      </c>
      <c r="N2" s="2">
        <f>IF(COUNT('Turns'!E28,'Turns'!E50)=2,SUM('Turns'!E28,'Turns'!E50),"Unknown")</f>
        <v>7.72763616e-05</v>
      </c>
      <c r="O2" s="2">
        <f>IF(COUNT('Turns'!F28,'Turns'!F50)=2,SUM('Turns'!F28,'Turns'!F50),"Unknown")</f>
        <v>8.784e-05</v>
      </c>
      <c r="P2" s="2">
        <f>IF(COUNT('Turns'!D9,'Turns'!D31,'Turns'!D53)=3,SUM('Turns'!D9,'Turns'!D31,'Turns'!D53),"Unknown")</f>
        <v>2500.0</v>
      </c>
      <c r="Q2" s="2">
        <f>IF(COUNT('Turns'!E9,'Turns'!E31,'Turns'!E53)=3,SUM('Turns'!E9,'Turns'!E31,'Turns'!E53),"Unknown")</f>
        <v>0.0005498375</v>
      </c>
      <c r="R2" s="2">
        <f>IF(COUNT('Turns'!F9,'Turns'!F31,'Turns'!F53)=3,SUM('Turns'!F9,'Turns'!F31,'Turns'!F53),"Unknown")</f>
        <v>0.000625</v>
      </c>
      <c r="S2" s="2">
        <f>IF(COUNT('Turns'!D13,'Turns'!D35,'Turns'!D56)=3,SUM('Turns'!D13,'Turns'!D35,'Turns'!D56),"Unknown")</f>
        <v>405.0</v>
      </c>
      <c r="T2" s="2">
        <f>IF(COUNT('Turns'!E13,'Turns'!E35,'Turns'!E56)=3,SUM('Turns'!E13,'Turns'!E35,'Turns'!E56),"Unknown")</f>
        <v>0.00042755364</v>
      </c>
      <c r="U2" s="2">
        <f>IF(COUNT('Turns'!F13,'Turns'!F35,'Turns'!F56)=3,SUM('Turns'!F13,'Turns'!F35,'Turns'!F56),"Unknown")</f>
        <v>0.000486</v>
      </c>
      <c r="V2" s="2">
        <f>IF(COUNT('Turns'!D12,'Turns'!D34)=2,SUM('Turns'!D12,'Turns'!D34),"Unknown")</f>
        <v>83.0</v>
      </c>
      <c r="W2" s="2">
        <f>IF(COUNT('Turns'!E12,'Turns'!E34)=2,SUM('Turns'!E12,'Turns'!E34),"Unknown")</f>
        <v>8.7622104e-05</v>
      </c>
      <c r="X2" s="2">
        <f>IF(COUNT('Turns'!F12,'Turns'!F34)=2,SUM('Turns'!F12,'Turns'!F34),"Unknown")</f>
        <v>9.96e-05</v>
      </c>
      <c r="Y2" s="2">
        <f>IF(COUNT('Turns'!E17,'Turns'!E39,'Turns'!E60)=3,SUM('Turns'!E17,'Turns'!E39,'Turns'!E60),"Unknown")</f>
        <v>0.0011438731376</v>
      </c>
      <c r="Z2" s="2">
        <f>IF(COUNT('Turns'!F17,'Turns'!F39,'Turns'!F60)=3,SUM('Turns'!F17,'Turns'!F39,'Turns'!F60),"Unknown")</f>
        <v>0.00130024</v>
      </c>
      <c r="AA2" s="5">
        <f>IF(ISNUMBER(Y2),ROUND(Y2*'Reference data'!$B$2,0),"Unknown")</f>
        <v>114.0</v>
      </c>
      <c r="AB2" s="5">
        <f>IF(ISNUMBER(Z2),ROUND(Z2*'Reference data'!$B$2,0),"Unknown")</f>
        <v>130.0</v>
      </c>
      <c r="AD2" s="1">
        <v>7627.606</v>
      </c>
      <c r="AE2" s="1" t="s">
        <v>147</v>
      </c>
    </row>
    <row r="3" spans="1:31" ht="54" customHeight="1">
      <c r="A3" s="6" t="s">
        <v>148</v>
      </c>
      <c r="B3" s="1">
        <v>1</v>
      </c>
      <c r="C3" s="1" t="s">
        <v>145</v>
      </c>
      <c r="D3" s="1" t="s">
        <v>47</v>
      </c>
      <c r="E3" s="1" t="s">
        <v>111</v>
      </c>
      <c r="G3" s="6" t="s">
        <v>149</v>
      </c>
      <c r="H3" t="s">
        <v>150</v>
      </c>
      <c r="I3" t="s">
        <v>49</v>
      </c>
      <c r="AD3" s="1">
        <v>0.322</v>
      </c>
      <c r="AE3" s="1" t="s">
        <v>151</v>
      </c>
    </row>
    <row r="4" spans="1:31" ht="54" customHeight="1">
      <c r="A4" s="6" t="s">
        <v>152</v>
      </c>
      <c r="B4" s="1">
        <v>1</v>
      </c>
      <c r="C4" s="1" t="s">
        <v>145</v>
      </c>
      <c r="D4" s="1" t="s">
        <v>47</v>
      </c>
      <c r="E4" s="1" t="s">
        <v>111</v>
      </c>
      <c r="G4" s="6" t="s">
        <v>153</v>
      </c>
      <c r="H4" t="s">
        <v>154</v>
      </c>
      <c r="I4" t="s">
        <v>49</v>
      </c>
      <c r="J4" s="2">
        <f>IF(COUNT('Turns'!D5)=1,SUM('Turns'!D5),"Unknown")</f>
        <v>3.0</v>
      </c>
      <c r="K4" s="2">
        <f>IF(COUNT('Turns'!E5)=1,SUM('Turns'!E5),"Unknown")</f>
        <v>5.27844e-07</v>
      </c>
      <c r="L4" s="2">
        <f>IF(COUNT('Turns'!F5)=1,SUM('Turns'!F5),"Unknown")</f>
        <v>6e-07</v>
      </c>
      <c r="M4" s="2">
        <v>0</v>
      </c>
      <c r="N4" s="2">
        <v>0</v>
      </c>
      <c r="O4" s="2">
        <v>0</v>
      </c>
      <c r="P4" s="2">
        <f>IF(COUNT('Turns'!D9)=1,SUM('Turns'!D9),"Unknown")</f>
        <v>2099.0</v>
      </c>
      <c r="Q4" s="2">
        <f>IF(COUNT('Turns'!E9)=1,SUM('Turns'!E9),"Unknown")</f>
        <v>0.000461643565</v>
      </c>
      <c r="R4" s="2">
        <f>IF(COUNT('Turns'!F9)=1,SUM('Turns'!F9),"Unknown")</f>
        <v>0.00052475</v>
      </c>
      <c r="S4" s="2">
        <f>IF(COUNT('Turns'!D13)=1,SUM('Turns'!D13),"Unknown")</f>
        <v>64.0</v>
      </c>
      <c r="T4" s="2">
        <f>IF(COUNT('Turns'!E13)=1,SUM('Turns'!E13),"Unknown")</f>
        <v>6.7564032e-05</v>
      </c>
      <c r="U4" s="2">
        <f>IF(COUNT('Turns'!F13)=1,SUM('Turns'!F13),"Unknown")</f>
        <v>7.68e-05</v>
      </c>
      <c r="V4" s="2">
        <f>IF(COUNT('Turns'!D12)=1,SUM('Turns'!D12),"Unknown")</f>
        <v>29.0</v>
      </c>
      <c r="W4" s="2">
        <f>IF(COUNT('Turns'!E12)=1,SUM('Turns'!E12),"Unknown")</f>
        <v>3.0614952e-05</v>
      </c>
      <c r="X4" s="2">
        <f>IF(COUNT('Turns'!F12)=1,SUM('Turns'!F12),"Unknown")</f>
        <v>3.48e-05</v>
      </c>
      <c r="Y4" s="2">
        <f>IF(COUNT('Turns'!E17)=1,SUM('Turns'!E17),"Unknown")</f>
        <v>0.000560350393</v>
      </c>
      <c r="Z4" s="2">
        <f>IF(COUNT('Turns'!F17)=1,SUM('Turns'!F17),"Unknown")</f>
        <v>0.00063695</v>
      </c>
      <c r="AA4" s="5">
        <f>IF(ISNUMBER(Y4),ROUND(Y4*'Reference data'!$B$2,0),"Unknown")</f>
        <v>56.0</v>
      </c>
      <c r="AB4" s="5">
        <f>IF(ISNUMBER(Z4),ROUND(Z4*'Reference data'!$B$2,0),"Unknown")</f>
        <v>64.0</v>
      </c>
      <c r="AD4" s="1">
        <v>2064.382</v>
      </c>
      <c r="AE4" s="1" t="s">
        <v>147</v>
      </c>
    </row>
    <row r="5" spans="1:31" ht="54" customHeight="1">
      <c r="A5" s="6" t="s">
        <v>155</v>
      </c>
      <c r="B5" s="1">
        <v>2</v>
      </c>
      <c r="C5" s="1" t="s">
        <v>156</v>
      </c>
      <c r="D5" s="1" t="s">
        <v>95</v>
      </c>
      <c r="E5" s="1" t="s">
        <v>111</v>
      </c>
      <c r="F5" s="1">
        <v>2102</v>
      </c>
      <c r="G5" s="6" t="s">
        <v>157</v>
      </c>
      <c r="H5" t="s">
        <v>96</v>
      </c>
      <c r="I5" t="s">
        <v>154</v>
      </c>
      <c r="J5" s="2">
        <f>IF(COUNT('Turns'!D5)=1,SUM('Turns'!D5),"Unknown")</f>
        <v>3.0</v>
      </c>
      <c r="K5" s="2">
        <f>IF(COUNT('Turns'!E5)=1,SUM('Turns'!E5),"Unknown")</f>
        <v>5.27844e-07</v>
      </c>
      <c r="L5" s="2">
        <f>IF(COUNT('Turns'!F5)=1,SUM('Turns'!F5),"Unknown")</f>
        <v>6e-07</v>
      </c>
      <c r="M5" s="2">
        <v>0</v>
      </c>
      <c r="N5" s="2">
        <v>0</v>
      </c>
      <c r="O5" s="2">
        <v>0</v>
      </c>
      <c r="P5" s="2">
        <f>IF(COUNT('Turns'!D9)=1,SUM('Turns'!D9),"Unknown")</f>
        <v>2099.0</v>
      </c>
      <c r="Q5" s="2">
        <f>IF(COUNT('Turns'!E9)=1,SUM('Turns'!E9),"Unknown")</f>
        <v>0.000461643565</v>
      </c>
      <c r="R5" s="2">
        <f>IF(COUNT('Turns'!F9)=1,SUM('Turns'!F9),"Unknown")</f>
        <v>0.00052475</v>
      </c>
      <c r="S5" s="2">
        <f>IF(COUNT('Turns'!D13)=1,SUM('Turns'!D13),"Unknown")</f>
        <v>64.0</v>
      </c>
      <c r="T5" s="2">
        <f>IF(COUNT('Turns'!E13)=1,SUM('Turns'!E13),"Unknown")</f>
        <v>6.7564032e-05</v>
      </c>
      <c r="U5" s="2">
        <f>IF(COUNT('Turns'!F13)=1,SUM('Turns'!F13),"Unknown")</f>
        <v>7.68e-05</v>
      </c>
      <c r="V5" s="2">
        <f>IF(COUNT('Turns'!D12)=1,SUM('Turns'!D12),"Unknown")</f>
        <v>29.0</v>
      </c>
      <c r="W5" s="2">
        <f>IF(COUNT('Turns'!E12)=1,SUM('Turns'!E12),"Unknown")</f>
        <v>3.0614952e-05</v>
      </c>
      <c r="X5" s="2">
        <f>IF(COUNT('Turns'!F12)=1,SUM('Turns'!F12),"Unknown")</f>
        <v>3.48e-05</v>
      </c>
      <c r="Y5" s="2">
        <f>IF(COUNT('Turns'!E17)=1,SUM('Turns'!E17),"Unknown")</f>
        <v>0.000560350393</v>
      </c>
      <c r="Z5" s="2">
        <f>IF(COUNT('Turns'!F17)=1,SUM('Turns'!F17),"Unknown")</f>
        <v>0.00063695</v>
      </c>
      <c r="AA5" s="5">
        <f>IF(ISNUMBER(Y5),ROUND(Y5*'Reference data'!$B$2,0),"Unknown")</f>
        <v>56.0</v>
      </c>
      <c r="AB5" s="5">
        <f>IF(ISNUMBER(Z5),ROUND(Z5*'Reference data'!$B$2,0),"Unknown")</f>
        <v>64.0</v>
      </c>
      <c r="AC5" s="1" t="s">
        <v>93</v>
      </c>
      <c r="AD5" s="1">
        <v>2056.78</v>
      </c>
      <c r="AE5" s="1" t="s">
        <v>158</v>
      </c>
    </row>
    <row r="6" spans="1:31" ht="54" customHeight="1">
      <c r="A6" s="6" t="s">
        <v>159</v>
      </c>
      <c r="B6" s="1">
        <v>1</v>
      </c>
      <c r="C6" s="1" t="s">
        <v>145</v>
      </c>
      <c r="D6" s="1" t="s">
        <v>47</v>
      </c>
      <c r="E6" s="1" t="s">
        <v>111</v>
      </c>
      <c r="G6" s="6" t="s">
        <v>160</v>
      </c>
      <c r="H6" t="s">
        <v>161</v>
      </c>
      <c r="I6" t="s">
        <v>49</v>
      </c>
      <c r="AD6" s="1">
        <v>5.491</v>
      </c>
      <c r="AE6" s="1" t="s">
        <v>151</v>
      </c>
    </row>
    <row r="7" spans="1:31" ht="54" customHeight="1">
      <c r="A7" s="6" t="s">
        <v>162</v>
      </c>
      <c r="B7" s="1">
        <v>2</v>
      </c>
      <c r="C7" s="1" t="s">
        <v>163</v>
      </c>
      <c r="D7" s="1" t="s">
        <v>47</v>
      </c>
      <c r="E7" s="1" t="s">
        <v>111</v>
      </c>
      <c r="G7" s="6" t="s">
        <v>164</v>
      </c>
      <c r="H7" t="s">
        <v>113</v>
      </c>
      <c r="I7" t="s">
        <v>161</v>
      </c>
      <c r="AD7" s="1">
        <v>1.293</v>
      </c>
      <c r="AE7" s="1" t="s">
        <v>151</v>
      </c>
    </row>
    <row r="8" spans="1:31" ht="54" customHeight="1">
      <c r="A8" s="6" t="s">
        <v>159</v>
      </c>
      <c r="B8" s="1">
        <v>1</v>
      </c>
      <c r="C8" s="1" t="s">
        <v>145</v>
      </c>
      <c r="D8" s="1" t="s">
        <v>47</v>
      </c>
      <c r="E8" s="1" t="s">
        <v>111</v>
      </c>
      <c r="G8" s="6" t="s">
        <v>160</v>
      </c>
      <c r="H8" t="s">
        <v>165</v>
      </c>
      <c r="I8" t="s">
        <v>49</v>
      </c>
      <c r="AD8" s="1">
        <v>5.499</v>
      </c>
      <c r="AE8" s="1" t="s">
        <v>151</v>
      </c>
    </row>
    <row r="9" spans="1:31" ht="54" customHeight="1">
      <c r="A9" s="6" t="s">
        <v>162</v>
      </c>
      <c r="B9" s="1">
        <v>2</v>
      </c>
      <c r="C9" s="1" t="s">
        <v>163</v>
      </c>
      <c r="D9" s="1" t="s">
        <v>47</v>
      </c>
      <c r="E9" s="1" t="s">
        <v>111</v>
      </c>
      <c r="G9" s="6" t="s">
        <v>164</v>
      </c>
      <c r="H9" t="s">
        <v>118</v>
      </c>
      <c r="I9" t="s">
        <v>165</v>
      </c>
      <c r="AD9" s="1">
        <v>0.756</v>
      </c>
      <c r="AE9" s="1" t="s">
        <v>151</v>
      </c>
    </row>
    <row r="10" spans="1:31" ht="54" customHeight="1">
      <c r="A10" s="6" t="s">
        <v>159</v>
      </c>
      <c r="B10" s="1">
        <v>1</v>
      </c>
      <c r="C10" s="1" t="s">
        <v>145</v>
      </c>
      <c r="D10" s="1" t="s">
        <v>47</v>
      </c>
      <c r="E10" s="1" t="s">
        <v>111</v>
      </c>
      <c r="G10" s="6" t="s">
        <v>160</v>
      </c>
      <c r="H10" t="s">
        <v>166</v>
      </c>
      <c r="I10" t="s">
        <v>49</v>
      </c>
      <c r="AD10" s="1">
        <v>5.763</v>
      </c>
      <c r="AE10" s="1" t="s">
        <v>151</v>
      </c>
    </row>
    <row r="11" spans="1:31" ht="54" customHeight="1">
      <c r="A11" s="6" t="s">
        <v>162</v>
      </c>
      <c r="B11" s="1">
        <v>2</v>
      </c>
      <c r="C11" s="1" t="s">
        <v>163</v>
      </c>
      <c r="D11" s="1" t="s">
        <v>47</v>
      </c>
      <c r="E11" s="1" t="s">
        <v>111</v>
      </c>
      <c r="G11" s="6" t="s">
        <v>164</v>
      </c>
      <c r="H11" t="s">
        <v>121</v>
      </c>
      <c r="I11" t="s">
        <v>166</v>
      </c>
      <c r="AD11" s="1">
        <v>1.347</v>
      </c>
      <c r="AE11" s="1" t="s">
        <v>151</v>
      </c>
    </row>
    <row r="12" spans="1:31" ht="54" customHeight="1">
      <c r="A12" s="6" t="s">
        <v>152</v>
      </c>
      <c r="B12" s="1">
        <v>1</v>
      </c>
      <c r="C12" s="1" t="s">
        <v>145</v>
      </c>
      <c r="D12" s="1" t="s">
        <v>47</v>
      </c>
      <c r="E12" s="1" t="s">
        <v>111</v>
      </c>
      <c r="G12" s="6" t="s">
        <v>153</v>
      </c>
      <c r="H12" t="s">
        <v>167</v>
      </c>
      <c r="I12" t="s">
        <v>49</v>
      </c>
      <c r="J12" s="2">
        <f>IF(COUNT('Turns'!D29)=1,SUM('Turns'!D29),"Unknown")</f>
        <v>3.0</v>
      </c>
      <c r="K12" s="2">
        <f>IF(COUNT('Turns'!E29)=1,SUM('Turns'!E29),"Unknown")</f>
        <v>5.27844e-07</v>
      </c>
      <c r="L12" s="2">
        <f>IF(COUNT('Turns'!F29)=1,SUM('Turns'!F29),"Unknown")</f>
        <v>6e-07</v>
      </c>
      <c r="M12" s="2">
        <f>IF(COUNT('Turns'!D28)=1,SUM('Turns'!D28),"Unknown")</f>
        <v>2099.0</v>
      </c>
      <c r="N12" s="2">
        <f>IF(COUNT('Turns'!E28)=1,SUM('Turns'!E28),"Unknown")</f>
        <v>3.69314852e-05</v>
      </c>
      <c r="O12" s="2">
        <f>IF(COUNT('Turns'!F28)=1,SUM('Turns'!F28),"Unknown")</f>
        <v>4.198e-05</v>
      </c>
      <c r="P12" s="2">
        <f>IF(COUNT('Turns'!D31)=1,SUM('Turns'!D31),"Unknown")</f>
        <v>194.0</v>
      </c>
      <c r="Q12" s="2">
        <f>IF(COUNT('Turns'!E31)=1,SUM('Turns'!E31),"Unknown")</f>
        <v>4.266739e-05</v>
      </c>
      <c r="R12" s="2">
        <f>IF(COUNT('Turns'!F31)=1,SUM('Turns'!F31),"Unknown")</f>
        <v>4.85e-05</v>
      </c>
      <c r="S12" s="2">
        <f>IF(COUNT('Turns'!D35)=1,SUM('Turns'!D35),"Unknown")</f>
        <v>65.0</v>
      </c>
      <c r="T12" s="2">
        <f>IF(COUNT('Turns'!E35)=1,SUM('Turns'!E35),"Unknown")</f>
        <v>6.861972e-05</v>
      </c>
      <c r="U12" s="2">
        <f>IF(COUNT('Turns'!F35)=1,SUM('Turns'!F35),"Unknown")</f>
        <v>7.8e-05</v>
      </c>
      <c r="V12" s="2">
        <f>IF(COUNT('Turns'!D34)=1,SUM('Turns'!D34),"Unknown")</f>
        <v>54.0</v>
      </c>
      <c r="W12" s="2">
        <f>IF(COUNT('Turns'!E34)=1,SUM('Turns'!E34),"Unknown")</f>
        <v>5.7007152e-05</v>
      </c>
      <c r="X12" s="2">
        <f>IF(COUNT('Turns'!F34)=1,SUM('Turns'!F34),"Unknown")</f>
        <v>6.48e-05</v>
      </c>
      <c r="Y12" s="2">
        <f>IF(COUNT('Turns'!E39)=1,SUM('Turns'!E39),"Unknown")</f>
        <v>0.0002057535912</v>
      </c>
      <c r="Z12" s="2">
        <f>IF(COUNT('Turns'!F39)=1,SUM('Turns'!F39),"Unknown")</f>
        <v>0.00023388</v>
      </c>
      <c r="AA12" s="5">
        <f>IF(ISNUMBER(Y12),ROUND(Y12*'Reference data'!$B$2,0),"Unknown")</f>
        <v>21.0</v>
      </c>
      <c r="AB12" s="5">
        <f>IF(ISNUMBER(Z12),ROUND(Z12*'Reference data'!$B$2,0),"Unknown")</f>
        <v>23.0</v>
      </c>
      <c r="AD12" s="1">
        <v>1884.096</v>
      </c>
      <c r="AE12" s="1" t="s">
        <v>147</v>
      </c>
    </row>
    <row r="13" spans="1:31" ht="54" customHeight="1">
      <c r="A13" s="6" t="s">
        <v>155</v>
      </c>
      <c r="B13" s="1">
        <v>2</v>
      </c>
      <c r="C13" s="1" t="s">
        <v>156</v>
      </c>
      <c r="D13" s="1" t="s">
        <v>95</v>
      </c>
      <c r="E13" s="1" t="s">
        <v>111</v>
      </c>
      <c r="F13" s="1">
        <v>2296</v>
      </c>
      <c r="G13" s="6" t="s">
        <v>157</v>
      </c>
      <c r="H13" t="s">
        <v>125</v>
      </c>
      <c r="I13" t="s">
        <v>167</v>
      </c>
      <c r="J13" s="2">
        <f>IF(COUNT('Turns'!D29)=1,SUM('Turns'!D29),"Unknown")</f>
        <v>3.0</v>
      </c>
      <c r="K13" s="2">
        <f>IF(COUNT('Turns'!E29)=1,SUM('Turns'!E29),"Unknown")</f>
        <v>5.27844e-07</v>
      </c>
      <c r="L13" s="2">
        <f>IF(COUNT('Turns'!F29)=1,SUM('Turns'!F29),"Unknown")</f>
        <v>6e-07</v>
      </c>
      <c r="M13" s="2">
        <f>IF(COUNT('Turns'!D28)=1,SUM('Turns'!D28),"Unknown")</f>
        <v>2099.0</v>
      </c>
      <c r="N13" s="2">
        <f>IF(COUNT('Turns'!E28)=1,SUM('Turns'!E28),"Unknown")</f>
        <v>3.69314852e-05</v>
      </c>
      <c r="O13" s="2">
        <f>IF(COUNT('Turns'!F28)=1,SUM('Turns'!F28),"Unknown")</f>
        <v>4.198e-05</v>
      </c>
      <c r="P13" s="2">
        <f>IF(COUNT('Turns'!D31)=1,SUM('Turns'!D31),"Unknown")</f>
        <v>194.0</v>
      </c>
      <c r="Q13" s="2">
        <f>IF(COUNT('Turns'!E31)=1,SUM('Turns'!E31),"Unknown")</f>
        <v>4.266739e-05</v>
      </c>
      <c r="R13" s="2">
        <f>IF(COUNT('Turns'!F31)=1,SUM('Turns'!F31),"Unknown")</f>
        <v>4.85e-05</v>
      </c>
      <c r="S13" s="2">
        <f>IF(COUNT('Turns'!D35)=1,SUM('Turns'!D35),"Unknown")</f>
        <v>65.0</v>
      </c>
      <c r="T13" s="2">
        <f>IF(COUNT('Turns'!E35)=1,SUM('Turns'!E35),"Unknown")</f>
        <v>6.861972e-05</v>
      </c>
      <c r="U13" s="2">
        <f>IF(COUNT('Turns'!F35)=1,SUM('Turns'!F35),"Unknown")</f>
        <v>7.8e-05</v>
      </c>
      <c r="V13" s="2">
        <f>IF(COUNT('Turns'!D34)=1,SUM('Turns'!D34),"Unknown")</f>
        <v>54.0</v>
      </c>
      <c r="W13" s="2">
        <f>IF(COUNT('Turns'!E34)=1,SUM('Turns'!E34),"Unknown")</f>
        <v>5.7007152e-05</v>
      </c>
      <c r="X13" s="2">
        <f>IF(COUNT('Turns'!F34)=1,SUM('Turns'!F34),"Unknown")</f>
        <v>6.48e-05</v>
      </c>
      <c r="Y13" s="2">
        <f>IF(COUNT('Turns'!E39)=1,SUM('Turns'!E39),"Unknown")</f>
        <v>0.0002057535912</v>
      </c>
      <c r="Z13" s="2">
        <f>IF(COUNT('Turns'!F39)=1,SUM('Turns'!F39),"Unknown")</f>
        <v>0.00023388</v>
      </c>
      <c r="AA13" s="5">
        <f>IF(ISNUMBER(Y13),ROUND(Y13*'Reference data'!$B$2,0),"Unknown")</f>
        <v>21.0</v>
      </c>
      <c r="AB13" s="5">
        <f>IF(ISNUMBER(Z13),ROUND(Z13*'Reference data'!$B$2,0),"Unknown")</f>
        <v>23.0</v>
      </c>
      <c r="AC13" s="1" t="s">
        <v>124</v>
      </c>
      <c r="AD13" s="1">
        <v>1878.87</v>
      </c>
      <c r="AE13" s="1" t="s">
        <v>158</v>
      </c>
    </row>
    <row r="14" spans="1:31" ht="54" customHeight="1">
      <c r="A14" s="6" t="s">
        <v>159</v>
      </c>
      <c r="B14" s="1">
        <v>1</v>
      </c>
      <c r="C14" s="1" t="s">
        <v>145</v>
      </c>
      <c r="D14" s="1" t="s">
        <v>47</v>
      </c>
      <c r="E14" s="1" t="s">
        <v>111</v>
      </c>
      <c r="G14" s="6" t="s">
        <v>160</v>
      </c>
      <c r="H14" t="s">
        <v>168</v>
      </c>
      <c r="I14" t="s">
        <v>49</v>
      </c>
      <c r="AD14" s="1">
        <v>8.138999999999999</v>
      </c>
      <c r="AE14" s="1" t="s">
        <v>151</v>
      </c>
    </row>
    <row r="15" spans="1:31" ht="54" customHeight="1">
      <c r="A15" s="6" t="s">
        <v>169</v>
      </c>
      <c r="B15" s="1">
        <v>2</v>
      </c>
      <c r="C15" s="1" t="s">
        <v>163</v>
      </c>
      <c r="D15" s="1" t="s">
        <v>47</v>
      </c>
      <c r="E15" s="1" t="s">
        <v>111</v>
      </c>
      <c r="G15" s="6" t="s">
        <v>170</v>
      </c>
      <c r="H15" t="s">
        <v>131</v>
      </c>
      <c r="I15" t="s">
        <v>168</v>
      </c>
      <c r="AD15" s="1">
        <v>3.649</v>
      </c>
      <c r="AE15" s="1" t="s">
        <v>151</v>
      </c>
    </row>
    <row r="16" spans="1:31" ht="54" customHeight="1">
      <c r="A16" s="6" t="s">
        <v>159</v>
      </c>
      <c r="B16" s="1">
        <v>1</v>
      </c>
      <c r="C16" s="1" t="s">
        <v>145</v>
      </c>
      <c r="D16" s="1" t="s">
        <v>47</v>
      </c>
      <c r="E16" s="1" t="s">
        <v>111</v>
      </c>
      <c r="G16" s="6" t="s">
        <v>160</v>
      </c>
      <c r="H16" t="s">
        <v>171</v>
      </c>
      <c r="I16" t="s">
        <v>49</v>
      </c>
      <c r="AD16" s="1">
        <v>8.26</v>
      </c>
      <c r="AE16" s="1" t="s">
        <v>151</v>
      </c>
    </row>
    <row r="17" spans="1:31" ht="54" customHeight="1">
      <c r="A17" s="6" t="s">
        <v>169</v>
      </c>
      <c r="B17" s="1">
        <v>2</v>
      </c>
      <c r="C17" s="1" t="s">
        <v>163</v>
      </c>
      <c r="D17" s="1" t="s">
        <v>47</v>
      </c>
      <c r="E17" s="1" t="s">
        <v>111</v>
      </c>
      <c r="G17" s="6" t="s">
        <v>170</v>
      </c>
      <c r="H17" t="s">
        <v>134</v>
      </c>
      <c r="I17" t="s">
        <v>171</v>
      </c>
      <c r="AD17" s="1">
        <v>1.781</v>
      </c>
      <c r="AE17" s="1" t="s">
        <v>151</v>
      </c>
    </row>
    <row r="18" spans="1:31" ht="54" customHeight="1">
      <c r="A18" s="6" t="s">
        <v>159</v>
      </c>
      <c r="B18" s="1">
        <v>1</v>
      </c>
      <c r="C18" s="1" t="s">
        <v>145</v>
      </c>
      <c r="D18" s="1" t="s">
        <v>47</v>
      </c>
      <c r="E18" s="1" t="s">
        <v>111</v>
      </c>
      <c r="G18" s="6" t="s">
        <v>160</v>
      </c>
      <c r="H18" t="s">
        <v>172</v>
      </c>
      <c r="I18" t="s">
        <v>49</v>
      </c>
      <c r="AD18" s="1">
        <v>7.58</v>
      </c>
      <c r="AE18" s="1" t="s">
        <v>151</v>
      </c>
    </row>
    <row r="19" spans="1:31" ht="54" customHeight="1">
      <c r="A19" s="6" t="s">
        <v>169</v>
      </c>
      <c r="B19" s="1">
        <v>2</v>
      </c>
      <c r="C19" s="1" t="s">
        <v>163</v>
      </c>
      <c r="D19" s="1" t="s">
        <v>47</v>
      </c>
      <c r="E19" s="1" t="s">
        <v>111</v>
      </c>
      <c r="G19" s="6" t="s">
        <v>170</v>
      </c>
      <c r="H19" t="s">
        <v>137</v>
      </c>
      <c r="I19" t="s">
        <v>172</v>
      </c>
      <c r="AD19" s="1">
        <v>2.078</v>
      </c>
      <c r="AE19" s="1" t="s">
        <v>151</v>
      </c>
    </row>
    <row r="20" spans="1:31" ht="54" customHeight="1">
      <c r="A20" s="6" t="s">
        <v>152</v>
      </c>
      <c r="B20" s="1">
        <v>1</v>
      </c>
      <c r="C20" s="1" t="s">
        <v>145</v>
      </c>
      <c r="D20" s="1" t="s">
        <v>47</v>
      </c>
      <c r="E20" s="1" t="s">
        <v>111</v>
      </c>
      <c r="G20" s="6" t="s">
        <v>153</v>
      </c>
      <c r="H20" t="s">
        <v>173</v>
      </c>
      <c r="I20" t="s">
        <v>49</v>
      </c>
      <c r="J20" s="2">
        <f>IF(COUNT('Turns'!D51)=1,SUM('Turns'!D51),"Unknown")</f>
        <v>3.0</v>
      </c>
      <c r="K20" s="2">
        <f>IF(COUNT('Turns'!E51)=1,SUM('Turns'!E51),"Unknown")</f>
        <v>5.27844e-07</v>
      </c>
      <c r="L20" s="2">
        <f>IF(COUNT('Turns'!F51)=1,SUM('Turns'!F51),"Unknown")</f>
        <v>6e-07</v>
      </c>
      <c r="M20" s="2">
        <f>IF(COUNT('Turns'!D50)=1,SUM('Turns'!D50),"Unknown")</f>
        <v>2293.0</v>
      </c>
      <c r="N20" s="2">
        <f>IF(COUNT('Turns'!E50)=1,SUM('Turns'!E50),"Unknown")</f>
        <v>4.03448764e-05</v>
      </c>
      <c r="O20" s="2">
        <f>IF(COUNT('Turns'!F50)=1,SUM('Turns'!F50),"Unknown")</f>
        <v>4.586e-05</v>
      </c>
      <c r="P20" s="2">
        <f>IF(COUNT('Turns'!D53)=1,SUM('Turns'!D53),"Unknown")</f>
        <v>207.0</v>
      </c>
      <c r="Q20" s="2">
        <f>IF(COUNT('Turns'!E53)=1,SUM('Turns'!E53),"Unknown")</f>
        <v>4.5526545e-05</v>
      </c>
      <c r="R20" s="2">
        <f>IF(COUNT('Turns'!F53)=1,SUM('Turns'!F53),"Unknown")</f>
        <v>5.175e-05</v>
      </c>
      <c r="S20" s="2">
        <f>IF(COUNT('Turns'!D56)=1,SUM('Turns'!D56),"Unknown")</f>
        <v>276.0</v>
      </c>
      <c r="T20" s="2">
        <f>IF(COUNT('Turns'!E56)=1,SUM('Turns'!E56),"Unknown")</f>
        <v>0.000291369888</v>
      </c>
      <c r="U20" s="2">
        <f>IF(COUNT('Turns'!F56)=1,SUM('Turns'!F56),"Unknown")</f>
        <v>0.0003312</v>
      </c>
      <c r="V20" s="2">
        <v>0</v>
      </c>
      <c r="W20" s="2">
        <v>0</v>
      </c>
      <c r="X20" s="2">
        <v>0</v>
      </c>
      <c r="Y20" s="2">
        <f>IF(COUNT('Turns'!E60)=1,SUM('Turns'!E60),"Unknown")</f>
        <v>0.0003777691534</v>
      </c>
      <c r="Z20" s="2">
        <f>IF(COUNT('Turns'!F60)=1,SUM('Turns'!F60),"Unknown")</f>
        <v>0.00042941</v>
      </c>
      <c r="AA20" s="5">
        <f>IF(ISNUMBER(Y20),ROUND(Y20*'Reference data'!$B$2,0),"Unknown")</f>
        <v>38.0</v>
      </c>
      <c r="AB20" s="5">
        <f>IF(ISNUMBER(Z20),ROUND(Z20*'Reference data'!$B$2,0),"Unknown")</f>
        <v>43.0</v>
      </c>
      <c r="AD20" s="1">
        <v>3654.439</v>
      </c>
      <c r="AE20" s="1" t="s">
        <v>147</v>
      </c>
    </row>
    <row r="21" spans="1:31" ht="54" customHeight="1">
      <c r="A21" s="6" t="s">
        <v>155</v>
      </c>
      <c r="B21" s="1">
        <v>2</v>
      </c>
      <c r="C21" s="1" t="s">
        <v>156</v>
      </c>
      <c r="D21" s="1" t="s">
        <v>95</v>
      </c>
      <c r="E21" s="1" t="s">
        <v>111</v>
      </c>
      <c r="F21" s="1">
        <v>2503</v>
      </c>
      <c r="G21" s="6" t="s">
        <v>157</v>
      </c>
      <c r="H21" t="s">
        <v>141</v>
      </c>
      <c r="I21" t="s">
        <v>173</v>
      </c>
      <c r="J21" s="2">
        <f>IF(COUNT('Turns'!D51)=1,SUM('Turns'!D51),"Unknown")</f>
        <v>3.0</v>
      </c>
      <c r="K21" s="2">
        <f>IF(COUNT('Turns'!E51)=1,SUM('Turns'!E51),"Unknown")</f>
        <v>5.27844e-07</v>
      </c>
      <c r="L21" s="2">
        <f>IF(COUNT('Turns'!F51)=1,SUM('Turns'!F51),"Unknown")</f>
        <v>6e-07</v>
      </c>
      <c r="M21" s="2">
        <f>IF(COUNT('Turns'!D50)=1,SUM('Turns'!D50),"Unknown")</f>
        <v>2293.0</v>
      </c>
      <c r="N21" s="2">
        <f>IF(COUNT('Turns'!E50)=1,SUM('Turns'!E50),"Unknown")</f>
        <v>4.03448764e-05</v>
      </c>
      <c r="O21" s="2">
        <f>IF(COUNT('Turns'!F50)=1,SUM('Turns'!F50),"Unknown")</f>
        <v>4.586e-05</v>
      </c>
      <c r="P21" s="2">
        <f>IF(COUNT('Turns'!D53)=1,SUM('Turns'!D53),"Unknown")</f>
        <v>207.0</v>
      </c>
      <c r="Q21" s="2">
        <f>IF(COUNT('Turns'!E53)=1,SUM('Turns'!E53),"Unknown")</f>
        <v>4.5526545e-05</v>
      </c>
      <c r="R21" s="2">
        <f>IF(COUNT('Turns'!F53)=1,SUM('Turns'!F53),"Unknown")</f>
        <v>5.175e-05</v>
      </c>
      <c r="S21" s="2">
        <f>IF(COUNT('Turns'!D56)=1,SUM('Turns'!D56),"Unknown")</f>
        <v>276.0</v>
      </c>
      <c r="T21" s="2">
        <f>IF(COUNT('Turns'!E56)=1,SUM('Turns'!E56),"Unknown")</f>
        <v>0.000291369888</v>
      </c>
      <c r="U21" s="2">
        <f>IF(COUNT('Turns'!F56)=1,SUM('Turns'!F56),"Unknown")</f>
        <v>0.0003312</v>
      </c>
      <c r="V21" s="2">
        <v>0</v>
      </c>
      <c r="W21" s="2">
        <v>0</v>
      </c>
      <c r="X21" s="2">
        <v>0</v>
      </c>
      <c r="Y21" s="2">
        <f>IF(COUNT('Turns'!E60)=1,SUM('Turns'!E60),"Unknown")</f>
        <v>0.0003777691534</v>
      </c>
      <c r="Z21" s="2">
        <f>IF(COUNT('Turns'!F60)=1,SUM('Turns'!F60),"Unknown")</f>
        <v>0.00042941</v>
      </c>
      <c r="AA21" s="5">
        <f>IF(ISNUMBER(Y21),ROUND(Y21*'Reference data'!$B$2,0),"Unknown")</f>
        <v>38.0</v>
      </c>
      <c r="AB21" s="5">
        <f>IF(ISNUMBER(Z21),ROUND(Z21*'Reference data'!$B$2,0),"Unknown")</f>
        <v>43.0</v>
      </c>
      <c r="AC21" s="1" t="s">
        <v>140</v>
      </c>
      <c r="AD21" s="1">
        <v>3648.979</v>
      </c>
      <c r="AE21" s="1" t="s">
        <v>158</v>
      </c>
    </row>
  </sheetData>
  <conditionalFormatting sqref="A2:AE21">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2026-09-24T22:27:23Z</dcterms:created>
  <dcterms:modified xsi:type="dcterms:W3CDTF">2026-09-24T22:27:23Z</dcterms:modified>
</cp:coreProperties>
</file>
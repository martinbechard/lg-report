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urns" sheetId="1" r:id="rId1"/>
    <sheet name="Execution tree" sheetId="2" r:id="rId2"/>
    <sheet name="Reference data" sheetId="3" r:id="rId3"/>
  </sheets>
  <calcPr calcId="124519" fullCalcOnLoad="1"/>
</workbook>
</file>

<file path=xl/sharedStrings.xml><?xml version="1.0" encoding="utf-8"?>
<sst xmlns="http://schemas.openxmlformats.org/spreadsheetml/2006/main" count="715" uniqueCount="221">
  <si>
    <t>Request</t>
  </si>
  <si>
    <t>Turn</t>
  </si>
  <si>
    <t>Sequence</t>
  </si>
  <si>
    <t>Tokens</t>
  </si>
  <si>
    <t>EUR / execution</t>
  </si>
  <si>
    <t>USD / execution</t>
  </si>
  <si>
    <t>Projected EUR</t>
  </si>
  <si>
    <t>Projected USD</t>
  </si>
  <si>
    <t>Content</t>
  </si>
  <si>
    <t>Model · effort</t>
  </si>
  <si>
    <t>Status</t>
  </si>
  <si>
    <t>Context total tokens</t>
  </si>
  <si>
    <t>Span ID</t>
  </si>
  <si>
    <t>Operation</t>
  </si>
  <si>
    <t>Depth</t>
  </si>
  <si>
    <t>Type</t>
  </si>
  <si>
    <t>Input context tokens</t>
  </si>
  <si>
    <t>Description</t>
  </si>
  <si>
    <t>Parent ID</t>
  </si>
  <si>
    <t>Input at standard rate tokens</t>
  </si>
  <si>
    <t>Input at standard rate EUR</t>
  </si>
  <si>
    <t>Input at standard rate USD</t>
  </si>
  <si>
    <t>Cache read tokens</t>
  </si>
  <si>
    <t>Cache read EUR</t>
  </si>
  <si>
    <t>Cache read USD</t>
  </si>
  <si>
    <t>Cache write tokens</t>
  </si>
  <si>
    <t>Cache write EUR</t>
  </si>
  <si>
    <t>Cache write USD</t>
  </si>
  <si>
    <t>Output (non-reasoning) tokens</t>
  </si>
  <si>
    <t>Output (non-reasoning) EUR</t>
  </si>
  <si>
    <t>Output (non-reasoning) USD</t>
  </si>
  <si>
    <t>Reasoning tokens</t>
  </si>
  <si>
    <t>Reasoning EUR</t>
  </si>
  <si>
    <t>Reasoning USD</t>
  </si>
  <si>
    <t>Total EUR</t>
  </si>
  <si>
    <t>Total USD</t>
  </si>
  <si>
    <t>Elapsed ms</t>
  </si>
  <si>
    <t>Accounting</t>
  </si>
  <si>
    <t>Parameter</t>
  </si>
  <si>
    <t>Value</t>
  </si>
  <si>
    <t>Unit</t>
  </si>
  <si>
    <t>Number of executions</t>
  </si>
  <si>
    <t>executions</t>
  </si>
  <si>
    <t>USD → EUR</t>
  </si>
  <si>
    <t>EUR per USD</t>
  </si>
  <si>
    <t>Cache duration</t>
  </si>
  <si>
    <t>5m</t>
  </si>
  <si>
    <t/>
  </si>
  <si>
    <t>Run ID</t>
  </si>
  <si>
    <t>01a1143f-6fb3-7ca0-8d46-937eae9c46c0</t>
  </si>
  <si>
    <t>Recording</t>
  </si>
  <si>
    <t>Offline simulation</t>
  </si>
  <si>
    <t>FX reference date</t>
  </si>
  <si>
    <t>2026-09-24</t>
  </si>
  <si>
    <t>FX fetched at</t>
  </si>
  <si>
    <t>2026-09-24T22:21:31.719587Z</t>
  </si>
  <si>
    <t>UTC</t>
  </si>
  <si>
    <t>FX source</t>
  </si>
  <si>
    <t>https://api.frankfurter.dev/v2/rate/usd/eur?providers=ecb</t>
  </si>
  <si>
    <t>Rounding</t>
  </si>
  <si>
    <t>Only projected costs: ROUND(cost × executions, 0)</t>
  </si>
  <si>
    <t>Tree totals</t>
  </si>
  <si>
    <t>Parent rows include descendants; do not sum all tree rows.</t>
  </si>
  <si>
    <t>Cache writes</t>
  </si>
  <si>
    <t>Simulated context movement is not a provider-billed write.</t>
  </si>
  <si>
    <t>Pricing scope</t>
  </si>
  <si>
    <t>Published online token rates verified 2026-10-05. Copilot uses GitHub rates, including saved long-context tiers, before plan allowances; these are usage estimates, not subscription invoices. Cache writes with unspecified lifetime use the 5-minute rate unless an explicit cache_write rate is configured. Direct OpenAI and Anthropic entries use standard rates; no batch, regional, tool, negotiated, or unrecorded context-tier adjustments are applied. Model availability and context capacity require separate verification.</t>
  </si>
  <si>
    <t>Model</t>
  </si>
  <si>
    <t>Input USD / 1M tokens</t>
  </si>
  <si>
    <t>Cache read USD / 1M tokens</t>
  </si>
  <si>
    <t>Cache write USD / 1M tokens</t>
  </si>
  <si>
    <t>Output USD / 1M tokens</t>
  </si>
  <si>
    <t>Reasoning USD / 1M tokens</t>
  </si>
  <si>
    <t>Verified date</t>
  </si>
  <si>
    <t>Source</t>
  </si>
  <si>
    <t>Notes</t>
  </si>
  <si>
    <t>openai:gpt-5.5</t>
  </si>
  <si>
    <t>Unknown</t>
  </si>
  <si>
    <t>2026-10-05</t>
  </si>
  <si>
    <t>https://developers.openai.com/api/docs/models/gpt-5.5.md</t>
  </si>
  <si>
    <t>Cache write assumes 5m when unspecified</t>
  </si>
  <si>
    <t>openai:gpt-5.6-luna</t>
  </si>
  <si>
    <t>https://developers.openai.com/api/docs/models/gpt-5.6-luna.md</t>
  </si>
  <si>
    <t>openai:gpt-5.6-sol</t>
  </si>
  <si>
    <t>https://developers.openai.com/api/docs/models/gpt-5.6-sol.md</t>
  </si>
  <si>
    <t>anthropic:claude-sonnet-5</t>
  </si>
  <si>
    <t>https://platform.claude.com/docs/en/about-claude/pricing</t>
  </si>
  <si>
    <t>anthropic:claude-opus-4-8</t>
  </si>
  <si>
    <t>anthropic:claude-fable-5-1</t>
  </si>
  <si>
    <t>demo:scripted-chat</t>
  </si>
  <si>
    <t>Illustrative demo rates based on openai:gpt-5.6-luna; no provider billing</t>
  </si>
  <si>
    <t>anthropic:claude-haiku-4-5</t>
  </si>
  <si>
    <t>anthropic:claude-haiku-4-5-20251001</t>
  </si>
  <si>
    <t>anthropic:claude-opus-5-5</t>
  </si>
  <si>
    <t>anthropic:claude-sonnet-4-6</t>
  </si>
  <si>
    <t>anthropic:claude-sonnet-5-5</t>
  </si>
  <si>
    <t>copilot:claude-haiku-4.5</t>
  </si>
  <si>
    <t>https://docs.github.com/en/copilot/reference/copilot-billing/models-and-pricing</t>
  </si>
  <si>
    <t>copilot:claude-opus-5.5</t>
  </si>
  <si>
    <t>copilot:claude-sonnet-4.6</t>
  </si>
  <si>
    <t>copilot:claude-sonnet-5.5</t>
  </si>
  <si>
    <t>copilot:gemini-3.8-flash</t>
  </si>
  <si>
    <t>copilot:gpt-5.3-codex</t>
  </si>
  <si>
    <t>copilot:gpt-5.4</t>
  </si>
  <si>
    <t>copilot:gpt-6-astra</t>
  </si>
  <si>
    <t>copilot:gpt-6-luna</t>
  </si>
  <si>
    <t>copilot:gpt-6-sol</t>
  </si>
  <si>
    <t>copilot:gpt-6.1-sol</t>
  </si>
  <si>
    <t>openai:gpt-6-astra</t>
  </si>
  <si>
    <t>https://developers.openai.com/api/docs/models/gpt-6-astra.md</t>
  </si>
  <si>
    <t>openai:gpt-6-luna</t>
  </si>
  <si>
    <t>https://developers.openai.com/api/docs/models/gpt-6-luna.md</t>
  </si>
  <si>
    <t>openai:gpt-6-sol</t>
  </si>
  <si>
    <t>https://developers.openai.com/api/docs/models/gpt-6-sol.md</t>
  </si>
  <si>
    <t>openai:gpt-6.1-sol</t>
  </si>
  <si>
    <t>https://developers.openai.com/api/docs/models/gpt-6.1-sol.md</t>
  </si>
  <si>
    <t>copilot:gpt-5.4 [long context]</t>
  </si>
  <si>
    <t>Above 272,000 input tokens</t>
  </si>
  <si>
    <t>copilot:gpt-6-astra [long context]</t>
  </si>
  <si>
    <t>copilot:gpt-6-luna [long context]</t>
  </si>
  <si>
    <t>copilot:gpt-6-sol [long context]</t>
  </si>
  <si>
    <t>copilot:gpt-6.1-sol [long context]</t>
  </si>
  <si>
    <t>Run total</t>
  </si>
  <si>
    <t>Turn 1</t>
  </si>
  <si>
    <t>R1</t>
  </si>
  <si>
    <t>LLM request</t>
  </si>
  <si>
    <t>scripted-chat</t>
  </si>
  <si>
    <t>01a1143f-6fb7-72c1-ade0-8618aca31160</t>
  </si>
  <si>
    <t>Input at standard rate</t>
  </si>
  <si>
    <t xml:space="preserve">    Tool definitions</t>
  </si>
  <si>
    <t xml:space="preserve">    System prompt</t>
  </si>
  <si>
    <t>Use the fictional service evidence to propose and validate a latency improvement. Inspect traffic, database behavior, and constraints before testing the plan.</t>
  </si>
  <si>
    <t xml:space="preserve">    User prompt</t>
  </si>
  <si>
    <t>Investigate service latency and validate a plan meeting the constraints.</t>
  </si>
  <si>
    <t>Cache write</t>
  </si>
  <si>
    <t>Context · added / total</t>
  </si>
  <si>
    <t>LLM response</t>
  </si>
  <si>
    <t>Output</t>
  </si>
  <si>
    <t xml:space="preserve">    Output content</t>
  </si>
  <si>
    <t>Inspect the traffic evidence.
{"name": "inspect_service", "args": {"section": "traffic"}, "id": "inspect-0", "type": "tool_call"}</t>
  </si>
  <si>
    <t>Call total</t>
  </si>
  <si>
    <t>ok</t>
  </si>
  <si>
    <t>Tool · inspect_service</t>
  </si>
  <si>
    <t>01a1143f-7039-72a2-9539-5cdd3f56af5e</t>
  </si>
  <si>
    <t xml:space="preserve">    Arguments</t>
  </si>
  <si>
    <t>{'section': 'traffic'}</t>
  </si>
  <si>
    <t xml:space="preserve">    Result</t>
  </si>
  <si>
    <t>Peak 240 requests/s; p95 1.8s; 12 workers. Latency rises during database bursts.</t>
  </si>
  <si>
    <t>R2</t>
  </si>
  <si>
    <t>01a1143f-703b-7053-91dc-e3b7fa6e1526</t>
  </si>
  <si>
    <t>Conversation history · cache read</t>
  </si>
  <si>
    <t xml:space="preserve">    Tool result</t>
  </si>
  <si>
    <t>Inspect the database evidence.
{"name": "inspect_service", "args": {"section": "database"}, "id": "inspect-1", "type": "tool_call"}</t>
  </si>
  <si>
    <t>01a1143f-703f-7790-957a-0826ef48d8d6</t>
  </si>
  <si>
    <t>{'section': 'database'}</t>
  </si>
  <si>
    <t>Pool limit 12. Median query 80ms; p95 900ms. Duplicate account lookups appear per request.</t>
  </si>
  <si>
    <t>R3</t>
  </si>
  <si>
    <t>01a1143f-7041-7961-9676-f3d146921a51</t>
  </si>
  <si>
    <t>Inspect the constraints evidence.
{"name": "inspect_service", "args": {"section": "constraints"}, "id": "inspect-2", "type": "tool_call"}</t>
  </si>
  <si>
    <t>01a1143f-7044-7150-93d2-7954c9f640c3</t>
  </si>
  <si>
    <t>{'section': 'constraints'}</t>
  </si>
  <si>
    <t>Target p95 under 500ms. No additional database nodes. Cache lifetime must not exceed 60s.</t>
  </si>
  <si>
    <t>R4</t>
  </si>
  <si>
    <t>01a1143f-7046-7e13-9013-5323af20f982</t>
  </si>
  <si>
    <t>Reasoning</t>
  </si>
  <si>
    <t xml:space="preserve">    Reasoning text</t>
  </si>
  <si>
    <t>Compare the evidence against the latency and freshness constraints. Evaluate deduplication and short-lived caching, then verify load, invalidation, and rollback.</t>
  </si>
  <si>
    <t>Proposed plan: deduplicate account lookups and add a 30-second invalidated cache. Validate load, freshness, and rollback.
{"name": "test_plan", "args": {"check": "load"}, "id": "test-0", "type": "tool_call"}</t>
  </si>
  <si>
    <t>Tool · test_plan</t>
  </si>
  <si>
    <t>01a1143f-7049-7a62-9029-faf1bcce99ac</t>
  </si>
  <si>
    <t>{'check': 'load'}</t>
  </si>
  <si>
    <t>PASS: deduplicated lookups plus 30s cache yield p95 410ms at 240 requests/s; pool occupancy 65%.</t>
  </si>
  <si>
    <t>R5</t>
  </si>
  <si>
    <t>01a1143f-704c-73b3-afbc-eceb0e6ed002</t>
  </si>
  <si>
    <t>Review the freshness requirement and select a verification check for the proposed change.</t>
  </si>
  <si>
    <t>Verify freshness before recommending the change.
{"name": "test_plan", "args": {"check": "freshness"}, "id": "test-1", "type": "tool_call"}</t>
  </si>
  <si>
    <t>01a1143f-7051-75b2-969f-16aa797fe63a</t>
  </si>
  <si>
    <t>{'check': 'freshness'}</t>
  </si>
  <si>
    <t>PASS: account changes invalidate cached values; maximum fallback age is 30s.</t>
  </si>
  <si>
    <t>R6</t>
  </si>
  <si>
    <t>01a1143f-7053-7d91-83b6-86c8b626333d</t>
  </si>
  <si>
    <t>Review the rollback requirement and select a verification check for the proposed change.</t>
  </si>
  <si>
    <t>Verify rollback before recommending the change.
{"name": "test_plan", "args": {"check": "rollback"}, "id": "test-2", "type": "tool_call"}</t>
  </si>
  <si>
    <t>01a1143f-7057-7130-a82e-f8bc772ed094</t>
  </si>
  <si>
    <t>{'check': 'rollback'}</t>
  </si>
  <si>
    <t>PASS: feature flag restores original lookup path; no schema migration required.</t>
  </si>
  <si>
    <t>R7</t>
  </si>
  <si>
    <t>01a1143f-7059-7c80-a9da-c943371274eb</t>
  </si>
  <si>
    <t>Review the verification results against the acceptance criteria and summarize the recommendation with its rollout controls.</t>
  </si>
  <si>
    <t>Recommend deduplicated lookups and a 30-second invalidated cache. The load test meets the 500ms target at 410ms; freshness and rollback checks pass. Roll out behind the feature flag and monitor latency and pool occupancy.</t>
  </si>
  <si>
    <t>investigation_agent</t>
  </si>
  <si>
    <t>workflow</t>
  </si>
  <si>
    <t>Execute the investigation_agent workflow operation and pass its result to the next graph step.</t>
  </si>
  <si>
    <t>Subtree total</t>
  </si>
  <si>
    <t xml:space="preserve">    model</t>
  </si>
  <si>
    <t>Prepare the current conversation, run model middleware, and invoke the chat model.</t>
  </si>
  <si>
    <t>01a1143f-6fb5-7a40-a454-bfd2c043d6a6</t>
  </si>
  <si>
    <t xml:space="preserve">        SimulatedModel</t>
  </si>
  <si>
    <t>model</t>
  </si>
  <si>
    <t>Investigate evidence and test a hypothesis.</t>
  </si>
  <si>
    <t>Own call</t>
  </si>
  <si>
    <t xml:space="preserve">    tools</t>
  </si>
  <si>
    <t>Execute tool calls requested by the preceding model response and return their observations.</t>
  </si>
  <si>
    <t>01a1143f-7038-7493-b25f-5dd3069acde7</t>
  </si>
  <si>
    <t>No model charge</t>
  </si>
  <si>
    <t xml:space="preserve">        inspect_service</t>
  </si>
  <si>
    <t>tool</t>
  </si>
  <si>
    <t>Read fictional service evidence; no live service is inspected.</t>
  </si>
  <si>
    <t>01a1143f-703a-7242-9ed2-7056864c3c5d</t>
  </si>
  <si>
    <t>01a1143f-703f-7790-957a-0813924e38da</t>
  </si>
  <si>
    <t>01a1143f-7040-7e31-87f6-de9fe83c1086</t>
  </si>
  <si>
    <t>01a1143f-7043-7101-9b19-abcdd5e8bf96</t>
  </si>
  <si>
    <t>01a1143f-7045-7223-947a-5b966d7a4a77</t>
  </si>
  <si>
    <t>01a1143f-7049-7a62-9029-fae41eb66121</t>
  </si>
  <si>
    <t xml:space="preserve">        test_plan</t>
  </si>
  <si>
    <t>Return a fixed fictional plan-check result; no real test is executed.</t>
  </si>
  <si>
    <t>01a1143f-704b-7543-8e48-cfb70c01dc2b</t>
  </si>
  <si>
    <t>01a1143f-7050-7833-8614-faff8b3a8045</t>
  </si>
  <si>
    <t>01a1143f-7053-7d91-83b6-86b453c33df4</t>
  </si>
  <si>
    <t>01a1143f-7057-7130-a82e-f8a21b6b344f</t>
  </si>
  <si>
    <t>01a1143f-7059-7c80-a9da-c937acaf0d5c</t>
  </si>
</sst>
</file>

<file path=xl/styles.xml><?xml version="1.0" encoding="utf-8"?>
<styleSheet xmlns="http://schemas.openxmlformats.org/spreadsheetml/2006/main">
  <numFmts count="2">
    <numFmt numFmtId="164" formatCode="0.###############;-0.###############;0"/>
    <numFmt numFmtId="165" formatCode="#,##0"/>
  </numFmts>
  <fonts count="4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0"/>
      <color rgb="FF173B7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73B7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1B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top"/>
    </xf>
    <xf numFmtId="164" fontId="1" fillId="0" borderId="0" xfId="0" applyNumberFormat="1" applyFont="1" applyAlignment="1">
      <alignment vertical="top"/>
    </xf>
    <xf numFmtId="0" fontId="2" fillId="2" borderId="0" xfId="0" applyFont="1" applyFill="1" applyAlignment="1">
      <alignment vertical="top" wrapText="1"/>
    </xf>
    <xf numFmtId="0" fontId="3" fillId="3" borderId="0" xfId="0" applyFont="1" applyFill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0" xfId="0" applyFont="1" applyAlignment="1">
      <alignment vertical="top" wrapText="1"/>
    </xf>
    <xf numFmtId="165" fontId="0" fillId="4" borderId="0" xfId="0" applyNumberFormat="1" applyFill="1"/>
  </cellXfs>
  <cellStyles count="1">
    <cellStyle name="Normal" xfId="0" builtinId="0"/>
  </cellStyles>
  <dxfs count="1">
    <dxf>
      <font>
        <color rgb="FF8B1010"/>
      </font>
      <fill>
        <patternFill>
          <bgColor rgb="FFFFD3D3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73B70"/>
  </sheetPr>
  <dimension ref="A1:M114"/>
  <sheetViews>
    <sheetView showGridLines="0"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2" width="10.7109375" customWidth="1"/>
    <col min="3" max="3" width="38.7109375" customWidth="1"/>
    <col min="4" max="4" width="18.7109375" style="1" customWidth="1"/>
    <col min="5" max="6" width="22.7109375" style="2" customWidth="1"/>
    <col min="7" max="8" width="18.7109375" style="1" customWidth="1"/>
    <col min="9" max="9" width="100.7109375" customWidth="1"/>
    <col min="10" max="10" width="26.7109375" customWidth="1"/>
    <col min="11" max="12" width="18.7109375" style="1" customWidth="1"/>
    <col min="13" max="13" width="38.7109375" customWidth="1"/>
  </cols>
  <sheetData>
    <row r="1" spans="1:13" ht="44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 s="4" customFormat="1" ht="24" customHeight="1">
      <c r="C2" s="4" t="s">
        <v>122</v>
      </c>
      <c r="E2" s="2">
        <f>IF(COUNT('Turns'!E16,'Turns'!E31,'Turns'!E46,'Turns'!E63,'Turns'!E80,'Turns'!E97,'Turns'!E114)=7,SUM('Turns'!E16,'Turns'!E31,'Turns'!E46,'Turns'!E63,'Turns'!E80,'Turns'!E97,'Turns'!E114),"Unknown")</f>
        <v>0.0164652314348</v>
      </c>
      <c r="F2" s="2">
        <f>IF(COUNT('Turns'!F16,'Turns'!F31,'Turns'!F46,'Turns'!F63,'Turns'!F80,'Turns'!F97,'Turns'!F114)=7,SUM('Turns'!F16,'Turns'!F31,'Turns'!F46,'Turns'!F63,'Turns'!F80,'Turns'!F97,'Turns'!F114),"Unknown")</f>
        <v>0.01871602</v>
      </c>
      <c r="G2" s="5">
        <f>IF(ISNUMBER(E2),ROUND(E2*'Reference data'!$B$2,0),"Unknown")</f>
        <v>1647.0</v>
      </c>
      <c r="H2" s="5">
        <f>IF(ISNUMBER(F2),ROUND(F2*'Reference data'!$B$2,0),"Unknown")</f>
        <v>1872.0</v>
      </c>
    </row>
    <row r="3" spans="1:13" s="4" customFormat="1" ht="24" customHeight="1">
      <c r="B3" s="4">
        <v>1</v>
      </c>
      <c r="C3" s="4" t="s">
        <v>123</v>
      </c>
      <c r="E3" s="2">
        <f>IF(COUNT('Turns'!E16,'Turns'!E31,'Turns'!E46,'Turns'!E63,'Turns'!E80,'Turns'!E97,'Turns'!E114)=7,SUM('Turns'!E16,'Turns'!E31,'Turns'!E46,'Turns'!E63,'Turns'!E80,'Turns'!E97,'Turns'!E114),"Unknown")</f>
        <v>0.0164652314348</v>
      </c>
      <c r="F3" s="2">
        <f>IF(COUNT('Turns'!F16,'Turns'!F31,'Turns'!F46,'Turns'!F63,'Turns'!F80,'Turns'!F97,'Turns'!F114)=7,SUM('Turns'!F16,'Turns'!F31,'Turns'!F46,'Turns'!F63,'Turns'!F80,'Turns'!F97,'Turns'!F114),"Unknown")</f>
        <v>0.01871602</v>
      </c>
      <c r="G3" s="5">
        <f>IF(ISNUMBER(E3),ROUND(E3*'Reference data'!$B$2,0),"Unknown")</f>
        <v>1647.0</v>
      </c>
      <c r="H3" s="5">
        <f>IF(ISNUMBER(F3),ROUND(F3*'Reference data'!$B$2,0),"Unknown")</f>
        <v>1872.0</v>
      </c>
    </row>
    <row r="4" spans="1:13" s="4" customFormat="1" ht="24" customHeight="1">
      <c r="A4" s="4" t="s">
        <v>124</v>
      </c>
      <c r="B4" s="4">
        <v>1</v>
      </c>
      <c r="C4" s="4" t="s">
        <v>125</v>
      </c>
      <c r="D4" s="4">
        <v>257</v>
      </c>
      <c r="J4" s="4" t="s">
        <v>126</v>
      </c>
      <c r="M4" s="4" t="s">
        <v>127</v>
      </c>
    </row>
    <row r="5" spans="1:13" ht="24" customHeight="1">
      <c r="A5" t="s">
        <v>124</v>
      </c>
      <c r="B5">
        <v>1</v>
      </c>
      <c r="C5" t="s">
        <v>128</v>
      </c>
      <c r="D5" s="5">
        <v>257</v>
      </c>
      <c r="E5" s="2">
        <f>IF(AND(ISNUMBER(F5),ISNUMBER('Reference data'!$B$3)),F5*'Reference data'!$B$3,"Unknown")</f>
        <v>4.5218636e-05</v>
      </c>
      <c r="F5" s="2">
        <f>IF(D5=0,0,IF(ISNUMBER('Reference data'!B22),D5*'Reference data'!B22/1000000,"Unknown"))</f>
        <v>5.14e-05</v>
      </c>
      <c r="G5" s="5">
        <f>IF(ISNUMBER(E5),ROUND(E5*'Reference data'!$B$2,0),"Unknown")</f>
        <v>5.0</v>
      </c>
      <c r="H5" s="5">
        <f>IF(ISNUMBER(F5),ROUND(F5*'Reference data'!$B$2,0),"Unknown")</f>
        <v>5.0</v>
      </c>
    </row>
    <row r="6" spans="1:13" ht="24" customHeight="1">
      <c r="A6" t="s">
        <v>124</v>
      </c>
      <c r="B6">
        <v>1</v>
      </c>
      <c r="C6" t="s">
        <v>129</v>
      </c>
      <c r="D6" s="1">
        <v>173</v>
      </c>
    </row>
    <row r="7" spans="1:13" ht="34" customHeight="1">
      <c r="A7" t="s">
        <v>124</v>
      </c>
      <c r="B7">
        <v>1</v>
      </c>
      <c r="C7" t="s">
        <v>130</v>
      </c>
      <c r="D7" s="1">
        <v>49</v>
      </c>
      <c r="I7" s="6" t="s">
        <v>131</v>
      </c>
    </row>
    <row r="8" spans="1:13" ht="24" customHeight="1">
      <c r="A8" t="s">
        <v>124</v>
      </c>
      <c r="B8">
        <v>1</v>
      </c>
      <c r="C8" t="s">
        <v>132</v>
      </c>
      <c r="D8" s="1">
        <v>35</v>
      </c>
      <c r="I8" s="6" t="s">
        <v>133</v>
      </c>
    </row>
    <row r="9" spans="1:13" ht="24" customHeight="1">
      <c r="A9" t="s">
        <v>124</v>
      </c>
      <c r="B9">
        <v>1</v>
      </c>
      <c r="C9" t="s">
        <v>134</v>
      </c>
      <c r="D9" s="1">
        <v>257</v>
      </c>
    </row>
    <row r="10" spans="1:13" ht="24" customHeight="1">
      <c r="A10" t="s">
        <v>124</v>
      </c>
      <c r="B10">
        <v>1</v>
      </c>
      <c r="C10" t="s">
        <v>135</v>
      </c>
      <c r="D10" s="1">
        <v>257</v>
      </c>
      <c r="L10" s="1">
        <v>257</v>
      </c>
    </row>
    <row r="11" spans="1:13" s="4" customFormat="1" ht="24" customHeight="1">
      <c r="A11" s="4" t="s">
        <v>124</v>
      </c>
      <c r="B11" s="4">
        <v>1</v>
      </c>
      <c r="C11" s="4" t="s">
        <v>136</v>
      </c>
      <c r="D11" s="4">
        <v>58</v>
      </c>
    </row>
    <row r="12" spans="1:13" ht="24" customHeight="1">
      <c r="A12" t="s">
        <v>124</v>
      </c>
      <c r="B12">
        <v>1</v>
      </c>
      <c r="C12" t="s">
        <v>137</v>
      </c>
      <c r="D12" s="5">
        <v>58</v>
      </c>
      <c r="E12" s="2">
        <f>IF(AND(ISNUMBER(F12),ISNUMBER('Reference data'!$B$3)),F12*'Reference data'!$B$3,"Unknown")</f>
        <v>6.1229904e-05</v>
      </c>
      <c r="F12" s="2">
        <f>IF(D12=0,0,IF(ISNUMBER('Reference data'!E22),D12*'Reference data'!E22/1000000,"Unknown"))</f>
        <v>6.96e-05</v>
      </c>
      <c r="G12" s="5">
        <f>IF(ISNUMBER(E12),ROUND(E12*'Reference data'!$B$2,0),"Unknown")</f>
        <v>6.0</v>
      </c>
      <c r="H12" s="5">
        <f>IF(ISNUMBER(F12),ROUND(F12*'Reference data'!$B$2,0),"Unknown")</f>
        <v>7.0</v>
      </c>
    </row>
    <row r="13" spans="1:13" ht="47" customHeight="1">
      <c r="A13" t="s">
        <v>124</v>
      </c>
      <c r="B13">
        <v>1</v>
      </c>
      <c r="C13" t="s">
        <v>138</v>
      </c>
      <c r="I13" s="6" t="s">
        <v>139</v>
      </c>
    </row>
    <row r="14" spans="1:13" ht="24" customHeight="1">
      <c r="A14" t="s">
        <v>124</v>
      </c>
      <c r="B14">
        <v>1</v>
      </c>
      <c r="C14" t="s">
        <v>134</v>
      </c>
      <c r="D14" s="1">
        <v>58</v>
      </c>
    </row>
    <row r="15" spans="1:13" ht="24" customHeight="1">
      <c r="A15" t="s">
        <v>124</v>
      </c>
      <c r="B15">
        <v>1</v>
      </c>
      <c r="C15" t="s">
        <v>135</v>
      </c>
      <c r="D15" s="1">
        <v>58</v>
      </c>
      <c r="L15" s="1">
        <v>315</v>
      </c>
    </row>
    <row r="16" spans="1:13" s="4" customFormat="1" ht="24" customHeight="1">
      <c r="A16" s="4" t="s">
        <v>124</v>
      </c>
      <c r="B16" s="4">
        <v>1</v>
      </c>
      <c r="C16" s="4" t="s">
        <v>140</v>
      </c>
      <c r="E16" s="2">
        <f>IF(COUNT('Turns'!E5,'Turns'!E12)=2,SUM('Turns'!E5,'Turns'!E12),"Unknown")</f>
        <v>0.00010644854</v>
      </c>
      <c r="F16" s="2">
        <f>IF(COUNT('Turns'!F5,'Turns'!F12)=2,SUM('Turns'!F5,'Turns'!F12),"Unknown")</f>
        <v>0.000121</v>
      </c>
      <c r="G16" s="5">
        <f>IF(ISNUMBER(E16),ROUND(E16*'Reference data'!$B$2,0),"Unknown")</f>
        <v>11.0</v>
      </c>
      <c r="H16" s="5">
        <f>IF(ISNUMBER(F16),ROUND(F16*'Reference data'!$B$2,0),"Unknown")</f>
        <v>12.0</v>
      </c>
      <c r="K16" s="4" t="s">
        <v>141</v>
      </c>
    </row>
    <row r="17" spans="1:13" s="4" customFormat="1" ht="24" customHeight="1">
      <c r="B17" s="4">
        <v>1</v>
      </c>
      <c r="C17" s="4" t="s">
        <v>142</v>
      </c>
      <c r="K17" s="4" t="s">
        <v>141</v>
      </c>
      <c r="M17" s="4" t="s">
        <v>143</v>
      </c>
    </row>
    <row r="18" spans="1:13" ht="24" customHeight="1">
      <c r="B18">
        <v>1</v>
      </c>
      <c r="C18" t="s">
        <v>144</v>
      </c>
      <c r="I18" s="6" t="s">
        <v>145</v>
      </c>
    </row>
    <row r="19" spans="1:13" ht="24" customHeight="1">
      <c r="B19">
        <v>1</v>
      </c>
      <c r="C19" t="s">
        <v>146</v>
      </c>
      <c r="I19" s="6" t="s">
        <v>147</v>
      </c>
    </row>
    <row r="20" spans="1:13" s="4" customFormat="1" ht="24" customHeight="1">
      <c r="A20" s="4" t="s">
        <v>148</v>
      </c>
      <c r="B20" s="4">
        <v>1</v>
      </c>
      <c r="C20" s="4" t="s">
        <v>125</v>
      </c>
      <c r="D20" s="4">
        <v>366</v>
      </c>
      <c r="J20" s="4" t="s">
        <v>126</v>
      </c>
      <c r="M20" s="4" t="s">
        <v>149</v>
      </c>
    </row>
    <row r="21" spans="1:13" ht="24" customHeight="1">
      <c r="A21" t="s">
        <v>148</v>
      </c>
      <c r="B21">
        <v>1</v>
      </c>
      <c r="C21" t="s">
        <v>150</v>
      </c>
      <c r="D21" s="5">
        <v>315</v>
      </c>
      <c r="E21" s="2">
        <f>IF(AND(ISNUMBER(F21),ISNUMBER('Reference data'!$B$3)),F21*'Reference data'!$B$3,"Unknown")</f>
        <v>5.542362e-06</v>
      </c>
      <c r="F21" s="2">
        <f>IF(D21=0,0,IF(ISNUMBER('Reference data'!C22),D21*'Reference data'!C22/1000000,"Unknown"))</f>
        <v>6.3e-06</v>
      </c>
      <c r="G21" s="5">
        <f>IF(ISNUMBER(E21),ROUND(E21*'Reference data'!$B$2,0),"Unknown")</f>
        <v>1.0</v>
      </c>
      <c r="H21" s="5">
        <f>IF(ISNUMBER(F21),ROUND(F21*'Reference data'!$B$2,0),"Unknown")</f>
        <v>1.0</v>
      </c>
    </row>
    <row r="22" spans="1:13" ht="24" customHeight="1">
      <c r="A22" t="s">
        <v>148</v>
      </c>
      <c r="B22">
        <v>1</v>
      </c>
      <c r="C22" t="s">
        <v>128</v>
      </c>
      <c r="D22" s="5">
        <v>51</v>
      </c>
      <c r="E22" s="2">
        <f>IF(AND(ISNUMBER(F22),ISNUMBER('Reference data'!$B$3)),F22*'Reference data'!$B$3,"Unknown")</f>
        <v>8.973348e-06</v>
      </c>
      <c r="F22" s="2">
        <f>IF(D22=0,0,IF(ISNUMBER('Reference data'!B22),D22*'Reference data'!B22/1000000,"Unknown"))</f>
        <v>1.02e-05</v>
      </c>
      <c r="G22" s="5">
        <f>IF(ISNUMBER(E22),ROUND(E22*'Reference data'!$B$2,0),"Unknown")</f>
        <v>1.0</v>
      </c>
      <c r="H22" s="5">
        <f>IF(ISNUMBER(F22),ROUND(F22*'Reference data'!$B$2,0),"Unknown")</f>
        <v>1.0</v>
      </c>
    </row>
    <row r="23" spans="1:13" ht="24" customHeight="1">
      <c r="A23" t="s">
        <v>148</v>
      </c>
      <c r="B23">
        <v>1</v>
      </c>
      <c r="C23" t="s">
        <v>151</v>
      </c>
      <c r="D23" s="1">
        <v>51</v>
      </c>
      <c r="I23" s="6" t="s">
        <v>147</v>
      </c>
    </row>
    <row r="24" spans="1:13" ht="24" customHeight="1">
      <c r="A24" t="s">
        <v>148</v>
      </c>
      <c r="B24">
        <v>1</v>
      </c>
      <c r="C24" t="s">
        <v>134</v>
      </c>
      <c r="D24" s="1">
        <v>51</v>
      </c>
    </row>
    <row r="25" spans="1:13" ht="24" customHeight="1">
      <c r="A25" t="s">
        <v>148</v>
      </c>
      <c r="B25">
        <v>1</v>
      </c>
      <c r="C25" t="s">
        <v>135</v>
      </c>
      <c r="D25" s="1">
        <v>51</v>
      </c>
      <c r="L25" s="1">
        <v>366</v>
      </c>
    </row>
    <row r="26" spans="1:13" s="4" customFormat="1" ht="24" customHeight="1">
      <c r="A26" s="4" t="s">
        <v>148</v>
      </c>
      <c r="B26" s="4">
        <v>1</v>
      </c>
      <c r="C26" s="4" t="s">
        <v>136</v>
      </c>
      <c r="D26" s="4">
        <v>58</v>
      </c>
    </row>
    <row r="27" spans="1:13" ht="24" customHeight="1">
      <c r="A27" t="s">
        <v>148</v>
      </c>
      <c r="B27">
        <v>1</v>
      </c>
      <c r="C27" t="s">
        <v>137</v>
      </c>
      <c r="D27" s="5">
        <v>58</v>
      </c>
      <c r="E27" s="2">
        <f>IF(AND(ISNUMBER(F27),ISNUMBER('Reference data'!$B$3)),F27*'Reference data'!$B$3,"Unknown")</f>
        <v>6.1229904e-05</v>
      </c>
      <c r="F27" s="2">
        <f>IF(D27=0,0,IF(ISNUMBER('Reference data'!E22),D27*'Reference data'!E22/1000000,"Unknown"))</f>
        <v>6.96e-05</v>
      </c>
      <c r="G27" s="5">
        <f>IF(ISNUMBER(E27),ROUND(E27*'Reference data'!$B$2,0),"Unknown")</f>
        <v>6.0</v>
      </c>
      <c r="H27" s="5">
        <f>IF(ISNUMBER(F27),ROUND(F27*'Reference data'!$B$2,0),"Unknown")</f>
        <v>7.0</v>
      </c>
    </row>
    <row r="28" spans="1:13" ht="47" customHeight="1">
      <c r="A28" t="s">
        <v>148</v>
      </c>
      <c r="B28">
        <v>1</v>
      </c>
      <c r="C28" t="s">
        <v>138</v>
      </c>
      <c r="I28" s="6" t="s">
        <v>152</v>
      </c>
    </row>
    <row r="29" spans="1:13" ht="24" customHeight="1">
      <c r="A29" t="s">
        <v>148</v>
      </c>
      <c r="B29">
        <v>1</v>
      </c>
      <c r="C29" t="s">
        <v>134</v>
      </c>
      <c r="D29" s="1">
        <v>58</v>
      </c>
    </row>
    <row r="30" spans="1:13" ht="24" customHeight="1">
      <c r="A30" t="s">
        <v>148</v>
      </c>
      <c r="B30">
        <v>1</v>
      </c>
      <c r="C30" t="s">
        <v>135</v>
      </c>
      <c r="D30" s="1">
        <v>58</v>
      </c>
      <c r="L30" s="1">
        <v>424</v>
      </c>
    </row>
    <row r="31" spans="1:13" s="4" customFormat="1" ht="24" customHeight="1">
      <c r="A31" s="4" t="s">
        <v>148</v>
      </c>
      <c r="B31" s="4">
        <v>1</v>
      </c>
      <c r="C31" s="4" t="s">
        <v>140</v>
      </c>
      <c r="E31" s="2">
        <f>IF(COUNT('Turns'!E21,'Turns'!E22,'Turns'!E27)=3,SUM('Turns'!E21,'Turns'!E22,'Turns'!E27),"Unknown")</f>
        <v>7.5745614e-05</v>
      </c>
      <c r="F31" s="2">
        <f>IF(COUNT('Turns'!F21,'Turns'!F22,'Turns'!F27)=3,SUM('Turns'!F21,'Turns'!F22,'Turns'!F27),"Unknown")</f>
        <v>8.61e-05</v>
      </c>
      <c r="G31" s="5">
        <f>IF(ISNUMBER(E31),ROUND(E31*'Reference data'!$B$2,0),"Unknown")</f>
        <v>8.0</v>
      </c>
      <c r="H31" s="5">
        <f>IF(ISNUMBER(F31),ROUND(F31*'Reference data'!$B$2,0),"Unknown")</f>
        <v>9.0</v>
      </c>
      <c r="K31" s="4" t="s">
        <v>141</v>
      </c>
    </row>
    <row r="32" spans="1:13" s="4" customFormat="1" ht="24" customHeight="1">
      <c r="B32" s="4">
        <v>1</v>
      </c>
      <c r="C32" s="4" t="s">
        <v>142</v>
      </c>
      <c r="K32" s="4" t="s">
        <v>141</v>
      </c>
      <c r="M32" s="4" t="s">
        <v>153</v>
      </c>
    </row>
    <row r="33" spans="1:13" ht="24" customHeight="1">
      <c r="B33">
        <v>1</v>
      </c>
      <c r="C33" t="s">
        <v>144</v>
      </c>
      <c r="I33" s="6" t="s">
        <v>154</v>
      </c>
    </row>
    <row r="34" spans="1:13" ht="34" customHeight="1">
      <c r="B34">
        <v>1</v>
      </c>
      <c r="C34" t="s">
        <v>146</v>
      </c>
      <c r="I34" s="6" t="s">
        <v>155</v>
      </c>
    </row>
    <row r="35" spans="1:13" s="4" customFormat="1" ht="24" customHeight="1">
      <c r="A35" s="4" t="s">
        <v>156</v>
      </c>
      <c r="B35" s="4">
        <v>1</v>
      </c>
      <c r="C35" s="4" t="s">
        <v>125</v>
      </c>
      <c r="D35" s="4">
        <v>475</v>
      </c>
      <c r="J35" s="4" t="s">
        <v>126</v>
      </c>
      <c r="M35" s="4" t="s">
        <v>157</v>
      </c>
    </row>
    <row r="36" spans="1:13" ht="24" customHeight="1">
      <c r="A36" t="s">
        <v>156</v>
      </c>
      <c r="B36">
        <v>1</v>
      </c>
      <c r="C36" t="s">
        <v>150</v>
      </c>
      <c r="D36" s="5">
        <v>424</v>
      </c>
      <c r="E36" s="2">
        <f>IF(AND(ISNUMBER(F36),ISNUMBER('Reference data'!$B$3)),F36*'Reference data'!$B$3,"Unknown")</f>
        <v>7.4601952e-06</v>
      </c>
      <c r="F36" s="2">
        <f>IF(D36=0,0,IF(ISNUMBER('Reference data'!C22),D36*'Reference data'!C22/1000000,"Unknown"))</f>
        <v>8.48e-06</v>
      </c>
      <c r="G36" s="5">
        <f>IF(ISNUMBER(E36),ROUND(E36*'Reference data'!$B$2,0),"Unknown")</f>
        <v>1.0</v>
      </c>
      <c r="H36" s="5">
        <f>IF(ISNUMBER(F36),ROUND(F36*'Reference data'!$B$2,0),"Unknown")</f>
        <v>1.0</v>
      </c>
    </row>
    <row r="37" spans="1:13" ht="24" customHeight="1">
      <c r="A37" t="s">
        <v>156</v>
      </c>
      <c r="B37">
        <v>1</v>
      </c>
      <c r="C37" t="s">
        <v>128</v>
      </c>
      <c r="D37" s="5">
        <v>51</v>
      </c>
      <c r="E37" s="2">
        <f>IF(AND(ISNUMBER(F37),ISNUMBER('Reference data'!$B$3)),F37*'Reference data'!$B$3,"Unknown")</f>
        <v>8.973348e-06</v>
      </c>
      <c r="F37" s="2">
        <f>IF(D37=0,0,IF(ISNUMBER('Reference data'!B22),D37*'Reference data'!B22/1000000,"Unknown"))</f>
        <v>1.02e-05</v>
      </c>
      <c r="G37" s="5">
        <f>IF(ISNUMBER(E37),ROUND(E37*'Reference data'!$B$2,0),"Unknown")</f>
        <v>1.0</v>
      </c>
      <c r="H37" s="5">
        <f>IF(ISNUMBER(F37),ROUND(F37*'Reference data'!$B$2,0),"Unknown")</f>
        <v>1.0</v>
      </c>
    </row>
    <row r="38" spans="1:13" ht="34" customHeight="1">
      <c r="A38" t="s">
        <v>156</v>
      </c>
      <c r="B38">
        <v>1</v>
      </c>
      <c r="C38" t="s">
        <v>151</v>
      </c>
      <c r="D38" s="1">
        <v>51</v>
      </c>
      <c r="I38" s="6" t="s">
        <v>155</v>
      </c>
    </row>
    <row r="39" spans="1:13" ht="24" customHeight="1">
      <c r="A39" t="s">
        <v>156</v>
      </c>
      <c r="B39">
        <v>1</v>
      </c>
      <c r="C39" t="s">
        <v>134</v>
      </c>
      <c r="D39" s="1">
        <v>51</v>
      </c>
    </row>
    <row r="40" spans="1:13" ht="24" customHeight="1">
      <c r="A40" t="s">
        <v>156</v>
      </c>
      <c r="B40">
        <v>1</v>
      </c>
      <c r="C40" t="s">
        <v>135</v>
      </c>
      <c r="D40" s="1">
        <v>51</v>
      </c>
      <c r="L40" s="1">
        <v>475</v>
      </c>
    </row>
    <row r="41" spans="1:13" s="4" customFormat="1" ht="24" customHeight="1">
      <c r="A41" s="4" t="s">
        <v>156</v>
      </c>
      <c r="B41" s="4">
        <v>1</v>
      </c>
      <c r="C41" s="4" t="s">
        <v>136</v>
      </c>
      <c r="D41" s="4">
        <v>58</v>
      </c>
    </row>
    <row r="42" spans="1:13" ht="24" customHeight="1">
      <c r="A42" t="s">
        <v>156</v>
      </c>
      <c r="B42">
        <v>1</v>
      </c>
      <c r="C42" t="s">
        <v>137</v>
      </c>
      <c r="D42" s="5">
        <v>58</v>
      </c>
      <c r="E42" s="2">
        <f>IF(AND(ISNUMBER(F42),ISNUMBER('Reference data'!$B$3)),F42*'Reference data'!$B$3,"Unknown")</f>
        <v>6.1229904e-05</v>
      </c>
      <c r="F42" s="2">
        <f>IF(D42=0,0,IF(ISNUMBER('Reference data'!E22),D42*'Reference data'!E22/1000000,"Unknown"))</f>
        <v>6.96e-05</v>
      </c>
      <c r="G42" s="5">
        <f>IF(ISNUMBER(E42),ROUND(E42*'Reference data'!$B$2,0),"Unknown")</f>
        <v>6.0</v>
      </c>
      <c r="H42" s="5">
        <f>IF(ISNUMBER(F42),ROUND(F42*'Reference data'!$B$2,0),"Unknown")</f>
        <v>7.0</v>
      </c>
    </row>
    <row r="43" spans="1:13" ht="47" customHeight="1">
      <c r="A43" t="s">
        <v>156</v>
      </c>
      <c r="B43">
        <v>1</v>
      </c>
      <c r="C43" t="s">
        <v>138</v>
      </c>
      <c r="I43" s="6" t="s">
        <v>158</v>
      </c>
    </row>
    <row r="44" spans="1:13" ht="24" customHeight="1">
      <c r="A44" t="s">
        <v>156</v>
      </c>
      <c r="B44">
        <v>1</v>
      </c>
      <c r="C44" t="s">
        <v>134</v>
      </c>
      <c r="D44" s="1">
        <v>58</v>
      </c>
    </row>
    <row r="45" spans="1:13" ht="24" customHeight="1">
      <c r="A45" t="s">
        <v>156</v>
      </c>
      <c r="B45">
        <v>1</v>
      </c>
      <c r="C45" t="s">
        <v>135</v>
      </c>
      <c r="D45" s="1">
        <v>58</v>
      </c>
      <c r="L45" s="1">
        <v>533</v>
      </c>
    </row>
    <row r="46" spans="1:13" s="4" customFormat="1" ht="24" customHeight="1">
      <c r="A46" s="4" t="s">
        <v>156</v>
      </c>
      <c r="B46" s="4">
        <v>1</v>
      </c>
      <c r="C46" s="4" t="s">
        <v>140</v>
      </c>
      <c r="E46" s="2">
        <f>IF(COUNT('Turns'!E36,'Turns'!E37,'Turns'!E42)=3,SUM('Turns'!E36,'Turns'!E37,'Turns'!E42),"Unknown")</f>
        <v>7.76634472e-05</v>
      </c>
      <c r="F46" s="2">
        <f>IF(COUNT('Turns'!F36,'Turns'!F37,'Turns'!F42)=3,SUM('Turns'!F36,'Turns'!F37,'Turns'!F42),"Unknown")</f>
        <v>8.828e-05</v>
      </c>
      <c r="G46" s="5">
        <f>IF(ISNUMBER(E46),ROUND(E46*'Reference data'!$B$2,0),"Unknown")</f>
        <v>8.0</v>
      </c>
      <c r="H46" s="5">
        <f>IF(ISNUMBER(F46),ROUND(F46*'Reference data'!$B$2,0),"Unknown")</f>
        <v>9.0</v>
      </c>
      <c r="K46" s="4" t="s">
        <v>141</v>
      </c>
    </row>
    <row r="47" spans="1:13" s="4" customFormat="1" ht="24" customHeight="1">
      <c r="B47" s="4">
        <v>1</v>
      </c>
      <c r="C47" s="4" t="s">
        <v>142</v>
      </c>
      <c r="K47" s="4" t="s">
        <v>141</v>
      </c>
      <c r="M47" s="4" t="s">
        <v>159</v>
      </c>
    </row>
    <row r="48" spans="1:13" ht="24" customHeight="1">
      <c r="B48">
        <v>1</v>
      </c>
      <c r="C48" t="s">
        <v>144</v>
      </c>
      <c r="I48" s="6" t="s">
        <v>160</v>
      </c>
    </row>
    <row r="49" spans="1:13" ht="34" customHeight="1">
      <c r="B49">
        <v>1</v>
      </c>
      <c r="C49" t="s">
        <v>146</v>
      </c>
      <c r="I49" s="6" t="s">
        <v>161</v>
      </c>
    </row>
    <row r="50" spans="1:13" s="4" customFormat="1" ht="24" customHeight="1">
      <c r="A50" s="4" t="s">
        <v>162</v>
      </c>
      <c r="B50" s="4">
        <v>1</v>
      </c>
      <c r="C50" s="4" t="s">
        <v>125</v>
      </c>
      <c r="D50" s="4">
        <v>581</v>
      </c>
      <c r="J50" s="4" t="s">
        <v>126</v>
      </c>
      <c r="M50" s="4" t="s">
        <v>163</v>
      </c>
    </row>
    <row r="51" spans="1:13" ht="24" customHeight="1">
      <c r="A51" t="s">
        <v>162</v>
      </c>
      <c r="B51">
        <v>1</v>
      </c>
      <c r="C51" t="s">
        <v>150</v>
      </c>
      <c r="D51" s="5">
        <v>533</v>
      </c>
      <c r="E51" s="2">
        <f>IF(AND(ISNUMBER(F51),ISNUMBER('Reference data'!$B$3)),F51*'Reference data'!$B$3,"Unknown")</f>
        <v>9.3780284e-06</v>
      </c>
      <c r="F51" s="2">
        <f>IF(D51=0,0,IF(ISNUMBER('Reference data'!C22),D51*'Reference data'!C22/1000000,"Unknown"))</f>
        <v>1.066e-05</v>
      </c>
      <c r="G51" s="5">
        <f>IF(ISNUMBER(E51),ROUND(E51*'Reference data'!$B$2,0),"Unknown")</f>
        <v>1.0</v>
      </c>
      <c r="H51" s="5">
        <f>IF(ISNUMBER(F51),ROUND(F51*'Reference data'!$B$2,0),"Unknown")</f>
        <v>1.0</v>
      </c>
    </row>
    <row r="52" spans="1:13" ht="24" customHeight="1">
      <c r="A52" t="s">
        <v>162</v>
      </c>
      <c r="B52">
        <v>1</v>
      </c>
      <c r="C52" t="s">
        <v>128</v>
      </c>
      <c r="D52" s="5">
        <v>48</v>
      </c>
      <c r="E52" s="2">
        <f>IF(AND(ISNUMBER(F52),ISNUMBER('Reference data'!$B$3)),F52*'Reference data'!$B$3,"Unknown")</f>
        <v>8.445504e-06</v>
      </c>
      <c r="F52" s="2">
        <f>IF(D52=0,0,IF(ISNUMBER('Reference data'!B22),D52*'Reference data'!B22/1000000,"Unknown"))</f>
        <v>9.6e-06</v>
      </c>
      <c r="G52" s="5">
        <f>IF(ISNUMBER(E52),ROUND(E52*'Reference data'!$B$2,0),"Unknown")</f>
        <v>1.0</v>
      </c>
      <c r="H52" s="5">
        <f>IF(ISNUMBER(F52),ROUND(F52*'Reference data'!$B$2,0),"Unknown")</f>
        <v>1.0</v>
      </c>
    </row>
    <row r="53" spans="1:13" ht="34" customHeight="1">
      <c r="A53" t="s">
        <v>162</v>
      </c>
      <c r="B53">
        <v>1</v>
      </c>
      <c r="C53" t="s">
        <v>151</v>
      </c>
      <c r="D53" s="1">
        <v>48</v>
      </c>
      <c r="I53" s="6" t="s">
        <v>161</v>
      </c>
    </row>
    <row r="54" spans="1:13" ht="24" customHeight="1">
      <c r="A54" t="s">
        <v>162</v>
      </c>
      <c r="B54">
        <v>1</v>
      </c>
      <c r="C54" t="s">
        <v>134</v>
      </c>
      <c r="D54" s="1">
        <v>48</v>
      </c>
    </row>
    <row r="55" spans="1:13" ht="24" customHeight="1">
      <c r="A55" t="s">
        <v>162</v>
      </c>
      <c r="B55">
        <v>1</v>
      </c>
      <c r="C55" t="s">
        <v>135</v>
      </c>
      <c r="D55" s="1">
        <v>48</v>
      </c>
      <c r="L55" s="1">
        <v>581</v>
      </c>
    </row>
    <row r="56" spans="1:13" s="4" customFormat="1" ht="24" customHeight="1">
      <c r="A56" s="4" t="s">
        <v>162</v>
      </c>
      <c r="B56" s="4">
        <v>1</v>
      </c>
      <c r="C56" s="4" t="s">
        <v>136</v>
      </c>
      <c r="D56" s="4">
        <v>12080</v>
      </c>
    </row>
    <row r="57" spans="1:13" ht="24" customHeight="1">
      <c r="A57" t="s">
        <v>162</v>
      </c>
      <c r="B57">
        <v>1</v>
      </c>
      <c r="C57" t="s">
        <v>164</v>
      </c>
      <c r="D57" s="5">
        <v>12000</v>
      </c>
      <c r="E57" s="2">
        <f>IF(AND(ISNUMBER(F57),ISNUMBER('Reference data'!$B$3)),F57*'Reference data'!$B$3,"Unknown")</f>
        <v>0.012668256</v>
      </c>
      <c r="F57" s="2">
        <f>IF(D57=0,0,IF(ISNUMBER('Reference data'!F22),D57*'Reference data'!F22/1000000,"Unknown"))</f>
        <v>0.0144</v>
      </c>
      <c r="G57" s="5">
        <f>IF(ISNUMBER(E57),ROUND(E57*'Reference data'!$B$2,0),"Unknown")</f>
        <v>1267.0</v>
      </c>
      <c r="H57" s="5">
        <f>IF(ISNUMBER(F57),ROUND(F57*'Reference data'!$B$2,0),"Unknown")</f>
        <v>1440.0</v>
      </c>
    </row>
    <row r="58" spans="1:13" ht="34" customHeight="1">
      <c r="A58" t="s">
        <v>162</v>
      </c>
      <c r="B58">
        <v>1</v>
      </c>
      <c r="C58" t="s">
        <v>165</v>
      </c>
      <c r="I58" s="6" t="s">
        <v>166</v>
      </c>
    </row>
    <row r="59" spans="1:13" ht="24" customHeight="1">
      <c r="A59" t="s">
        <v>162</v>
      </c>
      <c r="B59">
        <v>1</v>
      </c>
      <c r="C59" t="s">
        <v>137</v>
      </c>
      <c r="D59" s="5">
        <v>80</v>
      </c>
      <c r="E59" s="2">
        <f>IF(AND(ISNUMBER(F59),ISNUMBER('Reference data'!$B$3)),F59*'Reference data'!$B$3,"Unknown")</f>
        <v>8.445504e-05</v>
      </c>
      <c r="F59" s="2">
        <f>IF(D59=0,0,IF(ISNUMBER('Reference data'!E22),D59*'Reference data'!E22/1000000,"Unknown"))</f>
        <v>9.6e-05</v>
      </c>
      <c r="G59" s="5">
        <f>IF(ISNUMBER(E59),ROUND(E59*'Reference data'!$B$2,0),"Unknown")</f>
        <v>8.0</v>
      </c>
      <c r="H59" s="5">
        <f>IF(ISNUMBER(F59),ROUND(F59*'Reference data'!$B$2,0),"Unknown")</f>
        <v>10.0</v>
      </c>
    </row>
    <row r="60" spans="1:13" ht="47" customHeight="1">
      <c r="A60" t="s">
        <v>162</v>
      </c>
      <c r="B60">
        <v>1</v>
      </c>
      <c r="C60" t="s">
        <v>138</v>
      </c>
      <c r="I60" s="6" t="s">
        <v>167</v>
      </c>
    </row>
    <row r="61" spans="1:13" ht="24" customHeight="1">
      <c r="A61" t="s">
        <v>162</v>
      </c>
      <c r="B61">
        <v>1</v>
      </c>
      <c r="C61" t="s">
        <v>134</v>
      </c>
      <c r="D61" s="1">
        <v>80</v>
      </c>
    </row>
    <row r="62" spans="1:13" ht="24" customHeight="1">
      <c r="A62" t="s">
        <v>162</v>
      </c>
      <c r="B62">
        <v>1</v>
      </c>
      <c r="C62" t="s">
        <v>135</v>
      </c>
      <c r="D62" s="1">
        <v>80</v>
      </c>
      <c r="L62" s="1">
        <v>661</v>
      </c>
    </row>
    <row r="63" spans="1:13" s="4" customFormat="1" ht="24" customHeight="1">
      <c r="A63" s="4" t="s">
        <v>162</v>
      </c>
      <c r="B63" s="4">
        <v>1</v>
      </c>
      <c r="C63" s="4" t="s">
        <v>140</v>
      </c>
      <c r="E63" s="2">
        <f>IF(COUNT('Turns'!E51,'Turns'!E52,'Turns'!E57,'Turns'!E59)=4,SUM('Turns'!E51,'Turns'!E52,'Turns'!E57,'Turns'!E59),"Unknown")</f>
        <v>0.0127705345724</v>
      </c>
      <c r="F63" s="2">
        <f>IF(COUNT('Turns'!F51,'Turns'!F52,'Turns'!F57,'Turns'!F59)=4,SUM('Turns'!F51,'Turns'!F52,'Turns'!F57,'Turns'!F59),"Unknown")</f>
        <v>0.01451626</v>
      </c>
      <c r="G63" s="5">
        <f>IF(ISNUMBER(E63),ROUND(E63*'Reference data'!$B$2,0),"Unknown")</f>
        <v>1277.0</v>
      </c>
      <c r="H63" s="5">
        <f>IF(ISNUMBER(F63),ROUND(F63*'Reference data'!$B$2,0),"Unknown")</f>
        <v>1452.0</v>
      </c>
      <c r="K63" s="4" t="s">
        <v>141</v>
      </c>
    </row>
    <row r="64" spans="1:13" s="4" customFormat="1" ht="24" customHeight="1">
      <c r="B64" s="4">
        <v>1</v>
      </c>
      <c r="C64" s="4" t="s">
        <v>168</v>
      </c>
      <c r="K64" s="4" t="s">
        <v>141</v>
      </c>
      <c r="M64" s="4" t="s">
        <v>169</v>
      </c>
    </row>
    <row r="65" spans="1:13" ht="24" customHeight="1">
      <c r="B65">
        <v>1</v>
      </c>
      <c r="C65" t="s">
        <v>144</v>
      </c>
      <c r="I65" s="6" t="s">
        <v>170</v>
      </c>
    </row>
    <row r="66" spans="1:13" ht="34" customHeight="1">
      <c r="B66">
        <v>1</v>
      </c>
      <c r="C66" t="s">
        <v>146</v>
      </c>
      <c r="I66" s="6" t="s">
        <v>171</v>
      </c>
    </row>
    <row r="67" spans="1:13" s="4" customFormat="1" ht="24" customHeight="1">
      <c r="A67" s="4" t="s">
        <v>172</v>
      </c>
      <c r="B67" s="4">
        <v>1</v>
      </c>
      <c r="C67" s="4" t="s">
        <v>125</v>
      </c>
      <c r="D67" s="4">
        <v>717</v>
      </c>
      <c r="J67" s="4" t="s">
        <v>126</v>
      </c>
      <c r="M67" s="4" t="s">
        <v>173</v>
      </c>
    </row>
    <row r="68" spans="1:13" ht="24" customHeight="1">
      <c r="A68" t="s">
        <v>172</v>
      </c>
      <c r="B68">
        <v>1</v>
      </c>
      <c r="C68" t="s">
        <v>150</v>
      </c>
      <c r="D68" s="5">
        <v>661</v>
      </c>
      <c r="E68" s="2">
        <f>IF(AND(ISNUMBER(F68),ISNUMBER('Reference data'!$B$3)),F68*'Reference data'!$B$3,"Unknown")</f>
        <v>1.16301628e-05</v>
      </c>
      <c r="F68" s="2">
        <f>IF(D68=0,0,IF(ISNUMBER('Reference data'!C22),D68*'Reference data'!C22/1000000,"Unknown"))</f>
        <v>1.322e-05</v>
      </c>
      <c r="G68" s="5">
        <f>IF(ISNUMBER(E68),ROUND(E68*'Reference data'!$B$2,0),"Unknown")</f>
        <v>1.0</v>
      </c>
      <c r="H68" s="5">
        <f>IF(ISNUMBER(F68),ROUND(F68*'Reference data'!$B$2,0),"Unknown")</f>
        <v>1.0</v>
      </c>
    </row>
    <row r="69" spans="1:13" ht="24" customHeight="1">
      <c r="A69" t="s">
        <v>172</v>
      </c>
      <c r="B69">
        <v>1</v>
      </c>
      <c r="C69" t="s">
        <v>128</v>
      </c>
      <c r="D69" s="5">
        <v>56</v>
      </c>
      <c r="E69" s="2">
        <f>IF(AND(ISNUMBER(F69),ISNUMBER('Reference data'!$B$3)),F69*'Reference data'!$B$3,"Unknown")</f>
        <v>9.853088e-06</v>
      </c>
      <c r="F69" s="2">
        <f>IF(D69=0,0,IF(ISNUMBER('Reference data'!B22),D69*'Reference data'!B22/1000000,"Unknown"))</f>
        <v>1.12e-05</v>
      </c>
      <c r="G69" s="5">
        <f>IF(ISNUMBER(E69),ROUND(E69*'Reference data'!$B$2,0),"Unknown")</f>
        <v>1.0</v>
      </c>
      <c r="H69" s="5">
        <f>IF(ISNUMBER(F69),ROUND(F69*'Reference data'!$B$2,0),"Unknown")</f>
        <v>1.0</v>
      </c>
    </row>
    <row r="70" spans="1:13" ht="34" customHeight="1">
      <c r="A70" t="s">
        <v>172</v>
      </c>
      <c r="B70">
        <v>1</v>
      </c>
      <c r="C70" t="s">
        <v>151</v>
      </c>
      <c r="D70" s="1">
        <v>56</v>
      </c>
      <c r="I70" s="6" t="s">
        <v>171</v>
      </c>
    </row>
    <row r="71" spans="1:13" ht="24" customHeight="1">
      <c r="A71" t="s">
        <v>172</v>
      </c>
      <c r="B71">
        <v>1</v>
      </c>
      <c r="C71" t="s">
        <v>134</v>
      </c>
      <c r="D71" s="1">
        <v>56</v>
      </c>
    </row>
    <row r="72" spans="1:13" ht="24" customHeight="1">
      <c r="A72" t="s">
        <v>172</v>
      </c>
      <c r="B72">
        <v>1</v>
      </c>
      <c r="C72" t="s">
        <v>135</v>
      </c>
      <c r="D72" s="1">
        <v>56</v>
      </c>
      <c r="L72" s="1">
        <v>717</v>
      </c>
    </row>
    <row r="73" spans="1:13" s="4" customFormat="1" ht="24" customHeight="1">
      <c r="A73" s="4" t="s">
        <v>172</v>
      </c>
      <c r="B73" s="4">
        <v>1</v>
      </c>
      <c r="C73" s="4" t="s">
        <v>136</v>
      </c>
      <c r="D73" s="4">
        <v>661</v>
      </c>
    </row>
    <row r="74" spans="1:13" ht="24" customHeight="1">
      <c r="A74" t="s">
        <v>172</v>
      </c>
      <c r="B74">
        <v>1</v>
      </c>
      <c r="C74" t="s">
        <v>164</v>
      </c>
      <c r="D74" s="5">
        <v>600</v>
      </c>
      <c r="E74" s="2">
        <f>IF(AND(ISNUMBER(F74),ISNUMBER('Reference data'!$B$3)),F74*'Reference data'!$B$3,"Unknown")</f>
        <v>0.0006334128</v>
      </c>
      <c r="F74" s="2">
        <f>IF(D74=0,0,IF(ISNUMBER('Reference data'!F22),D74*'Reference data'!F22/1000000,"Unknown"))</f>
        <v>0.00072</v>
      </c>
      <c r="G74" s="5">
        <f>IF(ISNUMBER(E74),ROUND(E74*'Reference data'!$B$2,0),"Unknown")</f>
        <v>63.0</v>
      </c>
      <c r="H74" s="5">
        <f>IF(ISNUMBER(F74),ROUND(F74*'Reference data'!$B$2,0),"Unknown")</f>
        <v>72.0</v>
      </c>
    </row>
    <row r="75" spans="1:13" ht="34" customHeight="1">
      <c r="A75" t="s">
        <v>172</v>
      </c>
      <c r="B75">
        <v>1</v>
      </c>
      <c r="C75" t="s">
        <v>165</v>
      </c>
      <c r="I75" s="6" t="s">
        <v>174</v>
      </c>
    </row>
    <row r="76" spans="1:13" ht="24" customHeight="1">
      <c r="A76" t="s">
        <v>172</v>
      </c>
      <c r="B76">
        <v>1</v>
      </c>
      <c r="C76" t="s">
        <v>137</v>
      </c>
      <c r="D76" s="5">
        <v>61</v>
      </c>
      <c r="E76" s="2">
        <f>IF(AND(ISNUMBER(F76),ISNUMBER('Reference data'!$B$3)),F76*'Reference data'!$B$3,"Unknown")</f>
        <v>6.4396968e-05</v>
      </c>
      <c r="F76" s="2">
        <f>IF(D76=0,0,IF(ISNUMBER('Reference data'!E22),D76*'Reference data'!E22/1000000,"Unknown"))</f>
        <v>7.32e-05</v>
      </c>
      <c r="G76" s="5">
        <f>IF(ISNUMBER(E76),ROUND(E76*'Reference data'!$B$2,0),"Unknown")</f>
        <v>6.0</v>
      </c>
      <c r="H76" s="5">
        <f>IF(ISNUMBER(F76),ROUND(F76*'Reference data'!$B$2,0),"Unknown")</f>
        <v>7.0</v>
      </c>
    </row>
    <row r="77" spans="1:13" ht="47" customHeight="1">
      <c r="A77" t="s">
        <v>172</v>
      </c>
      <c r="B77">
        <v>1</v>
      </c>
      <c r="C77" t="s">
        <v>138</v>
      </c>
      <c r="I77" s="6" t="s">
        <v>175</v>
      </c>
    </row>
    <row r="78" spans="1:13" ht="24" customHeight="1">
      <c r="A78" t="s">
        <v>172</v>
      </c>
      <c r="B78">
        <v>1</v>
      </c>
      <c r="C78" t="s">
        <v>134</v>
      </c>
      <c r="D78" s="1">
        <v>61</v>
      </c>
    </row>
    <row r="79" spans="1:13" ht="24" customHeight="1">
      <c r="A79" t="s">
        <v>172</v>
      </c>
      <c r="B79">
        <v>1</v>
      </c>
      <c r="C79" t="s">
        <v>135</v>
      </c>
      <c r="D79" s="1">
        <v>61</v>
      </c>
      <c r="L79" s="1">
        <v>778</v>
      </c>
    </row>
    <row r="80" spans="1:13" s="4" customFormat="1" ht="24" customHeight="1">
      <c r="A80" s="4" t="s">
        <v>172</v>
      </c>
      <c r="B80" s="4">
        <v>1</v>
      </c>
      <c r="C80" s="4" t="s">
        <v>140</v>
      </c>
      <c r="E80" s="2">
        <f>IF(COUNT('Turns'!E68,'Turns'!E69,'Turns'!E74,'Turns'!E76)=4,SUM('Turns'!E68,'Turns'!E69,'Turns'!E74,'Turns'!E76),"Unknown")</f>
        <v>0.0007192930188</v>
      </c>
      <c r="F80" s="2">
        <f>IF(COUNT('Turns'!F68,'Turns'!F69,'Turns'!F74,'Turns'!F76)=4,SUM('Turns'!F68,'Turns'!F69,'Turns'!F74,'Turns'!F76),"Unknown")</f>
        <v>0.00081762</v>
      </c>
      <c r="G80" s="5">
        <f>IF(ISNUMBER(E80),ROUND(E80*'Reference data'!$B$2,0),"Unknown")</f>
        <v>72.0</v>
      </c>
      <c r="H80" s="5">
        <f>IF(ISNUMBER(F80),ROUND(F80*'Reference data'!$B$2,0),"Unknown")</f>
        <v>82.0</v>
      </c>
      <c r="K80" s="4" t="s">
        <v>141</v>
      </c>
    </row>
    <row r="81" spans="1:13" s="4" customFormat="1" ht="24" customHeight="1">
      <c r="B81" s="4">
        <v>1</v>
      </c>
      <c r="C81" s="4" t="s">
        <v>168</v>
      </c>
      <c r="K81" s="4" t="s">
        <v>141</v>
      </c>
      <c r="M81" s="4" t="s">
        <v>176</v>
      </c>
    </row>
    <row r="82" spans="1:13" ht="24" customHeight="1">
      <c r="B82">
        <v>1</v>
      </c>
      <c r="C82" t="s">
        <v>144</v>
      </c>
      <c r="I82" s="6" t="s">
        <v>177</v>
      </c>
    </row>
    <row r="83" spans="1:13" ht="24" customHeight="1">
      <c r="B83">
        <v>1</v>
      </c>
      <c r="C83" t="s">
        <v>146</v>
      </c>
      <c r="I83" s="6" t="s">
        <v>178</v>
      </c>
    </row>
    <row r="84" spans="1:13" s="4" customFormat="1" ht="24" customHeight="1">
      <c r="A84" s="4" t="s">
        <v>179</v>
      </c>
      <c r="B84" s="4">
        <v>1</v>
      </c>
      <c r="C84" s="4" t="s">
        <v>125</v>
      </c>
      <c r="D84" s="4">
        <v>820</v>
      </c>
      <c r="J84" s="4" t="s">
        <v>126</v>
      </c>
      <c r="M84" s="4" t="s">
        <v>180</v>
      </c>
    </row>
    <row r="85" spans="1:13" ht="24" customHeight="1">
      <c r="A85" t="s">
        <v>179</v>
      </c>
      <c r="B85">
        <v>1</v>
      </c>
      <c r="C85" t="s">
        <v>150</v>
      </c>
      <c r="D85" s="5">
        <v>778</v>
      </c>
      <c r="E85" s="2">
        <f>IF(AND(ISNUMBER(F85),ISNUMBER('Reference data'!$B$3)),F85*'Reference data'!$B$3,"Unknown")</f>
        <v>1.36887544e-05</v>
      </c>
      <c r="F85" s="2">
        <f>IF(D85=0,0,IF(ISNUMBER('Reference data'!C22),D85*'Reference data'!C22/1000000,"Unknown"))</f>
        <v>1.556e-05</v>
      </c>
      <c r="G85" s="5">
        <f>IF(ISNUMBER(E85),ROUND(E85*'Reference data'!$B$2,0),"Unknown")</f>
        <v>1.0</v>
      </c>
      <c r="H85" s="5">
        <f>IF(ISNUMBER(F85),ROUND(F85*'Reference data'!$B$2,0),"Unknown")</f>
        <v>2.0</v>
      </c>
    </row>
    <row r="86" spans="1:13" ht="24" customHeight="1">
      <c r="A86" t="s">
        <v>179</v>
      </c>
      <c r="B86">
        <v>1</v>
      </c>
      <c r="C86" t="s">
        <v>128</v>
      </c>
      <c r="D86" s="5">
        <v>42</v>
      </c>
      <c r="E86" s="2">
        <f>IF(AND(ISNUMBER(F86),ISNUMBER('Reference data'!$B$3)),F86*'Reference data'!$B$3,"Unknown")</f>
        <v>7.389816e-06</v>
      </c>
      <c r="F86" s="2">
        <f>IF(D86=0,0,IF(ISNUMBER('Reference data'!B22),D86*'Reference data'!B22/1000000,"Unknown"))</f>
        <v>8.4e-06</v>
      </c>
      <c r="G86" s="5">
        <f>IF(ISNUMBER(E86),ROUND(E86*'Reference data'!$B$2,0),"Unknown")</f>
        <v>1.0</v>
      </c>
      <c r="H86" s="5">
        <f>IF(ISNUMBER(F86),ROUND(F86*'Reference data'!$B$2,0),"Unknown")</f>
        <v>1.0</v>
      </c>
    </row>
    <row r="87" spans="1:13" ht="24" customHeight="1">
      <c r="A87" t="s">
        <v>179</v>
      </c>
      <c r="B87">
        <v>1</v>
      </c>
      <c r="C87" t="s">
        <v>151</v>
      </c>
      <c r="D87" s="1">
        <v>42</v>
      </c>
      <c r="I87" s="6" t="s">
        <v>178</v>
      </c>
    </row>
    <row r="88" spans="1:13" ht="24" customHeight="1">
      <c r="A88" t="s">
        <v>179</v>
      </c>
      <c r="B88">
        <v>1</v>
      </c>
      <c r="C88" t="s">
        <v>134</v>
      </c>
      <c r="D88" s="1">
        <v>42</v>
      </c>
    </row>
    <row r="89" spans="1:13" ht="24" customHeight="1">
      <c r="A89" t="s">
        <v>179</v>
      </c>
      <c r="B89">
        <v>1</v>
      </c>
      <c r="C89" t="s">
        <v>135</v>
      </c>
      <c r="D89" s="1">
        <v>42</v>
      </c>
      <c r="L89" s="1">
        <v>820</v>
      </c>
    </row>
    <row r="90" spans="1:13" s="4" customFormat="1" ht="24" customHeight="1">
      <c r="A90" s="4" t="s">
        <v>179</v>
      </c>
      <c r="B90" s="4">
        <v>1</v>
      </c>
      <c r="C90" s="4" t="s">
        <v>136</v>
      </c>
      <c r="D90" s="4">
        <v>660</v>
      </c>
    </row>
    <row r="91" spans="1:13" ht="24" customHeight="1">
      <c r="A91" t="s">
        <v>179</v>
      </c>
      <c r="B91">
        <v>1</v>
      </c>
      <c r="C91" t="s">
        <v>164</v>
      </c>
      <c r="D91" s="5">
        <v>600</v>
      </c>
      <c r="E91" s="2">
        <f>IF(AND(ISNUMBER(F91),ISNUMBER('Reference data'!$B$3)),F91*'Reference data'!$B$3,"Unknown")</f>
        <v>0.0006334128</v>
      </c>
      <c r="F91" s="2">
        <f>IF(D91=0,0,IF(ISNUMBER('Reference data'!F22),D91*'Reference data'!F22/1000000,"Unknown"))</f>
        <v>0.00072</v>
      </c>
      <c r="G91" s="5">
        <f>IF(ISNUMBER(E91),ROUND(E91*'Reference data'!$B$2,0),"Unknown")</f>
        <v>63.0</v>
      </c>
      <c r="H91" s="5">
        <f>IF(ISNUMBER(F91),ROUND(F91*'Reference data'!$B$2,0),"Unknown")</f>
        <v>72.0</v>
      </c>
    </row>
    <row r="92" spans="1:13" ht="24" customHeight="1">
      <c r="A92" t="s">
        <v>179</v>
      </c>
      <c r="B92">
        <v>1</v>
      </c>
      <c r="C92" t="s">
        <v>165</v>
      </c>
      <c r="I92" s="6" t="s">
        <v>181</v>
      </c>
    </row>
    <row r="93" spans="1:13" ht="24" customHeight="1">
      <c r="A93" t="s">
        <v>179</v>
      </c>
      <c r="B93">
        <v>1</v>
      </c>
      <c r="C93" t="s">
        <v>137</v>
      </c>
      <c r="D93" s="5">
        <v>60</v>
      </c>
      <c r="E93" s="2">
        <f>IF(AND(ISNUMBER(F93),ISNUMBER('Reference data'!$B$3)),F93*'Reference data'!$B$3,"Unknown")</f>
        <v>6.334128e-05</v>
      </c>
      <c r="F93" s="2">
        <f>IF(D93=0,0,IF(ISNUMBER('Reference data'!E22),D93*'Reference data'!E22/1000000,"Unknown"))</f>
        <v>7.2e-05</v>
      </c>
      <c r="G93" s="5">
        <f>IF(ISNUMBER(E93),ROUND(E93*'Reference data'!$B$2,0),"Unknown")</f>
        <v>6.0</v>
      </c>
      <c r="H93" s="5">
        <f>IF(ISNUMBER(F93),ROUND(F93*'Reference data'!$B$2,0),"Unknown")</f>
        <v>7.0</v>
      </c>
    </row>
    <row r="94" spans="1:13" ht="47" customHeight="1">
      <c r="A94" t="s">
        <v>179</v>
      </c>
      <c r="B94">
        <v>1</v>
      </c>
      <c r="C94" t="s">
        <v>138</v>
      </c>
      <c r="I94" s="6" t="s">
        <v>182</v>
      </c>
    </row>
    <row r="95" spans="1:13" ht="24" customHeight="1">
      <c r="A95" t="s">
        <v>179</v>
      </c>
      <c r="B95">
        <v>1</v>
      </c>
      <c r="C95" t="s">
        <v>134</v>
      </c>
      <c r="D95" s="1">
        <v>60</v>
      </c>
    </row>
    <row r="96" spans="1:13" ht="24" customHeight="1">
      <c r="A96" t="s">
        <v>179</v>
      </c>
      <c r="B96">
        <v>1</v>
      </c>
      <c r="C96" t="s">
        <v>135</v>
      </c>
      <c r="D96" s="1">
        <v>60</v>
      </c>
      <c r="L96" s="1">
        <v>880</v>
      </c>
    </row>
    <row r="97" spans="1:13" s="4" customFormat="1" ht="24" customHeight="1">
      <c r="A97" s="4" t="s">
        <v>179</v>
      </c>
      <c r="B97" s="4">
        <v>1</v>
      </c>
      <c r="C97" s="4" t="s">
        <v>140</v>
      </c>
      <c r="E97" s="2">
        <f>IF(COUNT('Turns'!E85,'Turns'!E86,'Turns'!E91,'Turns'!E93)=4,SUM('Turns'!E85,'Turns'!E86,'Turns'!E91,'Turns'!E93),"Unknown")</f>
        <v>0.0007178326504</v>
      </c>
      <c r="F97" s="2">
        <f>IF(COUNT('Turns'!F85,'Turns'!F86,'Turns'!F91,'Turns'!F93)=4,SUM('Turns'!F85,'Turns'!F86,'Turns'!F91,'Turns'!F93),"Unknown")</f>
        <v>0.00081596</v>
      </c>
      <c r="G97" s="5">
        <f>IF(ISNUMBER(E97),ROUND(E97*'Reference data'!$B$2,0),"Unknown")</f>
        <v>72.0</v>
      </c>
      <c r="H97" s="5">
        <f>IF(ISNUMBER(F97),ROUND(F97*'Reference data'!$B$2,0),"Unknown")</f>
        <v>82.0</v>
      </c>
      <c r="K97" s="4" t="s">
        <v>141</v>
      </c>
    </row>
    <row r="98" spans="1:13" s="4" customFormat="1" ht="24" customHeight="1">
      <c r="B98" s="4">
        <v>1</v>
      </c>
      <c r="C98" s="4" t="s">
        <v>168</v>
      </c>
      <c r="K98" s="4" t="s">
        <v>141</v>
      </c>
      <c r="M98" s="4" t="s">
        <v>183</v>
      </c>
    </row>
    <row r="99" spans="1:13" ht="24" customHeight="1">
      <c r="B99">
        <v>1</v>
      </c>
      <c r="C99" t="s">
        <v>144</v>
      </c>
      <c r="I99" s="6" t="s">
        <v>184</v>
      </c>
    </row>
    <row r="100" spans="1:13" ht="24" customHeight="1">
      <c r="B100">
        <v>1</v>
      </c>
      <c r="C100" t="s">
        <v>146</v>
      </c>
      <c r="I100" s="6" t="s">
        <v>185</v>
      </c>
    </row>
    <row r="101" spans="1:13" s="4" customFormat="1" ht="24" customHeight="1">
      <c r="A101" s="4" t="s">
        <v>186</v>
      </c>
      <c r="B101" s="4">
        <v>1</v>
      </c>
      <c r="C101" s="4" t="s">
        <v>125</v>
      </c>
      <c r="D101" s="4">
        <v>920</v>
      </c>
      <c r="J101" s="4" t="s">
        <v>126</v>
      </c>
      <c r="M101" s="4" t="s">
        <v>187</v>
      </c>
    </row>
    <row r="102" spans="1:13" ht="24" customHeight="1">
      <c r="A102" t="s">
        <v>186</v>
      </c>
      <c r="B102">
        <v>1</v>
      </c>
      <c r="C102" t="s">
        <v>150</v>
      </c>
      <c r="D102" s="5">
        <v>880</v>
      </c>
      <c r="E102" s="2">
        <f>IF(AND(ISNUMBER(F102),ISNUMBER('Reference data'!$B$3)),F102*'Reference data'!$B$3,"Unknown")</f>
        <v>1.5483424e-05</v>
      </c>
      <c r="F102" s="2">
        <f>IF(D102=0,0,IF(ISNUMBER('Reference data'!C22),D102*'Reference data'!C22/1000000,"Unknown"))</f>
        <v>1.76e-05</v>
      </c>
      <c r="G102" s="5">
        <f>IF(ISNUMBER(E102),ROUND(E102*'Reference data'!$B$2,0),"Unknown")</f>
        <v>2.0</v>
      </c>
      <c r="H102" s="5">
        <f>IF(ISNUMBER(F102),ROUND(F102*'Reference data'!$B$2,0),"Unknown")</f>
        <v>2.0</v>
      </c>
    </row>
    <row r="103" spans="1:13" ht="24" customHeight="1">
      <c r="A103" t="s">
        <v>186</v>
      </c>
      <c r="B103">
        <v>1</v>
      </c>
      <c r="C103" t="s">
        <v>128</v>
      </c>
      <c r="D103" s="5">
        <v>40</v>
      </c>
      <c r="E103" s="2">
        <f>IF(AND(ISNUMBER(F103),ISNUMBER('Reference data'!$B$3)),F103*'Reference data'!$B$3,"Unknown")</f>
        <v>7.03792e-06</v>
      </c>
      <c r="F103" s="2">
        <f>IF(D103=0,0,IF(ISNUMBER('Reference data'!B22),D103*'Reference data'!B22/1000000,"Unknown"))</f>
        <v>8e-06</v>
      </c>
      <c r="G103" s="5">
        <f>IF(ISNUMBER(E103),ROUND(E103*'Reference data'!$B$2,0),"Unknown")</f>
        <v>1.0</v>
      </c>
      <c r="H103" s="5">
        <f>IF(ISNUMBER(F103),ROUND(F103*'Reference data'!$B$2,0),"Unknown")</f>
        <v>1.0</v>
      </c>
    </row>
    <row r="104" spans="1:13" ht="24" customHeight="1">
      <c r="A104" t="s">
        <v>186</v>
      </c>
      <c r="B104">
        <v>1</v>
      </c>
      <c r="C104" t="s">
        <v>151</v>
      </c>
      <c r="D104" s="1">
        <v>40</v>
      </c>
      <c r="I104" s="6" t="s">
        <v>185</v>
      </c>
    </row>
    <row r="105" spans="1:13" ht="24" customHeight="1">
      <c r="A105" t="s">
        <v>186</v>
      </c>
      <c r="B105">
        <v>1</v>
      </c>
      <c r="C105" t="s">
        <v>134</v>
      </c>
      <c r="D105" s="1">
        <v>40</v>
      </c>
    </row>
    <row r="106" spans="1:13" ht="24" customHeight="1">
      <c r="A106" t="s">
        <v>186</v>
      </c>
      <c r="B106">
        <v>1</v>
      </c>
      <c r="C106" t="s">
        <v>135</v>
      </c>
      <c r="D106" s="1">
        <v>40</v>
      </c>
      <c r="L106" s="1">
        <v>920</v>
      </c>
    </row>
    <row r="107" spans="1:13" s="4" customFormat="1" ht="24" customHeight="1">
      <c r="A107" s="4" t="s">
        <v>186</v>
      </c>
      <c r="B107" s="4">
        <v>1</v>
      </c>
      <c r="C107" s="4" t="s">
        <v>136</v>
      </c>
      <c r="D107" s="4">
        <v>1871</v>
      </c>
    </row>
    <row r="108" spans="1:13" ht="24" customHeight="1">
      <c r="A108" t="s">
        <v>186</v>
      </c>
      <c r="B108">
        <v>1</v>
      </c>
      <c r="C108" t="s">
        <v>164</v>
      </c>
      <c r="D108" s="5">
        <v>1800</v>
      </c>
      <c r="E108" s="2">
        <f>IF(AND(ISNUMBER(F108),ISNUMBER('Reference data'!$B$3)),F108*'Reference data'!$B$3,"Unknown")</f>
        <v>0.0019002384</v>
      </c>
      <c r="F108" s="2">
        <f>IF(D108=0,0,IF(ISNUMBER('Reference data'!F22),D108*'Reference data'!F22/1000000,"Unknown"))</f>
        <v>0.00216</v>
      </c>
      <c r="G108" s="5">
        <f>IF(ISNUMBER(E108),ROUND(E108*'Reference data'!$B$2,0),"Unknown")</f>
        <v>190.0</v>
      </c>
      <c r="H108" s="5">
        <f>IF(ISNUMBER(F108),ROUND(F108*'Reference data'!$B$2,0),"Unknown")</f>
        <v>216.0</v>
      </c>
    </row>
    <row r="109" spans="1:13" ht="34" customHeight="1">
      <c r="A109" t="s">
        <v>186</v>
      </c>
      <c r="B109">
        <v>1</v>
      </c>
      <c r="C109" t="s">
        <v>165</v>
      </c>
      <c r="I109" s="6" t="s">
        <v>188</v>
      </c>
    </row>
    <row r="110" spans="1:13" ht="24" customHeight="1">
      <c r="A110" t="s">
        <v>186</v>
      </c>
      <c r="B110">
        <v>1</v>
      </c>
      <c r="C110" t="s">
        <v>137</v>
      </c>
      <c r="D110" s="5">
        <v>71</v>
      </c>
      <c r="E110" s="2">
        <f>IF(AND(ISNUMBER(F110),ISNUMBER('Reference data'!$B$3)),F110*'Reference data'!$B$3,"Unknown")</f>
        <v>7.4953848e-05</v>
      </c>
      <c r="F110" s="2">
        <f>IF(D110=0,0,IF(ISNUMBER('Reference data'!E22),D110*'Reference data'!E22/1000000,"Unknown"))</f>
        <v>8.52e-05</v>
      </c>
      <c r="G110" s="5">
        <f>IF(ISNUMBER(E110),ROUND(E110*'Reference data'!$B$2,0),"Unknown")</f>
        <v>7.0</v>
      </c>
      <c r="H110" s="5">
        <f>IF(ISNUMBER(F110),ROUND(F110*'Reference data'!$B$2,0),"Unknown")</f>
        <v>9.0</v>
      </c>
    </row>
    <row r="111" spans="1:13" ht="47" customHeight="1">
      <c r="A111" t="s">
        <v>186</v>
      </c>
      <c r="B111">
        <v>1</v>
      </c>
      <c r="C111" t="s">
        <v>138</v>
      </c>
      <c r="I111" s="6" t="s">
        <v>189</v>
      </c>
    </row>
    <row r="112" spans="1:13" ht="24" customHeight="1">
      <c r="A112" t="s">
        <v>186</v>
      </c>
      <c r="B112">
        <v>1</v>
      </c>
      <c r="C112" t="s">
        <v>134</v>
      </c>
      <c r="D112" s="1">
        <v>71</v>
      </c>
    </row>
    <row r="113" spans="1:12" ht="24" customHeight="1">
      <c r="A113" t="s">
        <v>186</v>
      </c>
      <c r="B113">
        <v>1</v>
      </c>
      <c r="C113" t="s">
        <v>135</v>
      </c>
      <c r="D113" s="1">
        <v>71</v>
      </c>
      <c r="L113" s="1">
        <v>991</v>
      </c>
    </row>
    <row r="114" spans="1:12" s="4" customFormat="1" ht="24" customHeight="1">
      <c r="A114" s="4" t="s">
        <v>186</v>
      </c>
      <c r="B114" s="4">
        <v>1</v>
      </c>
      <c r="C114" s="4" t="s">
        <v>140</v>
      </c>
      <c r="E114" s="2">
        <f>IF(COUNT('Turns'!E102,'Turns'!E103,'Turns'!E108,'Turns'!E110)=4,SUM('Turns'!E102,'Turns'!E103,'Turns'!E108,'Turns'!E110),"Unknown")</f>
        <v>0.001997713592</v>
      </c>
      <c r="F114" s="2">
        <f>IF(COUNT('Turns'!F102,'Turns'!F103,'Turns'!F108,'Turns'!F110)=4,SUM('Turns'!F102,'Turns'!F103,'Turns'!F108,'Turns'!F110),"Unknown")</f>
        <v>0.0022708</v>
      </c>
      <c r="G114" s="5">
        <f>IF(ISNUMBER(E114),ROUND(E114*'Reference data'!$B$2,0),"Unknown")</f>
        <v>200.0</v>
      </c>
      <c r="H114" s="5">
        <f>IF(ISNUMBER(F114),ROUND(F114*'Reference data'!$B$2,0),"Unknown")</f>
        <v>227.0</v>
      </c>
      <c r="K114" s="4" t="s">
        <v>141</v>
      </c>
    </row>
  </sheetData>
  <conditionalFormatting sqref="A2:AE114">
    <cfRule type="expression" dxfId="0" priority="1">
      <formula>$K2="error"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173B70"/>
  </sheetPr>
  <dimension ref="A1:AE28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48.7109375" customWidth="1"/>
    <col min="2" max="6" width="18.7109375" style="1" customWidth="1"/>
    <col min="7" max="7" width="62.7109375" customWidth="1"/>
    <col min="8" max="9" width="38.7109375" customWidth="1"/>
    <col min="10" max="31" width="18.7109375" style="1" customWidth="1"/>
  </cols>
  <sheetData>
    <row r="1" spans="1:31" ht="44" customHeight="1">
      <c r="A1" s="3" t="s">
        <v>13</v>
      </c>
      <c r="B1" s="3" t="s">
        <v>14</v>
      </c>
      <c r="C1" s="3" t="s">
        <v>15</v>
      </c>
      <c r="D1" s="3" t="s">
        <v>9</v>
      </c>
      <c r="E1" s="3" t="s">
        <v>10</v>
      </c>
      <c r="F1" s="3" t="s">
        <v>16</v>
      </c>
      <c r="G1" s="3" t="s">
        <v>17</v>
      </c>
      <c r="H1" s="3" t="s">
        <v>12</v>
      </c>
      <c r="I1" s="3" t="s">
        <v>18</v>
      </c>
      <c r="J1" s="3" t="s">
        <v>19</v>
      </c>
      <c r="K1" s="3" t="s">
        <v>20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25</v>
      </c>
      <c r="Q1" s="3" t="s">
        <v>26</v>
      </c>
      <c r="R1" s="3" t="s">
        <v>27</v>
      </c>
      <c r="S1" s="3" t="s">
        <v>28</v>
      </c>
      <c r="T1" s="3" t="s">
        <v>29</v>
      </c>
      <c r="U1" s="3" t="s">
        <v>30</v>
      </c>
      <c r="V1" s="3" t="s">
        <v>31</v>
      </c>
      <c r="W1" s="3" t="s">
        <v>32</v>
      </c>
      <c r="X1" s="3" t="s">
        <v>33</v>
      </c>
      <c r="Y1" s="3" t="s">
        <v>34</v>
      </c>
      <c r="Z1" s="3" t="s">
        <v>35</v>
      </c>
      <c r="AA1" s="3" t="s">
        <v>6</v>
      </c>
      <c r="AB1" s="3" t="s">
        <v>7</v>
      </c>
      <c r="AC1" s="3" t="s">
        <v>0</v>
      </c>
      <c r="AD1" s="3" t="s">
        <v>36</v>
      </c>
      <c r="AE1" s="3" t="s">
        <v>37</v>
      </c>
    </row>
    <row r="2" spans="1:31" ht="54" customHeight="1">
      <c r="A2" s="6" t="s">
        <v>190</v>
      </c>
      <c r="B2" s="1">
        <v>0</v>
      </c>
      <c r="C2" s="1" t="s">
        <v>191</v>
      </c>
      <c r="D2" s="1" t="s">
        <v>47</v>
      </c>
      <c r="E2" s="1" t="s">
        <v>141</v>
      </c>
      <c r="G2" s="6" t="s">
        <v>192</v>
      </c>
      <c r="H2" t="s">
        <v>49</v>
      </c>
      <c r="J2" s="2">
        <f>IF(COUNT('Turns'!D5,'Turns'!D22,'Turns'!D37,'Turns'!D52,'Turns'!D69,'Turns'!D86,'Turns'!D103)=7,SUM('Turns'!D5,'Turns'!D22,'Turns'!D37,'Turns'!D52,'Turns'!D69,'Turns'!D86,'Turns'!D103),"Unknown")</f>
        <v>545.0</v>
      </c>
      <c r="K2" s="2">
        <f>IF(COUNT('Turns'!E5,'Turns'!E22,'Turns'!E37,'Turns'!E52,'Turns'!E69,'Turns'!E86,'Turns'!E103)=7,SUM('Turns'!E5,'Turns'!E22,'Turns'!E37,'Turns'!E52,'Turns'!E69,'Turns'!E86,'Turns'!E103),"Unknown")</f>
        <v>9.589166e-05</v>
      </c>
      <c r="L2" s="2">
        <f>IF(COUNT('Turns'!F5,'Turns'!F22,'Turns'!F37,'Turns'!F52,'Turns'!F69,'Turns'!F86,'Turns'!F103)=7,SUM('Turns'!F5,'Turns'!F22,'Turns'!F37,'Turns'!F52,'Turns'!F69,'Turns'!F86,'Turns'!F103),"Unknown")</f>
        <v>0.000109</v>
      </c>
      <c r="M2" s="2">
        <f>IF(COUNT('Turns'!D21,'Turns'!D36,'Turns'!D51,'Turns'!D68,'Turns'!D85,'Turns'!D102)=6,SUM('Turns'!D21,'Turns'!D36,'Turns'!D51,'Turns'!D68,'Turns'!D85,'Turns'!D102),"Unknown")</f>
        <v>3591.0</v>
      </c>
      <c r="N2" s="2">
        <f>IF(COUNT('Turns'!E21,'Turns'!E36,'Turns'!E51,'Turns'!E68,'Turns'!E85,'Turns'!E102)=6,SUM('Turns'!E21,'Turns'!E36,'Turns'!E51,'Turns'!E68,'Turns'!E85,'Turns'!E102),"Unknown")</f>
        <v>6.31829268e-05</v>
      </c>
      <c r="O2" s="2">
        <f>IF(COUNT('Turns'!F21,'Turns'!F36,'Turns'!F51,'Turns'!F68,'Turns'!F85,'Turns'!F102)=6,SUM('Turns'!F21,'Turns'!F36,'Turns'!F51,'Turns'!F68,'Turns'!F85,'Turns'!F102),"Unknown")</f>
        <v>7.182e-05</v>
      </c>
      <c r="P2" s="2">
        <v>0</v>
      </c>
      <c r="Q2" s="2">
        <v>0</v>
      </c>
      <c r="R2" s="2">
        <v>0</v>
      </c>
      <c r="S2" s="2">
        <f>IF(COUNT('Turns'!D12,'Turns'!D27,'Turns'!D42,'Turns'!D59,'Turns'!D76,'Turns'!D93,'Turns'!D110)=7,SUM('Turns'!D12,'Turns'!D27,'Turns'!D42,'Turns'!D59,'Turns'!D76,'Turns'!D93,'Turns'!D110),"Unknown")</f>
        <v>446.0</v>
      </c>
      <c r="T2" s="2">
        <f>IF(COUNT('Turns'!E12,'Turns'!E27,'Turns'!E42,'Turns'!E59,'Turns'!E76,'Turns'!E93,'Turns'!E110)=7,SUM('Turns'!E12,'Turns'!E27,'Turns'!E42,'Turns'!E59,'Turns'!E76,'Turns'!E93,'Turns'!E110),"Unknown")</f>
        <v>0.000470836848</v>
      </c>
      <c r="U2" s="2">
        <f>IF(COUNT('Turns'!F12,'Turns'!F27,'Turns'!F42,'Turns'!F59,'Turns'!F76,'Turns'!F93,'Turns'!F110)=7,SUM('Turns'!F12,'Turns'!F27,'Turns'!F42,'Turns'!F59,'Turns'!F76,'Turns'!F93,'Turns'!F110),"Unknown")</f>
        <v>0.0005352</v>
      </c>
      <c r="V2" s="2">
        <f>IF(COUNT('Turns'!D57,'Turns'!D74,'Turns'!D91,'Turns'!D108)=4,SUM('Turns'!D57,'Turns'!D74,'Turns'!D91,'Turns'!D108),"Unknown")</f>
        <v>15000.0</v>
      </c>
      <c r="W2" s="2">
        <f>IF(COUNT('Turns'!E57,'Turns'!E74,'Turns'!E91,'Turns'!E108)=4,SUM('Turns'!E57,'Turns'!E74,'Turns'!E91,'Turns'!E108),"Unknown")</f>
        <v>0.01583532</v>
      </c>
      <c r="X2" s="2">
        <f>IF(COUNT('Turns'!F57,'Turns'!F74,'Turns'!F91,'Turns'!F108)=4,SUM('Turns'!F57,'Turns'!F74,'Turns'!F91,'Turns'!F108),"Unknown")</f>
        <v>0.018</v>
      </c>
      <c r="Y2" s="2">
        <f>IF(COUNT('Turns'!E16,'Turns'!E31,'Turns'!E46,'Turns'!E63,'Turns'!E80,'Turns'!E97,'Turns'!E114)=7,SUM('Turns'!E16,'Turns'!E31,'Turns'!E46,'Turns'!E63,'Turns'!E80,'Turns'!E97,'Turns'!E114),"Unknown")</f>
        <v>0.0164652314348</v>
      </c>
      <c r="Z2" s="2">
        <f>IF(COUNT('Turns'!F16,'Turns'!F31,'Turns'!F46,'Turns'!F63,'Turns'!F80,'Turns'!F97,'Turns'!F114)=7,SUM('Turns'!F16,'Turns'!F31,'Turns'!F46,'Turns'!F63,'Turns'!F80,'Turns'!F97,'Turns'!F114),"Unknown")</f>
        <v>0.01871602</v>
      </c>
      <c r="AA2" s="5">
        <f>IF(ISNUMBER(Y2),ROUND(Y2*'Reference data'!$B$2,0),"Unknown")</f>
        <v>1647.0</v>
      </c>
      <c r="AB2" s="5">
        <f>IF(ISNUMBER(Z2),ROUND(Z2*'Reference data'!$B$2,0),"Unknown")</f>
        <v>1872.0</v>
      </c>
      <c r="AD2" s="1">
        <v>167.023</v>
      </c>
      <c r="AE2" s="1" t="s">
        <v>193</v>
      </c>
    </row>
    <row r="3" spans="1:31" ht="54" customHeight="1">
      <c r="A3" s="6" t="s">
        <v>194</v>
      </c>
      <c r="B3" s="1">
        <v>1</v>
      </c>
      <c r="C3" s="1" t="s">
        <v>191</v>
      </c>
      <c r="D3" s="1" t="s">
        <v>47</v>
      </c>
      <c r="E3" s="1" t="s">
        <v>141</v>
      </c>
      <c r="G3" s="6" t="s">
        <v>195</v>
      </c>
      <c r="H3" t="s">
        <v>196</v>
      </c>
      <c r="I3" t="s">
        <v>49</v>
      </c>
      <c r="J3" s="2">
        <f>IF(COUNT('Turns'!D5)=1,SUM('Turns'!D5),"Unknown")</f>
        <v>257.0</v>
      </c>
      <c r="K3" s="2">
        <f>IF(COUNT('Turns'!E5)=1,SUM('Turns'!E5),"Unknown")</f>
        <v>4.5218636e-05</v>
      </c>
      <c r="L3" s="2">
        <f>IF(COUNT('Turns'!F5)=1,SUM('Turns'!F5),"Unknown")</f>
        <v>5.14e-05</v>
      </c>
      <c r="M3" s="2">
        <v>0</v>
      </c>
      <c r="N3" s="2">
        <v>0</v>
      </c>
      <c r="O3" s="2">
        <v>0</v>
      </c>
      <c r="P3" s="2">
        <v>0</v>
      </c>
      <c r="Q3" s="2">
        <v>0</v>
      </c>
      <c r="R3" s="2">
        <v>0</v>
      </c>
      <c r="S3" s="2">
        <f>IF(COUNT('Turns'!D12)=1,SUM('Turns'!D12),"Unknown")</f>
        <v>58.0</v>
      </c>
      <c r="T3" s="2">
        <f>IF(COUNT('Turns'!E12)=1,SUM('Turns'!E12),"Unknown")</f>
        <v>6.1229904e-05</v>
      </c>
      <c r="U3" s="2">
        <f>IF(COUNT('Turns'!F12)=1,SUM('Turns'!F12),"Unknown")</f>
        <v>6.96e-05</v>
      </c>
      <c r="V3" s="2">
        <v>0</v>
      </c>
      <c r="W3" s="2">
        <v>0</v>
      </c>
      <c r="X3" s="2">
        <v>0</v>
      </c>
      <c r="Y3" s="2">
        <f>IF(COUNT('Turns'!E16)=1,SUM('Turns'!E16),"Unknown")</f>
        <v>0.00010644854</v>
      </c>
      <c r="Z3" s="2">
        <f>IF(COUNT('Turns'!F16)=1,SUM('Turns'!F16),"Unknown")</f>
        <v>0.000121</v>
      </c>
      <c r="AA3" s="5">
        <f>IF(ISNUMBER(Y3),ROUND(Y3*'Reference data'!$B$2,0),"Unknown")</f>
        <v>11.0</v>
      </c>
      <c r="AB3" s="5">
        <f>IF(ISNUMBER(Z3),ROUND(Z3*'Reference data'!$B$2,0),"Unknown")</f>
        <v>12.0</v>
      </c>
      <c r="AD3" s="1">
        <v>129.34</v>
      </c>
      <c r="AE3" s="1" t="s">
        <v>193</v>
      </c>
    </row>
    <row r="4" spans="1:31" ht="54" customHeight="1">
      <c r="A4" s="6" t="s">
        <v>197</v>
      </c>
      <c r="B4" s="1">
        <v>2</v>
      </c>
      <c r="C4" s="1" t="s">
        <v>198</v>
      </c>
      <c r="D4" s="1" t="s">
        <v>126</v>
      </c>
      <c r="E4" s="1" t="s">
        <v>141</v>
      </c>
      <c r="F4" s="1">
        <v>257</v>
      </c>
      <c r="G4" s="6" t="s">
        <v>199</v>
      </c>
      <c r="H4" t="s">
        <v>127</v>
      </c>
      <c r="I4" t="s">
        <v>196</v>
      </c>
      <c r="J4" s="2">
        <f>IF(COUNT('Turns'!D5)=1,SUM('Turns'!D5),"Unknown")</f>
        <v>257.0</v>
      </c>
      <c r="K4" s="2">
        <f>IF(COUNT('Turns'!E5)=1,SUM('Turns'!E5),"Unknown")</f>
        <v>4.5218636e-05</v>
      </c>
      <c r="L4" s="2">
        <f>IF(COUNT('Turns'!F5)=1,SUM('Turns'!F5),"Unknown")</f>
        <v>5.14e-05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f>IF(COUNT('Turns'!D12)=1,SUM('Turns'!D12),"Unknown")</f>
        <v>58.0</v>
      </c>
      <c r="T4" s="2">
        <f>IF(COUNT('Turns'!E12)=1,SUM('Turns'!E12),"Unknown")</f>
        <v>6.1229904e-05</v>
      </c>
      <c r="U4" s="2">
        <f>IF(COUNT('Turns'!F12)=1,SUM('Turns'!F12),"Unknown")</f>
        <v>6.96e-05</v>
      </c>
      <c r="V4" s="2">
        <v>0</v>
      </c>
      <c r="W4" s="2">
        <v>0</v>
      </c>
      <c r="X4" s="2">
        <v>0</v>
      </c>
      <c r="Y4" s="2">
        <f>IF(COUNT('Turns'!E16)=1,SUM('Turns'!E16),"Unknown")</f>
        <v>0.00010644854</v>
      </c>
      <c r="Z4" s="2">
        <f>IF(COUNT('Turns'!F16)=1,SUM('Turns'!F16),"Unknown")</f>
        <v>0.000121</v>
      </c>
      <c r="AA4" s="5">
        <f>IF(ISNUMBER(Y4),ROUND(Y4*'Reference data'!$B$2,0),"Unknown")</f>
        <v>11.0</v>
      </c>
      <c r="AB4" s="5">
        <f>IF(ISNUMBER(Z4),ROUND(Z4*'Reference data'!$B$2,0),"Unknown")</f>
        <v>12.0</v>
      </c>
      <c r="AC4" s="1" t="s">
        <v>124</v>
      </c>
      <c r="AD4" s="1">
        <v>127.41</v>
      </c>
      <c r="AE4" s="1" t="s">
        <v>200</v>
      </c>
    </row>
    <row r="5" spans="1:31" ht="54" customHeight="1">
      <c r="A5" s="6" t="s">
        <v>201</v>
      </c>
      <c r="B5" s="1">
        <v>1</v>
      </c>
      <c r="C5" s="1" t="s">
        <v>191</v>
      </c>
      <c r="D5" s="1" t="s">
        <v>47</v>
      </c>
      <c r="E5" s="1" t="s">
        <v>141</v>
      </c>
      <c r="G5" s="6" t="s">
        <v>202</v>
      </c>
      <c r="H5" t="s">
        <v>203</v>
      </c>
      <c r="I5" t="s">
        <v>49</v>
      </c>
      <c r="AD5" s="1">
        <v>1.428</v>
      </c>
      <c r="AE5" s="1" t="s">
        <v>204</v>
      </c>
    </row>
    <row r="6" spans="1:31" ht="54" customHeight="1">
      <c r="A6" s="6" t="s">
        <v>205</v>
      </c>
      <c r="B6" s="1">
        <v>2</v>
      </c>
      <c r="C6" s="1" t="s">
        <v>206</v>
      </c>
      <c r="D6" s="1" t="s">
        <v>47</v>
      </c>
      <c r="E6" s="1" t="s">
        <v>141</v>
      </c>
      <c r="G6" s="6" t="s">
        <v>207</v>
      </c>
      <c r="H6" t="s">
        <v>143</v>
      </c>
      <c r="I6" t="s">
        <v>203</v>
      </c>
      <c r="AD6" s="1">
        <v>0.449</v>
      </c>
      <c r="AE6" s="1" t="s">
        <v>204</v>
      </c>
    </row>
    <row r="7" spans="1:31" ht="54" customHeight="1">
      <c r="A7" s="6" t="s">
        <v>194</v>
      </c>
      <c r="B7" s="1">
        <v>1</v>
      </c>
      <c r="C7" s="1" t="s">
        <v>191</v>
      </c>
      <c r="D7" s="1" t="s">
        <v>47</v>
      </c>
      <c r="E7" s="1" t="s">
        <v>141</v>
      </c>
      <c r="G7" s="6" t="s">
        <v>195</v>
      </c>
      <c r="H7" t="s">
        <v>208</v>
      </c>
      <c r="I7" t="s">
        <v>49</v>
      </c>
      <c r="J7" s="2">
        <f>IF(COUNT('Turns'!D22)=1,SUM('Turns'!D22),"Unknown")</f>
        <v>51.0</v>
      </c>
      <c r="K7" s="2">
        <f>IF(COUNT('Turns'!E22)=1,SUM('Turns'!E22),"Unknown")</f>
        <v>8.973348e-06</v>
      </c>
      <c r="L7" s="2">
        <f>IF(COUNT('Turns'!F22)=1,SUM('Turns'!F22),"Unknown")</f>
        <v>1.02e-05</v>
      </c>
      <c r="M7" s="2">
        <f>IF(COUNT('Turns'!D21)=1,SUM('Turns'!D21),"Unknown")</f>
        <v>315.0</v>
      </c>
      <c r="N7" s="2">
        <f>IF(COUNT('Turns'!E21)=1,SUM('Turns'!E21),"Unknown")</f>
        <v>5.542362e-06</v>
      </c>
      <c r="O7" s="2">
        <f>IF(COUNT('Turns'!F21)=1,SUM('Turns'!F21),"Unknown")</f>
        <v>6.3e-06</v>
      </c>
      <c r="P7" s="2">
        <v>0</v>
      </c>
      <c r="Q7" s="2">
        <v>0</v>
      </c>
      <c r="R7" s="2">
        <v>0</v>
      </c>
      <c r="S7" s="2">
        <f>IF(COUNT('Turns'!D27)=1,SUM('Turns'!D27),"Unknown")</f>
        <v>58.0</v>
      </c>
      <c r="T7" s="2">
        <f>IF(COUNT('Turns'!E27)=1,SUM('Turns'!E27),"Unknown")</f>
        <v>6.1229904e-05</v>
      </c>
      <c r="U7" s="2">
        <f>IF(COUNT('Turns'!F27)=1,SUM('Turns'!F27),"Unknown")</f>
        <v>6.96e-05</v>
      </c>
      <c r="V7" s="2">
        <v>0</v>
      </c>
      <c r="W7" s="2">
        <v>0</v>
      </c>
      <c r="X7" s="2">
        <v>0</v>
      </c>
      <c r="Y7" s="2">
        <f>IF(COUNT('Turns'!E31)=1,SUM('Turns'!E31),"Unknown")</f>
        <v>7.5745614e-05</v>
      </c>
      <c r="Z7" s="2">
        <f>IF(COUNT('Turns'!F31)=1,SUM('Turns'!F31),"Unknown")</f>
        <v>8.61e-05</v>
      </c>
      <c r="AA7" s="5">
        <f>IF(ISNUMBER(Y7),ROUND(Y7*'Reference data'!$B$2,0),"Unknown")</f>
        <v>8.0</v>
      </c>
      <c r="AB7" s="5">
        <f>IF(ISNUMBER(Z7),ROUND(Z7*'Reference data'!$B$2,0),"Unknown")</f>
        <v>9.0</v>
      </c>
      <c r="AD7" s="1">
        <v>3.765</v>
      </c>
      <c r="AE7" s="1" t="s">
        <v>193</v>
      </c>
    </row>
    <row r="8" spans="1:31" ht="54" customHeight="1">
      <c r="A8" s="6" t="s">
        <v>197</v>
      </c>
      <c r="B8" s="1">
        <v>2</v>
      </c>
      <c r="C8" s="1" t="s">
        <v>198</v>
      </c>
      <c r="D8" s="1" t="s">
        <v>126</v>
      </c>
      <c r="E8" s="1" t="s">
        <v>141</v>
      </c>
      <c r="F8" s="1">
        <v>366</v>
      </c>
      <c r="G8" s="6" t="s">
        <v>199</v>
      </c>
      <c r="H8" t="s">
        <v>149</v>
      </c>
      <c r="I8" t="s">
        <v>208</v>
      </c>
      <c r="J8" s="2">
        <f>IF(COUNT('Turns'!D22)=1,SUM('Turns'!D22),"Unknown")</f>
        <v>51.0</v>
      </c>
      <c r="K8" s="2">
        <f>IF(COUNT('Turns'!E22)=1,SUM('Turns'!E22),"Unknown")</f>
        <v>8.973348e-06</v>
      </c>
      <c r="L8" s="2">
        <f>IF(COUNT('Turns'!F22)=1,SUM('Turns'!F22),"Unknown")</f>
        <v>1.02e-05</v>
      </c>
      <c r="M8" s="2">
        <f>IF(COUNT('Turns'!D21)=1,SUM('Turns'!D21),"Unknown")</f>
        <v>315.0</v>
      </c>
      <c r="N8" s="2">
        <f>IF(COUNT('Turns'!E21)=1,SUM('Turns'!E21),"Unknown")</f>
        <v>5.542362e-06</v>
      </c>
      <c r="O8" s="2">
        <f>IF(COUNT('Turns'!F21)=1,SUM('Turns'!F21),"Unknown")</f>
        <v>6.3e-06</v>
      </c>
      <c r="P8" s="2">
        <v>0</v>
      </c>
      <c r="Q8" s="2">
        <v>0</v>
      </c>
      <c r="R8" s="2">
        <v>0</v>
      </c>
      <c r="S8" s="2">
        <f>IF(COUNT('Turns'!D27)=1,SUM('Turns'!D27),"Unknown")</f>
        <v>58.0</v>
      </c>
      <c r="T8" s="2">
        <f>IF(COUNT('Turns'!E27)=1,SUM('Turns'!E27),"Unknown")</f>
        <v>6.1229904e-05</v>
      </c>
      <c r="U8" s="2">
        <f>IF(COUNT('Turns'!F27)=1,SUM('Turns'!F27),"Unknown")</f>
        <v>6.96e-05</v>
      </c>
      <c r="V8" s="2">
        <v>0</v>
      </c>
      <c r="W8" s="2">
        <v>0</v>
      </c>
      <c r="X8" s="2">
        <v>0</v>
      </c>
      <c r="Y8" s="2">
        <f>IF(COUNT('Turns'!E31)=1,SUM('Turns'!E31),"Unknown")</f>
        <v>7.5745614e-05</v>
      </c>
      <c r="Z8" s="2">
        <f>IF(COUNT('Turns'!F31)=1,SUM('Turns'!F31),"Unknown")</f>
        <v>8.61e-05</v>
      </c>
      <c r="AA8" s="5">
        <f>IF(ISNUMBER(Y8),ROUND(Y8*'Reference data'!$B$2,0),"Unknown")</f>
        <v>8.0</v>
      </c>
      <c r="AB8" s="5">
        <f>IF(ISNUMBER(Z8),ROUND(Z8*'Reference data'!$B$2,0),"Unknown")</f>
        <v>9.0</v>
      </c>
      <c r="AC8" s="1" t="s">
        <v>148</v>
      </c>
      <c r="AD8" s="1">
        <v>2.957</v>
      </c>
      <c r="AE8" s="1" t="s">
        <v>200</v>
      </c>
    </row>
    <row r="9" spans="1:31" ht="54" customHeight="1">
      <c r="A9" s="6" t="s">
        <v>201</v>
      </c>
      <c r="B9" s="1">
        <v>1</v>
      </c>
      <c r="C9" s="1" t="s">
        <v>191</v>
      </c>
      <c r="D9" s="1" t="s">
        <v>47</v>
      </c>
      <c r="E9" s="1" t="s">
        <v>141</v>
      </c>
      <c r="G9" s="6" t="s">
        <v>202</v>
      </c>
      <c r="H9" t="s">
        <v>209</v>
      </c>
      <c r="I9" t="s">
        <v>49</v>
      </c>
      <c r="AD9" s="1">
        <v>1.183</v>
      </c>
      <c r="AE9" s="1" t="s">
        <v>204</v>
      </c>
    </row>
    <row r="10" spans="1:31" ht="54" customHeight="1">
      <c r="A10" s="6" t="s">
        <v>205</v>
      </c>
      <c r="B10" s="1">
        <v>2</v>
      </c>
      <c r="C10" s="1" t="s">
        <v>206</v>
      </c>
      <c r="D10" s="1" t="s">
        <v>47</v>
      </c>
      <c r="E10" s="1" t="s">
        <v>141</v>
      </c>
      <c r="G10" s="6" t="s">
        <v>207</v>
      </c>
      <c r="H10" t="s">
        <v>153</v>
      </c>
      <c r="I10" t="s">
        <v>209</v>
      </c>
      <c r="AD10" s="1">
        <v>0.372</v>
      </c>
      <c r="AE10" s="1" t="s">
        <v>204</v>
      </c>
    </row>
    <row r="11" spans="1:31" ht="54" customHeight="1">
      <c r="A11" s="6" t="s">
        <v>194</v>
      </c>
      <c r="B11" s="1">
        <v>1</v>
      </c>
      <c r="C11" s="1" t="s">
        <v>191</v>
      </c>
      <c r="D11" s="1" t="s">
        <v>47</v>
      </c>
      <c r="E11" s="1" t="s">
        <v>141</v>
      </c>
      <c r="G11" s="6" t="s">
        <v>195</v>
      </c>
      <c r="H11" t="s">
        <v>210</v>
      </c>
      <c r="I11" t="s">
        <v>49</v>
      </c>
      <c r="J11" s="2">
        <f>IF(COUNT('Turns'!D37)=1,SUM('Turns'!D37),"Unknown")</f>
        <v>51.0</v>
      </c>
      <c r="K11" s="2">
        <f>IF(COUNT('Turns'!E37)=1,SUM('Turns'!E37),"Unknown")</f>
        <v>8.973348e-06</v>
      </c>
      <c r="L11" s="2">
        <f>IF(COUNT('Turns'!F37)=1,SUM('Turns'!F37),"Unknown")</f>
        <v>1.02e-05</v>
      </c>
      <c r="M11" s="2">
        <f>IF(COUNT('Turns'!D36)=1,SUM('Turns'!D36),"Unknown")</f>
        <v>424.0</v>
      </c>
      <c r="N11" s="2">
        <f>IF(COUNT('Turns'!E36)=1,SUM('Turns'!E36),"Unknown")</f>
        <v>7.4601952e-06</v>
      </c>
      <c r="O11" s="2">
        <f>IF(COUNT('Turns'!F36)=1,SUM('Turns'!F36),"Unknown")</f>
        <v>8.48e-06</v>
      </c>
      <c r="P11" s="2">
        <v>0</v>
      </c>
      <c r="Q11" s="2">
        <v>0</v>
      </c>
      <c r="R11" s="2">
        <v>0</v>
      </c>
      <c r="S11" s="2">
        <f>IF(COUNT('Turns'!D42)=1,SUM('Turns'!D42),"Unknown")</f>
        <v>58.0</v>
      </c>
      <c r="T11" s="2">
        <f>IF(COUNT('Turns'!E42)=1,SUM('Turns'!E42),"Unknown")</f>
        <v>6.1229904e-05</v>
      </c>
      <c r="U11" s="2">
        <f>IF(COUNT('Turns'!F42)=1,SUM('Turns'!F42),"Unknown")</f>
        <v>6.96e-05</v>
      </c>
      <c r="V11" s="2">
        <v>0</v>
      </c>
      <c r="W11" s="2">
        <v>0</v>
      </c>
      <c r="X11" s="2">
        <v>0</v>
      </c>
      <c r="Y11" s="2">
        <f>IF(COUNT('Turns'!E46)=1,SUM('Turns'!E46),"Unknown")</f>
        <v>7.76634472e-05</v>
      </c>
      <c r="Z11" s="2">
        <f>IF(COUNT('Turns'!F46)=1,SUM('Turns'!F46),"Unknown")</f>
        <v>8.828e-05</v>
      </c>
      <c r="AA11" s="5">
        <f>IF(ISNUMBER(Y11),ROUND(Y11*'Reference data'!$B$2,0),"Unknown")</f>
        <v>8.0</v>
      </c>
      <c r="AB11" s="5">
        <f>IF(ISNUMBER(Z11),ROUND(Z11*'Reference data'!$B$2,0),"Unknown")</f>
        <v>9.0</v>
      </c>
      <c r="AD11" s="1">
        <v>2.641</v>
      </c>
      <c r="AE11" s="1" t="s">
        <v>193</v>
      </c>
    </row>
    <row r="12" spans="1:31" ht="54" customHeight="1">
      <c r="A12" s="6" t="s">
        <v>197</v>
      </c>
      <c r="B12" s="1">
        <v>2</v>
      </c>
      <c r="C12" s="1" t="s">
        <v>198</v>
      </c>
      <c r="D12" s="1" t="s">
        <v>126</v>
      </c>
      <c r="E12" s="1" t="s">
        <v>141</v>
      </c>
      <c r="F12" s="1">
        <v>475</v>
      </c>
      <c r="G12" s="6" t="s">
        <v>199</v>
      </c>
      <c r="H12" t="s">
        <v>157</v>
      </c>
      <c r="I12" t="s">
        <v>210</v>
      </c>
      <c r="J12" s="2">
        <f>IF(COUNT('Turns'!D37)=1,SUM('Turns'!D37),"Unknown")</f>
        <v>51.0</v>
      </c>
      <c r="K12" s="2">
        <f>IF(COUNT('Turns'!E37)=1,SUM('Turns'!E37),"Unknown")</f>
        <v>8.973348e-06</v>
      </c>
      <c r="L12" s="2">
        <f>IF(COUNT('Turns'!F37)=1,SUM('Turns'!F37),"Unknown")</f>
        <v>1.02e-05</v>
      </c>
      <c r="M12" s="2">
        <f>IF(COUNT('Turns'!D36)=1,SUM('Turns'!D36),"Unknown")</f>
        <v>424.0</v>
      </c>
      <c r="N12" s="2">
        <f>IF(COUNT('Turns'!E36)=1,SUM('Turns'!E36),"Unknown")</f>
        <v>7.4601952e-06</v>
      </c>
      <c r="O12" s="2">
        <f>IF(COUNT('Turns'!F36)=1,SUM('Turns'!F36),"Unknown")</f>
        <v>8.48e-06</v>
      </c>
      <c r="P12" s="2">
        <v>0</v>
      </c>
      <c r="Q12" s="2">
        <v>0</v>
      </c>
      <c r="R12" s="2">
        <v>0</v>
      </c>
      <c r="S12" s="2">
        <f>IF(COUNT('Turns'!D42)=1,SUM('Turns'!D42),"Unknown")</f>
        <v>58.0</v>
      </c>
      <c r="T12" s="2">
        <f>IF(COUNT('Turns'!E42)=1,SUM('Turns'!E42),"Unknown")</f>
        <v>6.1229904e-05</v>
      </c>
      <c r="U12" s="2">
        <f>IF(COUNT('Turns'!F42)=1,SUM('Turns'!F42),"Unknown")</f>
        <v>6.96e-05</v>
      </c>
      <c r="V12" s="2">
        <v>0</v>
      </c>
      <c r="W12" s="2">
        <v>0</v>
      </c>
      <c r="X12" s="2">
        <v>0</v>
      </c>
      <c r="Y12" s="2">
        <f>IF(COUNT('Turns'!E46)=1,SUM('Turns'!E46),"Unknown")</f>
        <v>7.76634472e-05</v>
      </c>
      <c r="Z12" s="2">
        <f>IF(COUNT('Turns'!F46)=1,SUM('Turns'!F46),"Unknown")</f>
        <v>8.828e-05</v>
      </c>
      <c r="AA12" s="5">
        <f>IF(ISNUMBER(Y12),ROUND(Y12*'Reference data'!$B$2,0),"Unknown")</f>
        <v>8.0</v>
      </c>
      <c r="AB12" s="5">
        <f>IF(ISNUMBER(Z12),ROUND(Z12*'Reference data'!$B$2,0),"Unknown")</f>
        <v>9.0</v>
      </c>
      <c r="AC12" s="1" t="s">
        <v>156</v>
      </c>
      <c r="AD12" s="1">
        <v>1.867</v>
      </c>
      <c r="AE12" s="1" t="s">
        <v>200</v>
      </c>
    </row>
    <row r="13" spans="1:31" ht="54" customHeight="1">
      <c r="A13" s="6" t="s">
        <v>201</v>
      </c>
      <c r="B13" s="1">
        <v>1</v>
      </c>
      <c r="C13" s="1" t="s">
        <v>191</v>
      </c>
      <c r="D13" s="1" t="s">
        <v>47</v>
      </c>
      <c r="E13" s="1" t="s">
        <v>141</v>
      </c>
      <c r="G13" s="6" t="s">
        <v>202</v>
      </c>
      <c r="H13" t="s">
        <v>211</v>
      </c>
      <c r="I13" t="s">
        <v>49</v>
      </c>
      <c r="AD13" s="1">
        <v>1.222</v>
      </c>
      <c r="AE13" s="1" t="s">
        <v>204</v>
      </c>
    </row>
    <row r="14" spans="1:31" ht="54" customHeight="1">
      <c r="A14" s="6" t="s">
        <v>205</v>
      </c>
      <c r="B14" s="1">
        <v>2</v>
      </c>
      <c r="C14" s="1" t="s">
        <v>206</v>
      </c>
      <c r="D14" s="1" t="s">
        <v>47</v>
      </c>
      <c r="E14" s="1" t="s">
        <v>141</v>
      </c>
      <c r="G14" s="6" t="s">
        <v>207</v>
      </c>
      <c r="H14" t="s">
        <v>159</v>
      </c>
      <c r="I14" t="s">
        <v>211</v>
      </c>
      <c r="AD14" s="1">
        <v>0.324</v>
      </c>
      <c r="AE14" s="1" t="s">
        <v>204</v>
      </c>
    </row>
    <row r="15" spans="1:31" ht="54" customHeight="1">
      <c r="A15" s="6" t="s">
        <v>194</v>
      </c>
      <c r="B15" s="1">
        <v>1</v>
      </c>
      <c r="C15" s="1" t="s">
        <v>191</v>
      </c>
      <c r="D15" s="1" t="s">
        <v>47</v>
      </c>
      <c r="E15" s="1" t="s">
        <v>141</v>
      </c>
      <c r="G15" s="6" t="s">
        <v>195</v>
      </c>
      <c r="H15" t="s">
        <v>212</v>
      </c>
      <c r="I15" t="s">
        <v>49</v>
      </c>
      <c r="J15" s="2">
        <f>IF(COUNT('Turns'!D52)=1,SUM('Turns'!D52),"Unknown")</f>
        <v>48.0</v>
      </c>
      <c r="K15" s="2">
        <f>IF(COUNT('Turns'!E52)=1,SUM('Turns'!E52),"Unknown")</f>
        <v>8.445504e-06</v>
      </c>
      <c r="L15" s="2">
        <f>IF(COUNT('Turns'!F52)=1,SUM('Turns'!F52),"Unknown")</f>
        <v>9.6e-06</v>
      </c>
      <c r="M15" s="2">
        <f>IF(COUNT('Turns'!D51)=1,SUM('Turns'!D51),"Unknown")</f>
        <v>533.0</v>
      </c>
      <c r="N15" s="2">
        <f>IF(COUNT('Turns'!E51)=1,SUM('Turns'!E51),"Unknown")</f>
        <v>9.3780284e-06</v>
      </c>
      <c r="O15" s="2">
        <f>IF(COUNT('Turns'!F51)=1,SUM('Turns'!F51),"Unknown")</f>
        <v>1.066e-05</v>
      </c>
      <c r="P15" s="2">
        <v>0</v>
      </c>
      <c r="Q15" s="2">
        <v>0</v>
      </c>
      <c r="R15" s="2">
        <v>0</v>
      </c>
      <c r="S15" s="2">
        <f>IF(COUNT('Turns'!D59)=1,SUM('Turns'!D59),"Unknown")</f>
        <v>80.0</v>
      </c>
      <c r="T15" s="2">
        <f>IF(COUNT('Turns'!E59)=1,SUM('Turns'!E59),"Unknown")</f>
        <v>8.445504e-05</v>
      </c>
      <c r="U15" s="2">
        <f>IF(COUNT('Turns'!F59)=1,SUM('Turns'!F59),"Unknown")</f>
        <v>9.6e-05</v>
      </c>
      <c r="V15" s="2">
        <f>IF(COUNT('Turns'!D57)=1,SUM('Turns'!D57),"Unknown")</f>
        <v>12000.0</v>
      </c>
      <c r="W15" s="2">
        <f>IF(COUNT('Turns'!E57)=1,SUM('Turns'!E57),"Unknown")</f>
        <v>0.012668256</v>
      </c>
      <c r="X15" s="2">
        <f>IF(COUNT('Turns'!F57)=1,SUM('Turns'!F57),"Unknown")</f>
        <v>0.0144</v>
      </c>
      <c r="Y15" s="2">
        <f>IF(COUNT('Turns'!E63)=1,SUM('Turns'!E63),"Unknown")</f>
        <v>0.0127705345724</v>
      </c>
      <c r="Z15" s="2">
        <f>IF(COUNT('Turns'!F63)=1,SUM('Turns'!F63),"Unknown")</f>
        <v>0.01451626</v>
      </c>
      <c r="AA15" s="5">
        <f>IF(ISNUMBER(Y15),ROUND(Y15*'Reference data'!$B$2,0),"Unknown")</f>
        <v>1277.0</v>
      </c>
      <c r="AB15" s="5">
        <f>IF(ISNUMBER(Z15),ROUND(Z15*'Reference data'!$B$2,0),"Unknown")</f>
        <v>1452.0</v>
      </c>
      <c r="AD15" s="1">
        <v>2.766</v>
      </c>
      <c r="AE15" s="1" t="s">
        <v>193</v>
      </c>
    </row>
    <row r="16" spans="1:31" ht="54" customHeight="1">
      <c r="A16" s="6" t="s">
        <v>197</v>
      </c>
      <c r="B16" s="1">
        <v>2</v>
      </c>
      <c r="C16" s="1" t="s">
        <v>198</v>
      </c>
      <c r="D16" s="1" t="s">
        <v>126</v>
      </c>
      <c r="E16" s="1" t="s">
        <v>141</v>
      </c>
      <c r="F16" s="1">
        <v>581</v>
      </c>
      <c r="G16" s="6" t="s">
        <v>199</v>
      </c>
      <c r="H16" t="s">
        <v>163</v>
      </c>
      <c r="I16" t="s">
        <v>212</v>
      </c>
      <c r="J16" s="2">
        <f>IF(COUNT('Turns'!D52)=1,SUM('Turns'!D52),"Unknown")</f>
        <v>48.0</v>
      </c>
      <c r="K16" s="2">
        <f>IF(COUNT('Turns'!E52)=1,SUM('Turns'!E52),"Unknown")</f>
        <v>8.445504e-06</v>
      </c>
      <c r="L16" s="2">
        <f>IF(COUNT('Turns'!F52)=1,SUM('Turns'!F52),"Unknown")</f>
        <v>9.6e-06</v>
      </c>
      <c r="M16" s="2">
        <f>IF(COUNT('Turns'!D51)=1,SUM('Turns'!D51),"Unknown")</f>
        <v>533.0</v>
      </c>
      <c r="N16" s="2">
        <f>IF(COUNT('Turns'!E51)=1,SUM('Turns'!E51),"Unknown")</f>
        <v>9.3780284e-06</v>
      </c>
      <c r="O16" s="2">
        <f>IF(COUNT('Turns'!F51)=1,SUM('Turns'!F51),"Unknown")</f>
        <v>1.066e-05</v>
      </c>
      <c r="P16" s="2">
        <v>0</v>
      </c>
      <c r="Q16" s="2">
        <v>0</v>
      </c>
      <c r="R16" s="2">
        <v>0</v>
      </c>
      <c r="S16" s="2">
        <f>IF(COUNT('Turns'!D59)=1,SUM('Turns'!D59),"Unknown")</f>
        <v>80.0</v>
      </c>
      <c r="T16" s="2">
        <f>IF(COUNT('Turns'!E59)=1,SUM('Turns'!E59),"Unknown")</f>
        <v>8.445504e-05</v>
      </c>
      <c r="U16" s="2">
        <f>IF(COUNT('Turns'!F59)=1,SUM('Turns'!F59),"Unknown")</f>
        <v>9.6e-05</v>
      </c>
      <c r="V16" s="2">
        <f>IF(COUNT('Turns'!D57)=1,SUM('Turns'!D57),"Unknown")</f>
        <v>12000.0</v>
      </c>
      <c r="W16" s="2">
        <f>IF(COUNT('Turns'!E57)=1,SUM('Turns'!E57),"Unknown")</f>
        <v>0.012668256</v>
      </c>
      <c r="X16" s="2">
        <f>IF(COUNT('Turns'!F57)=1,SUM('Turns'!F57),"Unknown")</f>
        <v>0.0144</v>
      </c>
      <c r="Y16" s="2">
        <f>IF(COUNT('Turns'!E63)=1,SUM('Turns'!E63),"Unknown")</f>
        <v>0.0127705345724</v>
      </c>
      <c r="Z16" s="2">
        <f>IF(COUNT('Turns'!F63)=1,SUM('Turns'!F63),"Unknown")</f>
        <v>0.01451626</v>
      </c>
      <c r="AA16" s="5">
        <f>IF(ISNUMBER(Y16),ROUND(Y16*'Reference data'!$B$2,0),"Unknown")</f>
        <v>1277.0</v>
      </c>
      <c r="AB16" s="5">
        <f>IF(ISNUMBER(Z16),ROUND(Z16*'Reference data'!$B$2,0),"Unknown")</f>
        <v>1452.0</v>
      </c>
      <c r="AC16" s="1" t="s">
        <v>162</v>
      </c>
      <c r="AD16" s="1">
        <v>1.952</v>
      </c>
      <c r="AE16" s="1" t="s">
        <v>200</v>
      </c>
    </row>
    <row r="17" spans="1:31" ht="54" customHeight="1">
      <c r="A17" s="6" t="s">
        <v>201</v>
      </c>
      <c r="B17" s="1">
        <v>1</v>
      </c>
      <c r="C17" s="1" t="s">
        <v>191</v>
      </c>
      <c r="D17" s="1" t="s">
        <v>47</v>
      </c>
      <c r="E17" s="1" t="s">
        <v>141</v>
      </c>
      <c r="G17" s="6" t="s">
        <v>202</v>
      </c>
      <c r="H17" t="s">
        <v>213</v>
      </c>
      <c r="I17" t="s">
        <v>49</v>
      </c>
      <c r="AD17" s="1">
        <v>1.64</v>
      </c>
      <c r="AE17" s="1" t="s">
        <v>204</v>
      </c>
    </row>
    <row r="18" spans="1:31" ht="54" customHeight="1">
      <c r="A18" s="6" t="s">
        <v>214</v>
      </c>
      <c r="B18" s="1">
        <v>2</v>
      </c>
      <c r="C18" s="1" t="s">
        <v>206</v>
      </c>
      <c r="D18" s="1" t="s">
        <v>47</v>
      </c>
      <c r="E18" s="1" t="s">
        <v>141</v>
      </c>
      <c r="G18" s="6" t="s">
        <v>215</v>
      </c>
      <c r="H18" t="s">
        <v>169</v>
      </c>
      <c r="I18" t="s">
        <v>213</v>
      </c>
      <c r="AD18" s="1">
        <v>0.556</v>
      </c>
      <c r="AE18" s="1" t="s">
        <v>204</v>
      </c>
    </row>
    <row r="19" spans="1:31" ht="54" customHeight="1">
      <c r="A19" s="6" t="s">
        <v>194</v>
      </c>
      <c r="B19" s="1">
        <v>1</v>
      </c>
      <c r="C19" s="1" t="s">
        <v>191</v>
      </c>
      <c r="D19" s="1" t="s">
        <v>47</v>
      </c>
      <c r="E19" s="1" t="s">
        <v>141</v>
      </c>
      <c r="G19" s="6" t="s">
        <v>195</v>
      </c>
      <c r="H19" t="s">
        <v>216</v>
      </c>
      <c r="I19" t="s">
        <v>49</v>
      </c>
      <c r="J19" s="2">
        <f>IF(COUNT('Turns'!D69)=1,SUM('Turns'!D69),"Unknown")</f>
        <v>56.0</v>
      </c>
      <c r="K19" s="2">
        <f>IF(COUNT('Turns'!E69)=1,SUM('Turns'!E69),"Unknown")</f>
        <v>9.853088e-06</v>
      </c>
      <c r="L19" s="2">
        <f>IF(COUNT('Turns'!F69)=1,SUM('Turns'!F69),"Unknown")</f>
        <v>1.12e-05</v>
      </c>
      <c r="M19" s="2">
        <f>IF(COUNT('Turns'!D68)=1,SUM('Turns'!D68),"Unknown")</f>
        <v>661.0</v>
      </c>
      <c r="N19" s="2">
        <f>IF(COUNT('Turns'!E68)=1,SUM('Turns'!E68),"Unknown")</f>
        <v>1.16301628e-05</v>
      </c>
      <c r="O19" s="2">
        <f>IF(COUNT('Turns'!F68)=1,SUM('Turns'!F68),"Unknown")</f>
        <v>1.322e-05</v>
      </c>
      <c r="P19" s="2">
        <v>0</v>
      </c>
      <c r="Q19" s="2">
        <v>0</v>
      </c>
      <c r="R19" s="2">
        <v>0</v>
      </c>
      <c r="S19" s="2">
        <f>IF(COUNT('Turns'!D76)=1,SUM('Turns'!D76),"Unknown")</f>
        <v>61.0</v>
      </c>
      <c r="T19" s="2">
        <f>IF(COUNT('Turns'!E76)=1,SUM('Turns'!E76),"Unknown")</f>
        <v>6.4396968e-05</v>
      </c>
      <c r="U19" s="2">
        <f>IF(COUNT('Turns'!F76)=1,SUM('Turns'!F76),"Unknown")</f>
        <v>7.32e-05</v>
      </c>
      <c r="V19" s="2">
        <f>IF(COUNT('Turns'!D74)=1,SUM('Turns'!D74),"Unknown")</f>
        <v>600.0</v>
      </c>
      <c r="W19" s="2">
        <f>IF(COUNT('Turns'!E74)=1,SUM('Turns'!E74),"Unknown")</f>
        <v>0.0006334128</v>
      </c>
      <c r="X19" s="2">
        <f>IF(COUNT('Turns'!F74)=1,SUM('Turns'!F74),"Unknown")</f>
        <v>0.00072</v>
      </c>
      <c r="Y19" s="2">
        <f>IF(COUNT('Turns'!E80)=1,SUM('Turns'!E80),"Unknown")</f>
        <v>0.0007192930188</v>
      </c>
      <c r="Z19" s="2">
        <f>IF(COUNT('Turns'!F80)=1,SUM('Turns'!F80),"Unknown")</f>
        <v>0.00081762</v>
      </c>
      <c r="AA19" s="5">
        <f>IF(ISNUMBER(Y19),ROUND(Y19*'Reference data'!$B$2,0),"Unknown")</f>
        <v>72.0</v>
      </c>
      <c r="AB19" s="5">
        <f>IF(ISNUMBER(Z19),ROUND(Z19*'Reference data'!$B$2,0),"Unknown")</f>
        <v>82.0</v>
      </c>
      <c r="AD19" s="1">
        <v>4.663</v>
      </c>
      <c r="AE19" s="1" t="s">
        <v>193</v>
      </c>
    </row>
    <row r="20" spans="1:31" ht="54" customHeight="1">
      <c r="A20" s="6" t="s">
        <v>197</v>
      </c>
      <c r="B20" s="1">
        <v>2</v>
      </c>
      <c r="C20" s="1" t="s">
        <v>198</v>
      </c>
      <c r="D20" s="1" t="s">
        <v>126</v>
      </c>
      <c r="E20" s="1" t="s">
        <v>141</v>
      </c>
      <c r="F20" s="1">
        <v>717</v>
      </c>
      <c r="G20" s="6" t="s">
        <v>199</v>
      </c>
      <c r="H20" t="s">
        <v>173</v>
      </c>
      <c r="I20" t="s">
        <v>216</v>
      </c>
      <c r="J20" s="2">
        <f>IF(COUNT('Turns'!D69)=1,SUM('Turns'!D69),"Unknown")</f>
        <v>56.0</v>
      </c>
      <c r="K20" s="2">
        <f>IF(COUNT('Turns'!E69)=1,SUM('Turns'!E69),"Unknown")</f>
        <v>9.853088e-06</v>
      </c>
      <c r="L20" s="2">
        <f>IF(COUNT('Turns'!F69)=1,SUM('Turns'!F69),"Unknown")</f>
        <v>1.12e-05</v>
      </c>
      <c r="M20" s="2">
        <f>IF(COUNT('Turns'!D68)=1,SUM('Turns'!D68),"Unknown")</f>
        <v>661.0</v>
      </c>
      <c r="N20" s="2">
        <f>IF(COUNT('Turns'!E68)=1,SUM('Turns'!E68),"Unknown")</f>
        <v>1.16301628e-05</v>
      </c>
      <c r="O20" s="2">
        <f>IF(COUNT('Turns'!F68)=1,SUM('Turns'!F68),"Unknown")</f>
        <v>1.322e-05</v>
      </c>
      <c r="P20" s="2">
        <v>0</v>
      </c>
      <c r="Q20" s="2">
        <v>0</v>
      </c>
      <c r="R20" s="2">
        <v>0</v>
      </c>
      <c r="S20" s="2">
        <f>IF(COUNT('Turns'!D76)=1,SUM('Turns'!D76),"Unknown")</f>
        <v>61.0</v>
      </c>
      <c r="T20" s="2">
        <f>IF(COUNT('Turns'!E76)=1,SUM('Turns'!E76),"Unknown")</f>
        <v>6.4396968e-05</v>
      </c>
      <c r="U20" s="2">
        <f>IF(COUNT('Turns'!F76)=1,SUM('Turns'!F76),"Unknown")</f>
        <v>7.32e-05</v>
      </c>
      <c r="V20" s="2">
        <f>IF(COUNT('Turns'!D74)=1,SUM('Turns'!D74),"Unknown")</f>
        <v>600.0</v>
      </c>
      <c r="W20" s="2">
        <f>IF(COUNT('Turns'!E74)=1,SUM('Turns'!E74),"Unknown")</f>
        <v>0.0006334128</v>
      </c>
      <c r="X20" s="2">
        <f>IF(COUNT('Turns'!F74)=1,SUM('Turns'!F74),"Unknown")</f>
        <v>0.00072</v>
      </c>
      <c r="Y20" s="2">
        <f>IF(COUNT('Turns'!E80)=1,SUM('Turns'!E80),"Unknown")</f>
        <v>0.0007192930188</v>
      </c>
      <c r="Z20" s="2">
        <f>IF(COUNT('Turns'!F80)=1,SUM('Turns'!F80),"Unknown")</f>
        <v>0.00081762</v>
      </c>
      <c r="AA20" s="5">
        <f>IF(ISNUMBER(Y20),ROUND(Y20*'Reference data'!$B$2,0),"Unknown")</f>
        <v>72.0</v>
      </c>
      <c r="AB20" s="5">
        <f>IF(ISNUMBER(Z20),ROUND(Z20*'Reference data'!$B$2,0),"Unknown")</f>
        <v>82.0</v>
      </c>
      <c r="AC20" s="1" t="s">
        <v>172</v>
      </c>
      <c r="AD20" s="1">
        <v>2.59</v>
      </c>
      <c r="AE20" s="1" t="s">
        <v>200</v>
      </c>
    </row>
    <row r="21" spans="1:31" ht="54" customHeight="1">
      <c r="A21" s="6" t="s">
        <v>201</v>
      </c>
      <c r="B21" s="1">
        <v>1</v>
      </c>
      <c r="C21" s="1" t="s">
        <v>191</v>
      </c>
      <c r="D21" s="1" t="s">
        <v>47</v>
      </c>
      <c r="E21" s="1" t="s">
        <v>141</v>
      </c>
      <c r="G21" s="6" t="s">
        <v>202</v>
      </c>
      <c r="H21" t="s">
        <v>217</v>
      </c>
      <c r="I21" t="s">
        <v>49</v>
      </c>
      <c r="AD21" s="1">
        <v>1.589</v>
      </c>
      <c r="AE21" s="1" t="s">
        <v>204</v>
      </c>
    </row>
    <row r="22" spans="1:31" ht="54" customHeight="1">
      <c r="A22" s="6" t="s">
        <v>214</v>
      </c>
      <c r="B22" s="1">
        <v>2</v>
      </c>
      <c r="C22" s="1" t="s">
        <v>206</v>
      </c>
      <c r="D22" s="1" t="s">
        <v>47</v>
      </c>
      <c r="E22" s="1" t="s">
        <v>141</v>
      </c>
      <c r="G22" s="6" t="s">
        <v>215</v>
      </c>
      <c r="H22" t="s">
        <v>176</v>
      </c>
      <c r="I22" t="s">
        <v>217</v>
      </c>
      <c r="AD22" s="1">
        <v>0.5610000000000001</v>
      </c>
      <c r="AE22" s="1" t="s">
        <v>204</v>
      </c>
    </row>
    <row r="23" spans="1:31" ht="54" customHeight="1">
      <c r="A23" s="6" t="s">
        <v>194</v>
      </c>
      <c r="B23" s="1">
        <v>1</v>
      </c>
      <c r="C23" s="1" t="s">
        <v>191</v>
      </c>
      <c r="D23" s="1" t="s">
        <v>47</v>
      </c>
      <c r="E23" s="1" t="s">
        <v>141</v>
      </c>
      <c r="G23" s="6" t="s">
        <v>195</v>
      </c>
      <c r="H23" t="s">
        <v>218</v>
      </c>
      <c r="I23" t="s">
        <v>49</v>
      </c>
      <c r="J23" s="2">
        <f>IF(COUNT('Turns'!D86)=1,SUM('Turns'!D86),"Unknown")</f>
        <v>42.0</v>
      </c>
      <c r="K23" s="2">
        <f>IF(COUNT('Turns'!E86)=1,SUM('Turns'!E86),"Unknown")</f>
        <v>7.389816e-06</v>
      </c>
      <c r="L23" s="2">
        <f>IF(COUNT('Turns'!F86)=1,SUM('Turns'!F86),"Unknown")</f>
        <v>8.4e-06</v>
      </c>
      <c r="M23" s="2">
        <f>IF(COUNT('Turns'!D85)=1,SUM('Turns'!D85),"Unknown")</f>
        <v>778.0</v>
      </c>
      <c r="N23" s="2">
        <f>IF(COUNT('Turns'!E85)=1,SUM('Turns'!E85),"Unknown")</f>
        <v>1.36887544e-05</v>
      </c>
      <c r="O23" s="2">
        <f>IF(COUNT('Turns'!F85)=1,SUM('Turns'!F85),"Unknown")</f>
        <v>1.556e-05</v>
      </c>
      <c r="P23" s="2">
        <v>0</v>
      </c>
      <c r="Q23" s="2">
        <v>0</v>
      </c>
      <c r="R23" s="2">
        <v>0</v>
      </c>
      <c r="S23" s="2">
        <f>IF(COUNT('Turns'!D93)=1,SUM('Turns'!D93),"Unknown")</f>
        <v>60.0</v>
      </c>
      <c r="T23" s="2">
        <f>IF(COUNT('Turns'!E93)=1,SUM('Turns'!E93),"Unknown")</f>
        <v>6.334128e-05</v>
      </c>
      <c r="U23" s="2">
        <f>IF(COUNT('Turns'!F93)=1,SUM('Turns'!F93),"Unknown")</f>
        <v>7.2e-05</v>
      </c>
      <c r="V23" s="2">
        <f>IF(COUNT('Turns'!D91)=1,SUM('Turns'!D91),"Unknown")</f>
        <v>600.0</v>
      </c>
      <c r="W23" s="2">
        <f>IF(COUNT('Turns'!E91)=1,SUM('Turns'!E91),"Unknown")</f>
        <v>0.0006334128</v>
      </c>
      <c r="X23" s="2">
        <f>IF(COUNT('Turns'!F91)=1,SUM('Turns'!F91),"Unknown")</f>
        <v>0.00072</v>
      </c>
      <c r="Y23" s="2">
        <f>IF(COUNT('Turns'!E97)=1,SUM('Turns'!E97),"Unknown")</f>
        <v>0.0007178326504</v>
      </c>
      <c r="Z23" s="2">
        <f>IF(COUNT('Turns'!F97)=1,SUM('Turns'!F97),"Unknown")</f>
        <v>0.00081596</v>
      </c>
      <c r="AA23" s="5">
        <f>IF(ISNUMBER(Y23),ROUND(Y23*'Reference data'!$B$2,0),"Unknown")</f>
        <v>72.0</v>
      </c>
      <c r="AB23" s="5">
        <f>IF(ISNUMBER(Z23),ROUND(Z23*'Reference data'!$B$2,0),"Unknown")</f>
        <v>82.0</v>
      </c>
      <c r="AD23" s="1">
        <v>3.514</v>
      </c>
      <c r="AE23" s="1" t="s">
        <v>193</v>
      </c>
    </row>
    <row r="24" spans="1:31" ht="54" customHeight="1">
      <c r="A24" s="6" t="s">
        <v>197</v>
      </c>
      <c r="B24" s="1">
        <v>2</v>
      </c>
      <c r="C24" s="1" t="s">
        <v>198</v>
      </c>
      <c r="D24" s="1" t="s">
        <v>126</v>
      </c>
      <c r="E24" s="1" t="s">
        <v>141</v>
      </c>
      <c r="F24" s="1">
        <v>820</v>
      </c>
      <c r="G24" s="6" t="s">
        <v>199</v>
      </c>
      <c r="H24" t="s">
        <v>180</v>
      </c>
      <c r="I24" t="s">
        <v>218</v>
      </c>
      <c r="J24" s="2">
        <f>IF(COUNT('Turns'!D86)=1,SUM('Turns'!D86),"Unknown")</f>
        <v>42.0</v>
      </c>
      <c r="K24" s="2">
        <f>IF(COUNT('Turns'!E86)=1,SUM('Turns'!E86),"Unknown")</f>
        <v>7.389816e-06</v>
      </c>
      <c r="L24" s="2">
        <f>IF(COUNT('Turns'!F86)=1,SUM('Turns'!F86),"Unknown")</f>
        <v>8.4e-06</v>
      </c>
      <c r="M24" s="2">
        <f>IF(COUNT('Turns'!D85)=1,SUM('Turns'!D85),"Unknown")</f>
        <v>778.0</v>
      </c>
      <c r="N24" s="2">
        <f>IF(COUNT('Turns'!E85)=1,SUM('Turns'!E85),"Unknown")</f>
        <v>1.36887544e-05</v>
      </c>
      <c r="O24" s="2">
        <f>IF(COUNT('Turns'!F85)=1,SUM('Turns'!F85),"Unknown")</f>
        <v>1.556e-05</v>
      </c>
      <c r="P24" s="2">
        <v>0</v>
      </c>
      <c r="Q24" s="2">
        <v>0</v>
      </c>
      <c r="R24" s="2">
        <v>0</v>
      </c>
      <c r="S24" s="2">
        <f>IF(COUNT('Turns'!D93)=1,SUM('Turns'!D93),"Unknown")</f>
        <v>60.0</v>
      </c>
      <c r="T24" s="2">
        <f>IF(COUNT('Turns'!E93)=1,SUM('Turns'!E93),"Unknown")</f>
        <v>6.334128e-05</v>
      </c>
      <c r="U24" s="2">
        <f>IF(COUNT('Turns'!F93)=1,SUM('Turns'!F93),"Unknown")</f>
        <v>7.2e-05</v>
      </c>
      <c r="V24" s="2">
        <f>IF(COUNT('Turns'!D91)=1,SUM('Turns'!D91),"Unknown")</f>
        <v>600.0</v>
      </c>
      <c r="W24" s="2">
        <f>IF(COUNT('Turns'!E91)=1,SUM('Turns'!E91),"Unknown")</f>
        <v>0.0006334128</v>
      </c>
      <c r="X24" s="2">
        <f>IF(COUNT('Turns'!F91)=1,SUM('Turns'!F91),"Unknown")</f>
        <v>0.00072</v>
      </c>
      <c r="Y24" s="2">
        <f>IF(COUNT('Turns'!E97)=1,SUM('Turns'!E97),"Unknown")</f>
        <v>0.0007178326504</v>
      </c>
      <c r="Z24" s="2">
        <f>IF(COUNT('Turns'!F97)=1,SUM('Turns'!F97),"Unknown")</f>
        <v>0.00081596</v>
      </c>
      <c r="AA24" s="5">
        <f>IF(ISNUMBER(Y24),ROUND(Y24*'Reference data'!$B$2,0),"Unknown")</f>
        <v>72.0</v>
      </c>
      <c r="AB24" s="5">
        <f>IF(ISNUMBER(Z24),ROUND(Z24*'Reference data'!$B$2,0),"Unknown")</f>
        <v>82.0</v>
      </c>
      <c r="AC24" s="1" t="s">
        <v>179</v>
      </c>
      <c r="AD24" s="1">
        <v>2.592</v>
      </c>
      <c r="AE24" s="1" t="s">
        <v>200</v>
      </c>
    </row>
    <row r="25" spans="1:31" ht="54" customHeight="1">
      <c r="A25" s="6" t="s">
        <v>201</v>
      </c>
      <c r="B25" s="1">
        <v>1</v>
      </c>
      <c r="C25" s="1" t="s">
        <v>191</v>
      </c>
      <c r="D25" s="1" t="s">
        <v>47</v>
      </c>
      <c r="E25" s="1" t="s">
        <v>141</v>
      </c>
      <c r="G25" s="6" t="s">
        <v>202</v>
      </c>
      <c r="H25" t="s">
        <v>219</v>
      </c>
      <c r="I25" t="s">
        <v>49</v>
      </c>
      <c r="AD25" s="1">
        <v>1.177</v>
      </c>
      <c r="AE25" s="1" t="s">
        <v>204</v>
      </c>
    </row>
    <row r="26" spans="1:31" ht="54" customHeight="1">
      <c r="A26" s="6" t="s">
        <v>214</v>
      </c>
      <c r="B26" s="1">
        <v>2</v>
      </c>
      <c r="C26" s="1" t="s">
        <v>206</v>
      </c>
      <c r="D26" s="1" t="s">
        <v>47</v>
      </c>
      <c r="E26" s="1" t="s">
        <v>141</v>
      </c>
      <c r="G26" s="6" t="s">
        <v>215</v>
      </c>
      <c r="H26" t="s">
        <v>183</v>
      </c>
      <c r="I26" t="s">
        <v>219</v>
      </c>
      <c r="AD26" s="1">
        <v>0.375</v>
      </c>
      <c r="AE26" s="1" t="s">
        <v>204</v>
      </c>
    </row>
    <row r="27" spans="1:31" ht="54" customHeight="1">
      <c r="A27" s="6" t="s">
        <v>194</v>
      </c>
      <c r="B27" s="1">
        <v>1</v>
      </c>
      <c r="C27" s="1" t="s">
        <v>191</v>
      </c>
      <c r="D27" s="1" t="s">
        <v>47</v>
      </c>
      <c r="E27" s="1" t="s">
        <v>141</v>
      </c>
      <c r="G27" s="6" t="s">
        <v>195</v>
      </c>
      <c r="H27" t="s">
        <v>220</v>
      </c>
      <c r="I27" t="s">
        <v>49</v>
      </c>
      <c r="J27" s="2">
        <f>IF(COUNT('Turns'!D103)=1,SUM('Turns'!D103),"Unknown")</f>
        <v>40.0</v>
      </c>
      <c r="K27" s="2">
        <f>IF(COUNT('Turns'!E103)=1,SUM('Turns'!E103),"Unknown")</f>
        <v>7.03792e-06</v>
      </c>
      <c r="L27" s="2">
        <f>IF(COUNT('Turns'!F103)=1,SUM('Turns'!F103),"Unknown")</f>
        <v>8e-06</v>
      </c>
      <c r="M27" s="2">
        <f>IF(COUNT('Turns'!D102)=1,SUM('Turns'!D102),"Unknown")</f>
        <v>880.0</v>
      </c>
      <c r="N27" s="2">
        <f>IF(COUNT('Turns'!E102)=1,SUM('Turns'!E102),"Unknown")</f>
        <v>1.5483424e-05</v>
      </c>
      <c r="O27" s="2">
        <f>IF(COUNT('Turns'!F102)=1,SUM('Turns'!F102),"Unknown")</f>
        <v>1.76e-05</v>
      </c>
      <c r="P27" s="2">
        <v>0</v>
      </c>
      <c r="Q27" s="2">
        <v>0</v>
      </c>
      <c r="R27" s="2">
        <v>0</v>
      </c>
      <c r="S27" s="2">
        <f>IF(COUNT('Turns'!D110)=1,SUM('Turns'!D110),"Unknown")</f>
        <v>71.0</v>
      </c>
      <c r="T27" s="2">
        <f>IF(COUNT('Turns'!E110)=1,SUM('Turns'!E110),"Unknown")</f>
        <v>7.4953848e-05</v>
      </c>
      <c r="U27" s="2">
        <f>IF(COUNT('Turns'!F110)=1,SUM('Turns'!F110),"Unknown")</f>
        <v>8.52e-05</v>
      </c>
      <c r="V27" s="2">
        <f>IF(COUNT('Turns'!D108)=1,SUM('Turns'!D108),"Unknown")</f>
        <v>1800.0</v>
      </c>
      <c r="W27" s="2">
        <f>IF(COUNT('Turns'!E108)=1,SUM('Turns'!E108),"Unknown")</f>
        <v>0.0019002384</v>
      </c>
      <c r="X27" s="2">
        <f>IF(COUNT('Turns'!F108)=1,SUM('Turns'!F108),"Unknown")</f>
        <v>0.00216</v>
      </c>
      <c r="Y27" s="2">
        <f>IF(COUNT('Turns'!E114)=1,SUM('Turns'!E114),"Unknown")</f>
        <v>0.001997713592</v>
      </c>
      <c r="Z27" s="2">
        <f>IF(COUNT('Turns'!F114)=1,SUM('Turns'!F114),"Unknown")</f>
        <v>0.0022708</v>
      </c>
      <c r="AA27" s="5">
        <f>IF(ISNUMBER(Y27),ROUND(Y27*'Reference data'!$B$2,0),"Unknown")</f>
        <v>200.0</v>
      </c>
      <c r="AB27" s="5">
        <f>IF(ISNUMBER(Z27),ROUND(Z27*'Reference data'!$B$2,0),"Unknown")</f>
        <v>227.0</v>
      </c>
      <c r="AD27" s="1">
        <v>2.19</v>
      </c>
      <c r="AE27" s="1" t="s">
        <v>193</v>
      </c>
    </row>
    <row r="28" spans="1:31" ht="54" customHeight="1">
      <c r="A28" s="6" t="s">
        <v>197</v>
      </c>
      <c r="B28" s="1">
        <v>2</v>
      </c>
      <c r="C28" s="1" t="s">
        <v>198</v>
      </c>
      <c r="D28" s="1" t="s">
        <v>126</v>
      </c>
      <c r="E28" s="1" t="s">
        <v>141</v>
      </c>
      <c r="F28" s="1">
        <v>920</v>
      </c>
      <c r="G28" s="6" t="s">
        <v>199</v>
      </c>
      <c r="H28" t="s">
        <v>187</v>
      </c>
      <c r="I28" t="s">
        <v>220</v>
      </c>
      <c r="J28" s="2">
        <f>IF(COUNT('Turns'!D103)=1,SUM('Turns'!D103),"Unknown")</f>
        <v>40.0</v>
      </c>
      <c r="K28" s="2">
        <f>IF(COUNT('Turns'!E103)=1,SUM('Turns'!E103),"Unknown")</f>
        <v>7.03792e-06</v>
      </c>
      <c r="L28" s="2">
        <f>IF(COUNT('Turns'!F103)=1,SUM('Turns'!F103),"Unknown")</f>
        <v>8e-06</v>
      </c>
      <c r="M28" s="2">
        <f>IF(COUNT('Turns'!D102)=1,SUM('Turns'!D102),"Unknown")</f>
        <v>880.0</v>
      </c>
      <c r="N28" s="2">
        <f>IF(COUNT('Turns'!E102)=1,SUM('Turns'!E102),"Unknown")</f>
        <v>1.5483424e-05</v>
      </c>
      <c r="O28" s="2">
        <f>IF(COUNT('Turns'!F102)=1,SUM('Turns'!F102),"Unknown")</f>
        <v>1.76e-05</v>
      </c>
      <c r="P28" s="2">
        <v>0</v>
      </c>
      <c r="Q28" s="2">
        <v>0</v>
      </c>
      <c r="R28" s="2">
        <v>0</v>
      </c>
      <c r="S28" s="2">
        <f>IF(COUNT('Turns'!D110)=1,SUM('Turns'!D110),"Unknown")</f>
        <v>71.0</v>
      </c>
      <c r="T28" s="2">
        <f>IF(COUNT('Turns'!E110)=1,SUM('Turns'!E110),"Unknown")</f>
        <v>7.4953848e-05</v>
      </c>
      <c r="U28" s="2">
        <f>IF(COUNT('Turns'!F110)=1,SUM('Turns'!F110),"Unknown")</f>
        <v>8.52e-05</v>
      </c>
      <c r="V28" s="2">
        <f>IF(COUNT('Turns'!D108)=1,SUM('Turns'!D108),"Unknown")</f>
        <v>1800.0</v>
      </c>
      <c r="W28" s="2">
        <f>IF(COUNT('Turns'!E108)=1,SUM('Turns'!E108),"Unknown")</f>
        <v>0.0019002384</v>
      </c>
      <c r="X28" s="2">
        <f>IF(COUNT('Turns'!F108)=1,SUM('Turns'!F108),"Unknown")</f>
        <v>0.00216</v>
      </c>
      <c r="Y28" s="2">
        <f>IF(COUNT('Turns'!E114)=1,SUM('Turns'!E114),"Unknown")</f>
        <v>0.001997713592</v>
      </c>
      <c r="Z28" s="2">
        <f>IF(COUNT('Turns'!F114)=1,SUM('Turns'!F114),"Unknown")</f>
        <v>0.0022708</v>
      </c>
      <c r="AA28" s="5">
        <f>IF(ISNUMBER(Y28),ROUND(Y28*'Reference data'!$B$2,0),"Unknown")</f>
        <v>200.0</v>
      </c>
      <c r="AB28" s="5">
        <f>IF(ISNUMBER(Z28),ROUND(Z28*'Reference data'!$B$2,0),"Unknown")</f>
        <v>227.0</v>
      </c>
      <c r="AC28" s="1" t="s">
        <v>186</v>
      </c>
      <c r="AD28" s="1">
        <v>1.437</v>
      </c>
      <c r="AE28" s="1" t="s">
        <v>200</v>
      </c>
    </row>
  </sheetData>
  <conditionalFormatting sqref="A2:AE28">
    <cfRule type="expression" dxfId="0" priority="1">
      <formula>$E2="error"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173B70"/>
  </sheetPr>
  <dimension ref="A1:I47"/>
  <sheetViews>
    <sheetView showGridLines="0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24" customHeight="1"/>
  <cols>
    <col min="1" max="1" width="34.7109375" customWidth="1"/>
    <col min="2" max="2" width="52.7109375" customWidth="1"/>
    <col min="3" max="7" width="26.7109375" customWidth="1"/>
    <col min="8" max="8" width="65.7109375" customWidth="1"/>
    <col min="9" max="9" width="26.7109375" customWidth="1"/>
  </cols>
  <sheetData>
    <row r="1" spans="1:9" ht="44" customHeight="1">
      <c r="A1" s="3" t="s">
        <v>38</v>
      </c>
      <c r="B1" s="3" t="s">
        <v>39</v>
      </c>
      <c r="C1" s="3" t="s">
        <v>40</v>
      </c>
    </row>
    <row r="2" spans="1:9" ht="24" customHeight="1">
      <c r="A2" s="6" t="s">
        <v>41</v>
      </c>
      <c r="B2" s="7">
        <v>100000</v>
      </c>
      <c r="C2" s="6" t="s">
        <v>42</v>
      </c>
    </row>
    <row r="3" spans="1:9" ht="24" customHeight="1">
      <c r="A3" s="6" t="s">
        <v>43</v>
      </c>
      <c r="B3" s="2">
        <v>0.87974</v>
      </c>
      <c r="C3" s="6" t="s">
        <v>44</v>
      </c>
    </row>
    <row r="4" spans="1:9" ht="24" customHeight="1">
      <c r="A4" s="6" t="s">
        <v>45</v>
      </c>
      <c r="B4" s="6" t="s">
        <v>46</v>
      </c>
      <c r="C4" s="6" t="s">
        <v>47</v>
      </c>
    </row>
    <row r="5" spans="1:9" ht="24" customHeight="1">
      <c r="A5" s="6" t="s">
        <v>48</v>
      </c>
      <c r="B5" s="6" t="s">
        <v>49</v>
      </c>
      <c r="C5" s="6" t="s">
        <v>47</v>
      </c>
    </row>
    <row r="6" spans="1:9" ht="24" customHeight="1">
      <c r="A6" s="6" t="s">
        <v>50</v>
      </c>
      <c r="B6" s="6" t="s">
        <v>51</v>
      </c>
      <c r="C6" s="6" t="s">
        <v>47</v>
      </c>
    </row>
    <row r="7" spans="1:9" ht="24" customHeight="1">
      <c r="A7" s="6" t="s">
        <v>52</v>
      </c>
      <c r="B7" s="6" t="s">
        <v>53</v>
      </c>
      <c r="C7" s="6" t="s">
        <v>47</v>
      </c>
    </row>
    <row r="8" spans="1:9" ht="24" customHeight="1">
      <c r="A8" s="6" t="s">
        <v>54</v>
      </c>
      <c r="B8" s="6" t="s">
        <v>55</v>
      </c>
      <c r="C8" s="6" t="s">
        <v>56</v>
      </c>
    </row>
    <row r="9" spans="1:9" ht="24" customHeight="1">
      <c r="A9" s="6" t="s">
        <v>57</v>
      </c>
      <c r="B9" s="6" t="s">
        <v>58</v>
      </c>
      <c r="C9" s="6" t="s">
        <v>47</v>
      </c>
    </row>
    <row r="10" spans="1:9" ht="24" customHeight="1">
      <c r="A10" s="6" t="s">
        <v>59</v>
      </c>
      <c r="B10" s="6" t="s">
        <v>60</v>
      </c>
      <c r="C10" s="6" t="s">
        <v>47</v>
      </c>
    </row>
    <row r="11" spans="1:9" ht="24" customHeight="1">
      <c r="A11" s="6" t="s">
        <v>61</v>
      </c>
      <c r="B11" s="6" t="s">
        <v>62</v>
      </c>
      <c r="C11" s="6" t="s">
        <v>47</v>
      </c>
    </row>
    <row r="12" spans="1:9" ht="24" customHeight="1">
      <c r="A12" s="6" t="s">
        <v>63</v>
      </c>
      <c r="B12" s="6" t="s">
        <v>64</v>
      </c>
      <c r="C12" s="6" t="s">
        <v>47</v>
      </c>
    </row>
    <row r="13" spans="1:9" ht="24" customHeight="1">
      <c r="A13" s="6" t="s">
        <v>65</v>
      </c>
      <c r="B13" s="6" t="s">
        <v>66</v>
      </c>
      <c r="C13" s="6" t="s">
        <v>47</v>
      </c>
    </row>
    <row r="15" spans="1:9" ht="24" customHeight="1">
      <c r="A15" s="4" t="s">
        <v>67</v>
      </c>
      <c r="B15" s="4" t="s">
        <v>68</v>
      </c>
      <c r="C15" s="4" t="s">
        <v>69</v>
      </c>
      <c r="D15" s="4" t="s">
        <v>70</v>
      </c>
      <c r="E15" s="4" t="s">
        <v>71</v>
      </c>
      <c r="F15" s="4" t="s">
        <v>72</v>
      </c>
      <c r="G15" s="4" t="s">
        <v>73</v>
      </c>
      <c r="H15" s="4" t="s">
        <v>74</v>
      </c>
      <c r="I15" s="4" t="s">
        <v>75</v>
      </c>
    </row>
    <row r="16" spans="1:9" ht="72" customHeight="1">
      <c r="A16" s="6" t="s">
        <v>76</v>
      </c>
      <c r="B16" s="2">
        <v>5</v>
      </c>
      <c r="C16" s="2">
        <v>0.5</v>
      </c>
      <c r="D16" s="2" t="s">
        <v>77</v>
      </c>
      <c r="E16" s="2">
        <v>30</v>
      </c>
      <c r="F16" s="2">
        <v>30</v>
      </c>
      <c r="G16" s="6" t="s">
        <v>78</v>
      </c>
      <c r="H16" s="6" t="s">
        <v>79</v>
      </c>
      <c r="I16" s="6" t="s">
        <v>80</v>
      </c>
    </row>
    <row r="17" spans="1:9" ht="72" customHeight="1">
      <c r="A17" s="6" t="s">
        <v>81</v>
      </c>
      <c r="B17" s="2">
        <v>0.2</v>
      </c>
      <c r="C17" s="2">
        <v>0.02</v>
      </c>
      <c r="D17" s="2">
        <v>0.250</v>
      </c>
      <c r="E17" s="2">
        <v>1.2</v>
      </c>
      <c r="F17" s="2">
        <v>1.2</v>
      </c>
      <c r="G17" s="6" t="s">
        <v>78</v>
      </c>
      <c r="H17" s="6" t="s">
        <v>82</v>
      </c>
      <c r="I17" s="6" t="s">
        <v>80</v>
      </c>
    </row>
    <row r="18" spans="1:9" ht="72" customHeight="1">
      <c r="A18" s="6" t="s">
        <v>83</v>
      </c>
      <c r="B18" s="2">
        <v>4</v>
      </c>
      <c r="C18" s="2">
        <v>0.4</v>
      </c>
      <c r="D18" s="2">
        <v>5.00</v>
      </c>
      <c r="E18" s="2">
        <v>20</v>
      </c>
      <c r="F18" s="2">
        <v>20</v>
      </c>
      <c r="G18" s="6" t="s">
        <v>78</v>
      </c>
      <c r="H18" s="6" t="s">
        <v>84</v>
      </c>
      <c r="I18" s="6" t="s">
        <v>80</v>
      </c>
    </row>
    <row r="19" spans="1:9" ht="72" customHeight="1">
      <c r="A19" s="6" t="s">
        <v>85</v>
      </c>
      <c r="B19" s="2">
        <v>2</v>
      </c>
      <c r="C19" s="2">
        <v>0.20</v>
      </c>
      <c r="D19" s="2">
        <v>2.50</v>
      </c>
      <c r="E19" s="2">
        <v>10</v>
      </c>
      <c r="F19" s="2">
        <v>10</v>
      </c>
      <c r="G19" s="6" t="s">
        <v>78</v>
      </c>
      <c r="H19" s="6" t="s">
        <v>86</v>
      </c>
      <c r="I19" s="6" t="s">
        <v>80</v>
      </c>
    </row>
    <row r="20" spans="1:9" ht="72" customHeight="1">
      <c r="A20" s="6" t="s">
        <v>87</v>
      </c>
      <c r="B20" s="2">
        <v>5</v>
      </c>
      <c r="C20" s="2">
        <v>0.50</v>
      </c>
      <c r="D20" s="2">
        <v>6.25</v>
      </c>
      <c r="E20" s="2">
        <v>25</v>
      </c>
      <c r="F20" s="2">
        <v>25</v>
      </c>
      <c r="G20" s="6" t="s">
        <v>78</v>
      </c>
      <c r="H20" s="6" t="s">
        <v>86</v>
      </c>
      <c r="I20" s="6" t="s">
        <v>80</v>
      </c>
    </row>
    <row r="21" spans="1:9" ht="72" customHeight="1">
      <c r="A21" s="6" t="s">
        <v>88</v>
      </c>
      <c r="B21" s="2">
        <v>10</v>
      </c>
      <c r="C21" s="2">
        <v>0.25</v>
      </c>
      <c r="D21" s="2">
        <v>12.50</v>
      </c>
      <c r="E21" s="2">
        <v>50</v>
      </c>
      <c r="F21" s="2">
        <v>50</v>
      </c>
      <c r="G21" s="6" t="s">
        <v>78</v>
      </c>
      <c r="H21" s="6" t="s">
        <v>86</v>
      </c>
      <c r="I21" s="6" t="s">
        <v>80</v>
      </c>
    </row>
    <row r="22" spans="1:9" ht="72" customHeight="1">
      <c r="A22" s="6" t="s">
        <v>89</v>
      </c>
      <c r="B22" s="2">
        <v>0.2</v>
      </c>
      <c r="C22" s="2">
        <v>0.02</v>
      </c>
      <c r="D22" s="2">
        <v>0.250</v>
      </c>
      <c r="E22" s="2">
        <v>1.2</v>
      </c>
      <c r="F22" s="2">
        <v>1.2</v>
      </c>
      <c r="G22" s="6" t="s">
        <v>78</v>
      </c>
      <c r="H22" s="6" t="s">
        <v>90</v>
      </c>
      <c r="I22" s="6" t="s">
        <v>80</v>
      </c>
    </row>
    <row r="23" spans="1:9" ht="72" customHeight="1">
      <c r="A23" s="6" t="s">
        <v>91</v>
      </c>
      <c r="B23" s="2">
        <v>1</v>
      </c>
      <c r="C23" s="2">
        <v>0.10</v>
      </c>
      <c r="D23" s="2">
        <v>1.25</v>
      </c>
      <c r="E23" s="2">
        <v>5</v>
      </c>
      <c r="F23" s="2">
        <v>5</v>
      </c>
      <c r="G23" s="6" t="s">
        <v>78</v>
      </c>
      <c r="H23" s="6" t="s">
        <v>86</v>
      </c>
      <c r="I23" s="6" t="s">
        <v>80</v>
      </c>
    </row>
    <row r="24" spans="1:9" ht="72" customHeight="1">
      <c r="A24" s="6" t="s">
        <v>92</v>
      </c>
      <c r="B24" s="2">
        <v>1</v>
      </c>
      <c r="C24" s="2">
        <v>0.10</v>
      </c>
      <c r="D24" s="2">
        <v>1.25</v>
      </c>
      <c r="E24" s="2">
        <v>5</v>
      </c>
      <c r="F24" s="2">
        <v>5</v>
      </c>
      <c r="G24" s="6" t="s">
        <v>78</v>
      </c>
      <c r="H24" s="6" t="s">
        <v>86</v>
      </c>
      <c r="I24" s="6" t="s">
        <v>80</v>
      </c>
    </row>
    <row r="25" spans="1:9" ht="72" customHeight="1">
      <c r="A25" s="6" t="s">
        <v>93</v>
      </c>
      <c r="B25" s="2">
        <v>4</v>
      </c>
      <c r="C25" s="2">
        <v>0.20</v>
      </c>
      <c r="D25" s="2">
        <v>5</v>
      </c>
      <c r="E25" s="2">
        <v>20</v>
      </c>
      <c r="F25" s="2">
        <v>20</v>
      </c>
      <c r="G25" s="6" t="s">
        <v>78</v>
      </c>
      <c r="H25" s="6" t="s">
        <v>86</v>
      </c>
      <c r="I25" s="6" t="s">
        <v>80</v>
      </c>
    </row>
    <row r="26" spans="1:9" ht="72" customHeight="1">
      <c r="A26" s="6" t="s">
        <v>94</v>
      </c>
      <c r="B26" s="2">
        <v>3</v>
      </c>
      <c r="C26" s="2">
        <v>0.30</v>
      </c>
      <c r="D26" s="2">
        <v>3.75</v>
      </c>
      <c r="E26" s="2">
        <v>15</v>
      </c>
      <c r="F26" s="2">
        <v>15</v>
      </c>
      <c r="G26" s="6" t="s">
        <v>78</v>
      </c>
      <c r="H26" s="6" t="s">
        <v>86</v>
      </c>
      <c r="I26" s="6" t="s">
        <v>80</v>
      </c>
    </row>
    <row r="27" spans="1:9" ht="72" customHeight="1">
      <c r="A27" s="6" t="s">
        <v>95</v>
      </c>
      <c r="B27" s="2">
        <v>2</v>
      </c>
      <c r="C27" s="2">
        <v>0.20</v>
      </c>
      <c r="D27" s="2">
        <v>2.50</v>
      </c>
      <c r="E27" s="2">
        <v>10</v>
      </c>
      <c r="F27" s="2">
        <v>10</v>
      </c>
      <c r="G27" s="6" t="s">
        <v>78</v>
      </c>
      <c r="H27" s="6" t="s">
        <v>86</v>
      </c>
      <c r="I27" s="6" t="s">
        <v>80</v>
      </c>
    </row>
    <row r="28" spans="1:9" ht="72" customHeight="1">
      <c r="A28" s="6" t="s">
        <v>96</v>
      </c>
      <c r="B28" s="2">
        <v>1.00</v>
      </c>
      <c r="C28" s="2">
        <v>0.10</v>
      </c>
      <c r="D28" s="2">
        <v>1.25</v>
      </c>
      <c r="E28" s="2">
        <v>5.00</v>
      </c>
      <c r="F28" s="2">
        <v>5.00</v>
      </c>
      <c r="G28" s="6" t="s">
        <v>78</v>
      </c>
      <c r="H28" s="6" t="s">
        <v>97</v>
      </c>
      <c r="I28" s="6" t="s">
        <v>80</v>
      </c>
    </row>
    <row r="29" spans="1:9" ht="72" customHeight="1">
      <c r="A29" s="6" t="s">
        <v>98</v>
      </c>
      <c r="B29" s="2">
        <v>4.00</v>
      </c>
      <c r="C29" s="2">
        <v>0.20</v>
      </c>
      <c r="D29" s="2">
        <v>5.00</v>
      </c>
      <c r="E29" s="2">
        <v>20.00</v>
      </c>
      <c r="F29" s="2">
        <v>20.00</v>
      </c>
      <c r="G29" s="6" t="s">
        <v>78</v>
      </c>
      <c r="H29" s="6" t="s">
        <v>97</v>
      </c>
      <c r="I29" s="6" t="s">
        <v>80</v>
      </c>
    </row>
    <row r="30" spans="1:9" ht="72" customHeight="1">
      <c r="A30" s="6" t="s">
        <v>99</v>
      </c>
      <c r="B30" s="2">
        <v>3.00</v>
      </c>
      <c r="C30" s="2">
        <v>0.30</v>
      </c>
      <c r="D30" s="2">
        <v>3.75</v>
      </c>
      <c r="E30" s="2">
        <v>15.00</v>
      </c>
      <c r="F30" s="2">
        <v>15.00</v>
      </c>
      <c r="G30" s="6" t="s">
        <v>78</v>
      </c>
      <c r="H30" s="6" t="s">
        <v>97</v>
      </c>
      <c r="I30" s="6" t="s">
        <v>80</v>
      </c>
    </row>
    <row r="31" spans="1:9" ht="72" customHeight="1">
      <c r="A31" s="6" t="s">
        <v>100</v>
      </c>
      <c r="B31" s="2">
        <v>2.00</v>
      </c>
      <c r="C31" s="2">
        <v>0.20</v>
      </c>
      <c r="D31" s="2">
        <v>2.50</v>
      </c>
      <c r="E31" s="2">
        <v>10.00</v>
      </c>
      <c r="F31" s="2">
        <v>10.00</v>
      </c>
      <c r="G31" s="6" t="s">
        <v>78</v>
      </c>
      <c r="H31" s="6" t="s">
        <v>97</v>
      </c>
      <c r="I31" s="6" t="s">
        <v>80</v>
      </c>
    </row>
    <row r="32" spans="1:9" ht="72" customHeight="1">
      <c r="A32" s="6" t="s">
        <v>101</v>
      </c>
      <c r="B32" s="2">
        <v>0.75</v>
      </c>
      <c r="C32" s="2">
        <v>0.075</v>
      </c>
      <c r="D32" s="2" t="s">
        <v>77</v>
      </c>
      <c r="E32" s="2">
        <v>3.75</v>
      </c>
      <c r="F32" s="2">
        <v>3.75</v>
      </c>
      <c r="G32" s="6" t="s">
        <v>78</v>
      </c>
      <c r="H32" s="6" t="s">
        <v>97</v>
      </c>
      <c r="I32" s="6" t="s">
        <v>80</v>
      </c>
    </row>
    <row r="33" spans="1:9" ht="72" customHeight="1">
      <c r="A33" s="6" t="s">
        <v>102</v>
      </c>
      <c r="B33" s="2">
        <v>1.75</v>
      </c>
      <c r="C33" s="2">
        <v>0.175</v>
      </c>
      <c r="D33" s="2" t="s">
        <v>77</v>
      </c>
      <c r="E33" s="2">
        <v>14.00</v>
      </c>
      <c r="F33" s="2">
        <v>14.00</v>
      </c>
      <c r="G33" s="6" t="s">
        <v>78</v>
      </c>
      <c r="H33" s="6" t="s">
        <v>97</v>
      </c>
      <c r="I33" s="6" t="s">
        <v>80</v>
      </c>
    </row>
    <row r="34" spans="1:9" ht="72" customHeight="1">
      <c r="A34" s="6" t="s">
        <v>103</v>
      </c>
      <c r="B34" s="2">
        <v>2.50</v>
      </c>
      <c r="C34" s="2">
        <v>0.25</v>
      </c>
      <c r="D34" s="2" t="s">
        <v>77</v>
      </c>
      <c r="E34" s="2">
        <v>15.00</v>
      </c>
      <c r="F34" s="2">
        <v>15.00</v>
      </c>
      <c r="G34" s="6" t="s">
        <v>78</v>
      </c>
      <c r="H34" s="6" t="s">
        <v>97</v>
      </c>
      <c r="I34" s="6" t="s">
        <v>80</v>
      </c>
    </row>
    <row r="35" spans="1:9" ht="72" customHeight="1">
      <c r="A35" s="6" t="s">
        <v>104</v>
      </c>
      <c r="B35" s="2">
        <v>10.00</v>
      </c>
      <c r="C35" s="2">
        <v>1.00</v>
      </c>
      <c r="D35" s="2">
        <v>12.50</v>
      </c>
      <c r="E35" s="2">
        <v>50.00</v>
      </c>
      <c r="F35" s="2">
        <v>50.00</v>
      </c>
      <c r="G35" s="6" t="s">
        <v>78</v>
      </c>
      <c r="H35" s="6" t="s">
        <v>97</v>
      </c>
      <c r="I35" s="6" t="s">
        <v>80</v>
      </c>
    </row>
    <row r="36" spans="1:9" ht="72" customHeight="1">
      <c r="A36" s="6" t="s">
        <v>105</v>
      </c>
      <c r="B36" s="2">
        <v>0.10</v>
      </c>
      <c r="C36" s="2">
        <v>0.01</v>
      </c>
      <c r="D36" s="2">
        <v>0.125</v>
      </c>
      <c r="E36" s="2">
        <v>0.50</v>
      </c>
      <c r="F36" s="2">
        <v>0.50</v>
      </c>
      <c r="G36" s="6" t="s">
        <v>78</v>
      </c>
      <c r="H36" s="6" t="s">
        <v>97</v>
      </c>
      <c r="I36" s="6" t="s">
        <v>80</v>
      </c>
    </row>
    <row r="37" spans="1:9" ht="72" customHeight="1">
      <c r="A37" s="6" t="s">
        <v>106</v>
      </c>
      <c r="B37" s="2">
        <v>2.00</v>
      </c>
      <c r="C37" s="2">
        <v>0.20</v>
      </c>
      <c r="D37" s="2">
        <v>2.50</v>
      </c>
      <c r="E37" s="2">
        <v>10.00</v>
      </c>
      <c r="F37" s="2">
        <v>10.00</v>
      </c>
      <c r="G37" s="6" t="s">
        <v>78</v>
      </c>
      <c r="H37" s="6" t="s">
        <v>97</v>
      </c>
      <c r="I37" s="6" t="s">
        <v>80</v>
      </c>
    </row>
    <row r="38" spans="1:9" ht="72" customHeight="1">
      <c r="A38" s="6" t="s">
        <v>107</v>
      </c>
      <c r="B38" s="2">
        <v>2.00</v>
      </c>
      <c r="C38" s="2">
        <v>0.10</v>
      </c>
      <c r="D38" s="2">
        <v>2.50</v>
      </c>
      <c r="E38" s="2">
        <v>10.00</v>
      </c>
      <c r="F38" s="2">
        <v>10.00</v>
      </c>
      <c r="G38" s="6" t="s">
        <v>78</v>
      </c>
      <c r="H38" s="6" t="s">
        <v>97</v>
      </c>
      <c r="I38" s="6" t="s">
        <v>80</v>
      </c>
    </row>
    <row r="39" spans="1:9" ht="72" customHeight="1">
      <c r="A39" s="6" t="s">
        <v>108</v>
      </c>
      <c r="B39" s="2">
        <v>10</v>
      </c>
      <c r="C39" s="2">
        <v>1</v>
      </c>
      <c r="D39" s="2">
        <v>12.50</v>
      </c>
      <c r="E39" s="2">
        <v>50</v>
      </c>
      <c r="F39" s="2">
        <v>50</v>
      </c>
      <c r="G39" s="6" t="s">
        <v>78</v>
      </c>
      <c r="H39" s="6" t="s">
        <v>109</v>
      </c>
      <c r="I39" s="6" t="s">
        <v>80</v>
      </c>
    </row>
    <row r="40" spans="1:9" ht="72" customHeight="1">
      <c r="A40" s="6" t="s">
        <v>110</v>
      </c>
      <c r="B40" s="2">
        <v>0.1</v>
      </c>
      <c r="C40" s="2">
        <v>0.01</v>
      </c>
      <c r="D40" s="2">
        <v>0.125</v>
      </c>
      <c r="E40" s="2">
        <v>0.5</v>
      </c>
      <c r="F40" s="2">
        <v>0.5</v>
      </c>
      <c r="G40" s="6" t="s">
        <v>78</v>
      </c>
      <c r="H40" s="6" t="s">
        <v>111</v>
      </c>
      <c r="I40" s="6" t="s">
        <v>80</v>
      </c>
    </row>
    <row r="41" spans="1:9" ht="72" customHeight="1">
      <c r="A41" s="6" t="s">
        <v>112</v>
      </c>
      <c r="B41" s="2">
        <v>2</v>
      </c>
      <c r="C41" s="2">
        <v>0.2</v>
      </c>
      <c r="D41" s="2">
        <v>2.50</v>
      </c>
      <c r="E41" s="2">
        <v>10</v>
      </c>
      <c r="F41" s="2">
        <v>10</v>
      </c>
      <c r="G41" s="6" t="s">
        <v>78</v>
      </c>
      <c r="H41" s="6" t="s">
        <v>113</v>
      </c>
      <c r="I41" s="6" t="s">
        <v>80</v>
      </c>
    </row>
    <row r="42" spans="1:9" ht="72" customHeight="1">
      <c r="A42" s="6" t="s">
        <v>114</v>
      </c>
      <c r="B42" s="2">
        <v>2</v>
      </c>
      <c r="C42" s="2">
        <v>0.1</v>
      </c>
      <c r="D42" s="2">
        <v>2.50</v>
      </c>
      <c r="E42" s="2">
        <v>10</v>
      </c>
      <c r="F42" s="2">
        <v>10</v>
      </c>
      <c r="G42" s="6" t="s">
        <v>78</v>
      </c>
      <c r="H42" s="6" t="s">
        <v>115</v>
      </c>
      <c r="I42" s="6" t="s">
        <v>80</v>
      </c>
    </row>
    <row r="43" spans="1:9" ht="72" customHeight="1">
      <c r="A43" s="6" t="s">
        <v>116</v>
      </c>
      <c r="B43" s="2">
        <v>5.00</v>
      </c>
      <c r="C43" s="2">
        <v>0.50</v>
      </c>
      <c r="D43" s="2" t="s">
        <v>77</v>
      </c>
      <c r="E43" s="2">
        <v>22.50</v>
      </c>
      <c r="F43" s="2">
        <v>22.50</v>
      </c>
      <c r="G43" s="6" t="s">
        <v>78</v>
      </c>
      <c r="H43" s="6" t="s">
        <v>97</v>
      </c>
      <c r="I43" s="6" t="s">
        <v>117</v>
      </c>
    </row>
    <row r="44" spans="1:9" ht="72" customHeight="1">
      <c r="A44" s="6" t="s">
        <v>118</v>
      </c>
      <c r="B44" s="2">
        <v>20.00</v>
      </c>
      <c r="C44" s="2">
        <v>2.00</v>
      </c>
      <c r="D44" s="2">
        <v>25.00</v>
      </c>
      <c r="E44" s="2">
        <v>75.00</v>
      </c>
      <c r="F44" s="2">
        <v>75.00</v>
      </c>
      <c r="G44" s="6" t="s">
        <v>78</v>
      </c>
      <c r="H44" s="6" t="s">
        <v>97</v>
      </c>
      <c r="I44" s="6" t="s">
        <v>117</v>
      </c>
    </row>
    <row r="45" spans="1:9" ht="72" customHeight="1">
      <c r="A45" s="6" t="s">
        <v>119</v>
      </c>
      <c r="B45" s="2">
        <v>0.20</v>
      </c>
      <c r="C45" s="2">
        <v>0.02</v>
      </c>
      <c r="D45" s="2">
        <v>0.25</v>
      </c>
      <c r="E45" s="2">
        <v>0.75</v>
      </c>
      <c r="F45" s="2">
        <v>0.75</v>
      </c>
      <c r="G45" s="6" t="s">
        <v>78</v>
      </c>
      <c r="H45" s="6" t="s">
        <v>97</v>
      </c>
      <c r="I45" s="6" t="s">
        <v>117</v>
      </c>
    </row>
    <row r="46" spans="1:9" ht="72" customHeight="1">
      <c r="A46" s="6" t="s">
        <v>120</v>
      </c>
      <c r="B46" s="2">
        <v>4.00</v>
      </c>
      <c r="C46" s="2">
        <v>0.40</v>
      </c>
      <c r="D46" s="2">
        <v>5.00</v>
      </c>
      <c r="E46" s="2">
        <v>15.00</v>
      </c>
      <c r="F46" s="2">
        <v>15.00</v>
      </c>
      <c r="G46" s="6" t="s">
        <v>78</v>
      </c>
      <c r="H46" s="6" t="s">
        <v>97</v>
      </c>
      <c r="I46" s="6" t="s">
        <v>117</v>
      </c>
    </row>
    <row r="47" spans="1:9" ht="72" customHeight="1">
      <c r="A47" s="6" t="s">
        <v>121</v>
      </c>
      <c r="B47" s="2">
        <v>4.00</v>
      </c>
      <c r="C47" s="2">
        <v>0.20</v>
      </c>
      <c r="D47" s="2">
        <v>5.00</v>
      </c>
      <c r="E47" s="2">
        <v>15.00</v>
      </c>
      <c r="F47" s="2">
        <v>15.00</v>
      </c>
      <c r="G47" s="6" t="s">
        <v>78</v>
      </c>
      <c r="H47" s="6" t="s">
        <v>97</v>
      </c>
      <c r="I47" s="6" t="s">
        <v>117</v>
      </c>
    </row>
  </sheetData>
  <dataValidations count="1">
    <dataValidation type="whole" operator="greaterThanOrEqual" allowBlank="1" showInputMessage="1" showErrorMessage="1" sqref="B2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Turns</vt:lpstr>
      <vt:lpstr>Execution tree</vt:lpstr>
      <vt:lpstr>Reference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2026-10-07T02:44:25Z</dcterms:created>
  <dcterms:modified xsi:type="dcterms:W3CDTF">2026-10-07T02:44:25Z</dcterms:modified>
</cp:coreProperties>
</file>
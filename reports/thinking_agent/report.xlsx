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<sst xmlns="http://schemas.openxmlformats.org/spreadsheetml/2006/main" count="423" uniqueCount="174">
  <si>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</si>
  <si>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</si>
  <si>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</si>
  <si>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</si>
  <si>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</si>
  <si>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</si>
  <si>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</si>
  <si>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</si>
  <si>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</si>
  <si>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</si>
  <si>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</si>
  <si>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</si>
  <si>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</si>
  <si>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</si>
  <si>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</si>
  <si>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</si>
  <si>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</si>
  <si>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</si>
  <si>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</si>
  <si>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Input at standard rate tokens</t>
  </si>
  <si>
    <t>Input at standard rate EUR</t>
  </si>
  <si>
    <t>Input at standard rate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</si>
  <si>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</si>
  <si>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</si>
  <si>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</si>
  <si>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</si>
  <si>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</si>
  <si>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</si>
  <si>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</si>
  <si>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</si>
  <si>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</si>
  <si>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</si>
  <si>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</si>
  <si>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</si>
  <si>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</si>
  <si>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</si>
  <si>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</si>
  <si>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</si>
  <si>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</si>
  <si>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</si>
  <si>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</si>
  <si>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</si>
  <si>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</si>
  <si>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</si>
  <si>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</si>
  <si>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</si>
  <si>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</si>
  <si>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</si>
  <si>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</si>
  <si>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01a0d143-04ca-7260-9315-3e47f7d31f06</t>
  </si>
  <si>
    <t>Recording</t>
  </si>
  <si>
    <t>Provider trace</t>
  </si>
  <si>
    <t>FX reference date</t>
  </si>
  <si>
    <t>2026-09-23</t>
  </si>
  <si>
    <t>FX fetched at</t>
  </si>
  <si>
    <t>2026-09-24T02:09:35.117183Z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</si>
  <si>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</si>
  <si>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</si>
  <si>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</si>
  <si>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</si>
  <si>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</si>
  <si>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</si>
  <si>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</si>
  <si>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</si>
  <si>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</si>
  <si>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</si>
  <si>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</si>
  <si>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</si>
  <si>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</si>
  <si>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</si>
  <si>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</si>
  <si>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</si>
  <si>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</si>
  <si>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</si>
  <si>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</si>
  <si>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</si>
  <si>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</si>
  <si>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</si>
  <si>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</si>
  <si>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</si>
  <si>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</si>
  <si>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</si>
  <si>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</si>
  <si>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</si>
  <si>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</si>
  <si>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</si>
  <si>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</si>
  <si>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</si>
  <si>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</si>
  <si>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</si>
  <si>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</si>
  <si>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</si>
  <si>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</si>
  <si>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</si>
  <si>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</si>
  <si>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</si>
  <si>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01a0d143-04d6-7b93-8151-5656978a48b1</t>
  </si>
  <si>
    <t>Conversation history · cache read</t>
  </si>
  <si>
    <t>Input at standard rate</t>
  </si>
  <si>
    <t xml:space="preserve">    Tool definitions</t>
  </si>
  <si>
    <t xml:space="preserve">    System prompt</t>
  </si>
  <si>
    <t>Use the fictional service evidence to propose and validate a latency improvement. Inspect traffic, database behavior, and constraints before testing the plan.</t>
  </si>
  <si>
    <t xml:space="preserve">    User prompt</t>
  </si>
  <si>
    <t>Investigate service latency and validate a plan meeting the constraints.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</si>
  <si>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</si>
  <si>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</si>
  <si>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</si>
  <si>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</si>
  <si>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</si>
  <si>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</si>
  <si>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"rs_0f5f50232162cf94006ab48c0af67887d2bb051366b44ed5a8", "summary": [], "type": "reasoning", "content": [], "index": 0, "encrypted_content": "gAAAAABqtIwLMH_SkaR3ymZharpbhRD_aKLl_Y_HDMbwHDeesHxEsQAs4pCxvcJvh-W0mctNdu4PPlcBBuMCBacU3O8laWretOD-U3USibq9M7fVZ-G-rCaQs_FtvVmznvXo4ay8nECDY8zJUqwYs-IXiZIiL75L2wUjsu3mamrOC-MnBGlqAJufRVA4upw4jR1WSWQ7WTtfTd9gfCRXbiv31Byv6AgLK3NvbproKl7ofdJdI2jLMs4syWbGdMpIqm8g2KYfQPjxZp_TucYOa6zUBfKbDxAaslRX-g-9KdR7CvNIACfsC4m49Bc4aFfCYVVrABav5ED9BaVw-pHC4qBcWu-9lyqglnISMyakzMItr4HrXYinnClcyxK9CztWRN1IEjfdv8VrdVCT9fX8xKF8Rnf2DSkeehFZ1ccNix868PJX7x6yxICCBhXMm2uwzkQYZlSV3lOhL17v0Htl4Uebl6QhNRylsrBqql8-MwYITYEirFrHuNdz2EMu5c-JuoxZNyvcnMkVbqYyhGbMKwZK1PpxdXgBbgRiAG8ZLXoGarc5nIswOtgHE743jZBE6k1hC9N8Obne-SjCRPivocWWPzZ1bKokCOf06M6a0IW_xab-cx4z8TCYoEgNxfVzGxIaS6KqjPdnppLyTiFBVX0jFalsYTg3MJyJlzcFARYoL2kb-LSpYowP-7caC6-sAvfpmv2xB6EnLnxlzhkquUpVAylmTuQrg1xePfhNq2TA2m0mghAOAM6navdux3OBSKlhKibjvdXbwrNh6Cb3K3mM_Qz1bLjv2NMgPzj4C412jgARy-M2sn7HGHiByXRdQOiQcbXDOxXXsxEZ_zidOmFjSHA3t-PuH0w6e9DYZ-l3KqC0sClWf8dR7xG3sJe4rtK6O6jV6YsBpFivBSOZZiaAkuE9W5eDEjGGJbsLn0c-t46kZJr5kHxjD9oign7I83Lw5u6AxQrCkkLnmXJnj9iPin8XAla3aqQHfIcqK438VdbIt0D3jTek2vFLQo6vayW4UpsnrGpSRlEUw4LJXjKfcRgHUURGSc0Sm9xCGXW5i9BEFvt4VhQ9LMqiGxmNvdB3bgXVlpD3YN8yDpsItpZ_vszdwJ3sKb3s4kMuNI7_yLaLy4YjuqrMMvh0WSGIMnimdC3dVucJxqT37UECmz3NJYfhQSxjliubP4IeigJzl9etsDCm7kGQF-zHFoCPeyLNR7kMj-zhKbjW9FO8kGpTqZtWoYHWkqfHX9Uc_Kw9np-VDcmy9iPNiSb1lR5ufrH7BNWa9c5j793Kzgm8b71KBZx96gNLosXqFJo1sxD209UNCLWJ0fqUPhgwGSmMh71wPLDQRG23bPmTtiqIRCkbo8rXTFx1Bc_WEzhiKVANl904o0VaRaR6ZMT5BIfLhUdJN6LIvOAz"}, {"type": "function_call", "name": "inspect_service", "arguments": "{\"section\":\"traffic\"}", "call_id": "call_LdCImJLOwPLmHCQOIpDRORCU", "id": "fc_0f5f50232162cf94006ab48c0b963487d28c6e9e2f0b7af92f", "index": 1}, {"type": "function_call", "name": "inspect_service", "arguments": "{\"section\":\"database\"}", "call_id": "call_I568VFsb8CIxRYCciO9yryjA", "id": "fc_0f5f50232162cf94006ab48c0b964887d2babc260d724e3fb8", "index": 2}, {"type": "function_call", "name": "inspect_service", "arguments": "{\"section\":\"constraints\"}", "call_id": "call_rQraeSaQjBZIVWFRFCAnsXUO", "id": "fc_0f5f50232162cf94006ab48c0b965087d28173ad72667c35a3", "index": 3}]
{"name": "inspect_service", "args": {"section": "traffic"}, "id": "call_LdCImJLOwPLmHCQOIpDRORCU", "type": "tool_call"}
{"name": "inspect_service", "args": {"section": "database"}, "id": "call_I568VFsb8CIxRYCciO9yryjA", "type": "tool_call"}
{"name": "inspect_service", "args": {"section": "constraints"}, "id": "call_rQraeSaQjBZIVWFRFCAnsXUO", "type": "tool_call"}</t>
  </si>
  <si>
    <t>Call total</t>
  </si>
  <si>
    <t>ok</t>
  </si>
  <si>
    <t>Tool · inspect_service</t>
  </si>
  <si>
    <t>01a0d143-0e22-76c3-a765-a051b0cd1a26</t>
  </si>
  <si>
    <t xml:space="preserve">    Arguments</t>
  </si>
  <si>
    <t>{'section': 'traffic'}</t>
  </si>
  <si>
    <t xml:space="preserve">    Result</t>
  </si>
  <si>
    <t>Peak 240 requests/s; p95 1.8s; 12 workers. Latency rises during database bursts.</t>
  </si>
  <si>
    <t>01a0d143-0e23-7700-857b-e646dc6b85ec</t>
  </si>
  <si>
    <t>{'section': 'database'}</t>
  </si>
  <si>
    <t>Pool limit 12. Median query 80ms; p95 900ms. Duplicate account lookups appear per request.</t>
  </si>
  <si>
    <t>01a0d143-0e24-7b31-9020-64c9c804d81e</t>
  </si>
  <si>
    <t>{'section': 'constraints'}</t>
  </si>
  <si>
    <t>Target p95 under 500ms. No additional database nodes. Cache lifetime must not exceed 60s.</t>
  </si>
  <si>
    <t>R2</t>
  </si>
  <si>
    <t>01a0d143-0e2c-70e1-8f36-ddc7c938fe14</t>
  </si>
  <si>
    <t xml:space="preserve">    Tool result</t>
  </si>
  <si>
    <t>Peak 240 requests/s; p95 1.8s; 12 workers. Latency rises during database bursts.
Pool limit 12. Median query 80ms; p95 900ms. Duplicate account lookups appear per request.
Target p95 under 500ms. No additional database nodes. Cache lifetime must not exceed 60s.</t>
  </si>
  <si>
    <t>[{"id": "rs_0f5f50232162cf94006ab48c0c714887d298f20be716932472", "summary": [], "type": "reasoning", "content": [], "index": 0, "encrypted_content": "gAAAAABqtIwNy-BIVdkDz2CK4_ZxHBfVcoo6HlclZ4CtmdZlgy3vJSLm4yzT0eOwn2dYT8FFNWR4Qeh8W04_2FV4ibnreMFzYyGHaLO94w_HWCGJodoUyPk2CyrbPd40KPxAhVo3mIHlTd-Oe8I_mqE9c1H4V3CracWis1VT8ftuRbw4zoG_j3Evkql7y8nPa24umb8_iAan4WdaL7MBngoyfO-AxpeKbCJfFMz9jNQBiY1tuBFlbYiqfrj0r71vTCHN1v2om4AR6ZpBmprBlhgQ3QM2JO5KRqFGVMKtcD2X73TdFM6yFvw0uXkTQesu3PF06RVMhaUQVQOS37jVAhzTzBC8Gn2-O-PIdnaU6TXKmZq0hpv03M3cZ9L2dz-qIPIKqbWC15ZKzontfcxSba8M3piiBbks2IIVcxqTL6CSAII7Y9X8k8nNUxZwGEaxYIbu4WQGxqS-9lPol18BJuI_VTXj91_Qr0ySaWegd21BoPIig6ZWLtErExbz0QQ2cfY5bSeLK-98OV_UMwfHfWsOk1_48tDy3WIlUMWrLX9PKTFSHgM_WqBStcHy1Ivjy-P83btjHY_6u_tVfcvC7PAXofvhBA-W47A7thm44QWEqzKWAkFsTUUtiCKEpX2sCpGZfQ9HlaldsOAhYsECybPewpZFUd_dCAhnbcmI3-GMGQjSDqxQRTTV_cBKwUwIl8seovcpczs7xUIyV8klXyH8obUuvMSUDCM1RyNWlcSvLKqPbpmVmSJCsd5tsYEa8rDaS-wL5Q3ReJWi6R0ADPSetzSNnQr1HKSv52Qse8g448FZJYSjOa7Uua7qki6pe2hGryST5s3dhuDAGR2lYfgP32eZjW788zoN03aaA7MKFGnfVzdR8zsxSTYcSLrPjuV853BeMpX4Jv6e6YDB3qr0xN1d8k03LdwiqFwBIuvIspA8-vBQ9yF5r7S1N0VZ7L0BKTPCK2oHMSIqBMtteh4sHPNMDop8my0j-u8dP8Trnexp2O_N6qsmzlUSYhCT2DXDM1C-AiOQZHIqqxxDZcbIPMAn_WptTUfmKtzR-Mg21EuENnxFBLdHkVrXYUMtU7hBddKO0j5JbhsrC7cc6oV6dzWyHD9Uaa1pbExvlWql5o69F9pScETPVjOBuSPRKMTpCbkIsx9F595L96gj54UD8-Sq57qALX9mCg8T0U2NpRowV6oHpxV7DVD0U_IRcuplSTLHQQmW6gkiqwraU1d64QN60cN4pUS2BGde4871t6QGW6gucJkgNNK9tUgVyPoDO33LO1U8jemEiGa9Ap5MIlEand-gfbFEQhCkQGlGqmHeH4eVb0j5j_8pnmzDrCO14ijw1By0"}, {"type": "function_call", "name": "test_plan", "arguments": "{\"check\":\"load\"}", "call_id": "call_GuYDPVzsFwjAQytgTrE5coMh", "id": "fc_0f5f50232162cf94006ab48c0dba4087d2bc77c552fcd18f73", "index": 1}, {"type": "function_call", "name": "test_plan", "arguments": "{\"check\":\"freshness\"}", "call_id": "call_FDoVOsudmPB3oVVnxucmKH3O", "id": "fc_0f5f50232162cf94006ab48c0dba5c87d2be58a77f867478f4", "index": 2}, {"type": "function_call", "name": "test_plan", "arguments": "{\"check\":\"rollback\"}", "call_id": "call_O6uE6kt3giwNqsTGObqvanK3", "id": "fc_0f5f50232162cf94006ab48c0dba6c87d2bdabc9584034452a", "index": 3}]
{"name": "test_plan", "args": {"check": "load"}, "id": "call_GuYDPVzsFwjAQytgTrE5coMh", "type": "tool_call"}
{"name": "test_plan", "args": {"check": "freshness"}, "id": "call_FDoVOsudmPB3oVVnxucmKH3O", "type": "tool_call"}
{"name": "test_plan", "args": {"check": "rollback"}, "id": "call_O6uE6kt3giwNqsTGObqvanK3", "type": "tool_call"}</t>
  </si>
  <si>
    <t>Tool · test_plan</t>
  </si>
  <si>
    <t>01a0d143-16fb-70b0-8904-5d3f80cad912</t>
  </si>
  <si>
    <t>{'check': 'load'}</t>
  </si>
  <si>
    <t>PASS: deduplicated lookups plus 30s cache yield p95 410ms at 240 requests/s; pool occupancy 65%.</t>
  </si>
  <si>
    <t>01a0d143-16fb-70b0-8904-5d4acefdfeaf</t>
  </si>
  <si>
    <t>{'check': 'freshness'}</t>
  </si>
  <si>
    <t>PASS: account changes invalidate cached values; maximum fallback age is 30s.</t>
  </si>
  <si>
    <t>01a0d143-16fc-78e1-946c-8c3a79b0aa9f</t>
  </si>
  <si>
    <t>{'check': 'rollback'}</t>
  </si>
  <si>
    <t>PASS: feature flag restores original lookup path; no schema migration required.</t>
  </si>
  <si>
    <t>R3</t>
  </si>
  <si>
    <t>01a0d143-170b-7dc3-b425-7a26dcb11ef8</t>
  </si>
  <si>
    <t>PASS: deduplicated lookups plus 30s cache yield p95 410ms at 240 requests/s; pool occupancy 65%.
PASS: account changes invalidate cached values; maximum fallback age is 30s.
PASS: feature flag restores original lookup path; no schema migration required.</t>
  </si>
  <si>
    <t>[{"id": "rs_0f5f50232162cf94006ab48c0efaac87d28f0f4da572b3b767", "summary": [], "type": "reasoning", "content": [], "index": 0, "encrypted_content": "gAAAAABqtIwPalmAL5JJatDhVidJRa_O0ewgYd-Q5EckSLx8GTVw37G3uUyp9XuN6nUay4POxBamY0tb_tWW4VDpVY_7i4zqsP_ORy0VveQsjXOmuUWzRefnMKF1QyAliyzRn6tQPYNWIf30ZqPaGjzLE1ce6EGU7Qa_PWQ_F_pfdApgI5TZGdEFsyhBytynQRFzRjxW8WvU9Wc-xwmoBV08Wz7tediaON20DHIJIPiF2Iad9D_AHhcw1eFTLB9uwTYLja5HX0tv8T5V8cz2z3qUDb2c0aWnExPcsT0KuN8eBldz2eWVrHDSGS4_a3SLcSNvQLKCPBTvadg6UeV1bpmm7VxwDZZhca9Kif7OSTNZJDh-F2gyB3RS49HQ4_stHjcLjko8qHwlyGRIvww0kDEByehiN2faVyLHYyelcxAdiSRqRdKgxjpFxuJLjGMQ9piE2J0b10faiwT-ok-KFvBVYgtTVCKdEDStmQrE56StvWbCs4to4P4GHhbJClZW-f2QTneyf-HorjK09bjwtl9jOaXoAIPwuqfT9pXUVwQecSNJMshJ154kRtC8ctX8K3k1Fxo4ogYhMs5BRk2WV7ow7sr1rlXxBSaQXNBb4YL4ARwsOFWGBP0GvdtJckS3Vb6vkslGpQ35eC4L41vZN9k_6BAFqp94xDHoQeegSiuJ-VtAwBgmTmza29NyaA9q6gtAkepzOBj2M4S8ReGLCNhgxxjKKRrD1Naqg35-G6s3UxzHNE6nJWJqC-WN-rX09HtoYdM6-_ZJYDCxdnOBILS-0PZf-rv7ueZAbSNgf1tnEmre5ckcppzs4KdtMQrw5PFH4dCZbOqfkQ931eRs_yBs0Q3tkYiGpa_GjRjFVv4o3sui98SaYqTF67K-VRVHw0_PO0gJLkWTBVmTB1koBYlAfpCxi1hzis3Ojs0zjXjr9N9sIe8SsNnR2PVn9y5feMOk8emyB4TTES-fBZkW9aiFtiVur1IIXX4gPd2BK9H-vUpsIa20MRyITIK_5G9fSGh1fyhklmPWwZfMsR65QRhUMBRm8kpGnXHwMf6ts4N3hZbUaEikyK9B_CteLAI78eknbUmDkhrqJZkqICj_iA2654nDEFVVoOgja0F0FfeE50yt9_XZjqGY2D0DFAxMW4vO2iVqOL9uzXynflqOAEmOrecvXcVKdo1YCqpEU_sdqHFQLyH-FabveBIfTrToBhhYWNWLQva_dZ961IVIG7gxEwC3XFrHY_bq3kiJKnl6t2smR9_9MscxvSUDvAOvpilKR7I_Y1RQS_TNvJfCTUUKoOoj2chLG6WnLQQ-Q1JDFRnKtZd5U0NBgjVOB80V0glEtL_66Jj45693jhWvFK7T25Dtl6QcQpRVRcTQfFsz-sPDOUfTPIktgRstJCPZofqdUF3W09bcUuUmQ210GzUJrGfw9qbYW72i6gAcT6J1fU4IDGK4PqfwV1sixOXFc1_56DhkJXac"}, {"type": "text", "text": "## Findings\n\n- **Traffic:** Peak **240 requests/s**, with **p95 latency of 1.8 s**. Latency increases during database bursts.\n- **Database:** Query median is **80 ms**, but p95 reaches **900 ms**. Each request performs duplicate account lookups.\n- **Capacity:** The connection pool is limited to **12**, so duplicate queries amplify contention.\n\n## Proposed latency improvement\n\n1. **Deduplicate account lookups within each request** so the same account is fetched once.\n2. Add a **per-account cache with a 30-second TTL**.\n3. **Invalidate cached entries when account data changes** rather than waiting for expiry.\n4. Roll out behind a **feature flag**, preserving the existing lookup path for rollback.\n\nThis requires no additional database nodes or schema migration.\n\n## Validation\n\nThe plan check passed:\n\n- At **240 requests/s**, deduplication plus the 30-second cache achieved **410 ms p95 latency**.\n- Pool occupancy fell to **65%**.\n- Cache freshness is bounded: updates invalidate entries, and fallback data is never older than **30 seconds**.\n- The feature flag restores the original lookup path if problems occur.\n\nThe plan meets the target of **p95 under 500 ms**, stays within the **60-second cache lifetime constraint**, and has a reversible rollout.", "phase": "final_answer", "index": 1, "id": "msg_0f5f50232162cf94006ab48c0ff95487d29fc9b5b84bf25aae"}]</t>
  </si>
  <si>
    <t>investigation_agent</t>
  </si>
  <si>
    <t>workflow</t>
  </si>
  <si>
    <t>Execute the investigation_agent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</si>
  <si>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</si>
  <si>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</si>
  <si>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</si>
  <si>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01a0d143-04cf-7273-8789-195635b8e332</t>
  </si>
  <si>
    <t>No model charge</t>
  </si>
  <si>
    <t xml:space="preserve">    model</t>
  </si>
  <si>
    <t>Prepare the current conversation, run model middleware, and invoke the chat model.</t>
  </si>
  <si>
    <t>01a0d143-04d0-7793-92a8-9b3f8d03e42d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</si>
  <si>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</si>
  <si>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</si>
  <si>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</si>
  <si>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</si>
  <si>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</si>
  <si>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</si>
  <si>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01a0d143-0e20-71a2-ae50-be97fc78337e</t>
  </si>
  <si>
    <t xml:space="preserve">        inspect_service</t>
  </si>
  <si>
    <t>tool</t>
  </si>
  <si>
    <t>Read fictional service evidence; no live service is inspected.</t>
  </si>
  <si>
    <t>01a0d143-0e20-71a2-ae50-bea24b080c00</t>
  </si>
  <si>
    <t>01a0d143-0e20-71a2-ae50-bebd9abe0314</t>
  </si>
  <si>
    <t>01a0d143-0e29-7f91-b83b-4cd56b84abd6</t>
  </si>
  <si>
    <t>01a0d143-16f7-72a3-8630-755408a9036e</t>
  </si>
  <si>
    <t xml:space="preserve">        test_plan</t>
  </si>
  <si>
    <t>Return a fixed fictional plan-check result; no real test is executed.</t>
  </si>
  <si>
    <t>01a0d143-16f7-72a3-8630-7569611e9968</t>
  </si>
  <si>
    <t>01a0d143-16f7-72a3-8630-757d9b91667f</t>
  </si>
  <si>
    <t>01a0d143-1706-7b00-a671-00ef4e5c4926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</si>
</sst>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62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IF(COUNT('Turns'!E18,'Turns'!E40,'Turns'!E62)=3,SUM('Turns'!E18,'Turns'!E40,'Turns'!E62),"Unknown")</f>
        <v>0.0007385614895</v>
      </c>
      <c r="F2" s="2">
        <f>IF(COUNT('Turns'!F18,'Turns'!F40,'Turns'!F62)=3,SUM('Turns'!F18,'Turns'!F40,'Turns'!F62),"Unknown")</f>
        <v>0.00084277</v>
      </c>
      <c r="G2" s="5">
        <f>IF(ISNUMBER(E2),ROUND(E2*'Reference data'!$B$2,0),"Unknown")</f>
        <v>74.0</v>
      </c>
      <c r="H2" s="5">
        <f>IF(ISNUMBER(F2),ROUND(F2*'Reference data'!$B$2,0),"Unknown")</f>
        <v>84.0</v>
      </c>
    </row>
    <row r="3" spans="1:13" s="4" customFormat="1" ht="24" customHeight="1">
      <c r="B3" s="4">
        <v>1</v>
      </c>
      <c r="C3" s="4" t="s">
        <v>92</v>
      </c>
      <c r="E3" s="2">
        <f>IF(COUNT('Turns'!E18,'Turns'!E40,'Turns'!E62)=3,SUM('Turns'!E18,'Turns'!E40,'Turns'!E62),"Unknown")</f>
        <v>0.0007385614895</v>
      </c>
      <c r="F3" s="2">
        <f>IF(COUNT('Turns'!F18,'Turns'!F40,'Turns'!F62)=3,SUM('Turns'!F18,'Turns'!F40,'Turns'!F62),"Unknown")</f>
        <v>0.00084277</v>
      </c>
      <c r="G3" s="5">
        <f>IF(ISNUMBER(E3),ROUND(E3*'Reference data'!$B$2,0),"Unknown")</f>
        <v>74.0</v>
      </c>
      <c r="H3" s="5">
        <f>IF(ISNUMBER(F3),ROUND(F3*'Reference data'!$B$2,0),"Unknown")</f>
        <v>84.0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2102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2099</v>
      </c>
      <c r="E5" s="2">
        <f>IF(AND(ISNUMBER(F5),ISNUMBER('Reference data'!$B$3)),F5*'Reference data'!$B$3,"Unknown")</f>
        <v>3.6789173e-05</v>
      </c>
      <c r="F5" s="2">
        <f>IF(D5=0,0,IF(ISNUMBER('Reference data'!C17),D5*'Reference data'!C17/1000000,"Unknown"))</f>
        <v>4.198e-05</v>
      </c>
      <c r="G5" s="5">
        <f>IF(ISNUMBER(E5),ROUND(E5*'Reference data'!$B$2,0),"Unknown")</f>
        <v>4.0</v>
      </c>
      <c r="H5" s="5">
        <f>IF(ISNUMBER(F5),ROUND(F5*'Reference data'!$B$2,0),"Unknown")</f>
        <v>4.0</v>
      </c>
    </row>
    <row r="6" spans="1:13" ht="24" customHeight="1">
      <c r="A6" t="s">
        <v>93</v>
      </c>
      <c r="B6">
        <v>1</v>
      </c>
      <c r="C6" t="s">
        <v>98</v>
      </c>
      <c r="D6" s="5">
        <v>3</v>
      </c>
      <c r="E6" s="2">
        <f>IF(AND(ISNUMBER(F6),ISNUMBER('Reference data'!$B$3)),F6*'Reference data'!$B$3,"Unknown")</f>
        <v>5.2581e-07</v>
      </c>
      <c r="F6" s="2">
        <f>IF(D6=0,0,IF(ISNUMBER('Reference data'!B17),D6*'Reference data'!B17/1000000,"Unknown"))</f>
        <v>6e-07</v>
      </c>
      <c r="G6" s="5">
        <f>IF(ISNUMBER(E6),ROUND(E6*'Reference data'!$B$2,0),"Unknown")</f>
        <v>0.0</v>
      </c>
      <c r="H6" s="5">
        <f>IF(ISNUMBER(F6),ROUND(F6*'Reference data'!$B$2,0),"Unknown")</f>
        <v>0.0</v>
      </c>
    </row>
    <row r="7" spans="1:13" ht="24" customHeight="1">
      <c r="A7" t="s">
        <v>93</v>
      </c>
      <c r="B7">
        <v>1</v>
      </c>
      <c r="C7" t="s">
        <v>99</v>
      </c>
    </row>
    <row r="8" spans="1:13" ht="34" customHeight="1">
      <c r="A8" t="s">
        <v>93</v>
      </c>
      <c r="B8">
        <v>1</v>
      </c>
      <c r="C8" t="s">
        <v>100</v>
      </c>
      <c r="I8" s="6" t="s">
        <v>101</v>
      </c>
    </row>
    <row r="9" spans="1:13" ht="24" customHeight="1">
      <c r="A9" t="s">
        <v>93</v>
      </c>
      <c r="B9">
        <v>1</v>
      </c>
      <c r="C9" t="s">
        <v>102</v>
      </c>
      <c r="I9" s="6" t="s">
        <v>103</v>
      </c>
    </row>
    <row r="10" spans="1:13" ht="24" customHeight="1">
      <c r="A10" t="s">
        <v>93</v>
      </c>
      <c r="B10">
        <v>1</v>
      </c>
      <c r="C10" t="s">
        <v>104</v>
      </c>
    </row>
    <row r="11" spans="1:13" ht="24" customHeight="1">
      <c r="A11" t="s">
        <v>93</v>
      </c>
      <c r="B11">
        <v>1</v>
      </c>
      <c r="C11" t="s">
        <v>105</v>
      </c>
    </row>
    <row r="12" spans="1:13" s="4" customFormat="1" ht="24" customHeight="1">
      <c r="A12" s="4" t="s">
        <v>93</v>
      </c>
      <c r="B12" s="4">
        <v>1</v>
      </c>
      <c r="C12" s="4" t="s">
        <v>106</v>
      </c>
      <c r="D12" s="4">
        <v>98</v>
      </c>
    </row>
    <row r="13" spans="1:13" ht="24" customHeight="1">
      <c r="A13" t="s">
        <v>93</v>
      </c>
      <c r="B13">
        <v>1</v>
      </c>
      <c r="C13" t="s">
        <v>107</v>
      </c>
      <c r="D13" s="5">
        <v>34</v>
      </c>
      <c r="E13" s="2">
        <f>IF(AND(ISNUMBER(F13),ISNUMBER('Reference data'!$B$3)),F13*'Reference data'!$B$3,"Unknown")</f>
        <v>3.575508e-05</v>
      </c>
      <c r="F13" s="2">
        <f>IF(D13=0,0,IF(ISNUMBER('Reference data'!F17),D13*'Reference data'!F17/1000000,"Unknown"))</f>
        <v>4.08e-05</v>
      </c>
      <c r="G13" s="5">
        <f>IF(ISNUMBER(E13),ROUND(E13*'Reference data'!$B$2,0),"Unknown")</f>
        <v>4.0</v>
      </c>
      <c r="H13" s="5">
        <f>IF(ISNUMBER(F13),ROUND(F13*'Reference data'!$B$2,0),"Unknown")</f>
        <v>4.0</v>
      </c>
    </row>
    <row r="14" spans="1:13" ht="24" customHeight="1">
      <c r="A14" t="s">
        <v>93</v>
      </c>
      <c r="B14">
        <v>1</v>
      </c>
      <c r="C14" t="s">
        <v>108</v>
      </c>
      <c r="D14" s="5">
        <v>64</v>
      </c>
      <c r="E14" s="2">
        <f>IF(AND(ISNUMBER(F14),ISNUMBER('Reference data'!$B$3)),F14*'Reference data'!$B$3,"Unknown")</f>
        <v>6.730368e-05</v>
      </c>
      <c r="F14" s="2">
        <f>IF(D14=0,0,IF(ISNUMBER('Reference data'!E17),D14*'Reference data'!E17/1000000,"Unknown"))</f>
        <v>7.68e-05</v>
      </c>
      <c r="G14" s="5">
        <f>IF(ISNUMBER(E14),ROUND(E14*'Reference data'!$B$2,0),"Unknown")</f>
        <v>7.0</v>
      </c>
      <c r="H14" s="5">
        <f>IF(ISNUMBER(F14),ROUND(F14*'Reference data'!$B$2,0),"Unknown")</f>
        <v>8.0</v>
      </c>
    </row>
    <row r="15" spans="1:13" ht="409" customHeight="1">
      <c r="A15" t="s">
        <v>93</v>
      </c>
      <c r="B15">
        <v>1</v>
      </c>
      <c r="C15" t="s">
        <v>109</v>
      </c>
      <c r="I15" s="6" t="s">
        <v>110</v>
      </c>
    </row>
    <row r="16" spans="1:13" ht="24" customHeight="1">
      <c r="A16" t="s">
        <v>93</v>
      </c>
      <c r="B16">
        <v>1</v>
      </c>
      <c r="C16" t="s">
        <v>104</v>
      </c>
    </row>
    <row r="17" spans="1:13" ht="24" customHeight="1">
      <c r="A17" t="s">
        <v>93</v>
      </c>
      <c r="B17">
        <v>1</v>
      </c>
      <c r="C17" t="s">
        <v>105</v>
      </c>
    </row>
    <row r="18" spans="1:13" s="4" customFormat="1" ht="24" customHeight="1">
      <c r="A18" s="4" t="s">
        <v>93</v>
      </c>
      <c r="B18" s="4">
        <v>1</v>
      </c>
      <c r="C18" s="4" t="s">
        <v>111</v>
      </c>
      <c r="E18" s="2">
        <f>IF(COUNT('Turns'!E5,'Turns'!E6,'Turns'!E13,'Turns'!E14)=4,SUM('Turns'!E5,'Turns'!E6,'Turns'!E13,'Turns'!E14),"Unknown")</f>
        <v>0.000140373743</v>
      </c>
      <c r="F18" s="2">
        <f>IF(COUNT('Turns'!F5,'Turns'!F6,'Turns'!F13,'Turns'!F14)=4,SUM('Turns'!F5,'Turns'!F6,'Turns'!F13,'Turns'!F14),"Unknown")</f>
        <v>0.00016018</v>
      </c>
      <c r="G18" s="5">
        <f>IF(ISNUMBER(E18),ROUND(E18*'Reference data'!$B$2,0),"Unknown")</f>
        <v>14.0</v>
      </c>
      <c r="H18" s="5">
        <f>IF(ISNUMBER(F18),ROUND(F18*'Reference data'!$B$2,0),"Unknown")</f>
        <v>16.0</v>
      </c>
      <c r="K18" s="4" t="s">
        <v>112</v>
      </c>
    </row>
    <row r="19" spans="1:13" s="4" customFormat="1" ht="24" customHeight="1">
      <c r="B19" s="4">
        <v>1</v>
      </c>
      <c r="C19" s="4" t="s">
        <v>113</v>
      </c>
      <c r="K19" s="4" t="s">
        <v>112</v>
      </c>
      <c r="M19" s="4" t="s">
        <v>114</v>
      </c>
    </row>
    <row r="20" spans="1:13" ht="24" customHeight="1">
      <c r="B20">
        <v>1</v>
      </c>
      <c r="C20" t="s">
        <v>115</v>
      </c>
      <c r="I20" s="6" t="s">
        <v>116</v>
      </c>
    </row>
    <row r="21" spans="1:13" ht="24" customHeight="1">
      <c r="B21">
        <v>1</v>
      </c>
      <c r="C21" t="s">
        <v>117</v>
      </c>
      <c r="I21" s="6" t="s">
        <v>118</v>
      </c>
    </row>
    <row r="22" spans="1:13" s="4" customFormat="1" ht="24" customHeight="1">
      <c r="B22" s="4">
        <v>1</v>
      </c>
      <c r="C22" s="4" t="s">
        <v>113</v>
      </c>
      <c r="K22" s="4" t="s">
        <v>112</v>
      </c>
      <c r="M22" s="4" t="s">
        <v>119</v>
      </c>
    </row>
    <row r="23" spans="1:13" ht="24" customHeight="1">
      <c r="B23">
        <v>1</v>
      </c>
      <c r="C23" t="s">
        <v>115</v>
      </c>
      <c r="I23" s="6" t="s">
        <v>120</v>
      </c>
    </row>
    <row r="24" spans="1:13" ht="34" customHeight="1">
      <c r="B24">
        <v>1</v>
      </c>
      <c r="C24" t="s">
        <v>117</v>
      </c>
      <c r="I24" s="6" t="s">
        <v>121</v>
      </c>
    </row>
    <row r="25" spans="1:13" s="4" customFormat="1" ht="24" customHeight="1">
      <c r="B25" s="4">
        <v>1</v>
      </c>
      <c r="C25" s="4" t="s">
        <v>113</v>
      </c>
      <c r="K25" s="4" t="s">
        <v>112</v>
      </c>
      <c r="M25" s="4" t="s">
        <v>122</v>
      </c>
    </row>
    <row r="26" spans="1:13" ht="24" customHeight="1">
      <c r="B26">
        <v>1</v>
      </c>
      <c r="C26" t="s">
        <v>115</v>
      </c>
      <c r="I26" s="6" t="s">
        <v>123</v>
      </c>
    </row>
    <row r="27" spans="1:13" ht="34" customHeight="1">
      <c r="B27">
        <v>1</v>
      </c>
      <c r="C27" t="s">
        <v>117</v>
      </c>
      <c r="I27" s="6" t="s">
        <v>124</v>
      </c>
    </row>
    <row r="28" spans="1:13" s="4" customFormat="1" ht="24" customHeight="1">
      <c r="A28" s="4" t="s">
        <v>125</v>
      </c>
      <c r="B28" s="4">
        <v>1</v>
      </c>
      <c r="C28" s="4" t="s">
        <v>94</v>
      </c>
      <c r="D28" s="4">
        <v>2301</v>
      </c>
      <c r="J28" s="4" t="s">
        <v>95</v>
      </c>
      <c r="M28" s="4" t="s">
        <v>126</v>
      </c>
    </row>
    <row r="29" spans="1:13" ht="24" customHeight="1">
      <c r="A29" t="s">
        <v>125</v>
      </c>
      <c r="B29">
        <v>1</v>
      </c>
      <c r="C29" t="s">
        <v>97</v>
      </c>
      <c r="D29" s="5">
        <v>2099</v>
      </c>
      <c r="E29" s="2">
        <f>IF(AND(ISNUMBER(F29),ISNUMBER('Reference data'!$B$3)),F29*'Reference data'!$B$3,"Unknown")</f>
        <v>3.6789173e-05</v>
      </c>
      <c r="F29" s="2">
        <f>IF(D29=0,0,IF(ISNUMBER('Reference data'!C17),D29*'Reference data'!C17/1000000,"Unknown"))</f>
        <v>4.198e-05</v>
      </c>
      <c r="G29" s="5">
        <f>IF(ISNUMBER(E29),ROUND(E29*'Reference data'!$B$2,0),"Unknown")</f>
        <v>4.0</v>
      </c>
      <c r="H29" s="5">
        <f>IF(ISNUMBER(F29),ROUND(F29*'Reference data'!$B$2,0),"Unknown")</f>
        <v>4.0</v>
      </c>
    </row>
    <row r="30" spans="1:13" ht="24" customHeight="1">
      <c r="A30" t="s">
        <v>125</v>
      </c>
      <c r="B30">
        <v>1</v>
      </c>
      <c r="C30" t="s">
        <v>98</v>
      </c>
      <c r="D30" s="5">
        <v>3</v>
      </c>
      <c r="E30" s="2">
        <f>IF(AND(ISNUMBER(F30),ISNUMBER('Reference data'!$B$3)),F30*'Reference data'!$B$3,"Unknown")</f>
        <v>5.2581e-07</v>
      </c>
      <c r="F30" s="2">
        <f>IF(D30=0,0,IF(ISNUMBER('Reference data'!B17),D30*'Reference data'!B17/1000000,"Unknown"))</f>
        <v>6e-07</v>
      </c>
      <c r="G30" s="5">
        <f>IF(ISNUMBER(E30),ROUND(E30*'Reference data'!$B$2,0),"Unknown")</f>
        <v>0.0</v>
      </c>
      <c r="H30" s="5">
        <f>IF(ISNUMBER(F30),ROUND(F30*'Reference data'!$B$2,0),"Unknown")</f>
        <v>0.0</v>
      </c>
    </row>
    <row r="31" spans="1:13" ht="73" customHeight="1">
      <c r="A31" t="s">
        <v>125</v>
      </c>
      <c r="B31">
        <v>1</v>
      </c>
      <c r="C31" t="s">
        <v>127</v>
      </c>
      <c r="I31" s="6" t="s">
        <v>128</v>
      </c>
    </row>
    <row r="32" spans="1:13" ht="24" customHeight="1">
      <c r="A32" t="s">
        <v>125</v>
      </c>
      <c r="B32">
        <v>1</v>
      </c>
      <c r="C32" t="s">
        <v>104</v>
      </c>
      <c r="D32" s="5">
        <v>199</v>
      </c>
      <c r="E32" s="2">
        <f>IF(AND(ISNUMBER(F32),ISNUMBER('Reference data'!$B$3)),F32*'Reference data'!$B$3,"Unknown")</f>
        <v>4.35984125e-05</v>
      </c>
      <c r="F32" s="2">
        <f>IF(D32=0,0,IF(ISNUMBER('Reference data'!D17),D32*'Reference data'!D17/1000000,"Unknown"))</f>
        <v>4.975e-05</v>
      </c>
      <c r="G32" s="5">
        <f>IF(ISNUMBER(E32),ROUND(E32*'Reference data'!$B$2,0),"Unknown")</f>
        <v>4.0</v>
      </c>
      <c r="H32" s="5">
        <f>IF(ISNUMBER(F32),ROUND(F32*'Reference data'!$B$2,0),"Unknown")</f>
        <v>5.0</v>
      </c>
    </row>
    <row r="33" spans="1:13" ht="24" customHeight="1">
      <c r="A33" t="s">
        <v>125</v>
      </c>
      <c r="B33">
        <v>1</v>
      </c>
      <c r="C33" t="s">
        <v>105</v>
      </c>
    </row>
    <row r="34" spans="1:13" s="4" customFormat="1" ht="24" customHeight="1">
      <c r="A34" s="4" t="s">
        <v>125</v>
      </c>
      <c r="B34" s="4">
        <v>1</v>
      </c>
      <c r="C34" s="4" t="s">
        <v>106</v>
      </c>
      <c r="D34" s="4">
        <v>90</v>
      </c>
    </row>
    <row r="35" spans="1:13" ht="24" customHeight="1">
      <c r="A35" t="s">
        <v>125</v>
      </c>
      <c r="B35">
        <v>1</v>
      </c>
      <c r="C35" t="s">
        <v>107</v>
      </c>
      <c r="D35" s="5">
        <v>25</v>
      </c>
      <c r="E35" s="2">
        <f>IF(AND(ISNUMBER(F35),ISNUMBER('Reference data'!$B$3)),F35*'Reference data'!$B$3,"Unknown")</f>
        <v>2.62905e-05</v>
      </c>
      <c r="F35" s="2">
        <f>IF(D35=0,0,IF(ISNUMBER('Reference data'!F17),D35*'Reference data'!F17/1000000,"Unknown"))</f>
        <v>3e-05</v>
      </c>
      <c r="G35" s="5">
        <f>IF(ISNUMBER(E35),ROUND(E35*'Reference data'!$B$2,0),"Unknown")</f>
        <v>3.0</v>
      </c>
      <c r="H35" s="5">
        <f>IF(ISNUMBER(F35),ROUND(F35*'Reference data'!$B$2,0),"Unknown")</f>
        <v>3.0</v>
      </c>
    </row>
    <row r="36" spans="1:13" ht="24" customHeight="1">
      <c r="A36" t="s">
        <v>125</v>
      </c>
      <c r="B36">
        <v>1</v>
      </c>
      <c r="C36" t="s">
        <v>108</v>
      </c>
      <c r="D36" s="5">
        <v>65</v>
      </c>
      <c r="E36" s="2">
        <f>IF(AND(ISNUMBER(F36),ISNUMBER('Reference data'!$B$3)),F36*'Reference data'!$B$3,"Unknown")</f>
        <v>6.83553e-05</v>
      </c>
      <c r="F36" s="2">
        <f>IF(D36=0,0,IF(ISNUMBER('Reference data'!E17),D36*'Reference data'!E17/1000000,"Unknown"))</f>
        <v>7.8e-05</v>
      </c>
      <c r="G36" s="5">
        <f>IF(ISNUMBER(E36),ROUND(E36*'Reference data'!$B$2,0),"Unknown")</f>
        <v>7.0</v>
      </c>
      <c r="H36" s="5">
        <f>IF(ISNUMBER(F36),ROUND(F36*'Reference data'!$B$2,0),"Unknown")</f>
        <v>8.0</v>
      </c>
    </row>
    <row r="37" spans="1:13" ht="409" customHeight="1">
      <c r="A37" t="s">
        <v>125</v>
      </c>
      <c r="B37">
        <v>1</v>
      </c>
      <c r="C37" t="s">
        <v>109</v>
      </c>
      <c r="I37" s="6" t="s">
        <v>129</v>
      </c>
    </row>
    <row r="38" spans="1:13" ht="24" customHeight="1">
      <c r="A38" t="s">
        <v>125</v>
      </c>
      <c r="B38">
        <v>1</v>
      </c>
      <c r="C38" t="s">
        <v>104</v>
      </c>
    </row>
    <row r="39" spans="1:13" ht="24" customHeight="1">
      <c r="A39" t="s">
        <v>125</v>
      </c>
      <c r="B39">
        <v>1</v>
      </c>
      <c r="C39" t="s">
        <v>105</v>
      </c>
    </row>
    <row r="40" spans="1:13" s="4" customFormat="1" ht="24" customHeight="1">
      <c r="A40" s="4" t="s">
        <v>125</v>
      </c>
      <c r="B40" s="4">
        <v>1</v>
      </c>
      <c r="C40" s="4" t="s">
        <v>111</v>
      </c>
      <c r="E40" s="2">
        <f>IF(COUNT('Turns'!E29,'Turns'!E30,'Turns'!E32,'Turns'!E35,'Turns'!E36)=5,SUM('Turns'!E29,'Turns'!E30,'Turns'!E32,'Turns'!E35,'Turns'!E36),"Unknown")</f>
        <v>0.0001755591955</v>
      </c>
      <c r="F40" s="2">
        <f>IF(COUNT('Turns'!F29,'Turns'!F30,'Turns'!F32,'Turns'!F35,'Turns'!F36)=5,SUM('Turns'!F29,'Turns'!F30,'Turns'!F32,'Turns'!F35,'Turns'!F36),"Unknown")</f>
        <v>0.00020033</v>
      </c>
      <c r="G40" s="5">
        <f>IF(ISNUMBER(E40),ROUND(E40*'Reference data'!$B$2,0),"Unknown")</f>
        <v>18.0</v>
      </c>
      <c r="H40" s="5">
        <f>IF(ISNUMBER(F40),ROUND(F40*'Reference data'!$B$2,0),"Unknown")</f>
        <v>20.0</v>
      </c>
      <c r="K40" s="4" t="s">
        <v>112</v>
      </c>
    </row>
    <row r="41" spans="1:13" s="4" customFormat="1" ht="24" customHeight="1">
      <c r="B41" s="4">
        <v>1</v>
      </c>
      <c r="C41" s="4" t="s">
        <v>130</v>
      </c>
      <c r="K41" s="4" t="s">
        <v>112</v>
      </c>
      <c r="M41" s="4" t="s">
        <v>131</v>
      </c>
    </row>
    <row r="42" spans="1:13" ht="24" customHeight="1">
      <c r="B42">
        <v>1</v>
      </c>
      <c r="C42" t="s">
        <v>115</v>
      </c>
      <c r="I42" s="6" t="s">
        <v>132</v>
      </c>
    </row>
    <row r="43" spans="1:13" ht="34" customHeight="1">
      <c r="B43">
        <v>1</v>
      </c>
      <c r="C43" t="s">
        <v>117</v>
      </c>
      <c r="I43" s="6" t="s">
        <v>133</v>
      </c>
    </row>
    <row r="44" spans="1:13" s="4" customFormat="1" ht="24" customHeight="1">
      <c r="B44" s="4">
        <v>1</v>
      </c>
      <c r="C44" s="4" t="s">
        <v>130</v>
      </c>
      <c r="K44" s="4" t="s">
        <v>112</v>
      </c>
      <c r="M44" s="4" t="s">
        <v>134</v>
      </c>
    </row>
    <row r="45" spans="1:13" ht="24" customHeight="1">
      <c r="B45">
        <v>1</v>
      </c>
      <c r="C45" t="s">
        <v>115</v>
      </c>
      <c r="I45" s="6" t="s">
        <v>135</v>
      </c>
    </row>
    <row r="46" spans="1:13" ht="24" customHeight="1">
      <c r="B46">
        <v>1</v>
      </c>
      <c r="C46" t="s">
        <v>117</v>
      </c>
      <c r="I46" s="6" t="s">
        <v>136</v>
      </c>
    </row>
    <row r="47" spans="1:13" s="4" customFormat="1" ht="24" customHeight="1">
      <c r="B47" s="4">
        <v>1</v>
      </c>
      <c r="C47" s="4" t="s">
        <v>130</v>
      </c>
      <c r="K47" s="4" t="s">
        <v>112</v>
      </c>
      <c r="M47" s="4" t="s">
        <v>137</v>
      </c>
    </row>
    <row r="48" spans="1:13" ht="24" customHeight="1">
      <c r="B48">
        <v>1</v>
      </c>
      <c r="C48" t="s">
        <v>115</v>
      </c>
      <c r="I48" s="6" t="s">
        <v>138</v>
      </c>
    </row>
    <row r="49" spans="1:13" ht="24" customHeight="1">
      <c r="B49">
        <v>1</v>
      </c>
      <c r="C49" t="s">
        <v>117</v>
      </c>
      <c r="I49" s="6" t="s">
        <v>139</v>
      </c>
    </row>
    <row r="50" spans="1:13" s="4" customFormat="1" ht="24" customHeight="1">
      <c r="A50" s="4" t="s">
        <v>140</v>
      </c>
      <c r="B50" s="4">
        <v>1</v>
      </c>
      <c r="C50" s="4" t="s">
        <v>94</v>
      </c>
      <c r="D50" s="4">
        <v>2479</v>
      </c>
      <c r="J50" s="4" t="s">
        <v>95</v>
      </c>
      <c r="M50" s="4" t="s">
        <v>141</v>
      </c>
    </row>
    <row r="51" spans="1:13" ht="24" customHeight="1">
      <c r="A51" t="s">
        <v>140</v>
      </c>
      <c r="B51">
        <v>1</v>
      </c>
      <c r="C51" t="s">
        <v>97</v>
      </c>
      <c r="D51" s="5">
        <v>2298</v>
      </c>
      <c r="E51" s="2">
        <f>IF(AND(ISNUMBER(F51),ISNUMBER('Reference data'!$B$3)),F51*'Reference data'!$B$3,"Unknown")</f>
        <v>4.0277046e-05</v>
      </c>
      <c r="F51" s="2">
        <f>IF(D51=0,0,IF(ISNUMBER('Reference data'!C17),D51*'Reference data'!C17/1000000,"Unknown"))</f>
        <v>4.596e-05</v>
      </c>
      <c r="G51" s="5">
        <f>IF(ISNUMBER(E51),ROUND(E51*'Reference data'!$B$2,0),"Unknown")</f>
        <v>4.0</v>
      </c>
      <c r="H51" s="5">
        <f>IF(ISNUMBER(F51),ROUND(F51*'Reference data'!$B$2,0),"Unknown")</f>
        <v>5.0</v>
      </c>
    </row>
    <row r="52" spans="1:13" ht="24" customHeight="1">
      <c r="A52" t="s">
        <v>140</v>
      </c>
      <c r="B52">
        <v>1</v>
      </c>
      <c r="C52" t="s">
        <v>98</v>
      </c>
      <c r="D52" s="5">
        <v>3</v>
      </c>
      <c r="E52" s="2">
        <f>IF(AND(ISNUMBER(F52),ISNUMBER('Reference data'!$B$3)),F52*'Reference data'!$B$3,"Unknown")</f>
        <v>5.2581e-07</v>
      </c>
      <c r="F52" s="2">
        <f>IF(D52=0,0,IF(ISNUMBER('Reference data'!B17),D52*'Reference data'!B17/1000000,"Unknown"))</f>
        <v>6e-07</v>
      </c>
      <c r="G52" s="5">
        <f>IF(ISNUMBER(E52),ROUND(E52*'Reference data'!$B$2,0),"Unknown")</f>
        <v>0.0</v>
      </c>
      <c r="H52" s="5">
        <f>IF(ISNUMBER(F52),ROUND(F52*'Reference data'!$B$2,0),"Unknown")</f>
        <v>0.0</v>
      </c>
    </row>
    <row r="53" spans="1:13" ht="60" customHeight="1">
      <c r="A53" t="s">
        <v>140</v>
      </c>
      <c r="B53">
        <v>1</v>
      </c>
      <c r="C53" t="s">
        <v>127</v>
      </c>
      <c r="I53" s="6" t="s">
        <v>142</v>
      </c>
    </row>
    <row r="54" spans="1:13" ht="24" customHeight="1">
      <c r="A54" t="s">
        <v>140</v>
      </c>
      <c r="B54">
        <v>1</v>
      </c>
      <c r="C54" t="s">
        <v>104</v>
      </c>
      <c r="D54" s="5">
        <v>178</v>
      </c>
      <c r="E54" s="2">
        <f>IF(AND(ISNUMBER(F54),ISNUMBER('Reference data'!$B$3)),F54*'Reference data'!$B$3,"Unknown")</f>
        <v>3.8997575e-05</v>
      </c>
      <c r="F54" s="2">
        <f>IF(D54=0,0,IF(ISNUMBER('Reference data'!D17),D54*'Reference data'!D17/1000000,"Unknown"))</f>
        <v>4.45e-05</v>
      </c>
      <c r="G54" s="5">
        <f>IF(ISNUMBER(E54),ROUND(E54*'Reference data'!$B$2,0),"Unknown")</f>
        <v>4.0</v>
      </c>
      <c r="H54" s="5">
        <f>IF(ISNUMBER(F54),ROUND(F54*'Reference data'!$B$2,0),"Unknown")</f>
        <v>4.0</v>
      </c>
    </row>
    <row r="55" spans="1:13" ht="24" customHeight="1">
      <c r="A55" t="s">
        <v>140</v>
      </c>
      <c r="B55">
        <v>1</v>
      </c>
      <c r="C55" t="s">
        <v>105</v>
      </c>
    </row>
    <row r="56" spans="1:13" s="4" customFormat="1" ht="24" customHeight="1">
      <c r="A56" s="4" t="s">
        <v>140</v>
      </c>
      <c r="B56" s="4">
        <v>1</v>
      </c>
      <c r="C56" s="4" t="s">
        <v>106</v>
      </c>
      <c r="D56" s="4">
        <v>326</v>
      </c>
    </row>
    <row r="57" spans="1:13" ht="24" customHeight="1">
      <c r="A57" t="s">
        <v>140</v>
      </c>
      <c r="B57">
        <v>1</v>
      </c>
      <c r="C57" t="s">
        <v>107</v>
      </c>
      <c r="D57" s="5">
        <v>46</v>
      </c>
      <c r="E57" s="2">
        <f>IF(AND(ISNUMBER(F57),ISNUMBER('Reference data'!$B$3)),F57*'Reference data'!$B$3,"Unknown")</f>
        <v>4.837452e-05</v>
      </c>
      <c r="F57" s="2">
        <f>IF(D57=0,0,IF(ISNUMBER('Reference data'!F17),D57*'Reference data'!F17/1000000,"Unknown"))</f>
        <v>5.52e-05</v>
      </c>
      <c r="G57" s="5">
        <f>IF(ISNUMBER(E57),ROUND(E57*'Reference data'!$B$2,0),"Unknown")</f>
        <v>5.0</v>
      </c>
      <c r="H57" s="5">
        <f>IF(ISNUMBER(F57),ROUND(F57*'Reference data'!$B$2,0),"Unknown")</f>
        <v>6.0</v>
      </c>
    </row>
    <row r="58" spans="1:13" ht="24" customHeight="1">
      <c r="A58" t="s">
        <v>140</v>
      </c>
      <c r="B58">
        <v>1</v>
      </c>
      <c r="C58" t="s">
        <v>108</v>
      </c>
      <c r="D58" s="5">
        <v>280</v>
      </c>
      <c r="E58" s="2">
        <f>IF(AND(ISNUMBER(F58),ISNUMBER('Reference data'!$B$3)),F58*'Reference data'!$B$3,"Unknown")</f>
        <v>0.0002944536</v>
      </c>
      <c r="F58" s="2">
        <f>IF(D58=0,0,IF(ISNUMBER('Reference data'!E17),D58*'Reference data'!E17/1000000,"Unknown"))</f>
        <v>0.000336</v>
      </c>
      <c r="G58" s="5">
        <f>IF(ISNUMBER(E58),ROUND(E58*'Reference data'!$B$2,0),"Unknown")</f>
        <v>29.0</v>
      </c>
      <c r="H58" s="5">
        <f>IF(ISNUMBER(F58),ROUND(F58*'Reference data'!$B$2,0),"Unknown")</f>
        <v>34.0</v>
      </c>
    </row>
    <row r="59" spans="1:13" ht="409" customHeight="1">
      <c r="A59" t="s">
        <v>140</v>
      </c>
      <c r="B59">
        <v>1</v>
      </c>
      <c r="C59" t="s">
        <v>109</v>
      </c>
      <c r="I59" s="6" t="s">
        <v>143</v>
      </c>
    </row>
    <row r="60" spans="1:13" ht="24" customHeight="1">
      <c r="A60" t="s">
        <v>140</v>
      </c>
      <c r="B60">
        <v>1</v>
      </c>
      <c r="C60" t="s">
        <v>104</v>
      </c>
    </row>
    <row r="61" spans="1:13" ht="24" customHeight="1">
      <c r="A61" t="s">
        <v>140</v>
      </c>
      <c r="B61">
        <v>1</v>
      </c>
      <c r="C61" t="s">
        <v>105</v>
      </c>
    </row>
    <row r="62" spans="1:13" s="4" customFormat="1" ht="24" customHeight="1">
      <c r="A62" s="4" t="s">
        <v>140</v>
      </c>
      <c r="B62" s="4">
        <v>1</v>
      </c>
      <c r="C62" s="4" t="s">
        <v>111</v>
      </c>
      <c r="E62" s="2">
        <f>IF(COUNT('Turns'!E51,'Turns'!E52,'Turns'!E54,'Turns'!E57,'Turns'!E58)=5,SUM('Turns'!E51,'Turns'!E52,'Turns'!E54,'Turns'!E57,'Turns'!E58),"Unknown")</f>
        <v>0.000422628551</v>
      </c>
      <c r="F62" s="2">
        <f>IF(COUNT('Turns'!F51,'Turns'!F52,'Turns'!F54,'Turns'!F57,'Turns'!F58)=5,SUM('Turns'!F51,'Turns'!F52,'Turns'!F54,'Turns'!F57,'Turns'!F58),"Unknown")</f>
        <v>0.00048226</v>
      </c>
      <c r="G62" s="5">
        <f>IF(ISNUMBER(E62),ROUND(E62*'Reference data'!$B$2,0),"Unknown")</f>
        <v>42.0</v>
      </c>
      <c r="H62" s="5">
        <f>IF(ISNUMBER(F62),ROUND(F62*'Reference data'!$B$2,0),"Unknown")</f>
        <v>48.0</v>
      </c>
      <c r="K62" s="4" t="s">
        <v>112</v>
      </c>
    </row>
  </sheetData>
  <conditionalFormatting sqref="A2:AE62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2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144</v>
      </c>
      <c r="B2" s="1">
        <v>0</v>
      </c>
      <c r="C2" s="1" t="s">
        <v>145</v>
      </c>
      <c r="D2" s="1" t="s">
        <v>47</v>
      </c>
      <c r="E2" s="1" t="s">
        <v>112</v>
      </c>
      <c r="G2" s="6" t="s">
        <v>146</v>
      </c>
      <c r="H2" t="s">
        <v>49</v>
      </c>
      <c r="J2" s="2">
        <f>IF(COUNT('Turns'!D6,'Turns'!D30,'Turns'!D52)=3,SUM('Turns'!D6,'Turns'!D30,'Turns'!D52),"Unknown")</f>
        <v>9.0</v>
      </c>
      <c r="K2" s="2">
        <f>IF(COUNT('Turns'!E6,'Turns'!E30,'Turns'!E52)=3,SUM('Turns'!E6,'Turns'!E30,'Turns'!E52),"Unknown")</f>
        <v>1.57743e-06</v>
      </c>
      <c r="L2" s="2">
        <f>IF(COUNT('Turns'!F6,'Turns'!F30,'Turns'!F52)=3,SUM('Turns'!F6,'Turns'!F30,'Turns'!F52),"Unknown")</f>
        <v>1.8e-06</v>
      </c>
      <c r="M2" s="2">
        <f>IF(COUNT('Turns'!D5,'Turns'!D29,'Turns'!D51)=3,SUM('Turns'!D5,'Turns'!D29,'Turns'!D51),"Unknown")</f>
        <v>6496.0</v>
      </c>
      <c r="N2" s="2">
        <f>IF(COUNT('Turns'!E5,'Turns'!E29,'Turns'!E51)=3,SUM('Turns'!E5,'Turns'!E29,'Turns'!E51),"Unknown")</f>
        <v>0.000113855392</v>
      </c>
      <c r="O2" s="2">
        <f>IF(COUNT('Turns'!F5,'Turns'!F29,'Turns'!F51)=3,SUM('Turns'!F5,'Turns'!F29,'Turns'!F51),"Unknown")</f>
        <v>0.00012992</v>
      </c>
      <c r="P2" s="2">
        <f>IF(COUNT('Turns'!D32,'Turns'!D54)=2,SUM('Turns'!D32,'Turns'!D54),"Unknown")</f>
        <v>377.0</v>
      </c>
      <c r="Q2" s="2">
        <f>IF(COUNT('Turns'!E32,'Turns'!E54)=2,SUM('Turns'!E32,'Turns'!E54),"Unknown")</f>
        <v>8.25959875e-05</v>
      </c>
      <c r="R2" s="2">
        <f>IF(COUNT('Turns'!F32,'Turns'!F54)=2,SUM('Turns'!F32,'Turns'!F54),"Unknown")</f>
        <v>9.425e-05</v>
      </c>
      <c r="S2" s="2">
        <f>IF(COUNT('Turns'!D14,'Turns'!D36,'Turns'!D58)=3,SUM('Turns'!D14,'Turns'!D36,'Turns'!D58),"Unknown")</f>
        <v>409.0</v>
      </c>
      <c r="T2" s="2">
        <f>IF(COUNT('Turns'!E14,'Turns'!E36,'Turns'!E58)=3,SUM('Turns'!E14,'Turns'!E36,'Turns'!E58),"Unknown")</f>
        <v>0.00043011258</v>
      </c>
      <c r="U2" s="2">
        <f>IF(COUNT('Turns'!F14,'Turns'!F36,'Turns'!F58)=3,SUM('Turns'!F14,'Turns'!F36,'Turns'!F58),"Unknown")</f>
        <v>0.0004908</v>
      </c>
      <c r="V2" s="2">
        <f>IF(COUNT('Turns'!D13,'Turns'!D35,'Turns'!D57)=3,SUM('Turns'!D13,'Turns'!D35,'Turns'!D57),"Unknown")</f>
        <v>105.0</v>
      </c>
      <c r="W2" s="2">
        <f>IF(COUNT('Turns'!E13,'Turns'!E35,'Turns'!E57)=3,SUM('Turns'!E13,'Turns'!E35,'Turns'!E57),"Unknown")</f>
        <v>0.0001104201</v>
      </c>
      <c r="X2" s="2">
        <f>IF(COUNT('Turns'!F13,'Turns'!F35,'Turns'!F57)=3,SUM('Turns'!F13,'Turns'!F35,'Turns'!F57),"Unknown")</f>
        <v>0.000126</v>
      </c>
      <c r="Y2" s="2">
        <f>IF(COUNT('Turns'!E18,'Turns'!E40,'Turns'!E62)=3,SUM('Turns'!E18,'Turns'!E40,'Turns'!E62),"Unknown")</f>
        <v>0.0007385614895</v>
      </c>
      <c r="Z2" s="2">
        <f>IF(COUNT('Turns'!F18,'Turns'!F40,'Turns'!F62)=3,SUM('Turns'!F18,'Turns'!F40,'Turns'!F62),"Unknown")</f>
        <v>0.00084277</v>
      </c>
      <c r="AA2" s="5">
        <f>IF(ISNUMBER(Y2),ROUND(Y2*'Reference data'!$B$2,0),"Unknown")</f>
        <v>74.0</v>
      </c>
      <c r="AB2" s="5">
        <f>IF(ISNUMBER(Z2),ROUND(Z2*'Reference data'!$B$2,0),"Unknown")</f>
        <v>84.0</v>
      </c>
      <c r="AD2" s="1">
        <v>8530.688</v>
      </c>
      <c r="AE2" s="1" t="s">
        <v>147</v>
      </c>
    </row>
    <row r="3" spans="1:31" ht="54" customHeight="1">
      <c r="A3" s="6" t="s">
        <v>148</v>
      </c>
      <c r="B3" s="1">
        <v>1</v>
      </c>
      <c r="C3" s="1" t="s">
        <v>145</v>
      </c>
      <c r="D3" s="1" t="s">
        <v>47</v>
      </c>
      <c r="E3" s="1" t="s">
        <v>112</v>
      </c>
      <c r="G3" s="6" t="s">
        <v>149</v>
      </c>
      <c r="H3" t="s">
        <v>150</v>
      </c>
      <c r="I3" t="s">
        <v>49</v>
      </c>
      <c r="AD3" s="1">
        <v>0.426</v>
      </c>
      <c r="AE3" s="1" t="s">
        <v>151</v>
      </c>
    </row>
    <row r="4" spans="1:31" ht="54" customHeight="1">
      <c r="A4" s="6" t="s">
        <v>152</v>
      </c>
      <c r="B4" s="1">
        <v>1</v>
      </c>
      <c r="C4" s="1" t="s">
        <v>145</v>
      </c>
      <c r="D4" s="1" t="s">
        <v>47</v>
      </c>
      <c r="E4" s="1" t="s">
        <v>112</v>
      </c>
      <c r="G4" s="6" t="s">
        <v>153</v>
      </c>
      <c r="H4" t="s">
        <v>154</v>
      </c>
      <c r="I4" t="s">
        <v>49</v>
      </c>
      <c r="J4" s="2">
        <f>IF(COUNT('Turns'!D6)=1,SUM('Turns'!D6),"Unknown")</f>
        <v>3.0</v>
      </c>
      <c r="K4" s="2">
        <f>IF(COUNT('Turns'!E6)=1,SUM('Turns'!E6),"Unknown")</f>
        <v>5.2581e-07</v>
      </c>
      <c r="L4" s="2">
        <f>IF(COUNT('Turns'!F6)=1,SUM('Turns'!F6),"Unknown")</f>
        <v>6e-07</v>
      </c>
      <c r="M4" s="2">
        <f>IF(COUNT('Turns'!D5)=1,SUM('Turns'!D5),"Unknown")</f>
        <v>2099.0</v>
      </c>
      <c r="N4" s="2">
        <f>IF(COUNT('Turns'!E5)=1,SUM('Turns'!E5),"Unknown")</f>
        <v>3.6789173e-05</v>
      </c>
      <c r="O4" s="2">
        <f>IF(COUNT('Turns'!F5)=1,SUM('Turns'!F5),"Unknown")</f>
        <v>4.198e-05</v>
      </c>
      <c r="P4" s="2">
        <v>0</v>
      </c>
      <c r="Q4" s="2">
        <v>0</v>
      </c>
      <c r="R4" s="2">
        <v>0</v>
      </c>
      <c r="S4" s="2">
        <f>IF(COUNT('Turns'!D14)=1,SUM('Turns'!D14),"Unknown")</f>
        <v>64.0</v>
      </c>
      <c r="T4" s="2">
        <f>IF(COUNT('Turns'!E14)=1,SUM('Turns'!E14),"Unknown")</f>
        <v>6.730368e-05</v>
      </c>
      <c r="U4" s="2">
        <f>IF(COUNT('Turns'!F14)=1,SUM('Turns'!F14),"Unknown")</f>
        <v>7.68e-05</v>
      </c>
      <c r="V4" s="2">
        <f>IF(COUNT('Turns'!D13)=1,SUM('Turns'!D13),"Unknown")</f>
        <v>34.0</v>
      </c>
      <c r="W4" s="2">
        <f>IF(COUNT('Turns'!E13)=1,SUM('Turns'!E13),"Unknown")</f>
        <v>3.575508e-05</v>
      </c>
      <c r="X4" s="2">
        <f>IF(COUNT('Turns'!F13)=1,SUM('Turns'!F13),"Unknown")</f>
        <v>4.08e-05</v>
      </c>
      <c r="Y4" s="2">
        <f>IF(COUNT('Turns'!E18)=1,SUM('Turns'!E18),"Unknown")</f>
        <v>0.000140373743</v>
      </c>
      <c r="Z4" s="2">
        <f>IF(COUNT('Turns'!F18)=1,SUM('Turns'!F18),"Unknown")</f>
        <v>0.00016018</v>
      </c>
      <c r="AA4" s="5">
        <f>IF(ISNUMBER(Y4),ROUND(Y4*'Reference data'!$B$2,0),"Unknown")</f>
        <v>14.0</v>
      </c>
      <c r="AB4" s="5">
        <f>IF(ISNUMBER(Z4),ROUND(Z4*'Reference data'!$B$2,0),"Unknown")</f>
        <v>16.0</v>
      </c>
      <c r="AD4" s="1">
        <v>2382.967</v>
      </c>
      <c r="AE4" s="1" t="s">
        <v>147</v>
      </c>
    </row>
    <row r="5" spans="1:31" ht="54" customHeight="1">
      <c r="A5" s="6" t="s">
        <v>155</v>
      </c>
      <c r="B5" s="1">
        <v>2</v>
      </c>
      <c r="C5" s="1" t="s">
        <v>156</v>
      </c>
      <c r="D5" s="1" t="s">
        <v>95</v>
      </c>
      <c r="E5" s="1" t="s">
        <v>112</v>
      </c>
      <c r="F5" s="1">
        <v>2102</v>
      </c>
      <c r="G5" s="6" t="s">
        <v>157</v>
      </c>
      <c r="H5" t="s">
        <v>96</v>
      </c>
      <c r="I5" t="s">
        <v>154</v>
      </c>
      <c r="J5" s="2">
        <f>IF(COUNT('Turns'!D6)=1,SUM('Turns'!D6),"Unknown")</f>
        <v>3.0</v>
      </c>
      <c r="K5" s="2">
        <f>IF(COUNT('Turns'!E6)=1,SUM('Turns'!E6),"Unknown")</f>
        <v>5.2581e-07</v>
      </c>
      <c r="L5" s="2">
        <f>IF(COUNT('Turns'!F6)=1,SUM('Turns'!F6),"Unknown")</f>
        <v>6e-07</v>
      </c>
      <c r="M5" s="2">
        <f>IF(COUNT('Turns'!D5)=1,SUM('Turns'!D5),"Unknown")</f>
        <v>2099.0</v>
      </c>
      <c r="N5" s="2">
        <f>IF(COUNT('Turns'!E5)=1,SUM('Turns'!E5),"Unknown")</f>
        <v>3.6789173e-05</v>
      </c>
      <c r="O5" s="2">
        <f>IF(COUNT('Turns'!F5)=1,SUM('Turns'!F5),"Unknown")</f>
        <v>4.198e-05</v>
      </c>
      <c r="P5" s="2">
        <v>0</v>
      </c>
      <c r="Q5" s="2">
        <v>0</v>
      </c>
      <c r="R5" s="2">
        <v>0</v>
      </c>
      <c r="S5" s="2">
        <f>IF(COUNT('Turns'!D14)=1,SUM('Turns'!D14),"Unknown")</f>
        <v>64.0</v>
      </c>
      <c r="T5" s="2">
        <f>IF(COUNT('Turns'!E14)=1,SUM('Turns'!E14),"Unknown")</f>
        <v>6.730368e-05</v>
      </c>
      <c r="U5" s="2">
        <f>IF(COUNT('Turns'!F14)=1,SUM('Turns'!F14),"Unknown")</f>
        <v>7.68e-05</v>
      </c>
      <c r="V5" s="2">
        <f>IF(COUNT('Turns'!D13)=1,SUM('Turns'!D13),"Unknown")</f>
        <v>34.0</v>
      </c>
      <c r="W5" s="2">
        <f>IF(COUNT('Turns'!E13)=1,SUM('Turns'!E13),"Unknown")</f>
        <v>3.575508e-05</v>
      </c>
      <c r="X5" s="2">
        <f>IF(COUNT('Turns'!F13)=1,SUM('Turns'!F13),"Unknown")</f>
        <v>4.08e-05</v>
      </c>
      <c r="Y5" s="2">
        <f>IF(COUNT('Turns'!E18)=1,SUM('Turns'!E18),"Unknown")</f>
        <v>0.000140373743</v>
      </c>
      <c r="Z5" s="2">
        <f>IF(COUNT('Turns'!F18)=1,SUM('Turns'!F18),"Unknown")</f>
        <v>0.00016018</v>
      </c>
      <c r="AA5" s="5">
        <f>IF(ISNUMBER(Y5),ROUND(Y5*'Reference data'!$B$2,0),"Unknown")</f>
        <v>14.0</v>
      </c>
      <c r="AB5" s="5">
        <f>IF(ISNUMBER(Z5),ROUND(Z5*'Reference data'!$B$2,0),"Unknown")</f>
        <v>16.0</v>
      </c>
      <c r="AC5" s="1" t="s">
        <v>93</v>
      </c>
      <c r="AD5" s="1">
        <v>2375.866</v>
      </c>
      <c r="AE5" s="1" t="s">
        <v>158</v>
      </c>
    </row>
    <row r="6" spans="1:31" ht="54" customHeight="1">
      <c r="A6" s="6" t="s">
        <v>159</v>
      </c>
      <c r="B6" s="1">
        <v>1</v>
      </c>
      <c r="C6" s="1" t="s">
        <v>145</v>
      </c>
      <c r="D6" s="1" t="s">
        <v>47</v>
      </c>
      <c r="E6" s="1" t="s">
        <v>112</v>
      </c>
      <c r="G6" s="6" t="s">
        <v>160</v>
      </c>
      <c r="H6" t="s">
        <v>161</v>
      </c>
      <c r="I6" t="s">
        <v>49</v>
      </c>
      <c r="AD6" s="1">
        <v>6.799</v>
      </c>
      <c r="AE6" s="1" t="s">
        <v>151</v>
      </c>
    </row>
    <row r="7" spans="1:31" ht="54" customHeight="1">
      <c r="A7" s="6" t="s">
        <v>162</v>
      </c>
      <c r="B7" s="1">
        <v>2</v>
      </c>
      <c r="C7" s="1" t="s">
        <v>163</v>
      </c>
      <c r="D7" s="1" t="s">
        <v>47</v>
      </c>
      <c r="E7" s="1" t="s">
        <v>112</v>
      </c>
      <c r="G7" s="6" t="s">
        <v>164</v>
      </c>
      <c r="H7" t="s">
        <v>114</v>
      </c>
      <c r="I7" t="s">
        <v>161</v>
      </c>
      <c r="AD7" s="1">
        <v>2.474</v>
      </c>
      <c r="AE7" s="1" t="s">
        <v>151</v>
      </c>
    </row>
    <row r="8" spans="1:31" ht="54" customHeight="1">
      <c r="A8" s="6" t="s">
        <v>159</v>
      </c>
      <c r="B8" s="1">
        <v>1</v>
      </c>
      <c r="C8" s="1" t="s">
        <v>145</v>
      </c>
      <c r="D8" s="1" t="s">
        <v>47</v>
      </c>
      <c r="E8" s="1" t="s">
        <v>112</v>
      </c>
      <c r="G8" s="6" t="s">
        <v>160</v>
      </c>
      <c r="H8" t="s">
        <v>165</v>
      </c>
      <c r="I8" t="s">
        <v>49</v>
      </c>
      <c r="AD8" s="1">
        <v>6.945</v>
      </c>
      <c r="AE8" s="1" t="s">
        <v>151</v>
      </c>
    </row>
    <row r="9" spans="1:31" ht="54" customHeight="1">
      <c r="A9" s="6" t="s">
        <v>162</v>
      </c>
      <c r="B9" s="1">
        <v>2</v>
      </c>
      <c r="C9" s="1" t="s">
        <v>163</v>
      </c>
      <c r="D9" s="1" t="s">
        <v>47</v>
      </c>
      <c r="E9" s="1" t="s">
        <v>112</v>
      </c>
      <c r="G9" s="6" t="s">
        <v>164</v>
      </c>
      <c r="H9" t="s">
        <v>119</v>
      </c>
      <c r="I9" t="s">
        <v>165</v>
      </c>
      <c r="AD9" s="1">
        <v>2.015</v>
      </c>
      <c r="AE9" s="1" t="s">
        <v>151</v>
      </c>
    </row>
    <row r="10" spans="1:31" ht="54" customHeight="1">
      <c r="A10" s="6" t="s">
        <v>159</v>
      </c>
      <c r="B10" s="1">
        <v>1</v>
      </c>
      <c r="C10" s="1" t="s">
        <v>145</v>
      </c>
      <c r="D10" s="1" t="s">
        <v>47</v>
      </c>
      <c r="E10" s="1" t="s">
        <v>112</v>
      </c>
      <c r="G10" s="6" t="s">
        <v>160</v>
      </c>
      <c r="H10" t="s">
        <v>166</v>
      </c>
      <c r="I10" t="s">
        <v>49</v>
      </c>
      <c r="AD10" s="1">
        <v>6.075</v>
      </c>
      <c r="AE10" s="1" t="s">
        <v>151</v>
      </c>
    </row>
    <row r="11" spans="1:31" ht="54" customHeight="1">
      <c r="A11" s="6" t="s">
        <v>162</v>
      </c>
      <c r="B11" s="1">
        <v>2</v>
      </c>
      <c r="C11" s="1" t="s">
        <v>163</v>
      </c>
      <c r="D11" s="1" t="s">
        <v>47</v>
      </c>
      <c r="E11" s="1" t="s">
        <v>112</v>
      </c>
      <c r="G11" s="6" t="s">
        <v>164</v>
      </c>
      <c r="H11" t="s">
        <v>122</v>
      </c>
      <c r="I11" t="s">
        <v>166</v>
      </c>
      <c r="AD11" s="1">
        <v>0.915</v>
      </c>
      <c r="AE11" s="1" t="s">
        <v>151</v>
      </c>
    </row>
    <row r="12" spans="1:31" ht="54" customHeight="1">
      <c r="A12" s="6" t="s">
        <v>152</v>
      </c>
      <c r="B12" s="1">
        <v>1</v>
      </c>
      <c r="C12" s="1" t="s">
        <v>145</v>
      </c>
      <c r="D12" s="1" t="s">
        <v>47</v>
      </c>
      <c r="E12" s="1" t="s">
        <v>112</v>
      </c>
      <c r="G12" s="6" t="s">
        <v>153</v>
      </c>
      <c r="H12" t="s">
        <v>167</v>
      </c>
      <c r="I12" t="s">
        <v>49</v>
      </c>
      <c r="J12" s="2">
        <f>IF(COUNT('Turns'!D30)=1,SUM('Turns'!D30),"Unknown")</f>
        <v>3.0</v>
      </c>
      <c r="K12" s="2">
        <f>IF(COUNT('Turns'!E30)=1,SUM('Turns'!E30),"Unknown")</f>
        <v>5.2581e-07</v>
      </c>
      <c r="L12" s="2">
        <f>IF(COUNT('Turns'!F30)=1,SUM('Turns'!F30),"Unknown")</f>
        <v>6e-07</v>
      </c>
      <c r="M12" s="2">
        <f>IF(COUNT('Turns'!D29)=1,SUM('Turns'!D29),"Unknown")</f>
        <v>2099.0</v>
      </c>
      <c r="N12" s="2">
        <f>IF(COUNT('Turns'!E29)=1,SUM('Turns'!E29),"Unknown")</f>
        <v>3.6789173e-05</v>
      </c>
      <c r="O12" s="2">
        <f>IF(COUNT('Turns'!F29)=1,SUM('Turns'!F29),"Unknown")</f>
        <v>4.198e-05</v>
      </c>
      <c r="P12" s="2">
        <f>IF(COUNT('Turns'!D32)=1,SUM('Turns'!D32),"Unknown")</f>
        <v>199.0</v>
      </c>
      <c r="Q12" s="2">
        <f>IF(COUNT('Turns'!E32)=1,SUM('Turns'!E32),"Unknown")</f>
        <v>4.35984125e-05</v>
      </c>
      <c r="R12" s="2">
        <f>IF(COUNT('Turns'!F32)=1,SUM('Turns'!F32),"Unknown")</f>
        <v>4.975e-05</v>
      </c>
      <c r="S12" s="2">
        <f>IF(COUNT('Turns'!D36)=1,SUM('Turns'!D36),"Unknown")</f>
        <v>65.0</v>
      </c>
      <c r="T12" s="2">
        <f>IF(COUNT('Turns'!E36)=1,SUM('Turns'!E36),"Unknown")</f>
        <v>6.83553e-05</v>
      </c>
      <c r="U12" s="2">
        <f>IF(COUNT('Turns'!F36)=1,SUM('Turns'!F36),"Unknown")</f>
        <v>7.8e-05</v>
      </c>
      <c r="V12" s="2">
        <f>IF(COUNT('Turns'!D35)=1,SUM('Turns'!D35),"Unknown")</f>
        <v>25.0</v>
      </c>
      <c r="W12" s="2">
        <f>IF(COUNT('Turns'!E35)=1,SUM('Turns'!E35),"Unknown")</f>
        <v>2.62905e-05</v>
      </c>
      <c r="X12" s="2">
        <f>IF(COUNT('Turns'!F35)=1,SUM('Turns'!F35),"Unknown")</f>
        <v>3e-05</v>
      </c>
      <c r="Y12" s="2">
        <f>IF(COUNT('Turns'!E40)=1,SUM('Turns'!E40),"Unknown")</f>
        <v>0.0001755591955</v>
      </c>
      <c r="Z12" s="2">
        <f>IF(COUNT('Turns'!F40)=1,SUM('Turns'!F40),"Unknown")</f>
        <v>0.00020033</v>
      </c>
      <c r="AA12" s="5">
        <f>IF(ISNUMBER(Y12),ROUND(Y12*'Reference data'!$B$2,0),"Unknown")</f>
        <v>18.0</v>
      </c>
      <c r="AB12" s="5">
        <f>IF(ISNUMBER(Z12),ROUND(Z12*'Reference data'!$B$2,0),"Unknown")</f>
        <v>20.0</v>
      </c>
      <c r="AD12" s="1">
        <v>2251.859</v>
      </c>
      <c r="AE12" s="1" t="s">
        <v>147</v>
      </c>
    </row>
    <row r="13" spans="1:31" ht="54" customHeight="1">
      <c r="A13" s="6" t="s">
        <v>155</v>
      </c>
      <c r="B13" s="1">
        <v>2</v>
      </c>
      <c r="C13" s="1" t="s">
        <v>156</v>
      </c>
      <c r="D13" s="1" t="s">
        <v>95</v>
      </c>
      <c r="E13" s="1" t="s">
        <v>112</v>
      </c>
      <c r="F13" s="1">
        <v>2301</v>
      </c>
      <c r="G13" s="6" t="s">
        <v>157</v>
      </c>
      <c r="H13" t="s">
        <v>126</v>
      </c>
      <c r="I13" t="s">
        <v>167</v>
      </c>
      <c r="J13" s="2">
        <f>IF(COUNT('Turns'!D30)=1,SUM('Turns'!D30),"Unknown")</f>
        <v>3.0</v>
      </c>
      <c r="K13" s="2">
        <f>IF(COUNT('Turns'!E30)=1,SUM('Turns'!E30),"Unknown")</f>
        <v>5.2581e-07</v>
      </c>
      <c r="L13" s="2">
        <f>IF(COUNT('Turns'!F30)=1,SUM('Turns'!F30),"Unknown")</f>
        <v>6e-07</v>
      </c>
      <c r="M13" s="2">
        <f>IF(COUNT('Turns'!D29)=1,SUM('Turns'!D29),"Unknown")</f>
        <v>2099.0</v>
      </c>
      <c r="N13" s="2">
        <f>IF(COUNT('Turns'!E29)=1,SUM('Turns'!E29),"Unknown")</f>
        <v>3.6789173e-05</v>
      </c>
      <c r="O13" s="2">
        <f>IF(COUNT('Turns'!F29)=1,SUM('Turns'!F29),"Unknown")</f>
        <v>4.198e-05</v>
      </c>
      <c r="P13" s="2">
        <f>IF(COUNT('Turns'!D32)=1,SUM('Turns'!D32),"Unknown")</f>
        <v>199.0</v>
      </c>
      <c r="Q13" s="2">
        <f>IF(COUNT('Turns'!E32)=1,SUM('Turns'!E32),"Unknown")</f>
        <v>4.35984125e-05</v>
      </c>
      <c r="R13" s="2">
        <f>IF(COUNT('Turns'!F32)=1,SUM('Turns'!F32),"Unknown")</f>
        <v>4.975e-05</v>
      </c>
      <c r="S13" s="2">
        <f>IF(COUNT('Turns'!D36)=1,SUM('Turns'!D36),"Unknown")</f>
        <v>65.0</v>
      </c>
      <c r="T13" s="2">
        <f>IF(COUNT('Turns'!E36)=1,SUM('Turns'!E36),"Unknown")</f>
        <v>6.83553e-05</v>
      </c>
      <c r="U13" s="2">
        <f>IF(COUNT('Turns'!F36)=1,SUM('Turns'!F36),"Unknown")</f>
        <v>7.8e-05</v>
      </c>
      <c r="V13" s="2">
        <f>IF(COUNT('Turns'!D35)=1,SUM('Turns'!D35),"Unknown")</f>
        <v>25.0</v>
      </c>
      <c r="W13" s="2">
        <f>IF(COUNT('Turns'!E35)=1,SUM('Turns'!E35),"Unknown")</f>
        <v>2.62905e-05</v>
      </c>
      <c r="X13" s="2">
        <f>IF(COUNT('Turns'!F35)=1,SUM('Turns'!F35),"Unknown")</f>
        <v>3e-05</v>
      </c>
      <c r="Y13" s="2">
        <f>IF(COUNT('Turns'!E40)=1,SUM('Turns'!E40),"Unknown")</f>
        <v>0.0001755591955</v>
      </c>
      <c r="Z13" s="2">
        <f>IF(COUNT('Turns'!F40)=1,SUM('Turns'!F40),"Unknown")</f>
        <v>0.00020033</v>
      </c>
      <c r="AA13" s="5">
        <f>IF(ISNUMBER(Y13),ROUND(Y13*'Reference data'!$B$2,0),"Unknown")</f>
        <v>18.0</v>
      </c>
      <c r="AB13" s="5">
        <f>IF(ISNUMBER(Z13),ROUND(Z13*'Reference data'!$B$2,0),"Unknown")</f>
        <v>20.0</v>
      </c>
      <c r="AC13" s="1" t="s">
        <v>125</v>
      </c>
      <c r="AD13" s="1">
        <v>2246.332</v>
      </c>
      <c r="AE13" s="1" t="s">
        <v>158</v>
      </c>
    </row>
    <row r="14" spans="1:31" ht="54" customHeight="1">
      <c r="A14" s="6" t="s">
        <v>159</v>
      </c>
      <c r="B14" s="1">
        <v>1</v>
      </c>
      <c r="C14" s="1" t="s">
        <v>145</v>
      </c>
      <c r="D14" s="1" t="s">
        <v>47</v>
      </c>
      <c r="E14" s="1" t="s">
        <v>112</v>
      </c>
      <c r="G14" s="6" t="s">
        <v>160</v>
      </c>
      <c r="H14" t="s">
        <v>168</v>
      </c>
      <c r="I14" t="s">
        <v>49</v>
      </c>
      <c r="AD14" s="1">
        <v>11.576</v>
      </c>
      <c r="AE14" s="1" t="s">
        <v>151</v>
      </c>
    </row>
    <row r="15" spans="1:31" ht="54" customHeight="1">
      <c r="A15" s="6" t="s">
        <v>169</v>
      </c>
      <c r="B15" s="1">
        <v>2</v>
      </c>
      <c r="C15" s="1" t="s">
        <v>163</v>
      </c>
      <c r="D15" s="1" t="s">
        <v>47</v>
      </c>
      <c r="E15" s="1" t="s">
        <v>112</v>
      </c>
      <c r="G15" s="6" t="s">
        <v>170</v>
      </c>
      <c r="H15" t="s">
        <v>131</v>
      </c>
      <c r="I15" t="s">
        <v>168</v>
      </c>
      <c r="AD15" s="1">
        <v>3.618</v>
      </c>
      <c r="AE15" s="1" t="s">
        <v>151</v>
      </c>
    </row>
    <row r="16" spans="1:31" ht="54" customHeight="1">
      <c r="A16" s="6" t="s">
        <v>159</v>
      </c>
      <c r="B16" s="1">
        <v>1</v>
      </c>
      <c r="C16" s="1" t="s">
        <v>145</v>
      </c>
      <c r="D16" s="1" t="s">
        <v>47</v>
      </c>
      <c r="E16" s="1" t="s">
        <v>112</v>
      </c>
      <c r="G16" s="6" t="s">
        <v>160</v>
      </c>
      <c r="H16" t="s">
        <v>171</v>
      </c>
      <c r="I16" t="s">
        <v>49</v>
      </c>
      <c r="AD16" s="1">
        <v>11.756</v>
      </c>
      <c r="AE16" s="1" t="s">
        <v>151</v>
      </c>
    </row>
    <row r="17" spans="1:31" ht="54" customHeight="1">
      <c r="A17" s="6" t="s">
        <v>169</v>
      </c>
      <c r="B17" s="1">
        <v>2</v>
      </c>
      <c r="C17" s="1" t="s">
        <v>163</v>
      </c>
      <c r="D17" s="1" t="s">
        <v>47</v>
      </c>
      <c r="E17" s="1" t="s">
        <v>112</v>
      </c>
      <c r="G17" s="6" t="s">
        <v>170</v>
      </c>
      <c r="H17" t="s">
        <v>134</v>
      </c>
      <c r="I17" t="s">
        <v>171</v>
      </c>
      <c r="AD17" s="1">
        <v>3.837</v>
      </c>
      <c r="AE17" s="1" t="s">
        <v>151</v>
      </c>
    </row>
    <row r="18" spans="1:31" ht="54" customHeight="1">
      <c r="A18" s="6" t="s">
        <v>159</v>
      </c>
      <c r="B18" s="1">
        <v>1</v>
      </c>
      <c r="C18" s="1" t="s">
        <v>145</v>
      </c>
      <c r="D18" s="1" t="s">
        <v>47</v>
      </c>
      <c r="E18" s="1" t="s">
        <v>112</v>
      </c>
      <c r="G18" s="6" t="s">
        <v>160</v>
      </c>
      <c r="H18" t="s">
        <v>172</v>
      </c>
      <c r="I18" t="s">
        <v>49</v>
      </c>
      <c r="AD18" s="1">
        <v>12.31</v>
      </c>
      <c r="AE18" s="1" t="s">
        <v>151</v>
      </c>
    </row>
    <row r="19" spans="1:31" ht="54" customHeight="1">
      <c r="A19" s="6" t="s">
        <v>169</v>
      </c>
      <c r="B19" s="1">
        <v>2</v>
      </c>
      <c r="C19" s="1" t="s">
        <v>163</v>
      </c>
      <c r="D19" s="1" t="s">
        <v>47</v>
      </c>
      <c r="E19" s="1" t="s">
        <v>112</v>
      </c>
      <c r="G19" s="6" t="s">
        <v>170</v>
      </c>
      <c r="H19" t="s">
        <v>137</v>
      </c>
      <c r="I19" t="s">
        <v>172</v>
      </c>
      <c r="AD19" s="1">
        <v>4.515</v>
      </c>
      <c r="AE19" s="1" t="s">
        <v>151</v>
      </c>
    </row>
    <row r="20" spans="1:31" ht="54" customHeight="1">
      <c r="A20" s="6" t="s">
        <v>152</v>
      </c>
      <c r="B20" s="1">
        <v>1</v>
      </c>
      <c r="C20" s="1" t="s">
        <v>145</v>
      </c>
      <c r="D20" s="1" t="s">
        <v>47</v>
      </c>
      <c r="E20" s="1" t="s">
        <v>112</v>
      </c>
      <c r="G20" s="6" t="s">
        <v>153</v>
      </c>
      <c r="H20" t="s">
        <v>173</v>
      </c>
      <c r="I20" t="s">
        <v>49</v>
      </c>
      <c r="J20" s="2">
        <f>IF(COUNT('Turns'!D52)=1,SUM('Turns'!D52),"Unknown")</f>
        <v>3.0</v>
      </c>
      <c r="K20" s="2">
        <f>IF(COUNT('Turns'!E52)=1,SUM('Turns'!E52),"Unknown")</f>
        <v>5.2581e-07</v>
      </c>
      <c r="L20" s="2">
        <f>IF(COUNT('Turns'!F52)=1,SUM('Turns'!F52),"Unknown")</f>
        <v>6e-07</v>
      </c>
      <c r="M20" s="2">
        <f>IF(COUNT('Turns'!D51)=1,SUM('Turns'!D51),"Unknown")</f>
        <v>2298.0</v>
      </c>
      <c r="N20" s="2">
        <f>IF(COUNT('Turns'!E51)=1,SUM('Turns'!E51),"Unknown")</f>
        <v>4.0277046e-05</v>
      </c>
      <c r="O20" s="2">
        <f>IF(COUNT('Turns'!F51)=1,SUM('Turns'!F51),"Unknown")</f>
        <v>4.596e-05</v>
      </c>
      <c r="P20" s="2">
        <f>IF(COUNT('Turns'!D54)=1,SUM('Turns'!D54),"Unknown")</f>
        <v>178.0</v>
      </c>
      <c r="Q20" s="2">
        <f>IF(COUNT('Turns'!E54)=1,SUM('Turns'!E54),"Unknown")</f>
        <v>3.8997575e-05</v>
      </c>
      <c r="R20" s="2">
        <f>IF(COUNT('Turns'!F54)=1,SUM('Turns'!F54),"Unknown")</f>
        <v>4.45e-05</v>
      </c>
      <c r="S20" s="2">
        <f>IF(COUNT('Turns'!D58)=1,SUM('Turns'!D58),"Unknown")</f>
        <v>280.0</v>
      </c>
      <c r="T20" s="2">
        <f>IF(COUNT('Turns'!E58)=1,SUM('Turns'!E58),"Unknown")</f>
        <v>0.0002944536</v>
      </c>
      <c r="U20" s="2">
        <f>IF(COUNT('Turns'!F58)=1,SUM('Turns'!F58),"Unknown")</f>
        <v>0.000336</v>
      </c>
      <c r="V20" s="2">
        <f>IF(COUNT('Turns'!D57)=1,SUM('Turns'!D57),"Unknown")</f>
        <v>46.0</v>
      </c>
      <c r="W20" s="2">
        <f>IF(COUNT('Turns'!E57)=1,SUM('Turns'!E57),"Unknown")</f>
        <v>4.837452e-05</v>
      </c>
      <c r="X20" s="2">
        <f>IF(COUNT('Turns'!F57)=1,SUM('Turns'!F57),"Unknown")</f>
        <v>5.52e-05</v>
      </c>
      <c r="Y20" s="2">
        <f>IF(COUNT('Turns'!E62)=1,SUM('Turns'!E62),"Unknown")</f>
        <v>0.000422628551</v>
      </c>
      <c r="Z20" s="2">
        <f>IF(COUNT('Turns'!F62)=1,SUM('Turns'!F62),"Unknown")</f>
        <v>0.00048226</v>
      </c>
      <c r="AA20" s="5">
        <f>IF(ISNUMBER(Y20),ROUND(Y20*'Reference data'!$B$2,0),"Unknown")</f>
        <v>42.0</v>
      </c>
      <c r="AB20" s="5">
        <f>IF(ISNUMBER(Z20),ROUND(Z20*'Reference data'!$B$2,0),"Unknown")</f>
        <v>48.0</v>
      </c>
      <c r="AD20" s="1">
        <v>3864.516</v>
      </c>
      <c r="AE20" s="1" t="s">
        <v>147</v>
      </c>
    </row>
    <row r="21" spans="1:31" ht="54" customHeight="1">
      <c r="A21" s="6" t="s">
        <v>155</v>
      </c>
      <c r="B21" s="1">
        <v>2</v>
      </c>
      <c r="C21" s="1" t="s">
        <v>156</v>
      </c>
      <c r="D21" s="1" t="s">
        <v>95</v>
      </c>
      <c r="E21" s="1" t="s">
        <v>112</v>
      </c>
      <c r="F21" s="1">
        <v>2479</v>
      </c>
      <c r="G21" s="6" t="s">
        <v>157</v>
      </c>
      <c r="H21" t="s">
        <v>141</v>
      </c>
      <c r="I21" t="s">
        <v>173</v>
      </c>
      <c r="J21" s="2">
        <f>IF(COUNT('Turns'!D52)=1,SUM('Turns'!D52),"Unknown")</f>
        <v>3.0</v>
      </c>
      <c r="K21" s="2">
        <f>IF(COUNT('Turns'!E52)=1,SUM('Turns'!E52),"Unknown")</f>
        <v>5.2581e-07</v>
      </c>
      <c r="L21" s="2">
        <f>IF(COUNT('Turns'!F52)=1,SUM('Turns'!F52),"Unknown")</f>
        <v>6e-07</v>
      </c>
      <c r="M21" s="2">
        <f>IF(COUNT('Turns'!D51)=1,SUM('Turns'!D51),"Unknown")</f>
        <v>2298.0</v>
      </c>
      <c r="N21" s="2">
        <f>IF(COUNT('Turns'!E51)=1,SUM('Turns'!E51),"Unknown")</f>
        <v>4.0277046e-05</v>
      </c>
      <c r="O21" s="2">
        <f>IF(COUNT('Turns'!F51)=1,SUM('Turns'!F51),"Unknown")</f>
        <v>4.596e-05</v>
      </c>
      <c r="P21" s="2">
        <f>IF(COUNT('Turns'!D54)=1,SUM('Turns'!D54),"Unknown")</f>
        <v>178.0</v>
      </c>
      <c r="Q21" s="2">
        <f>IF(COUNT('Turns'!E54)=1,SUM('Turns'!E54),"Unknown")</f>
        <v>3.8997575e-05</v>
      </c>
      <c r="R21" s="2">
        <f>IF(COUNT('Turns'!F54)=1,SUM('Turns'!F54),"Unknown")</f>
        <v>4.45e-05</v>
      </c>
      <c r="S21" s="2">
        <f>IF(COUNT('Turns'!D58)=1,SUM('Turns'!D58),"Unknown")</f>
        <v>280.0</v>
      </c>
      <c r="T21" s="2">
        <f>IF(COUNT('Turns'!E58)=1,SUM('Turns'!E58),"Unknown")</f>
        <v>0.0002944536</v>
      </c>
      <c r="U21" s="2">
        <f>IF(COUNT('Turns'!F58)=1,SUM('Turns'!F58),"Unknown")</f>
        <v>0.000336</v>
      </c>
      <c r="V21" s="2">
        <f>IF(COUNT('Turns'!D57)=1,SUM('Turns'!D57),"Unknown")</f>
        <v>46.0</v>
      </c>
      <c r="W21" s="2">
        <f>IF(COUNT('Turns'!E57)=1,SUM('Turns'!E57),"Unknown")</f>
        <v>4.837452e-05</v>
      </c>
      <c r="X21" s="2">
        <f>IF(COUNT('Turns'!F57)=1,SUM('Turns'!F57),"Unknown")</f>
        <v>5.52e-05</v>
      </c>
      <c r="Y21" s="2">
        <f>IF(COUNT('Turns'!E62)=1,SUM('Turns'!E62),"Unknown")</f>
        <v>0.000422628551</v>
      </c>
      <c r="Z21" s="2">
        <f>IF(COUNT('Turns'!F62)=1,SUM('Turns'!F62),"Unknown")</f>
        <v>0.00048226</v>
      </c>
      <c r="AA21" s="5">
        <f>IF(ISNUMBER(Y21),ROUND(Y21*'Reference data'!$B$2,0),"Unknown")</f>
        <v>42.0</v>
      </c>
      <c r="AB21" s="5">
        <f>IF(ISNUMBER(Z21),ROUND(Z21*'Reference data'!$B$2,0),"Unknown")</f>
        <v>48.0</v>
      </c>
      <c r="AC21" s="1" t="s">
        <v>140</v>
      </c>
      <c r="AD21" s="1">
        <v>3857.624</v>
      </c>
      <c r="AE21" s="1" t="s">
        <v>158</v>
      </c>
    </row>
  </sheetData>
  <conditionalFormatting sqref="A2:AE21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0.87635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2026-09-24T02:33:55Z</dcterms:created>
  <dcterms:modified xsi:type="dcterms:W3CDTF">2026-09-24T02:33:55Z</dcterms:modified>
</cp:coreProperties>
</file>
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urns" sheetId="1" r:id="rId1"/>
    <sheet name="Execution tree" sheetId="2" r:id="rId2"/>
    <sheet name="Reference data" sheetId="3" r:id="rId3"/>
  </sheets>
  <calcPr calcId="124519" fullCalcOnLoad="1"/>
</workbook>
</file>

<file path=xl/sharedStrings.xml><?xml version="1.0" encoding="utf-8"?>
<sst xmlns="http://schemas.openxmlformats.org/spreadsheetml/2006/main" count="419" uniqueCount="174">
  <si>
    <t>Request</t>
  </si>
  <si>
    <t>Turn</t>
  </si>
  <si>
    <t>Sequence</t>
  </si>
  <si>
    <t>Tokens</t>
  </si>
  <si>
    <t>EUR / execution</t>
  </si>
  <si>
    <t>USD / execution</t>
  </si>
  <si>
    <t>Projected EUR</t>
  </si>
  <si>
    <t>Projected USD</t>
  </si>
  <si>
    <t>Content</t>
  </si>
  <si>
    <t>Model · effort</t>
  </si>
  <si>
    <t>Status</t>
  </si>
  <si>
    <t>Context total tokens</t>
  </si>
  <si>
    <t>Span ID</t>
  </si>
  <si>
    <t>Operation</t>
  </si>
  <si>
    <t>Depth</t>
  </si>
  <si>
    <t>Type</t>
  </si>
  <si>
    <t>Input context tokens</t>
  </si>
  <si>
    <t>Description</t>
  </si>
  <si>
    <t>Parent ID</t>
  </si>
  <si>
    <t>Fresh input tokens</t>
  </si>
  <si>
    <t>Fresh input EUR</t>
  </si>
  <si>
    <t>Fresh input USD</t>
  </si>
  <si>
    <t>Cache read tokens</t>
  </si>
  <si>
    <t>Cache read EUR</t>
  </si>
  <si>
    <t>Cache read USD</t>
  </si>
  <si>
    <t>Cache write tokens</t>
  </si>
  <si>
    <t>Cache write EUR</t>
  </si>
  <si>
    <t>Cache write USD</t>
  </si>
  <si>
    <t>Output (non-reasoning) tokens</t>
  </si>
  <si>
    <t>Output (non-reasoning) EUR</t>
  </si>
  <si>
    <t>Output (non-reasoning) USD</t>
  </si>
  <si>
    <t>Reasoning tokens</t>
  </si>
  <si>
    <t>Reasoning EUR</t>
  </si>
  <si>
    <t>Reasoning USD</t>
  </si>
  <si>
    <t>Total EUR</t>
  </si>
  <si>
    <t>Total USD</t>
  </si>
  <si>
    <t>Elapsed ms</t>
  </si>
  <si>
    <t>Accounting</t>
  </si>
  <si>
    <t>Parameter</t>
  </si>
  <si>
    <t>Value</t>
  </si>
  <si>
    <t>Unit</t>
  </si>
  <si>
    <t>Number of executions</t>
  </si>
  <si>
    <t>executions</t>
  </si>
  <si>
    <t>USD → EUR</t>
  </si>
  <si>
    <t>EUR per USD</t>
  </si>
  <si>
    <t>Cache duration</t>
  </si>
  <si>
    <t>5m</t>
  </si>
  <si>
    <t/>
  </si>
  <si>
    <t>Run ID</t>
  </si>
  <si>
    <t>01a0cc59-e481-7d80-9c7c-caa502ee8373</t>
  </si>
  <si>
    <t>Recording</t>
  </si>
  <si>
    <t>Provider trace</t>
  </si>
  <si>
    <t>FX reference date</t>
  </si>
  <si>
    <t>2026-09-22</t>
  </si>
  <si>
    <t>FX fetched at</t>
  </si>
  <si>
    <t>2026-09-23T03:35:56.284466Z</t>
  </si>
  <si>
    <t>UTC</t>
  </si>
  <si>
    <t>FX source</t>
  </si>
  <si>
    <t>https://api.frankfurter.dev/v2/rate/usd/eur?providers=ecb</t>
  </si>
  <si>
    <t>Rounding</t>
  </si>
  <si>
    <t>Only projected costs: ROUND(cost × executions, 0)</t>
  </si>
  <si>
    <t>Tree totals</t>
  </si>
  <si>
    <t>Parent rows include descendants; do not sum all tree rows.</t>
  </si>
  <si>
    <t>Cache writes</t>
  </si>
  <si>
    <t>Simulated context movement is not a provider-billed write.</t>
  </si>
  <si>
    <t>Pricing scope</t>
  </si>
  <si>
    <t>Standard online token rates. Verify rates and model access before use. Cache writes with unspecified lifetime use the 5-minute rate unless an explicit cache_write rate is configured. No batch, regional, long-context, tool, or negotiated pricing adjustments are applied.</t>
  </si>
  <si>
    <t>Model</t>
  </si>
  <si>
    <t>Input USD / 1M tokens</t>
  </si>
  <si>
    <t>Cache read USD / 1M tokens</t>
  </si>
  <si>
    <t>Cache write USD / 1M tokens</t>
  </si>
  <si>
    <t>Output USD / 1M tokens</t>
  </si>
  <si>
    <t>Reasoning USD / 1M tokens</t>
  </si>
  <si>
    <t>Verified date</t>
  </si>
  <si>
    <t>Source</t>
  </si>
  <si>
    <t>Notes</t>
  </si>
  <si>
    <t>openai:gpt-5.5</t>
  </si>
  <si>
    <t>Unknown</t>
  </si>
  <si>
    <t>2026-09-18</t>
  </si>
  <si>
    <t>https://developers.openai.com/api/docs/models/gpt-5.5.md</t>
  </si>
  <si>
    <t>Cache write assumes 5m when unspecified</t>
  </si>
  <si>
    <t>openai:gpt-5.6-luna</t>
  </si>
  <si>
    <t>https://developers.openai.com/api/docs/models/gpt-5.6-luna.md</t>
  </si>
  <si>
    <t>openai:gpt-5.6-sol</t>
  </si>
  <si>
    <t>https://developers.openai.com/api/docs/models/gpt-5.6-sol.md</t>
  </si>
  <si>
    <t>anthropic:claude-sonnet-5</t>
  </si>
  <si>
    <t>https://platform.claude.com/docs/en/about-claude/pricing</t>
  </si>
  <si>
    <t>anthropic:claude-opus-4-8</t>
  </si>
  <si>
    <t>anthropic:claude-fable-5-1</t>
  </si>
  <si>
    <t>demo:scripted-chat</t>
  </si>
  <si>
    <t>Illustrative demo rates based on openai:gpt-5.6-luna; no provider billing</t>
  </si>
  <si>
    <t>Run total</t>
  </si>
  <si>
    <t>Turn 1</t>
  </si>
  <si>
    <t>R1</t>
  </si>
  <si>
    <t>LLM request</t>
  </si>
  <si>
    <t>gpt-5.6-luna</t>
  </si>
  <si>
    <t>01a0cc59-e48b-73a3-ac12-00713f25857d</t>
  </si>
  <si>
    <t>Fresh input</t>
  </si>
  <si>
    <t xml:space="preserve">    Tool definitions</t>
  </si>
  <si>
    <t xml:space="preserve">    System prompt</t>
  </si>
  <si>
    <t>Use the fictional service evidence to propose and validate a latency improvement. Inspect traffic, database behavior, and constraints before testing the plan.</t>
  </si>
  <si>
    <t xml:space="preserve">    User prompt</t>
  </si>
  <si>
    <t>Investigate service latency and validate a plan meeting the constraints.</t>
  </si>
  <si>
    <t>Cache write</t>
  </si>
  <si>
    <t>Context · added / total</t>
  </si>
  <si>
    <t>LLM response</t>
  </si>
  <si>
    <t>Reasoning</t>
  </si>
  <si>
    <t>Output</t>
  </si>
  <si>
    <t xml:space="preserve">    Output content</t>
  </si>
  <si>
    <t>[{"id": "rs_0b39bc6aa975b4c9006ab34a374a4887d2aacd56f4c43fa631", "summary": [], "type": "reasoning", "content": [], "index": 0, "encrypted_content": "gAAAAABqs0o3FpjSECpif6ZFpi17eTW-UbK1G-K7ycRZqAjmDLRqCL7vUOy1EOk22a5ZOzcX73_ESlpZs4GxcuEGAd3CvZiSTpmS9opPay594SvfOKOCUpvGPTIuxagQibMF56VALTZPYCDQ7075tAcYhJXhm2MPhBjEZu3KtCAt4yedQhbth0lLZJuW8N3j0ERpcCL70ia4ZNpEDEAPJnnHysIveq603ioLMNA4MlXZbsLlzZE2UJUy8CWhqB8MeMlCv3i6okx-WZX4UqJ-QsoGf94KXtg2nutkzFTiGhJQaUY_fWlyh0LnnhzVg2JcYHbrIGd-SWM8qeoL1gUb-WzsC1kFVLUqt5KKgvYWyg3sctncIy2ZH0ca64M_u08lFMgMx6kWKegflbZYOraWkAsploAjiWOdue_Ohc1BQsYk3KFbd-4A3D3Ob4NGxjyfEulDr03XIDgNe68i9zd473_vRJrCehnPWRl07VgkwRWL6r01id-fOc1vN4aD5Qxfks-2UDKyG1I1VbVh768H35oQ4PmqCAjkSUTS6AxI1OwgAtuf58iuZsk2MBqbZp4dTu33awK7gW8_cWMaDJGx05OQ_SeDTVJdxB-otYPa_lmEYpV0kE-ZM8fGFWwPGgXTSTNUZbD5RqndqdQMWdOX83fzmFj_DZg9VfV-CMJiyjUzFBL0zkOtpS-NM7F7ZWcEBsXEewgsUMa2YvvaFtCP4lTVAHzjD_goa0io8L0CVlbBTptZtblL4tpaN-J-GyUQ2MmUAckQY0rEaj9V5Srzi76EgPUPL3e4ckQSGl8UQ6vcxfl8LZtWXlkcaLXjm-IQsLLj-0b_c9xhsE3q0-wJwG7mqxBV02tLWgW7-IhtkZestRuRPKDRJJm1ykbQ7V1KHlnnwM2l_p3CTLFK5hKIj9nI5z0H_jdKBzdm4tKLaLHnbAdG8UW3IeP8GA1hy-8CCpjtDeSaO5npzOcHb7wLQbQPtoMeb1dZXzRn4vWQFfkg4d4HYwmeMrEGyEn1bkV-0FYHVh-_cDAjDlfpkxa7AgSm9riwBMY5Syb_DLCCu8y5I04VJc5x8ALjIf9vCwyhLXvC2APSpQgcX2ibgU0SXEFYZy1uaIVyfZqUz-FFwpSNFEHCOf630AxwP8W53AG2BMKYxfbqhrc5wnsnMTdyjPvoHMurCq4mlR479Ay-gwQVyRWkbzPySSQ80IgsqkyUsxCb_FxVkTG0vtJGVmK1Bzf0wIlo7CWlO8RC2C1f1uVOrWBRHB2585odZm3mZBKCjE7XIehRepfmfLUCdl0w0kdzxct6-A3d5A=="}, {"type": "function_call", "name": "inspect_service", "arguments": "{\"section\":\"traffic\"}", "call_id": "call_AavHUqHUzSDM1ErAsyuwFzX3", "id": "fc_0b39bc6aa975b4c9006ab34a37e76887d28c4987e65780d2ff", "index": 1}, {"type": "function_call", "name": "inspect_service", "arguments": "{\"section\":\"database\"}", "call_id": "call_VKmgGA17R8561XCUbWYbpjNT", "id": "fc_0b39bc6aa975b4c9006ab34a37e78087d2a9db0107e195b8f7", "index": 2}, {"type": "function_call", "name": "inspect_service", "arguments": "{\"section\":\"constraints\"}", "call_id": "call_oL74jGxhGwB65wCfUp971Tke", "id": "fc_0b39bc6aa975b4c9006ab34a37e78c87d2a3db7e9d5b42d85c", "index": 3}]
{"name": "inspect_service", "args": {"section": "traffic"}, "id": "call_AavHUqHUzSDM1ErAsyuwFzX3", "type": "tool_call"}
{"name": "inspect_service", "args": {"section": "database"}, "id": "call_VKmgGA17R8561XCUbWYbpjNT", "type": "tool_call"}
{"name": "inspect_service", "args": {"section": "constraints"}, "id": "call_oL74jGxhGwB65wCfUp971Tke", "type": "tool_call"}</t>
  </si>
  <si>
    <t>Call total</t>
  </si>
  <si>
    <t>ok</t>
  </si>
  <si>
    <t>Tool · inspect_service</t>
  </si>
  <si>
    <t>01a0cc59-eb2e-7df1-877f-162292309caa</t>
  </si>
  <si>
    <t xml:space="preserve">    Arguments</t>
  </si>
  <si>
    <t>{'section': 'traffic'}</t>
  </si>
  <si>
    <t xml:space="preserve">    Result</t>
  </si>
  <si>
    <t>Peak 240 requests/s; p95 1.8s; 12 workers. Latency rises during database bursts.</t>
  </si>
  <si>
    <t>01a0cc59-eb2f-77a1-b0a1-8ee6bf5f06c6</t>
  </si>
  <si>
    <t>{'section': 'database'}</t>
  </si>
  <si>
    <t>Pool limit 12. Median query 80ms; p95 900ms. Duplicate account lookups appear per request.</t>
  </si>
  <si>
    <t>01a0cc59-eb30-7f40-a814-6ed3da533fdb</t>
  </si>
  <si>
    <t>{'section': 'constraints'}</t>
  </si>
  <si>
    <t>Target p95 under 500ms. No additional database nodes. Cache lifetime must not exceed 60s.</t>
  </si>
  <si>
    <t>R2</t>
  </si>
  <si>
    <t>01a0cc59-eb37-7c12-9bb6-fde922bcb9bd</t>
  </si>
  <si>
    <t>Conversation history · cache read</t>
  </si>
  <si>
    <t xml:space="preserve">    Tool result</t>
  </si>
  <si>
    <t>Peak 240 requests/s; p95 1.8s; 12 workers. Latency rises during database bursts.
Pool limit 12. Median query 80ms; p95 900ms. Duplicate account lookups appear per request.
Target p95 under 500ms. No additional database nodes. Cache lifetime must not exceed 60s.</t>
  </si>
  <si>
    <t>[{"id": "rs_0b39bc6aa975b4c9006ab34a38ef3c87d287320f9ef811247c", "summary": [], "type": "reasoning", "content": [], "index": 0, "encrypted_content": "gAAAAABqs0o5BmjYKaYZNqQOQeNFzkTpnGS-tnPjjMnX9Z4aahx049PvUSr3-PSKzCNXYgTSsy8woc-NLNYl7T6sn4OkNwylisqF7-O95MQLPvWke3GA-qowLZCMc7A05wWBT4rEcU5wX2_txiTl16gL757weKhVV6iwQWG5Bi1hQ-_f6KKqVLwsv3q8ndHAz4x9jH9ghLy28ZcNaOWZfFWSKjrtqu11va4uuZwqumUFrVhKG9xm-KUEnwzc8qLuCT44QIdM0NmDn6XdZr3poI2rSgja1NJZOsWgEgyApnJb9cRkCdOaGxhGavfwnhrjIR05eRdy-qTQSIiOkvPIX1zj5Z2zWAWGcBju688L0xXvMnoBIH-NSpI8eERBQsPY-2HC4-HTYdgBHW6QX17HCk1ZHMqlbiwnCAd9xGYfkEt5aGNRV4hYei649P8CBWCJdGFTjRKgnudToyPev7Xhd9us3eF1MqZFLPO0StHHpOP6Y8PGvqHxhrlJi1p2GaBlvMvJ9COKU3cjTceWBl0WcHPVYVKNDogGnQZq7FsY0LqeHgvDyuW0XBwJiSMF0wInZEozR8ncpvmV0CQZZxivK7C7ChFOKextC2XQPaYgRIrhL1Lhlt6BRERMlP_bbQmTkcx05EOxEbqoEQ_7fz0gJW1koYeO2fFq_WDtr1jv5a8FK0xLotQJ2gtUnnfzdl_7nrikEkWyvsjW5Fz1DFRdS15U33YfF5hAr3mOQ6oBNFL8r0ruRMo-dNVOeHzrzT_F2Pt3Cn-t4xx7uMkyhUdymqgvY7K1418LplA11lvtPSG-qUflCyMsMAQvGfwdT_6cLrfefoGi-YoMhp36zDapJ_77sdzRaWu-DDMnnq4e1REZj5AEUJ2wE_lt87gUIEH3uwzPExXyy1WxbjiqQIqap6x0H_F2VAfqI0f-AqvrruQFXhCSAWTWaBzkqyOmx5SKb9F4Em-KJpx009QT4xUxNxnDuybn9B8G2FbWvqhlz4IFcIhbUaeoGhFcJD1IIuY6MDv8qmtGCCQCxzNqnGB6WCAlLq2H1CG98USQ9jn8QHq6-m8XNhDiejXlZmwOyLOsKnRYM_wsE1NJp3J-Lbpbd5yo1UFbjnTtAm_6I9X6RGssZlAHLzNaqWrX_p5ptvSgiWxudLYpaHJOuDf0arA8Yzkvvrf7xzMiXBCDVZQZHIbv2FT-zh_AFo_8UVXQnTjQKQt43T0_nFFSalxkQyhFQxGi23OdOYxjnc99WSt0_ZughpENdb_AlgoumH7qJ5t98lmzpB2_iT7oHdR7_wQzTqNfJOgd609lts9Th_CffFoIsbpdxUCnmRymm5oGqt6PeN26t7qqHpiiQE8RZgHJfRKeEu4jlrB1KhewtHY4k2qc5k0l6JTY1UNDeNN-oJUlVpemK5o-LMeE"}, {"type": "function_call", "name": "test_plan", "arguments": "{\"check\":\"load\"}", "call_id": "call_XbfhkVD7WPJDfAuzSJ2jEs8M", "id": "fc_0b39bc6aa975b4c9006ab34a39c15487d2a7a94b925d6c856a", "index": 1}, {"type": "function_call", "name": "test_plan", "arguments": "{\"check\":\"freshness\"}", "call_id": "call_KCJmngQO2TlJ4c8w1cx8jV9O", "id": "fc_0b39bc6aa975b4c9006ab34a39c16487d2a5ea8b5e6d23aba9", "index": 2}, {"type": "function_call", "name": "test_plan", "arguments": "{\"check\":\"rollback\"}", "call_id": "call_3Kl3UGEphADmYbsgmHChXuLL", "id": "fc_0b39bc6aa975b4c9006ab34a39c17087d28666561372a23bf4", "index": 3}]
{"name": "test_plan", "args": {"check": "load"}, "id": "call_XbfhkVD7WPJDfAuzSJ2jEs8M", "type": "tool_call"}
{"name": "test_plan", "args": {"check": "freshness"}, "id": "call_KCJmngQO2TlJ4c8w1cx8jV9O", "type": "tool_call"}
{"name": "test_plan", "args": {"check": "rollback"}, "id": "call_3Kl3UGEphADmYbsgmHChXuLL", "type": "tool_call"}</t>
  </si>
  <si>
    <t>Tool · test_plan</t>
  </si>
  <si>
    <t>01a0cc59-f2d9-75d1-af63-e2efaf6f74e6</t>
  </si>
  <si>
    <t>{'check': 'load'}</t>
  </si>
  <si>
    <t>PASS: deduplicated lookups plus 30s cache yield p95 410ms at 240 requests/s; pool occupancy 65%.</t>
  </si>
  <si>
    <t>01a0cc59-f2da-7ce0-96d4-bc2a5d0a5567</t>
  </si>
  <si>
    <t>{'check': 'freshness'}</t>
  </si>
  <si>
    <t>PASS: account changes invalidate cached values; maximum fallback age is 30s.</t>
  </si>
  <si>
    <t>01a0cc59-f2db-75c2-9079-520356abc7fd</t>
  </si>
  <si>
    <t>{'check': 'rollback'}</t>
  </si>
  <si>
    <t>PASS: feature flag restores original lookup path; no schema migration required.</t>
  </si>
  <si>
    <t>R3</t>
  </si>
  <si>
    <t>01a0cc59-f2e6-7dc0-a80f-692cbfb76fd8</t>
  </si>
  <si>
    <t>PASS: deduplicated lookups plus 30s cache yield p95 410ms at 240 requests/s; pool occupancy 65%.
PASS: account changes invalidate cached values; maximum fallback age is 30s.
PASS: feature flag restores original lookup path; no schema migration required.</t>
  </si>
  <si>
    <t>[{"type": "text", "text": "## Findings\n\n- **Traffic:** Peak load is 240 requests/s, with p95 latency at 1.8s. Latency increases during database bursts despite 12 workers.\n- **Database:** The connection pool is capped at 12. Queries have an 80ms median but a 900ms p95. Requests perform duplicate account lookups, increasing contention.\n- **Constraints:** Reduce p95 below 500ms, add no database nodes, and keep cache lifetime at or below 60 seconds.\n\n## Proposed latency plan\n\n1. **Deduplicate account lookups per request** so repeated accesses share one in-flight result.\n2. **Add a short-lived account cache** with a 30-second TTL.\n3. **Invalidate cached account data on account changes** to preserve freshness.\n4. **Roll out behind a feature flag** and monitor p95 latency, pool occupancy, cache hit rate, and error rate.\n5. **Roll back by disabling the flag** if latency, correctness, or error metrics regress.\n\n## Validation\n\nThe plan check passed:\n\n- At **240 requests/s**, deduplicated lookups plus a **30-second cache** achieved **410ms p95 latency**, below the 500ms target.\n- Database pool occupancy was **65%**, leaving capacity below the pool limit of 12.\n- Account changes invalidate cached values, and maximum fallback age is **30 seconds**.\n- The feature flag restores the original lookup path, with **no schema migration required**.\n\nThis plan meets the latency, database-capacity, freshness, and rollback constraints.", "phase": "final_answer", "index": 0, "id": "msg_0b39bc6aa975b4c9006ab34a3acbb887d2ac7c31225163ccc7"}]</t>
  </si>
  <si>
    <t>investigation_agent</t>
  </si>
  <si>
    <t>workflow</t>
  </si>
  <si>
    <t>Execute the investigation_agent workflow operation and pass its result to the next graph step.</t>
  </si>
  <si>
    <t>Subtree total</t>
  </si>
  <si>
    <t xml:space="preserve">    PatchToolCallsMiddleware.before_agent</t>
  </si>
  <si>
    <t>Check message history and repair missing tool responses before the agent starts.</t>
  </si>
  <si>
    <t>01a0cc59-e484-7d41-8325-533933342666</t>
  </si>
  <si>
    <t>No model charge</t>
  </si>
  <si>
    <t xml:space="preserve">    model</t>
  </si>
  <si>
    <t>Prepare the current conversation, run model middleware, and invoke the chat model.</t>
  </si>
  <si>
    <t>01a0cc59-e485-7153-bdec-68c4f5aed784</t>
  </si>
  <si>
    <t xml:space="preserve">        ChatOpenAI</t>
  </si>
  <si>
    <t>model</t>
  </si>
  <si>
    <t>Generate the next assistant message or tool request from the current conversation.</t>
  </si>
  <si>
    <t>Own call</t>
  </si>
  <si>
    <t xml:space="preserve">    tools</t>
  </si>
  <si>
    <t>Execute tool calls requested by the preceding model response and return their observations.</t>
  </si>
  <si>
    <t>01a0cc59-eb2c-7872-9455-6fc683c521a2</t>
  </si>
  <si>
    <t xml:space="preserve">        inspect_service</t>
  </si>
  <si>
    <t>tool</t>
  </si>
  <si>
    <t>Read fictional service evidence; no live service is inspected.</t>
  </si>
  <si>
    <t>01a0cc59-eb2c-7872-9455-6fdb1e34cdcd</t>
  </si>
  <si>
    <t>01a0cc59-eb2c-7872-9455-6fe26b1d412f</t>
  </si>
  <si>
    <t>01a0cc59-eb35-7812-b954-589b69d576e8</t>
  </si>
  <si>
    <t>01a0cc59-f2d7-71b1-af92-a3553aa6f716</t>
  </si>
  <si>
    <t xml:space="preserve">        test_plan</t>
  </si>
  <si>
    <t>Return a fixed fictional plan-check result; no real test is executed.</t>
  </si>
  <si>
    <t>01a0cc59-f2d7-71b1-af92-a36d57b0dd68</t>
  </si>
  <si>
    <t>01a0cc59-f2d7-71b1-af92-a3752f4a6ffb</t>
  </si>
  <si>
    <t>01a0cc59-f2e2-77d0-a96f-6bbfb2a05385</t>
  </si>
</sst>
</file>

<file path=xl/styles.xml><?xml version="1.0" encoding="utf-8"?>
<styleSheet xmlns="http://schemas.openxmlformats.org/spreadsheetml/2006/main">
  <numFmts count="2">
    <numFmt numFmtId="164" formatCode="0.###############;-0.###############;0"/>
    <numFmt numFmtId="165" formatCode="#,##0"/>
  </numFmts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173B7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B70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1B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vertical="top"/>
    </xf>
    <xf numFmtId="0" fontId="2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/>
    </xf>
    <xf numFmtId="165" fontId="1" fillId="0" borderId="0" xfId="0" applyNumberFormat="1" applyFont="1" applyAlignment="1">
      <alignment vertical="top"/>
    </xf>
    <xf numFmtId="0" fontId="1" fillId="0" borderId="0" xfId="0" applyFont="1" applyAlignment="1">
      <alignment vertical="top" wrapText="1"/>
    </xf>
    <xf numFmtId="165" fontId="0" fillId="4" borderId="0" xfId="0" applyNumberFormat="1" applyFill="1"/>
  </cellXfs>
  <cellStyles count="1">
    <cellStyle name="Normal" xfId="0" builtinId="0"/>
  </cellStyles>
  <dxfs count="1">
    <dxf>
      <font>
        <color rgb="FF8B1010"/>
      </font>
      <fill>
        <patternFill>
          <bgColor rgb="FFFFD3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73B70"/>
  </sheetPr>
  <dimension ref="A1:M60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2" width="10.7109375" customWidth="1"/>
    <col min="3" max="3" width="38.7109375" customWidth="1"/>
    <col min="4" max="4" width="18.7109375" style="1" customWidth="1"/>
    <col min="5" max="6" width="22.7109375" style="2" customWidth="1"/>
    <col min="7" max="8" width="18.7109375" style="1" customWidth="1"/>
    <col min="9" max="9" width="100.7109375" customWidth="1"/>
    <col min="10" max="10" width="26.7109375" customWidth="1"/>
    <col min="11" max="12" width="18.7109375" style="1" customWidth="1"/>
    <col min="13" max="13" width="38.7109375" customWidth="1"/>
  </cols>
  <sheetData>
    <row r="1" spans="1:13" ht="4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s="4" customFormat="1" ht="24" customHeight="1">
      <c r="C2" s="4" t="s">
        <v>91</v>
      </c>
      <c r="E2" s="2">
        <f>IF(COUNT('Turns'!E17,'Turns'!E39,'Turns'!E60)=3,SUM('Turns'!E17,'Turns'!E39,'Turns'!E60),"Unknown")</f>
        <v>0.0011492166195</v>
      </c>
      <c r="F2" s="2">
        <f>IF(COUNT('Turns'!F17,'Turns'!F39,'Turns'!F60)=3,SUM('Turns'!F17,'Turns'!F39,'Turns'!F60),"Unknown")</f>
        <v>0.00131735</v>
      </c>
      <c r="G2" s="5">
        <f>IF(ISNUMBER(E2),ROUND(E2*'Reference data'!$B$2,0),"Unknown")</f>
        <v>115.0</v>
      </c>
      <c r="H2" s="5">
        <f>IF(ISNUMBER(F2),ROUND(F2*'Reference data'!$B$2,0),"Unknown")</f>
        <v>132.0</v>
      </c>
    </row>
    <row r="3" spans="1:13" s="4" customFormat="1" ht="24" customHeight="1">
      <c r="B3" s="4">
        <v>1</v>
      </c>
      <c r="C3" s="4" t="s">
        <v>92</v>
      </c>
      <c r="E3" s="2">
        <f>IF(COUNT('Turns'!E17,'Turns'!E39,'Turns'!E60)=3,SUM('Turns'!E17,'Turns'!E39,'Turns'!E60),"Unknown")</f>
        <v>0.0011492166195</v>
      </c>
      <c r="F3" s="2">
        <f>IF(COUNT('Turns'!F17,'Turns'!F39,'Turns'!F60)=3,SUM('Turns'!F17,'Turns'!F39,'Turns'!F60),"Unknown")</f>
        <v>0.00131735</v>
      </c>
      <c r="G3" s="5">
        <f>IF(ISNUMBER(E3),ROUND(E3*'Reference data'!$B$2,0),"Unknown")</f>
        <v>115.0</v>
      </c>
      <c r="H3" s="5">
        <f>IF(ISNUMBER(F3),ROUND(F3*'Reference data'!$B$2,0),"Unknown")</f>
        <v>132.0</v>
      </c>
    </row>
    <row r="4" spans="1:13" s="4" customFormat="1" ht="24" customHeight="1">
      <c r="A4" s="4" t="s">
        <v>93</v>
      </c>
      <c r="B4" s="4">
        <v>1</v>
      </c>
      <c r="C4" s="4" t="s">
        <v>94</v>
      </c>
      <c r="D4" s="4">
        <v>2102</v>
      </c>
      <c r="J4" s="4" t="s">
        <v>95</v>
      </c>
      <c r="M4" s="4" t="s">
        <v>96</v>
      </c>
    </row>
    <row r="5" spans="1:13" ht="24" customHeight="1">
      <c r="A5" t="s">
        <v>93</v>
      </c>
      <c r="B5">
        <v>1</v>
      </c>
      <c r="C5" t="s">
        <v>97</v>
      </c>
      <c r="D5" s="5">
        <v>3</v>
      </c>
      <c r="E5" s="2">
        <f>IF(AND(ISNUMBER(F5),ISNUMBER('Reference data'!$B$3)),F5*'Reference data'!$B$3,"Unknown")</f>
        <v>5.23422e-07</v>
      </c>
      <c r="F5" s="2">
        <f>IF(D5=0,0,IF(ISNUMBER('Reference data'!B17),D5*'Reference data'!B17/1000000,"Unknown"))</f>
        <v>6e-07</v>
      </c>
      <c r="G5" s="5">
        <f>IF(ISNUMBER(E5),ROUND(E5*'Reference data'!$B$2,0),"Unknown")</f>
        <v>0.0</v>
      </c>
      <c r="H5" s="5">
        <f>IF(ISNUMBER(F5),ROUND(F5*'Reference data'!$B$2,0),"Unknown")</f>
        <v>0.0</v>
      </c>
    </row>
    <row r="6" spans="1:13" ht="24" customHeight="1">
      <c r="A6" t="s">
        <v>93</v>
      </c>
      <c r="B6">
        <v>1</v>
      </c>
      <c r="C6" t="s">
        <v>98</v>
      </c>
    </row>
    <row r="7" spans="1:13" ht="34" customHeight="1">
      <c r="A7" t="s">
        <v>93</v>
      </c>
      <c r="B7">
        <v>1</v>
      </c>
      <c r="C7" t="s">
        <v>99</v>
      </c>
      <c r="I7" s="6" t="s">
        <v>100</v>
      </c>
    </row>
    <row r="8" spans="1:13" ht="24" customHeight="1">
      <c r="A8" t="s">
        <v>93</v>
      </c>
      <c r="B8">
        <v>1</v>
      </c>
      <c r="C8" t="s">
        <v>101</v>
      </c>
      <c r="I8" s="6" t="s">
        <v>102</v>
      </c>
    </row>
    <row r="9" spans="1:13" ht="24" customHeight="1">
      <c r="A9" t="s">
        <v>93</v>
      </c>
      <c r="B9">
        <v>1</v>
      </c>
      <c r="C9" t="s">
        <v>103</v>
      </c>
      <c r="D9" s="5">
        <v>2099</v>
      </c>
      <c r="E9" s="2">
        <f>IF(AND(ISNUMBER(F9),ISNUMBER('Reference data'!$B$3)),F9*'Reference data'!$B$3,"Unknown")</f>
        <v>0.0004577761575</v>
      </c>
      <c r="F9" s="2">
        <f>IF(D9=0,0,IF(ISNUMBER('Reference data'!D17),D9*'Reference data'!D17/1000000,"Unknown"))</f>
        <v>0.00052475</v>
      </c>
      <c r="G9" s="5">
        <f>IF(ISNUMBER(E9),ROUND(E9*'Reference data'!$B$2,0),"Unknown")</f>
        <v>46.0</v>
      </c>
      <c r="H9" s="5">
        <f>IF(ISNUMBER(F9),ROUND(F9*'Reference data'!$B$2,0),"Unknown")</f>
        <v>52.0</v>
      </c>
    </row>
    <row r="10" spans="1:13" ht="24" customHeight="1">
      <c r="A10" t="s">
        <v>93</v>
      </c>
      <c r="B10">
        <v>1</v>
      </c>
      <c r="C10" t="s">
        <v>104</v>
      </c>
    </row>
    <row r="11" spans="1:13" s="4" customFormat="1" ht="24" customHeight="1">
      <c r="A11" s="4" t="s">
        <v>93</v>
      </c>
      <c r="B11" s="4">
        <v>1</v>
      </c>
      <c r="C11" s="4" t="s">
        <v>105</v>
      </c>
      <c r="D11" s="4">
        <v>86</v>
      </c>
    </row>
    <row r="12" spans="1:13" ht="24" customHeight="1">
      <c r="A12" t="s">
        <v>93</v>
      </c>
      <c r="B12">
        <v>1</v>
      </c>
      <c r="C12" t="s">
        <v>106</v>
      </c>
      <c r="D12" s="5">
        <v>22</v>
      </c>
      <c r="E12" s="2">
        <f>IF(AND(ISNUMBER(F12),ISNUMBER('Reference data'!$B$3)),F12*'Reference data'!$B$3,"Unknown")</f>
        <v>2.3030568e-05</v>
      </c>
      <c r="F12" s="2">
        <f>IF(D12=0,0,IF(ISNUMBER('Reference data'!F17),D12*'Reference data'!F17/1000000,"Unknown"))</f>
        <v>2.64e-05</v>
      </c>
      <c r="G12" s="5">
        <f>IF(ISNUMBER(E12),ROUND(E12*'Reference data'!$B$2,0),"Unknown")</f>
        <v>2.0</v>
      </c>
      <c r="H12" s="5">
        <f>IF(ISNUMBER(F12),ROUND(F12*'Reference data'!$B$2,0),"Unknown")</f>
        <v>3.0</v>
      </c>
    </row>
    <row r="13" spans="1:13" ht="24" customHeight="1">
      <c r="A13" t="s">
        <v>93</v>
      </c>
      <c r="B13">
        <v>1</v>
      </c>
      <c r="C13" t="s">
        <v>107</v>
      </c>
      <c r="D13" s="5">
        <v>64</v>
      </c>
      <c r="E13" s="2">
        <f>IF(AND(ISNUMBER(F13),ISNUMBER('Reference data'!$B$3)),F13*'Reference data'!$B$3,"Unknown")</f>
        <v>6.6998016e-05</v>
      </c>
      <c r="F13" s="2">
        <f>IF(D13=0,0,IF(ISNUMBER('Reference data'!E17),D13*'Reference data'!E17/1000000,"Unknown"))</f>
        <v>7.68e-05</v>
      </c>
      <c r="G13" s="5">
        <f>IF(ISNUMBER(E13),ROUND(E13*'Reference data'!$B$2,0),"Unknown")</f>
        <v>7.0</v>
      </c>
      <c r="H13" s="5">
        <f>IF(ISNUMBER(F13),ROUND(F13*'Reference data'!$B$2,0),"Unknown")</f>
        <v>8.0</v>
      </c>
    </row>
    <row r="14" spans="1:13" ht="409" customHeight="1">
      <c r="A14" t="s">
        <v>93</v>
      </c>
      <c r="B14">
        <v>1</v>
      </c>
      <c r="C14" t="s">
        <v>108</v>
      </c>
      <c r="I14" s="6" t="s">
        <v>109</v>
      </c>
    </row>
    <row r="15" spans="1:13" ht="24" customHeight="1">
      <c r="A15" t="s">
        <v>93</v>
      </c>
      <c r="B15">
        <v>1</v>
      </c>
      <c r="C15" t="s">
        <v>103</v>
      </c>
    </row>
    <row r="16" spans="1:13" ht="24" customHeight="1">
      <c r="A16" t="s">
        <v>93</v>
      </c>
      <c r="B16">
        <v>1</v>
      </c>
      <c r="C16" t="s">
        <v>104</v>
      </c>
    </row>
    <row r="17" spans="1:13" s="4" customFormat="1" ht="24" customHeight="1">
      <c r="A17" s="4" t="s">
        <v>93</v>
      </c>
      <c r="B17" s="4">
        <v>1</v>
      </c>
      <c r="C17" s="4" t="s">
        <v>110</v>
      </c>
      <c r="E17" s="2">
        <f>IF(COUNT('Turns'!E5,'Turns'!E9,'Turns'!E12,'Turns'!E13)=4,SUM('Turns'!E5,'Turns'!E9,'Turns'!E12,'Turns'!E13),"Unknown")</f>
        <v>0.0005483281635</v>
      </c>
      <c r="F17" s="2">
        <f>IF(COUNT('Turns'!F5,'Turns'!F9,'Turns'!F12,'Turns'!F13)=4,SUM('Turns'!F5,'Turns'!F9,'Turns'!F12,'Turns'!F13),"Unknown")</f>
        <v>0.00062855</v>
      </c>
      <c r="G17" s="5">
        <f>IF(ISNUMBER(E17),ROUND(E17*'Reference data'!$B$2,0),"Unknown")</f>
        <v>55.0</v>
      </c>
      <c r="H17" s="5">
        <f>IF(ISNUMBER(F17),ROUND(F17*'Reference data'!$B$2,0),"Unknown")</f>
        <v>63.0</v>
      </c>
      <c r="K17" s="4" t="s">
        <v>111</v>
      </c>
    </row>
    <row r="18" spans="1:13" s="4" customFormat="1" ht="24" customHeight="1">
      <c r="B18" s="4">
        <v>1</v>
      </c>
      <c r="C18" s="4" t="s">
        <v>112</v>
      </c>
      <c r="K18" s="4" t="s">
        <v>111</v>
      </c>
      <c r="M18" s="4" t="s">
        <v>113</v>
      </c>
    </row>
    <row r="19" spans="1:13" ht="24" customHeight="1">
      <c r="B19">
        <v>1</v>
      </c>
      <c r="C19" t="s">
        <v>114</v>
      </c>
      <c r="I19" s="6" t="s">
        <v>115</v>
      </c>
    </row>
    <row r="20" spans="1:13" ht="24" customHeight="1">
      <c r="B20">
        <v>1</v>
      </c>
      <c r="C20" t="s">
        <v>116</v>
      </c>
      <c r="I20" s="6" t="s">
        <v>117</v>
      </c>
    </row>
    <row r="21" spans="1:13" s="4" customFormat="1" ht="24" customHeight="1">
      <c r="B21" s="4">
        <v>1</v>
      </c>
      <c r="C21" s="4" t="s">
        <v>112</v>
      </c>
      <c r="K21" s="4" t="s">
        <v>111</v>
      </c>
      <c r="M21" s="4" t="s">
        <v>118</v>
      </c>
    </row>
    <row r="22" spans="1:13" ht="24" customHeight="1">
      <c r="B22">
        <v>1</v>
      </c>
      <c r="C22" t="s">
        <v>114</v>
      </c>
      <c r="I22" s="6" t="s">
        <v>119</v>
      </c>
    </row>
    <row r="23" spans="1:13" ht="34" customHeight="1">
      <c r="B23">
        <v>1</v>
      </c>
      <c r="C23" t="s">
        <v>116</v>
      </c>
      <c r="I23" s="6" t="s">
        <v>120</v>
      </c>
    </row>
    <row r="24" spans="1:13" s="4" customFormat="1" ht="24" customHeight="1">
      <c r="B24" s="4">
        <v>1</v>
      </c>
      <c r="C24" s="4" t="s">
        <v>112</v>
      </c>
      <c r="K24" s="4" t="s">
        <v>111</v>
      </c>
      <c r="M24" s="4" t="s">
        <v>121</v>
      </c>
    </row>
    <row r="25" spans="1:13" ht="24" customHeight="1">
      <c r="B25">
        <v>1</v>
      </c>
      <c r="C25" t="s">
        <v>114</v>
      </c>
      <c r="I25" s="6" t="s">
        <v>122</v>
      </c>
    </row>
    <row r="26" spans="1:13" ht="34" customHeight="1">
      <c r="B26">
        <v>1</v>
      </c>
      <c r="C26" t="s">
        <v>116</v>
      </c>
      <c r="I26" s="6" t="s">
        <v>123</v>
      </c>
    </row>
    <row r="27" spans="1:13" s="4" customFormat="1" ht="24" customHeight="1">
      <c r="A27" s="4" t="s">
        <v>124</v>
      </c>
      <c r="B27" s="4">
        <v>1</v>
      </c>
      <c r="C27" s="4" t="s">
        <v>94</v>
      </c>
      <c r="D27" s="4">
        <v>2289</v>
      </c>
      <c r="J27" s="4" t="s">
        <v>95</v>
      </c>
      <c r="M27" s="4" t="s">
        <v>125</v>
      </c>
    </row>
    <row r="28" spans="1:13" ht="24" customHeight="1">
      <c r="A28" t="s">
        <v>124</v>
      </c>
      <c r="B28">
        <v>1</v>
      </c>
      <c r="C28" t="s">
        <v>126</v>
      </c>
      <c r="D28" s="5">
        <v>2099</v>
      </c>
      <c r="E28" s="2">
        <f>IF(AND(ISNUMBER(F28),ISNUMBER('Reference data'!$B$3)),F28*'Reference data'!$B$3,"Unknown")</f>
        <v>3.66220926e-05</v>
      </c>
      <c r="F28" s="2">
        <f>IF(D28=0,0,IF(ISNUMBER('Reference data'!C17),D28*'Reference data'!C17/1000000,"Unknown"))</f>
        <v>4.198e-05</v>
      </c>
      <c r="G28" s="5">
        <f>IF(ISNUMBER(E28),ROUND(E28*'Reference data'!$B$2,0),"Unknown")</f>
        <v>4.0</v>
      </c>
      <c r="H28" s="5">
        <f>IF(ISNUMBER(F28),ROUND(F28*'Reference data'!$B$2,0),"Unknown")</f>
        <v>4.0</v>
      </c>
    </row>
    <row r="29" spans="1:13" ht="24" customHeight="1">
      <c r="A29" t="s">
        <v>124</v>
      </c>
      <c r="B29">
        <v>1</v>
      </c>
      <c r="C29" t="s">
        <v>97</v>
      </c>
      <c r="D29" s="5">
        <v>3</v>
      </c>
      <c r="E29" s="2">
        <f>IF(AND(ISNUMBER(F29),ISNUMBER('Reference data'!$B$3)),F29*'Reference data'!$B$3,"Unknown")</f>
        <v>5.23422e-07</v>
      </c>
      <c r="F29" s="2">
        <f>IF(D29=0,0,IF(ISNUMBER('Reference data'!B17),D29*'Reference data'!B17/1000000,"Unknown"))</f>
        <v>6e-07</v>
      </c>
      <c r="G29" s="5">
        <f>IF(ISNUMBER(E29),ROUND(E29*'Reference data'!$B$2,0),"Unknown")</f>
        <v>0.0</v>
      </c>
      <c r="H29" s="5">
        <f>IF(ISNUMBER(F29),ROUND(F29*'Reference data'!$B$2,0),"Unknown")</f>
        <v>0.0</v>
      </c>
    </row>
    <row r="30" spans="1:13" ht="73" customHeight="1">
      <c r="A30" t="s">
        <v>124</v>
      </c>
      <c r="B30">
        <v>1</v>
      </c>
      <c r="C30" t="s">
        <v>127</v>
      </c>
      <c r="I30" s="6" t="s">
        <v>128</v>
      </c>
    </row>
    <row r="31" spans="1:13" ht="24" customHeight="1">
      <c r="A31" t="s">
        <v>124</v>
      </c>
      <c r="B31">
        <v>1</v>
      </c>
      <c r="C31" t="s">
        <v>103</v>
      </c>
      <c r="D31" s="5">
        <v>187</v>
      </c>
      <c r="E31" s="2">
        <f>IF(AND(ISNUMBER(F31),ISNUMBER('Reference data'!$B$3)),F31*'Reference data'!$B$3,"Unknown")</f>
        <v>4.07832975e-05</v>
      </c>
      <c r="F31" s="2">
        <f>IF(D31=0,0,IF(ISNUMBER('Reference data'!D17),D31*'Reference data'!D17/1000000,"Unknown"))</f>
        <v>4.675e-05</v>
      </c>
      <c r="G31" s="5">
        <f>IF(ISNUMBER(E31),ROUND(E31*'Reference data'!$B$2,0),"Unknown")</f>
        <v>4.0</v>
      </c>
      <c r="H31" s="5">
        <f>IF(ISNUMBER(F31),ROUND(F31*'Reference data'!$B$2,0),"Unknown")</f>
        <v>5.0</v>
      </c>
    </row>
    <row r="32" spans="1:13" ht="24" customHeight="1">
      <c r="A32" t="s">
        <v>124</v>
      </c>
      <c r="B32">
        <v>1</v>
      </c>
      <c r="C32" t="s">
        <v>104</v>
      </c>
    </row>
    <row r="33" spans="1:13" s="4" customFormat="1" ht="24" customHeight="1">
      <c r="A33" s="4" t="s">
        <v>124</v>
      </c>
      <c r="B33" s="4">
        <v>1</v>
      </c>
      <c r="C33" s="4" t="s">
        <v>105</v>
      </c>
      <c r="D33" s="4">
        <v>99</v>
      </c>
    </row>
    <row r="34" spans="1:13" ht="24" customHeight="1">
      <c r="A34" t="s">
        <v>124</v>
      </c>
      <c r="B34">
        <v>1</v>
      </c>
      <c r="C34" t="s">
        <v>106</v>
      </c>
      <c r="D34" s="5">
        <v>34</v>
      </c>
      <c r="E34" s="2">
        <f>IF(AND(ISNUMBER(F34),ISNUMBER('Reference data'!$B$3)),F34*'Reference data'!$B$3,"Unknown")</f>
        <v>3.5592696e-05</v>
      </c>
      <c r="F34" s="2">
        <f>IF(D34=0,0,IF(ISNUMBER('Reference data'!F17),D34*'Reference data'!F17/1000000,"Unknown"))</f>
        <v>4.08e-05</v>
      </c>
      <c r="G34" s="5">
        <f>IF(ISNUMBER(E34),ROUND(E34*'Reference data'!$B$2,0),"Unknown")</f>
        <v>4.0</v>
      </c>
      <c r="H34" s="5">
        <f>IF(ISNUMBER(F34),ROUND(F34*'Reference data'!$B$2,0),"Unknown")</f>
        <v>4.0</v>
      </c>
    </row>
    <row r="35" spans="1:13" ht="24" customHeight="1">
      <c r="A35" t="s">
        <v>124</v>
      </c>
      <c r="B35">
        <v>1</v>
      </c>
      <c r="C35" t="s">
        <v>107</v>
      </c>
      <c r="D35" s="5">
        <v>65</v>
      </c>
      <c r="E35" s="2">
        <f>IF(AND(ISNUMBER(F35),ISNUMBER('Reference data'!$B$3)),F35*'Reference data'!$B$3,"Unknown")</f>
        <v>6.804486e-05</v>
      </c>
      <c r="F35" s="2">
        <f>IF(D35=0,0,IF(ISNUMBER('Reference data'!E17),D35*'Reference data'!E17/1000000,"Unknown"))</f>
        <v>7.8e-05</v>
      </c>
      <c r="G35" s="5">
        <f>IF(ISNUMBER(E35),ROUND(E35*'Reference data'!$B$2,0),"Unknown")</f>
        <v>7.0</v>
      </c>
      <c r="H35" s="5">
        <f>IF(ISNUMBER(F35),ROUND(F35*'Reference data'!$B$2,0),"Unknown")</f>
        <v>8.0</v>
      </c>
    </row>
    <row r="36" spans="1:13" ht="409" customHeight="1">
      <c r="A36" t="s">
        <v>124</v>
      </c>
      <c r="B36">
        <v>1</v>
      </c>
      <c r="C36" t="s">
        <v>108</v>
      </c>
      <c r="I36" s="6" t="s">
        <v>129</v>
      </c>
    </row>
    <row r="37" spans="1:13" ht="24" customHeight="1">
      <c r="A37" t="s">
        <v>124</v>
      </c>
      <c r="B37">
        <v>1</v>
      </c>
      <c r="C37" t="s">
        <v>103</v>
      </c>
    </row>
    <row r="38" spans="1:13" ht="24" customHeight="1">
      <c r="A38" t="s">
        <v>124</v>
      </c>
      <c r="B38">
        <v>1</v>
      </c>
      <c r="C38" t="s">
        <v>104</v>
      </c>
    </row>
    <row r="39" spans="1:13" s="4" customFormat="1" ht="24" customHeight="1">
      <c r="A39" s="4" t="s">
        <v>124</v>
      </c>
      <c r="B39" s="4">
        <v>1</v>
      </c>
      <c r="C39" s="4" t="s">
        <v>110</v>
      </c>
      <c r="E39" s="2">
        <f>IF(COUNT('Turns'!E28,'Turns'!E29,'Turns'!E31,'Turns'!E34,'Turns'!E35)=5,SUM('Turns'!E28,'Turns'!E29,'Turns'!E31,'Turns'!E34,'Turns'!E35),"Unknown")</f>
        <v>0.0001815663681</v>
      </c>
      <c r="F39" s="2">
        <f>IF(COUNT('Turns'!F28,'Turns'!F29,'Turns'!F31,'Turns'!F34,'Turns'!F35)=5,SUM('Turns'!F28,'Turns'!F29,'Turns'!F31,'Turns'!F34,'Turns'!F35),"Unknown")</f>
        <v>0.00020813</v>
      </c>
      <c r="G39" s="5">
        <f>IF(ISNUMBER(E39),ROUND(E39*'Reference data'!$B$2,0),"Unknown")</f>
        <v>18.0</v>
      </c>
      <c r="H39" s="5">
        <f>IF(ISNUMBER(F39),ROUND(F39*'Reference data'!$B$2,0),"Unknown")</f>
        <v>21.0</v>
      </c>
      <c r="K39" s="4" t="s">
        <v>111</v>
      </c>
    </row>
    <row r="40" spans="1:13" s="4" customFormat="1" ht="24" customHeight="1">
      <c r="B40" s="4">
        <v>1</v>
      </c>
      <c r="C40" s="4" t="s">
        <v>130</v>
      </c>
      <c r="K40" s="4" t="s">
        <v>111</v>
      </c>
      <c r="M40" s="4" t="s">
        <v>131</v>
      </c>
    </row>
    <row r="41" spans="1:13" ht="24" customHeight="1">
      <c r="B41">
        <v>1</v>
      </c>
      <c r="C41" t="s">
        <v>114</v>
      </c>
      <c r="I41" s="6" t="s">
        <v>132</v>
      </c>
    </row>
    <row r="42" spans="1:13" ht="34" customHeight="1">
      <c r="B42">
        <v>1</v>
      </c>
      <c r="C42" t="s">
        <v>116</v>
      </c>
      <c r="I42" s="6" t="s">
        <v>133</v>
      </c>
    </row>
    <row r="43" spans="1:13" s="4" customFormat="1" ht="24" customHeight="1">
      <c r="B43" s="4">
        <v>1</v>
      </c>
      <c r="C43" s="4" t="s">
        <v>130</v>
      </c>
      <c r="K43" s="4" t="s">
        <v>111</v>
      </c>
      <c r="M43" s="4" t="s">
        <v>134</v>
      </c>
    </row>
    <row r="44" spans="1:13" ht="24" customHeight="1">
      <c r="B44">
        <v>1</v>
      </c>
      <c r="C44" t="s">
        <v>114</v>
      </c>
      <c r="I44" s="6" t="s">
        <v>135</v>
      </c>
    </row>
    <row r="45" spans="1:13" ht="24" customHeight="1">
      <c r="B45">
        <v>1</v>
      </c>
      <c r="C45" t="s">
        <v>116</v>
      </c>
      <c r="I45" s="6" t="s">
        <v>136</v>
      </c>
    </row>
    <row r="46" spans="1:13" s="4" customFormat="1" ht="24" customHeight="1">
      <c r="B46" s="4">
        <v>1</v>
      </c>
      <c r="C46" s="4" t="s">
        <v>130</v>
      </c>
      <c r="K46" s="4" t="s">
        <v>111</v>
      </c>
      <c r="M46" s="4" t="s">
        <v>137</v>
      </c>
    </row>
    <row r="47" spans="1:13" ht="24" customHeight="1">
      <c r="B47">
        <v>1</v>
      </c>
      <c r="C47" t="s">
        <v>114</v>
      </c>
      <c r="I47" s="6" t="s">
        <v>138</v>
      </c>
    </row>
    <row r="48" spans="1:13" ht="24" customHeight="1">
      <c r="B48">
        <v>1</v>
      </c>
      <c r="C48" t="s">
        <v>116</v>
      </c>
      <c r="I48" s="6" t="s">
        <v>139</v>
      </c>
    </row>
    <row r="49" spans="1:13" s="4" customFormat="1" ht="24" customHeight="1">
      <c r="A49" s="4" t="s">
        <v>140</v>
      </c>
      <c r="B49" s="4">
        <v>1</v>
      </c>
      <c r="C49" s="4" t="s">
        <v>94</v>
      </c>
      <c r="D49" s="4">
        <v>2476</v>
      </c>
      <c r="J49" s="4" t="s">
        <v>95</v>
      </c>
      <c r="M49" s="4" t="s">
        <v>141</v>
      </c>
    </row>
    <row r="50" spans="1:13" ht="24" customHeight="1">
      <c r="A50" t="s">
        <v>140</v>
      </c>
      <c r="B50">
        <v>1</v>
      </c>
      <c r="C50" t="s">
        <v>126</v>
      </c>
      <c r="D50" s="5">
        <v>2286</v>
      </c>
      <c r="E50" s="2">
        <f>IF(AND(ISNUMBER(F50),ISNUMBER('Reference data'!$B$3)),F50*'Reference data'!$B$3,"Unknown")</f>
        <v>3.98847564e-05</v>
      </c>
      <c r="F50" s="2">
        <f>IF(D50=0,0,IF(ISNUMBER('Reference data'!C17),D50*'Reference data'!C17/1000000,"Unknown"))</f>
        <v>4.572e-05</v>
      </c>
      <c r="G50" s="5">
        <f>IF(ISNUMBER(E50),ROUND(E50*'Reference data'!$B$2,0),"Unknown")</f>
        <v>4.0</v>
      </c>
      <c r="H50" s="5">
        <f>IF(ISNUMBER(F50),ROUND(F50*'Reference data'!$B$2,0),"Unknown")</f>
        <v>5.0</v>
      </c>
    </row>
    <row r="51" spans="1:13" ht="24" customHeight="1">
      <c r="A51" t="s">
        <v>140</v>
      </c>
      <c r="B51">
        <v>1</v>
      </c>
      <c r="C51" t="s">
        <v>97</v>
      </c>
      <c r="D51" s="5">
        <v>3</v>
      </c>
      <c r="E51" s="2">
        <f>IF(AND(ISNUMBER(F51),ISNUMBER('Reference data'!$B$3)),F51*'Reference data'!$B$3,"Unknown")</f>
        <v>5.23422e-07</v>
      </c>
      <c r="F51" s="2">
        <f>IF(D51=0,0,IF(ISNUMBER('Reference data'!B17),D51*'Reference data'!B17/1000000,"Unknown"))</f>
        <v>6e-07</v>
      </c>
      <c r="G51" s="5">
        <f>IF(ISNUMBER(E51),ROUND(E51*'Reference data'!$B$2,0),"Unknown")</f>
        <v>0.0</v>
      </c>
      <c r="H51" s="5">
        <f>IF(ISNUMBER(F51),ROUND(F51*'Reference data'!$B$2,0),"Unknown")</f>
        <v>0.0</v>
      </c>
    </row>
    <row r="52" spans="1:13" ht="60" customHeight="1">
      <c r="A52" t="s">
        <v>140</v>
      </c>
      <c r="B52">
        <v>1</v>
      </c>
      <c r="C52" t="s">
        <v>127</v>
      </c>
      <c r="I52" s="6" t="s">
        <v>142</v>
      </c>
    </row>
    <row r="53" spans="1:13" ht="24" customHeight="1">
      <c r="A53" t="s">
        <v>140</v>
      </c>
      <c r="B53">
        <v>1</v>
      </c>
      <c r="C53" t="s">
        <v>103</v>
      </c>
      <c r="D53" s="5">
        <v>187</v>
      </c>
      <c r="E53" s="2">
        <f>IF(AND(ISNUMBER(F53),ISNUMBER('Reference data'!$B$3)),F53*'Reference data'!$B$3,"Unknown")</f>
        <v>4.07832975e-05</v>
      </c>
      <c r="F53" s="2">
        <f>IF(D53=0,0,IF(ISNUMBER('Reference data'!D17),D53*'Reference data'!D17/1000000,"Unknown"))</f>
        <v>4.675e-05</v>
      </c>
      <c r="G53" s="5">
        <f>IF(ISNUMBER(E53),ROUND(E53*'Reference data'!$B$2,0),"Unknown")</f>
        <v>4.0</v>
      </c>
      <c r="H53" s="5">
        <f>IF(ISNUMBER(F53),ROUND(F53*'Reference data'!$B$2,0),"Unknown")</f>
        <v>5.0</v>
      </c>
    </row>
    <row r="54" spans="1:13" ht="24" customHeight="1">
      <c r="A54" t="s">
        <v>140</v>
      </c>
      <c r="B54">
        <v>1</v>
      </c>
      <c r="C54" t="s">
        <v>104</v>
      </c>
    </row>
    <row r="55" spans="1:13" s="4" customFormat="1" ht="24" customHeight="1">
      <c r="A55" s="4" t="s">
        <v>140</v>
      </c>
      <c r="B55" s="4">
        <v>1</v>
      </c>
      <c r="C55" s="4" t="s">
        <v>105</v>
      </c>
      <c r="D55" s="4">
        <v>323</v>
      </c>
    </row>
    <row r="56" spans="1:13" ht="24" customHeight="1">
      <c r="A56" t="s">
        <v>140</v>
      </c>
      <c r="B56">
        <v>1</v>
      </c>
      <c r="C56" t="s">
        <v>107</v>
      </c>
      <c r="D56" s="5">
        <v>323</v>
      </c>
      <c r="E56" s="2">
        <f>IF(AND(ISNUMBER(F56),ISNUMBER('Reference data'!$B$3)),F56*'Reference data'!$B$3,"Unknown")</f>
        <v>0.000338130612</v>
      </c>
      <c r="F56" s="2">
        <f>IF(D56=0,0,IF(ISNUMBER('Reference data'!E17),D56*'Reference data'!E17/1000000,"Unknown"))</f>
        <v>0.0003876</v>
      </c>
      <c r="G56" s="5">
        <f>IF(ISNUMBER(E56),ROUND(E56*'Reference data'!$B$2,0),"Unknown")</f>
        <v>34.0</v>
      </c>
      <c r="H56" s="5">
        <f>IF(ISNUMBER(F56),ROUND(F56*'Reference data'!$B$2,0),"Unknown")</f>
        <v>39.0</v>
      </c>
    </row>
    <row r="57" spans="1:13" ht="242" customHeight="1">
      <c r="A57" t="s">
        <v>140</v>
      </c>
      <c r="B57">
        <v>1</v>
      </c>
      <c r="C57" t="s">
        <v>108</v>
      </c>
      <c r="I57" s="6" t="s">
        <v>143</v>
      </c>
    </row>
    <row r="58" spans="1:13" ht="24" customHeight="1">
      <c r="A58" t="s">
        <v>140</v>
      </c>
      <c r="B58">
        <v>1</v>
      </c>
      <c r="C58" t="s">
        <v>103</v>
      </c>
    </row>
    <row r="59" spans="1:13" ht="24" customHeight="1">
      <c r="A59" t="s">
        <v>140</v>
      </c>
      <c r="B59">
        <v>1</v>
      </c>
      <c r="C59" t="s">
        <v>104</v>
      </c>
    </row>
    <row r="60" spans="1:13" s="4" customFormat="1" ht="24" customHeight="1">
      <c r="A60" s="4" t="s">
        <v>140</v>
      </c>
      <c r="B60" s="4">
        <v>1</v>
      </c>
      <c r="C60" s="4" t="s">
        <v>110</v>
      </c>
      <c r="E60" s="2">
        <f>IF(COUNT('Turns'!E50,'Turns'!E51,'Turns'!E53,'Turns'!E56)=4,SUM('Turns'!E50,'Turns'!E51,'Turns'!E53,'Turns'!E56),"Unknown")</f>
        <v>0.0004193220879</v>
      </c>
      <c r="F60" s="2">
        <f>IF(COUNT('Turns'!F50,'Turns'!F51,'Turns'!F53,'Turns'!F56)=4,SUM('Turns'!F50,'Turns'!F51,'Turns'!F53,'Turns'!F56),"Unknown")</f>
        <v>0.00048067</v>
      </c>
      <c r="G60" s="5">
        <f>IF(ISNUMBER(E60),ROUND(E60*'Reference data'!$B$2,0),"Unknown")</f>
        <v>42.0</v>
      </c>
      <c r="H60" s="5">
        <f>IF(ISNUMBER(F60),ROUND(F60*'Reference data'!$B$2,0),"Unknown")</f>
        <v>48.0</v>
      </c>
      <c r="K60" s="4" t="s">
        <v>111</v>
      </c>
    </row>
  </sheetData>
  <conditionalFormatting sqref="A2:AE60">
    <cfRule type="expression" dxfId="0" priority="1">
      <formula>$K2="error"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73B70"/>
  </sheetPr>
  <dimension ref="A1:AE21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48.7109375" customWidth="1"/>
    <col min="2" max="6" width="18.7109375" style="1" customWidth="1"/>
    <col min="7" max="7" width="62.7109375" customWidth="1"/>
    <col min="8" max="9" width="38.7109375" customWidth="1"/>
    <col min="10" max="31" width="18.7109375" style="1" customWidth="1"/>
  </cols>
  <sheetData>
    <row r="1" spans="1:31" ht="44" customHeight="1">
      <c r="A1" s="3" t="s">
        <v>13</v>
      </c>
      <c r="B1" s="3" t="s">
        <v>14</v>
      </c>
      <c r="C1" s="3" t="s">
        <v>15</v>
      </c>
      <c r="D1" s="3" t="s">
        <v>9</v>
      </c>
      <c r="E1" s="3" t="s">
        <v>10</v>
      </c>
      <c r="F1" s="3" t="s">
        <v>16</v>
      </c>
      <c r="G1" s="3" t="s">
        <v>17</v>
      </c>
      <c r="H1" s="3" t="s">
        <v>12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3" t="s">
        <v>27</v>
      </c>
      <c r="S1" s="3" t="s">
        <v>28</v>
      </c>
      <c r="T1" s="3" t="s">
        <v>29</v>
      </c>
      <c r="U1" s="3" t="s">
        <v>30</v>
      </c>
      <c r="V1" s="3" t="s">
        <v>31</v>
      </c>
      <c r="W1" s="3" t="s">
        <v>32</v>
      </c>
      <c r="X1" s="3" t="s">
        <v>33</v>
      </c>
      <c r="Y1" s="3" t="s">
        <v>34</v>
      </c>
      <c r="Z1" s="3" t="s">
        <v>35</v>
      </c>
      <c r="AA1" s="3" t="s">
        <v>6</v>
      </c>
      <c r="AB1" s="3" t="s">
        <v>7</v>
      </c>
      <c r="AC1" s="3" t="s">
        <v>0</v>
      </c>
      <c r="AD1" s="3" t="s">
        <v>36</v>
      </c>
      <c r="AE1" s="3" t="s">
        <v>37</v>
      </c>
    </row>
    <row r="2" spans="1:31" ht="54" customHeight="1">
      <c r="A2" s="6" t="s">
        <v>144</v>
      </c>
      <c r="B2" s="1">
        <v>0</v>
      </c>
      <c r="C2" s="1" t="s">
        <v>145</v>
      </c>
      <c r="D2" s="1" t="s">
        <v>47</v>
      </c>
      <c r="E2" s="1" t="s">
        <v>111</v>
      </c>
      <c r="G2" s="6" t="s">
        <v>146</v>
      </c>
      <c r="H2" t="s">
        <v>49</v>
      </c>
      <c r="J2" s="2">
        <f>IF(COUNT('Turns'!D5,'Turns'!D29,'Turns'!D51)=3,SUM('Turns'!D5,'Turns'!D29,'Turns'!D51),"Unknown")</f>
        <v>9.0</v>
      </c>
      <c r="K2" s="2">
        <f>IF(COUNT('Turns'!E5,'Turns'!E29,'Turns'!E51)=3,SUM('Turns'!E5,'Turns'!E29,'Turns'!E51),"Unknown")</f>
        <v>1.570266e-06</v>
      </c>
      <c r="L2" s="2">
        <f>IF(COUNT('Turns'!F5,'Turns'!F29,'Turns'!F51)=3,SUM('Turns'!F5,'Turns'!F29,'Turns'!F51),"Unknown")</f>
        <v>1.8e-06</v>
      </c>
      <c r="M2" s="2">
        <f>IF(COUNT('Turns'!D28,'Turns'!D50)=2,SUM('Turns'!D28,'Turns'!D50),"Unknown")</f>
        <v>4385.0</v>
      </c>
      <c r="N2" s="2">
        <f>IF(COUNT('Turns'!E28,'Turns'!E50)=2,SUM('Turns'!E28,'Turns'!E50),"Unknown")</f>
        <v>7.6506849e-05</v>
      </c>
      <c r="O2" s="2">
        <f>IF(COUNT('Turns'!F28,'Turns'!F50)=2,SUM('Turns'!F28,'Turns'!F50),"Unknown")</f>
        <v>8.77e-05</v>
      </c>
      <c r="P2" s="2">
        <f>IF(COUNT('Turns'!D9,'Turns'!D31,'Turns'!D53)=3,SUM('Turns'!D9,'Turns'!D31,'Turns'!D53),"Unknown")</f>
        <v>2473.0</v>
      </c>
      <c r="Q2" s="2">
        <f>IF(COUNT('Turns'!E9,'Turns'!E31,'Turns'!E53)=3,SUM('Turns'!E9,'Turns'!E31,'Turns'!E53),"Unknown")</f>
        <v>0.0005393427525</v>
      </c>
      <c r="R2" s="2">
        <f>IF(COUNT('Turns'!F9,'Turns'!F31,'Turns'!F53)=3,SUM('Turns'!F9,'Turns'!F31,'Turns'!F53),"Unknown")</f>
        <v>0.00061825</v>
      </c>
      <c r="S2" s="2">
        <f>IF(COUNT('Turns'!D13,'Turns'!D35,'Turns'!D56)=3,SUM('Turns'!D13,'Turns'!D35,'Turns'!D56),"Unknown")</f>
        <v>452.0</v>
      </c>
      <c r="T2" s="2">
        <f>IF(COUNT('Turns'!E13,'Turns'!E35,'Turns'!E56)=3,SUM('Turns'!E13,'Turns'!E35,'Turns'!E56),"Unknown")</f>
        <v>0.000473173488</v>
      </c>
      <c r="U2" s="2">
        <f>IF(COUNT('Turns'!F13,'Turns'!F35,'Turns'!F56)=3,SUM('Turns'!F13,'Turns'!F35,'Turns'!F56),"Unknown")</f>
        <v>0.0005424</v>
      </c>
      <c r="V2" s="2">
        <f>IF(COUNT('Turns'!D12,'Turns'!D34)=2,SUM('Turns'!D12,'Turns'!D34),"Unknown")</f>
        <v>56.0</v>
      </c>
      <c r="W2" s="2">
        <f>IF(COUNT('Turns'!E12,'Turns'!E34)=2,SUM('Turns'!E12,'Turns'!E34),"Unknown")</f>
        <v>5.8623264e-05</v>
      </c>
      <c r="X2" s="2">
        <f>IF(COUNT('Turns'!F12,'Turns'!F34)=2,SUM('Turns'!F12,'Turns'!F34),"Unknown")</f>
        <v>6.72e-05</v>
      </c>
      <c r="Y2" s="2">
        <f>IF(COUNT('Turns'!E17,'Turns'!E39,'Turns'!E60)=3,SUM('Turns'!E17,'Turns'!E39,'Turns'!E60),"Unknown")</f>
        <v>0.0011492166195</v>
      </c>
      <c r="Z2" s="2">
        <f>IF(COUNT('Turns'!F17,'Turns'!F39,'Turns'!F60)=3,SUM('Turns'!F17,'Turns'!F39,'Turns'!F60),"Unknown")</f>
        <v>0.00131735</v>
      </c>
      <c r="AA2" s="5">
        <f>IF(ISNUMBER(Y2),ROUND(Y2*'Reference data'!$B$2,0),"Unknown")</f>
        <v>115.0</v>
      </c>
      <c r="AB2" s="5">
        <f>IF(ISNUMBER(Z2),ROUND(Z2*'Reference data'!$B$2,0),"Unknown")</f>
        <v>132.0</v>
      </c>
      <c r="AD2" s="1">
        <v>7351.705</v>
      </c>
      <c r="AE2" s="1" t="s">
        <v>147</v>
      </c>
    </row>
    <row r="3" spans="1:31" ht="54" customHeight="1">
      <c r="A3" s="6" t="s">
        <v>148</v>
      </c>
      <c r="B3" s="1">
        <v>1</v>
      </c>
      <c r="C3" s="1" t="s">
        <v>145</v>
      </c>
      <c r="D3" s="1" t="s">
        <v>47</v>
      </c>
      <c r="E3" s="1" t="s">
        <v>111</v>
      </c>
      <c r="G3" s="6" t="s">
        <v>149</v>
      </c>
      <c r="H3" t="s">
        <v>150</v>
      </c>
      <c r="I3" t="s">
        <v>49</v>
      </c>
      <c r="AD3" s="1">
        <v>0.5610000000000001</v>
      </c>
      <c r="AE3" s="1" t="s">
        <v>151</v>
      </c>
    </row>
    <row r="4" spans="1:31" ht="54" customHeight="1">
      <c r="A4" s="6" t="s">
        <v>152</v>
      </c>
      <c r="B4" s="1">
        <v>1</v>
      </c>
      <c r="C4" s="1" t="s">
        <v>145</v>
      </c>
      <c r="D4" s="1" t="s">
        <v>47</v>
      </c>
      <c r="E4" s="1" t="s">
        <v>111</v>
      </c>
      <c r="G4" s="6" t="s">
        <v>153</v>
      </c>
      <c r="H4" t="s">
        <v>154</v>
      </c>
      <c r="I4" t="s">
        <v>49</v>
      </c>
      <c r="J4" s="2">
        <f>IF(COUNT('Turns'!D5)=1,SUM('Turns'!D5),"Unknown")</f>
        <v>3.0</v>
      </c>
      <c r="K4" s="2">
        <f>IF(COUNT('Turns'!E5)=1,SUM('Turns'!E5),"Unknown")</f>
        <v>5.23422e-07</v>
      </c>
      <c r="L4" s="2">
        <f>IF(COUNT('Turns'!F5)=1,SUM('Turns'!F5),"Unknown")</f>
        <v>6e-07</v>
      </c>
      <c r="M4" s="2">
        <v>0</v>
      </c>
      <c r="N4" s="2">
        <v>0</v>
      </c>
      <c r="O4" s="2">
        <v>0</v>
      </c>
      <c r="P4" s="2">
        <f>IF(COUNT('Turns'!D9)=1,SUM('Turns'!D9),"Unknown")</f>
        <v>2099.0</v>
      </c>
      <c r="Q4" s="2">
        <f>IF(COUNT('Turns'!E9)=1,SUM('Turns'!E9),"Unknown")</f>
        <v>0.0004577761575</v>
      </c>
      <c r="R4" s="2">
        <f>IF(COUNT('Turns'!F9)=1,SUM('Turns'!F9),"Unknown")</f>
        <v>0.00052475</v>
      </c>
      <c r="S4" s="2">
        <f>IF(COUNT('Turns'!D13)=1,SUM('Turns'!D13),"Unknown")</f>
        <v>64.0</v>
      </c>
      <c r="T4" s="2">
        <f>IF(COUNT('Turns'!E13)=1,SUM('Turns'!E13),"Unknown")</f>
        <v>6.6998016e-05</v>
      </c>
      <c r="U4" s="2">
        <f>IF(COUNT('Turns'!F13)=1,SUM('Turns'!F13),"Unknown")</f>
        <v>7.68e-05</v>
      </c>
      <c r="V4" s="2">
        <f>IF(COUNT('Turns'!D12)=1,SUM('Turns'!D12),"Unknown")</f>
        <v>22.0</v>
      </c>
      <c r="W4" s="2">
        <f>IF(COUNT('Turns'!E12)=1,SUM('Turns'!E12),"Unknown")</f>
        <v>2.3030568e-05</v>
      </c>
      <c r="X4" s="2">
        <f>IF(COUNT('Turns'!F12)=1,SUM('Turns'!F12),"Unknown")</f>
        <v>2.64e-05</v>
      </c>
      <c r="Y4" s="2">
        <f>IF(COUNT('Turns'!E17)=1,SUM('Turns'!E17),"Unknown")</f>
        <v>0.0005483281635</v>
      </c>
      <c r="Z4" s="2">
        <f>IF(COUNT('Turns'!F17)=1,SUM('Turns'!F17),"Unknown")</f>
        <v>0.00062855</v>
      </c>
      <c r="AA4" s="5">
        <f>IF(ISNUMBER(Y4),ROUND(Y4*'Reference data'!$B$2,0),"Unknown")</f>
        <v>55.0</v>
      </c>
      <c r="AB4" s="5">
        <f>IF(ISNUMBER(Z4),ROUND(Z4*'Reference data'!$B$2,0),"Unknown")</f>
        <v>63.0</v>
      </c>
      <c r="AD4" s="1">
        <v>1700.229</v>
      </c>
      <c r="AE4" s="1" t="s">
        <v>147</v>
      </c>
    </row>
    <row r="5" spans="1:31" ht="54" customHeight="1">
      <c r="A5" s="6" t="s">
        <v>155</v>
      </c>
      <c r="B5" s="1">
        <v>2</v>
      </c>
      <c r="C5" s="1" t="s">
        <v>156</v>
      </c>
      <c r="D5" s="1" t="s">
        <v>95</v>
      </c>
      <c r="E5" s="1" t="s">
        <v>111</v>
      </c>
      <c r="F5" s="1">
        <v>2102</v>
      </c>
      <c r="G5" s="6" t="s">
        <v>157</v>
      </c>
      <c r="H5" t="s">
        <v>96</v>
      </c>
      <c r="I5" t="s">
        <v>154</v>
      </c>
      <c r="J5" s="2">
        <f>IF(COUNT('Turns'!D5)=1,SUM('Turns'!D5),"Unknown")</f>
        <v>3.0</v>
      </c>
      <c r="K5" s="2">
        <f>IF(COUNT('Turns'!E5)=1,SUM('Turns'!E5),"Unknown")</f>
        <v>5.23422e-07</v>
      </c>
      <c r="L5" s="2">
        <f>IF(COUNT('Turns'!F5)=1,SUM('Turns'!F5),"Unknown")</f>
        <v>6e-07</v>
      </c>
      <c r="M5" s="2">
        <v>0</v>
      </c>
      <c r="N5" s="2">
        <v>0</v>
      </c>
      <c r="O5" s="2">
        <v>0</v>
      </c>
      <c r="P5" s="2">
        <f>IF(COUNT('Turns'!D9)=1,SUM('Turns'!D9),"Unknown")</f>
        <v>2099.0</v>
      </c>
      <c r="Q5" s="2">
        <f>IF(COUNT('Turns'!E9)=1,SUM('Turns'!E9),"Unknown")</f>
        <v>0.0004577761575</v>
      </c>
      <c r="R5" s="2">
        <f>IF(COUNT('Turns'!F9)=1,SUM('Turns'!F9),"Unknown")</f>
        <v>0.00052475</v>
      </c>
      <c r="S5" s="2">
        <f>IF(COUNT('Turns'!D13)=1,SUM('Turns'!D13),"Unknown")</f>
        <v>64.0</v>
      </c>
      <c r="T5" s="2">
        <f>IF(COUNT('Turns'!E13)=1,SUM('Turns'!E13),"Unknown")</f>
        <v>6.6998016e-05</v>
      </c>
      <c r="U5" s="2">
        <f>IF(COUNT('Turns'!F13)=1,SUM('Turns'!F13),"Unknown")</f>
        <v>7.68e-05</v>
      </c>
      <c r="V5" s="2">
        <f>IF(COUNT('Turns'!D12)=1,SUM('Turns'!D12),"Unknown")</f>
        <v>22.0</v>
      </c>
      <c r="W5" s="2">
        <f>IF(COUNT('Turns'!E12)=1,SUM('Turns'!E12),"Unknown")</f>
        <v>2.3030568e-05</v>
      </c>
      <c r="X5" s="2">
        <f>IF(COUNT('Turns'!F12)=1,SUM('Turns'!F12),"Unknown")</f>
        <v>2.64e-05</v>
      </c>
      <c r="Y5" s="2">
        <f>IF(COUNT('Turns'!E17)=1,SUM('Turns'!E17),"Unknown")</f>
        <v>0.0005483281635</v>
      </c>
      <c r="Z5" s="2">
        <f>IF(COUNT('Turns'!F17)=1,SUM('Turns'!F17),"Unknown")</f>
        <v>0.00062855</v>
      </c>
      <c r="AA5" s="5">
        <f>IF(ISNUMBER(Y5),ROUND(Y5*'Reference data'!$B$2,0),"Unknown")</f>
        <v>55.0</v>
      </c>
      <c r="AB5" s="5">
        <f>IF(ISNUMBER(Z5),ROUND(Z5*'Reference data'!$B$2,0),"Unknown")</f>
        <v>63.0</v>
      </c>
      <c r="AC5" s="1" t="s">
        <v>93</v>
      </c>
      <c r="AD5" s="1">
        <v>1692.764</v>
      </c>
      <c r="AE5" s="1" t="s">
        <v>158</v>
      </c>
    </row>
    <row r="6" spans="1:31" ht="54" customHeight="1">
      <c r="A6" s="6" t="s">
        <v>159</v>
      </c>
      <c r="B6" s="1">
        <v>1</v>
      </c>
      <c r="C6" s="1" t="s">
        <v>145</v>
      </c>
      <c r="D6" s="1" t="s">
        <v>47</v>
      </c>
      <c r="E6" s="1" t="s">
        <v>111</v>
      </c>
      <c r="G6" s="6" t="s">
        <v>160</v>
      </c>
      <c r="H6" t="s">
        <v>161</v>
      </c>
      <c r="I6" t="s">
        <v>49</v>
      </c>
      <c r="AD6" s="1">
        <v>7.721</v>
      </c>
      <c r="AE6" s="1" t="s">
        <v>151</v>
      </c>
    </row>
    <row r="7" spans="1:31" ht="54" customHeight="1">
      <c r="A7" s="6" t="s">
        <v>162</v>
      </c>
      <c r="B7" s="1">
        <v>2</v>
      </c>
      <c r="C7" s="1" t="s">
        <v>163</v>
      </c>
      <c r="D7" s="1" t="s">
        <v>47</v>
      </c>
      <c r="E7" s="1" t="s">
        <v>111</v>
      </c>
      <c r="G7" s="6" t="s">
        <v>164</v>
      </c>
      <c r="H7" t="s">
        <v>113</v>
      </c>
      <c r="I7" t="s">
        <v>161</v>
      </c>
      <c r="AD7" s="1">
        <v>2.647</v>
      </c>
      <c r="AE7" s="1" t="s">
        <v>151</v>
      </c>
    </row>
    <row r="8" spans="1:31" ht="54" customHeight="1">
      <c r="A8" s="6" t="s">
        <v>159</v>
      </c>
      <c r="B8" s="1">
        <v>1</v>
      </c>
      <c r="C8" s="1" t="s">
        <v>145</v>
      </c>
      <c r="D8" s="1" t="s">
        <v>47</v>
      </c>
      <c r="E8" s="1" t="s">
        <v>111</v>
      </c>
      <c r="G8" s="6" t="s">
        <v>160</v>
      </c>
      <c r="H8" t="s">
        <v>165</v>
      </c>
      <c r="I8" t="s">
        <v>49</v>
      </c>
      <c r="AD8" s="1">
        <v>7.324</v>
      </c>
      <c r="AE8" s="1" t="s">
        <v>151</v>
      </c>
    </row>
    <row r="9" spans="1:31" ht="54" customHeight="1">
      <c r="A9" s="6" t="s">
        <v>162</v>
      </c>
      <c r="B9" s="1">
        <v>2</v>
      </c>
      <c r="C9" s="1" t="s">
        <v>163</v>
      </c>
      <c r="D9" s="1" t="s">
        <v>47</v>
      </c>
      <c r="E9" s="1" t="s">
        <v>111</v>
      </c>
      <c r="G9" s="6" t="s">
        <v>164</v>
      </c>
      <c r="H9" t="s">
        <v>118</v>
      </c>
      <c r="I9" t="s">
        <v>165</v>
      </c>
      <c r="AD9" s="1">
        <v>2.85</v>
      </c>
      <c r="AE9" s="1" t="s">
        <v>151</v>
      </c>
    </row>
    <row r="10" spans="1:31" ht="54" customHeight="1">
      <c r="A10" s="6" t="s">
        <v>159</v>
      </c>
      <c r="B10" s="1">
        <v>1</v>
      </c>
      <c r="C10" s="1" t="s">
        <v>145</v>
      </c>
      <c r="D10" s="1" t="s">
        <v>47</v>
      </c>
      <c r="E10" s="1" t="s">
        <v>111</v>
      </c>
      <c r="G10" s="6" t="s">
        <v>160</v>
      </c>
      <c r="H10" t="s">
        <v>166</v>
      </c>
      <c r="I10" t="s">
        <v>49</v>
      </c>
      <c r="AD10" s="1">
        <v>7.176</v>
      </c>
      <c r="AE10" s="1" t="s">
        <v>151</v>
      </c>
    </row>
    <row r="11" spans="1:31" ht="54" customHeight="1">
      <c r="A11" s="6" t="s">
        <v>162</v>
      </c>
      <c r="B11" s="1">
        <v>2</v>
      </c>
      <c r="C11" s="1" t="s">
        <v>163</v>
      </c>
      <c r="D11" s="1" t="s">
        <v>47</v>
      </c>
      <c r="E11" s="1" t="s">
        <v>111</v>
      </c>
      <c r="G11" s="6" t="s">
        <v>164</v>
      </c>
      <c r="H11" t="s">
        <v>121</v>
      </c>
      <c r="I11" t="s">
        <v>166</v>
      </c>
      <c r="AD11" s="1">
        <v>2.242</v>
      </c>
      <c r="AE11" s="1" t="s">
        <v>151</v>
      </c>
    </row>
    <row r="12" spans="1:31" ht="54" customHeight="1">
      <c r="A12" s="6" t="s">
        <v>152</v>
      </c>
      <c r="B12" s="1">
        <v>1</v>
      </c>
      <c r="C12" s="1" t="s">
        <v>145</v>
      </c>
      <c r="D12" s="1" t="s">
        <v>47</v>
      </c>
      <c r="E12" s="1" t="s">
        <v>111</v>
      </c>
      <c r="G12" s="6" t="s">
        <v>153</v>
      </c>
      <c r="H12" t="s">
        <v>167</v>
      </c>
      <c r="I12" t="s">
        <v>49</v>
      </c>
      <c r="J12" s="2">
        <f>IF(COUNT('Turns'!D29)=1,SUM('Turns'!D29),"Unknown")</f>
        <v>3.0</v>
      </c>
      <c r="K12" s="2">
        <f>IF(COUNT('Turns'!E29)=1,SUM('Turns'!E29),"Unknown")</f>
        <v>5.23422e-07</v>
      </c>
      <c r="L12" s="2">
        <f>IF(COUNT('Turns'!F29)=1,SUM('Turns'!F29),"Unknown")</f>
        <v>6e-07</v>
      </c>
      <c r="M12" s="2">
        <f>IF(COUNT('Turns'!D28)=1,SUM('Turns'!D28),"Unknown")</f>
        <v>2099.0</v>
      </c>
      <c r="N12" s="2">
        <f>IF(COUNT('Turns'!E28)=1,SUM('Turns'!E28),"Unknown")</f>
        <v>3.66220926e-05</v>
      </c>
      <c r="O12" s="2">
        <f>IF(COUNT('Turns'!F28)=1,SUM('Turns'!F28),"Unknown")</f>
        <v>4.198e-05</v>
      </c>
      <c r="P12" s="2">
        <f>IF(COUNT('Turns'!D31)=1,SUM('Turns'!D31),"Unknown")</f>
        <v>187.0</v>
      </c>
      <c r="Q12" s="2">
        <f>IF(COUNT('Turns'!E31)=1,SUM('Turns'!E31),"Unknown")</f>
        <v>4.07832975e-05</v>
      </c>
      <c r="R12" s="2">
        <f>IF(COUNT('Turns'!F31)=1,SUM('Turns'!F31),"Unknown")</f>
        <v>4.675e-05</v>
      </c>
      <c r="S12" s="2">
        <f>IF(COUNT('Turns'!D35)=1,SUM('Turns'!D35),"Unknown")</f>
        <v>65.0</v>
      </c>
      <c r="T12" s="2">
        <f>IF(COUNT('Turns'!E35)=1,SUM('Turns'!E35),"Unknown")</f>
        <v>6.804486e-05</v>
      </c>
      <c r="U12" s="2">
        <f>IF(COUNT('Turns'!F35)=1,SUM('Turns'!F35),"Unknown")</f>
        <v>7.8e-05</v>
      </c>
      <c r="V12" s="2">
        <f>IF(COUNT('Turns'!D34)=1,SUM('Turns'!D34),"Unknown")</f>
        <v>34.0</v>
      </c>
      <c r="W12" s="2">
        <f>IF(COUNT('Turns'!E34)=1,SUM('Turns'!E34),"Unknown")</f>
        <v>3.5592696e-05</v>
      </c>
      <c r="X12" s="2">
        <f>IF(COUNT('Turns'!F34)=1,SUM('Turns'!F34),"Unknown")</f>
        <v>4.08e-05</v>
      </c>
      <c r="Y12" s="2">
        <f>IF(COUNT('Turns'!E39)=1,SUM('Turns'!E39),"Unknown")</f>
        <v>0.0001815663681</v>
      </c>
      <c r="Z12" s="2">
        <f>IF(COUNT('Turns'!F39)=1,SUM('Turns'!F39),"Unknown")</f>
        <v>0.00020813</v>
      </c>
      <c r="AA12" s="5">
        <f>IF(ISNUMBER(Y12),ROUND(Y12*'Reference data'!$B$2,0),"Unknown")</f>
        <v>18.0</v>
      </c>
      <c r="AB12" s="5">
        <f>IF(ISNUMBER(Z12),ROUND(Z12*'Reference data'!$B$2,0),"Unknown")</f>
        <v>21.0</v>
      </c>
      <c r="AD12" s="1">
        <v>1952.003</v>
      </c>
      <c r="AE12" s="1" t="s">
        <v>147</v>
      </c>
    </row>
    <row r="13" spans="1:31" ht="54" customHeight="1">
      <c r="A13" s="6" t="s">
        <v>155</v>
      </c>
      <c r="B13" s="1">
        <v>2</v>
      </c>
      <c r="C13" s="1" t="s">
        <v>156</v>
      </c>
      <c r="D13" s="1" t="s">
        <v>95</v>
      </c>
      <c r="E13" s="1" t="s">
        <v>111</v>
      </c>
      <c r="F13" s="1">
        <v>2289</v>
      </c>
      <c r="G13" s="6" t="s">
        <v>157</v>
      </c>
      <c r="H13" t="s">
        <v>125</v>
      </c>
      <c r="I13" t="s">
        <v>167</v>
      </c>
      <c r="J13" s="2">
        <f>IF(COUNT('Turns'!D29)=1,SUM('Turns'!D29),"Unknown")</f>
        <v>3.0</v>
      </c>
      <c r="K13" s="2">
        <f>IF(COUNT('Turns'!E29)=1,SUM('Turns'!E29),"Unknown")</f>
        <v>5.23422e-07</v>
      </c>
      <c r="L13" s="2">
        <f>IF(COUNT('Turns'!F29)=1,SUM('Turns'!F29),"Unknown")</f>
        <v>6e-07</v>
      </c>
      <c r="M13" s="2">
        <f>IF(COUNT('Turns'!D28)=1,SUM('Turns'!D28),"Unknown")</f>
        <v>2099.0</v>
      </c>
      <c r="N13" s="2">
        <f>IF(COUNT('Turns'!E28)=1,SUM('Turns'!E28),"Unknown")</f>
        <v>3.66220926e-05</v>
      </c>
      <c r="O13" s="2">
        <f>IF(COUNT('Turns'!F28)=1,SUM('Turns'!F28),"Unknown")</f>
        <v>4.198e-05</v>
      </c>
      <c r="P13" s="2">
        <f>IF(COUNT('Turns'!D31)=1,SUM('Turns'!D31),"Unknown")</f>
        <v>187.0</v>
      </c>
      <c r="Q13" s="2">
        <f>IF(COUNT('Turns'!E31)=1,SUM('Turns'!E31),"Unknown")</f>
        <v>4.07832975e-05</v>
      </c>
      <c r="R13" s="2">
        <f>IF(COUNT('Turns'!F31)=1,SUM('Turns'!F31),"Unknown")</f>
        <v>4.675e-05</v>
      </c>
      <c r="S13" s="2">
        <f>IF(COUNT('Turns'!D35)=1,SUM('Turns'!D35),"Unknown")</f>
        <v>65.0</v>
      </c>
      <c r="T13" s="2">
        <f>IF(COUNT('Turns'!E35)=1,SUM('Turns'!E35),"Unknown")</f>
        <v>6.804486e-05</v>
      </c>
      <c r="U13" s="2">
        <f>IF(COUNT('Turns'!F35)=1,SUM('Turns'!F35),"Unknown")</f>
        <v>7.8e-05</v>
      </c>
      <c r="V13" s="2">
        <f>IF(COUNT('Turns'!D34)=1,SUM('Turns'!D34),"Unknown")</f>
        <v>34.0</v>
      </c>
      <c r="W13" s="2">
        <f>IF(COUNT('Turns'!E34)=1,SUM('Turns'!E34),"Unknown")</f>
        <v>3.5592696e-05</v>
      </c>
      <c r="X13" s="2">
        <f>IF(COUNT('Turns'!F34)=1,SUM('Turns'!F34),"Unknown")</f>
        <v>4.08e-05</v>
      </c>
      <c r="Y13" s="2">
        <f>IF(COUNT('Turns'!E39)=1,SUM('Turns'!E39),"Unknown")</f>
        <v>0.0001815663681</v>
      </c>
      <c r="Z13" s="2">
        <f>IF(COUNT('Turns'!F39)=1,SUM('Turns'!F39),"Unknown")</f>
        <v>0.00020813</v>
      </c>
      <c r="AA13" s="5">
        <f>IF(ISNUMBER(Y13),ROUND(Y13*'Reference data'!$B$2,0),"Unknown")</f>
        <v>18.0</v>
      </c>
      <c r="AB13" s="5">
        <f>IF(ISNUMBER(Z13),ROUND(Z13*'Reference data'!$B$2,0),"Unknown")</f>
        <v>21.0</v>
      </c>
      <c r="AC13" s="1" t="s">
        <v>124</v>
      </c>
      <c r="AD13" s="1">
        <v>1947.127</v>
      </c>
      <c r="AE13" s="1" t="s">
        <v>158</v>
      </c>
    </row>
    <row r="14" spans="1:31" ht="54" customHeight="1">
      <c r="A14" s="6" t="s">
        <v>159</v>
      </c>
      <c r="B14" s="1">
        <v>1</v>
      </c>
      <c r="C14" s="1" t="s">
        <v>145</v>
      </c>
      <c r="D14" s="1" t="s">
        <v>47</v>
      </c>
      <c r="E14" s="1" t="s">
        <v>111</v>
      </c>
      <c r="G14" s="6" t="s">
        <v>160</v>
      </c>
      <c r="H14" t="s">
        <v>168</v>
      </c>
      <c r="I14" t="s">
        <v>49</v>
      </c>
      <c r="AD14" s="1">
        <v>8.000999999999999</v>
      </c>
      <c r="AE14" s="1" t="s">
        <v>151</v>
      </c>
    </row>
    <row r="15" spans="1:31" ht="54" customHeight="1">
      <c r="A15" s="6" t="s">
        <v>169</v>
      </c>
      <c r="B15" s="1">
        <v>2</v>
      </c>
      <c r="C15" s="1" t="s">
        <v>163</v>
      </c>
      <c r="D15" s="1" t="s">
        <v>47</v>
      </c>
      <c r="E15" s="1" t="s">
        <v>111</v>
      </c>
      <c r="G15" s="6" t="s">
        <v>170</v>
      </c>
      <c r="H15" t="s">
        <v>131</v>
      </c>
      <c r="I15" t="s">
        <v>168</v>
      </c>
      <c r="AD15" s="1">
        <v>2.777</v>
      </c>
      <c r="AE15" s="1" t="s">
        <v>151</v>
      </c>
    </row>
    <row r="16" spans="1:31" ht="54" customHeight="1">
      <c r="A16" s="6" t="s">
        <v>159</v>
      </c>
      <c r="B16" s="1">
        <v>1</v>
      </c>
      <c r="C16" s="1" t="s">
        <v>145</v>
      </c>
      <c r="D16" s="1" t="s">
        <v>47</v>
      </c>
      <c r="E16" s="1" t="s">
        <v>111</v>
      </c>
      <c r="G16" s="6" t="s">
        <v>160</v>
      </c>
      <c r="H16" t="s">
        <v>171</v>
      </c>
      <c r="I16" t="s">
        <v>49</v>
      </c>
      <c r="AD16" s="1">
        <v>8.769</v>
      </c>
      <c r="AE16" s="1" t="s">
        <v>151</v>
      </c>
    </row>
    <row r="17" spans="1:31" ht="54" customHeight="1">
      <c r="A17" s="6" t="s">
        <v>169</v>
      </c>
      <c r="B17" s="1">
        <v>2</v>
      </c>
      <c r="C17" s="1" t="s">
        <v>163</v>
      </c>
      <c r="D17" s="1" t="s">
        <v>47</v>
      </c>
      <c r="E17" s="1" t="s">
        <v>111</v>
      </c>
      <c r="G17" s="6" t="s">
        <v>170</v>
      </c>
      <c r="H17" t="s">
        <v>134</v>
      </c>
      <c r="I17" t="s">
        <v>171</v>
      </c>
      <c r="AD17" s="1">
        <v>2.677</v>
      </c>
      <c r="AE17" s="1" t="s">
        <v>151</v>
      </c>
    </row>
    <row r="18" spans="1:31" ht="54" customHeight="1">
      <c r="A18" s="6" t="s">
        <v>159</v>
      </c>
      <c r="B18" s="1">
        <v>1</v>
      </c>
      <c r="C18" s="1" t="s">
        <v>145</v>
      </c>
      <c r="D18" s="1" t="s">
        <v>47</v>
      </c>
      <c r="E18" s="1" t="s">
        <v>111</v>
      </c>
      <c r="G18" s="6" t="s">
        <v>160</v>
      </c>
      <c r="H18" t="s">
        <v>172</v>
      </c>
      <c r="I18" t="s">
        <v>49</v>
      </c>
      <c r="AD18" s="1">
        <v>9.285</v>
      </c>
      <c r="AE18" s="1" t="s">
        <v>151</v>
      </c>
    </row>
    <row r="19" spans="1:31" ht="54" customHeight="1">
      <c r="A19" s="6" t="s">
        <v>169</v>
      </c>
      <c r="B19" s="1">
        <v>2</v>
      </c>
      <c r="C19" s="1" t="s">
        <v>163</v>
      </c>
      <c r="D19" s="1" t="s">
        <v>47</v>
      </c>
      <c r="E19" s="1" t="s">
        <v>111</v>
      </c>
      <c r="G19" s="6" t="s">
        <v>170</v>
      </c>
      <c r="H19" t="s">
        <v>137</v>
      </c>
      <c r="I19" t="s">
        <v>172</v>
      </c>
      <c r="AD19" s="1">
        <v>2.539</v>
      </c>
      <c r="AE19" s="1" t="s">
        <v>151</v>
      </c>
    </row>
    <row r="20" spans="1:31" ht="54" customHeight="1">
      <c r="A20" s="6" t="s">
        <v>152</v>
      </c>
      <c r="B20" s="1">
        <v>1</v>
      </c>
      <c r="C20" s="1" t="s">
        <v>145</v>
      </c>
      <c r="D20" s="1" t="s">
        <v>47</v>
      </c>
      <c r="E20" s="1" t="s">
        <v>111</v>
      </c>
      <c r="G20" s="6" t="s">
        <v>153</v>
      </c>
      <c r="H20" t="s">
        <v>173</v>
      </c>
      <c r="I20" t="s">
        <v>49</v>
      </c>
      <c r="J20" s="2">
        <f>IF(COUNT('Turns'!D51)=1,SUM('Turns'!D51),"Unknown")</f>
        <v>3.0</v>
      </c>
      <c r="K20" s="2">
        <f>IF(COUNT('Turns'!E51)=1,SUM('Turns'!E51),"Unknown")</f>
        <v>5.23422e-07</v>
      </c>
      <c r="L20" s="2">
        <f>IF(COUNT('Turns'!F51)=1,SUM('Turns'!F51),"Unknown")</f>
        <v>6e-07</v>
      </c>
      <c r="M20" s="2">
        <f>IF(COUNT('Turns'!D50)=1,SUM('Turns'!D50),"Unknown")</f>
        <v>2286.0</v>
      </c>
      <c r="N20" s="2">
        <f>IF(COUNT('Turns'!E50)=1,SUM('Turns'!E50),"Unknown")</f>
        <v>3.98847564e-05</v>
      </c>
      <c r="O20" s="2">
        <f>IF(COUNT('Turns'!F50)=1,SUM('Turns'!F50),"Unknown")</f>
        <v>4.572e-05</v>
      </c>
      <c r="P20" s="2">
        <f>IF(COUNT('Turns'!D53)=1,SUM('Turns'!D53),"Unknown")</f>
        <v>187.0</v>
      </c>
      <c r="Q20" s="2">
        <f>IF(COUNT('Turns'!E53)=1,SUM('Turns'!E53),"Unknown")</f>
        <v>4.07832975e-05</v>
      </c>
      <c r="R20" s="2">
        <f>IF(COUNT('Turns'!F53)=1,SUM('Turns'!F53),"Unknown")</f>
        <v>4.675e-05</v>
      </c>
      <c r="S20" s="2">
        <f>IF(COUNT('Turns'!D56)=1,SUM('Turns'!D56),"Unknown")</f>
        <v>323.0</v>
      </c>
      <c r="T20" s="2">
        <f>IF(COUNT('Turns'!E56)=1,SUM('Turns'!E56),"Unknown")</f>
        <v>0.000338130612</v>
      </c>
      <c r="U20" s="2">
        <f>IF(COUNT('Turns'!F56)=1,SUM('Turns'!F56),"Unknown")</f>
        <v>0.0003876</v>
      </c>
      <c r="V20" s="2">
        <v>0</v>
      </c>
      <c r="W20" s="2">
        <v>0</v>
      </c>
      <c r="X20" s="2">
        <v>0</v>
      </c>
      <c r="Y20" s="2">
        <f>IF(COUNT('Turns'!E60)=1,SUM('Turns'!E60),"Unknown")</f>
        <v>0.0004193220879</v>
      </c>
      <c r="Z20" s="2">
        <f>IF(COUNT('Turns'!F60)=1,SUM('Turns'!F60),"Unknown")</f>
        <v>0.00048067</v>
      </c>
      <c r="AA20" s="5">
        <f>IF(ISNUMBER(Y20),ROUND(Y20*'Reference data'!$B$2,0),"Unknown")</f>
        <v>42.0</v>
      </c>
      <c r="AB20" s="5">
        <f>IF(ISNUMBER(Z20),ROUND(Z20*'Reference data'!$B$2,0),"Unknown")</f>
        <v>48.0</v>
      </c>
      <c r="AD20" s="1">
        <v>3669.734</v>
      </c>
      <c r="AE20" s="1" t="s">
        <v>147</v>
      </c>
    </row>
    <row r="21" spans="1:31" ht="54" customHeight="1">
      <c r="A21" s="6" t="s">
        <v>155</v>
      </c>
      <c r="B21" s="1">
        <v>2</v>
      </c>
      <c r="C21" s="1" t="s">
        <v>156</v>
      </c>
      <c r="D21" s="1" t="s">
        <v>95</v>
      </c>
      <c r="E21" s="1" t="s">
        <v>111</v>
      </c>
      <c r="F21" s="1">
        <v>2476</v>
      </c>
      <c r="G21" s="6" t="s">
        <v>157</v>
      </c>
      <c r="H21" t="s">
        <v>141</v>
      </c>
      <c r="I21" t="s">
        <v>173</v>
      </c>
      <c r="J21" s="2">
        <f>IF(COUNT('Turns'!D51)=1,SUM('Turns'!D51),"Unknown")</f>
        <v>3.0</v>
      </c>
      <c r="K21" s="2">
        <f>IF(COUNT('Turns'!E51)=1,SUM('Turns'!E51),"Unknown")</f>
        <v>5.23422e-07</v>
      </c>
      <c r="L21" s="2">
        <f>IF(COUNT('Turns'!F51)=1,SUM('Turns'!F51),"Unknown")</f>
        <v>6e-07</v>
      </c>
      <c r="M21" s="2">
        <f>IF(COUNT('Turns'!D50)=1,SUM('Turns'!D50),"Unknown")</f>
        <v>2286.0</v>
      </c>
      <c r="N21" s="2">
        <f>IF(COUNT('Turns'!E50)=1,SUM('Turns'!E50),"Unknown")</f>
        <v>3.98847564e-05</v>
      </c>
      <c r="O21" s="2">
        <f>IF(COUNT('Turns'!F50)=1,SUM('Turns'!F50),"Unknown")</f>
        <v>4.572e-05</v>
      </c>
      <c r="P21" s="2">
        <f>IF(COUNT('Turns'!D53)=1,SUM('Turns'!D53),"Unknown")</f>
        <v>187.0</v>
      </c>
      <c r="Q21" s="2">
        <f>IF(COUNT('Turns'!E53)=1,SUM('Turns'!E53),"Unknown")</f>
        <v>4.07832975e-05</v>
      </c>
      <c r="R21" s="2">
        <f>IF(COUNT('Turns'!F53)=1,SUM('Turns'!F53),"Unknown")</f>
        <v>4.675e-05</v>
      </c>
      <c r="S21" s="2">
        <f>IF(COUNT('Turns'!D56)=1,SUM('Turns'!D56),"Unknown")</f>
        <v>323.0</v>
      </c>
      <c r="T21" s="2">
        <f>IF(COUNT('Turns'!E56)=1,SUM('Turns'!E56),"Unknown")</f>
        <v>0.000338130612</v>
      </c>
      <c r="U21" s="2">
        <f>IF(COUNT('Turns'!F56)=1,SUM('Turns'!F56),"Unknown")</f>
        <v>0.0003876</v>
      </c>
      <c r="V21" s="2">
        <v>0</v>
      </c>
      <c r="W21" s="2">
        <v>0</v>
      </c>
      <c r="X21" s="2">
        <v>0</v>
      </c>
      <c r="Y21" s="2">
        <f>IF(COUNT('Turns'!E60)=1,SUM('Turns'!E60),"Unknown")</f>
        <v>0.0004193220879</v>
      </c>
      <c r="Z21" s="2">
        <f>IF(COUNT('Turns'!F60)=1,SUM('Turns'!F60),"Unknown")</f>
        <v>0.00048067</v>
      </c>
      <c r="AA21" s="5">
        <f>IF(ISNUMBER(Y21),ROUND(Y21*'Reference data'!$B$2,0),"Unknown")</f>
        <v>42.0</v>
      </c>
      <c r="AB21" s="5">
        <f>IF(ISNUMBER(Z21),ROUND(Z21*'Reference data'!$B$2,0),"Unknown")</f>
        <v>48.0</v>
      </c>
      <c r="AC21" s="1" t="s">
        <v>140</v>
      </c>
      <c r="AD21" s="1">
        <v>3661.868</v>
      </c>
      <c r="AE21" s="1" t="s">
        <v>158</v>
      </c>
    </row>
  </sheetData>
  <conditionalFormatting sqref="A2:AE21">
    <cfRule type="expression" dxfId="0" priority="1">
      <formula>$E2="error"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73B70"/>
  </sheetPr>
  <dimension ref="A1:I2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34.7109375" customWidth="1"/>
    <col min="2" max="2" width="52.7109375" customWidth="1"/>
    <col min="3" max="7" width="26.7109375" customWidth="1"/>
    <col min="8" max="8" width="65.7109375" customWidth="1"/>
    <col min="9" max="9" width="26.7109375" customWidth="1"/>
  </cols>
  <sheetData>
    <row r="1" spans="1:9" ht="44" customHeight="1">
      <c r="A1" s="3" t="s">
        <v>38</v>
      </c>
      <c r="B1" s="3" t="s">
        <v>39</v>
      </c>
      <c r="C1" s="3" t="s">
        <v>40</v>
      </c>
    </row>
    <row r="2" spans="1:9" ht="24" customHeight="1">
      <c r="A2" s="6" t="s">
        <v>41</v>
      </c>
      <c r="B2" s="7">
        <v>100000</v>
      </c>
      <c r="C2" s="6" t="s">
        <v>42</v>
      </c>
    </row>
    <row r="3" spans="1:9" ht="24" customHeight="1">
      <c r="A3" s="6" t="s">
        <v>43</v>
      </c>
      <c r="B3" s="2">
        <v>0.87237</v>
      </c>
      <c r="C3" s="6" t="s">
        <v>44</v>
      </c>
    </row>
    <row r="4" spans="1:9" ht="24" customHeight="1">
      <c r="A4" s="6" t="s">
        <v>45</v>
      </c>
      <c r="B4" s="6" t="s">
        <v>46</v>
      </c>
      <c r="C4" s="6" t="s">
        <v>47</v>
      </c>
    </row>
    <row r="5" spans="1:9" ht="24" customHeight="1">
      <c r="A5" s="6" t="s">
        <v>48</v>
      </c>
      <c r="B5" s="6" t="s">
        <v>49</v>
      </c>
      <c r="C5" s="6" t="s">
        <v>47</v>
      </c>
    </row>
    <row r="6" spans="1:9" ht="24" customHeight="1">
      <c r="A6" s="6" t="s">
        <v>50</v>
      </c>
      <c r="B6" s="6" t="s">
        <v>51</v>
      </c>
      <c r="C6" s="6" t="s">
        <v>47</v>
      </c>
    </row>
    <row r="7" spans="1:9" ht="24" customHeight="1">
      <c r="A7" s="6" t="s">
        <v>52</v>
      </c>
      <c r="B7" s="6" t="s">
        <v>53</v>
      </c>
      <c r="C7" s="6" t="s">
        <v>47</v>
      </c>
    </row>
    <row r="8" spans="1:9" ht="24" customHeight="1">
      <c r="A8" s="6" t="s">
        <v>54</v>
      </c>
      <c r="B8" s="6" t="s">
        <v>55</v>
      </c>
      <c r="C8" s="6" t="s">
        <v>56</v>
      </c>
    </row>
    <row r="9" spans="1:9" ht="24" customHeight="1">
      <c r="A9" s="6" t="s">
        <v>57</v>
      </c>
      <c r="B9" s="6" t="s">
        <v>58</v>
      </c>
      <c r="C9" s="6" t="s">
        <v>47</v>
      </c>
    </row>
    <row r="10" spans="1:9" ht="24" customHeight="1">
      <c r="A10" s="6" t="s">
        <v>59</v>
      </c>
      <c r="B10" s="6" t="s">
        <v>60</v>
      </c>
      <c r="C10" s="6" t="s">
        <v>47</v>
      </c>
    </row>
    <row r="11" spans="1:9" ht="24" customHeight="1">
      <c r="A11" s="6" t="s">
        <v>61</v>
      </c>
      <c r="B11" s="6" t="s">
        <v>62</v>
      </c>
      <c r="C11" s="6" t="s">
        <v>47</v>
      </c>
    </row>
    <row r="12" spans="1:9" ht="24" customHeight="1">
      <c r="A12" s="6" t="s">
        <v>63</v>
      </c>
      <c r="B12" s="6" t="s">
        <v>64</v>
      </c>
      <c r="C12" s="6" t="s">
        <v>47</v>
      </c>
    </row>
    <row r="13" spans="1:9" ht="24" customHeight="1">
      <c r="A13" s="6" t="s">
        <v>65</v>
      </c>
      <c r="B13" s="6" t="s">
        <v>66</v>
      </c>
      <c r="C13" s="6" t="s">
        <v>47</v>
      </c>
    </row>
    <row r="15" spans="1:9" ht="24" customHeight="1">
      <c r="A15" s="4" t="s">
        <v>67</v>
      </c>
      <c r="B15" s="4" t="s">
        <v>68</v>
      </c>
      <c r="C15" s="4" t="s">
        <v>69</v>
      </c>
      <c r="D15" s="4" t="s">
        <v>70</v>
      </c>
      <c r="E15" s="4" t="s">
        <v>71</v>
      </c>
      <c r="F15" s="4" t="s">
        <v>72</v>
      </c>
      <c r="G15" s="4" t="s">
        <v>73</v>
      </c>
      <c r="H15" s="4" t="s">
        <v>74</v>
      </c>
      <c r="I15" s="4" t="s">
        <v>75</v>
      </c>
    </row>
    <row r="16" spans="1:9" ht="72" customHeight="1">
      <c r="A16" s="6" t="s">
        <v>76</v>
      </c>
      <c r="B16" s="2">
        <v>5</v>
      </c>
      <c r="C16" s="2">
        <v>0.5</v>
      </c>
      <c r="D16" s="2" t="s">
        <v>77</v>
      </c>
      <c r="E16" s="2">
        <v>30</v>
      </c>
      <c r="F16" s="2">
        <v>30</v>
      </c>
      <c r="G16" s="6" t="s">
        <v>78</v>
      </c>
      <c r="H16" s="6" t="s">
        <v>79</v>
      </c>
      <c r="I16" s="6" t="s">
        <v>80</v>
      </c>
    </row>
    <row r="17" spans="1:9" ht="72" customHeight="1">
      <c r="A17" s="6" t="s">
        <v>81</v>
      </c>
      <c r="B17" s="2">
        <v>0.2</v>
      </c>
      <c r="C17" s="2">
        <v>0.02</v>
      </c>
      <c r="D17" s="2">
        <v>0.250</v>
      </c>
      <c r="E17" s="2">
        <v>1.2</v>
      </c>
      <c r="F17" s="2">
        <v>1.2</v>
      </c>
      <c r="G17" s="6" t="s">
        <v>78</v>
      </c>
      <c r="H17" s="6" t="s">
        <v>82</v>
      </c>
      <c r="I17" s="6" t="s">
        <v>80</v>
      </c>
    </row>
    <row r="18" spans="1:9" ht="72" customHeight="1">
      <c r="A18" s="6" t="s">
        <v>83</v>
      </c>
      <c r="B18" s="2">
        <v>4</v>
      </c>
      <c r="C18" s="2">
        <v>0.4</v>
      </c>
      <c r="D18" s="2">
        <v>5.00</v>
      </c>
      <c r="E18" s="2">
        <v>20</v>
      </c>
      <c r="F18" s="2">
        <v>20</v>
      </c>
      <c r="G18" s="6" t="s">
        <v>78</v>
      </c>
      <c r="H18" s="6" t="s">
        <v>84</v>
      </c>
      <c r="I18" s="6" t="s">
        <v>80</v>
      </c>
    </row>
    <row r="19" spans="1:9" ht="72" customHeight="1">
      <c r="A19" s="6" t="s">
        <v>85</v>
      </c>
      <c r="B19" s="2">
        <v>2</v>
      </c>
      <c r="C19" s="2">
        <v>0.20</v>
      </c>
      <c r="D19" s="2">
        <v>2.50</v>
      </c>
      <c r="E19" s="2">
        <v>10</v>
      </c>
      <c r="F19" s="2">
        <v>10</v>
      </c>
      <c r="G19" s="6" t="s">
        <v>78</v>
      </c>
      <c r="H19" s="6" t="s">
        <v>86</v>
      </c>
      <c r="I19" s="6" t="s">
        <v>80</v>
      </c>
    </row>
    <row r="20" spans="1:9" ht="72" customHeight="1">
      <c r="A20" s="6" t="s">
        <v>87</v>
      </c>
      <c r="B20" s="2">
        <v>5</v>
      </c>
      <c r="C20" s="2">
        <v>0.50</v>
      </c>
      <c r="D20" s="2">
        <v>6.25</v>
      </c>
      <c r="E20" s="2">
        <v>25</v>
      </c>
      <c r="F20" s="2">
        <v>25</v>
      </c>
      <c r="G20" s="6" t="s">
        <v>78</v>
      </c>
      <c r="H20" s="6" t="s">
        <v>86</v>
      </c>
      <c r="I20" s="6" t="s">
        <v>80</v>
      </c>
    </row>
    <row r="21" spans="1:9" ht="72" customHeight="1">
      <c r="A21" s="6" t="s">
        <v>88</v>
      </c>
      <c r="B21" s="2">
        <v>10</v>
      </c>
      <c r="C21" s="2">
        <v>0.25</v>
      </c>
      <c r="D21" s="2">
        <v>12.50</v>
      </c>
      <c r="E21" s="2">
        <v>50</v>
      </c>
      <c r="F21" s="2">
        <v>50</v>
      </c>
      <c r="G21" s="6" t="s">
        <v>78</v>
      </c>
      <c r="H21" s="6" t="s">
        <v>86</v>
      </c>
      <c r="I21" s="6" t="s">
        <v>80</v>
      </c>
    </row>
    <row r="22" spans="1:9" ht="72" customHeight="1">
      <c r="A22" s="6" t="s">
        <v>89</v>
      </c>
      <c r="B22" s="2">
        <v>0.2</v>
      </c>
      <c r="C22" s="2">
        <v>0.02</v>
      </c>
      <c r="D22" s="2">
        <v>0.250</v>
      </c>
      <c r="E22" s="2">
        <v>1.2</v>
      </c>
      <c r="F22" s="2">
        <v>1.2</v>
      </c>
      <c r="G22" s="6" t="s">
        <v>78</v>
      </c>
      <c r="H22" s="6" t="s">
        <v>90</v>
      </c>
      <c r="I22" s="6" t="s">
        <v>80</v>
      </c>
    </row>
  </sheetData>
  <dataValidations count="1">
    <dataValidation type="whole" operator="greaterThanOrEqual" allowBlank="1" showInputMessage="1" showErrorMessage="1" sqref="B2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Turns</vt:lpstr>
      <vt:lpstr>Execution tree</vt:lpstr>
      <vt:lpstr>Reference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2026-09-23T03:40:46Z</dcterms:created>
  <dcterms:modified xsi:type="dcterms:W3CDTF">2026-09-23T03:40:46Z</dcterms:modified>
</cp:coreProperties>
</file>
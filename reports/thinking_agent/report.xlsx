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<sst xmlns="http://schemas.openxmlformats.org/spreadsheetml/2006/main" count="421" uniqueCount="174">
  <si>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</si>
  <si>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</si>
  <si>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</si>
  <si>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</si>
  <si>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</si>
  <si>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</si>
  <si>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</si>
  <si>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</si>
  <si>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</si>
  <si>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</si>
  <si>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</si>
  <si>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</si>
  <si>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</si>
  <si>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</si>
  <si>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</si>
  <si>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</si>
  <si>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</si>
  <si>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</si>
  <si>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</si>
  <si>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</si>
  <si>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</si>
  <si>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</si>
  <si>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</si>
  <si>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</si>
  <si>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</si>
  <si>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</si>
  <si>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</si>
  <si>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</si>
  <si>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</si>
  <si>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</si>
  <si>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</si>
  <si>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</si>
  <si>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</si>
  <si>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</si>
  <si>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</si>
  <si>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</si>
  <si>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</si>
  <si>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</si>
  <si>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</si>
  <si>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</si>
  <si>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</si>
  <si>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</si>
  <si>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</si>
  <si>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</si>
  <si>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</si>
  <si>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</si>
  <si>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</si>
  <si>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</si>
  <si>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</si>
  <si>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01a0cce3-3ae4-7503-a0ab-5727ccb269e0</t>
  </si>
  <si>
    <t>Recording</t>
  </si>
  <si>
    <t>Provider trace</t>
  </si>
  <si>
    <t>FX reference date</t>
  </si>
  <si>
    <t>2026-09-22</t>
  </si>
  <si>
    <t>FX fetched at</t>
  </si>
  <si>
    <t>2026-09-23T06:06:28.037095Z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</si>
  <si>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</si>
  <si>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</si>
  <si>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</si>
  <si>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</si>
  <si>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</si>
  <si>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</si>
  <si>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</si>
  <si>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</si>
  <si>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</si>
  <si>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</si>
  <si>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</si>
  <si>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</si>
  <si>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</si>
  <si>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</si>
  <si>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</si>
  <si>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</si>
  <si>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</si>
  <si>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</si>
  <si>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</si>
  <si>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</si>
  <si>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</si>
  <si>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</si>
  <si>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</si>
  <si>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</si>
  <si>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</si>
  <si>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</si>
  <si>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</si>
  <si>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</si>
  <si>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</si>
  <si>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</si>
  <si>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</si>
  <si>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</si>
  <si>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</si>
  <si>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</si>
  <si>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</si>
  <si>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</si>
  <si>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</si>
  <si>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</si>
  <si>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</si>
  <si>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</si>
  <si>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01a0cce3-3af0-7023-bfe7-9ecff221724c</t>
  </si>
  <si>
    <t>Fresh input</t>
  </si>
  <si>
    <t xml:space="preserve">    Tool definitions</t>
  </si>
  <si>
    <t xml:space="preserve">    System prompt</t>
  </si>
  <si>
    <t>Use the fictional service evidence to propose and validate a latency improvement. Inspect traffic, database behavior, and constraints before testing the plan.</t>
  </si>
  <si>
    <t xml:space="preserve">    User prompt</t>
  </si>
  <si>
    <t>Investigate service latency and validate a plan meeting the constraints.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</si>
  <si>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</si>
  <si>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</si>
  <si>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</si>
  <si>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</si>
  <si>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</si>
  <si>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</si>
  <si>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"rs_087fe8fbe0369434006ab36d6021c087d28b8d40d79a9347bb", "summary": [], "type": "reasoning", "content": [], "index": 0, "encrypted_content": "gAAAAABqs21hyxqpZcQG_HQjOdXHAYprN7-gn12RjKOj6CkDF1WjbYdl8-YkBWPJnBwcPA5GNdT9KW496EiI4fiulNaDvjwwkJDmZxO3cFg2tgeefpqM4X52unRjo09eL-V-8YOgvHO6iddrJQwmYmoKiSrUQ_Qtak0k458fyIPToL9IpBMaEf7Nn99W6NDzifjf4iwFmdf6_1mIVvoAz_I7h0qGE1WA_8Z8obUtoYq5Wx0KgpCCOG79lpoHHX18j-f1Er24TZMIVCVIhSdOsMydGzYM3ybB-I5sw065zH1NnjGB56CDaHMl8c1P6DaZgwHZz9BTslCoINyPCpm0lsUIjiiKYIKbBMrF3vcQHIXisEPVU5snAD1HTL2QhYlgvItLqDxNQyKftWJq-RXOjCvlK3hL3L6EUbm0ithgKb2gDnYzZzhMDttIWewfKKqrNQEOiI48eRjB0dmQvRflVl32JNDmag1Tyoj_y6QQ5OCuw7Pwh73CZdmOGqDiUC09RathS50RU8CRSYn0i_c6ypVGCV-kWq9Atljq1_58UBWaenvmodb7-CYWFYzBAODfkJ3zDArYWxjv_Wu6JiMrP_vVKO6r6FptPcLuMjZowwnt54HuFFPXb12Nq9CAwWQIJ4XMT3cpBASb8N7tcxeqtsc3iemSVerFb11GbRYi8VFLjMlXs80XS7exizfFWSSUOjIs0gPSuWspCBPDDwEJLQc07Z0RDHZZLkw8c2B9wC9asOYui_HkG39kx9Ym_uv63T5KCIoYlZFiSIF2lkduuDeqD7HePa5qrcc0KThlihYxeBciCx27pYmylUd18auXbuMjTvQZnkKDxYivUiADUKSOn-DrlcYsbL5YADD3JicXZLtNN_i-MPbp2HDkFz6NQGKFRKKe95RdpA-xzA-0kByKWn8CuPgtrvzdI9u1MZ_mUlBwBlV61f922bmQZpWYQl-vx_G2CZJCynDj0MSeO5q8TtOQFSV7W_v-_JCCt4s5iqA7e6YSvcK-_I3LM9XY0u4x-pvQkvj9njMEhspS01A--1z4PrAC-YHorOrUwedbo-YOeP1aiiWpVoJqBhhODwP-OzNr28VyhnZdhE5eJMcMfuC98HZEjqHjs526InBfZ_KJPALOR7tEcko247qVpCT4LlxtwpTawsEtmtz8Tw9R_f4SV5n7IEmooup2_zjHWjojI4mC9Vd5r_NEaLL-wolikYiD157hSvNAUUBWKe9hLFs_ekuF94t4YF1j77_zYbg7Cd2c6Y81Rhvod6ZyFntD_MkOdPnX5LJNr5zY4G-SdStTv8UYO0d2v1wvzB16Bnd9S8cgXPose_7Werto78oaNNNiDDq3O_gOEGHbWuFVevcEUsWDFSVENPDwRs7nPm80fWGc8bc6umwtPzvbJPpb_X8fp2aEj9O6CaxcNqLQmOUFGxJGGzbxKpQ4nGwBpncEPiXDs-5l_3zRTWLvITFA9PP8TslW90EyJLvkaFLzNXcfO8jei8Ghw4TwCuZPEk9XY_q9uXvI32GhqCtENqlU34xxqHgi"}, {"type": "function_call", "name": "inspect_service", "arguments": "{\"section\":\"traffic\"}", "call_id": "call_aVaOvXFe3x2okTXOSttMNEhB", "id": "fc_087fe8fbe0369434006ab36d61f17887d2ba98a391b40b6112", "index": 1}, {"type": "function_call", "name": "inspect_service", "arguments": "{\"section\":\"database\"}", "call_id": "call_O2BYZEY6v8ipZUlcnWiOVtDw", "id": "fc_087fe8fbe0369434006ab36d61f19087d29539413fdfbb3774", "index": 2}, {"type": "function_call", "name": "inspect_service", "arguments": "{\"section\":\"constraints\"}", "call_id": "call_wKjW8pSc1KbpgIpvSi66llf4", "id": "fc_087fe8fbe0369434006ab36d61f19c87d28f99f8d4567bd0f3", "index": 3}]
{"name": "inspect_service", "args": {"section": "traffic"}, "id": "call_aVaOvXFe3x2okTXOSttMNEhB", "type": "tool_call"}
{"name": "inspect_service", "args": {"section": "database"}, "id": "call_O2BYZEY6v8ipZUlcnWiOVtDw", "type": "tool_call"}
{"name": "inspect_service", "args": {"section": "constraints"}, "id": "call_wKjW8pSc1KbpgIpvSi66llf4", "type": "tool_call"}</t>
  </si>
  <si>
    <t>Call total</t>
  </si>
  <si>
    <t>ok</t>
  </si>
  <si>
    <t>Tool · inspect_service</t>
  </si>
  <si>
    <t>01a0cce3-479a-7693-900f-e4a69b9f4b5a</t>
  </si>
  <si>
    <t xml:space="preserve">    Arguments</t>
  </si>
  <si>
    <t>{'section': 'traffic'}</t>
  </si>
  <si>
    <t xml:space="preserve">    Result</t>
  </si>
  <si>
    <t>Peak 240 requests/s; p95 1.8s; 12 workers. Latency rises during database bursts.</t>
  </si>
  <si>
    <t>01a0cce3-479a-7693-900f-e4b1f6eabbb5</t>
  </si>
  <si>
    <t>{'section': 'database'}</t>
  </si>
  <si>
    <t>Pool limit 12. Median query 80ms; p95 900ms. Duplicate account lookups appear per request.</t>
  </si>
  <si>
    <t>01a0cce3-479a-7693-900f-e4cb7e4f4396</t>
  </si>
  <si>
    <t>{'section': 'constraints'}</t>
  </si>
  <si>
    <t>Target p95 under 500ms. No additional database nodes. Cache lifetime must not exceed 60s.</t>
  </si>
  <si>
    <t>R2</t>
  </si>
  <si>
    <t>01a0cce3-47a0-7503-98b1-efea8452af33</t>
  </si>
  <si>
    <t>Conversation history · cache read</t>
  </si>
  <si>
    <t xml:space="preserve">    Tool result</t>
  </si>
  <si>
    <t>Peak 240 requests/s; p95 1.8s; 12 workers. Latency rises during database bursts.
Pool limit 12. Median query 80ms; p95 900ms. Duplicate account lookups appear per request.
Target p95 under 500ms. No additional database nodes. Cache lifetime must not exceed 60s.</t>
  </si>
  <si>
    <t>[{"id": "rs_087fe8fbe0369434006ab36d631a4087d28d50aeb78b2f6371", "summary": [], "type": "reasoning", "content": [], "index": 0, "encrypted_content": "gAAAAABqs21kJIVlJHpeTwk4ZJDpJV7OZ_ffnsIoiCREsrK2drmHuk_E4YnGujhm9At-X-nI_ZbBdVZYadkx0jweBH0_vekc9BQHkeLyFa7n_9rHgbET5_1uHRt65DxKRknQQD-q6q35Qg6mmRV-SjgIUv0UqYRhCcMKAgOkK5ohvu1gcsCTfOMS7Tv1Z8XUwRH6K_yMhBUzpMD0tf4o-JPizHrwTUeff1F82NSliDathjcS4OY9GnlBp5TrVBUud5TC4E_WAmCJufoW3PKv2gyzAfCWLAbaI28UB22ENFDWUyMIN4j6qSm0Ou6-HlNu9ZyNM6JpgOguqVJg-EPbw1xzAbuxtB2XF3lNGMhhsS6I3FTqtKsHSWGEdsaZx5gMck1w3GPCmoCSvSKIf9n3Ke-reL5KiH1zCrw2Ia8sOmIIxr9VyeH6I0SuTeYw2Y0AHBdE_KOALtNg9S4_91MSII-N0pdeKd-bkipmVR8B6Y-pO5qSqw-AVP80SEF6kpaiSXRnFXqKZikFpvydBmf8vCjCNwW5FprtQrf0stcbXE2xCodL0MceWwc0I2EPHEztEVjL8ao_EoAyRmUyfNaPA9lwF0Ka229y8UitHDGMrnMDjAe5vZX7bvzCgk7v0INFLaqCLcuJFDLTGsjLGzRcc3g9yilQrI-So459WZLq2ojlqS8dExpM_USMeYc-E2w2GpQMh3B6PWVWFLn1dDP1nW6xQNW7K28nppdmP6wCB2yAez-NRPRm_uXGsyJURMZlMxCU--6qXRiLGtsWAuf_bpM8z9VN-nmuUsgcf4GMu_nemJMF8zERjuQ2pKjZMMTeUz_bceiXegkKbO1rj9mgEHN_TmkI3XZuyIdAhkpHrjWGy12kGZKpOb6XSQyMOwmXX1pKH-zrcqih6LpVaBrh9YcCPp8gxH0eR2h4mKJL5GIjAklhXET2V879fcpp-5qxZPH7N2ya6LxmHTk88kBQZKlFyCGKO6TxYsOFkkBQjN4rcZnUm1JCNYDigvAAVrTb3-yRA0KLi8yq6fe_1PqN276nMALpfcScBOQsvi5DVA7mOjdii5gLACqtwQZtVclaf1ngTG5e-qH-vyUUh6uoDMflDGS8xY_p0oL0M2KUaUKYUoQWSjDVsZRKaxLeE02lkgK0G7WTyXxVhrRATAwaRVeghQfM6ZwIFhNVGRtSackEiwYZov-Ygk8-NBLblvXX184oKZQCPjBunWroC92ZHEsbAeDiAcs0kltmGeJER8qXU4yA-27RKvSFhTgH4mZ4nGCkH8fvuV62X_oR1pBtc0XN2KVdlOHN_S79-eXVD4pEnGNeNeOo--y0x89w7W0avca0-hlAManlV9EjSuX7h0UB1ZgIK3qRCw=="}, {"type": "function_call", "name": "test_plan", "arguments": "{\"check\":\"load\"}", "call_id": "call_M2OPB63aVbgX7r0hBUo65DWL", "id": "fc_087fe8fbe0369434006ab36d646a8487d2a5d5b5b99a3d0989", "index": 1}, {"type": "function_call", "name": "test_plan", "arguments": "{\"check\":\"freshness\"}", "call_id": "call_BU4MeNXeL7IyMj29Oylb2289", "id": "fc_087fe8fbe0369434006ab36d646a9c87d29e58ce0ca9299df7", "index": 2}, {"type": "function_call", "name": "test_plan", "arguments": "{\"check\":\"rollback\"}", "call_id": "call_5wm6GO9yXwMhVZAWQV8uF8qO", "id": "fc_087fe8fbe0369434006ab36d646aa487d2a9bfb5f459a3ebbe", "index": 3}]
{"name": "test_plan", "args": {"check": "load"}, "id": "call_M2OPB63aVbgX7r0hBUo65DWL", "type": "tool_call"}
{"name": "test_plan", "args": {"check": "freshness"}, "id": "call_BU4MeNXeL7IyMj29Oylb2289", "type": "tool_call"}
{"name": "test_plan", "args": {"check": "rollback"}, "id": "call_5wm6GO9yXwMhVZAWQV8uF8qO", "type": "tool_call"}</t>
  </si>
  <si>
    <t>Tool · test_plan</t>
  </si>
  <si>
    <t>01a0cce3-5150-7812-b362-4d2a602aacbc</t>
  </si>
  <si>
    <t>{'check': 'load'}</t>
  </si>
  <si>
    <t>PASS: deduplicated lookups plus 30s cache yield p95 410ms at 240 requests/s; pool occupancy 65%.</t>
  </si>
  <si>
    <t>01a0cce3-5151-7f42-8455-57981b16d65f</t>
  </si>
  <si>
    <t>{'check': 'freshness'}</t>
  </si>
  <si>
    <t>PASS: account changes invalidate cached values; maximum fallback age is 30s.</t>
  </si>
  <si>
    <t>01a0cce3-5151-7f42-8455-57a6f5433517</t>
  </si>
  <si>
    <t>{'check': 'rollback'}</t>
  </si>
  <si>
    <t>PASS: feature flag restores original lookup path; no schema migration required.</t>
  </si>
  <si>
    <t>R3</t>
  </si>
  <si>
    <t>01a0cce3-5156-7441-abb7-b632fcf0baf1</t>
  </si>
  <si>
    <t>PASS: deduplicated lookups plus 30s cache yield p95 410ms at 240 requests/s; pool occupancy 65%.
PASS: account changes invalidate cached values; maximum fallback age is 30s.
PASS: feature flag restores original lookup path; no schema migration required.</t>
  </si>
  <si>
    <t>[{"id": "rs_087fe8fbe0369434006ab36d661aa887d2b04f749228fc66d4", "summary": [], "type": "reasoning", "content": [], "index": 0, "encrypted_content": "gAAAAABqs21mkanf4m_IV5w8_10TUN5GejPfkAkErHTzrFImKR7h5YP_mb2F9Gb_l-VxY5oO7YvU6bb--DoxSa5_bCJWunkMmd5KqcNiTgn6sWYGjdw8NlpLrXLdMgKgdN8vRNYDWXxyUCDZGAGkiWQXo0uUs2ws-rgXiOQmpZqsrgMi_TPYXdKgyIvosbGJjbM3omyyyhzX1U1c7ATp7LtIGatfunQ06McUDXplzaioOE5bc8-_IgzjCZLO5X3XCaalJnq1zzfWsPJcYpornU9-JViQxB_JOl_L0rwdHEEBv2hra_8-V9lDQlgzhFxCrRO9x3z8kXkynS837hXKQnitTv8V0909HHIFh3qSGzIqdqDKq7ryOCPz2C2p3Mj9VWrsS8XW6oepXhigiGAZLFc4AUyB6lQHeeyTN5cToJ3k_oTt_jEzUODJuWDmot7llR0f7ps6OjVKzJOqof4NKDiPJoKTuRTZJOVaG7Q4vtjgKB7Rz9Vi_DYkGm2q-kyRPpZcFgSuV4djTDa_J--RGymXc9wfCRKTfx-S29o9-jem_9JlGtYDFJdVoSJ6BIwO1Ad4vVd9020QEi5K0_bu8OiwfrYUYD_nyifZnwogWEhoz5N_R6wFDsuUh8Qkhu_rJtSSPoHjb_1_7Vt6uF0bxYBoMvB91uu3jA3DDvU1AApz-md9sh8iSRGwKuqO7BhysbVJVQix8poxIsz9cbLQlcwMh_B8QxBvajlR66oRj28xekroHxWvE3_QFyUlXN9CsK2MhoqAc0gMotqrvXyAOzaL7PS-27-OriDV9cxODp7vRPaShjSm-4tu3UmaURt__-a9-9JHDuT0Xngt7RRb82m2PTKL-4F6D7SaDmNr8pvdgvj8zfSt_YYe6E1SXEXPQocB0V6BP9roHraFeHD4d41c8zY29iSjvuPmBgZzwhZyU0Z8Em_A6-2t6kfx9E8IFLMHRujQxn3PazL-Vv3fqrEmEgqIAnGc7krHz0kxqn_NSL2sJyI6YgZ5sCN-Y8Hi-RsxOnjiLqhb48y57bec8JFNz36olNPePQf_EB_v3YbVYBKwK08Z9c_6pj98ujxh6n09hthvGcLh6usghLZoYwGRVfwoMLkJScQC_SThLXAWdMSjinYUaCZ7kTZon4NGlEqsv1uk4o7wHvTjNc7chFbh8gP14Mr_jQL2BQmpWbdfvnwK-SFDA0gIZfpbpvUagtRtP9rJY4jm7_-UndsjV9E3LuihRkzYjAhag-ARcdEhE2JXBtlZOJIJMUjEq10VA6YkuPkpuLwFYBukWoJ1yZg9bwteR6tJ_fIr_oPWhvXenvzc9KH0fjg="}, {"type": "text", "text": "## Findings\n\n- **Traffic:** Peak load is **240 requests/s** with current **p95 latency of 1.8 s**. Latency increases during database bursts.\n- **Database:** The connection pool is limited to **12**. Query median latency is **80 ms**, but p95 reaches **900 ms**. Requests perform duplicate account lookups.\n- **Constraints:**\n  - Target p95: **under 500 ms**\n  - No additional database nodes\n  - Cache lifetime: **no more than 60 s**\n\n## Proposed latency improvement\n\n1. **Deduplicate account lookups within each request** so repeated access to the same account uses one in-flight/result lookup.\n2. Add a short-lived account cache with a **30-second TTL**.\n3. **Invalidate cached account values when account data changes**.\n4. Roll out behind a **feature flag**, retaining the original lookup path for rollback.\n5. Monitor p95 latency, database pool occupancy, cache hit rate, and account-data freshness.\n\nThis avoids adding database capacity while reducing duplicate queries and database-burst contention.\n\n## Validation\n\n- **Load check: PASS**\n  - At **240 requests/s**, deduplicated lookups plus the 30-second cache achieved **410 ms p95**.\n  - Connection-pool occupancy was **65%**, below the pool limit of 12.\n\n- **Freshness check: PASS**\n  - Account changes invalidate cached values.\n  - Maximum fallback age is **30 seconds**, within the 60-second constraint.\n\n- **Rollback check: PASS**\n  - The feature flag restores the original lookup path.\n  - No schema migration is required.\n\nThe plan meets the latency target and all stated constraints.", "phase": "final_answer", "index": 1, "id": "msg_087fe8fbe0369434006ab36d669c8087d2aaa9293b762ff873"}]</t>
  </si>
  <si>
    <t>investigation_agent</t>
  </si>
  <si>
    <t>workflow</t>
  </si>
  <si>
    <t>Execute the investigation_agent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</si>
  <si>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</si>
  <si>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</si>
  <si>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</si>
  <si>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01a0cce3-3ae7-75a0-a9ad-6ff075ea5e6c</t>
  </si>
  <si>
    <t>No model charge</t>
  </si>
  <si>
    <t xml:space="preserve">    model</t>
  </si>
  <si>
    <t>Prepare the current conversation, run model middleware, and invoke the chat model.</t>
  </si>
  <si>
    <t>01a0cce3-3ae9-7c22-9033-cd94353ec929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</si>
  <si>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</si>
  <si>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</si>
  <si>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</si>
  <si>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</si>
  <si>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</si>
  <si>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</si>
  <si>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01a0cce3-4798-7120-9457-da096458d7aa</t>
  </si>
  <si>
    <t xml:space="preserve">        inspect_service</t>
  </si>
  <si>
    <t>tool</t>
  </si>
  <si>
    <t>Read fictional service evidence; no live service is inspected.</t>
  </si>
  <si>
    <t>01a0cce3-4798-7120-9457-da1c6e8013fd</t>
  </si>
  <si>
    <t>01a0cce3-4798-7120-9457-da2a91e54816</t>
  </si>
  <si>
    <t>01a0cce3-479e-7492-9e97-4dd3f7af5644</t>
  </si>
  <si>
    <t>01a0cce3-514f-7322-bfd1-a2c0371ca2ca</t>
  </si>
  <si>
    <t xml:space="preserve">        test_plan</t>
  </si>
  <si>
    <t>Return a fixed fictional plan-check result; no real test is executed.</t>
  </si>
  <si>
    <t>01a0cce3-514f-7322-bfd1-a2d02cc51e2e</t>
  </si>
  <si>
    <t>01a0cce3-514f-7322-bfd1-a2e1d074a0ec</t>
  </si>
  <si>
    <t>01a0cce3-5154-7001-8956-e317466c003b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</si>
</sst>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61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IF(COUNT('Turns'!E17,'Turns'!E39,'Turns'!E61)=3,SUM('Turns'!E17,'Turns'!E39,'Turns'!E61),"Unknown")</f>
        <v>0.0012350752749</v>
      </c>
      <c r="F2" s="2">
        <f>IF(COUNT('Turns'!F17,'Turns'!F39,'Turns'!F61)=3,SUM('Turns'!F17,'Turns'!F39,'Turns'!F61),"Unknown")</f>
        <v>0.00141577</v>
      </c>
      <c r="G2" s="5">
        <f>IF(ISNUMBER(E2),ROUND(E2*'Reference data'!$B$2,0),"Unknown")</f>
        <v>124.0</v>
      </c>
      <c r="H2" s="5">
        <f>IF(ISNUMBER(F2),ROUND(F2*'Reference data'!$B$2,0),"Unknown")</f>
        <v>142.0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IF(COUNT('Turns'!E17,'Turns'!E39,'Turns'!E61)=3,SUM('Turns'!E17,'Turns'!E39,'Turns'!E61),"Unknown")</f>
        <v>0.0012350752749</v>
      </c>
      <c r="F3" s="2">
        <f>IF(COUNT('Turns'!F17,'Turns'!F39,'Turns'!F61)=3,SUM('Turns'!F17,'Turns'!F39,'Turns'!F61),"Unknown")</f>
        <v>0.00141577</v>
      </c>
      <c r="G3" s="5">
        <f>IF(ISNUMBER(E3),ROUND(E3*'Reference data'!$B$2,0),"Unknown")</f>
        <v>124.0</v>
      </c>
      <c r="H3" s="5">
        <f>IF(ISNUMBER(F3),ROUND(F3*'Reference data'!$B$2,0),"Unknown")</f>
        <v>142.0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2102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</v>
      </c>
      <c r="E5" s="2">
        <f>IF(AND(ISNUMBER(F5),ISNUMBER('Reference data'!$B$3)),F5*'Reference data'!$B$3,"Unknown")</f>
        <v>5.23422e-07</v>
      </c>
      <c r="F5" s="2">
        <f>IF(D5=0,0,IF(ISNUMBER('Reference data'!B17),D5*'Reference data'!B17/1000000,"Unknown"))</f>
        <v>6e-07</v>
      </c>
      <c r="G5" s="5">
        <f>IF(ISNUMBER(E5),ROUND(E5*'Reference data'!$B$2,0),"Unknown")</f>
        <v>0.0</v>
      </c>
      <c r="H5" s="5">
        <f>IF(ISNUMBER(F5),ROUND(F5*'Reference data'!$B$2,0),"Unknown")</f>
        <v>0.0</v>
      </c>
    </row>
    <row r="6" spans="1:13" ht="24" customHeight="1">
      <c r="A6" t="s">
        <v>93</v>
      </c>
      <c r="B6">
        <v>1</v>
      </c>
      <c r="C6" t="s">
        <v>98</v>
      </c>
    </row>
    <row r="7" spans="1:13" ht="3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  <c r="D9" s="5">
        <v>2099</v>
      </c>
      <c r="E9" s="2">
        <f>IF(AND(ISNUMBER(F9),ISNUMBER('Reference data'!$B$3)),F9*'Reference data'!$B$3,"Unknown")</f>
        <v>0.0004577761575</v>
      </c>
      <c r="F9" s="2">
        <f>IF(D9=0,0,IF(ISNUMBER('Reference data'!D17),D9*'Reference data'!D17/1000000,"Unknown"))</f>
        <v>0.00052475</v>
      </c>
      <c r="G9" s="5">
        <f>IF(ISNUMBER(E9),ROUND(E9*'Reference data'!$B$2,0),"Unknown")</f>
        <v>46.0</v>
      </c>
      <c r="H9" s="5">
        <f>IF(ISNUMBER(F9),ROUND(F9*'Reference data'!$B$2,0),"Unknown")</f>
        <v>52.0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112</v>
      </c>
    </row>
    <row r="12" spans="1:13" ht="24" customHeight="1">
      <c r="A12" t="s">
        <v>93</v>
      </c>
      <c r="B12">
        <v>1</v>
      </c>
      <c r="C12" t="s">
        <v>106</v>
      </c>
      <c r="D12" s="5">
        <v>48</v>
      </c>
      <c r="E12" s="2">
        <f>IF(AND(ISNUMBER(F12),ISNUMBER('Reference data'!$B$3)),F12*'Reference data'!$B$3,"Unknown")</f>
        <v>5.0248512e-05</v>
      </c>
      <c r="F12" s="2">
        <f>IF(D12=0,0,IF(ISNUMBER('Reference data'!F17),D12*'Reference data'!F17/1000000,"Unknown"))</f>
        <v>5.76e-05</v>
      </c>
      <c r="G12" s="5">
        <f>IF(ISNUMBER(E12),ROUND(E12*'Reference data'!$B$2,0),"Unknown")</f>
        <v>5.0</v>
      </c>
      <c r="H12" s="5">
        <f>IF(ISNUMBER(F12),ROUND(F12*'Reference data'!$B$2,0),"Unknown")</f>
        <v>6.0</v>
      </c>
    </row>
    <row r="13" spans="1:13" ht="24" customHeight="1">
      <c r="A13" t="s">
        <v>93</v>
      </c>
      <c r="B13">
        <v>1</v>
      </c>
      <c r="C13" t="s">
        <v>107</v>
      </c>
      <c r="D13" s="5">
        <v>64</v>
      </c>
      <c r="E13" s="2">
        <f>IF(AND(ISNUMBER(F13),ISNUMBER('Reference data'!$B$3)),F13*'Reference data'!$B$3,"Unknown")</f>
        <v>6.6998016e-05</v>
      </c>
      <c r="F13" s="2">
        <f>IF(D13=0,0,IF(ISNUMBER('Reference data'!E17),D13*'Reference data'!E17/1000000,"Unknown"))</f>
        <v>7.68e-05</v>
      </c>
      <c r="G13" s="5">
        <f>IF(ISNUMBER(E13),ROUND(E13*'Reference data'!$B$2,0),"Unknown")</f>
        <v>7.0</v>
      </c>
      <c r="H13" s="5">
        <f>IF(ISNUMBER(F13),ROUND(F13*'Reference data'!$B$2,0),"Unknown")</f>
        <v>8.0</v>
      </c>
    </row>
    <row r="14" spans="1:13" ht="409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IF(COUNT('Turns'!E5,'Turns'!E9,'Turns'!E12,'Turns'!E13)=4,SUM('Turns'!E5,'Turns'!E9,'Turns'!E12,'Turns'!E13),"Unknown")</f>
        <v>0.0005755461075</v>
      </c>
      <c r="F17" s="2">
        <f>IF(COUNT('Turns'!F5,'Turns'!F9,'Turns'!F12,'Turns'!F13)=4,SUM('Turns'!F5,'Turns'!F9,'Turns'!F12,'Turns'!F13),"Unknown")</f>
        <v>0.00065975</v>
      </c>
      <c r="G17" s="5">
        <f>IF(ISNUMBER(E17),ROUND(E17*'Reference data'!$B$2,0),"Unknown")</f>
        <v>58.0</v>
      </c>
      <c r="H17" s="5">
        <f>IF(ISNUMBER(F17),ROUND(F17*'Reference data'!$B$2,0),"Unknown")</f>
        <v>66.0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24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B21" s="4">
        <v>1</v>
      </c>
      <c r="C21" s="4" t="s">
        <v>112</v>
      </c>
      <c r="K21" s="4" t="s">
        <v>111</v>
      </c>
      <c r="M21" s="4" t="s">
        <v>118</v>
      </c>
    </row>
    <row r="22" spans="1:13" ht="24" customHeight="1">
      <c r="B22">
        <v>1</v>
      </c>
      <c r="C22" t="s">
        <v>114</v>
      </c>
      <c r="I22" s="6" t="s">
        <v>119</v>
      </c>
    </row>
    <row r="23" spans="1:13" ht="34" customHeight="1">
      <c r="B23">
        <v>1</v>
      </c>
      <c r="C23" t="s">
        <v>116</v>
      </c>
      <c r="I23" s="6" t="s">
        <v>120</v>
      </c>
    </row>
    <row r="24" spans="1:13" s="4" customFormat="1" ht="24" customHeight="1">
      <c r="B24" s="4">
        <v>1</v>
      </c>
      <c r="C24" s="4" t="s">
        <v>112</v>
      </c>
      <c r="K24" s="4" t="s">
        <v>111</v>
      </c>
      <c r="M24" s="4" t="s">
        <v>121</v>
      </c>
    </row>
    <row r="25" spans="1:13" ht="24" customHeight="1">
      <c r="B25">
        <v>1</v>
      </c>
      <c r="C25" t="s">
        <v>114</v>
      </c>
      <c r="I25" s="6" t="s">
        <v>122</v>
      </c>
    </row>
    <row r="26" spans="1:13" ht="34" customHeight="1">
      <c r="B26">
        <v>1</v>
      </c>
      <c r="C26" t="s">
        <v>116</v>
      </c>
      <c r="I26" s="6" t="s">
        <v>123</v>
      </c>
    </row>
    <row r="27" spans="1:13" s="4" customFormat="1" ht="24" customHeight="1">
      <c r="A27" s="4" t="s">
        <v>124</v>
      </c>
      <c r="B27" s="4">
        <v>1</v>
      </c>
      <c r="C27" s="4" t="s">
        <v>94</v>
      </c>
      <c r="D27" s="4">
        <v>2315</v>
      </c>
      <c r="J27" s="4" t="s">
        <v>95</v>
      </c>
      <c r="M27" s="4" t="s">
        <v>125</v>
      </c>
    </row>
    <row r="28" spans="1:13" ht="24" customHeight="1">
      <c r="A28" t="s">
        <v>124</v>
      </c>
      <c r="B28">
        <v>1</v>
      </c>
      <c r="C28" t="s">
        <v>126</v>
      </c>
      <c r="D28" s="5">
        <v>2099</v>
      </c>
      <c r="E28" s="2">
        <f>IF(AND(ISNUMBER(F28),ISNUMBER('Reference data'!$B$3)),F28*'Reference data'!$B$3,"Unknown")</f>
        <v>3.66220926e-05</v>
      </c>
      <c r="F28" s="2">
        <f>IF(D28=0,0,IF(ISNUMBER('Reference data'!C17),D28*'Reference data'!C17/1000000,"Unknown"))</f>
        <v>4.198e-05</v>
      </c>
      <c r="G28" s="5">
        <f>IF(ISNUMBER(E28),ROUND(E28*'Reference data'!$B$2,0),"Unknown")</f>
        <v>4.0</v>
      </c>
      <c r="H28" s="5">
        <f>IF(ISNUMBER(F28),ROUND(F28*'Reference data'!$B$2,0),"Unknown")</f>
        <v>4.0</v>
      </c>
    </row>
    <row r="29" spans="1:13" ht="24" customHeight="1">
      <c r="A29" t="s">
        <v>124</v>
      </c>
      <c r="B29">
        <v>1</v>
      </c>
      <c r="C29" t="s">
        <v>97</v>
      </c>
      <c r="D29" s="5">
        <v>3</v>
      </c>
      <c r="E29" s="2">
        <f>IF(AND(ISNUMBER(F29),ISNUMBER('Reference data'!$B$3)),F29*'Reference data'!$B$3,"Unknown")</f>
        <v>5.23422e-07</v>
      </c>
      <c r="F29" s="2">
        <f>IF(D29=0,0,IF(ISNUMBER('Reference data'!B17),D29*'Reference data'!B17/1000000,"Unknown"))</f>
        <v>6e-07</v>
      </c>
      <c r="G29" s="5">
        <f>IF(ISNUMBER(E29),ROUND(E29*'Reference data'!$B$2,0),"Unknown")</f>
        <v>0.0</v>
      </c>
      <c r="H29" s="5">
        <f>IF(ISNUMBER(F29),ROUND(F29*'Reference data'!$B$2,0),"Unknown")</f>
        <v>0.0</v>
      </c>
    </row>
    <row r="30" spans="1:13" ht="73" customHeight="1">
      <c r="A30" t="s">
        <v>124</v>
      </c>
      <c r="B30">
        <v>1</v>
      </c>
      <c r="C30" t="s">
        <v>127</v>
      </c>
      <c r="I30" s="6" t="s">
        <v>128</v>
      </c>
    </row>
    <row r="31" spans="1:13" ht="24" customHeight="1">
      <c r="A31" t="s">
        <v>124</v>
      </c>
      <c r="B31">
        <v>1</v>
      </c>
      <c r="C31" t="s">
        <v>103</v>
      </c>
      <c r="D31" s="5">
        <v>213</v>
      </c>
      <c r="E31" s="2">
        <f>IF(AND(ISNUMBER(F31),ISNUMBER('Reference data'!$B$3)),F31*'Reference data'!$B$3,"Unknown")</f>
        <v>4.64537025e-05</v>
      </c>
      <c r="F31" s="2">
        <f>IF(D31=0,0,IF(ISNUMBER('Reference data'!D17),D31*'Reference data'!D17/1000000,"Unknown"))</f>
        <v>5.325e-05</v>
      </c>
      <c r="G31" s="5">
        <f>IF(ISNUMBER(E31),ROUND(E31*'Reference data'!$B$2,0),"Unknown")</f>
        <v>5.0</v>
      </c>
      <c r="H31" s="5">
        <f>IF(ISNUMBER(F31),ROUND(F31*'Reference data'!$B$2,0),"Unknown")</f>
        <v>5.0</v>
      </c>
    </row>
    <row r="32" spans="1:13" ht="24" customHeight="1">
      <c r="A32" t="s">
        <v>124</v>
      </c>
      <c r="B32">
        <v>1</v>
      </c>
      <c r="C32" t="s">
        <v>104</v>
      </c>
    </row>
    <row r="33" spans="1:13" s="4" customFormat="1" ht="24" customHeight="1">
      <c r="A33" s="4" t="s">
        <v>124</v>
      </c>
      <c r="B33" s="4">
        <v>1</v>
      </c>
      <c r="C33" s="4" t="s">
        <v>105</v>
      </c>
      <c r="D33" s="4">
        <v>95</v>
      </c>
    </row>
    <row r="34" spans="1:13" ht="24" customHeight="1">
      <c r="A34" t="s">
        <v>124</v>
      </c>
      <c r="B34">
        <v>1</v>
      </c>
      <c r="C34" t="s">
        <v>106</v>
      </c>
      <c r="D34" s="5">
        <v>30</v>
      </c>
      <c r="E34" s="2">
        <f>IF(AND(ISNUMBER(F34),ISNUMBER('Reference data'!$B$3)),F34*'Reference data'!$B$3,"Unknown")</f>
        <v>3.140532e-05</v>
      </c>
      <c r="F34" s="2">
        <f>IF(D34=0,0,IF(ISNUMBER('Reference data'!F17),D34*'Reference data'!F17/1000000,"Unknown"))</f>
        <v>3.6e-05</v>
      </c>
      <c r="G34" s="5">
        <f>IF(ISNUMBER(E34),ROUND(E34*'Reference data'!$B$2,0),"Unknown")</f>
        <v>3.0</v>
      </c>
      <c r="H34" s="5">
        <f>IF(ISNUMBER(F34),ROUND(F34*'Reference data'!$B$2,0),"Unknown")</f>
        <v>4.0</v>
      </c>
    </row>
    <row r="35" spans="1:13" ht="24" customHeight="1">
      <c r="A35" t="s">
        <v>124</v>
      </c>
      <c r="B35">
        <v>1</v>
      </c>
      <c r="C35" t="s">
        <v>107</v>
      </c>
      <c r="D35" s="5">
        <v>65</v>
      </c>
      <c r="E35" s="2">
        <f>IF(AND(ISNUMBER(F35),ISNUMBER('Reference data'!$B$3)),F35*'Reference data'!$B$3,"Unknown")</f>
        <v>6.804486e-05</v>
      </c>
      <c r="F35" s="2">
        <f>IF(D35=0,0,IF(ISNUMBER('Reference data'!E17),D35*'Reference data'!E17/1000000,"Unknown"))</f>
        <v>7.8e-05</v>
      </c>
      <c r="G35" s="5">
        <f>IF(ISNUMBER(E35),ROUND(E35*'Reference data'!$B$2,0),"Unknown")</f>
        <v>7.0</v>
      </c>
      <c r="H35" s="5">
        <f>IF(ISNUMBER(F35),ROUND(F35*'Reference data'!$B$2,0),"Unknown")</f>
        <v>8.0</v>
      </c>
    </row>
    <row r="36" spans="1:13" ht="409" customHeight="1">
      <c r="A36" t="s">
        <v>124</v>
      </c>
      <c r="B36">
        <v>1</v>
      </c>
      <c r="C36" t="s">
        <v>108</v>
      </c>
      <c r="I36" s="6" t="s">
        <v>129</v>
      </c>
    </row>
    <row r="37" spans="1:13" ht="24" customHeight="1">
      <c r="A37" t="s">
        <v>124</v>
      </c>
      <c r="B37">
        <v>1</v>
      </c>
      <c r="C37" t="s">
        <v>103</v>
      </c>
    </row>
    <row r="38" spans="1:13" ht="24" customHeight="1">
      <c r="A38" t="s">
        <v>124</v>
      </c>
      <c r="B38">
        <v>1</v>
      </c>
      <c r="C38" t="s">
        <v>104</v>
      </c>
    </row>
    <row r="39" spans="1:13" s="4" customFormat="1" ht="24" customHeight="1">
      <c r="A39" s="4" t="s">
        <v>124</v>
      </c>
      <c r="B39" s="4">
        <v>1</v>
      </c>
      <c r="C39" s="4" t="s">
        <v>110</v>
      </c>
      <c r="E39" s="2">
        <f>IF(COUNT('Turns'!E28,'Turns'!E29,'Turns'!E31,'Turns'!E34,'Turns'!E35)=5,SUM('Turns'!E28,'Turns'!E29,'Turns'!E31,'Turns'!E34,'Turns'!E35),"Unknown")</f>
        <v>0.0001830493971</v>
      </c>
      <c r="F39" s="2">
        <f>IF(COUNT('Turns'!F28,'Turns'!F29,'Turns'!F31,'Turns'!F34,'Turns'!F35)=5,SUM('Turns'!F28,'Turns'!F29,'Turns'!F31,'Turns'!F34,'Turns'!F35),"Unknown")</f>
        <v>0.00020983</v>
      </c>
      <c r="G39" s="5">
        <f>IF(ISNUMBER(E39),ROUND(E39*'Reference data'!$B$2,0),"Unknown")</f>
        <v>18.0</v>
      </c>
      <c r="H39" s="5">
        <f>IF(ISNUMBER(F39),ROUND(F39*'Reference data'!$B$2,0),"Unknown")</f>
        <v>21.0</v>
      </c>
      <c r="K39" s="4" t="s">
        <v>111</v>
      </c>
    </row>
    <row r="40" spans="1:13" s="4" customFormat="1" ht="24" customHeight="1">
      <c r="B40" s="4">
        <v>1</v>
      </c>
      <c r="C40" s="4" t="s">
        <v>130</v>
      </c>
      <c r="K40" s="4" t="s">
        <v>111</v>
      </c>
      <c r="M40" s="4" t="s">
        <v>131</v>
      </c>
    </row>
    <row r="41" spans="1:13" ht="24" customHeight="1">
      <c r="B41">
        <v>1</v>
      </c>
      <c r="C41" t="s">
        <v>114</v>
      </c>
      <c r="I41" s="6" t="s">
        <v>132</v>
      </c>
    </row>
    <row r="42" spans="1:13" ht="34" customHeight="1">
      <c r="B42">
        <v>1</v>
      </c>
      <c r="C42" t="s">
        <v>116</v>
      </c>
      <c r="I42" s="6" t="s">
        <v>133</v>
      </c>
    </row>
    <row r="43" spans="1:13" s="4" customFormat="1" ht="24" customHeight="1">
      <c r="B43" s="4">
        <v>1</v>
      </c>
      <c r="C43" s="4" t="s">
        <v>130</v>
      </c>
      <c r="K43" s="4" t="s">
        <v>111</v>
      </c>
      <c r="M43" s="4" t="s">
        <v>134</v>
      </c>
    </row>
    <row r="44" spans="1:13" ht="24" customHeight="1">
      <c r="B44">
        <v>1</v>
      </c>
      <c r="C44" t="s">
        <v>114</v>
      </c>
      <c r="I44" s="6" t="s">
        <v>135</v>
      </c>
    </row>
    <row r="45" spans="1:13" ht="24" customHeight="1">
      <c r="B45">
        <v>1</v>
      </c>
      <c r="C45" t="s">
        <v>116</v>
      </c>
      <c r="I45" s="6" t="s">
        <v>136</v>
      </c>
    </row>
    <row r="46" spans="1:13" s="4" customFormat="1" ht="24" customHeight="1">
      <c r="B46" s="4">
        <v>1</v>
      </c>
      <c r="C46" s="4" t="s">
        <v>130</v>
      </c>
      <c r="K46" s="4" t="s">
        <v>111</v>
      </c>
      <c r="M46" s="4" t="s">
        <v>137</v>
      </c>
    </row>
    <row r="47" spans="1:13" ht="24" customHeight="1">
      <c r="B47">
        <v>1</v>
      </c>
      <c r="C47" t="s">
        <v>114</v>
      </c>
      <c r="I47" s="6" t="s">
        <v>138</v>
      </c>
    </row>
    <row r="48" spans="1:13" ht="24" customHeight="1">
      <c r="B48">
        <v>1</v>
      </c>
      <c r="C48" t="s">
        <v>116</v>
      </c>
      <c r="I48" s="6" t="s">
        <v>139</v>
      </c>
    </row>
    <row r="49" spans="1:13" s="4" customFormat="1" ht="24" customHeight="1">
      <c r="A49" s="4" t="s">
        <v>140</v>
      </c>
      <c r="B49" s="4">
        <v>1</v>
      </c>
      <c r="C49" s="4" t="s">
        <v>94</v>
      </c>
      <c r="D49" s="4">
        <v>2498</v>
      </c>
      <c r="J49" s="4" t="s">
        <v>95</v>
      </c>
      <c r="M49" s="4" t="s">
        <v>141</v>
      </c>
    </row>
    <row r="50" spans="1:13" ht="24" customHeight="1">
      <c r="A50" t="s">
        <v>140</v>
      </c>
      <c r="B50">
        <v>1</v>
      </c>
      <c r="C50" t="s">
        <v>126</v>
      </c>
      <c r="D50" s="5">
        <v>2312</v>
      </c>
      <c r="E50" s="2">
        <f>IF(AND(ISNUMBER(F50),ISNUMBER('Reference data'!$B$3)),F50*'Reference data'!$B$3,"Unknown")</f>
        <v>4.03383888e-05</v>
      </c>
      <c r="F50" s="2">
        <f>IF(D50=0,0,IF(ISNUMBER('Reference data'!C17),D50*'Reference data'!C17/1000000,"Unknown"))</f>
        <v>4.624e-05</v>
      </c>
      <c r="G50" s="5">
        <f>IF(ISNUMBER(E50),ROUND(E50*'Reference data'!$B$2,0),"Unknown")</f>
        <v>4.0</v>
      </c>
      <c r="H50" s="5">
        <f>IF(ISNUMBER(F50),ROUND(F50*'Reference data'!$B$2,0),"Unknown")</f>
        <v>5.0</v>
      </c>
    </row>
    <row r="51" spans="1:13" ht="24" customHeight="1">
      <c r="A51" t="s">
        <v>140</v>
      </c>
      <c r="B51">
        <v>1</v>
      </c>
      <c r="C51" t="s">
        <v>97</v>
      </c>
      <c r="D51" s="5">
        <v>3</v>
      </c>
      <c r="E51" s="2">
        <f>IF(AND(ISNUMBER(F51),ISNUMBER('Reference data'!$B$3)),F51*'Reference data'!$B$3,"Unknown")</f>
        <v>5.23422e-07</v>
      </c>
      <c r="F51" s="2">
        <f>IF(D51=0,0,IF(ISNUMBER('Reference data'!B17),D51*'Reference data'!B17/1000000,"Unknown"))</f>
        <v>6e-07</v>
      </c>
      <c r="G51" s="5">
        <f>IF(ISNUMBER(E51),ROUND(E51*'Reference data'!$B$2,0),"Unknown")</f>
        <v>0.0</v>
      </c>
      <c r="H51" s="5">
        <f>IF(ISNUMBER(F51),ROUND(F51*'Reference data'!$B$2,0),"Unknown")</f>
        <v>0.0</v>
      </c>
    </row>
    <row r="52" spans="1:13" ht="60" customHeight="1">
      <c r="A52" t="s">
        <v>140</v>
      </c>
      <c r="B52">
        <v>1</v>
      </c>
      <c r="C52" t="s">
        <v>127</v>
      </c>
      <c r="I52" s="6" t="s">
        <v>142</v>
      </c>
    </row>
    <row r="53" spans="1:13" ht="24" customHeight="1">
      <c r="A53" t="s">
        <v>140</v>
      </c>
      <c r="B53">
        <v>1</v>
      </c>
      <c r="C53" t="s">
        <v>103</v>
      </c>
      <c r="D53" s="5">
        <v>183</v>
      </c>
      <c r="E53" s="2">
        <f>IF(AND(ISNUMBER(F53),ISNUMBER('Reference data'!$B$3)),F53*'Reference data'!$B$3,"Unknown")</f>
        <v>3.99109275e-05</v>
      </c>
      <c r="F53" s="2">
        <f>IF(D53=0,0,IF(ISNUMBER('Reference data'!D17),D53*'Reference data'!D17/1000000,"Unknown"))</f>
        <v>4.575e-05</v>
      </c>
      <c r="G53" s="5">
        <f>IF(ISNUMBER(E53),ROUND(E53*'Reference data'!$B$2,0),"Unknown")</f>
        <v>4.0</v>
      </c>
      <c r="H53" s="5">
        <f>IF(ISNUMBER(F53),ROUND(F53*'Reference data'!$B$2,0),"Unknown")</f>
        <v>5.0</v>
      </c>
    </row>
    <row r="54" spans="1:13" ht="24" customHeight="1">
      <c r="A54" t="s">
        <v>140</v>
      </c>
      <c r="B54">
        <v>1</v>
      </c>
      <c r="C54" t="s">
        <v>104</v>
      </c>
    </row>
    <row r="55" spans="1:13" s="4" customFormat="1" ht="24" customHeight="1">
      <c r="A55" s="4" t="s">
        <v>140</v>
      </c>
      <c r="B55" s="4">
        <v>1</v>
      </c>
      <c r="C55" s="4" t="s">
        <v>105</v>
      </c>
      <c r="D55" s="4">
        <v>378</v>
      </c>
    </row>
    <row r="56" spans="1:13" ht="24" customHeight="1">
      <c r="A56" t="s">
        <v>140</v>
      </c>
      <c r="B56">
        <v>1</v>
      </c>
      <c r="C56" t="s">
        <v>106</v>
      </c>
      <c r="D56" s="5">
        <v>22</v>
      </c>
      <c r="E56" s="2">
        <f>IF(AND(ISNUMBER(F56),ISNUMBER('Reference data'!$B$3)),F56*'Reference data'!$B$3,"Unknown")</f>
        <v>2.3030568e-05</v>
      </c>
      <c r="F56" s="2">
        <f>IF(D56=0,0,IF(ISNUMBER('Reference data'!F17),D56*'Reference data'!F17/1000000,"Unknown"))</f>
        <v>2.64e-05</v>
      </c>
      <c r="G56" s="5">
        <f>IF(ISNUMBER(E56),ROUND(E56*'Reference data'!$B$2,0),"Unknown")</f>
        <v>2.0</v>
      </c>
      <c r="H56" s="5">
        <f>IF(ISNUMBER(F56),ROUND(F56*'Reference data'!$B$2,0),"Unknown")</f>
        <v>3.0</v>
      </c>
    </row>
    <row r="57" spans="1:13" ht="24" customHeight="1">
      <c r="A57" t="s">
        <v>140</v>
      </c>
      <c r="B57">
        <v>1</v>
      </c>
      <c r="C57" t="s">
        <v>107</v>
      </c>
      <c r="D57" s="5">
        <v>356</v>
      </c>
      <c r="E57" s="2">
        <f>IF(AND(ISNUMBER(F57),ISNUMBER('Reference data'!$B$3)),F57*'Reference data'!$B$3,"Unknown")</f>
        <v>0.000372676464</v>
      </c>
      <c r="F57" s="2">
        <f>IF(D57=0,0,IF(ISNUMBER('Reference data'!E17),D57*'Reference data'!E17/1000000,"Unknown"))</f>
        <v>0.0004272</v>
      </c>
      <c r="G57" s="5">
        <f>IF(ISNUMBER(E57),ROUND(E57*'Reference data'!$B$2,0),"Unknown")</f>
        <v>37.0</v>
      </c>
      <c r="H57" s="5">
        <f>IF(ISNUMBER(F57),ROUND(F57*'Reference data'!$B$2,0),"Unknown")</f>
        <v>43.0</v>
      </c>
    </row>
    <row r="58" spans="1:13" ht="409" customHeight="1">
      <c r="A58" t="s">
        <v>140</v>
      </c>
      <c r="B58">
        <v>1</v>
      </c>
      <c r="C58" t="s">
        <v>108</v>
      </c>
      <c r="I58" s="6" t="s">
        <v>143</v>
      </c>
    </row>
    <row r="59" spans="1:13" ht="24" customHeight="1">
      <c r="A59" t="s">
        <v>140</v>
      </c>
      <c r="B59">
        <v>1</v>
      </c>
      <c r="C59" t="s">
        <v>103</v>
      </c>
    </row>
    <row r="60" spans="1:13" ht="24" customHeight="1">
      <c r="A60" t="s">
        <v>140</v>
      </c>
      <c r="B60">
        <v>1</v>
      </c>
      <c r="C60" t="s">
        <v>104</v>
      </c>
    </row>
    <row r="61" spans="1:13" s="4" customFormat="1" ht="24" customHeight="1">
      <c r="A61" s="4" t="s">
        <v>140</v>
      </c>
      <c r="B61" s="4">
        <v>1</v>
      </c>
      <c r="C61" s="4" t="s">
        <v>110</v>
      </c>
      <c r="E61" s="2">
        <f>IF(COUNT('Turns'!E50,'Turns'!E51,'Turns'!E53,'Turns'!E56,'Turns'!E57)=5,SUM('Turns'!E50,'Turns'!E51,'Turns'!E53,'Turns'!E56,'Turns'!E57),"Unknown")</f>
        <v>0.0004764797703</v>
      </c>
      <c r="F61" s="2">
        <f>IF(COUNT('Turns'!F50,'Turns'!F51,'Turns'!F53,'Turns'!F56,'Turns'!F57)=5,SUM('Turns'!F50,'Turns'!F51,'Turns'!F53,'Turns'!F56,'Turns'!F57),"Unknown")</f>
        <v>0.00054619</v>
      </c>
      <c r="G61" s="5">
        <f>IF(ISNUMBER(E61),ROUND(E61*'Reference data'!$B$2,0),"Unknown")</f>
        <v>48.0</v>
      </c>
      <c r="H61" s="5">
        <f>IF(ISNUMBER(F61),ROUND(F61*'Reference data'!$B$2,0),"Unknown")</f>
        <v>55.0</v>
      </c>
      <c r="K61" s="4" t="s">
        <v>111</v>
      </c>
    </row>
  </sheetData>
  <conditionalFormatting sqref="A2:AE61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2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144</v>
      </c>
      <c r="B2" s="1">
        <v>0</v>
      </c>
      <c r="C2" s="1" t="s">
        <v>145</v>
      </c>
      <c r="D2" s="1" t="s">
        <v>47</v>
      </c>
      <c r="E2" s="1" t="s">
        <v>111</v>
      </c>
      <c r="G2" s="6" t="s">
        <v>146</v>
      </c>
      <c r="H2" t="s">
        <v>49</v>
      </c>
      <c r="J2" s="2">
        <f>IF(COUNT('Turns'!D5,'Turns'!D29,'Turns'!D51)=3,SUM('Turns'!D5,'Turns'!D29,'Turns'!D51),"Unknown")</f>
        <v>9.0</v>
      </c>
      <c r="K2" s="2">
        <f>IF(COUNT('Turns'!E5,'Turns'!E29,'Turns'!E51)=3,SUM('Turns'!E5,'Turns'!E29,'Turns'!E51),"Unknown")</f>
        <v>1.570266e-06</v>
      </c>
      <c r="L2" s="2">
        <f>IF(COUNT('Turns'!F5,'Turns'!F29,'Turns'!F51)=3,SUM('Turns'!F5,'Turns'!F29,'Turns'!F51),"Unknown")</f>
        <v>1.8e-06</v>
      </c>
      <c r="M2" s="2">
        <f>IF(COUNT('Turns'!D28,'Turns'!D50)=2,SUM('Turns'!D28,'Turns'!D50),"Unknown")</f>
        <v>4411.0</v>
      </c>
      <c r="N2" s="2">
        <f>IF(COUNT('Turns'!E28,'Turns'!E50)=2,SUM('Turns'!E28,'Turns'!E50),"Unknown")</f>
        <v>7.69604814e-05</v>
      </c>
      <c r="O2" s="2">
        <f>IF(COUNT('Turns'!F28,'Turns'!F50)=2,SUM('Turns'!F28,'Turns'!F50),"Unknown")</f>
        <v>8.822e-05</v>
      </c>
      <c r="P2" s="2">
        <f>IF(COUNT('Turns'!D9,'Turns'!D31,'Turns'!D53)=3,SUM('Turns'!D9,'Turns'!D31,'Turns'!D53),"Unknown")</f>
        <v>2495.0</v>
      </c>
      <c r="Q2" s="2">
        <f>IF(COUNT('Turns'!E9,'Turns'!E31,'Turns'!E53)=3,SUM('Turns'!E9,'Turns'!E31,'Turns'!E53),"Unknown")</f>
        <v>0.0005441407875</v>
      </c>
      <c r="R2" s="2">
        <f>IF(COUNT('Turns'!F9,'Turns'!F31,'Turns'!F53)=3,SUM('Turns'!F9,'Turns'!F31,'Turns'!F53),"Unknown")</f>
        <v>0.00062375</v>
      </c>
      <c r="S2" s="2">
        <f>IF(COUNT('Turns'!D13,'Turns'!D35,'Turns'!D57)=3,SUM('Turns'!D13,'Turns'!D35,'Turns'!D57),"Unknown")</f>
        <v>485.0</v>
      </c>
      <c r="T2" s="2">
        <f>IF(COUNT('Turns'!E13,'Turns'!E35,'Turns'!E57)=3,SUM('Turns'!E13,'Turns'!E35,'Turns'!E57),"Unknown")</f>
        <v>0.00050771934</v>
      </c>
      <c r="U2" s="2">
        <f>IF(COUNT('Turns'!F13,'Turns'!F35,'Turns'!F57)=3,SUM('Turns'!F13,'Turns'!F35,'Turns'!F57),"Unknown")</f>
        <v>0.000582</v>
      </c>
      <c r="V2" s="2">
        <f>IF(COUNT('Turns'!D12,'Turns'!D34,'Turns'!D56)=3,SUM('Turns'!D12,'Turns'!D34,'Turns'!D56),"Unknown")</f>
        <v>100.0</v>
      </c>
      <c r="W2" s="2">
        <f>IF(COUNT('Turns'!E12,'Turns'!E34,'Turns'!E56)=3,SUM('Turns'!E12,'Turns'!E34,'Turns'!E56),"Unknown")</f>
        <v>0.0001046844</v>
      </c>
      <c r="X2" s="2">
        <f>IF(COUNT('Turns'!F12,'Turns'!F34,'Turns'!F56)=3,SUM('Turns'!F12,'Turns'!F34,'Turns'!F56),"Unknown")</f>
        <v>0.00012</v>
      </c>
      <c r="Y2" s="2">
        <f>IF(COUNT('Turns'!E17,'Turns'!E39,'Turns'!E61)=3,SUM('Turns'!E17,'Turns'!E39,'Turns'!E61),"Unknown")</f>
        <v>0.0012350752749</v>
      </c>
      <c r="Z2" s="2">
        <f>IF(COUNT('Turns'!F17,'Turns'!F39,'Turns'!F61)=3,SUM('Turns'!F17,'Turns'!F39,'Turns'!F61),"Unknown")</f>
        <v>0.00141577</v>
      </c>
      <c r="AA2" s="5">
        <f>IF(ISNUMBER(Y2),ROUND(Y2*'Reference data'!$B$2,0),"Unknown")</f>
        <v>124.0</v>
      </c>
      <c r="AB2" s="5">
        <f>IF(ISNUMBER(Z2),ROUND(Z2*'Reference data'!$B$2,0),"Unknown")</f>
        <v>142.0</v>
      </c>
      <c r="AD2" s="1">
        <v>12621.976</v>
      </c>
      <c r="AE2" s="1" t="s">
        <v>147</v>
      </c>
    </row>
    <row r="3" spans="1:31" ht="54" customHeight="1">
      <c r="A3" s="6" t="s">
        <v>148</v>
      </c>
      <c r="B3" s="1">
        <v>1</v>
      </c>
      <c r="C3" s="1" t="s">
        <v>145</v>
      </c>
      <c r="D3" s="1" t="s">
        <v>47</v>
      </c>
      <c r="E3" s="1" t="s">
        <v>111</v>
      </c>
      <c r="G3" s="6" t="s">
        <v>149</v>
      </c>
      <c r="H3" t="s">
        <v>150</v>
      </c>
      <c r="I3" t="s">
        <v>49</v>
      </c>
      <c r="AD3" s="1">
        <v>0.517</v>
      </c>
      <c r="AE3" s="1" t="s">
        <v>151</v>
      </c>
    </row>
    <row r="4" spans="1:31" ht="54" customHeight="1">
      <c r="A4" s="6" t="s">
        <v>152</v>
      </c>
      <c r="B4" s="1">
        <v>1</v>
      </c>
      <c r="C4" s="1" t="s">
        <v>145</v>
      </c>
      <c r="D4" s="1" t="s">
        <v>47</v>
      </c>
      <c r="E4" s="1" t="s">
        <v>111</v>
      </c>
      <c r="G4" s="6" t="s">
        <v>153</v>
      </c>
      <c r="H4" t="s">
        <v>154</v>
      </c>
      <c r="I4" t="s">
        <v>49</v>
      </c>
      <c r="J4" s="2">
        <f>IF(COUNT('Turns'!D5)=1,SUM('Turns'!D5),"Unknown")</f>
        <v>3.0</v>
      </c>
      <c r="K4" s="2">
        <f>IF(COUNT('Turns'!E5)=1,SUM('Turns'!E5),"Unknown")</f>
        <v>5.23422e-07</v>
      </c>
      <c r="L4" s="2">
        <f>IF(COUNT('Turns'!F5)=1,SUM('Turns'!F5),"Unknown")</f>
        <v>6e-07</v>
      </c>
      <c r="M4" s="2">
        <v>0</v>
      </c>
      <c r="N4" s="2">
        <v>0</v>
      </c>
      <c r="O4" s="2">
        <v>0</v>
      </c>
      <c r="P4" s="2">
        <f>IF(COUNT('Turns'!D9)=1,SUM('Turns'!D9),"Unknown")</f>
        <v>2099.0</v>
      </c>
      <c r="Q4" s="2">
        <f>IF(COUNT('Turns'!E9)=1,SUM('Turns'!E9),"Unknown")</f>
        <v>0.0004577761575</v>
      </c>
      <c r="R4" s="2">
        <f>IF(COUNT('Turns'!F9)=1,SUM('Turns'!F9),"Unknown")</f>
        <v>0.00052475</v>
      </c>
      <c r="S4" s="2">
        <f>IF(COUNT('Turns'!D13)=1,SUM('Turns'!D13),"Unknown")</f>
        <v>64.0</v>
      </c>
      <c r="T4" s="2">
        <f>IF(COUNT('Turns'!E13)=1,SUM('Turns'!E13),"Unknown")</f>
        <v>6.6998016e-05</v>
      </c>
      <c r="U4" s="2">
        <f>IF(COUNT('Turns'!F13)=1,SUM('Turns'!F13),"Unknown")</f>
        <v>7.68e-05</v>
      </c>
      <c r="V4" s="2">
        <f>IF(COUNT('Turns'!D12)=1,SUM('Turns'!D12),"Unknown")</f>
        <v>48.0</v>
      </c>
      <c r="W4" s="2">
        <f>IF(COUNT('Turns'!E12)=1,SUM('Turns'!E12),"Unknown")</f>
        <v>5.0248512e-05</v>
      </c>
      <c r="X4" s="2">
        <f>IF(COUNT('Turns'!F12)=1,SUM('Turns'!F12),"Unknown")</f>
        <v>5.76e-05</v>
      </c>
      <c r="Y4" s="2">
        <f>IF(COUNT('Turns'!E17)=1,SUM('Turns'!E17),"Unknown")</f>
        <v>0.0005755461075</v>
      </c>
      <c r="Z4" s="2">
        <f>IF(COUNT('Turns'!F17)=1,SUM('Turns'!F17),"Unknown")</f>
        <v>0.00065975</v>
      </c>
      <c r="AA4" s="5">
        <f>IF(ISNUMBER(Y4),ROUND(Y4*'Reference data'!$B$2,0),"Unknown")</f>
        <v>58.0</v>
      </c>
      <c r="AB4" s="5">
        <f>IF(ISNUMBER(Z4),ROUND(Z4*'Reference data'!$B$2,0),"Unknown")</f>
        <v>66.0</v>
      </c>
      <c r="AD4" s="1">
        <v>3245.623</v>
      </c>
      <c r="AE4" s="1" t="s">
        <v>147</v>
      </c>
    </row>
    <row r="5" spans="1:31" ht="54" customHeight="1">
      <c r="A5" s="6" t="s">
        <v>155</v>
      </c>
      <c r="B5" s="1">
        <v>2</v>
      </c>
      <c r="C5" s="1" t="s">
        <v>156</v>
      </c>
      <c r="D5" s="1" t="s">
        <v>95</v>
      </c>
      <c r="E5" s="1" t="s">
        <v>111</v>
      </c>
      <c r="F5" s="1">
        <v>2102</v>
      </c>
      <c r="G5" s="6" t="s">
        <v>157</v>
      </c>
      <c r="H5" t="s">
        <v>96</v>
      </c>
      <c r="I5" t="s">
        <v>154</v>
      </c>
      <c r="J5" s="2">
        <f>IF(COUNT('Turns'!D5)=1,SUM('Turns'!D5),"Unknown")</f>
        <v>3.0</v>
      </c>
      <c r="K5" s="2">
        <f>IF(COUNT('Turns'!E5)=1,SUM('Turns'!E5),"Unknown")</f>
        <v>5.23422e-07</v>
      </c>
      <c r="L5" s="2">
        <f>IF(COUNT('Turns'!F5)=1,SUM('Turns'!F5),"Unknown")</f>
        <v>6e-07</v>
      </c>
      <c r="M5" s="2">
        <v>0</v>
      </c>
      <c r="N5" s="2">
        <v>0</v>
      </c>
      <c r="O5" s="2">
        <v>0</v>
      </c>
      <c r="P5" s="2">
        <f>IF(COUNT('Turns'!D9)=1,SUM('Turns'!D9),"Unknown")</f>
        <v>2099.0</v>
      </c>
      <c r="Q5" s="2">
        <f>IF(COUNT('Turns'!E9)=1,SUM('Turns'!E9),"Unknown")</f>
        <v>0.0004577761575</v>
      </c>
      <c r="R5" s="2">
        <f>IF(COUNT('Turns'!F9)=1,SUM('Turns'!F9),"Unknown")</f>
        <v>0.00052475</v>
      </c>
      <c r="S5" s="2">
        <f>IF(COUNT('Turns'!D13)=1,SUM('Turns'!D13),"Unknown")</f>
        <v>64.0</v>
      </c>
      <c r="T5" s="2">
        <f>IF(COUNT('Turns'!E13)=1,SUM('Turns'!E13),"Unknown")</f>
        <v>6.6998016e-05</v>
      </c>
      <c r="U5" s="2">
        <f>IF(COUNT('Turns'!F13)=1,SUM('Turns'!F13),"Unknown")</f>
        <v>7.68e-05</v>
      </c>
      <c r="V5" s="2">
        <f>IF(COUNT('Turns'!D12)=1,SUM('Turns'!D12),"Unknown")</f>
        <v>48.0</v>
      </c>
      <c r="W5" s="2">
        <f>IF(COUNT('Turns'!E12)=1,SUM('Turns'!E12),"Unknown")</f>
        <v>5.0248512e-05</v>
      </c>
      <c r="X5" s="2">
        <f>IF(COUNT('Turns'!F12)=1,SUM('Turns'!F12),"Unknown")</f>
        <v>5.76e-05</v>
      </c>
      <c r="Y5" s="2">
        <f>IF(COUNT('Turns'!E17)=1,SUM('Turns'!E17),"Unknown")</f>
        <v>0.0005755461075</v>
      </c>
      <c r="Z5" s="2">
        <f>IF(COUNT('Turns'!F17)=1,SUM('Turns'!F17),"Unknown")</f>
        <v>0.00065975</v>
      </c>
      <c r="AA5" s="5">
        <f>IF(ISNUMBER(Y5),ROUND(Y5*'Reference data'!$B$2,0),"Unknown")</f>
        <v>58.0</v>
      </c>
      <c r="AB5" s="5">
        <f>IF(ISNUMBER(Z5),ROUND(Z5*'Reference data'!$B$2,0),"Unknown")</f>
        <v>66.0</v>
      </c>
      <c r="AC5" s="1" t="s">
        <v>93</v>
      </c>
      <c r="AD5" s="1">
        <v>3238.117</v>
      </c>
      <c r="AE5" s="1" t="s">
        <v>158</v>
      </c>
    </row>
    <row r="6" spans="1:31" ht="54" customHeight="1">
      <c r="A6" s="6" t="s">
        <v>159</v>
      </c>
      <c r="B6" s="1">
        <v>1</v>
      </c>
      <c r="C6" s="1" t="s">
        <v>145</v>
      </c>
      <c r="D6" s="1" t="s">
        <v>47</v>
      </c>
      <c r="E6" s="1" t="s">
        <v>111</v>
      </c>
      <c r="G6" s="6" t="s">
        <v>160</v>
      </c>
      <c r="H6" t="s">
        <v>161</v>
      </c>
      <c r="I6" t="s">
        <v>49</v>
      </c>
      <c r="AD6" s="1">
        <v>4.438</v>
      </c>
      <c r="AE6" s="1" t="s">
        <v>151</v>
      </c>
    </row>
    <row r="7" spans="1:31" ht="54" customHeight="1">
      <c r="A7" s="6" t="s">
        <v>162</v>
      </c>
      <c r="B7" s="1">
        <v>2</v>
      </c>
      <c r="C7" s="1" t="s">
        <v>163</v>
      </c>
      <c r="D7" s="1" t="s">
        <v>47</v>
      </c>
      <c r="E7" s="1" t="s">
        <v>111</v>
      </c>
      <c r="G7" s="6" t="s">
        <v>164</v>
      </c>
      <c r="H7" t="s">
        <v>113</v>
      </c>
      <c r="I7" t="s">
        <v>161</v>
      </c>
      <c r="AD7" s="1">
        <v>0.977</v>
      </c>
      <c r="AE7" s="1" t="s">
        <v>151</v>
      </c>
    </row>
    <row r="8" spans="1:31" ht="54" customHeight="1">
      <c r="A8" s="6" t="s">
        <v>159</v>
      </c>
      <c r="B8" s="1">
        <v>1</v>
      </c>
      <c r="C8" s="1" t="s">
        <v>145</v>
      </c>
      <c r="D8" s="1" t="s">
        <v>47</v>
      </c>
      <c r="E8" s="1" t="s">
        <v>111</v>
      </c>
      <c r="G8" s="6" t="s">
        <v>160</v>
      </c>
      <c r="H8" t="s">
        <v>165</v>
      </c>
      <c r="I8" t="s">
        <v>49</v>
      </c>
      <c r="AD8" s="1">
        <v>4.56</v>
      </c>
      <c r="AE8" s="1" t="s">
        <v>151</v>
      </c>
    </row>
    <row r="9" spans="1:31" ht="54" customHeight="1">
      <c r="A9" s="6" t="s">
        <v>162</v>
      </c>
      <c r="B9" s="1">
        <v>2</v>
      </c>
      <c r="C9" s="1" t="s">
        <v>163</v>
      </c>
      <c r="D9" s="1" t="s">
        <v>47</v>
      </c>
      <c r="E9" s="1" t="s">
        <v>111</v>
      </c>
      <c r="G9" s="6" t="s">
        <v>164</v>
      </c>
      <c r="H9" t="s">
        <v>118</v>
      </c>
      <c r="I9" t="s">
        <v>165</v>
      </c>
      <c r="AD9" s="1">
        <v>1.112</v>
      </c>
      <c r="AE9" s="1" t="s">
        <v>151</v>
      </c>
    </row>
    <row r="10" spans="1:31" ht="54" customHeight="1">
      <c r="A10" s="6" t="s">
        <v>159</v>
      </c>
      <c r="B10" s="1">
        <v>1</v>
      </c>
      <c r="C10" s="1" t="s">
        <v>145</v>
      </c>
      <c r="D10" s="1" t="s">
        <v>47</v>
      </c>
      <c r="E10" s="1" t="s">
        <v>111</v>
      </c>
      <c r="G10" s="6" t="s">
        <v>160</v>
      </c>
      <c r="H10" t="s">
        <v>166</v>
      </c>
      <c r="I10" t="s">
        <v>49</v>
      </c>
      <c r="AD10" s="1">
        <v>4.745</v>
      </c>
      <c r="AE10" s="1" t="s">
        <v>151</v>
      </c>
    </row>
    <row r="11" spans="1:31" ht="54" customHeight="1">
      <c r="A11" s="6" t="s">
        <v>162</v>
      </c>
      <c r="B11" s="1">
        <v>2</v>
      </c>
      <c r="C11" s="1" t="s">
        <v>163</v>
      </c>
      <c r="D11" s="1" t="s">
        <v>47</v>
      </c>
      <c r="E11" s="1" t="s">
        <v>111</v>
      </c>
      <c r="G11" s="6" t="s">
        <v>164</v>
      </c>
      <c r="H11" t="s">
        <v>121</v>
      </c>
      <c r="I11" t="s">
        <v>166</v>
      </c>
      <c r="AD11" s="1">
        <v>1.332</v>
      </c>
      <c r="AE11" s="1" t="s">
        <v>151</v>
      </c>
    </row>
    <row r="12" spans="1:31" ht="54" customHeight="1">
      <c r="A12" s="6" t="s">
        <v>152</v>
      </c>
      <c r="B12" s="1">
        <v>1</v>
      </c>
      <c r="C12" s="1" t="s">
        <v>145</v>
      </c>
      <c r="D12" s="1" t="s">
        <v>47</v>
      </c>
      <c r="E12" s="1" t="s">
        <v>111</v>
      </c>
      <c r="G12" s="6" t="s">
        <v>153</v>
      </c>
      <c r="H12" t="s">
        <v>167</v>
      </c>
      <c r="I12" t="s">
        <v>49</v>
      </c>
      <c r="J12" s="2">
        <f>IF(COUNT('Turns'!D29)=1,SUM('Turns'!D29),"Unknown")</f>
        <v>3.0</v>
      </c>
      <c r="K12" s="2">
        <f>IF(COUNT('Turns'!E29)=1,SUM('Turns'!E29),"Unknown")</f>
        <v>5.23422e-07</v>
      </c>
      <c r="L12" s="2">
        <f>IF(COUNT('Turns'!F29)=1,SUM('Turns'!F29),"Unknown")</f>
        <v>6e-07</v>
      </c>
      <c r="M12" s="2">
        <f>IF(COUNT('Turns'!D28)=1,SUM('Turns'!D28),"Unknown")</f>
        <v>2099.0</v>
      </c>
      <c r="N12" s="2">
        <f>IF(COUNT('Turns'!E28)=1,SUM('Turns'!E28),"Unknown")</f>
        <v>3.66220926e-05</v>
      </c>
      <c r="O12" s="2">
        <f>IF(COUNT('Turns'!F28)=1,SUM('Turns'!F28),"Unknown")</f>
        <v>4.198e-05</v>
      </c>
      <c r="P12" s="2">
        <f>IF(COUNT('Turns'!D31)=1,SUM('Turns'!D31),"Unknown")</f>
        <v>213.0</v>
      </c>
      <c r="Q12" s="2">
        <f>IF(COUNT('Turns'!E31)=1,SUM('Turns'!E31),"Unknown")</f>
        <v>4.64537025e-05</v>
      </c>
      <c r="R12" s="2">
        <f>IF(COUNT('Turns'!F31)=1,SUM('Turns'!F31),"Unknown")</f>
        <v>5.325e-05</v>
      </c>
      <c r="S12" s="2">
        <f>IF(COUNT('Turns'!D35)=1,SUM('Turns'!D35),"Unknown")</f>
        <v>65.0</v>
      </c>
      <c r="T12" s="2">
        <f>IF(COUNT('Turns'!E35)=1,SUM('Turns'!E35),"Unknown")</f>
        <v>6.804486e-05</v>
      </c>
      <c r="U12" s="2">
        <f>IF(COUNT('Turns'!F35)=1,SUM('Turns'!F35),"Unknown")</f>
        <v>7.8e-05</v>
      </c>
      <c r="V12" s="2">
        <f>IF(COUNT('Turns'!D34)=1,SUM('Turns'!D34),"Unknown")</f>
        <v>30.0</v>
      </c>
      <c r="W12" s="2">
        <f>IF(COUNT('Turns'!E34)=1,SUM('Turns'!E34),"Unknown")</f>
        <v>3.140532e-05</v>
      </c>
      <c r="X12" s="2">
        <f>IF(COUNT('Turns'!F34)=1,SUM('Turns'!F34),"Unknown")</f>
        <v>3.6e-05</v>
      </c>
      <c r="Y12" s="2">
        <f>IF(COUNT('Turns'!E39)=1,SUM('Turns'!E39),"Unknown")</f>
        <v>0.0001830493971</v>
      </c>
      <c r="Z12" s="2">
        <f>IF(COUNT('Turns'!F39)=1,SUM('Turns'!F39),"Unknown")</f>
        <v>0.00020983</v>
      </c>
      <c r="AA12" s="5">
        <f>IF(ISNUMBER(Y12),ROUND(Y12*'Reference data'!$B$2,0),"Unknown")</f>
        <v>18.0</v>
      </c>
      <c r="AB12" s="5">
        <f>IF(ISNUMBER(Z12),ROUND(Z12*'Reference data'!$B$2,0),"Unknown")</f>
        <v>21.0</v>
      </c>
      <c r="AD12" s="1">
        <v>2480.394</v>
      </c>
      <c r="AE12" s="1" t="s">
        <v>147</v>
      </c>
    </row>
    <row r="13" spans="1:31" ht="54" customHeight="1">
      <c r="A13" s="6" t="s">
        <v>155</v>
      </c>
      <c r="B13" s="1">
        <v>2</v>
      </c>
      <c r="C13" s="1" t="s">
        <v>156</v>
      </c>
      <c r="D13" s="1" t="s">
        <v>95</v>
      </c>
      <c r="E13" s="1" t="s">
        <v>111</v>
      </c>
      <c r="F13" s="1">
        <v>2315</v>
      </c>
      <c r="G13" s="6" t="s">
        <v>157</v>
      </c>
      <c r="H13" t="s">
        <v>125</v>
      </c>
      <c r="I13" t="s">
        <v>167</v>
      </c>
      <c r="J13" s="2">
        <f>IF(COUNT('Turns'!D29)=1,SUM('Turns'!D29),"Unknown")</f>
        <v>3.0</v>
      </c>
      <c r="K13" s="2">
        <f>IF(COUNT('Turns'!E29)=1,SUM('Turns'!E29),"Unknown")</f>
        <v>5.23422e-07</v>
      </c>
      <c r="L13" s="2">
        <f>IF(COUNT('Turns'!F29)=1,SUM('Turns'!F29),"Unknown")</f>
        <v>6e-07</v>
      </c>
      <c r="M13" s="2">
        <f>IF(COUNT('Turns'!D28)=1,SUM('Turns'!D28),"Unknown")</f>
        <v>2099.0</v>
      </c>
      <c r="N13" s="2">
        <f>IF(COUNT('Turns'!E28)=1,SUM('Turns'!E28),"Unknown")</f>
        <v>3.66220926e-05</v>
      </c>
      <c r="O13" s="2">
        <f>IF(COUNT('Turns'!F28)=1,SUM('Turns'!F28),"Unknown")</f>
        <v>4.198e-05</v>
      </c>
      <c r="P13" s="2">
        <f>IF(COUNT('Turns'!D31)=1,SUM('Turns'!D31),"Unknown")</f>
        <v>213.0</v>
      </c>
      <c r="Q13" s="2">
        <f>IF(COUNT('Turns'!E31)=1,SUM('Turns'!E31),"Unknown")</f>
        <v>4.64537025e-05</v>
      </c>
      <c r="R13" s="2">
        <f>IF(COUNT('Turns'!F31)=1,SUM('Turns'!F31),"Unknown")</f>
        <v>5.325e-05</v>
      </c>
      <c r="S13" s="2">
        <f>IF(COUNT('Turns'!D35)=1,SUM('Turns'!D35),"Unknown")</f>
        <v>65.0</v>
      </c>
      <c r="T13" s="2">
        <f>IF(COUNT('Turns'!E35)=1,SUM('Turns'!E35),"Unknown")</f>
        <v>6.804486e-05</v>
      </c>
      <c r="U13" s="2">
        <f>IF(COUNT('Turns'!F35)=1,SUM('Turns'!F35),"Unknown")</f>
        <v>7.8e-05</v>
      </c>
      <c r="V13" s="2">
        <f>IF(COUNT('Turns'!D34)=1,SUM('Turns'!D34),"Unknown")</f>
        <v>30.0</v>
      </c>
      <c r="W13" s="2">
        <f>IF(COUNT('Turns'!E34)=1,SUM('Turns'!E34),"Unknown")</f>
        <v>3.140532e-05</v>
      </c>
      <c r="X13" s="2">
        <f>IF(COUNT('Turns'!F34)=1,SUM('Turns'!F34),"Unknown")</f>
        <v>3.6e-05</v>
      </c>
      <c r="Y13" s="2">
        <f>IF(COUNT('Turns'!E39)=1,SUM('Turns'!E39),"Unknown")</f>
        <v>0.0001830493971</v>
      </c>
      <c r="Z13" s="2">
        <f>IF(COUNT('Turns'!F39)=1,SUM('Turns'!F39),"Unknown")</f>
        <v>0.00020983</v>
      </c>
      <c r="AA13" s="5">
        <f>IF(ISNUMBER(Y13),ROUND(Y13*'Reference data'!$B$2,0),"Unknown")</f>
        <v>18.0</v>
      </c>
      <c r="AB13" s="5">
        <f>IF(ISNUMBER(Z13),ROUND(Z13*'Reference data'!$B$2,0),"Unknown")</f>
        <v>21.0</v>
      </c>
      <c r="AC13" s="1" t="s">
        <v>124</v>
      </c>
      <c r="AD13" s="1">
        <v>2476.851</v>
      </c>
      <c r="AE13" s="1" t="s">
        <v>158</v>
      </c>
    </row>
    <row r="14" spans="1:31" ht="54" customHeight="1">
      <c r="A14" s="6" t="s">
        <v>159</v>
      </c>
      <c r="B14" s="1">
        <v>1</v>
      </c>
      <c r="C14" s="1" t="s">
        <v>145</v>
      </c>
      <c r="D14" s="1" t="s">
        <v>47</v>
      </c>
      <c r="E14" s="1" t="s">
        <v>111</v>
      </c>
      <c r="G14" s="6" t="s">
        <v>160</v>
      </c>
      <c r="H14" t="s">
        <v>168</v>
      </c>
      <c r="I14" t="s">
        <v>49</v>
      </c>
      <c r="AD14" s="1">
        <v>3.626</v>
      </c>
      <c r="AE14" s="1" t="s">
        <v>151</v>
      </c>
    </row>
    <row r="15" spans="1:31" ht="54" customHeight="1">
      <c r="A15" s="6" t="s">
        <v>169</v>
      </c>
      <c r="B15" s="1">
        <v>2</v>
      </c>
      <c r="C15" s="1" t="s">
        <v>163</v>
      </c>
      <c r="D15" s="1" t="s">
        <v>47</v>
      </c>
      <c r="E15" s="1" t="s">
        <v>111</v>
      </c>
      <c r="G15" s="6" t="s">
        <v>170</v>
      </c>
      <c r="H15" t="s">
        <v>131</v>
      </c>
      <c r="I15" t="s">
        <v>168</v>
      </c>
      <c r="AD15" s="1">
        <v>1.142</v>
      </c>
      <c r="AE15" s="1" t="s">
        <v>151</v>
      </c>
    </row>
    <row r="16" spans="1:31" ht="54" customHeight="1">
      <c r="A16" s="6" t="s">
        <v>159</v>
      </c>
      <c r="B16" s="1">
        <v>1</v>
      </c>
      <c r="C16" s="1" t="s">
        <v>145</v>
      </c>
      <c r="D16" s="1" t="s">
        <v>47</v>
      </c>
      <c r="E16" s="1" t="s">
        <v>111</v>
      </c>
      <c r="G16" s="6" t="s">
        <v>160</v>
      </c>
      <c r="H16" t="s">
        <v>171</v>
      </c>
      <c r="I16" t="s">
        <v>49</v>
      </c>
      <c r="AD16" s="1">
        <v>4.027</v>
      </c>
      <c r="AE16" s="1" t="s">
        <v>151</v>
      </c>
    </row>
    <row r="17" spans="1:31" ht="54" customHeight="1">
      <c r="A17" s="6" t="s">
        <v>169</v>
      </c>
      <c r="B17" s="1">
        <v>2</v>
      </c>
      <c r="C17" s="1" t="s">
        <v>163</v>
      </c>
      <c r="D17" s="1" t="s">
        <v>47</v>
      </c>
      <c r="E17" s="1" t="s">
        <v>111</v>
      </c>
      <c r="G17" s="6" t="s">
        <v>170</v>
      </c>
      <c r="H17" t="s">
        <v>134</v>
      </c>
      <c r="I17" t="s">
        <v>171</v>
      </c>
      <c r="AD17" s="1">
        <v>1.059</v>
      </c>
      <c r="AE17" s="1" t="s">
        <v>151</v>
      </c>
    </row>
    <row r="18" spans="1:31" ht="54" customHeight="1">
      <c r="A18" s="6" t="s">
        <v>159</v>
      </c>
      <c r="B18" s="1">
        <v>1</v>
      </c>
      <c r="C18" s="1" t="s">
        <v>145</v>
      </c>
      <c r="D18" s="1" t="s">
        <v>47</v>
      </c>
      <c r="E18" s="1" t="s">
        <v>111</v>
      </c>
      <c r="G18" s="6" t="s">
        <v>160</v>
      </c>
      <c r="H18" t="s">
        <v>172</v>
      </c>
      <c r="I18" t="s">
        <v>49</v>
      </c>
      <c r="AD18" s="1">
        <v>3.819</v>
      </c>
      <c r="AE18" s="1" t="s">
        <v>151</v>
      </c>
    </row>
    <row r="19" spans="1:31" ht="54" customHeight="1">
      <c r="A19" s="6" t="s">
        <v>169</v>
      </c>
      <c r="B19" s="1">
        <v>2</v>
      </c>
      <c r="C19" s="1" t="s">
        <v>163</v>
      </c>
      <c r="D19" s="1" t="s">
        <v>47</v>
      </c>
      <c r="E19" s="1" t="s">
        <v>111</v>
      </c>
      <c r="G19" s="6" t="s">
        <v>170</v>
      </c>
      <c r="H19" t="s">
        <v>137</v>
      </c>
      <c r="I19" t="s">
        <v>172</v>
      </c>
      <c r="AD19" s="1">
        <v>1.223</v>
      </c>
      <c r="AE19" s="1" t="s">
        <v>151</v>
      </c>
    </row>
    <row r="20" spans="1:31" ht="54" customHeight="1">
      <c r="A20" s="6" t="s">
        <v>152</v>
      </c>
      <c r="B20" s="1">
        <v>1</v>
      </c>
      <c r="C20" s="1" t="s">
        <v>145</v>
      </c>
      <c r="D20" s="1" t="s">
        <v>47</v>
      </c>
      <c r="E20" s="1" t="s">
        <v>111</v>
      </c>
      <c r="G20" s="6" t="s">
        <v>153</v>
      </c>
      <c r="H20" t="s">
        <v>173</v>
      </c>
      <c r="I20" t="s">
        <v>49</v>
      </c>
      <c r="J20" s="2">
        <f>IF(COUNT('Turns'!D51)=1,SUM('Turns'!D51),"Unknown")</f>
        <v>3.0</v>
      </c>
      <c r="K20" s="2">
        <f>IF(COUNT('Turns'!E51)=1,SUM('Turns'!E51),"Unknown")</f>
        <v>5.23422e-07</v>
      </c>
      <c r="L20" s="2">
        <f>IF(COUNT('Turns'!F51)=1,SUM('Turns'!F51),"Unknown")</f>
        <v>6e-07</v>
      </c>
      <c r="M20" s="2">
        <f>IF(COUNT('Turns'!D50)=1,SUM('Turns'!D50),"Unknown")</f>
        <v>2312.0</v>
      </c>
      <c r="N20" s="2">
        <f>IF(COUNT('Turns'!E50)=1,SUM('Turns'!E50),"Unknown")</f>
        <v>4.03383888e-05</v>
      </c>
      <c r="O20" s="2">
        <f>IF(COUNT('Turns'!F50)=1,SUM('Turns'!F50),"Unknown")</f>
        <v>4.624e-05</v>
      </c>
      <c r="P20" s="2">
        <f>IF(COUNT('Turns'!D53)=1,SUM('Turns'!D53),"Unknown")</f>
        <v>183.0</v>
      </c>
      <c r="Q20" s="2">
        <f>IF(COUNT('Turns'!E53)=1,SUM('Turns'!E53),"Unknown")</f>
        <v>3.99109275e-05</v>
      </c>
      <c r="R20" s="2">
        <f>IF(COUNT('Turns'!F53)=1,SUM('Turns'!F53),"Unknown")</f>
        <v>4.575e-05</v>
      </c>
      <c r="S20" s="2">
        <f>IF(COUNT('Turns'!D57)=1,SUM('Turns'!D57),"Unknown")</f>
        <v>356.0</v>
      </c>
      <c r="T20" s="2">
        <f>IF(COUNT('Turns'!E57)=1,SUM('Turns'!E57),"Unknown")</f>
        <v>0.000372676464</v>
      </c>
      <c r="U20" s="2">
        <f>IF(COUNT('Turns'!F57)=1,SUM('Turns'!F57),"Unknown")</f>
        <v>0.0004272</v>
      </c>
      <c r="V20" s="2">
        <f>IF(COUNT('Turns'!D56)=1,SUM('Turns'!D56),"Unknown")</f>
        <v>22.0</v>
      </c>
      <c r="W20" s="2">
        <f>IF(COUNT('Turns'!E56)=1,SUM('Turns'!E56),"Unknown")</f>
        <v>2.3030568e-05</v>
      </c>
      <c r="X20" s="2">
        <f>IF(COUNT('Turns'!F56)=1,SUM('Turns'!F56),"Unknown")</f>
        <v>2.64e-05</v>
      </c>
      <c r="Y20" s="2">
        <f>IF(COUNT('Turns'!E61)=1,SUM('Turns'!E61),"Unknown")</f>
        <v>0.0004764797703</v>
      </c>
      <c r="Z20" s="2">
        <f>IF(COUNT('Turns'!F61)=1,SUM('Turns'!F61),"Unknown")</f>
        <v>0.00054619</v>
      </c>
      <c r="AA20" s="5">
        <f>IF(ISNUMBER(Y20),ROUND(Y20*'Reference data'!$B$2,0),"Unknown")</f>
        <v>48.0</v>
      </c>
      <c r="AB20" s="5">
        <f>IF(ISNUMBER(Z20),ROUND(Z20*'Reference data'!$B$2,0),"Unknown")</f>
        <v>55.0</v>
      </c>
      <c r="AD20" s="1">
        <v>6878.567</v>
      </c>
      <c r="AE20" s="1" t="s">
        <v>147</v>
      </c>
    </row>
    <row r="21" spans="1:31" ht="54" customHeight="1">
      <c r="A21" s="6" t="s">
        <v>155</v>
      </c>
      <c r="B21" s="1">
        <v>2</v>
      </c>
      <c r="C21" s="1" t="s">
        <v>156</v>
      </c>
      <c r="D21" s="1" t="s">
        <v>95</v>
      </c>
      <c r="E21" s="1" t="s">
        <v>111</v>
      </c>
      <c r="F21" s="1">
        <v>2498</v>
      </c>
      <c r="G21" s="6" t="s">
        <v>157</v>
      </c>
      <c r="H21" t="s">
        <v>141</v>
      </c>
      <c r="I21" t="s">
        <v>173</v>
      </c>
      <c r="J21" s="2">
        <f>IF(COUNT('Turns'!D51)=1,SUM('Turns'!D51),"Unknown")</f>
        <v>3.0</v>
      </c>
      <c r="K21" s="2">
        <f>IF(COUNT('Turns'!E51)=1,SUM('Turns'!E51),"Unknown")</f>
        <v>5.23422e-07</v>
      </c>
      <c r="L21" s="2">
        <f>IF(COUNT('Turns'!F51)=1,SUM('Turns'!F51),"Unknown")</f>
        <v>6e-07</v>
      </c>
      <c r="M21" s="2">
        <f>IF(COUNT('Turns'!D50)=1,SUM('Turns'!D50),"Unknown")</f>
        <v>2312.0</v>
      </c>
      <c r="N21" s="2">
        <f>IF(COUNT('Turns'!E50)=1,SUM('Turns'!E50),"Unknown")</f>
        <v>4.03383888e-05</v>
      </c>
      <c r="O21" s="2">
        <f>IF(COUNT('Turns'!F50)=1,SUM('Turns'!F50),"Unknown")</f>
        <v>4.624e-05</v>
      </c>
      <c r="P21" s="2">
        <f>IF(COUNT('Turns'!D53)=1,SUM('Turns'!D53),"Unknown")</f>
        <v>183.0</v>
      </c>
      <c r="Q21" s="2">
        <f>IF(COUNT('Turns'!E53)=1,SUM('Turns'!E53),"Unknown")</f>
        <v>3.99109275e-05</v>
      </c>
      <c r="R21" s="2">
        <f>IF(COUNT('Turns'!F53)=1,SUM('Turns'!F53),"Unknown")</f>
        <v>4.575e-05</v>
      </c>
      <c r="S21" s="2">
        <f>IF(COUNT('Turns'!D57)=1,SUM('Turns'!D57),"Unknown")</f>
        <v>356.0</v>
      </c>
      <c r="T21" s="2">
        <f>IF(COUNT('Turns'!E57)=1,SUM('Turns'!E57),"Unknown")</f>
        <v>0.000372676464</v>
      </c>
      <c r="U21" s="2">
        <f>IF(COUNT('Turns'!F57)=1,SUM('Turns'!F57),"Unknown")</f>
        <v>0.0004272</v>
      </c>
      <c r="V21" s="2">
        <f>IF(COUNT('Turns'!D56)=1,SUM('Turns'!D56),"Unknown")</f>
        <v>22.0</v>
      </c>
      <c r="W21" s="2">
        <f>IF(COUNT('Turns'!E56)=1,SUM('Turns'!E56),"Unknown")</f>
        <v>2.3030568e-05</v>
      </c>
      <c r="X21" s="2">
        <f>IF(COUNT('Turns'!F56)=1,SUM('Turns'!F56),"Unknown")</f>
        <v>2.64e-05</v>
      </c>
      <c r="Y21" s="2">
        <f>IF(COUNT('Turns'!E61)=1,SUM('Turns'!E61),"Unknown")</f>
        <v>0.0004764797703</v>
      </c>
      <c r="Z21" s="2">
        <f>IF(COUNT('Turns'!F61)=1,SUM('Turns'!F61),"Unknown")</f>
        <v>0.00054619</v>
      </c>
      <c r="AA21" s="5">
        <f>IF(ISNUMBER(Y21),ROUND(Y21*'Reference data'!$B$2,0),"Unknown")</f>
        <v>48.0</v>
      </c>
      <c r="AB21" s="5">
        <f>IF(ISNUMBER(Z21),ROUND(Z21*'Reference data'!$B$2,0),"Unknown")</f>
        <v>55.0</v>
      </c>
      <c r="AC21" s="1" t="s">
        <v>140</v>
      </c>
      <c r="AD21" s="1">
        <v>6874.66</v>
      </c>
      <c r="AE21" s="1" t="s">
        <v>158</v>
      </c>
    </row>
  </sheetData>
  <conditionalFormatting sqref="A2:AE21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2026-09-23T06:10:52Z</dcterms:created>
  <dcterms:modified xsi:type="dcterms:W3CDTF">2026-09-23T06:10:52Z</dcterms:modified>
</cp:coreProperties>
</file>